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2359CB5E-09B1-45A3-8C09-F0C2ABD758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T6" i="1" l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Ester Cardozo</author>
  </authors>
  <commentList>
    <comment ref="I5" authorId="0" shapeId="0" xr:uid="{FBB2F23F-EFFC-4A1D-A91F-551AED7A75D0}">
      <text>
        <r>
          <rPr>
            <b/>
            <sz val="9"/>
            <color indexed="81"/>
            <rFont val="Segoe UI"/>
            <family val="2"/>
          </rPr>
          <t>Ester Cardozo:</t>
        </r>
        <r>
          <rPr>
            <sz val="9"/>
            <color indexed="81"/>
            <rFont val="Segoe UI"/>
            <family val="2"/>
          </rPr>
          <t xml:space="preserve">
não houve lançamento de FT neste posto</t>
        </r>
      </text>
    </comment>
  </commentList>
</comments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<sst xmlns="http://schemas.openxmlformats.org/spreadsheetml/2006/main" count="38" uniqueCount="37">
  <si>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</si>
  <si>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</si>
  <si>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</si>
  <si>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</si>
  <si>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</si>
  <si>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</si>
  <si>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</si>
  <si>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</si>
  <si>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</si>
  <si>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</si>
  <si>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</si>
  <si>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</si>
  <si>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</si>
  <si>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</si>
  <si>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</si>
  <si>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</si>
  <si>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</si>
  <si>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</si>
  <si>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</si>
  <si>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</si>
  <si>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</si>
  <si>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</si>
  <si>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</si>
  <si>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</si>
  <si>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</si>
  <si>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</si>
  <si>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</si>
  <si>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</si>
  <si>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</si>
  <si>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</si>
  <si>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</si>
  <si>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</si>
  <si>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</si>
  <si>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</si>
  <si>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</si>
  <si>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</si>
  <si>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BOA LOJA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</si>
</sst>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J17" sqref="J17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>
        <v>0</v>
      </c>
      <c r="C5" s="48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54">
        <v>1599</v>
      </c>
      <c r="N5" s="23">
        <v>0</v>
      </c>
      <c r="O5" s="23">
        <v>0</v>
      </c>
      <c r="P5" s="23">
        <v>0</v>
      </c>
      <c r="Q5" s="23">
        <v>0</v>
      </c>
      <c r="R5" s="55">
        <v>0</v>
      </c>
      <c r="S5" s="50">
        <v>0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0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0</v>
      </c>
      <c r="E35" s="34">
        <f t="shared" si="1"/>
        <v>0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0</v>
      </c>
      <c r="J35" s="34">
        <f t="shared" si="1"/>
        <v>0</v>
      </c>
      <c r="K35" s="34">
        <f t="shared" si="1"/>
        <v>0</v>
      </c>
      <c r="L35" s="34">
        <f t="shared" si="1"/>
        <v>0</v>
      </c>
      <c r="M35" s="51">
        <f t="shared" si="1"/>
        <v>1599</v>
      </c>
      <c r="N35" s="34">
        <f t="shared" si="1"/>
        <v>0</v>
      </c>
      <c r="O35" s="34">
        <f>H23-P23</f>
        <v>0</v>
      </c>
      <c r="P35" s="51"/>
      <c r="Q35" s="34">
        <f t="shared" si="1"/>
        <v>0</v>
      </c>
      <c r="R35" s="22"/>
      <c r="S35" s="52">
        <f>SUBTOTAL(109,S5:S34)</f>
        <v>0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2024-09-17T13:47:48Z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