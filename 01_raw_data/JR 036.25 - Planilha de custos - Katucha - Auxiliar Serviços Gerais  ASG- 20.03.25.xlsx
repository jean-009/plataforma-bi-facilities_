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3801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Jair Ré\Documents\"/>
    </mc:Choice>
  </mc:AlternateContent>
  <xr:revisionPtr revIDLastSave="0" documentId="13_ncr:9_{95789B80-E2D0-41BC-ABB4-B09B9F5F83A1}" xr6:coauthVersionLast="46" xr6:coauthVersionMax="46" xr10:uidLastSave="{00000000-0000-0000-0000-000000000000}"/>
  <bookViews>
    <workbookView xWindow="-120" yWindow="-120" windowWidth="20730" windowHeight="11040" xr2:uid="{6C722776-DD51-4320-B32C-82A422A14337}"/>
  </bookViews>
  <sheets>
    <sheet name="Planilha1" sheetId="1" r:id="rId1"/>
    <sheet name="Planilha2" sheetId="2" r:id="rId2"/>
  </sheets>
  <externalReferences>
    <externalReference r:id="rId3"/>
  </externalReferenc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purl.oclc.org/ooxml/spreadsheetml/main">
  <c r="E32" i="1" l="1"/>
  <c r="F127" i="1" l="1"/>
  <c r="F126" i="1"/>
  <c r="F125" i="1"/>
  <c r="F108" i="1"/>
  <c r="F106" i="1"/>
  <c r="F124" i="1"/>
  <c r="F122" i="1"/>
  <c r="F107" i="1"/>
  <c r="F105" i="1"/>
  <c r="F104" i="1"/>
  <c r="F103" i="1"/>
  <c r="A155" i="1"/>
  <c r="I30" i="1"/>
  <c r="F109" i="1"/>
  <c r="J15" i="1"/>
  <c r="F130" i="1" l="1"/>
  <c r="D163" i="1"/>
  <c r="A164" i="1"/>
  <c r="A163" i="1"/>
  <c r="A162" i="1"/>
  <c r="A161" i="1"/>
  <c r="A160" i="1"/>
  <c r="A159" i="1"/>
  <c r="A158" i="1"/>
  <c r="A157" i="1"/>
  <c r="A156" i="1"/>
  <c r="C153" i="1"/>
  <c r="D138" i="1"/>
  <c r="C138" i="1"/>
  <c r="D137" i="1"/>
  <c r="C137" i="1"/>
  <c r="E115" i="1"/>
  <c r="C115" i="1"/>
  <c r="A106" i="1"/>
  <c r="A105" i="1"/>
  <c r="A104" i="1"/>
  <c r="F102" i="1"/>
  <c r="F101" i="1"/>
  <c r="C94" i="1"/>
  <c r="C90" i="1"/>
  <c r="C88" i="1"/>
  <c r="C85" i="1"/>
  <c r="C51" i="1"/>
  <c r="O41" i="1"/>
  <c r="C37" i="1"/>
  <c r="C36" i="1"/>
  <c r="C35" i="1"/>
  <c r="C34" i="1"/>
  <c r="C33" i="1"/>
  <c r="O30" i="1"/>
  <c r="J30" i="1"/>
  <c r="H30" i="1"/>
  <c r="G30" i="1"/>
  <c r="F30" i="1"/>
  <c r="A22" i="1"/>
  <c r="E31" i="1"/>
  <c r="L19" i="1"/>
  <c r="K19" i="1"/>
  <c r="J19" i="1"/>
  <c r="I19" i="1"/>
  <c r="H19" i="1"/>
  <c r="G19" i="1"/>
  <c r="F19" i="1"/>
  <c r="E19" i="1"/>
  <c r="D19" i="1"/>
  <c r="L18" i="1"/>
  <c r="K18" i="1"/>
  <c r="J18" i="1"/>
  <c r="I18" i="1"/>
  <c r="H18" i="1"/>
  <c r="G18" i="1"/>
  <c r="F18" i="1"/>
  <c r="E18" i="1"/>
  <c r="D18" i="1"/>
  <c r="C18" i="1"/>
  <c r="L17" i="1"/>
  <c r="K17" i="1"/>
  <c r="J17" i="1"/>
  <c r="I17" i="1"/>
  <c r="H17" i="1"/>
  <c r="G17" i="1"/>
  <c r="F17" i="1"/>
  <c r="E17" i="1"/>
  <c r="L16" i="1"/>
  <c r="K16" i="1"/>
  <c r="J16" i="1"/>
  <c r="I16" i="1"/>
  <c r="H16" i="1"/>
  <c r="G16" i="1"/>
  <c r="F16" i="1"/>
  <c r="E16" i="1"/>
  <c r="D16" i="1"/>
  <c r="C16" i="1"/>
  <c r="L15" i="1"/>
  <c r="K15" i="1"/>
  <c r="I15" i="1"/>
  <c r="H15" i="1"/>
  <c r="G15" i="1"/>
  <c r="F15" i="1"/>
  <c r="E15" i="1"/>
  <c r="D15" i="1"/>
  <c r="L14" i="1"/>
  <c r="K14" i="1"/>
  <c r="J14" i="1"/>
  <c r="I14" i="1"/>
  <c r="H14" i="1"/>
  <c r="G14" i="1"/>
  <c r="F14" i="1"/>
  <c r="E14" i="1"/>
  <c r="D14" i="1"/>
  <c r="C8" i="1"/>
  <c r="L7" i="1"/>
  <c r="K7" i="1"/>
  <c r="K8" i="1" s="1"/>
  <c r="J7" i="1"/>
  <c r="J8" i="1" s="1"/>
  <c r="I7" i="1"/>
  <c r="H7" i="1"/>
  <c r="H8" i="1" s="1"/>
  <c r="G7" i="1"/>
  <c r="G10" i="1" s="1"/>
  <c r="G20" i="1" s="1"/>
  <c r="I31" i="1" s="1"/>
  <c r="F7" i="1"/>
  <c r="F8" i="1" s="1"/>
  <c r="E7" i="1"/>
  <c r="E10" i="1" s="1"/>
  <c r="E20" i="1" s="1"/>
  <c r="G31" i="1" s="1"/>
  <c r="D7" i="1"/>
  <c r="L6" i="1"/>
  <c r="K6" i="1"/>
  <c r="J6" i="1"/>
  <c r="I6" i="1"/>
  <c r="H6" i="1"/>
  <c r="G6" i="1"/>
  <c r="F6" i="1"/>
  <c r="E6" i="1"/>
  <c r="D6" i="1"/>
  <c r="C13" i="1" l="1"/>
  <c r="E37" i="1" s="1"/>
  <c r="E40" i="1" s="1"/>
  <c r="D36" i="1"/>
  <c r="E138" i="1"/>
  <c r="D33" i="1"/>
  <c r="D34" i="1"/>
  <c r="D35" i="1"/>
  <c r="D37" i="1"/>
  <c r="K12" i="1"/>
  <c r="K13" i="1"/>
  <c r="J10" i="1"/>
  <c r="J20" i="1" s="1"/>
  <c r="L31" i="1" s="1"/>
  <c r="E137" i="1"/>
  <c r="G8" i="1"/>
  <c r="I38" i="1" s="1"/>
  <c r="C12" i="1"/>
  <c r="K11" i="1"/>
  <c r="H13" i="1"/>
  <c r="H11" i="1"/>
  <c r="H12" i="1"/>
  <c r="J38" i="1"/>
  <c r="F12" i="1"/>
  <c r="F13" i="1"/>
  <c r="F11" i="1"/>
  <c r="I10" i="1"/>
  <c r="I21" i="1" s="1"/>
  <c r="K30" i="1" s="1"/>
  <c r="D10" i="1"/>
  <c r="F29" i="1" s="1"/>
  <c r="L10" i="1"/>
  <c r="L20" i="1" s="1"/>
  <c r="N31" i="1" s="1"/>
  <c r="H38" i="1"/>
  <c r="J12" i="1"/>
  <c r="J13" i="1"/>
  <c r="J11" i="1"/>
  <c r="D8" i="1"/>
  <c r="L8" i="1"/>
  <c r="F10" i="1"/>
  <c r="F20" i="1" s="1"/>
  <c r="H31" i="1" s="1"/>
  <c r="G29" i="1"/>
  <c r="K10" i="1"/>
  <c r="K20" i="1" s="1"/>
  <c r="M31" i="1" s="1"/>
  <c r="E8" i="1"/>
  <c r="G38" i="1" s="1"/>
  <c r="I8" i="1"/>
  <c r="K38" i="1" s="1"/>
  <c r="H10" i="1"/>
  <c r="H20" i="1" s="1"/>
  <c r="J31" i="1" s="1"/>
  <c r="E38" i="1"/>
  <c r="M38" i="1"/>
  <c r="I29" i="1"/>
  <c r="D38" i="1"/>
  <c r="L38" i="1"/>
  <c r="E34" i="1" l="1"/>
  <c r="C23" i="1"/>
  <c r="E29" i="1" s="1"/>
  <c r="L34" i="1"/>
  <c r="L29" i="1"/>
  <c r="J21" i="1"/>
  <c r="L30" i="1" s="1"/>
  <c r="G13" i="1"/>
  <c r="I37" i="1" s="1"/>
  <c r="I40" i="1" s="1"/>
  <c r="L37" i="1"/>
  <c r="L40" i="1" s="1"/>
  <c r="F117" i="1"/>
  <c r="D161" i="1" s="1"/>
  <c r="H37" i="1"/>
  <c r="H40" i="1" s="1"/>
  <c r="G12" i="1"/>
  <c r="I34" i="1" s="1"/>
  <c r="G11" i="1"/>
  <c r="D139" i="1"/>
  <c r="E36" i="1"/>
  <c r="E35" i="1"/>
  <c r="E33" i="1"/>
  <c r="M33" i="1"/>
  <c r="M34" i="1"/>
  <c r="I13" i="1"/>
  <c r="K37" i="1" s="1"/>
  <c r="K40" i="1" s="1"/>
  <c r="I12" i="1"/>
  <c r="K34" i="1" s="1"/>
  <c r="I11" i="1"/>
  <c r="J29" i="1"/>
  <c r="H29" i="1"/>
  <c r="H34" i="1"/>
  <c r="M35" i="1"/>
  <c r="J34" i="1"/>
  <c r="L13" i="1"/>
  <c r="N37" i="1" s="1"/>
  <c r="N40" i="1" s="1"/>
  <c r="L11" i="1"/>
  <c r="L12" i="1"/>
  <c r="N34" i="1" s="1"/>
  <c r="N38" i="1"/>
  <c r="M36" i="1"/>
  <c r="J35" i="1"/>
  <c r="J33" i="1"/>
  <c r="J36" i="1"/>
  <c r="L33" i="1"/>
  <c r="L35" i="1"/>
  <c r="L36" i="1"/>
  <c r="I20" i="1"/>
  <c r="K31" i="1" s="1"/>
  <c r="K29" i="1"/>
  <c r="E11" i="1"/>
  <c r="E12" i="1"/>
  <c r="G34" i="1" s="1"/>
  <c r="E13" i="1"/>
  <c r="G37" i="1" s="1"/>
  <c r="G40" i="1" s="1"/>
  <c r="K21" i="1"/>
  <c r="M30" i="1" s="1"/>
  <c r="D13" i="1"/>
  <c r="F37" i="1" s="1"/>
  <c r="D11" i="1"/>
  <c r="D12" i="1"/>
  <c r="F34" i="1" s="1"/>
  <c r="F38" i="1"/>
  <c r="N29" i="1"/>
  <c r="M10" i="1"/>
  <c r="D93" i="1" s="1"/>
  <c r="D20" i="1"/>
  <c r="F31" i="1" s="1"/>
  <c r="H33" i="1"/>
  <c r="H35" i="1"/>
  <c r="H36" i="1"/>
  <c r="M29" i="1"/>
  <c r="M37" i="1"/>
  <c r="M40" i="1" s="1"/>
  <c r="L21" i="1"/>
  <c r="N30" i="1" s="1"/>
  <c r="J37" i="1"/>
  <c r="J40" i="1" s="1"/>
  <c r="O31" i="1" l="1"/>
  <c r="O38" i="1"/>
  <c r="I36" i="1"/>
  <c r="I35" i="1"/>
  <c r="I33" i="1"/>
  <c r="H39" i="1"/>
  <c r="F23" i="1" s="1"/>
  <c r="F22" i="1" s="1"/>
  <c r="H32" i="1" s="1"/>
  <c r="H42" i="1" s="1"/>
  <c r="O29" i="1"/>
  <c r="G86" i="1" s="1"/>
  <c r="O34" i="1"/>
  <c r="L39" i="1"/>
  <c r="J23" i="1" s="1"/>
  <c r="J22" i="1" s="1"/>
  <c r="L32" i="1" s="1"/>
  <c r="L42" i="1" s="1"/>
  <c r="J39" i="1"/>
  <c r="H23" i="1" s="1"/>
  <c r="H22" i="1" s="1"/>
  <c r="J32" i="1" s="1"/>
  <c r="J42" i="1" s="1"/>
  <c r="K36" i="1"/>
  <c r="K35" i="1"/>
  <c r="K33" i="1"/>
  <c r="M39" i="1"/>
  <c r="K23" i="1" s="1"/>
  <c r="K22" i="1" s="1"/>
  <c r="M32" i="1" s="1"/>
  <c r="M42" i="1" s="1"/>
  <c r="G36" i="1"/>
  <c r="G35" i="1"/>
  <c r="G33" i="1"/>
  <c r="D89" i="1"/>
  <c r="D90" i="1" s="1"/>
  <c r="D87" i="1"/>
  <c r="D88" i="1" s="1"/>
  <c r="M8" i="1"/>
  <c r="D40" i="1" s="1"/>
  <c r="D95" i="1"/>
  <c r="D79" i="1"/>
  <c r="D85" i="1"/>
  <c r="D78" i="1"/>
  <c r="D94" i="1"/>
  <c r="F35" i="1"/>
  <c r="F33" i="1"/>
  <c r="F36" i="1"/>
  <c r="N35" i="1"/>
  <c r="N33" i="1"/>
  <c r="N36" i="1"/>
  <c r="E39" i="1"/>
  <c r="F40" i="1"/>
  <c r="O40" i="1" s="1"/>
  <c r="O37" i="1"/>
  <c r="N39" i="1" l="1"/>
  <c r="L23" i="1" s="1"/>
  <c r="L22" i="1" s="1"/>
  <c r="N32" i="1" s="1"/>
  <c r="N42" i="1" s="1"/>
  <c r="O36" i="1"/>
  <c r="C31" i="1"/>
  <c r="C40" i="1"/>
  <c r="I39" i="1"/>
  <c r="G23" i="1" s="1"/>
  <c r="G22" i="1" s="1"/>
  <c r="I32" i="1" s="1"/>
  <c r="I42" i="1" s="1"/>
  <c r="O35" i="1"/>
  <c r="O33" i="1"/>
  <c r="K39" i="1"/>
  <c r="I23" i="1" s="1"/>
  <c r="I22" i="1" s="1"/>
  <c r="K32" i="1" s="1"/>
  <c r="K42" i="1" s="1"/>
  <c r="D39" i="1"/>
  <c r="F39" i="1"/>
  <c r="D23" i="1" s="1"/>
  <c r="D22" i="1" s="1"/>
  <c r="F32" i="1" s="1"/>
  <c r="F42" i="1" s="1"/>
  <c r="G39" i="1"/>
  <c r="E23" i="1" s="1"/>
  <c r="E22" i="1" s="1"/>
  <c r="G32" i="1" s="1"/>
  <c r="G42" i="1" s="1"/>
  <c r="O32" i="1" l="1"/>
  <c r="E42" i="1"/>
  <c r="D59" i="1"/>
  <c r="O39" i="1"/>
  <c r="C39" i="1" s="1"/>
  <c r="D60" i="1" l="1"/>
  <c r="C59" i="1"/>
  <c r="O42" i="1"/>
  <c r="C75" i="1"/>
  <c r="C117" i="1"/>
  <c r="C79" i="1"/>
  <c r="C78" i="1"/>
  <c r="D91" i="1" l="1"/>
  <c r="D92" i="1" s="1"/>
  <c r="D48" i="1"/>
  <c r="D155" i="1"/>
  <c r="F86" i="1"/>
  <c r="D86" i="1" s="1"/>
  <c r="D58" i="1"/>
  <c r="D47" i="1"/>
  <c r="D76" i="1"/>
  <c r="D56" i="1"/>
  <c r="D49" i="1"/>
  <c r="D55" i="1"/>
  <c r="D57" i="1"/>
  <c r="D77" i="1"/>
  <c r="D46" i="1"/>
  <c r="C38" i="1"/>
  <c r="C60" i="1"/>
  <c r="C62" i="1" s="1"/>
  <c r="D97" i="1" l="1"/>
  <c r="D51" i="1"/>
  <c r="D156" i="1" s="1"/>
  <c r="D62" i="1"/>
  <c r="D159" i="1" l="1"/>
  <c r="C81" i="1"/>
  <c r="D157" i="1"/>
  <c r="D67" i="1"/>
  <c r="D69" i="1"/>
  <c r="D68" i="1"/>
  <c r="D66" i="1"/>
  <c r="D160" i="1"/>
  <c r="C97" i="1"/>
  <c r="D71" i="1" l="1"/>
  <c r="D158" i="1" l="1"/>
  <c r="D153" i="1" s="1"/>
  <c r="D148" i="1" s="1"/>
  <c r="D147" i="1" l="1"/>
  <c r="D146" i="1"/>
  <c r="D149" i="1"/>
  <c r="D143" i="1"/>
  <c r="D144" i="1"/>
  <c r="D145" i="1"/>
  <c r="D151" i="1" l="1"/>
  <c r="D164" i="1" s="1"/>
  <c r="D167" i="1" s="1"/>
  <c r="C139" i="1" s="1"/>
</calcChain>
</file>

<file path=xl/sharedStrings.xml><?xml version="1.0" encoding="utf-8"?>
<sst xmlns="http://purl.oclc.org/ooxml/spreadsheetml/main" count="113" uniqueCount="90">
  <si>
    <t>Salário hora nominal</t>
  </si>
  <si>
    <t>Valor hora efetiva final c/encargos e taxa</t>
  </si>
  <si>
    <t>Num. de funcionários</t>
  </si>
  <si>
    <t>Valor hora extra I</t>
  </si>
  <si>
    <t>Valor hora extra II</t>
  </si>
  <si>
    <t>Valor do adicional noturno</t>
  </si>
  <si>
    <t>Hora extra I</t>
  </si>
  <si>
    <t>Hora extra II</t>
  </si>
  <si>
    <t>Hora extra noturna (52min)</t>
  </si>
  <si>
    <t>Hora extra refeição</t>
  </si>
  <si>
    <t>Hora reduzida noturna (52min)</t>
  </si>
  <si>
    <t>Adicional noturno</t>
  </si>
  <si>
    <t>Insalubridade</t>
  </si>
  <si>
    <t>PPR</t>
  </si>
  <si>
    <t>Base para periculosidade</t>
  </si>
  <si>
    <t>Base para vale transporte</t>
  </si>
  <si>
    <t>Base para vale alimentação / alimentação</t>
  </si>
  <si>
    <t>1- Formação da Folha de pagamentos</t>
  </si>
  <si>
    <t>Salário mês</t>
  </si>
  <si>
    <t>Assiduidade</t>
  </si>
  <si>
    <t>Reflexo hora extra/ DSR</t>
  </si>
  <si>
    <t>Reflexo adic.noturno/ DSR</t>
  </si>
  <si>
    <t>Total folha de pagamentos</t>
  </si>
  <si>
    <t>2- Encargos trabalhistas (Recolhimento Mensal)</t>
  </si>
  <si>
    <t>Inss</t>
  </si>
  <si>
    <t>Terceiros</t>
  </si>
  <si>
    <t>Seguro</t>
  </si>
  <si>
    <t>Fgts</t>
  </si>
  <si>
    <t>Total recolhimento mensal</t>
  </si>
  <si>
    <t>3- Encargos sociais (Provisões)</t>
  </si>
  <si>
    <t>Férias</t>
  </si>
  <si>
    <t>Décimo terceiro</t>
  </si>
  <si>
    <t>Aviso prévio (em caso de substituições)</t>
  </si>
  <si>
    <t>Multa s/ f.g.t.s recolhido</t>
  </si>
  <si>
    <t xml:space="preserve">Reflexo adicionais/férias </t>
  </si>
  <si>
    <t xml:space="preserve">Reflexo adicionais/13o </t>
  </si>
  <si>
    <t>Total provisionamento mensal</t>
  </si>
  <si>
    <t>4- Encargos trabalhistas sobre provisões (Férias, 13o. e reflexos)</t>
  </si>
  <si>
    <t>5- Outras despesas da administração do contrato</t>
  </si>
  <si>
    <t>Exames admissional /demissional</t>
  </si>
  <si>
    <t>Auxilio enfermidade</t>
  </si>
  <si>
    <t>Reposição de faltas</t>
  </si>
  <si>
    <t>Cartão salário e lançamento mensal</t>
  </si>
  <si>
    <t>Recrutamento e Depto Pessoal</t>
  </si>
  <si>
    <t>Total mensal proporcional</t>
  </si>
  <si>
    <t>6- Benefícios</t>
  </si>
  <si>
    <t xml:space="preserve">Vale transporte        </t>
  </si>
  <si>
    <t>(emp.)</t>
  </si>
  <si>
    <t>(func.)</t>
  </si>
  <si>
    <t xml:space="preserve">Ticket alimentação  </t>
  </si>
  <si>
    <t xml:space="preserve">Ticket alimentação   </t>
  </si>
  <si>
    <t xml:space="preserve">Alimentação            </t>
  </si>
  <si>
    <t xml:space="preserve">Seguro de grupo      </t>
  </si>
  <si>
    <t xml:space="preserve">Assistência médica  </t>
  </si>
  <si>
    <t>Cesta básica</t>
  </si>
  <si>
    <t>Total mensal benefícios</t>
  </si>
  <si>
    <t>7- Uniformes e epi's</t>
  </si>
  <si>
    <t>Total mensal uniformes e epi's</t>
  </si>
  <si>
    <t>8- Materiais e acessórios (consumo mês)</t>
  </si>
  <si>
    <t>Total de materiais e acessórios</t>
  </si>
  <si>
    <t>9- Equipamentos e ferramentas (locação)</t>
  </si>
  <si>
    <t>Total equipamentos e ferramentas</t>
  </si>
  <si>
    <t>10- Demais despesas sobre fatura, administração e resultado</t>
  </si>
  <si>
    <t>Resultado empresa</t>
  </si>
  <si>
    <t>Administração Operacional</t>
  </si>
  <si>
    <t>Administração Comercial</t>
  </si>
  <si>
    <t>ISS</t>
  </si>
  <si>
    <t>Pis e Cofins /CSLL</t>
  </si>
  <si>
    <t>IR</t>
  </si>
  <si>
    <t>INSS</t>
  </si>
  <si>
    <t>Total de despesas mensais</t>
  </si>
  <si>
    <t>Resumo final de grupos e fechamento faturamento</t>
  </si>
  <si>
    <t>Faturamento</t>
  </si>
  <si>
    <t xml:space="preserve"> </t>
  </si>
  <si>
    <t>Hora extra refeição (Intrajornada)</t>
  </si>
  <si>
    <t xml:space="preserve">CLIENTE </t>
  </si>
  <si>
    <t>CONTATO</t>
  </si>
  <si>
    <t xml:space="preserve">FUNÇÕES </t>
  </si>
  <si>
    <t>Linha celular mensal</t>
  </si>
  <si>
    <t>Radio HT Locação</t>
  </si>
  <si>
    <t xml:space="preserve">Calçado </t>
  </si>
  <si>
    <t xml:space="preserve">Celular corporativo           </t>
  </si>
  <si>
    <t>Salário contratual 2024</t>
  </si>
  <si>
    <t>Brasil Medicina</t>
  </si>
  <si>
    <t>Beneficio Social</t>
  </si>
  <si>
    <t xml:space="preserve">Auxiliar de Serviços Gerais </t>
  </si>
  <si>
    <t>Premio assiduidade</t>
  </si>
  <si>
    <t>SUPERMERCADO KATUCHA</t>
  </si>
  <si>
    <t>DANIELA</t>
  </si>
  <si>
    <t>20% do salario Base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</si>
</sst>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(* #,##0.0_);_(* \(#,##0.0\);_(* &quot;-&quot;??_);_(@_)"/>
    <numFmt numFmtId="166" formatCode="0.0%"/>
    <numFmt numFmtId="167" formatCode="0.00;[Red]0.00"/>
    <numFmt numFmtId="168" formatCode="&quot;R$&quot;\ #,##0.00"/>
    <numFmt numFmtId="169" formatCode="#,##0.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color indexed="8"/>
      <name val="Arial"/>
      <family val="2"/>
    </font>
    <font>
      <b/>
      <sz val="10"/>
      <color rgb="FF0070C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0070C0"/>
      <name val="Bahnschrift Light Condensed"/>
      <family val="2"/>
    </font>
    <font>
      <b/>
      <sz val="11"/>
      <color rgb="FF0070C0"/>
      <name val="Arial"/>
      <family val="2"/>
    </font>
    <font>
      <sz val="10"/>
      <color rgb="FF002060"/>
      <name val="Arial"/>
      <family val="2"/>
    </font>
    <font>
      <sz val="10"/>
      <color rgb="FF0070C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2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medium">
        <color indexed="64"/>
      </start>
      <end style="medium">
        <color indexed="64"/>
      </end>
      <top style="medium">
        <color indexed="64"/>
      </top>
      <bottom style="medium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0" fontId="2" fillId="0" borderId="0" xfId="2" applyNumberFormat="1" applyFont="1" applyFill="1" applyBorder="1" applyAlignment="1">
      <alignment horizontal="left"/>
    </xf>
    <xf numFmtId="38" fontId="2" fillId="0" borderId="0" xfId="1" applyNumberFormat="1" applyFont="1" applyFill="1" applyBorder="1"/>
    <xf numFmtId="10" fontId="2" fillId="0" borderId="0" xfId="2" applyNumberFormat="1" applyFont="1" applyFill="1" applyBorder="1"/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horizontal="right"/>
    </xf>
    <xf numFmtId="0" fontId="4" fillId="0" borderId="1" xfId="0" applyFont="1" applyBorder="1"/>
    <xf numFmtId="164" fontId="2" fillId="0" borderId="1" xfId="1" applyNumberFormat="1" applyFont="1" applyFill="1" applyBorder="1" applyAlignment="1"/>
    <xf numFmtId="43" fontId="2" fillId="0" borderId="1" xfId="1" applyFont="1" applyFill="1" applyBorder="1" applyAlignment="1"/>
    <xf numFmtId="43" fontId="2" fillId="0" borderId="1" xfId="1" applyFont="1" applyBorder="1"/>
    <xf numFmtId="43" fontId="2" fillId="2" borderId="1" xfId="1" applyFont="1" applyFill="1" applyBorder="1" applyAlignment="1"/>
    <xf numFmtId="165" fontId="2" fillId="0" borderId="1" xfId="1" applyNumberFormat="1" applyFont="1" applyFill="1" applyBorder="1" applyAlignment="1"/>
    <xf numFmtId="164" fontId="2" fillId="0" borderId="1" xfId="0" applyNumberFormat="1" applyFont="1" applyBorder="1"/>
    <xf numFmtId="0" fontId="2" fillId="0" borderId="1" xfId="0" quotePrefix="1" applyFont="1" applyBorder="1" applyAlignment="1">
      <alignment horizontal="left"/>
    </xf>
    <xf numFmtId="166" fontId="2" fillId="0" borderId="1" xfId="2" applyNumberFormat="1" applyFont="1" applyBorder="1" applyAlignment="1">
      <alignment horizontal="right"/>
    </xf>
    <xf numFmtId="10" fontId="2" fillId="0" borderId="1" xfId="2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166" fontId="2" fillId="0" borderId="1" xfId="0" applyNumberFormat="1" applyFont="1" applyBorder="1" applyAlignment="1">
      <alignment horizontal="right"/>
    </xf>
    <xf numFmtId="43" fontId="2" fillId="0" borderId="1" xfId="1" applyFont="1" applyBorder="1" applyAlignment="1">
      <alignment horizontal="right"/>
    </xf>
    <xf numFmtId="40" fontId="2" fillId="0" borderId="1" xfId="1" applyNumberFormat="1" applyFont="1" applyBorder="1"/>
    <xf numFmtId="164" fontId="2" fillId="0" borderId="1" xfId="1" applyNumberFormat="1" applyFont="1" applyBorder="1"/>
    <xf numFmtId="0" fontId="3" fillId="0" borderId="1" xfId="0" quotePrefix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3" fontId="2" fillId="0" borderId="1" xfId="1" quotePrefix="1" applyFont="1" applyBorder="1" applyAlignment="1">
      <alignment horizontal="left"/>
    </xf>
    <xf numFmtId="38" fontId="2" fillId="0" borderId="1" xfId="1" applyNumberFormat="1" applyFont="1" applyFill="1" applyBorder="1"/>
    <xf numFmtId="43" fontId="2" fillId="0" borderId="1" xfId="1" applyFont="1" applyFill="1" applyBorder="1"/>
    <xf numFmtId="38" fontId="2" fillId="0" borderId="1" xfId="0" applyNumberFormat="1" applyFont="1" applyBorder="1"/>
    <xf numFmtId="37" fontId="3" fillId="0" borderId="1" xfId="0" applyNumberFormat="1" applyFont="1" applyBorder="1"/>
    <xf numFmtId="43" fontId="3" fillId="0" borderId="1" xfId="1" applyFont="1" applyFill="1" applyBorder="1"/>
    <xf numFmtId="43" fontId="2" fillId="0" borderId="1" xfId="0" applyNumberFormat="1" applyFont="1" applyBorder="1"/>
    <xf numFmtId="40" fontId="2" fillId="0" borderId="1" xfId="0" applyNumberFormat="1" applyFont="1" applyBorder="1"/>
    <xf numFmtId="0" fontId="2" fillId="0" borderId="2" xfId="0" applyFont="1" applyBorder="1"/>
    <xf numFmtId="0" fontId="3" fillId="0" borderId="2" xfId="0" applyFont="1" applyBorder="1"/>
    <xf numFmtId="0" fontId="4" fillId="0" borderId="2" xfId="0" applyFont="1" applyBorder="1"/>
    <xf numFmtId="164" fontId="2" fillId="0" borderId="2" xfId="1" applyNumberFormat="1" applyFont="1" applyFill="1" applyBorder="1" applyAlignment="1"/>
    <xf numFmtId="43" fontId="2" fillId="0" borderId="2" xfId="1" applyFont="1" applyFill="1" applyBorder="1" applyAlignment="1"/>
    <xf numFmtId="43" fontId="2" fillId="2" borderId="2" xfId="1" applyFont="1" applyFill="1" applyBorder="1" applyAlignment="1"/>
    <xf numFmtId="165" fontId="2" fillId="0" borderId="2" xfId="1" applyNumberFormat="1" applyFont="1" applyFill="1" applyBorder="1" applyAlignment="1"/>
    <xf numFmtId="43" fontId="2" fillId="0" borderId="2" xfId="1" applyFont="1" applyBorder="1"/>
    <xf numFmtId="164" fontId="2" fillId="0" borderId="2" xfId="0" applyNumberFormat="1" applyFont="1" applyBorder="1"/>
    <xf numFmtId="43" fontId="2" fillId="0" borderId="2" xfId="1" applyFont="1" applyBorder="1" applyAlignment="1">
      <alignment horizontal="right"/>
    </xf>
    <xf numFmtId="40" fontId="2" fillId="0" borderId="2" xfId="1" applyNumberFormat="1" applyFont="1" applyBorder="1"/>
    <xf numFmtId="0" fontId="2" fillId="0" borderId="2" xfId="0" applyFont="1" applyBorder="1" applyAlignment="1">
      <alignment horizontal="left"/>
    </xf>
    <xf numFmtId="43" fontId="2" fillId="0" borderId="2" xfId="1" applyFont="1" applyFill="1" applyBorder="1"/>
    <xf numFmtId="40" fontId="2" fillId="0" borderId="2" xfId="0" applyNumberFormat="1" applyFont="1" applyBorder="1"/>
    <xf numFmtId="0" fontId="2" fillId="0" borderId="1" xfId="0" quotePrefix="1" applyFont="1" applyBorder="1"/>
    <xf numFmtId="165" fontId="2" fillId="0" borderId="1" xfId="1" quotePrefix="1" applyNumberFormat="1" applyFont="1" applyFill="1" applyBorder="1" applyAlignment="1"/>
    <xf numFmtId="10" fontId="2" fillId="0" borderId="1" xfId="2" applyNumberFormat="1" applyFont="1" applyBorder="1" applyAlignment="1">
      <alignment horizontal="left"/>
    </xf>
    <xf numFmtId="43" fontId="2" fillId="0" borderId="1" xfId="1" applyFont="1" applyBorder="1" applyAlignment="1"/>
    <xf numFmtId="9" fontId="2" fillId="0" borderId="1" xfId="2" applyFont="1" applyBorder="1" applyAlignment="1">
      <alignment horizontal="left"/>
    </xf>
    <xf numFmtId="43" fontId="2" fillId="0" borderId="1" xfId="1" applyFont="1" applyBorder="1" applyAlignment="1">
      <alignment horizontal="center"/>
    </xf>
    <xf numFmtId="166" fontId="2" fillId="0" borderId="1" xfId="2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10" fontId="2" fillId="0" borderId="1" xfId="2" applyNumberFormat="1" applyFont="1" applyBorder="1"/>
    <xf numFmtId="167" fontId="2" fillId="0" borderId="1" xfId="1" applyNumberFormat="1" applyFont="1" applyBorder="1"/>
    <xf numFmtId="165" fontId="2" fillId="0" borderId="1" xfId="1" applyNumberFormat="1" applyFont="1" applyFill="1" applyBorder="1"/>
    <xf numFmtId="0" fontId="5" fillId="3" borderId="1" xfId="0" applyFont="1" applyFill="1" applyBorder="1" applyAlignment="1">
      <alignment horizontal="left"/>
    </xf>
    <xf numFmtId="0" fontId="6" fillId="0" borderId="1" xfId="0" applyFont="1" applyBorder="1"/>
    <xf numFmtId="0" fontId="6" fillId="0" borderId="1" xfId="0" quotePrefix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40" fontId="8" fillId="0" borderId="1" xfId="1" applyNumberFormat="1" applyFont="1" applyBorder="1"/>
    <xf numFmtId="0" fontId="7" fillId="0" borderId="1" xfId="0" applyFont="1" applyBorder="1"/>
    <xf numFmtId="10" fontId="7" fillId="0" borderId="1" xfId="2" applyNumberFormat="1" applyFont="1" applyBorder="1"/>
    <xf numFmtId="0" fontId="2" fillId="0" borderId="1" xfId="0" quotePrefix="1" applyFont="1" applyBorder="1" applyAlignment="1">
      <alignment horizontal="right"/>
    </xf>
    <xf numFmtId="43" fontId="8" fillId="0" borderId="2" xfId="1" applyFont="1" applyBorder="1"/>
    <xf numFmtId="43" fontId="8" fillId="0" borderId="1" xfId="1" applyFont="1" applyBorder="1"/>
    <xf numFmtId="0" fontId="8" fillId="0" borderId="1" xfId="0" applyFont="1" applyBorder="1"/>
    <xf numFmtId="43" fontId="8" fillId="0" borderId="1" xfId="1" applyFont="1" applyFill="1" applyBorder="1" applyAlignment="1"/>
    <xf numFmtId="10" fontId="8" fillId="0" borderId="1" xfId="2" applyNumberFormat="1" applyFont="1" applyBorder="1" applyAlignment="1">
      <alignment horizontal="right"/>
    </xf>
    <xf numFmtId="0" fontId="8" fillId="0" borderId="1" xfId="0" quotePrefix="1" applyFont="1" applyBorder="1" applyAlignment="1">
      <alignment horizontal="left"/>
    </xf>
    <xf numFmtId="166" fontId="8" fillId="0" borderId="1" xfId="0" applyNumberFormat="1" applyFont="1" applyBorder="1" applyAlignment="1">
      <alignment horizontal="right"/>
    </xf>
    <xf numFmtId="10" fontId="8" fillId="0" borderId="1" xfId="0" applyNumberFormat="1" applyFont="1" applyBorder="1" applyAlignment="1">
      <alignment horizontal="right"/>
    </xf>
    <xf numFmtId="10" fontId="8" fillId="0" borderId="1" xfId="2" applyNumberFormat="1" applyFont="1" applyBorder="1"/>
    <xf numFmtId="10" fontId="8" fillId="0" borderId="1" xfId="2" applyNumberFormat="1" applyFont="1" applyFill="1" applyBorder="1"/>
    <xf numFmtId="40" fontId="3" fillId="0" borderId="1" xfId="1" applyNumberFormat="1" applyFont="1" applyBorder="1"/>
    <xf numFmtId="0" fontId="9" fillId="0" borderId="1" xfId="0" applyFont="1" applyBorder="1" applyAlignment="1">
      <alignment horizontal="left"/>
    </xf>
    <xf numFmtId="49" fontId="10" fillId="0" borderId="1" xfId="0" applyNumberFormat="1" applyFont="1" applyBorder="1"/>
    <xf numFmtId="0" fontId="10" fillId="0" borderId="1" xfId="0" applyFont="1" applyBorder="1"/>
    <xf numFmtId="0" fontId="10" fillId="0" borderId="1" xfId="0" quotePrefix="1" applyFont="1" applyBorder="1"/>
    <xf numFmtId="0" fontId="2" fillId="0" borderId="2" xfId="0" applyFont="1" applyBorder="1" applyAlignment="1">
      <alignment horizontal="right"/>
    </xf>
    <xf numFmtId="43" fontId="2" fillId="0" borderId="1" xfId="1" quotePrefix="1" applyFont="1" applyBorder="1" applyAlignment="1">
      <alignment horizontal="right"/>
    </xf>
    <xf numFmtId="0" fontId="3" fillId="0" borderId="1" xfId="0" quotePrefix="1" applyFont="1" applyBorder="1"/>
    <xf numFmtId="164" fontId="8" fillId="4" borderId="1" xfId="0" applyNumberFormat="1" applyFont="1" applyFill="1" applyBorder="1"/>
    <xf numFmtId="43" fontId="8" fillId="4" borderId="1" xfId="0" quotePrefix="1" applyNumberFormat="1" applyFont="1" applyFill="1" applyBorder="1" applyAlignment="1">
      <alignment horizontal="right"/>
    </xf>
    <xf numFmtId="43" fontId="8" fillId="4" borderId="1" xfId="0" applyNumberFormat="1" applyFont="1" applyFill="1" applyBorder="1"/>
    <xf numFmtId="40" fontId="8" fillId="4" borderId="1" xfId="1" applyNumberFormat="1" applyFont="1" applyFill="1" applyBorder="1"/>
    <xf numFmtId="43" fontId="8" fillId="4" borderId="1" xfId="1" applyFont="1" applyFill="1" applyBorder="1"/>
    <xf numFmtId="43" fontId="8" fillId="4" borderId="1" xfId="1" applyFont="1" applyFill="1" applyBorder="1" applyAlignment="1">
      <alignment horizontal="right"/>
    </xf>
    <xf numFmtId="43" fontId="8" fillId="4" borderId="2" xfId="1" applyFont="1" applyFill="1" applyBorder="1"/>
    <xf numFmtId="165" fontId="8" fillId="0" borderId="1" xfId="1" applyNumberFormat="1" applyFont="1" applyFill="1" applyBorder="1" applyAlignment="1"/>
    <xf numFmtId="2" fontId="2" fillId="0" borderId="1" xfId="0" quotePrefix="1" applyNumberFormat="1" applyFont="1" applyBorder="1" applyAlignment="1">
      <alignment horizontal="right"/>
    </xf>
    <xf numFmtId="0" fontId="11" fillId="0" borderId="1" xfId="0" applyFont="1" applyBorder="1"/>
    <xf numFmtId="0" fontId="11" fillId="0" borderId="1" xfId="0" applyFont="1" applyBorder="1" applyAlignment="1">
      <alignment horizontal="right"/>
    </xf>
    <xf numFmtId="164" fontId="11" fillId="0" borderId="1" xfId="0" applyNumberFormat="1" applyFont="1" applyBorder="1"/>
    <xf numFmtId="40" fontId="11" fillId="0" borderId="1" xfId="0" applyNumberFormat="1" applyFont="1" applyBorder="1"/>
    <xf numFmtId="40" fontId="11" fillId="0" borderId="1" xfId="0" applyNumberFormat="1" applyFont="1" applyBorder="1" applyAlignment="1">
      <alignment horizontal="right"/>
    </xf>
    <xf numFmtId="0" fontId="11" fillId="0" borderId="1" xfId="0" applyFont="1" applyBorder="1" applyAlignment="1">
      <alignment horizontal="left"/>
    </xf>
    <xf numFmtId="164" fontId="8" fillId="4" borderId="1" xfId="1" applyNumberFormat="1" applyFont="1" applyFill="1" applyBorder="1" applyAlignment="1"/>
    <xf numFmtId="0" fontId="8" fillId="4" borderId="1" xfId="0" applyFont="1" applyFill="1" applyBorder="1"/>
    <xf numFmtId="43" fontId="8" fillId="4" borderId="1" xfId="1" applyFont="1" applyFill="1" applyBorder="1" applyAlignment="1"/>
    <xf numFmtId="0" fontId="2" fillId="4" borderId="1" xfId="0" quotePrefix="1" applyFont="1" applyFill="1" applyBorder="1"/>
    <xf numFmtId="0" fontId="8" fillId="4" borderId="2" xfId="1" applyNumberFormat="1" applyFont="1" applyFill="1" applyBorder="1" applyAlignment="1">
      <alignment horizontal="right"/>
    </xf>
    <xf numFmtId="0" fontId="8" fillId="4" borderId="2" xfId="0" applyFont="1" applyFill="1" applyBorder="1" applyAlignment="1">
      <alignment horizontal="right"/>
    </xf>
    <xf numFmtId="4" fontId="2" fillId="0" borderId="1" xfId="0" quotePrefix="1" applyNumberFormat="1" applyFont="1" applyBorder="1" applyAlignment="1">
      <alignment horizontal="right"/>
    </xf>
    <xf numFmtId="12" fontId="2" fillId="0" borderId="1" xfId="1" applyNumberFormat="1" applyFont="1" applyFill="1" applyBorder="1"/>
    <xf numFmtId="0" fontId="2" fillId="0" borderId="1" xfId="0" quotePrefix="1" applyFont="1" applyBorder="1" applyAlignment="1">
      <alignment horizontal="center"/>
    </xf>
    <xf numFmtId="9" fontId="7" fillId="0" borderId="1" xfId="2" applyFont="1" applyBorder="1" applyAlignment="1">
      <alignment horizontal="left"/>
    </xf>
    <xf numFmtId="43" fontId="8" fillId="0" borderId="1" xfId="0" applyNumberFormat="1" applyFont="1" applyBorder="1"/>
    <xf numFmtId="2" fontId="8" fillId="0" borderId="1" xfId="0" applyNumberFormat="1" applyFont="1" applyBorder="1"/>
    <xf numFmtId="10" fontId="3" fillId="0" borderId="1" xfId="2" applyNumberFormat="1" applyFont="1" applyBorder="1" applyAlignment="1">
      <alignment horizontal="right"/>
    </xf>
    <xf numFmtId="40" fontId="6" fillId="0" borderId="1" xfId="0" applyNumberFormat="1" applyFont="1" applyBorder="1"/>
    <xf numFmtId="168" fontId="2" fillId="0" borderId="0" xfId="0" applyNumberFormat="1" applyFont="1"/>
    <xf numFmtId="9" fontId="2" fillId="0" borderId="1" xfId="0" applyNumberFormat="1" applyFont="1" applyBorder="1"/>
    <xf numFmtId="40" fontId="8" fillId="5" borderId="1" xfId="1" applyNumberFormat="1" applyFont="1" applyFill="1" applyBorder="1"/>
    <xf numFmtId="0" fontId="2" fillId="0" borderId="4" xfId="0" applyFont="1" applyBorder="1"/>
    <xf numFmtId="0" fontId="7" fillId="0" borderId="1" xfId="0" quotePrefix="1" applyFont="1" applyBorder="1" applyAlignment="1">
      <alignment horizontal="left"/>
    </xf>
    <xf numFmtId="169" fontId="8" fillId="4" borderId="3" xfId="0" applyNumberFormat="1" applyFont="1" applyFill="1" applyBorder="1"/>
    <xf numFmtId="0" fontId="12" fillId="0" borderId="1" xfId="0" applyFont="1" applyBorder="1" applyAlignment="1">
      <alignment horizontal="left"/>
    </xf>
    <xf numFmtId="2" fontId="6" fillId="0" borderId="1" xfId="0" applyNumberFormat="1" applyFont="1" applyBorder="1"/>
    <xf numFmtId="0" fontId="6" fillId="0" borderId="1" xfId="0" quotePrefix="1" applyFont="1" applyBorder="1" applyAlignment="1">
      <alignment horizontal="left"/>
    </xf>
    <xf numFmtId="0" fontId="6" fillId="0" borderId="1" xfId="0" applyFont="1" applyBorder="1" applyAlignment="1">
      <alignment horizontal="left"/>
    </xf>
  </cellXfs>
  <cellStyles count="3">
    <cellStyle name="Normal" xfId="0" builtinId="0"/>
    <cellStyle name="Porcentagem" xfId="2" builtinId="5"/>
    <cellStyle name="Vírgula" xfId="1" builtinId="3"/>
  </cellStyles>
  <dxfs count="1">
    <dxf>
      <font>
        <condense val="0"/>
        <extend val="0"/>
        <color indexed="2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externalLink" Target="externalLinks/externalLink1.xml"/><Relationship Id="rId7" Type="http://purl.oclc.org/ooxml/officeDocument/relationships/calcChain" Target="calcChain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purl.oclc.org/ooxml/officeDocument/relationships/externalLinkPath" Target="/Users/jair.re/Documents/100%20-%20LICITA&#199;&#195;O%20SOROCABA/Planilha%20de%20Custos%20-%20Supervisor%20-%20Reserva%20T&#233;cnica%20Lider%20-%20Vigia/01%20Planilha%20de%20custos%20-%20Vigia%20Diurno.xls" TargetMode="External"/></Relationships>
</file>

<file path=xl/externalLinks/externalLink1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Plan entrada"/>
      <sheetName val="Plan apresentação"/>
      <sheetName val="Plan base"/>
      <sheetName val="Plan1"/>
    </sheetNames>
    <sheetDataSet>
      <sheetData sheetId="0">
        <row r="8">
          <cell r="M8">
            <v>0</v>
          </cell>
        </row>
        <row r="9">
          <cell r="M9">
            <v>0</v>
          </cell>
        </row>
        <row r="10">
          <cell r="M10">
            <v>0</v>
          </cell>
        </row>
        <row r="11">
          <cell r="C11">
            <v>0.5</v>
          </cell>
          <cell r="H11">
            <v>0</v>
          </cell>
          <cell r="I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C12">
            <v>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</row>
        <row r="13">
          <cell r="C13">
            <v>0</v>
          </cell>
          <cell r="E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4">
          <cell r="C14">
            <v>0.5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D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C16">
            <v>0.2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G17">
            <v>0</v>
          </cell>
          <cell r="H17">
            <v>0</v>
          </cell>
          <cell r="M17">
            <v>0</v>
          </cell>
        </row>
        <row r="18">
          <cell r="M18">
            <v>0</v>
          </cell>
        </row>
        <row r="19">
          <cell r="B19" t="str">
            <v>Periculosidade</v>
          </cell>
          <cell r="E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M19">
            <v>0</v>
          </cell>
        </row>
        <row r="25">
          <cell r="D25">
            <v>6</v>
          </cell>
        </row>
        <row r="28">
          <cell r="D28">
            <v>0</v>
          </cell>
        </row>
        <row r="30">
          <cell r="D30">
            <v>0</v>
          </cell>
        </row>
        <row r="32">
          <cell r="D32">
            <v>0</v>
          </cell>
        </row>
        <row r="41">
          <cell r="B41" t="str">
            <v xml:space="preserve">Calça </v>
          </cell>
        </row>
        <row r="42">
          <cell r="B42" t="str">
            <v>Camisa</v>
          </cell>
        </row>
        <row r="43">
          <cell r="B43" t="str">
            <v>Bluza  de frio</v>
          </cell>
        </row>
        <row r="52">
          <cell r="D52">
            <v>0</v>
          </cell>
        </row>
        <row r="113">
          <cell r="G113">
            <v>2</v>
          </cell>
        </row>
        <row r="114">
          <cell r="G114">
            <v>1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98652-1F8C-4343-AA59-03FA2223D66B}">
  <dimension ref="A1:T171"/>
  <sheetViews>
    <sheetView showGridLines="0" tabSelected="1" topLeftCell="A157" zoomScale="95" zoomScaleNormal="95" workbookViewId="0">
      <selection activeCell="D167" sqref="D167"/>
    </sheetView>
  </sheetViews>
  <sheetFormatPr defaultRowHeight="12.75" x14ac:dyDescent="0.2"/>
  <cols>
    <col min="1" max="1" width="35" style="1" customWidth="1"/>
    <col min="2" max="2" width="6.28515625" style="1" bestFit="1" customWidth="1"/>
    <col min="3" max="3" width="32.28515625" style="3" customWidth="1"/>
    <col min="4" max="5" width="11.42578125" style="1" customWidth="1"/>
    <col min="6" max="6" width="10.5703125" style="1" bestFit="1" customWidth="1"/>
    <col min="7" max="7" width="10.28515625" style="1" customWidth="1"/>
    <col min="8" max="12" width="7" style="1" bestFit="1" customWidth="1"/>
    <col min="13" max="13" width="5.7109375" style="1" bestFit="1" customWidth="1"/>
    <col min="14" max="14" width="4.7109375" style="1" bestFit="1" customWidth="1"/>
    <col min="15" max="15" width="10.28515625" style="1" bestFit="1" customWidth="1"/>
    <col min="16" max="256" width="9.140625" style="1"/>
    <col min="257" max="257" width="35" style="1" customWidth="1"/>
    <col min="258" max="258" width="6.5703125" style="1" customWidth="1"/>
    <col min="259" max="259" width="13.28515625" style="1" customWidth="1"/>
    <col min="260" max="260" width="9.28515625" style="1" bestFit="1" customWidth="1"/>
    <col min="261" max="261" width="10.7109375" style="1" customWidth="1"/>
    <col min="262" max="262" width="13.140625" style="1" bestFit="1" customWidth="1"/>
    <col min="263" max="263" width="16.85546875" style="1" bestFit="1" customWidth="1"/>
    <col min="264" max="264" width="9.28515625" style="1" bestFit="1" customWidth="1"/>
    <col min="265" max="265" width="11" style="1" customWidth="1"/>
    <col min="266" max="270" width="9.140625" style="1"/>
    <col min="271" max="271" width="10.28515625" style="1" bestFit="1" customWidth="1"/>
    <col min="272" max="512" width="9.140625" style="1"/>
    <col min="513" max="513" width="35" style="1" customWidth="1"/>
    <col min="514" max="514" width="6.5703125" style="1" customWidth="1"/>
    <col min="515" max="515" width="13.28515625" style="1" customWidth="1"/>
    <col min="516" max="516" width="9.28515625" style="1" bestFit="1" customWidth="1"/>
    <col min="517" max="517" width="10.7109375" style="1" customWidth="1"/>
    <col min="518" max="518" width="13.140625" style="1" bestFit="1" customWidth="1"/>
    <col min="519" max="519" width="16.85546875" style="1" bestFit="1" customWidth="1"/>
    <col min="520" max="520" width="9.28515625" style="1" bestFit="1" customWidth="1"/>
    <col min="521" max="521" width="11" style="1" customWidth="1"/>
    <col min="522" max="526" width="9.140625" style="1"/>
    <col min="527" max="527" width="10.28515625" style="1" bestFit="1" customWidth="1"/>
    <col min="528" max="768" width="9.140625" style="1"/>
    <col min="769" max="769" width="35" style="1" customWidth="1"/>
    <col min="770" max="770" width="6.5703125" style="1" customWidth="1"/>
    <col min="771" max="771" width="13.28515625" style="1" customWidth="1"/>
    <col min="772" max="772" width="9.28515625" style="1" bestFit="1" customWidth="1"/>
    <col min="773" max="773" width="10.7109375" style="1" customWidth="1"/>
    <col min="774" max="774" width="13.140625" style="1" bestFit="1" customWidth="1"/>
    <col min="775" max="775" width="16.85546875" style="1" bestFit="1" customWidth="1"/>
    <col min="776" max="776" width="9.28515625" style="1" bestFit="1" customWidth="1"/>
    <col min="777" max="777" width="11" style="1" customWidth="1"/>
    <col min="778" max="782" width="9.140625" style="1"/>
    <col min="783" max="783" width="10.28515625" style="1" bestFit="1" customWidth="1"/>
    <col min="784" max="1024" width="9.140625" style="1"/>
    <col min="1025" max="1025" width="35" style="1" customWidth="1"/>
    <col min="1026" max="1026" width="6.5703125" style="1" customWidth="1"/>
    <col min="1027" max="1027" width="13.28515625" style="1" customWidth="1"/>
    <col min="1028" max="1028" width="9.28515625" style="1" bestFit="1" customWidth="1"/>
    <col min="1029" max="1029" width="10.7109375" style="1" customWidth="1"/>
    <col min="1030" max="1030" width="13.140625" style="1" bestFit="1" customWidth="1"/>
    <col min="1031" max="1031" width="16.85546875" style="1" bestFit="1" customWidth="1"/>
    <col min="1032" max="1032" width="9.28515625" style="1" bestFit="1" customWidth="1"/>
    <col min="1033" max="1033" width="11" style="1" customWidth="1"/>
    <col min="1034" max="1038" width="9.140625" style="1"/>
    <col min="1039" max="1039" width="10.28515625" style="1" bestFit="1" customWidth="1"/>
    <col min="1040" max="1280" width="9.140625" style="1"/>
    <col min="1281" max="1281" width="35" style="1" customWidth="1"/>
    <col min="1282" max="1282" width="6.5703125" style="1" customWidth="1"/>
    <col min="1283" max="1283" width="13.28515625" style="1" customWidth="1"/>
    <col min="1284" max="1284" width="9.28515625" style="1" bestFit="1" customWidth="1"/>
    <col min="1285" max="1285" width="10.7109375" style="1" customWidth="1"/>
    <col min="1286" max="1286" width="13.140625" style="1" bestFit="1" customWidth="1"/>
    <col min="1287" max="1287" width="16.85546875" style="1" bestFit="1" customWidth="1"/>
    <col min="1288" max="1288" width="9.28515625" style="1" bestFit="1" customWidth="1"/>
    <col min="1289" max="1289" width="11" style="1" customWidth="1"/>
    <col min="1290" max="1294" width="9.140625" style="1"/>
    <col min="1295" max="1295" width="10.28515625" style="1" bestFit="1" customWidth="1"/>
    <col min="1296" max="1536" width="9.140625" style="1"/>
    <col min="1537" max="1537" width="35" style="1" customWidth="1"/>
    <col min="1538" max="1538" width="6.5703125" style="1" customWidth="1"/>
    <col min="1539" max="1539" width="13.28515625" style="1" customWidth="1"/>
    <col min="1540" max="1540" width="9.28515625" style="1" bestFit="1" customWidth="1"/>
    <col min="1541" max="1541" width="10.7109375" style="1" customWidth="1"/>
    <col min="1542" max="1542" width="13.140625" style="1" bestFit="1" customWidth="1"/>
    <col min="1543" max="1543" width="16.85546875" style="1" bestFit="1" customWidth="1"/>
    <col min="1544" max="1544" width="9.28515625" style="1" bestFit="1" customWidth="1"/>
    <col min="1545" max="1545" width="11" style="1" customWidth="1"/>
    <col min="1546" max="1550" width="9.140625" style="1"/>
    <col min="1551" max="1551" width="10.28515625" style="1" bestFit="1" customWidth="1"/>
    <col min="1552" max="1792" width="9.140625" style="1"/>
    <col min="1793" max="1793" width="35" style="1" customWidth="1"/>
    <col min="1794" max="1794" width="6.5703125" style="1" customWidth="1"/>
    <col min="1795" max="1795" width="13.28515625" style="1" customWidth="1"/>
    <col min="1796" max="1796" width="9.28515625" style="1" bestFit="1" customWidth="1"/>
    <col min="1797" max="1797" width="10.7109375" style="1" customWidth="1"/>
    <col min="1798" max="1798" width="13.140625" style="1" bestFit="1" customWidth="1"/>
    <col min="1799" max="1799" width="16.85546875" style="1" bestFit="1" customWidth="1"/>
    <col min="1800" max="1800" width="9.28515625" style="1" bestFit="1" customWidth="1"/>
    <col min="1801" max="1801" width="11" style="1" customWidth="1"/>
    <col min="1802" max="1806" width="9.140625" style="1"/>
    <col min="1807" max="1807" width="10.28515625" style="1" bestFit="1" customWidth="1"/>
    <col min="1808" max="2048" width="9.140625" style="1"/>
    <col min="2049" max="2049" width="35" style="1" customWidth="1"/>
    <col min="2050" max="2050" width="6.5703125" style="1" customWidth="1"/>
    <col min="2051" max="2051" width="13.28515625" style="1" customWidth="1"/>
    <col min="2052" max="2052" width="9.28515625" style="1" bestFit="1" customWidth="1"/>
    <col min="2053" max="2053" width="10.7109375" style="1" customWidth="1"/>
    <col min="2054" max="2054" width="13.140625" style="1" bestFit="1" customWidth="1"/>
    <col min="2055" max="2055" width="16.85546875" style="1" bestFit="1" customWidth="1"/>
    <col min="2056" max="2056" width="9.28515625" style="1" bestFit="1" customWidth="1"/>
    <col min="2057" max="2057" width="11" style="1" customWidth="1"/>
    <col min="2058" max="2062" width="9.140625" style="1"/>
    <col min="2063" max="2063" width="10.28515625" style="1" bestFit="1" customWidth="1"/>
    <col min="2064" max="2304" width="9.140625" style="1"/>
    <col min="2305" max="2305" width="35" style="1" customWidth="1"/>
    <col min="2306" max="2306" width="6.5703125" style="1" customWidth="1"/>
    <col min="2307" max="2307" width="13.28515625" style="1" customWidth="1"/>
    <col min="2308" max="2308" width="9.28515625" style="1" bestFit="1" customWidth="1"/>
    <col min="2309" max="2309" width="10.7109375" style="1" customWidth="1"/>
    <col min="2310" max="2310" width="13.140625" style="1" bestFit="1" customWidth="1"/>
    <col min="2311" max="2311" width="16.85546875" style="1" bestFit="1" customWidth="1"/>
    <col min="2312" max="2312" width="9.28515625" style="1" bestFit="1" customWidth="1"/>
    <col min="2313" max="2313" width="11" style="1" customWidth="1"/>
    <col min="2314" max="2318" width="9.140625" style="1"/>
    <col min="2319" max="2319" width="10.28515625" style="1" bestFit="1" customWidth="1"/>
    <col min="2320" max="2560" width="9.140625" style="1"/>
    <col min="2561" max="2561" width="35" style="1" customWidth="1"/>
    <col min="2562" max="2562" width="6.5703125" style="1" customWidth="1"/>
    <col min="2563" max="2563" width="13.28515625" style="1" customWidth="1"/>
    <col min="2564" max="2564" width="9.28515625" style="1" bestFit="1" customWidth="1"/>
    <col min="2565" max="2565" width="10.7109375" style="1" customWidth="1"/>
    <col min="2566" max="2566" width="13.140625" style="1" bestFit="1" customWidth="1"/>
    <col min="2567" max="2567" width="16.85546875" style="1" bestFit="1" customWidth="1"/>
    <col min="2568" max="2568" width="9.28515625" style="1" bestFit="1" customWidth="1"/>
    <col min="2569" max="2569" width="11" style="1" customWidth="1"/>
    <col min="2570" max="2574" width="9.140625" style="1"/>
    <col min="2575" max="2575" width="10.28515625" style="1" bestFit="1" customWidth="1"/>
    <col min="2576" max="2816" width="9.140625" style="1"/>
    <col min="2817" max="2817" width="35" style="1" customWidth="1"/>
    <col min="2818" max="2818" width="6.5703125" style="1" customWidth="1"/>
    <col min="2819" max="2819" width="13.28515625" style="1" customWidth="1"/>
    <col min="2820" max="2820" width="9.28515625" style="1" bestFit="1" customWidth="1"/>
    <col min="2821" max="2821" width="10.7109375" style="1" customWidth="1"/>
    <col min="2822" max="2822" width="13.140625" style="1" bestFit="1" customWidth="1"/>
    <col min="2823" max="2823" width="16.85546875" style="1" bestFit="1" customWidth="1"/>
    <col min="2824" max="2824" width="9.28515625" style="1" bestFit="1" customWidth="1"/>
    <col min="2825" max="2825" width="11" style="1" customWidth="1"/>
    <col min="2826" max="2830" width="9.140625" style="1"/>
    <col min="2831" max="2831" width="10.28515625" style="1" bestFit="1" customWidth="1"/>
    <col min="2832" max="3072" width="9.140625" style="1"/>
    <col min="3073" max="3073" width="35" style="1" customWidth="1"/>
    <col min="3074" max="3074" width="6.5703125" style="1" customWidth="1"/>
    <col min="3075" max="3075" width="13.28515625" style="1" customWidth="1"/>
    <col min="3076" max="3076" width="9.28515625" style="1" bestFit="1" customWidth="1"/>
    <col min="3077" max="3077" width="10.7109375" style="1" customWidth="1"/>
    <col min="3078" max="3078" width="13.140625" style="1" bestFit="1" customWidth="1"/>
    <col min="3079" max="3079" width="16.85546875" style="1" bestFit="1" customWidth="1"/>
    <col min="3080" max="3080" width="9.28515625" style="1" bestFit="1" customWidth="1"/>
    <col min="3081" max="3081" width="11" style="1" customWidth="1"/>
    <col min="3082" max="3086" width="9.140625" style="1"/>
    <col min="3087" max="3087" width="10.28515625" style="1" bestFit="1" customWidth="1"/>
    <col min="3088" max="3328" width="9.140625" style="1"/>
    <col min="3329" max="3329" width="35" style="1" customWidth="1"/>
    <col min="3330" max="3330" width="6.5703125" style="1" customWidth="1"/>
    <col min="3331" max="3331" width="13.28515625" style="1" customWidth="1"/>
    <col min="3332" max="3332" width="9.28515625" style="1" bestFit="1" customWidth="1"/>
    <col min="3333" max="3333" width="10.7109375" style="1" customWidth="1"/>
    <col min="3334" max="3334" width="13.140625" style="1" bestFit="1" customWidth="1"/>
    <col min="3335" max="3335" width="16.85546875" style="1" bestFit="1" customWidth="1"/>
    <col min="3336" max="3336" width="9.28515625" style="1" bestFit="1" customWidth="1"/>
    <col min="3337" max="3337" width="11" style="1" customWidth="1"/>
    <col min="3338" max="3342" width="9.140625" style="1"/>
    <col min="3343" max="3343" width="10.28515625" style="1" bestFit="1" customWidth="1"/>
    <col min="3344" max="3584" width="9.140625" style="1"/>
    <col min="3585" max="3585" width="35" style="1" customWidth="1"/>
    <col min="3586" max="3586" width="6.5703125" style="1" customWidth="1"/>
    <col min="3587" max="3587" width="13.28515625" style="1" customWidth="1"/>
    <col min="3588" max="3588" width="9.28515625" style="1" bestFit="1" customWidth="1"/>
    <col min="3589" max="3589" width="10.7109375" style="1" customWidth="1"/>
    <col min="3590" max="3590" width="13.140625" style="1" bestFit="1" customWidth="1"/>
    <col min="3591" max="3591" width="16.85546875" style="1" bestFit="1" customWidth="1"/>
    <col min="3592" max="3592" width="9.28515625" style="1" bestFit="1" customWidth="1"/>
    <col min="3593" max="3593" width="11" style="1" customWidth="1"/>
    <col min="3594" max="3598" width="9.140625" style="1"/>
    <col min="3599" max="3599" width="10.28515625" style="1" bestFit="1" customWidth="1"/>
    <col min="3600" max="3840" width="9.140625" style="1"/>
    <col min="3841" max="3841" width="35" style="1" customWidth="1"/>
    <col min="3842" max="3842" width="6.5703125" style="1" customWidth="1"/>
    <col min="3843" max="3843" width="13.28515625" style="1" customWidth="1"/>
    <col min="3844" max="3844" width="9.28515625" style="1" bestFit="1" customWidth="1"/>
    <col min="3845" max="3845" width="10.7109375" style="1" customWidth="1"/>
    <col min="3846" max="3846" width="13.140625" style="1" bestFit="1" customWidth="1"/>
    <col min="3847" max="3847" width="16.85546875" style="1" bestFit="1" customWidth="1"/>
    <col min="3848" max="3848" width="9.28515625" style="1" bestFit="1" customWidth="1"/>
    <col min="3849" max="3849" width="11" style="1" customWidth="1"/>
    <col min="3850" max="3854" width="9.140625" style="1"/>
    <col min="3855" max="3855" width="10.28515625" style="1" bestFit="1" customWidth="1"/>
    <col min="3856" max="4096" width="9.140625" style="1"/>
    <col min="4097" max="4097" width="35" style="1" customWidth="1"/>
    <col min="4098" max="4098" width="6.5703125" style="1" customWidth="1"/>
    <col min="4099" max="4099" width="13.28515625" style="1" customWidth="1"/>
    <col min="4100" max="4100" width="9.28515625" style="1" bestFit="1" customWidth="1"/>
    <col min="4101" max="4101" width="10.7109375" style="1" customWidth="1"/>
    <col min="4102" max="4102" width="13.140625" style="1" bestFit="1" customWidth="1"/>
    <col min="4103" max="4103" width="16.85546875" style="1" bestFit="1" customWidth="1"/>
    <col min="4104" max="4104" width="9.28515625" style="1" bestFit="1" customWidth="1"/>
    <col min="4105" max="4105" width="11" style="1" customWidth="1"/>
    <col min="4106" max="4110" width="9.140625" style="1"/>
    <col min="4111" max="4111" width="10.28515625" style="1" bestFit="1" customWidth="1"/>
    <col min="4112" max="4352" width="9.140625" style="1"/>
    <col min="4353" max="4353" width="35" style="1" customWidth="1"/>
    <col min="4354" max="4354" width="6.5703125" style="1" customWidth="1"/>
    <col min="4355" max="4355" width="13.28515625" style="1" customWidth="1"/>
    <col min="4356" max="4356" width="9.28515625" style="1" bestFit="1" customWidth="1"/>
    <col min="4357" max="4357" width="10.7109375" style="1" customWidth="1"/>
    <col min="4358" max="4358" width="13.140625" style="1" bestFit="1" customWidth="1"/>
    <col min="4359" max="4359" width="16.85546875" style="1" bestFit="1" customWidth="1"/>
    <col min="4360" max="4360" width="9.28515625" style="1" bestFit="1" customWidth="1"/>
    <col min="4361" max="4361" width="11" style="1" customWidth="1"/>
    <col min="4362" max="4366" width="9.140625" style="1"/>
    <col min="4367" max="4367" width="10.28515625" style="1" bestFit="1" customWidth="1"/>
    <col min="4368" max="4608" width="9.140625" style="1"/>
    <col min="4609" max="4609" width="35" style="1" customWidth="1"/>
    <col min="4610" max="4610" width="6.5703125" style="1" customWidth="1"/>
    <col min="4611" max="4611" width="13.28515625" style="1" customWidth="1"/>
    <col min="4612" max="4612" width="9.28515625" style="1" bestFit="1" customWidth="1"/>
    <col min="4613" max="4613" width="10.7109375" style="1" customWidth="1"/>
    <col min="4614" max="4614" width="13.140625" style="1" bestFit="1" customWidth="1"/>
    <col min="4615" max="4615" width="16.85546875" style="1" bestFit="1" customWidth="1"/>
    <col min="4616" max="4616" width="9.28515625" style="1" bestFit="1" customWidth="1"/>
    <col min="4617" max="4617" width="11" style="1" customWidth="1"/>
    <col min="4618" max="4622" width="9.140625" style="1"/>
    <col min="4623" max="4623" width="10.28515625" style="1" bestFit="1" customWidth="1"/>
    <col min="4624" max="4864" width="9.140625" style="1"/>
    <col min="4865" max="4865" width="35" style="1" customWidth="1"/>
    <col min="4866" max="4866" width="6.5703125" style="1" customWidth="1"/>
    <col min="4867" max="4867" width="13.28515625" style="1" customWidth="1"/>
    <col min="4868" max="4868" width="9.28515625" style="1" bestFit="1" customWidth="1"/>
    <col min="4869" max="4869" width="10.7109375" style="1" customWidth="1"/>
    <col min="4870" max="4870" width="13.140625" style="1" bestFit="1" customWidth="1"/>
    <col min="4871" max="4871" width="16.85546875" style="1" bestFit="1" customWidth="1"/>
    <col min="4872" max="4872" width="9.28515625" style="1" bestFit="1" customWidth="1"/>
    <col min="4873" max="4873" width="11" style="1" customWidth="1"/>
    <col min="4874" max="4878" width="9.140625" style="1"/>
    <col min="4879" max="4879" width="10.28515625" style="1" bestFit="1" customWidth="1"/>
    <col min="4880" max="5120" width="9.140625" style="1"/>
    <col min="5121" max="5121" width="35" style="1" customWidth="1"/>
    <col min="5122" max="5122" width="6.5703125" style="1" customWidth="1"/>
    <col min="5123" max="5123" width="13.28515625" style="1" customWidth="1"/>
    <col min="5124" max="5124" width="9.28515625" style="1" bestFit="1" customWidth="1"/>
    <col min="5125" max="5125" width="10.7109375" style="1" customWidth="1"/>
    <col min="5126" max="5126" width="13.140625" style="1" bestFit="1" customWidth="1"/>
    <col min="5127" max="5127" width="16.85546875" style="1" bestFit="1" customWidth="1"/>
    <col min="5128" max="5128" width="9.28515625" style="1" bestFit="1" customWidth="1"/>
    <col min="5129" max="5129" width="11" style="1" customWidth="1"/>
    <col min="5130" max="5134" width="9.140625" style="1"/>
    <col min="5135" max="5135" width="10.28515625" style="1" bestFit="1" customWidth="1"/>
    <col min="5136" max="5376" width="9.140625" style="1"/>
    <col min="5377" max="5377" width="35" style="1" customWidth="1"/>
    <col min="5378" max="5378" width="6.5703125" style="1" customWidth="1"/>
    <col min="5379" max="5379" width="13.28515625" style="1" customWidth="1"/>
    <col min="5380" max="5380" width="9.28515625" style="1" bestFit="1" customWidth="1"/>
    <col min="5381" max="5381" width="10.7109375" style="1" customWidth="1"/>
    <col min="5382" max="5382" width="13.140625" style="1" bestFit="1" customWidth="1"/>
    <col min="5383" max="5383" width="16.85546875" style="1" bestFit="1" customWidth="1"/>
    <col min="5384" max="5384" width="9.28515625" style="1" bestFit="1" customWidth="1"/>
    <col min="5385" max="5385" width="11" style="1" customWidth="1"/>
    <col min="5386" max="5390" width="9.140625" style="1"/>
    <col min="5391" max="5391" width="10.28515625" style="1" bestFit="1" customWidth="1"/>
    <col min="5392" max="5632" width="9.140625" style="1"/>
    <col min="5633" max="5633" width="35" style="1" customWidth="1"/>
    <col min="5634" max="5634" width="6.5703125" style="1" customWidth="1"/>
    <col min="5635" max="5635" width="13.28515625" style="1" customWidth="1"/>
    <col min="5636" max="5636" width="9.28515625" style="1" bestFit="1" customWidth="1"/>
    <col min="5637" max="5637" width="10.7109375" style="1" customWidth="1"/>
    <col min="5638" max="5638" width="13.140625" style="1" bestFit="1" customWidth="1"/>
    <col min="5639" max="5639" width="16.85546875" style="1" bestFit="1" customWidth="1"/>
    <col min="5640" max="5640" width="9.28515625" style="1" bestFit="1" customWidth="1"/>
    <col min="5641" max="5641" width="11" style="1" customWidth="1"/>
    <col min="5642" max="5646" width="9.140625" style="1"/>
    <col min="5647" max="5647" width="10.28515625" style="1" bestFit="1" customWidth="1"/>
    <col min="5648" max="5888" width="9.140625" style="1"/>
    <col min="5889" max="5889" width="35" style="1" customWidth="1"/>
    <col min="5890" max="5890" width="6.5703125" style="1" customWidth="1"/>
    <col min="5891" max="5891" width="13.28515625" style="1" customWidth="1"/>
    <col min="5892" max="5892" width="9.28515625" style="1" bestFit="1" customWidth="1"/>
    <col min="5893" max="5893" width="10.7109375" style="1" customWidth="1"/>
    <col min="5894" max="5894" width="13.140625" style="1" bestFit="1" customWidth="1"/>
    <col min="5895" max="5895" width="16.85546875" style="1" bestFit="1" customWidth="1"/>
    <col min="5896" max="5896" width="9.28515625" style="1" bestFit="1" customWidth="1"/>
    <col min="5897" max="5897" width="11" style="1" customWidth="1"/>
    <col min="5898" max="5902" width="9.140625" style="1"/>
    <col min="5903" max="5903" width="10.28515625" style="1" bestFit="1" customWidth="1"/>
    <col min="5904" max="6144" width="9.140625" style="1"/>
    <col min="6145" max="6145" width="35" style="1" customWidth="1"/>
    <col min="6146" max="6146" width="6.5703125" style="1" customWidth="1"/>
    <col min="6147" max="6147" width="13.28515625" style="1" customWidth="1"/>
    <col min="6148" max="6148" width="9.28515625" style="1" bestFit="1" customWidth="1"/>
    <col min="6149" max="6149" width="10.7109375" style="1" customWidth="1"/>
    <col min="6150" max="6150" width="13.140625" style="1" bestFit="1" customWidth="1"/>
    <col min="6151" max="6151" width="16.85546875" style="1" bestFit="1" customWidth="1"/>
    <col min="6152" max="6152" width="9.28515625" style="1" bestFit="1" customWidth="1"/>
    <col min="6153" max="6153" width="11" style="1" customWidth="1"/>
    <col min="6154" max="6158" width="9.140625" style="1"/>
    <col min="6159" max="6159" width="10.28515625" style="1" bestFit="1" customWidth="1"/>
    <col min="6160" max="6400" width="9.140625" style="1"/>
    <col min="6401" max="6401" width="35" style="1" customWidth="1"/>
    <col min="6402" max="6402" width="6.5703125" style="1" customWidth="1"/>
    <col min="6403" max="6403" width="13.28515625" style="1" customWidth="1"/>
    <col min="6404" max="6404" width="9.28515625" style="1" bestFit="1" customWidth="1"/>
    <col min="6405" max="6405" width="10.7109375" style="1" customWidth="1"/>
    <col min="6406" max="6406" width="13.140625" style="1" bestFit="1" customWidth="1"/>
    <col min="6407" max="6407" width="16.85546875" style="1" bestFit="1" customWidth="1"/>
    <col min="6408" max="6408" width="9.28515625" style="1" bestFit="1" customWidth="1"/>
    <col min="6409" max="6409" width="11" style="1" customWidth="1"/>
    <col min="6410" max="6414" width="9.140625" style="1"/>
    <col min="6415" max="6415" width="10.28515625" style="1" bestFit="1" customWidth="1"/>
    <col min="6416" max="6656" width="9.140625" style="1"/>
    <col min="6657" max="6657" width="35" style="1" customWidth="1"/>
    <col min="6658" max="6658" width="6.5703125" style="1" customWidth="1"/>
    <col min="6659" max="6659" width="13.28515625" style="1" customWidth="1"/>
    <col min="6660" max="6660" width="9.28515625" style="1" bestFit="1" customWidth="1"/>
    <col min="6661" max="6661" width="10.7109375" style="1" customWidth="1"/>
    <col min="6662" max="6662" width="13.140625" style="1" bestFit="1" customWidth="1"/>
    <col min="6663" max="6663" width="16.85546875" style="1" bestFit="1" customWidth="1"/>
    <col min="6664" max="6664" width="9.28515625" style="1" bestFit="1" customWidth="1"/>
    <col min="6665" max="6665" width="11" style="1" customWidth="1"/>
    <col min="6666" max="6670" width="9.140625" style="1"/>
    <col min="6671" max="6671" width="10.28515625" style="1" bestFit="1" customWidth="1"/>
    <col min="6672" max="6912" width="9.140625" style="1"/>
    <col min="6913" max="6913" width="35" style="1" customWidth="1"/>
    <col min="6914" max="6914" width="6.5703125" style="1" customWidth="1"/>
    <col min="6915" max="6915" width="13.28515625" style="1" customWidth="1"/>
    <col min="6916" max="6916" width="9.28515625" style="1" bestFit="1" customWidth="1"/>
    <col min="6917" max="6917" width="10.7109375" style="1" customWidth="1"/>
    <col min="6918" max="6918" width="13.140625" style="1" bestFit="1" customWidth="1"/>
    <col min="6919" max="6919" width="16.85546875" style="1" bestFit="1" customWidth="1"/>
    <col min="6920" max="6920" width="9.28515625" style="1" bestFit="1" customWidth="1"/>
    <col min="6921" max="6921" width="11" style="1" customWidth="1"/>
    <col min="6922" max="6926" width="9.140625" style="1"/>
    <col min="6927" max="6927" width="10.28515625" style="1" bestFit="1" customWidth="1"/>
    <col min="6928" max="7168" width="9.140625" style="1"/>
    <col min="7169" max="7169" width="35" style="1" customWidth="1"/>
    <col min="7170" max="7170" width="6.5703125" style="1" customWidth="1"/>
    <col min="7171" max="7171" width="13.28515625" style="1" customWidth="1"/>
    <col min="7172" max="7172" width="9.28515625" style="1" bestFit="1" customWidth="1"/>
    <col min="7173" max="7173" width="10.7109375" style="1" customWidth="1"/>
    <col min="7174" max="7174" width="13.140625" style="1" bestFit="1" customWidth="1"/>
    <col min="7175" max="7175" width="16.85546875" style="1" bestFit="1" customWidth="1"/>
    <col min="7176" max="7176" width="9.28515625" style="1" bestFit="1" customWidth="1"/>
    <col min="7177" max="7177" width="11" style="1" customWidth="1"/>
    <col min="7178" max="7182" width="9.140625" style="1"/>
    <col min="7183" max="7183" width="10.28515625" style="1" bestFit="1" customWidth="1"/>
    <col min="7184" max="7424" width="9.140625" style="1"/>
    <col min="7425" max="7425" width="35" style="1" customWidth="1"/>
    <col min="7426" max="7426" width="6.5703125" style="1" customWidth="1"/>
    <col min="7427" max="7427" width="13.28515625" style="1" customWidth="1"/>
    <col min="7428" max="7428" width="9.28515625" style="1" bestFit="1" customWidth="1"/>
    <col min="7429" max="7429" width="10.7109375" style="1" customWidth="1"/>
    <col min="7430" max="7430" width="13.140625" style="1" bestFit="1" customWidth="1"/>
    <col min="7431" max="7431" width="16.85546875" style="1" bestFit="1" customWidth="1"/>
    <col min="7432" max="7432" width="9.28515625" style="1" bestFit="1" customWidth="1"/>
    <col min="7433" max="7433" width="11" style="1" customWidth="1"/>
    <col min="7434" max="7438" width="9.140625" style="1"/>
    <col min="7439" max="7439" width="10.28515625" style="1" bestFit="1" customWidth="1"/>
    <col min="7440" max="7680" width="9.140625" style="1"/>
    <col min="7681" max="7681" width="35" style="1" customWidth="1"/>
    <col min="7682" max="7682" width="6.5703125" style="1" customWidth="1"/>
    <col min="7683" max="7683" width="13.28515625" style="1" customWidth="1"/>
    <col min="7684" max="7684" width="9.28515625" style="1" bestFit="1" customWidth="1"/>
    <col min="7685" max="7685" width="10.7109375" style="1" customWidth="1"/>
    <col min="7686" max="7686" width="13.140625" style="1" bestFit="1" customWidth="1"/>
    <col min="7687" max="7687" width="16.85546875" style="1" bestFit="1" customWidth="1"/>
    <col min="7688" max="7688" width="9.28515625" style="1" bestFit="1" customWidth="1"/>
    <col min="7689" max="7689" width="11" style="1" customWidth="1"/>
    <col min="7690" max="7694" width="9.140625" style="1"/>
    <col min="7695" max="7695" width="10.28515625" style="1" bestFit="1" customWidth="1"/>
    <col min="7696" max="7936" width="9.140625" style="1"/>
    <col min="7937" max="7937" width="35" style="1" customWidth="1"/>
    <col min="7938" max="7938" width="6.5703125" style="1" customWidth="1"/>
    <col min="7939" max="7939" width="13.28515625" style="1" customWidth="1"/>
    <col min="7940" max="7940" width="9.28515625" style="1" bestFit="1" customWidth="1"/>
    <col min="7941" max="7941" width="10.7109375" style="1" customWidth="1"/>
    <col min="7942" max="7942" width="13.140625" style="1" bestFit="1" customWidth="1"/>
    <col min="7943" max="7943" width="16.85546875" style="1" bestFit="1" customWidth="1"/>
    <col min="7944" max="7944" width="9.28515625" style="1" bestFit="1" customWidth="1"/>
    <col min="7945" max="7945" width="11" style="1" customWidth="1"/>
    <col min="7946" max="7950" width="9.140625" style="1"/>
    <col min="7951" max="7951" width="10.28515625" style="1" bestFit="1" customWidth="1"/>
    <col min="7952" max="8192" width="9.140625" style="1"/>
    <col min="8193" max="8193" width="35" style="1" customWidth="1"/>
    <col min="8194" max="8194" width="6.5703125" style="1" customWidth="1"/>
    <col min="8195" max="8195" width="13.28515625" style="1" customWidth="1"/>
    <col min="8196" max="8196" width="9.28515625" style="1" bestFit="1" customWidth="1"/>
    <col min="8197" max="8197" width="10.7109375" style="1" customWidth="1"/>
    <col min="8198" max="8198" width="13.140625" style="1" bestFit="1" customWidth="1"/>
    <col min="8199" max="8199" width="16.85546875" style="1" bestFit="1" customWidth="1"/>
    <col min="8200" max="8200" width="9.28515625" style="1" bestFit="1" customWidth="1"/>
    <col min="8201" max="8201" width="11" style="1" customWidth="1"/>
    <col min="8202" max="8206" width="9.140625" style="1"/>
    <col min="8207" max="8207" width="10.28515625" style="1" bestFit="1" customWidth="1"/>
    <col min="8208" max="8448" width="9.140625" style="1"/>
    <col min="8449" max="8449" width="35" style="1" customWidth="1"/>
    <col min="8450" max="8450" width="6.5703125" style="1" customWidth="1"/>
    <col min="8451" max="8451" width="13.28515625" style="1" customWidth="1"/>
    <col min="8452" max="8452" width="9.28515625" style="1" bestFit="1" customWidth="1"/>
    <col min="8453" max="8453" width="10.7109375" style="1" customWidth="1"/>
    <col min="8454" max="8454" width="13.140625" style="1" bestFit="1" customWidth="1"/>
    <col min="8455" max="8455" width="16.85546875" style="1" bestFit="1" customWidth="1"/>
    <col min="8456" max="8456" width="9.28515625" style="1" bestFit="1" customWidth="1"/>
    <col min="8457" max="8457" width="11" style="1" customWidth="1"/>
    <col min="8458" max="8462" width="9.140625" style="1"/>
    <col min="8463" max="8463" width="10.28515625" style="1" bestFit="1" customWidth="1"/>
    <col min="8464" max="8704" width="9.140625" style="1"/>
    <col min="8705" max="8705" width="35" style="1" customWidth="1"/>
    <col min="8706" max="8706" width="6.5703125" style="1" customWidth="1"/>
    <col min="8707" max="8707" width="13.28515625" style="1" customWidth="1"/>
    <col min="8708" max="8708" width="9.28515625" style="1" bestFit="1" customWidth="1"/>
    <col min="8709" max="8709" width="10.7109375" style="1" customWidth="1"/>
    <col min="8710" max="8710" width="13.140625" style="1" bestFit="1" customWidth="1"/>
    <col min="8711" max="8711" width="16.85546875" style="1" bestFit="1" customWidth="1"/>
    <col min="8712" max="8712" width="9.28515625" style="1" bestFit="1" customWidth="1"/>
    <col min="8713" max="8713" width="11" style="1" customWidth="1"/>
    <col min="8714" max="8718" width="9.140625" style="1"/>
    <col min="8719" max="8719" width="10.28515625" style="1" bestFit="1" customWidth="1"/>
    <col min="8720" max="8960" width="9.140625" style="1"/>
    <col min="8961" max="8961" width="35" style="1" customWidth="1"/>
    <col min="8962" max="8962" width="6.5703125" style="1" customWidth="1"/>
    <col min="8963" max="8963" width="13.28515625" style="1" customWidth="1"/>
    <col min="8964" max="8964" width="9.28515625" style="1" bestFit="1" customWidth="1"/>
    <col min="8965" max="8965" width="10.7109375" style="1" customWidth="1"/>
    <col min="8966" max="8966" width="13.140625" style="1" bestFit="1" customWidth="1"/>
    <col min="8967" max="8967" width="16.85546875" style="1" bestFit="1" customWidth="1"/>
    <col min="8968" max="8968" width="9.28515625" style="1" bestFit="1" customWidth="1"/>
    <col min="8969" max="8969" width="11" style="1" customWidth="1"/>
    <col min="8970" max="8974" width="9.140625" style="1"/>
    <col min="8975" max="8975" width="10.28515625" style="1" bestFit="1" customWidth="1"/>
    <col min="8976" max="9216" width="9.140625" style="1"/>
    <col min="9217" max="9217" width="35" style="1" customWidth="1"/>
    <col min="9218" max="9218" width="6.5703125" style="1" customWidth="1"/>
    <col min="9219" max="9219" width="13.28515625" style="1" customWidth="1"/>
    <col min="9220" max="9220" width="9.28515625" style="1" bestFit="1" customWidth="1"/>
    <col min="9221" max="9221" width="10.7109375" style="1" customWidth="1"/>
    <col min="9222" max="9222" width="13.140625" style="1" bestFit="1" customWidth="1"/>
    <col min="9223" max="9223" width="16.85546875" style="1" bestFit="1" customWidth="1"/>
    <col min="9224" max="9224" width="9.28515625" style="1" bestFit="1" customWidth="1"/>
    <col min="9225" max="9225" width="11" style="1" customWidth="1"/>
    <col min="9226" max="9230" width="9.140625" style="1"/>
    <col min="9231" max="9231" width="10.28515625" style="1" bestFit="1" customWidth="1"/>
    <col min="9232" max="9472" width="9.140625" style="1"/>
    <col min="9473" max="9473" width="35" style="1" customWidth="1"/>
    <col min="9474" max="9474" width="6.5703125" style="1" customWidth="1"/>
    <col min="9475" max="9475" width="13.28515625" style="1" customWidth="1"/>
    <col min="9476" max="9476" width="9.28515625" style="1" bestFit="1" customWidth="1"/>
    <col min="9477" max="9477" width="10.7109375" style="1" customWidth="1"/>
    <col min="9478" max="9478" width="13.140625" style="1" bestFit="1" customWidth="1"/>
    <col min="9479" max="9479" width="16.85546875" style="1" bestFit="1" customWidth="1"/>
    <col min="9480" max="9480" width="9.28515625" style="1" bestFit="1" customWidth="1"/>
    <col min="9481" max="9481" width="11" style="1" customWidth="1"/>
    <col min="9482" max="9486" width="9.140625" style="1"/>
    <col min="9487" max="9487" width="10.28515625" style="1" bestFit="1" customWidth="1"/>
    <col min="9488" max="9728" width="9.140625" style="1"/>
    <col min="9729" max="9729" width="35" style="1" customWidth="1"/>
    <col min="9730" max="9730" width="6.5703125" style="1" customWidth="1"/>
    <col min="9731" max="9731" width="13.28515625" style="1" customWidth="1"/>
    <col min="9732" max="9732" width="9.28515625" style="1" bestFit="1" customWidth="1"/>
    <col min="9733" max="9733" width="10.7109375" style="1" customWidth="1"/>
    <col min="9734" max="9734" width="13.140625" style="1" bestFit="1" customWidth="1"/>
    <col min="9735" max="9735" width="16.85546875" style="1" bestFit="1" customWidth="1"/>
    <col min="9736" max="9736" width="9.28515625" style="1" bestFit="1" customWidth="1"/>
    <col min="9737" max="9737" width="11" style="1" customWidth="1"/>
    <col min="9738" max="9742" width="9.140625" style="1"/>
    <col min="9743" max="9743" width="10.28515625" style="1" bestFit="1" customWidth="1"/>
    <col min="9744" max="9984" width="9.140625" style="1"/>
    <col min="9985" max="9985" width="35" style="1" customWidth="1"/>
    <col min="9986" max="9986" width="6.5703125" style="1" customWidth="1"/>
    <col min="9987" max="9987" width="13.28515625" style="1" customWidth="1"/>
    <col min="9988" max="9988" width="9.28515625" style="1" bestFit="1" customWidth="1"/>
    <col min="9989" max="9989" width="10.7109375" style="1" customWidth="1"/>
    <col min="9990" max="9990" width="13.140625" style="1" bestFit="1" customWidth="1"/>
    <col min="9991" max="9991" width="16.85546875" style="1" bestFit="1" customWidth="1"/>
    <col min="9992" max="9992" width="9.28515625" style="1" bestFit="1" customWidth="1"/>
    <col min="9993" max="9993" width="11" style="1" customWidth="1"/>
    <col min="9994" max="9998" width="9.140625" style="1"/>
    <col min="9999" max="9999" width="10.28515625" style="1" bestFit="1" customWidth="1"/>
    <col min="10000" max="10240" width="9.140625" style="1"/>
    <col min="10241" max="10241" width="35" style="1" customWidth="1"/>
    <col min="10242" max="10242" width="6.5703125" style="1" customWidth="1"/>
    <col min="10243" max="10243" width="13.28515625" style="1" customWidth="1"/>
    <col min="10244" max="10244" width="9.28515625" style="1" bestFit="1" customWidth="1"/>
    <col min="10245" max="10245" width="10.7109375" style="1" customWidth="1"/>
    <col min="10246" max="10246" width="13.140625" style="1" bestFit="1" customWidth="1"/>
    <col min="10247" max="10247" width="16.85546875" style="1" bestFit="1" customWidth="1"/>
    <col min="10248" max="10248" width="9.28515625" style="1" bestFit="1" customWidth="1"/>
    <col min="10249" max="10249" width="11" style="1" customWidth="1"/>
    <col min="10250" max="10254" width="9.140625" style="1"/>
    <col min="10255" max="10255" width="10.28515625" style="1" bestFit="1" customWidth="1"/>
    <col min="10256" max="10496" width="9.140625" style="1"/>
    <col min="10497" max="10497" width="35" style="1" customWidth="1"/>
    <col min="10498" max="10498" width="6.5703125" style="1" customWidth="1"/>
    <col min="10499" max="10499" width="13.28515625" style="1" customWidth="1"/>
    <col min="10500" max="10500" width="9.28515625" style="1" bestFit="1" customWidth="1"/>
    <col min="10501" max="10501" width="10.7109375" style="1" customWidth="1"/>
    <col min="10502" max="10502" width="13.140625" style="1" bestFit="1" customWidth="1"/>
    <col min="10503" max="10503" width="16.85546875" style="1" bestFit="1" customWidth="1"/>
    <col min="10504" max="10504" width="9.28515625" style="1" bestFit="1" customWidth="1"/>
    <col min="10505" max="10505" width="11" style="1" customWidth="1"/>
    <col min="10506" max="10510" width="9.140625" style="1"/>
    <col min="10511" max="10511" width="10.28515625" style="1" bestFit="1" customWidth="1"/>
    <col min="10512" max="10752" width="9.140625" style="1"/>
    <col min="10753" max="10753" width="35" style="1" customWidth="1"/>
    <col min="10754" max="10754" width="6.5703125" style="1" customWidth="1"/>
    <col min="10755" max="10755" width="13.28515625" style="1" customWidth="1"/>
    <col min="10756" max="10756" width="9.28515625" style="1" bestFit="1" customWidth="1"/>
    <col min="10757" max="10757" width="10.7109375" style="1" customWidth="1"/>
    <col min="10758" max="10758" width="13.140625" style="1" bestFit="1" customWidth="1"/>
    <col min="10759" max="10759" width="16.85546875" style="1" bestFit="1" customWidth="1"/>
    <col min="10760" max="10760" width="9.28515625" style="1" bestFit="1" customWidth="1"/>
    <col min="10761" max="10761" width="11" style="1" customWidth="1"/>
    <col min="10762" max="10766" width="9.140625" style="1"/>
    <col min="10767" max="10767" width="10.28515625" style="1" bestFit="1" customWidth="1"/>
    <col min="10768" max="11008" width="9.140625" style="1"/>
    <col min="11009" max="11009" width="35" style="1" customWidth="1"/>
    <col min="11010" max="11010" width="6.5703125" style="1" customWidth="1"/>
    <col min="11011" max="11011" width="13.28515625" style="1" customWidth="1"/>
    <col min="11012" max="11012" width="9.28515625" style="1" bestFit="1" customWidth="1"/>
    <col min="11013" max="11013" width="10.7109375" style="1" customWidth="1"/>
    <col min="11014" max="11014" width="13.140625" style="1" bestFit="1" customWidth="1"/>
    <col min="11015" max="11015" width="16.85546875" style="1" bestFit="1" customWidth="1"/>
    <col min="11016" max="11016" width="9.28515625" style="1" bestFit="1" customWidth="1"/>
    <col min="11017" max="11017" width="11" style="1" customWidth="1"/>
    <col min="11018" max="11022" width="9.140625" style="1"/>
    <col min="11023" max="11023" width="10.28515625" style="1" bestFit="1" customWidth="1"/>
    <col min="11024" max="11264" width="9.140625" style="1"/>
    <col min="11265" max="11265" width="35" style="1" customWidth="1"/>
    <col min="11266" max="11266" width="6.5703125" style="1" customWidth="1"/>
    <col min="11267" max="11267" width="13.28515625" style="1" customWidth="1"/>
    <col min="11268" max="11268" width="9.28515625" style="1" bestFit="1" customWidth="1"/>
    <col min="11269" max="11269" width="10.7109375" style="1" customWidth="1"/>
    <col min="11270" max="11270" width="13.140625" style="1" bestFit="1" customWidth="1"/>
    <col min="11271" max="11271" width="16.85546875" style="1" bestFit="1" customWidth="1"/>
    <col min="11272" max="11272" width="9.28515625" style="1" bestFit="1" customWidth="1"/>
    <col min="11273" max="11273" width="11" style="1" customWidth="1"/>
    <col min="11274" max="11278" width="9.140625" style="1"/>
    <col min="11279" max="11279" width="10.28515625" style="1" bestFit="1" customWidth="1"/>
    <col min="11280" max="11520" width="9.140625" style="1"/>
    <col min="11521" max="11521" width="35" style="1" customWidth="1"/>
    <col min="11522" max="11522" width="6.5703125" style="1" customWidth="1"/>
    <col min="11523" max="11523" width="13.28515625" style="1" customWidth="1"/>
    <col min="11524" max="11524" width="9.28515625" style="1" bestFit="1" customWidth="1"/>
    <col min="11525" max="11525" width="10.7109375" style="1" customWidth="1"/>
    <col min="11526" max="11526" width="13.140625" style="1" bestFit="1" customWidth="1"/>
    <col min="11527" max="11527" width="16.85546875" style="1" bestFit="1" customWidth="1"/>
    <col min="11528" max="11528" width="9.28515625" style="1" bestFit="1" customWidth="1"/>
    <col min="11529" max="11529" width="11" style="1" customWidth="1"/>
    <col min="11530" max="11534" width="9.140625" style="1"/>
    <col min="11535" max="11535" width="10.28515625" style="1" bestFit="1" customWidth="1"/>
    <col min="11536" max="11776" width="9.140625" style="1"/>
    <col min="11777" max="11777" width="35" style="1" customWidth="1"/>
    <col min="11778" max="11778" width="6.5703125" style="1" customWidth="1"/>
    <col min="11779" max="11779" width="13.28515625" style="1" customWidth="1"/>
    <col min="11780" max="11780" width="9.28515625" style="1" bestFit="1" customWidth="1"/>
    <col min="11781" max="11781" width="10.7109375" style="1" customWidth="1"/>
    <col min="11782" max="11782" width="13.140625" style="1" bestFit="1" customWidth="1"/>
    <col min="11783" max="11783" width="16.85546875" style="1" bestFit="1" customWidth="1"/>
    <col min="11784" max="11784" width="9.28515625" style="1" bestFit="1" customWidth="1"/>
    <col min="11785" max="11785" width="11" style="1" customWidth="1"/>
    <col min="11786" max="11790" width="9.140625" style="1"/>
    <col min="11791" max="11791" width="10.28515625" style="1" bestFit="1" customWidth="1"/>
    <col min="11792" max="12032" width="9.140625" style="1"/>
    <col min="12033" max="12033" width="35" style="1" customWidth="1"/>
    <col min="12034" max="12034" width="6.5703125" style="1" customWidth="1"/>
    <col min="12035" max="12035" width="13.28515625" style="1" customWidth="1"/>
    <col min="12036" max="12036" width="9.28515625" style="1" bestFit="1" customWidth="1"/>
    <col min="12037" max="12037" width="10.7109375" style="1" customWidth="1"/>
    <col min="12038" max="12038" width="13.140625" style="1" bestFit="1" customWidth="1"/>
    <col min="12039" max="12039" width="16.85546875" style="1" bestFit="1" customWidth="1"/>
    <col min="12040" max="12040" width="9.28515625" style="1" bestFit="1" customWidth="1"/>
    <col min="12041" max="12041" width="11" style="1" customWidth="1"/>
    <col min="12042" max="12046" width="9.140625" style="1"/>
    <col min="12047" max="12047" width="10.28515625" style="1" bestFit="1" customWidth="1"/>
    <col min="12048" max="12288" width="9.140625" style="1"/>
    <col min="12289" max="12289" width="35" style="1" customWidth="1"/>
    <col min="12290" max="12290" width="6.5703125" style="1" customWidth="1"/>
    <col min="12291" max="12291" width="13.28515625" style="1" customWidth="1"/>
    <col min="12292" max="12292" width="9.28515625" style="1" bestFit="1" customWidth="1"/>
    <col min="12293" max="12293" width="10.7109375" style="1" customWidth="1"/>
    <col min="12294" max="12294" width="13.140625" style="1" bestFit="1" customWidth="1"/>
    <col min="12295" max="12295" width="16.85546875" style="1" bestFit="1" customWidth="1"/>
    <col min="12296" max="12296" width="9.28515625" style="1" bestFit="1" customWidth="1"/>
    <col min="12297" max="12297" width="11" style="1" customWidth="1"/>
    <col min="12298" max="12302" width="9.140625" style="1"/>
    <col min="12303" max="12303" width="10.28515625" style="1" bestFit="1" customWidth="1"/>
    <col min="12304" max="12544" width="9.140625" style="1"/>
    <col min="12545" max="12545" width="35" style="1" customWidth="1"/>
    <col min="12546" max="12546" width="6.5703125" style="1" customWidth="1"/>
    <col min="12547" max="12547" width="13.28515625" style="1" customWidth="1"/>
    <col min="12548" max="12548" width="9.28515625" style="1" bestFit="1" customWidth="1"/>
    <col min="12549" max="12549" width="10.7109375" style="1" customWidth="1"/>
    <col min="12550" max="12550" width="13.140625" style="1" bestFit="1" customWidth="1"/>
    <col min="12551" max="12551" width="16.85546875" style="1" bestFit="1" customWidth="1"/>
    <col min="12552" max="12552" width="9.28515625" style="1" bestFit="1" customWidth="1"/>
    <col min="12553" max="12553" width="11" style="1" customWidth="1"/>
    <col min="12554" max="12558" width="9.140625" style="1"/>
    <col min="12559" max="12559" width="10.28515625" style="1" bestFit="1" customWidth="1"/>
    <col min="12560" max="12800" width="9.140625" style="1"/>
    <col min="12801" max="12801" width="35" style="1" customWidth="1"/>
    <col min="12802" max="12802" width="6.5703125" style="1" customWidth="1"/>
    <col min="12803" max="12803" width="13.28515625" style="1" customWidth="1"/>
    <col min="12804" max="12804" width="9.28515625" style="1" bestFit="1" customWidth="1"/>
    <col min="12805" max="12805" width="10.7109375" style="1" customWidth="1"/>
    <col min="12806" max="12806" width="13.140625" style="1" bestFit="1" customWidth="1"/>
    <col min="12807" max="12807" width="16.85546875" style="1" bestFit="1" customWidth="1"/>
    <col min="12808" max="12808" width="9.28515625" style="1" bestFit="1" customWidth="1"/>
    <col min="12809" max="12809" width="11" style="1" customWidth="1"/>
    <col min="12810" max="12814" width="9.140625" style="1"/>
    <col min="12815" max="12815" width="10.28515625" style="1" bestFit="1" customWidth="1"/>
    <col min="12816" max="13056" width="9.140625" style="1"/>
    <col min="13057" max="13057" width="35" style="1" customWidth="1"/>
    <col min="13058" max="13058" width="6.5703125" style="1" customWidth="1"/>
    <col min="13059" max="13059" width="13.28515625" style="1" customWidth="1"/>
    <col min="13060" max="13060" width="9.28515625" style="1" bestFit="1" customWidth="1"/>
    <col min="13061" max="13061" width="10.7109375" style="1" customWidth="1"/>
    <col min="13062" max="13062" width="13.140625" style="1" bestFit="1" customWidth="1"/>
    <col min="13063" max="13063" width="16.85546875" style="1" bestFit="1" customWidth="1"/>
    <col min="13064" max="13064" width="9.28515625" style="1" bestFit="1" customWidth="1"/>
    <col min="13065" max="13065" width="11" style="1" customWidth="1"/>
    <col min="13066" max="13070" width="9.140625" style="1"/>
    <col min="13071" max="13071" width="10.28515625" style="1" bestFit="1" customWidth="1"/>
    <col min="13072" max="13312" width="9.140625" style="1"/>
    <col min="13313" max="13313" width="35" style="1" customWidth="1"/>
    <col min="13314" max="13314" width="6.5703125" style="1" customWidth="1"/>
    <col min="13315" max="13315" width="13.28515625" style="1" customWidth="1"/>
    <col min="13316" max="13316" width="9.28515625" style="1" bestFit="1" customWidth="1"/>
    <col min="13317" max="13317" width="10.7109375" style="1" customWidth="1"/>
    <col min="13318" max="13318" width="13.140625" style="1" bestFit="1" customWidth="1"/>
    <col min="13319" max="13319" width="16.85546875" style="1" bestFit="1" customWidth="1"/>
    <col min="13320" max="13320" width="9.28515625" style="1" bestFit="1" customWidth="1"/>
    <col min="13321" max="13321" width="11" style="1" customWidth="1"/>
    <col min="13322" max="13326" width="9.140625" style="1"/>
    <col min="13327" max="13327" width="10.28515625" style="1" bestFit="1" customWidth="1"/>
    <col min="13328" max="13568" width="9.140625" style="1"/>
    <col min="13569" max="13569" width="35" style="1" customWidth="1"/>
    <col min="13570" max="13570" width="6.5703125" style="1" customWidth="1"/>
    <col min="13571" max="13571" width="13.28515625" style="1" customWidth="1"/>
    <col min="13572" max="13572" width="9.28515625" style="1" bestFit="1" customWidth="1"/>
    <col min="13573" max="13573" width="10.7109375" style="1" customWidth="1"/>
    <col min="13574" max="13574" width="13.140625" style="1" bestFit="1" customWidth="1"/>
    <col min="13575" max="13575" width="16.85546875" style="1" bestFit="1" customWidth="1"/>
    <col min="13576" max="13576" width="9.28515625" style="1" bestFit="1" customWidth="1"/>
    <col min="13577" max="13577" width="11" style="1" customWidth="1"/>
    <col min="13578" max="13582" width="9.140625" style="1"/>
    <col min="13583" max="13583" width="10.28515625" style="1" bestFit="1" customWidth="1"/>
    <col min="13584" max="13824" width="9.140625" style="1"/>
    <col min="13825" max="13825" width="35" style="1" customWidth="1"/>
    <col min="13826" max="13826" width="6.5703125" style="1" customWidth="1"/>
    <col min="13827" max="13827" width="13.28515625" style="1" customWidth="1"/>
    <col min="13828" max="13828" width="9.28515625" style="1" bestFit="1" customWidth="1"/>
    <col min="13829" max="13829" width="10.7109375" style="1" customWidth="1"/>
    <col min="13830" max="13830" width="13.140625" style="1" bestFit="1" customWidth="1"/>
    <col min="13831" max="13831" width="16.85546875" style="1" bestFit="1" customWidth="1"/>
    <col min="13832" max="13832" width="9.28515625" style="1" bestFit="1" customWidth="1"/>
    <col min="13833" max="13833" width="11" style="1" customWidth="1"/>
    <col min="13834" max="13838" width="9.140625" style="1"/>
    <col min="13839" max="13839" width="10.28515625" style="1" bestFit="1" customWidth="1"/>
    <col min="13840" max="14080" width="9.140625" style="1"/>
    <col min="14081" max="14081" width="35" style="1" customWidth="1"/>
    <col min="14082" max="14082" width="6.5703125" style="1" customWidth="1"/>
    <col min="14083" max="14083" width="13.28515625" style="1" customWidth="1"/>
    <col min="14084" max="14084" width="9.28515625" style="1" bestFit="1" customWidth="1"/>
    <col min="14085" max="14085" width="10.7109375" style="1" customWidth="1"/>
    <col min="14086" max="14086" width="13.140625" style="1" bestFit="1" customWidth="1"/>
    <col min="14087" max="14087" width="16.85546875" style="1" bestFit="1" customWidth="1"/>
    <col min="14088" max="14088" width="9.28515625" style="1" bestFit="1" customWidth="1"/>
    <col min="14089" max="14089" width="11" style="1" customWidth="1"/>
    <col min="14090" max="14094" width="9.140625" style="1"/>
    <col min="14095" max="14095" width="10.28515625" style="1" bestFit="1" customWidth="1"/>
    <col min="14096" max="14336" width="9.140625" style="1"/>
    <col min="14337" max="14337" width="35" style="1" customWidth="1"/>
    <col min="14338" max="14338" width="6.5703125" style="1" customWidth="1"/>
    <col min="14339" max="14339" width="13.28515625" style="1" customWidth="1"/>
    <col min="14340" max="14340" width="9.28515625" style="1" bestFit="1" customWidth="1"/>
    <col min="14341" max="14341" width="10.7109375" style="1" customWidth="1"/>
    <col min="14342" max="14342" width="13.140625" style="1" bestFit="1" customWidth="1"/>
    <col min="14343" max="14343" width="16.85546875" style="1" bestFit="1" customWidth="1"/>
    <col min="14344" max="14344" width="9.28515625" style="1" bestFit="1" customWidth="1"/>
    <col min="14345" max="14345" width="11" style="1" customWidth="1"/>
    <col min="14346" max="14350" width="9.140625" style="1"/>
    <col min="14351" max="14351" width="10.28515625" style="1" bestFit="1" customWidth="1"/>
    <col min="14352" max="14592" width="9.140625" style="1"/>
    <col min="14593" max="14593" width="35" style="1" customWidth="1"/>
    <col min="14594" max="14594" width="6.5703125" style="1" customWidth="1"/>
    <col min="14595" max="14595" width="13.28515625" style="1" customWidth="1"/>
    <col min="14596" max="14596" width="9.28515625" style="1" bestFit="1" customWidth="1"/>
    <col min="14597" max="14597" width="10.7109375" style="1" customWidth="1"/>
    <col min="14598" max="14598" width="13.140625" style="1" bestFit="1" customWidth="1"/>
    <col min="14599" max="14599" width="16.85546875" style="1" bestFit="1" customWidth="1"/>
    <col min="14600" max="14600" width="9.28515625" style="1" bestFit="1" customWidth="1"/>
    <col min="14601" max="14601" width="11" style="1" customWidth="1"/>
    <col min="14602" max="14606" width="9.140625" style="1"/>
    <col min="14607" max="14607" width="10.28515625" style="1" bestFit="1" customWidth="1"/>
    <col min="14608" max="14848" width="9.140625" style="1"/>
    <col min="14849" max="14849" width="35" style="1" customWidth="1"/>
    <col min="14850" max="14850" width="6.5703125" style="1" customWidth="1"/>
    <col min="14851" max="14851" width="13.28515625" style="1" customWidth="1"/>
    <col min="14852" max="14852" width="9.28515625" style="1" bestFit="1" customWidth="1"/>
    <col min="14853" max="14853" width="10.7109375" style="1" customWidth="1"/>
    <col min="14854" max="14854" width="13.140625" style="1" bestFit="1" customWidth="1"/>
    <col min="14855" max="14855" width="16.85546875" style="1" bestFit="1" customWidth="1"/>
    <col min="14856" max="14856" width="9.28515625" style="1" bestFit="1" customWidth="1"/>
    <col min="14857" max="14857" width="11" style="1" customWidth="1"/>
    <col min="14858" max="14862" width="9.140625" style="1"/>
    <col min="14863" max="14863" width="10.28515625" style="1" bestFit="1" customWidth="1"/>
    <col min="14864" max="15104" width="9.140625" style="1"/>
    <col min="15105" max="15105" width="35" style="1" customWidth="1"/>
    <col min="15106" max="15106" width="6.5703125" style="1" customWidth="1"/>
    <col min="15107" max="15107" width="13.28515625" style="1" customWidth="1"/>
    <col min="15108" max="15108" width="9.28515625" style="1" bestFit="1" customWidth="1"/>
    <col min="15109" max="15109" width="10.7109375" style="1" customWidth="1"/>
    <col min="15110" max="15110" width="13.140625" style="1" bestFit="1" customWidth="1"/>
    <col min="15111" max="15111" width="16.85546875" style="1" bestFit="1" customWidth="1"/>
    <col min="15112" max="15112" width="9.28515625" style="1" bestFit="1" customWidth="1"/>
    <col min="15113" max="15113" width="11" style="1" customWidth="1"/>
    <col min="15114" max="15118" width="9.140625" style="1"/>
    <col min="15119" max="15119" width="10.28515625" style="1" bestFit="1" customWidth="1"/>
    <col min="15120" max="15360" width="9.140625" style="1"/>
    <col min="15361" max="15361" width="35" style="1" customWidth="1"/>
    <col min="15362" max="15362" width="6.5703125" style="1" customWidth="1"/>
    <col min="15363" max="15363" width="13.28515625" style="1" customWidth="1"/>
    <col min="15364" max="15364" width="9.28515625" style="1" bestFit="1" customWidth="1"/>
    <col min="15365" max="15365" width="10.7109375" style="1" customWidth="1"/>
    <col min="15366" max="15366" width="13.140625" style="1" bestFit="1" customWidth="1"/>
    <col min="15367" max="15367" width="16.85546875" style="1" bestFit="1" customWidth="1"/>
    <col min="15368" max="15368" width="9.28515625" style="1" bestFit="1" customWidth="1"/>
    <col min="15369" max="15369" width="11" style="1" customWidth="1"/>
    <col min="15370" max="15374" width="9.140625" style="1"/>
    <col min="15375" max="15375" width="10.28515625" style="1" bestFit="1" customWidth="1"/>
    <col min="15376" max="15616" width="9.140625" style="1"/>
    <col min="15617" max="15617" width="35" style="1" customWidth="1"/>
    <col min="15618" max="15618" width="6.5703125" style="1" customWidth="1"/>
    <col min="15619" max="15619" width="13.28515625" style="1" customWidth="1"/>
    <col min="15620" max="15620" width="9.28515625" style="1" bestFit="1" customWidth="1"/>
    <col min="15621" max="15621" width="10.7109375" style="1" customWidth="1"/>
    <col min="15622" max="15622" width="13.140625" style="1" bestFit="1" customWidth="1"/>
    <col min="15623" max="15623" width="16.85546875" style="1" bestFit="1" customWidth="1"/>
    <col min="15624" max="15624" width="9.28515625" style="1" bestFit="1" customWidth="1"/>
    <col min="15625" max="15625" width="11" style="1" customWidth="1"/>
    <col min="15626" max="15630" width="9.140625" style="1"/>
    <col min="15631" max="15631" width="10.28515625" style="1" bestFit="1" customWidth="1"/>
    <col min="15632" max="15872" width="9.140625" style="1"/>
    <col min="15873" max="15873" width="35" style="1" customWidth="1"/>
    <col min="15874" max="15874" width="6.5703125" style="1" customWidth="1"/>
    <col min="15875" max="15875" width="13.28515625" style="1" customWidth="1"/>
    <col min="15876" max="15876" width="9.28515625" style="1" bestFit="1" customWidth="1"/>
    <col min="15877" max="15877" width="10.7109375" style="1" customWidth="1"/>
    <col min="15878" max="15878" width="13.140625" style="1" bestFit="1" customWidth="1"/>
    <col min="15879" max="15879" width="16.85546875" style="1" bestFit="1" customWidth="1"/>
    <col min="15880" max="15880" width="9.28515625" style="1" bestFit="1" customWidth="1"/>
    <col min="15881" max="15881" width="11" style="1" customWidth="1"/>
    <col min="15882" max="15886" width="9.140625" style="1"/>
    <col min="15887" max="15887" width="10.28515625" style="1" bestFit="1" customWidth="1"/>
    <col min="15888" max="16128" width="9.140625" style="1"/>
    <col min="16129" max="16129" width="35" style="1" customWidth="1"/>
    <col min="16130" max="16130" width="6.5703125" style="1" customWidth="1"/>
    <col min="16131" max="16131" width="13.28515625" style="1" customWidth="1"/>
    <col min="16132" max="16132" width="9.28515625" style="1" bestFit="1" customWidth="1"/>
    <col min="16133" max="16133" width="10.7109375" style="1" customWidth="1"/>
    <col min="16134" max="16134" width="13.140625" style="1" bestFit="1" customWidth="1"/>
    <col min="16135" max="16135" width="16.85546875" style="1" bestFit="1" customWidth="1"/>
    <col min="16136" max="16136" width="9.28515625" style="1" bestFit="1" customWidth="1"/>
    <col min="16137" max="16137" width="11" style="1" customWidth="1"/>
    <col min="16138" max="16142" width="9.140625" style="1"/>
    <col min="16143" max="16143" width="10.28515625" style="1" bestFit="1" customWidth="1"/>
    <col min="16144" max="16384" width="9.140625" style="1"/>
  </cols>
  <sheetData>
    <row r="1" spans="1:15" x14ac:dyDescent="0.2">
      <c r="A1" s="9"/>
      <c r="B1" s="9"/>
      <c r="C1" s="11"/>
      <c r="D1" s="9"/>
      <c r="E1" s="37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x14ac:dyDescent="0.2">
      <c r="A2" s="9"/>
      <c r="B2" s="9"/>
      <c r="C2" s="11"/>
      <c r="D2" s="9"/>
      <c r="E2" s="37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 x14ac:dyDescent="0.2">
      <c r="A3" s="9"/>
      <c r="B3" s="9"/>
      <c r="C3" s="11"/>
      <c r="D3" s="9"/>
      <c r="E3" s="37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ht="15" x14ac:dyDescent="0.25">
      <c r="A4" s="82" t="s">
        <v>75</v>
      </c>
      <c r="B4" s="83"/>
      <c r="C4" s="82" t="s">
        <v>87</v>
      </c>
      <c r="D4" s="10"/>
      <c r="E4" s="38"/>
      <c r="F4" s="9"/>
      <c r="G4" s="9"/>
      <c r="H4" s="9"/>
      <c r="I4" s="9"/>
      <c r="J4" s="9"/>
      <c r="K4" s="11"/>
      <c r="L4" s="9"/>
      <c r="M4" s="9"/>
      <c r="N4" s="9"/>
      <c r="O4" s="9"/>
    </row>
    <row r="5" spans="1:15" ht="15" x14ac:dyDescent="0.25">
      <c r="A5" s="82" t="s">
        <v>76</v>
      </c>
      <c r="B5" s="84"/>
      <c r="C5" s="82" t="s">
        <v>88</v>
      </c>
      <c r="D5" s="10"/>
      <c r="E5" s="38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5" ht="15" x14ac:dyDescent="0.25">
      <c r="A6" s="82" t="s">
        <v>77</v>
      </c>
      <c r="B6" s="85"/>
      <c r="C6" s="82" t="s">
        <v>85</v>
      </c>
      <c r="D6" s="12">
        <f>'[1]Plan entrada'!E8</f>
        <v>0</v>
      </c>
      <c r="E6" s="39">
        <f>'[1]Plan entrada'!F8</f>
        <v>0</v>
      </c>
      <c r="F6" s="9">
        <f>'[1]Plan entrada'!G8</f>
        <v>0</v>
      </c>
      <c r="G6" s="9">
        <f>'[1]Plan entrada'!H8</f>
        <v>0</v>
      </c>
      <c r="H6" s="9">
        <f>'[1]Plan entrada'!I8</f>
        <v>0</v>
      </c>
      <c r="I6" s="9">
        <f>'[1]Plan entrada'!J8</f>
        <v>0</v>
      </c>
      <c r="J6" s="9">
        <f>'[1]Plan entrada'!K8</f>
        <v>0</v>
      </c>
      <c r="K6" s="9">
        <f>'[1]Plan entrada'!L8</f>
        <v>0</v>
      </c>
      <c r="L6" s="9">
        <f>'[1]Plan entrada'!M8</f>
        <v>0</v>
      </c>
      <c r="M6" s="9"/>
      <c r="N6" s="9"/>
      <c r="O6" s="9"/>
    </row>
    <row r="7" spans="1:15" x14ac:dyDescent="0.2">
      <c r="A7" s="51" t="s">
        <v>82</v>
      </c>
      <c r="B7" s="51"/>
      <c r="C7" s="104">
        <v>1717.2</v>
      </c>
      <c r="D7" s="14">
        <f>'[1]Plan entrada'!E9</f>
        <v>0</v>
      </c>
      <c r="E7" s="40">
        <f>'[1]Plan entrada'!F9</f>
        <v>0</v>
      </c>
      <c r="F7" s="13">
        <f>'[1]Plan entrada'!G9</f>
        <v>0</v>
      </c>
      <c r="G7" s="13">
        <f>'[1]Plan entrada'!H9</f>
        <v>0</v>
      </c>
      <c r="H7" s="13">
        <f>'[1]Plan entrada'!I9</f>
        <v>0</v>
      </c>
      <c r="I7" s="13">
        <f>'[1]Plan entrada'!J9</f>
        <v>0</v>
      </c>
      <c r="J7" s="13">
        <f>'[1]Plan entrada'!K9</f>
        <v>0</v>
      </c>
      <c r="K7" s="13">
        <f>'[1]Plan entrada'!L9</f>
        <v>0</v>
      </c>
      <c r="L7" s="13">
        <f>'[1]Plan entrada'!M9</f>
        <v>0</v>
      </c>
      <c r="M7" s="9"/>
      <c r="N7" s="9"/>
      <c r="O7" s="9"/>
    </row>
    <row r="8" spans="1:15" x14ac:dyDescent="0.2">
      <c r="A8" s="51" t="s">
        <v>0</v>
      </c>
      <c r="B8" s="51"/>
      <c r="C8" s="14">
        <f>C7/220</f>
        <v>7.8054545454545456</v>
      </c>
      <c r="D8" s="14">
        <f>D7/220</f>
        <v>0</v>
      </c>
      <c r="E8" s="41">
        <f>E7/220</f>
        <v>0</v>
      </c>
      <c r="F8" s="14">
        <f>F7/220</f>
        <v>0</v>
      </c>
      <c r="G8" s="14">
        <f t="shared" ref="G8:L8" si="0">G7/220</f>
        <v>0</v>
      </c>
      <c r="H8" s="14">
        <f t="shared" si="0"/>
        <v>0</v>
      </c>
      <c r="I8" s="14">
        <f t="shared" si="0"/>
        <v>0</v>
      </c>
      <c r="J8" s="14">
        <f t="shared" si="0"/>
        <v>0</v>
      </c>
      <c r="K8" s="14">
        <f t="shared" si="0"/>
        <v>0</v>
      </c>
      <c r="L8" s="14">
        <f t="shared" si="0"/>
        <v>0</v>
      </c>
      <c r="M8" s="15">
        <f>SUM(C8:L8)/M10</f>
        <v>7.8054545454545456</v>
      </c>
      <c r="N8" s="9"/>
      <c r="O8" s="9"/>
    </row>
    <row r="9" spans="1:15" x14ac:dyDescent="0.2">
      <c r="A9" s="19" t="s">
        <v>1</v>
      </c>
      <c r="B9" s="51"/>
      <c r="C9" s="16">
        <v>28.96</v>
      </c>
      <c r="D9" s="16"/>
      <c r="E9" s="42"/>
      <c r="F9" s="16"/>
      <c r="G9" s="16"/>
      <c r="H9" s="14"/>
      <c r="I9" s="14"/>
      <c r="J9" s="14"/>
      <c r="K9" s="14"/>
      <c r="L9" s="14"/>
      <c r="M9" s="9"/>
      <c r="N9" s="9"/>
      <c r="O9" s="9"/>
    </row>
    <row r="10" spans="1:15" x14ac:dyDescent="0.2">
      <c r="A10" s="107" t="s">
        <v>2</v>
      </c>
      <c r="B10" s="51"/>
      <c r="C10" s="105">
        <v>1</v>
      </c>
      <c r="D10" s="9">
        <f>IF(D7=0,0,'[1]Plan entrada'!E10)</f>
        <v>0</v>
      </c>
      <c r="E10" s="37">
        <f>IF(E7=0,0,'[1]Plan entrada'!F10)</f>
        <v>0</v>
      </c>
      <c r="F10" s="9">
        <f>IF(F7=0,0,'[1]Plan entrada'!G10)</f>
        <v>0</v>
      </c>
      <c r="G10" s="9">
        <f>IF(G7=0,0,'[1]Plan entrada'!H10)</f>
        <v>0</v>
      </c>
      <c r="H10" s="9">
        <f>IF(H7=0,0,'[1]Plan entrada'!I10)</f>
        <v>0</v>
      </c>
      <c r="I10" s="9">
        <f>IF(I7=0,0,'[1]Plan entrada'!J10)</f>
        <v>0</v>
      </c>
      <c r="J10" s="9">
        <f>IF(J7=0,0,'[1]Plan entrada'!K10)</f>
        <v>0</v>
      </c>
      <c r="K10" s="9">
        <f>IF(K7=0,0,'[1]Plan entrada'!L10)</f>
        <v>0</v>
      </c>
      <c r="L10" s="9">
        <f>IF(L7=0,0,'[1]Plan entrada'!M10)</f>
        <v>0</v>
      </c>
      <c r="M10" s="9">
        <f>SUM(C10:L10)</f>
        <v>1</v>
      </c>
      <c r="N10" s="9"/>
      <c r="O10" s="9"/>
    </row>
    <row r="11" spans="1:15" x14ac:dyDescent="0.2">
      <c r="A11" s="51" t="s">
        <v>3</v>
      </c>
      <c r="B11" s="51"/>
      <c r="C11" s="14">
        <v>10.84</v>
      </c>
      <c r="D11" s="14">
        <f>D8*C33+D8</f>
        <v>0</v>
      </c>
      <c r="E11" s="41">
        <f>E8*C33+E8</f>
        <v>0</v>
      </c>
      <c r="F11" s="14">
        <f>F8*$C$33+F8</f>
        <v>0</v>
      </c>
      <c r="G11" s="14">
        <f t="shared" ref="G11:L11" si="1">G8*$C$33+G8</f>
        <v>0</v>
      </c>
      <c r="H11" s="14">
        <f t="shared" si="1"/>
        <v>0</v>
      </c>
      <c r="I11" s="14">
        <f t="shared" si="1"/>
        <v>0</v>
      </c>
      <c r="J11" s="14">
        <f t="shared" si="1"/>
        <v>0</v>
      </c>
      <c r="K11" s="14">
        <f t="shared" si="1"/>
        <v>0</v>
      </c>
      <c r="L11" s="14">
        <f t="shared" si="1"/>
        <v>0</v>
      </c>
      <c r="M11" s="9"/>
      <c r="N11" s="9"/>
      <c r="O11" s="9"/>
    </row>
    <row r="12" spans="1:15" x14ac:dyDescent="0.2">
      <c r="A12" s="51" t="s">
        <v>4</v>
      </c>
      <c r="B12" s="51"/>
      <c r="C12" s="14">
        <f>C8*C34+C8</f>
        <v>15.610909090909091</v>
      </c>
      <c r="D12" s="14">
        <f>D8*C34+D8</f>
        <v>0</v>
      </c>
      <c r="E12" s="41">
        <f>E8*C34+E8</f>
        <v>0</v>
      </c>
      <c r="F12" s="14">
        <f>F8*$C$34+F8</f>
        <v>0</v>
      </c>
      <c r="G12" s="14">
        <f t="shared" ref="G12:L12" si="2">G8*$C$34+G8</f>
        <v>0</v>
      </c>
      <c r="H12" s="14">
        <f t="shared" si="2"/>
        <v>0</v>
      </c>
      <c r="I12" s="14">
        <f t="shared" si="2"/>
        <v>0</v>
      </c>
      <c r="J12" s="14">
        <f t="shared" si="2"/>
        <v>0</v>
      </c>
      <c r="K12" s="14">
        <f t="shared" si="2"/>
        <v>0</v>
      </c>
      <c r="L12" s="14">
        <f t="shared" si="2"/>
        <v>0</v>
      </c>
      <c r="M12" s="9"/>
      <c r="N12" s="9"/>
      <c r="O12" s="9"/>
    </row>
    <row r="13" spans="1:15" x14ac:dyDescent="0.2">
      <c r="A13" s="9" t="s">
        <v>5</v>
      </c>
      <c r="B13" s="9"/>
      <c r="C13" s="14">
        <f>C8*C$37</f>
        <v>1.5610909090909093</v>
      </c>
      <c r="D13" s="14">
        <f>D8*C$37</f>
        <v>0</v>
      </c>
      <c r="E13" s="41">
        <f>E8*C$37</f>
        <v>0</v>
      </c>
      <c r="F13" s="14">
        <f>F8*$C$37</f>
        <v>0</v>
      </c>
      <c r="G13" s="14">
        <f t="shared" ref="G13:L13" si="3">G8*$C$37</f>
        <v>0</v>
      </c>
      <c r="H13" s="14">
        <f t="shared" si="3"/>
        <v>0</v>
      </c>
      <c r="I13" s="14">
        <f t="shared" si="3"/>
        <v>0</v>
      </c>
      <c r="J13" s="14">
        <f t="shared" si="3"/>
        <v>0</v>
      </c>
      <c r="K13" s="14">
        <f t="shared" si="3"/>
        <v>0</v>
      </c>
      <c r="L13" s="14">
        <f t="shared" si="3"/>
        <v>0</v>
      </c>
      <c r="M13" s="9"/>
      <c r="N13" s="9"/>
      <c r="O13" s="9"/>
    </row>
    <row r="14" spans="1:15" x14ac:dyDescent="0.2">
      <c r="A14" s="9" t="s">
        <v>6</v>
      </c>
      <c r="B14" s="9"/>
      <c r="C14" s="17"/>
      <c r="D14" s="17">
        <f>'[1]Plan entrada'!E11</f>
        <v>0</v>
      </c>
      <c r="E14" s="43">
        <f>'[1]Plan entrada'!F11</f>
        <v>0</v>
      </c>
      <c r="F14" s="17">
        <f>'[1]Plan entrada'!G11</f>
        <v>0</v>
      </c>
      <c r="G14" s="17">
        <f>'[1]Plan entrada'!H11</f>
        <v>0</v>
      </c>
      <c r="H14" s="17">
        <f>'[1]Plan entrada'!I11</f>
        <v>0</v>
      </c>
      <c r="I14" s="17">
        <f>'[1]Plan entrada'!J11</f>
        <v>0</v>
      </c>
      <c r="J14" s="17">
        <f>'[1]Plan entrada'!K11</f>
        <v>0</v>
      </c>
      <c r="K14" s="17">
        <f>'[1]Plan entrada'!L11</f>
        <v>0</v>
      </c>
      <c r="L14" s="17">
        <f>'[1]Plan entrada'!M11</f>
        <v>0</v>
      </c>
      <c r="M14" s="9"/>
      <c r="N14" s="9"/>
      <c r="O14" s="9"/>
    </row>
    <row r="15" spans="1:15" x14ac:dyDescent="0.2">
      <c r="A15" s="51" t="s">
        <v>7</v>
      </c>
      <c r="B15" s="51"/>
      <c r="C15" s="17"/>
      <c r="D15" s="17">
        <f>'[1]Plan entrada'!E12</f>
        <v>0</v>
      </c>
      <c r="E15" s="43">
        <f>'[1]Plan entrada'!F12</f>
        <v>0</v>
      </c>
      <c r="F15" s="17">
        <f>'[1]Plan entrada'!G12</f>
        <v>0</v>
      </c>
      <c r="G15" s="17">
        <f>'[1]Plan entrada'!H12</f>
        <v>0</v>
      </c>
      <c r="H15" s="17">
        <f>'[1]Plan entrada'!I12</f>
        <v>0</v>
      </c>
      <c r="I15" s="17">
        <f>'[1]Plan entrada'!J12</f>
        <v>0</v>
      </c>
      <c r="J15" s="17">
        <f>'[1]Plan entrada'!K12</f>
        <v>0</v>
      </c>
      <c r="K15" s="17">
        <f>'[1]Plan entrada'!L12</f>
        <v>0</v>
      </c>
      <c r="L15" s="17">
        <f>'[1]Plan entrada'!M12</f>
        <v>0</v>
      </c>
      <c r="M15" s="9"/>
      <c r="N15" s="9"/>
      <c r="O15" s="9"/>
    </row>
    <row r="16" spans="1:15" x14ac:dyDescent="0.2">
      <c r="A16" s="51" t="s">
        <v>8</v>
      </c>
      <c r="B16" s="51"/>
      <c r="C16" s="17">
        <f>'[1]Plan entrada'!D13</f>
        <v>0</v>
      </c>
      <c r="D16" s="17">
        <f>'[1]Plan entrada'!E13</f>
        <v>0</v>
      </c>
      <c r="E16" s="43">
        <f>'[1]Plan entrada'!F13</f>
        <v>0</v>
      </c>
      <c r="F16" s="17">
        <f>'[1]Plan entrada'!G13</f>
        <v>0</v>
      </c>
      <c r="G16" s="17">
        <f>'[1]Plan entrada'!H13</f>
        <v>0</v>
      </c>
      <c r="H16" s="17">
        <f>'[1]Plan entrada'!I13</f>
        <v>0</v>
      </c>
      <c r="I16" s="17">
        <f>'[1]Plan entrada'!J13</f>
        <v>0</v>
      </c>
      <c r="J16" s="17">
        <f>'[1]Plan entrada'!K13</f>
        <v>0</v>
      </c>
      <c r="K16" s="17">
        <f>'[1]Plan entrada'!L13</f>
        <v>0</v>
      </c>
      <c r="L16" s="17">
        <f>'[1]Plan entrada'!M13</f>
        <v>0</v>
      </c>
      <c r="M16" s="9"/>
      <c r="N16" s="9"/>
      <c r="O16" s="9"/>
    </row>
    <row r="17" spans="1:15" x14ac:dyDescent="0.2">
      <c r="A17" s="9" t="s">
        <v>74</v>
      </c>
      <c r="B17" s="9"/>
      <c r="C17" s="96"/>
      <c r="D17" s="17"/>
      <c r="E17" s="43">
        <f>'[1]Plan entrada'!F14</f>
        <v>0</v>
      </c>
      <c r="F17" s="17">
        <f>'[1]Plan entrada'!G14</f>
        <v>0</v>
      </c>
      <c r="G17" s="17">
        <f>'[1]Plan entrada'!H14</f>
        <v>0</v>
      </c>
      <c r="H17" s="17">
        <f>'[1]Plan entrada'!I14</f>
        <v>0</v>
      </c>
      <c r="I17" s="17">
        <f>'[1]Plan entrada'!J14</f>
        <v>0</v>
      </c>
      <c r="J17" s="17">
        <f>'[1]Plan entrada'!K14</f>
        <v>0</v>
      </c>
      <c r="K17" s="17">
        <f>'[1]Plan entrada'!L14</f>
        <v>0</v>
      </c>
      <c r="L17" s="17">
        <f>'[1]Plan entrada'!M14</f>
        <v>0</v>
      </c>
      <c r="M17" s="9"/>
      <c r="N17" s="9"/>
      <c r="O17" s="9"/>
    </row>
    <row r="18" spans="1:15" x14ac:dyDescent="0.2">
      <c r="A18" s="9" t="s">
        <v>10</v>
      </c>
      <c r="B18" s="9"/>
      <c r="C18" s="17">
        <f>'[1]Plan entrada'!D15</f>
        <v>0</v>
      </c>
      <c r="D18" s="17">
        <f>'[1]Plan entrada'!E15</f>
        <v>0</v>
      </c>
      <c r="E18" s="43">
        <f>'[1]Plan entrada'!F15</f>
        <v>0</v>
      </c>
      <c r="F18" s="17">
        <f>'[1]Plan entrada'!G15</f>
        <v>0</v>
      </c>
      <c r="G18" s="17">
        <f>'[1]Plan entrada'!H15</f>
        <v>0</v>
      </c>
      <c r="H18" s="17">
        <f>'[1]Plan entrada'!I15</f>
        <v>0</v>
      </c>
      <c r="I18" s="17">
        <f>'[1]Plan entrada'!J15</f>
        <v>0</v>
      </c>
      <c r="J18" s="17">
        <f>'[1]Plan entrada'!K15</f>
        <v>0</v>
      </c>
      <c r="K18" s="17">
        <f>'[1]Plan entrada'!L15</f>
        <v>0</v>
      </c>
      <c r="L18" s="17">
        <f>'[1]Plan entrada'!M15</f>
        <v>0</v>
      </c>
      <c r="M18" s="9"/>
      <c r="N18" s="9"/>
      <c r="O18" s="9"/>
    </row>
    <row r="19" spans="1:15" x14ac:dyDescent="0.2">
      <c r="A19" s="51" t="s">
        <v>11</v>
      </c>
      <c r="B19" s="51"/>
      <c r="C19" s="96"/>
      <c r="D19" s="17">
        <f>'[1]Plan entrada'!E16</f>
        <v>0</v>
      </c>
      <c r="E19" s="43">
        <f>'[1]Plan entrada'!F16</f>
        <v>0</v>
      </c>
      <c r="F19" s="17">
        <f>'[1]Plan entrada'!G16</f>
        <v>0</v>
      </c>
      <c r="G19" s="17">
        <f>'[1]Plan entrada'!H16</f>
        <v>0</v>
      </c>
      <c r="H19" s="17">
        <f>'[1]Plan entrada'!I16</f>
        <v>0</v>
      </c>
      <c r="I19" s="17">
        <f>'[1]Plan entrada'!J16</f>
        <v>0</v>
      </c>
      <c r="J19" s="17">
        <f>'[1]Plan entrada'!K16</f>
        <v>0</v>
      </c>
      <c r="K19" s="17">
        <f>'[1]Plan entrada'!L16</f>
        <v>0</v>
      </c>
      <c r="L19" s="17">
        <f>'[1]Plan entrada'!M16</f>
        <v>0</v>
      </c>
      <c r="M19" s="9"/>
      <c r="N19" s="9"/>
      <c r="O19" s="9"/>
    </row>
    <row r="20" spans="1:15" x14ac:dyDescent="0.2">
      <c r="A20" s="9" t="s">
        <v>12</v>
      </c>
      <c r="B20" s="51"/>
      <c r="C20" s="14"/>
      <c r="D20" s="14">
        <f>151*'[1]Plan entrada'!E17*D10</f>
        <v>0</v>
      </c>
      <c r="E20" s="41">
        <f>151*'[1]Plan entrada'!F17*E10</f>
        <v>0</v>
      </c>
      <c r="F20" s="14">
        <f>151*'[1]Plan entrada'!G17*F10</f>
        <v>0</v>
      </c>
      <c r="G20" s="14">
        <f>151*'[1]Plan entrada'!H17*G10</f>
        <v>0</v>
      </c>
      <c r="H20" s="14">
        <f>151*'[1]Plan entrada'!I17*H10</f>
        <v>0</v>
      </c>
      <c r="I20" s="14">
        <f>151*'[1]Plan entrada'!J17*I10</f>
        <v>0</v>
      </c>
      <c r="J20" s="14">
        <f>151*'[1]Plan entrada'!K17*J10</f>
        <v>0</v>
      </c>
      <c r="K20" s="14">
        <f>151*'[1]Plan entrada'!L17*K10</f>
        <v>0</v>
      </c>
      <c r="L20" s="14">
        <f>151*'[1]Plan entrada'!M17*L10</f>
        <v>0</v>
      </c>
      <c r="M20" s="9"/>
      <c r="N20" s="9"/>
      <c r="O20" s="9"/>
    </row>
    <row r="21" spans="1:15" x14ac:dyDescent="0.2">
      <c r="A21" s="73" t="s">
        <v>13</v>
      </c>
      <c r="B21" s="51"/>
      <c r="C21" s="74">
        <v>28.28</v>
      </c>
      <c r="D21" s="14">
        <v>0</v>
      </c>
      <c r="E21" s="41">
        <v>0</v>
      </c>
      <c r="F21" s="14"/>
      <c r="G21" s="16"/>
      <c r="H21" s="14"/>
      <c r="I21" s="14">
        <f>I7*'[1]Plan entrada'!J18*I10</f>
        <v>0</v>
      </c>
      <c r="J21" s="14">
        <f>J7*'[1]Plan entrada'!K18*J10</f>
        <v>0</v>
      </c>
      <c r="K21" s="14">
        <f>K7*'[1]Plan entrada'!L18*K10</f>
        <v>0</v>
      </c>
      <c r="L21" s="14">
        <f>L7*'[1]Plan entrada'!M18*L10</f>
        <v>0</v>
      </c>
      <c r="M21" s="9"/>
      <c r="N21" s="9"/>
      <c r="O21" s="9"/>
    </row>
    <row r="22" spans="1:15" x14ac:dyDescent="0.2">
      <c r="A22" s="9" t="str">
        <f>'[1]Plan entrada'!B19</f>
        <v>Periculosidade</v>
      </c>
      <c r="B22" s="51"/>
      <c r="C22" s="14"/>
      <c r="D22" s="14">
        <f>D23*'[1]Plan entrada'!E19*D10</f>
        <v>0</v>
      </c>
      <c r="E22" s="41">
        <f>E23*'[1]Plan entrada'!F19*E10</f>
        <v>0</v>
      </c>
      <c r="F22" s="14">
        <f>F23*'[1]Plan entrada'!G19*F10</f>
        <v>0</v>
      </c>
      <c r="G22" s="14">
        <f>G23*'[1]Plan entrada'!H19*G10</f>
        <v>0</v>
      </c>
      <c r="H22" s="14">
        <f>H23*'[1]Plan entrada'!I19*H10</f>
        <v>0</v>
      </c>
      <c r="I22" s="14">
        <f>I23*'[1]Plan entrada'!J19*I10</f>
        <v>0</v>
      </c>
      <c r="J22" s="14">
        <f>J23*'[1]Plan entrada'!K19*J10</f>
        <v>0</v>
      </c>
      <c r="K22" s="14">
        <f>K23*'[1]Plan entrada'!L19*K10</f>
        <v>0</v>
      </c>
      <c r="L22" s="14">
        <f>L23*'[1]Plan entrada'!M19*L10</f>
        <v>0</v>
      </c>
      <c r="M22" s="9"/>
      <c r="N22" s="9"/>
      <c r="O22" s="9"/>
    </row>
    <row r="23" spans="1:15" x14ac:dyDescent="0.2">
      <c r="A23" s="9" t="s">
        <v>14</v>
      </c>
      <c r="B23" s="51"/>
      <c r="C23" s="106">
        <f>C7*C10+C8+C9+C11+C12+C13</f>
        <v>1781.9774545454543</v>
      </c>
      <c r="D23" s="14">
        <f t="shared" ref="D23:L23" si="4">SUM(F29:F31,F33:F40)</f>
        <v>0</v>
      </c>
      <c r="E23" s="41">
        <f t="shared" si="4"/>
        <v>0</v>
      </c>
      <c r="F23" s="14">
        <f t="shared" si="4"/>
        <v>0</v>
      </c>
      <c r="G23" s="14">
        <f t="shared" si="4"/>
        <v>0</v>
      </c>
      <c r="H23" s="14">
        <f t="shared" si="4"/>
        <v>0</v>
      </c>
      <c r="I23" s="14">
        <f t="shared" si="4"/>
        <v>0</v>
      </c>
      <c r="J23" s="14">
        <f t="shared" si="4"/>
        <v>0</v>
      </c>
      <c r="K23" s="14">
        <f t="shared" si="4"/>
        <v>0</v>
      </c>
      <c r="L23" s="14">
        <f t="shared" si="4"/>
        <v>0</v>
      </c>
      <c r="M23" s="9"/>
      <c r="N23" s="9"/>
      <c r="O23" s="9"/>
    </row>
    <row r="24" spans="1:15" x14ac:dyDescent="0.2">
      <c r="A24" s="9" t="s">
        <v>15</v>
      </c>
      <c r="B24" s="9"/>
      <c r="C24" s="52"/>
      <c r="D24" s="17"/>
      <c r="E24" s="108">
        <v>26</v>
      </c>
      <c r="F24" s="9"/>
      <c r="G24" s="9"/>
      <c r="H24" s="9"/>
      <c r="I24" s="9"/>
      <c r="J24" s="9"/>
      <c r="K24" s="9"/>
      <c r="L24" s="9"/>
      <c r="M24" s="9"/>
      <c r="N24" s="9"/>
      <c r="O24" s="9"/>
    </row>
    <row r="25" spans="1:15" x14ac:dyDescent="0.2">
      <c r="A25" s="9" t="s">
        <v>16</v>
      </c>
      <c r="B25" s="9"/>
      <c r="C25" s="9"/>
      <c r="D25" s="9"/>
      <c r="E25" s="109">
        <v>26</v>
      </c>
      <c r="F25" s="9"/>
      <c r="G25" s="9"/>
      <c r="H25" s="9"/>
      <c r="I25" s="9"/>
      <c r="J25" s="9"/>
      <c r="K25" s="9"/>
      <c r="L25" s="9"/>
      <c r="M25" s="9"/>
      <c r="N25" s="9"/>
      <c r="O25" s="9"/>
    </row>
    <row r="26" spans="1:15" x14ac:dyDescent="0.2">
      <c r="A26" s="68"/>
      <c r="B26" s="9"/>
      <c r="C26" s="11"/>
      <c r="D26" s="9"/>
      <c r="E26" s="37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pans="1:15" x14ac:dyDescent="0.2">
      <c r="A27" s="64" t="s">
        <v>17</v>
      </c>
      <c r="B27" s="19"/>
      <c r="C27" s="11"/>
      <c r="D27" s="9"/>
      <c r="E27" s="37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spans="1:15" x14ac:dyDescent="0.2">
      <c r="A28" s="9"/>
      <c r="B28" s="9"/>
      <c r="C28" s="11"/>
      <c r="D28" s="9"/>
      <c r="E28" s="37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spans="1:15" x14ac:dyDescent="0.2">
      <c r="A29" s="19" t="s">
        <v>18</v>
      </c>
      <c r="B29" s="19"/>
      <c r="C29" s="11"/>
      <c r="D29" s="15"/>
      <c r="E29" s="95">
        <f>C23</f>
        <v>1781.9774545454543</v>
      </c>
      <c r="F29" s="15">
        <f t="shared" ref="F29:N29" si="5">D7*D10</f>
        <v>0</v>
      </c>
      <c r="G29" s="15">
        <f t="shared" si="5"/>
        <v>0</v>
      </c>
      <c r="H29" s="15">
        <f t="shared" si="5"/>
        <v>0</v>
      </c>
      <c r="I29" s="15">
        <f t="shared" si="5"/>
        <v>0</v>
      </c>
      <c r="J29" s="15">
        <f t="shared" si="5"/>
        <v>0</v>
      </c>
      <c r="K29" s="15">
        <f t="shared" si="5"/>
        <v>0</v>
      </c>
      <c r="L29" s="15">
        <f t="shared" si="5"/>
        <v>0</v>
      </c>
      <c r="M29" s="15">
        <f t="shared" si="5"/>
        <v>0</v>
      </c>
      <c r="N29" s="15">
        <f t="shared" si="5"/>
        <v>0</v>
      </c>
      <c r="O29" s="18">
        <f>SUM(E29:N29)</f>
        <v>1781.9774545454543</v>
      </c>
    </row>
    <row r="30" spans="1:15" x14ac:dyDescent="0.2">
      <c r="A30" s="9" t="s">
        <v>19</v>
      </c>
      <c r="B30" s="9"/>
      <c r="C30" s="53">
        <v>0</v>
      </c>
      <c r="D30" s="54"/>
      <c r="E30" s="44"/>
      <c r="F30" s="15">
        <f t="shared" ref="F30:N30" si="6">D21</f>
        <v>0</v>
      </c>
      <c r="G30" s="15">
        <f t="shared" si="6"/>
        <v>0</v>
      </c>
      <c r="H30" s="15">
        <f t="shared" si="6"/>
        <v>0</v>
      </c>
      <c r="I30" s="15">
        <f t="shared" si="6"/>
        <v>0</v>
      </c>
      <c r="J30" s="15">
        <f t="shared" si="6"/>
        <v>0</v>
      </c>
      <c r="K30" s="15">
        <f t="shared" si="6"/>
        <v>0</v>
      </c>
      <c r="L30" s="15">
        <f t="shared" si="6"/>
        <v>0</v>
      </c>
      <c r="M30" s="15">
        <f t="shared" si="6"/>
        <v>0</v>
      </c>
      <c r="N30" s="15">
        <f t="shared" si="6"/>
        <v>0</v>
      </c>
      <c r="O30" s="18">
        <f>M27</f>
        <v>0</v>
      </c>
    </row>
    <row r="31" spans="1:15" x14ac:dyDescent="0.2">
      <c r="A31" s="9" t="s">
        <v>12</v>
      </c>
      <c r="B31" s="9"/>
      <c r="C31" s="55">
        <f>O31/O29</f>
        <v>0</v>
      </c>
      <c r="D31" s="54"/>
      <c r="E31" s="44">
        <f t="shared" ref="E31:N31" si="7">C20</f>
        <v>0</v>
      </c>
      <c r="F31" s="15">
        <f t="shared" si="7"/>
        <v>0</v>
      </c>
      <c r="G31" s="15">
        <f t="shared" si="7"/>
        <v>0</v>
      </c>
      <c r="H31" s="15">
        <f t="shared" si="7"/>
        <v>0</v>
      </c>
      <c r="I31" s="15">
        <f t="shared" si="7"/>
        <v>0</v>
      </c>
      <c r="J31" s="15">
        <f t="shared" si="7"/>
        <v>0</v>
      </c>
      <c r="K31" s="15">
        <f t="shared" si="7"/>
        <v>0</v>
      </c>
      <c r="L31" s="15">
        <f t="shared" si="7"/>
        <v>0</v>
      </c>
      <c r="M31" s="15">
        <f t="shared" si="7"/>
        <v>0</v>
      </c>
      <c r="N31" s="15">
        <f t="shared" si="7"/>
        <v>0</v>
      </c>
      <c r="O31" s="18">
        <f t="shared" ref="O31:O42" si="8">SUM(E31:N31)</f>
        <v>0</v>
      </c>
    </row>
    <row r="32" spans="1:15" x14ac:dyDescent="0.2">
      <c r="A32" s="68"/>
      <c r="B32" s="9"/>
      <c r="C32" s="113"/>
      <c r="D32" s="54"/>
      <c r="E32" s="71">
        <f>B32*C7*C32</f>
        <v>0</v>
      </c>
      <c r="F32" s="15">
        <f t="shared" ref="F32:N32" si="9">D22</f>
        <v>0</v>
      </c>
      <c r="G32" s="15">
        <f t="shared" si="9"/>
        <v>0</v>
      </c>
      <c r="H32" s="15">
        <f t="shared" si="9"/>
        <v>0</v>
      </c>
      <c r="I32" s="15">
        <f t="shared" si="9"/>
        <v>0</v>
      </c>
      <c r="J32" s="15">
        <f t="shared" si="9"/>
        <v>0</v>
      </c>
      <c r="K32" s="15">
        <f t="shared" si="9"/>
        <v>0</v>
      </c>
      <c r="L32" s="15">
        <f t="shared" si="9"/>
        <v>0</v>
      </c>
      <c r="M32" s="15">
        <f t="shared" si="9"/>
        <v>0</v>
      </c>
      <c r="N32" s="15">
        <f t="shared" si="9"/>
        <v>0</v>
      </c>
      <c r="O32" s="18">
        <f t="shared" si="8"/>
        <v>0</v>
      </c>
    </row>
    <row r="33" spans="1:15" x14ac:dyDescent="0.2">
      <c r="A33" s="9" t="s">
        <v>6</v>
      </c>
      <c r="B33" s="9"/>
      <c r="C33" s="55">
        <f>'[1]Plan entrada'!C11</f>
        <v>0.5</v>
      </c>
      <c r="D33" s="54">
        <f>SUM(C14:F14)</f>
        <v>0</v>
      </c>
      <c r="E33" s="44">
        <f t="shared" ref="E33:N33" si="10">(C$11*C14*C$10)</f>
        <v>0</v>
      </c>
      <c r="F33" s="15">
        <f t="shared" si="10"/>
        <v>0</v>
      </c>
      <c r="G33" s="15">
        <f t="shared" si="10"/>
        <v>0</v>
      </c>
      <c r="H33" s="15">
        <f t="shared" si="10"/>
        <v>0</v>
      </c>
      <c r="I33" s="15">
        <f t="shared" si="10"/>
        <v>0</v>
      </c>
      <c r="J33" s="15">
        <f t="shared" si="10"/>
        <v>0</v>
      </c>
      <c r="K33" s="15">
        <f t="shared" si="10"/>
        <v>0</v>
      </c>
      <c r="L33" s="15">
        <f t="shared" si="10"/>
        <v>0</v>
      </c>
      <c r="M33" s="15">
        <f t="shared" si="10"/>
        <v>0</v>
      </c>
      <c r="N33" s="15">
        <f t="shared" si="10"/>
        <v>0</v>
      </c>
      <c r="O33" s="18">
        <f t="shared" si="8"/>
        <v>0</v>
      </c>
    </row>
    <row r="34" spans="1:15" x14ac:dyDescent="0.2">
      <c r="A34" s="19" t="s">
        <v>7</v>
      </c>
      <c r="B34" s="19"/>
      <c r="C34" s="55">
        <f>'[1]Plan entrada'!C12</f>
        <v>1</v>
      </c>
      <c r="D34" s="54">
        <f>SUM(C15:F15)</f>
        <v>0</v>
      </c>
      <c r="E34" s="44">
        <f t="shared" ref="E34:N34" si="11">(C12*C15*C$10)</f>
        <v>0</v>
      </c>
      <c r="F34" s="15">
        <f t="shared" si="11"/>
        <v>0</v>
      </c>
      <c r="G34" s="15">
        <f t="shared" si="11"/>
        <v>0</v>
      </c>
      <c r="H34" s="15">
        <f t="shared" si="11"/>
        <v>0</v>
      </c>
      <c r="I34" s="15">
        <f t="shared" si="11"/>
        <v>0</v>
      </c>
      <c r="J34" s="15">
        <f t="shared" si="11"/>
        <v>0</v>
      </c>
      <c r="K34" s="15">
        <f t="shared" si="11"/>
        <v>0</v>
      </c>
      <c r="L34" s="15">
        <f t="shared" si="11"/>
        <v>0</v>
      </c>
      <c r="M34" s="15">
        <f t="shared" si="11"/>
        <v>0</v>
      </c>
      <c r="N34" s="15">
        <f t="shared" si="11"/>
        <v>0</v>
      </c>
      <c r="O34" s="18">
        <f t="shared" si="8"/>
        <v>0</v>
      </c>
    </row>
    <row r="35" spans="1:15" x14ac:dyDescent="0.2">
      <c r="A35" s="19" t="s">
        <v>8</v>
      </c>
      <c r="B35" s="19"/>
      <c r="C35" s="55">
        <f>'[1]Plan entrada'!C13</f>
        <v>0</v>
      </c>
      <c r="D35" s="54">
        <f>SUM(C16:F16)</f>
        <v>0</v>
      </c>
      <c r="E35" s="44">
        <f t="shared" ref="E35:N36" si="12">(C$11*C16*C$10)</f>
        <v>0</v>
      </c>
      <c r="F35" s="15">
        <f t="shared" si="12"/>
        <v>0</v>
      </c>
      <c r="G35" s="15">
        <f t="shared" si="12"/>
        <v>0</v>
      </c>
      <c r="H35" s="15">
        <f t="shared" si="12"/>
        <v>0</v>
      </c>
      <c r="I35" s="15">
        <f t="shared" si="12"/>
        <v>0</v>
      </c>
      <c r="J35" s="15">
        <f t="shared" si="12"/>
        <v>0</v>
      </c>
      <c r="K35" s="15">
        <f t="shared" si="12"/>
        <v>0</v>
      </c>
      <c r="L35" s="15">
        <f t="shared" si="12"/>
        <v>0</v>
      </c>
      <c r="M35" s="15">
        <f t="shared" si="12"/>
        <v>0</v>
      </c>
      <c r="N35" s="15">
        <f t="shared" si="12"/>
        <v>0</v>
      </c>
      <c r="O35" s="18">
        <f t="shared" si="8"/>
        <v>0</v>
      </c>
    </row>
    <row r="36" spans="1:15" x14ac:dyDescent="0.2">
      <c r="A36" s="22" t="s">
        <v>9</v>
      </c>
      <c r="B36" s="22"/>
      <c r="C36" s="55">
        <f>'[1]Plan entrada'!C14</f>
        <v>0.5</v>
      </c>
      <c r="D36" s="54">
        <f>SUM(C17:F17)</f>
        <v>0</v>
      </c>
      <c r="E36" s="44">
        <f t="shared" si="12"/>
        <v>0</v>
      </c>
      <c r="F36" s="15">
        <f t="shared" si="12"/>
        <v>0</v>
      </c>
      <c r="G36" s="15">
        <f t="shared" si="12"/>
        <v>0</v>
      </c>
      <c r="H36" s="15">
        <f t="shared" si="12"/>
        <v>0</v>
      </c>
      <c r="I36" s="15">
        <f t="shared" si="12"/>
        <v>0</v>
      </c>
      <c r="J36" s="15">
        <f t="shared" si="12"/>
        <v>0</v>
      </c>
      <c r="K36" s="15">
        <f t="shared" si="12"/>
        <v>0</v>
      </c>
      <c r="L36" s="15">
        <f t="shared" si="12"/>
        <v>0</v>
      </c>
      <c r="M36" s="15">
        <f t="shared" si="12"/>
        <v>0</v>
      </c>
      <c r="N36" s="15">
        <f t="shared" si="12"/>
        <v>0</v>
      </c>
      <c r="O36" s="18">
        <f t="shared" si="8"/>
        <v>0</v>
      </c>
    </row>
    <row r="37" spans="1:15" x14ac:dyDescent="0.2">
      <c r="A37" s="19" t="s">
        <v>11</v>
      </c>
      <c r="B37" s="19"/>
      <c r="C37" s="55">
        <f>'[1]Plan entrada'!C16</f>
        <v>0.2</v>
      </c>
      <c r="D37" s="54">
        <f>SUM(C19:F19)</f>
        <v>0</v>
      </c>
      <c r="E37" s="44">
        <f t="shared" ref="E37:N37" si="13">(C13*C19*C10)</f>
        <v>0</v>
      </c>
      <c r="F37" s="15">
        <f t="shared" si="13"/>
        <v>0</v>
      </c>
      <c r="G37" s="15">
        <f t="shared" si="13"/>
        <v>0</v>
      </c>
      <c r="H37" s="15">
        <f t="shared" si="13"/>
        <v>0</v>
      </c>
      <c r="I37" s="15">
        <f t="shared" si="13"/>
        <v>0</v>
      </c>
      <c r="J37" s="15">
        <f t="shared" si="13"/>
        <v>0</v>
      </c>
      <c r="K37" s="15">
        <f t="shared" si="13"/>
        <v>0</v>
      </c>
      <c r="L37" s="15">
        <f t="shared" si="13"/>
        <v>0</v>
      </c>
      <c r="M37" s="15">
        <f t="shared" si="13"/>
        <v>0</v>
      </c>
      <c r="N37" s="15">
        <f t="shared" si="13"/>
        <v>0</v>
      </c>
      <c r="O37" s="18">
        <f t="shared" si="8"/>
        <v>0</v>
      </c>
    </row>
    <row r="38" spans="1:15" x14ac:dyDescent="0.2">
      <c r="A38" s="9" t="s">
        <v>10</v>
      </c>
      <c r="B38" s="9"/>
      <c r="C38" s="53">
        <f>O38/O42</f>
        <v>0</v>
      </c>
      <c r="D38" s="54">
        <f>SUM(C18:F18)</f>
        <v>0</v>
      </c>
      <c r="E38" s="44">
        <f t="shared" ref="E38:N38" si="14">(C18*8/60*C8)</f>
        <v>0</v>
      </c>
      <c r="F38" s="15">
        <f t="shared" si="14"/>
        <v>0</v>
      </c>
      <c r="G38" s="15">
        <f t="shared" si="14"/>
        <v>0</v>
      </c>
      <c r="H38" s="15">
        <f t="shared" si="14"/>
        <v>0</v>
      </c>
      <c r="I38" s="15">
        <f t="shared" si="14"/>
        <v>0</v>
      </c>
      <c r="J38" s="15">
        <f t="shared" si="14"/>
        <v>0</v>
      </c>
      <c r="K38" s="15">
        <f t="shared" si="14"/>
        <v>0</v>
      </c>
      <c r="L38" s="15">
        <f t="shared" si="14"/>
        <v>0</v>
      </c>
      <c r="M38" s="15">
        <f t="shared" si="14"/>
        <v>0</v>
      </c>
      <c r="N38" s="15">
        <f t="shared" si="14"/>
        <v>0</v>
      </c>
      <c r="O38" s="18">
        <f t="shared" si="8"/>
        <v>0</v>
      </c>
    </row>
    <row r="39" spans="1:15" x14ac:dyDescent="0.2">
      <c r="A39" s="19" t="s">
        <v>20</v>
      </c>
      <c r="B39" s="19"/>
      <c r="C39" s="53">
        <f>O39/O29</f>
        <v>0</v>
      </c>
      <c r="D39" s="56">
        <f>E39/M8</f>
        <v>0</v>
      </c>
      <c r="E39" s="44">
        <f t="shared" ref="E39:N39" si="15">(SUM(E33:E36)/25)*5</f>
        <v>0</v>
      </c>
      <c r="F39" s="15">
        <f t="shared" si="15"/>
        <v>0</v>
      </c>
      <c r="G39" s="15">
        <f t="shared" si="15"/>
        <v>0</v>
      </c>
      <c r="H39" s="15">
        <f t="shared" si="15"/>
        <v>0</v>
      </c>
      <c r="I39" s="15">
        <f t="shared" si="15"/>
        <v>0</v>
      </c>
      <c r="J39" s="15">
        <f t="shared" si="15"/>
        <v>0</v>
      </c>
      <c r="K39" s="15">
        <f t="shared" si="15"/>
        <v>0</v>
      </c>
      <c r="L39" s="15">
        <f t="shared" si="15"/>
        <v>0</v>
      </c>
      <c r="M39" s="15">
        <f t="shared" si="15"/>
        <v>0</v>
      </c>
      <c r="N39" s="15">
        <f t="shared" si="15"/>
        <v>0</v>
      </c>
      <c r="O39" s="18">
        <f t="shared" si="8"/>
        <v>0</v>
      </c>
    </row>
    <row r="40" spans="1:15" x14ac:dyDescent="0.2">
      <c r="A40" s="19" t="s">
        <v>21</v>
      </c>
      <c r="B40" s="19"/>
      <c r="C40" s="57">
        <f>O40/O29</f>
        <v>0</v>
      </c>
      <c r="D40" s="15">
        <f>E40/(M8*C37)</f>
        <v>0</v>
      </c>
      <c r="E40" s="44">
        <f t="shared" ref="E40:N40" si="16">(E37/25)*5</f>
        <v>0</v>
      </c>
      <c r="F40" s="15">
        <f t="shared" si="16"/>
        <v>0</v>
      </c>
      <c r="G40" s="15">
        <f t="shared" si="16"/>
        <v>0</v>
      </c>
      <c r="H40" s="15">
        <f t="shared" si="16"/>
        <v>0</v>
      </c>
      <c r="I40" s="15">
        <f t="shared" si="16"/>
        <v>0</v>
      </c>
      <c r="J40" s="15">
        <f t="shared" si="16"/>
        <v>0</v>
      </c>
      <c r="K40" s="15">
        <f t="shared" si="16"/>
        <v>0</v>
      </c>
      <c r="L40" s="15">
        <f t="shared" si="16"/>
        <v>0</v>
      </c>
      <c r="M40" s="15">
        <f t="shared" si="16"/>
        <v>0</v>
      </c>
      <c r="N40" s="15">
        <f t="shared" si="16"/>
        <v>0</v>
      </c>
      <c r="O40" s="18">
        <f t="shared" si="8"/>
        <v>0</v>
      </c>
    </row>
    <row r="41" spans="1:15" x14ac:dyDescent="0.2">
      <c r="A41" s="68"/>
      <c r="B41" s="9"/>
      <c r="C41" s="20"/>
      <c r="D41" s="15"/>
      <c r="E41" s="71"/>
      <c r="F41" s="15"/>
      <c r="G41" s="15"/>
      <c r="H41" s="15"/>
      <c r="I41" s="15"/>
      <c r="J41" s="15"/>
      <c r="K41" s="15"/>
      <c r="L41" s="15"/>
      <c r="M41" s="15"/>
      <c r="N41" s="15"/>
      <c r="O41" s="18">
        <f t="shared" si="8"/>
        <v>0</v>
      </c>
    </row>
    <row r="42" spans="1:15" x14ac:dyDescent="0.2">
      <c r="A42" s="66" t="s">
        <v>22</v>
      </c>
      <c r="B42" s="11"/>
      <c r="C42" s="58"/>
      <c r="D42" s="9"/>
      <c r="E42" s="95">
        <f t="shared" ref="E42:N42" si="17">SUM(E29:E41)</f>
        <v>1781.9774545454543</v>
      </c>
      <c r="F42" s="15">
        <f t="shared" si="17"/>
        <v>0</v>
      </c>
      <c r="G42" s="15">
        <f t="shared" si="17"/>
        <v>0</v>
      </c>
      <c r="H42" s="15">
        <f t="shared" si="17"/>
        <v>0</v>
      </c>
      <c r="I42" s="15">
        <f t="shared" si="17"/>
        <v>0</v>
      </c>
      <c r="J42" s="15">
        <f t="shared" si="17"/>
        <v>0</v>
      </c>
      <c r="K42" s="15">
        <f t="shared" si="17"/>
        <v>0</v>
      </c>
      <c r="L42" s="15">
        <f t="shared" si="17"/>
        <v>0</v>
      </c>
      <c r="M42" s="15">
        <f t="shared" si="17"/>
        <v>0</v>
      </c>
      <c r="N42" s="15">
        <f t="shared" si="17"/>
        <v>0</v>
      </c>
      <c r="O42" s="18">
        <f t="shared" si="8"/>
        <v>1781.9774545454543</v>
      </c>
    </row>
    <row r="43" spans="1:15" x14ac:dyDescent="0.2">
      <c r="A43" s="9"/>
      <c r="B43" s="9"/>
      <c r="C43" s="11"/>
      <c r="D43" s="9"/>
      <c r="E43" s="37"/>
      <c r="F43" s="9"/>
      <c r="G43" s="9"/>
      <c r="H43" s="9"/>
      <c r="I43" s="9"/>
      <c r="J43" s="9"/>
      <c r="K43" s="9"/>
      <c r="L43" s="9"/>
      <c r="M43" s="9"/>
      <c r="N43" s="9"/>
      <c r="O43" s="9"/>
    </row>
    <row r="44" spans="1:15" x14ac:dyDescent="0.2">
      <c r="A44" s="64" t="s">
        <v>23</v>
      </c>
      <c r="B44" s="19"/>
      <c r="C44" s="11"/>
      <c r="D44" s="9"/>
      <c r="E44" s="37"/>
      <c r="F44" s="9"/>
      <c r="G44" s="19"/>
      <c r="H44" s="11"/>
      <c r="I44" s="9"/>
      <c r="J44" s="9"/>
      <c r="K44" s="9"/>
      <c r="L44" s="9"/>
      <c r="M44" s="9"/>
      <c r="N44" s="9"/>
      <c r="O44" s="9"/>
    </row>
    <row r="45" spans="1:15" x14ac:dyDescent="0.2">
      <c r="A45" s="9"/>
      <c r="B45" s="9"/>
      <c r="C45" s="11"/>
      <c r="D45" s="9"/>
      <c r="E45" s="37"/>
      <c r="F45" s="9"/>
      <c r="G45" s="9"/>
      <c r="H45" s="11"/>
      <c r="I45" s="9"/>
      <c r="J45" s="9"/>
      <c r="K45" s="9"/>
      <c r="L45" s="9"/>
      <c r="M45" s="9"/>
      <c r="N45" s="9"/>
      <c r="O45" s="9"/>
    </row>
    <row r="46" spans="1:15" x14ac:dyDescent="0.2">
      <c r="A46" s="9" t="s">
        <v>24</v>
      </c>
      <c r="B46" s="9"/>
      <c r="C46" s="20">
        <v>0</v>
      </c>
      <c r="D46" s="18">
        <f>$O$42*C46</f>
        <v>0</v>
      </c>
      <c r="E46" s="45"/>
      <c r="F46" s="9"/>
      <c r="G46" s="9"/>
      <c r="H46" s="20"/>
      <c r="I46" s="18"/>
      <c r="J46" s="18"/>
      <c r="K46" s="9"/>
      <c r="L46" s="9"/>
      <c r="M46" s="9"/>
      <c r="N46" s="9"/>
      <c r="O46" s="9"/>
    </row>
    <row r="47" spans="1:15" x14ac:dyDescent="0.2">
      <c r="A47" s="9" t="s">
        <v>25</v>
      </c>
      <c r="B47" s="9"/>
      <c r="C47" s="20">
        <v>0</v>
      </c>
      <c r="D47" s="18">
        <f>$O$42*C47</f>
        <v>0</v>
      </c>
      <c r="E47" s="45"/>
      <c r="F47" s="9"/>
      <c r="G47" s="9"/>
      <c r="H47" s="20"/>
      <c r="I47" s="18"/>
      <c r="J47" s="18"/>
      <c r="K47" s="9"/>
      <c r="L47" s="9"/>
      <c r="M47" s="9"/>
      <c r="N47" s="9"/>
      <c r="O47" s="9"/>
    </row>
    <row r="48" spans="1:15" x14ac:dyDescent="0.2">
      <c r="A48" s="9" t="s">
        <v>26</v>
      </c>
      <c r="B48" s="9"/>
      <c r="C48" s="20">
        <v>0.03</v>
      </c>
      <c r="D48" s="18">
        <f>$O$42*C48</f>
        <v>53.459323636363628</v>
      </c>
      <c r="E48" s="45"/>
      <c r="F48" s="9"/>
      <c r="G48" s="9"/>
      <c r="H48" s="20"/>
      <c r="I48" s="18"/>
      <c r="J48" s="18"/>
      <c r="K48" s="9"/>
      <c r="L48" s="9"/>
      <c r="M48" s="9"/>
      <c r="N48" s="9"/>
      <c r="O48" s="9"/>
    </row>
    <row r="49" spans="1:15" x14ac:dyDescent="0.2">
      <c r="A49" s="9" t="s">
        <v>27</v>
      </c>
      <c r="B49" s="9"/>
      <c r="C49" s="21">
        <v>0.08</v>
      </c>
      <c r="D49" s="18">
        <f>$O$42*C49</f>
        <v>142.55819636363634</v>
      </c>
      <c r="E49" s="45"/>
      <c r="F49" s="9"/>
      <c r="G49" s="9"/>
      <c r="H49" s="21"/>
      <c r="I49" s="18"/>
      <c r="J49" s="18"/>
      <c r="K49" s="9"/>
      <c r="L49" s="9"/>
      <c r="M49" s="9"/>
      <c r="N49" s="9"/>
      <c r="O49" s="9"/>
    </row>
    <row r="50" spans="1:15" x14ac:dyDescent="0.2">
      <c r="A50" s="9"/>
      <c r="B50" s="9"/>
      <c r="C50" s="11"/>
      <c r="D50" s="9"/>
      <c r="E50" s="37"/>
      <c r="F50" s="9"/>
      <c r="G50" s="9"/>
      <c r="H50" s="11"/>
      <c r="I50" s="9"/>
      <c r="J50" s="9"/>
      <c r="K50" s="9"/>
      <c r="L50" s="9"/>
      <c r="M50" s="9"/>
      <c r="N50" s="9"/>
      <c r="O50" s="9"/>
    </row>
    <row r="51" spans="1:15" x14ac:dyDescent="0.2">
      <c r="A51" s="73" t="s">
        <v>28</v>
      </c>
      <c r="B51" s="9"/>
      <c r="C51" s="77">
        <f>SUM(C46:C49)</f>
        <v>0.11</v>
      </c>
      <c r="D51" s="89">
        <f>SUM(D46:D50)</f>
        <v>196.01751999999996</v>
      </c>
      <c r="E51" s="45"/>
      <c r="F51" s="9"/>
      <c r="G51" s="22"/>
      <c r="H51" s="23"/>
      <c r="I51" s="18"/>
      <c r="J51" s="18"/>
      <c r="K51" s="9"/>
      <c r="L51" s="9"/>
      <c r="M51" s="9"/>
      <c r="N51" s="9"/>
      <c r="O51" s="9"/>
    </row>
    <row r="52" spans="1:15" x14ac:dyDescent="0.2">
      <c r="A52" s="9"/>
      <c r="B52" s="9"/>
      <c r="C52" s="11"/>
      <c r="D52" s="9"/>
      <c r="E52" s="37"/>
      <c r="F52" s="9"/>
      <c r="G52" s="9"/>
      <c r="H52" s="9"/>
      <c r="I52" s="9"/>
      <c r="J52" s="9"/>
      <c r="K52" s="9"/>
      <c r="L52" s="9"/>
      <c r="M52" s="9"/>
      <c r="N52" s="9"/>
      <c r="O52" s="9"/>
    </row>
    <row r="53" spans="1:15" x14ac:dyDescent="0.2">
      <c r="A53" s="64" t="s">
        <v>29</v>
      </c>
      <c r="B53" s="19"/>
      <c r="C53" s="11"/>
      <c r="D53" s="9"/>
      <c r="E53" s="37"/>
      <c r="F53" s="9"/>
      <c r="G53" s="9"/>
      <c r="H53" s="9"/>
      <c r="I53" s="9"/>
      <c r="J53" s="9"/>
      <c r="K53" s="9"/>
      <c r="L53" s="9"/>
      <c r="M53" s="9"/>
      <c r="N53" s="9"/>
      <c r="O53" s="9"/>
    </row>
    <row r="54" spans="1:15" x14ac:dyDescent="0.2">
      <c r="A54" s="9"/>
      <c r="B54" s="9"/>
      <c r="C54" s="11"/>
      <c r="D54" s="9"/>
      <c r="E54" s="37"/>
      <c r="F54" s="9"/>
      <c r="G54" s="9"/>
      <c r="H54" s="9"/>
      <c r="I54" s="9"/>
      <c r="J54" s="9"/>
      <c r="K54" s="9"/>
      <c r="L54" s="9"/>
      <c r="M54" s="9"/>
      <c r="N54" s="9"/>
      <c r="O54" s="9"/>
    </row>
    <row r="55" spans="1:15" x14ac:dyDescent="0.2">
      <c r="A55" s="9" t="s">
        <v>30</v>
      </c>
      <c r="B55" s="9"/>
      <c r="C55" s="21">
        <v>0.12920000000000001</v>
      </c>
      <c r="D55" s="18">
        <f>$O$42*C55</f>
        <v>230.23148712727271</v>
      </c>
      <c r="E55" s="45"/>
      <c r="F55" s="9"/>
      <c r="G55" s="9"/>
      <c r="H55" s="9"/>
      <c r="I55" s="9"/>
      <c r="J55" s="9"/>
      <c r="K55" s="9"/>
      <c r="L55" s="9"/>
      <c r="M55" s="9"/>
      <c r="N55" s="9"/>
      <c r="O55" s="9"/>
    </row>
    <row r="56" spans="1:15" x14ac:dyDescent="0.2">
      <c r="A56" s="9" t="s">
        <v>31</v>
      </c>
      <c r="B56" s="9"/>
      <c r="C56" s="21">
        <v>9.3899999999999997E-2</v>
      </c>
      <c r="D56" s="18">
        <f>$O$42*C56</f>
        <v>167.32768298181816</v>
      </c>
      <c r="E56" s="45"/>
      <c r="F56" s="9"/>
      <c r="G56" s="9"/>
      <c r="H56" s="9"/>
      <c r="I56" s="9"/>
      <c r="J56" s="9"/>
      <c r="K56" s="9"/>
      <c r="L56" s="9"/>
      <c r="M56" s="9"/>
      <c r="N56" s="9"/>
      <c r="O56" s="9"/>
    </row>
    <row r="57" spans="1:15" x14ac:dyDescent="0.2">
      <c r="A57" s="19" t="s">
        <v>32</v>
      </c>
      <c r="B57" s="19"/>
      <c r="C57" s="21">
        <v>5.4100000000000002E-2</v>
      </c>
      <c r="D57" s="18">
        <f>$O$42*C57</f>
        <v>96.40498029090908</v>
      </c>
      <c r="E57" s="45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x14ac:dyDescent="0.2">
      <c r="A58" s="9" t="s">
        <v>33</v>
      </c>
      <c r="B58" s="9"/>
      <c r="C58" s="21">
        <v>0.01</v>
      </c>
      <c r="D58" s="18">
        <f>$O$42*C58</f>
        <v>17.819774545454543</v>
      </c>
      <c r="E58" s="45"/>
      <c r="F58" s="9"/>
      <c r="G58" s="9"/>
      <c r="H58" s="9"/>
      <c r="I58" s="9"/>
      <c r="J58" s="9"/>
      <c r="K58" s="9"/>
      <c r="L58" s="9"/>
      <c r="M58" s="9"/>
      <c r="N58" s="9"/>
      <c r="O58" s="9"/>
    </row>
    <row r="59" spans="1:15" x14ac:dyDescent="0.2">
      <c r="A59" s="19" t="s">
        <v>34</v>
      </c>
      <c r="B59" s="19"/>
      <c r="C59" s="21">
        <f>D59/E42</f>
        <v>0</v>
      </c>
      <c r="D59" s="18">
        <f>SUM(E30:E37)/12</f>
        <v>0</v>
      </c>
      <c r="E59" s="45"/>
      <c r="F59" s="9"/>
      <c r="G59" s="9"/>
      <c r="H59" s="9"/>
      <c r="I59" s="9"/>
      <c r="J59" s="9"/>
      <c r="K59" s="9"/>
      <c r="L59" s="9"/>
      <c r="M59" s="9"/>
      <c r="N59" s="9"/>
      <c r="O59" s="9"/>
    </row>
    <row r="60" spans="1:15" x14ac:dyDescent="0.2">
      <c r="A60" s="19" t="s">
        <v>35</v>
      </c>
      <c r="B60" s="19"/>
      <c r="C60" s="21">
        <f>C59</f>
        <v>0</v>
      </c>
      <c r="D60" s="18">
        <f>D59</f>
        <v>0</v>
      </c>
      <c r="E60" s="45"/>
      <c r="F60" s="9"/>
      <c r="G60" s="9"/>
      <c r="H60" s="9"/>
      <c r="I60" s="9"/>
      <c r="J60" s="9"/>
      <c r="K60" s="9"/>
      <c r="L60" s="9"/>
      <c r="M60" s="9"/>
      <c r="N60" s="9"/>
      <c r="O60" s="9"/>
    </row>
    <row r="61" spans="1:15" x14ac:dyDescent="0.2">
      <c r="A61" s="9"/>
      <c r="B61" s="9"/>
      <c r="C61" s="11"/>
      <c r="D61" s="9"/>
      <c r="E61" s="37"/>
      <c r="F61" s="9"/>
      <c r="G61" s="9"/>
      <c r="H61" s="9"/>
      <c r="I61" s="9"/>
      <c r="J61" s="9"/>
      <c r="K61" s="9"/>
      <c r="L61" s="9"/>
      <c r="M61" s="9"/>
      <c r="N61" s="9"/>
      <c r="O61" s="9"/>
    </row>
    <row r="62" spans="1:15" x14ac:dyDescent="0.2">
      <c r="A62" s="76" t="s">
        <v>36</v>
      </c>
      <c r="B62" s="19"/>
      <c r="C62" s="77">
        <f>SUM(C55:C61)</f>
        <v>0.28720000000000001</v>
      </c>
      <c r="D62" s="94">
        <f>SUM(D55:D61)</f>
        <v>511.78392494545449</v>
      </c>
      <c r="E62" s="46"/>
      <c r="F62" s="9"/>
      <c r="G62" s="9"/>
      <c r="H62" s="9"/>
      <c r="I62" s="9"/>
      <c r="J62" s="9"/>
      <c r="K62" s="9"/>
      <c r="L62" s="9"/>
      <c r="M62" s="9"/>
      <c r="N62" s="9"/>
      <c r="O62" s="9"/>
    </row>
    <row r="63" spans="1:15" x14ac:dyDescent="0.2">
      <c r="A63" s="9"/>
      <c r="B63" s="9"/>
      <c r="C63" s="11"/>
      <c r="D63" s="9"/>
      <c r="E63" s="37"/>
      <c r="F63" s="9"/>
      <c r="G63" s="9"/>
      <c r="H63" s="9"/>
      <c r="I63" s="9"/>
      <c r="J63" s="9"/>
      <c r="K63" s="9"/>
      <c r="L63" s="9"/>
      <c r="M63" s="9"/>
      <c r="N63" s="9"/>
      <c r="O63" s="9"/>
    </row>
    <row r="64" spans="1:15" x14ac:dyDescent="0.2">
      <c r="A64" s="64" t="s">
        <v>37</v>
      </c>
      <c r="B64" s="19"/>
      <c r="C64" s="11"/>
      <c r="D64" s="9"/>
      <c r="E64" s="37"/>
      <c r="F64" s="9"/>
      <c r="G64" s="9"/>
      <c r="H64" s="9"/>
      <c r="I64" s="9"/>
      <c r="J64" s="9"/>
      <c r="K64" s="9"/>
      <c r="L64" s="9"/>
      <c r="M64" s="9"/>
      <c r="N64" s="9"/>
      <c r="O64" s="9"/>
    </row>
    <row r="65" spans="1:15" x14ac:dyDescent="0.2">
      <c r="A65" s="9"/>
      <c r="B65" s="9"/>
      <c r="C65" s="11"/>
      <c r="D65" s="9"/>
      <c r="E65" s="37"/>
      <c r="F65" s="9"/>
      <c r="G65" s="9"/>
      <c r="H65" s="9"/>
      <c r="I65" s="9"/>
      <c r="J65" s="9"/>
      <c r="K65" s="9"/>
      <c r="L65" s="9"/>
      <c r="M65" s="9"/>
      <c r="N65" s="9"/>
      <c r="O65" s="9"/>
    </row>
    <row r="66" spans="1:15" x14ac:dyDescent="0.2">
      <c r="A66" s="9" t="s">
        <v>24</v>
      </c>
      <c r="B66" s="9"/>
      <c r="C66" s="20">
        <v>0</v>
      </c>
      <c r="D66" s="18">
        <f>D$62*C66</f>
        <v>0</v>
      </c>
      <c r="E66" s="45"/>
      <c r="F66" s="9"/>
      <c r="G66" s="9"/>
      <c r="H66" s="9"/>
      <c r="I66" s="9"/>
      <c r="J66" s="9"/>
      <c r="K66" s="9"/>
      <c r="L66" s="9"/>
      <c r="M66" s="9"/>
      <c r="N66" s="9"/>
      <c r="O66" s="9"/>
    </row>
    <row r="67" spans="1:15" x14ac:dyDescent="0.2">
      <c r="A67" s="9" t="s">
        <v>25</v>
      </c>
      <c r="B67" s="9"/>
      <c r="C67" s="20">
        <v>0</v>
      </c>
      <c r="D67" s="18">
        <f>D$62*C67</f>
        <v>0</v>
      </c>
      <c r="E67" s="45"/>
      <c r="F67" s="9"/>
      <c r="G67" s="9"/>
      <c r="H67" s="9"/>
      <c r="I67" s="9"/>
      <c r="J67" s="9"/>
      <c r="K67" s="9"/>
      <c r="L67" s="9"/>
      <c r="M67" s="9"/>
      <c r="N67" s="9"/>
      <c r="O67" s="9"/>
    </row>
    <row r="68" spans="1:15" x14ac:dyDescent="0.2">
      <c r="A68" s="9" t="s">
        <v>26</v>
      </c>
      <c r="B68" s="9"/>
      <c r="C68" s="20">
        <v>0.03</v>
      </c>
      <c r="D68" s="18">
        <f>D$62*C68</f>
        <v>15.353517748363634</v>
      </c>
      <c r="E68" s="45"/>
      <c r="F68" s="9"/>
      <c r="G68" s="9"/>
      <c r="H68" s="20"/>
      <c r="I68" s="18"/>
      <c r="J68" s="18"/>
      <c r="K68" s="9"/>
      <c r="L68" s="9"/>
      <c r="M68" s="9"/>
      <c r="N68" s="9"/>
      <c r="O68" s="9"/>
    </row>
    <row r="69" spans="1:15" x14ac:dyDescent="0.2">
      <c r="A69" s="9" t="s">
        <v>27</v>
      </c>
      <c r="B69" s="9"/>
      <c r="C69" s="21">
        <v>0.08</v>
      </c>
      <c r="D69" s="18">
        <f>D$62*C69</f>
        <v>40.94271399563636</v>
      </c>
      <c r="E69" s="45"/>
      <c r="F69" s="9"/>
      <c r="G69" s="9"/>
      <c r="H69" s="9"/>
      <c r="I69" s="9"/>
      <c r="J69" s="9"/>
      <c r="K69" s="9"/>
      <c r="L69" s="9"/>
      <c r="M69" s="9"/>
      <c r="N69" s="9"/>
      <c r="O69" s="9"/>
    </row>
    <row r="70" spans="1:15" x14ac:dyDescent="0.2">
      <c r="A70" s="9"/>
      <c r="B70" s="9"/>
      <c r="C70" s="11"/>
      <c r="D70" s="9"/>
      <c r="E70" s="37"/>
      <c r="F70" s="9"/>
      <c r="G70" s="9"/>
      <c r="H70" s="9"/>
      <c r="I70" s="9"/>
      <c r="J70" s="9"/>
      <c r="K70" s="9"/>
      <c r="L70" s="9"/>
      <c r="M70" s="9"/>
      <c r="N70" s="9"/>
      <c r="O70" s="9"/>
    </row>
    <row r="71" spans="1:15" x14ac:dyDescent="0.2">
      <c r="A71" s="76" t="s">
        <v>36</v>
      </c>
      <c r="B71" s="19"/>
      <c r="C71" s="78">
        <v>0.11</v>
      </c>
      <c r="D71" s="89">
        <f>SUM(D66:D70)</f>
        <v>56.296231743999996</v>
      </c>
      <c r="E71" s="45"/>
      <c r="F71" s="9"/>
      <c r="G71" s="9"/>
      <c r="H71" s="9"/>
      <c r="I71" s="9"/>
      <c r="J71" s="9"/>
      <c r="K71" s="9"/>
      <c r="L71" s="9"/>
      <c r="M71" s="9"/>
      <c r="N71" s="9"/>
      <c r="O71" s="9"/>
    </row>
    <row r="72" spans="1:15" x14ac:dyDescent="0.2">
      <c r="A72" s="22"/>
      <c r="B72" s="22"/>
      <c r="C72" s="23"/>
      <c r="D72" s="18"/>
      <c r="E72" s="45"/>
      <c r="F72" s="9"/>
      <c r="G72" s="9"/>
      <c r="H72" s="9"/>
      <c r="I72" s="9"/>
      <c r="J72" s="9"/>
      <c r="K72" s="9"/>
      <c r="L72" s="9"/>
      <c r="M72" s="9"/>
      <c r="N72" s="9"/>
      <c r="O72" s="9"/>
    </row>
    <row r="73" spans="1:15" x14ac:dyDescent="0.2">
      <c r="A73" s="64" t="s">
        <v>38</v>
      </c>
      <c r="B73" s="19"/>
      <c r="C73" s="11"/>
      <c r="D73" s="9"/>
      <c r="E73" s="37"/>
      <c r="F73" s="9"/>
      <c r="G73" s="9"/>
      <c r="H73" s="9"/>
      <c r="I73" s="9"/>
      <c r="J73" s="9"/>
      <c r="K73" s="9"/>
      <c r="L73" s="9"/>
      <c r="M73" s="9"/>
      <c r="N73" s="9"/>
      <c r="O73" s="9"/>
    </row>
    <row r="74" spans="1:15" x14ac:dyDescent="0.2">
      <c r="A74" s="9"/>
      <c r="B74" s="9"/>
      <c r="C74" s="11"/>
      <c r="D74" s="9"/>
      <c r="E74" s="37"/>
      <c r="F74" s="9"/>
      <c r="G74" s="9"/>
      <c r="H74" s="9"/>
      <c r="I74" s="9"/>
      <c r="J74" s="9"/>
      <c r="K74" s="9"/>
      <c r="L74" s="9"/>
      <c r="M74" s="9"/>
      <c r="N74" s="9"/>
      <c r="O74" s="9"/>
    </row>
    <row r="75" spans="1:15" x14ac:dyDescent="0.2">
      <c r="A75" s="19" t="s">
        <v>39</v>
      </c>
      <c r="B75" s="19"/>
      <c r="C75" s="21">
        <f>D75/E42</f>
        <v>1.122348655365092E-2</v>
      </c>
      <c r="D75" s="15">
        <v>20</v>
      </c>
      <c r="E75" s="44"/>
      <c r="F75" s="9"/>
      <c r="G75" s="9"/>
      <c r="H75" s="9"/>
      <c r="I75" s="9"/>
      <c r="J75" s="9"/>
      <c r="K75" s="9"/>
      <c r="L75" s="9"/>
      <c r="M75" s="9"/>
      <c r="N75" s="9"/>
      <c r="O75" s="9"/>
    </row>
    <row r="76" spans="1:15" x14ac:dyDescent="0.2">
      <c r="A76" s="22" t="s">
        <v>40</v>
      </c>
      <c r="B76" s="22"/>
      <c r="C76" s="21">
        <v>1.8499999999999999E-2</v>
      </c>
      <c r="D76" s="15">
        <f>O$42*C76</f>
        <v>32.966582909090903</v>
      </c>
      <c r="E76" s="44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x14ac:dyDescent="0.2">
      <c r="A77" s="22" t="s">
        <v>41</v>
      </c>
      <c r="B77" s="22"/>
      <c r="C77" s="21">
        <v>1.4999999999999999E-2</v>
      </c>
      <c r="D77" s="15">
        <f>O$42*C77</f>
        <v>26.729661818181814</v>
      </c>
      <c r="E77" s="44"/>
      <c r="F77" s="9"/>
      <c r="G77" s="9"/>
      <c r="H77" s="9"/>
      <c r="I77" s="9"/>
      <c r="J77" s="9"/>
      <c r="K77" s="9"/>
      <c r="L77" s="9"/>
      <c r="M77" s="9"/>
      <c r="N77" s="9"/>
      <c r="O77" s="9"/>
    </row>
    <row r="78" spans="1:15" x14ac:dyDescent="0.2">
      <c r="A78" s="19" t="s">
        <v>42</v>
      </c>
      <c r="B78" s="19"/>
      <c r="C78" s="21">
        <f>D78/E42</f>
        <v>1.1504073717492193E-3</v>
      </c>
      <c r="D78" s="15">
        <f>((3/12)+1.8)*M10</f>
        <v>2.0499999999999998</v>
      </c>
      <c r="E78" s="44"/>
      <c r="F78" s="9"/>
      <c r="G78" s="9"/>
      <c r="H78" s="9"/>
      <c r="I78" s="9"/>
      <c r="J78" s="9"/>
      <c r="K78" s="9"/>
      <c r="L78" s="9"/>
      <c r="M78" s="9"/>
      <c r="N78" s="9"/>
      <c r="O78" s="9"/>
    </row>
    <row r="79" spans="1:15" x14ac:dyDescent="0.2">
      <c r="A79" s="19" t="s">
        <v>43</v>
      </c>
      <c r="B79" s="19"/>
      <c r="C79" s="21">
        <f>D79/E42</f>
        <v>2.7778129220286029E-3</v>
      </c>
      <c r="D79" s="15">
        <f>4.95*M10</f>
        <v>4.95</v>
      </c>
      <c r="E79" s="44"/>
      <c r="F79" s="9"/>
      <c r="G79" s="9"/>
      <c r="H79" s="9"/>
      <c r="I79" s="9"/>
      <c r="J79" s="9"/>
      <c r="K79" s="9"/>
      <c r="L79" s="9"/>
      <c r="M79" s="9"/>
      <c r="N79" s="9"/>
      <c r="O79" s="9"/>
    </row>
    <row r="80" spans="1:15" x14ac:dyDescent="0.2">
      <c r="A80" s="9"/>
      <c r="B80" s="9"/>
      <c r="C80" s="11"/>
      <c r="D80" s="15"/>
      <c r="E80" s="44"/>
      <c r="F80" s="9"/>
      <c r="G80" s="9"/>
      <c r="H80" s="9"/>
      <c r="I80" s="9"/>
      <c r="J80" s="9"/>
      <c r="K80" s="9"/>
      <c r="L80" s="9"/>
      <c r="M80" s="9"/>
      <c r="N80" s="9"/>
      <c r="O80" s="9"/>
    </row>
    <row r="81" spans="1:15" x14ac:dyDescent="0.2">
      <c r="A81" s="73" t="s">
        <v>44</v>
      </c>
      <c r="B81" s="9"/>
      <c r="C81" s="75">
        <f>D81/E42</f>
        <v>4.8653814210076737E-2</v>
      </c>
      <c r="D81" s="93">
        <v>86.7</v>
      </c>
      <c r="E81" s="44"/>
      <c r="F81" s="9"/>
      <c r="G81" s="9"/>
      <c r="H81" s="9"/>
      <c r="I81" s="9"/>
      <c r="J81" s="9"/>
      <c r="K81" s="9"/>
      <c r="L81" s="9"/>
      <c r="M81" s="9"/>
      <c r="N81" s="9"/>
      <c r="O81" s="9"/>
    </row>
    <row r="82" spans="1:15" x14ac:dyDescent="0.2">
      <c r="A82" s="9"/>
      <c r="B82" s="9"/>
      <c r="C82" s="11"/>
      <c r="D82" s="9"/>
      <c r="E82" s="37"/>
      <c r="F82" s="9"/>
      <c r="G82" s="9"/>
      <c r="H82" s="9"/>
      <c r="I82" s="9"/>
      <c r="J82" s="9"/>
      <c r="K82" s="9"/>
      <c r="L82" s="9"/>
      <c r="M82" s="9"/>
      <c r="N82" s="9"/>
      <c r="O82" s="9"/>
    </row>
    <row r="83" spans="1:15" x14ac:dyDescent="0.2">
      <c r="A83" s="64" t="s">
        <v>45</v>
      </c>
      <c r="B83" s="19"/>
      <c r="C83" s="9"/>
      <c r="D83" s="9"/>
      <c r="E83" s="37"/>
      <c r="F83" s="9"/>
      <c r="G83" s="9"/>
      <c r="H83" s="9"/>
      <c r="I83" s="9"/>
      <c r="J83" s="9"/>
      <c r="K83" s="9"/>
      <c r="L83" s="9"/>
      <c r="M83" s="9"/>
      <c r="N83" s="9"/>
      <c r="O83" s="9"/>
    </row>
    <row r="84" spans="1:15" x14ac:dyDescent="0.2">
      <c r="A84" s="9"/>
      <c r="B84" s="9"/>
      <c r="C84" s="9"/>
      <c r="D84" s="9"/>
      <c r="E84" s="37"/>
      <c r="F84" s="9"/>
      <c r="G84" s="9"/>
      <c r="H84" s="9"/>
      <c r="I84" s="9"/>
      <c r="J84" s="9"/>
      <c r="K84" s="9"/>
      <c r="L84" s="9"/>
      <c r="M84" s="9"/>
      <c r="N84" s="9"/>
      <c r="O84" s="9"/>
    </row>
    <row r="85" spans="1:15" x14ac:dyDescent="0.2">
      <c r="A85" s="122" t="s">
        <v>46</v>
      </c>
      <c r="B85" s="19" t="s">
        <v>47</v>
      </c>
      <c r="C85" s="72">
        <f>'[1]Plan entrada'!D25</f>
        <v>6</v>
      </c>
      <c r="D85" s="67">
        <f>M10*E24*C85*2</f>
        <v>312</v>
      </c>
      <c r="E85" s="47"/>
      <c r="F85" s="9"/>
      <c r="G85" s="9"/>
      <c r="H85" s="9"/>
      <c r="I85" s="9"/>
      <c r="J85" s="9"/>
      <c r="K85" s="9"/>
      <c r="L85" s="9"/>
      <c r="M85" s="9"/>
      <c r="N85" s="9"/>
      <c r="O85" s="9"/>
    </row>
    <row r="86" spans="1:15" x14ac:dyDescent="0.2">
      <c r="A86" s="122" t="s">
        <v>46</v>
      </c>
      <c r="B86" s="22" t="s">
        <v>48</v>
      </c>
      <c r="C86" s="79">
        <v>0.06</v>
      </c>
      <c r="D86" s="81">
        <f>IF(G86&gt;F86,G86,0)+IF(G86&lt;F86,F86,0)+IF(F86=G86,G86,0)</f>
        <v>-106.91864727272726</v>
      </c>
      <c r="E86" s="47"/>
      <c r="F86" s="18">
        <f>-O42*6%</f>
        <v>-106.91864727272726</v>
      </c>
      <c r="G86" s="25">
        <f>$O$29*-$C$86-$E$86</f>
        <v>-106.91864727272726</v>
      </c>
      <c r="H86" s="9"/>
      <c r="I86" s="9"/>
      <c r="J86" s="9"/>
      <c r="K86" s="9"/>
      <c r="L86" s="9"/>
      <c r="M86" s="9"/>
      <c r="N86" s="9"/>
      <c r="O86" s="9"/>
    </row>
    <row r="87" spans="1:15" x14ac:dyDescent="0.2">
      <c r="A87" s="122" t="s">
        <v>49</v>
      </c>
      <c r="B87" s="19" t="s">
        <v>47</v>
      </c>
      <c r="C87" s="72">
        <v>20.75</v>
      </c>
      <c r="D87" s="67">
        <f>E$25*C87*M10+E87</f>
        <v>539.5</v>
      </c>
      <c r="E87" s="47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x14ac:dyDescent="0.2">
      <c r="A88" s="19" t="s">
        <v>50</v>
      </c>
      <c r="B88" s="22" t="s">
        <v>48</v>
      </c>
      <c r="C88" s="59">
        <f>'[1]Plan entrada'!D28</f>
        <v>0</v>
      </c>
      <c r="D88" s="25">
        <f>D87*-C88-E88</f>
        <v>0</v>
      </c>
      <c r="E88" s="47"/>
      <c r="F88" s="9"/>
      <c r="G88" s="9"/>
      <c r="H88" s="9"/>
      <c r="I88" s="9"/>
      <c r="J88" s="9"/>
      <c r="K88" s="9"/>
      <c r="L88" s="9"/>
      <c r="M88" s="9"/>
      <c r="N88" s="9"/>
      <c r="O88" s="9"/>
    </row>
    <row r="89" spans="1:15" x14ac:dyDescent="0.2">
      <c r="A89" s="19" t="s">
        <v>51</v>
      </c>
      <c r="B89" s="19" t="s">
        <v>47</v>
      </c>
      <c r="C89" s="15"/>
      <c r="D89" s="25">
        <f>E$25*C89*M10+E89</f>
        <v>0</v>
      </c>
      <c r="E89" s="47"/>
      <c r="F89" s="9"/>
      <c r="G89" s="9"/>
      <c r="H89" s="9"/>
      <c r="I89" s="9"/>
      <c r="J89" s="9"/>
      <c r="K89" s="9"/>
      <c r="L89" s="9"/>
      <c r="M89" s="9"/>
      <c r="N89" s="9"/>
      <c r="O89" s="9"/>
    </row>
    <row r="90" spans="1:15" x14ac:dyDescent="0.2">
      <c r="A90" s="19" t="s">
        <v>51</v>
      </c>
      <c r="B90" s="22" t="s">
        <v>48</v>
      </c>
      <c r="C90" s="59">
        <f>'[1]Plan entrada'!D30</f>
        <v>0</v>
      </c>
      <c r="D90" s="60">
        <f>D89*-C90+E90</f>
        <v>0</v>
      </c>
      <c r="E90" s="47"/>
      <c r="F90" s="9"/>
      <c r="G90" s="9"/>
      <c r="H90" s="9"/>
      <c r="I90" s="9"/>
      <c r="J90" s="9"/>
      <c r="K90" s="9"/>
      <c r="L90" s="9"/>
      <c r="M90" s="9"/>
      <c r="N90" s="9"/>
      <c r="O90" s="9"/>
    </row>
    <row r="91" spans="1:15" x14ac:dyDescent="0.2">
      <c r="A91" s="19" t="s">
        <v>84</v>
      </c>
      <c r="B91" s="19" t="s">
        <v>47</v>
      </c>
      <c r="C91" s="59">
        <v>0</v>
      </c>
      <c r="D91" s="25">
        <f>O42*C91</f>
        <v>0</v>
      </c>
      <c r="E91" s="47"/>
      <c r="F91" s="9"/>
      <c r="G91" s="9"/>
      <c r="H91" s="9"/>
      <c r="I91" s="9"/>
      <c r="J91" s="9"/>
      <c r="K91" s="9"/>
      <c r="L91" s="9"/>
      <c r="M91" s="9"/>
      <c r="N91" s="9"/>
      <c r="O91" s="9"/>
    </row>
    <row r="92" spans="1:15" x14ac:dyDescent="0.2">
      <c r="A92" s="19" t="s">
        <v>52</v>
      </c>
      <c r="B92" s="22" t="s">
        <v>48</v>
      </c>
      <c r="C92" s="59">
        <v>0</v>
      </c>
      <c r="D92" s="25">
        <f>D91*-C92</f>
        <v>0</v>
      </c>
      <c r="E92" s="47"/>
      <c r="F92" s="9"/>
      <c r="G92" s="9"/>
      <c r="H92" s="9"/>
      <c r="I92" s="9"/>
      <c r="J92" s="9"/>
      <c r="K92" s="9"/>
      <c r="L92" s="9"/>
      <c r="M92" s="9"/>
      <c r="N92" s="9"/>
      <c r="O92" s="9"/>
    </row>
    <row r="93" spans="1:15" x14ac:dyDescent="0.2">
      <c r="A93" s="122" t="s">
        <v>83</v>
      </c>
      <c r="B93" s="19" t="s">
        <v>47</v>
      </c>
      <c r="C93" s="72">
        <v>35.36</v>
      </c>
      <c r="D93" s="67">
        <f>C93*M10</f>
        <v>35.36</v>
      </c>
      <c r="E93" s="47"/>
      <c r="F93" s="9"/>
      <c r="G93" s="9"/>
      <c r="H93" s="9"/>
      <c r="I93" s="9"/>
      <c r="J93" s="9"/>
      <c r="K93" s="9"/>
      <c r="L93" s="9"/>
      <c r="M93" s="9"/>
      <c r="N93" s="9"/>
      <c r="O93" s="9"/>
    </row>
    <row r="94" spans="1:15" x14ac:dyDescent="0.2">
      <c r="A94" s="19" t="s">
        <v>53</v>
      </c>
      <c r="B94" s="22" t="s">
        <v>48</v>
      </c>
      <c r="C94" s="59">
        <f>'[1]Plan entrada'!D32</f>
        <v>0</v>
      </c>
      <c r="D94" s="25">
        <f>D93*-C94-E94</f>
        <v>0</v>
      </c>
      <c r="E94" s="47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x14ac:dyDescent="0.2">
      <c r="A95" s="65" t="s">
        <v>54</v>
      </c>
      <c r="B95" s="19" t="s">
        <v>47</v>
      </c>
      <c r="C95" s="72">
        <v>144.66999999999999</v>
      </c>
      <c r="D95" s="67">
        <f>C95*M10</f>
        <v>144.66999999999999</v>
      </c>
      <c r="E95" s="47"/>
      <c r="F95" s="9"/>
      <c r="G95" s="9"/>
      <c r="H95" s="9"/>
      <c r="I95" s="9"/>
      <c r="J95" s="9"/>
      <c r="K95" s="9"/>
      <c r="L95" s="9"/>
      <c r="M95" s="9"/>
      <c r="N95" s="9"/>
      <c r="O95" s="9"/>
    </row>
    <row r="96" spans="1:15" x14ac:dyDescent="0.2">
      <c r="A96" s="65"/>
      <c r="B96" s="9"/>
      <c r="C96" s="9"/>
      <c r="D96" s="25"/>
      <c r="E96" s="47"/>
      <c r="F96" s="9"/>
      <c r="G96" s="9"/>
      <c r="H96" s="9"/>
      <c r="I96" s="9"/>
      <c r="J96" s="9"/>
      <c r="K96" s="9"/>
      <c r="L96" s="9"/>
      <c r="M96" s="9"/>
      <c r="N96" s="9"/>
      <c r="O96" s="9"/>
    </row>
    <row r="97" spans="1:15" x14ac:dyDescent="0.2">
      <c r="A97" s="76" t="s">
        <v>55</v>
      </c>
      <c r="B97" s="19"/>
      <c r="C97" s="79">
        <f>D97/E42</f>
        <v>0.51886815423437671</v>
      </c>
      <c r="D97" s="92">
        <f>SUM(D85:D96)</f>
        <v>924.61135272727279</v>
      </c>
      <c r="E97" s="47"/>
      <c r="F97" s="9"/>
      <c r="G97" s="9"/>
      <c r="H97" s="9"/>
      <c r="I97" s="9"/>
      <c r="J97" s="9"/>
      <c r="K97" s="9"/>
      <c r="L97" s="9"/>
      <c r="M97" s="9"/>
      <c r="N97" s="9"/>
      <c r="O97" s="9"/>
    </row>
    <row r="98" spans="1:15" x14ac:dyDescent="0.2">
      <c r="A98" s="9"/>
      <c r="B98" s="9"/>
      <c r="C98" s="11"/>
      <c r="D98" s="9"/>
      <c r="E98" s="37"/>
      <c r="F98" s="9"/>
      <c r="G98" s="9"/>
      <c r="H98" s="9"/>
      <c r="I98" s="9"/>
      <c r="J98" s="9"/>
      <c r="K98" s="9"/>
      <c r="L98" s="9"/>
      <c r="M98" s="9"/>
      <c r="N98" s="9"/>
      <c r="O98" s="9"/>
    </row>
    <row r="99" spans="1:15" x14ac:dyDescent="0.2">
      <c r="A99" s="64" t="s">
        <v>56</v>
      </c>
      <c r="B99" s="19"/>
      <c r="C99" s="11"/>
      <c r="D99" s="9"/>
      <c r="E99" s="37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x14ac:dyDescent="0.2">
      <c r="A100" s="9"/>
      <c r="B100" s="9"/>
      <c r="C100" s="11"/>
      <c r="D100" s="9"/>
      <c r="E100" s="37"/>
      <c r="F100" s="9"/>
      <c r="G100" s="9"/>
      <c r="H100" s="9"/>
      <c r="I100" s="9"/>
      <c r="J100" s="9"/>
      <c r="K100" s="9"/>
      <c r="L100" s="9"/>
      <c r="M100" s="9"/>
      <c r="N100" s="9"/>
      <c r="O100" s="9"/>
    </row>
    <row r="101" spans="1:15" x14ac:dyDescent="0.2">
      <c r="A101" s="9"/>
      <c r="B101" s="9"/>
      <c r="C101" s="24">
        <v>0</v>
      </c>
      <c r="D101" s="9">
        <v>1</v>
      </c>
      <c r="E101" s="45">
        <v>0</v>
      </c>
      <c r="F101" s="26">
        <f>C101/D101*E101*B101</f>
        <v>0</v>
      </c>
      <c r="G101" s="9"/>
      <c r="H101" s="9"/>
      <c r="I101" s="9"/>
      <c r="J101" s="9"/>
      <c r="K101" s="9"/>
      <c r="L101" s="9"/>
      <c r="M101" s="9"/>
      <c r="N101" s="9"/>
      <c r="O101" s="9"/>
    </row>
    <row r="102" spans="1:15" x14ac:dyDescent="0.2">
      <c r="A102" s="9"/>
      <c r="B102" s="9"/>
      <c r="C102" s="24"/>
      <c r="D102" s="9">
        <v>12</v>
      </c>
      <c r="E102" s="45"/>
      <c r="F102" s="26">
        <f t="shared" ref="F102" si="18">C102/D102*E102*B102</f>
        <v>0</v>
      </c>
      <c r="G102" s="9"/>
      <c r="H102" s="9"/>
      <c r="I102" s="9"/>
      <c r="J102" s="9"/>
      <c r="K102" s="9"/>
      <c r="L102" s="9"/>
      <c r="M102" s="9"/>
      <c r="N102" s="9"/>
      <c r="O102" s="9"/>
    </row>
    <row r="103" spans="1:15" x14ac:dyDescent="0.2">
      <c r="A103" s="9" t="s">
        <v>80</v>
      </c>
      <c r="B103" s="9">
        <v>2</v>
      </c>
      <c r="C103" s="24">
        <v>55</v>
      </c>
      <c r="D103" s="9">
        <v>12</v>
      </c>
      <c r="E103" s="45">
        <v>1</v>
      </c>
      <c r="F103" s="26">
        <f t="shared" ref="F103:F109" si="19">B103*C103/D103</f>
        <v>9.1666666666666661</v>
      </c>
      <c r="G103" s="9"/>
      <c r="H103" s="9"/>
      <c r="I103" s="9"/>
      <c r="J103" s="9"/>
      <c r="K103" s="9"/>
      <c r="L103" s="9"/>
      <c r="M103" s="9"/>
      <c r="N103" s="9"/>
      <c r="O103" s="9"/>
    </row>
    <row r="104" spans="1:15" x14ac:dyDescent="0.2">
      <c r="A104" s="9" t="str">
        <f>'[1]Plan entrada'!B41</f>
        <v xml:space="preserve">Calça </v>
      </c>
      <c r="B104" s="9">
        <v>2</v>
      </c>
      <c r="C104" s="24">
        <v>45</v>
      </c>
      <c r="D104" s="9">
        <v>12</v>
      </c>
      <c r="E104" s="45">
        <v>1</v>
      </c>
      <c r="F104" s="26">
        <f t="shared" si="19"/>
        <v>7.5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x14ac:dyDescent="0.2">
      <c r="A105" s="9" t="str">
        <f>'[1]Plan entrada'!B42</f>
        <v>Camisa</v>
      </c>
      <c r="B105" s="9">
        <v>2</v>
      </c>
      <c r="C105" s="24">
        <v>40</v>
      </c>
      <c r="D105" s="9">
        <v>12</v>
      </c>
      <c r="E105" s="45">
        <v>1</v>
      </c>
      <c r="F105" s="26">
        <f t="shared" si="19"/>
        <v>6.666666666666667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x14ac:dyDescent="0.2">
      <c r="A106" s="9" t="str">
        <f>'[1]Plan entrada'!B43</f>
        <v>Bluza  de frio</v>
      </c>
      <c r="B106" s="9">
        <v>1</v>
      </c>
      <c r="C106" s="24">
        <v>85</v>
      </c>
      <c r="D106" s="9">
        <v>12</v>
      </c>
      <c r="E106" s="45">
        <v>1</v>
      </c>
      <c r="F106" s="26">
        <f t="shared" si="19"/>
        <v>7.083333333333333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x14ac:dyDescent="0.2">
      <c r="A107" s="9"/>
      <c r="B107" s="9"/>
      <c r="C107" s="24"/>
      <c r="D107" s="9">
        <v>12</v>
      </c>
      <c r="E107" s="45"/>
      <c r="F107" s="26">
        <f t="shared" si="19"/>
        <v>0</v>
      </c>
      <c r="G107" s="9"/>
      <c r="H107" s="9"/>
      <c r="I107" s="9"/>
      <c r="J107" s="9"/>
      <c r="K107" s="9"/>
      <c r="L107" s="9"/>
      <c r="M107" s="9"/>
      <c r="N107" s="9"/>
      <c r="O107" s="9"/>
    </row>
    <row r="108" spans="1:15" x14ac:dyDescent="0.2">
      <c r="A108" s="9"/>
      <c r="B108" s="9"/>
      <c r="C108" s="24"/>
      <c r="D108" s="9">
        <v>6</v>
      </c>
      <c r="E108" s="45"/>
      <c r="F108" s="26">
        <f t="shared" si="19"/>
        <v>0</v>
      </c>
      <c r="G108" s="9"/>
      <c r="H108" s="9"/>
      <c r="I108" s="9"/>
      <c r="J108" s="9"/>
      <c r="K108" s="9"/>
      <c r="L108" s="9"/>
      <c r="M108" s="9"/>
      <c r="N108" s="9"/>
      <c r="O108" s="9"/>
    </row>
    <row r="109" spans="1:15" x14ac:dyDescent="0.2">
      <c r="A109" s="9"/>
      <c r="B109" s="9"/>
      <c r="C109" s="24"/>
      <c r="D109" s="9">
        <v>6</v>
      </c>
      <c r="E109" s="45"/>
      <c r="F109" s="26">
        <f t="shared" si="19"/>
        <v>0</v>
      </c>
      <c r="G109" s="9"/>
      <c r="H109" s="9"/>
      <c r="I109" s="9"/>
      <c r="J109" s="9"/>
      <c r="K109" s="9"/>
      <c r="L109" s="9"/>
      <c r="M109" s="9"/>
      <c r="N109" s="9"/>
      <c r="O109" s="9"/>
    </row>
    <row r="110" spans="1:15" x14ac:dyDescent="0.2">
      <c r="A110" s="9"/>
      <c r="B110" s="9"/>
      <c r="C110" s="24"/>
      <c r="D110" s="9"/>
      <c r="E110" s="45"/>
      <c r="F110" s="26"/>
      <c r="G110" s="9"/>
      <c r="H110" s="9"/>
      <c r="I110" s="9"/>
      <c r="J110" s="9"/>
      <c r="K110" s="9"/>
      <c r="L110" s="9"/>
      <c r="M110" s="9"/>
      <c r="N110" s="9"/>
      <c r="O110" s="9"/>
    </row>
    <row r="111" spans="1:15" x14ac:dyDescent="0.2">
      <c r="A111" s="9"/>
      <c r="B111" s="9"/>
      <c r="C111" s="24"/>
      <c r="D111" s="9"/>
      <c r="E111" s="45"/>
      <c r="F111" s="26"/>
      <c r="G111" s="9"/>
      <c r="H111" s="9"/>
      <c r="I111" s="9"/>
      <c r="J111" s="9"/>
      <c r="K111" s="9"/>
      <c r="L111" s="9"/>
      <c r="M111" s="9"/>
      <c r="N111" s="9"/>
      <c r="O111" s="9"/>
    </row>
    <row r="112" spans="1:15" x14ac:dyDescent="0.2">
      <c r="A112" s="9"/>
      <c r="B112" s="9"/>
      <c r="C112" s="24">
        <v>0</v>
      </c>
      <c r="D112" s="9"/>
      <c r="E112" s="45"/>
      <c r="F112" s="26"/>
      <c r="G112" s="9"/>
      <c r="H112" s="9"/>
      <c r="I112" s="9"/>
      <c r="J112" s="9"/>
      <c r="K112" s="9"/>
      <c r="L112" s="9"/>
      <c r="M112" s="9"/>
      <c r="N112" s="9"/>
      <c r="O112" s="9"/>
    </row>
    <row r="113" spans="1:20" x14ac:dyDescent="0.2">
      <c r="A113" s="9"/>
      <c r="B113" s="9"/>
      <c r="C113" s="24"/>
      <c r="D113" s="9"/>
      <c r="E113" s="45"/>
      <c r="F113" s="26"/>
      <c r="G113" s="9"/>
      <c r="H113" s="9"/>
      <c r="I113" s="9"/>
      <c r="J113" s="9"/>
      <c r="K113" s="9"/>
      <c r="L113" s="9"/>
      <c r="M113" s="9"/>
      <c r="N113" s="9"/>
      <c r="O113" s="9"/>
    </row>
    <row r="114" spans="1:20" x14ac:dyDescent="0.2">
      <c r="A114" s="9"/>
      <c r="B114" s="9"/>
      <c r="C114" s="24"/>
      <c r="D114" s="9"/>
      <c r="E114" s="45"/>
      <c r="F114" s="26"/>
      <c r="G114" s="9"/>
      <c r="H114" s="9"/>
      <c r="I114" s="9"/>
      <c r="J114" s="9"/>
      <c r="K114" s="9"/>
      <c r="L114" s="9"/>
      <c r="M114" s="9"/>
      <c r="N114" s="9"/>
      <c r="O114" s="9"/>
    </row>
    <row r="115" spans="1:20" x14ac:dyDescent="0.2">
      <c r="A115" s="9"/>
      <c r="B115" s="9"/>
      <c r="C115" s="24">
        <f>'[1]Plan entrada'!D52</f>
        <v>0</v>
      </c>
      <c r="D115" s="9"/>
      <c r="E115" s="45">
        <f>'[1]Plan entrada'!F52</f>
        <v>0</v>
      </c>
      <c r="F115" s="26"/>
      <c r="G115" s="9"/>
      <c r="H115" s="9"/>
      <c r="I115" s="9"/>
      <c r="J115" s="9"/>
      <c r="K115" s="9"/>
      <c r="L115" s="9"/>
      <c r="M115" s="9"/>
      <c r="N115" s="9"/>
      <c r="O115" s="9"/>
    </row>
    <row r="116" spans="1:20" x14ac:dyDescent="0.2">
      <c r="A116" s="9"/>
      <c r="B116" s="9"/>
      <c r="C116" s="11"/>
      <c r="D116" s="9"/>
      <c r="E116" s="37"/>
      <c r="F116" s="9"/>
      <c r="G116" s="9"/>
      <c r="H116" s="9"/>
      <c r="I116" s="9"/>
      <c r="J116" s="9"/>
      <c r="K116" s="9"/>
      <c r="L116" s="9"/>
      <c r="M116" s="9"/>
      <c r="N116" s="9"/>
      <c r="O116" s="9"/>
    </row>
    <row r="117" spans="1:20" x14ac:dyDescent="0.2">
      <c r="A117" s="76" t="s">
        <v>57</v>
      </c>
      <c r="B117" s="19"/>
      <c r="C117" s="79">
        <f>F117/E42</f>
        <v>1.7069052467010772E-2</v>
      </c>
      <c r="D117" s="9"/>
      <c r="E117" s="47"/>
      <c r="F117" s="89">
        <f>SUM(F101:F116)</f>
        <v>30.416666666666664</v>
      </c>
      <c r="G117" s="9"/>
      <c r="H117" s="9"/>
      <c r="I117" s="9"/>
      <c r="J117" s="9"/>
      <c r="K117" s="9"/>
      <c r="L117" s="9"/>
      <c r="M117" s="9"/>
      <c r="N117" s="9"/>
      <c r="O117" s="9"/>
    </row>
    <row r="118" spans="1:20" x14ac:dyDescent="0.2">
      <c r="A118" s="9"/>
      <c r="B118" s="9"/>
      <c r="C118" s="11"/>
      <c r="D118" s="9"/>
      <c r="E118" s="37"/>
      <c r="F118" s="9"/>
      <c r="G118" s="9"/>
      <c r="H118" s="9"/>
      <c r="I118" s="9"/>
      <c r="J118" s="9"/>
      <c r="K118" s="9"/>
      <c r="L118" s="9"/>
      <c r="M118" s="9"/>
      <c r="N118" s="9"/>
      <c r="O118" s="9"/>
    </row>
    <row r="119" spans="1:20" s="4" customFormat="1" x14ac:dyDescent="0.2">
      <c r="A119" s="126" t="s">
        <v>58</v>
      </c>
      <c r="B119" s="126"/>
      <c r="C119" s="126"/>
      <c r="D119" s="126"/>
      <c r="E119" s="48"/>
      <c r="F119" s="88"/>
      <c r="G119" s="88"/>
      <c r="H119" s="88"/>
      <c r="I119" s="22"/>
      <c r="J119" s="22"/>
      <c r="K119" s="22"/>
      <c r="L119" s="22"/>
      <c r="M119" s="22"/>
      <c r="N119" s="28"/>
      <c r="O119" s="22"/>
      <c r="R119" s="5"/>
      <c r="S119" s="5"/>
      <c r="T119" s="6"/>
    </row>
    <row r="120" spans="1:20" s="4" customFormat="1" x14ac:dyDescent="0.2">
      <c r="A120" s="19"/>
      <c r="B120" s="19"/>
      <c r="C120" s="110"/>
      <c r="D120" s="112"/>
      <c r="E120" s="86"/>
      <c r="F120" s="29"/>
      <c r="G120" s="27"/>
      <c r="H120" s="27"/>
      <c r="I120" s="22"/>
      <c r="J120" s="22"/>
      <c r="K120" s="22"/>
      <c r="L120" s="22"/>
      <c r="M120" s="22"/>
      <c r="N120" s="28"/>
      <c r="O120" s="22"/>
      <c r="R120" s="5"/>
      <c r="S120" s="5"/>
      <c r="T120" s="6"/>
    </row>
    <row r="121" spans="1:20" x14ac:dyDescent="0.2">
      <c r="A121" s="19"/>
      <c r="B121" s="22"/>
      <c r="C121" s="61"/>
      <c r="D121" s="112"/>
      <c r="E121" s="45"/>
      <c r="F121" s="87"/>
      <c r="G121" s="30"/>
      <c r="H121" s="31"/>
      <c r="I121" s="9"/>
      <c r="J121" s="9"/>
      <c r="K121" s="9"/>
      <c r="L121" s="9"/>
      <c r="M121" s="9"/>
      <c r="N121" s="19"/>
      <c r="O121" s="9"/>
      <c r="R121" s="2"/>
      <c r="S121" s="2"/>
      <c r="T121" s="7"/>
    </row>
    <row r="122" spans="1:20" x14ac:dyDescent="0.2">
      <c r="A122" s="19"/>
      <c r="B122" s="22"/>
      <c r="C122" s="61"/>
      <c r="D122" s="111">
        <v>1</v>
      </c>
      <c r="E122" s="45">
        <v>1</v>
      </c>
      <c r="F122" s="97">
        <f t="shared" ref="F122:F127" si="20">B122*C122/D122</f>
        <v>0</v>
      </c>
      <c r="G122" s="32"/>
      <c r="H122" s="31"/>
      <c r="I122" s="9"/>
      <c r="J122" s="9"/>
      <c r="K122" s="9"/>
      <c r="L122" s="9"/>
      <c r="M122" s="9"/>
      <c r="N122" s="27"/>
      <c r="O122" s="9"/>
      <c r="R122" s="2"/>
      <c r="S122" s="2"/>
      <c r="T122" s="7"/>
    </row>
    <row r="123" spans="1:20" x14ac:dyDescent="0.2">
      <c r="A123" s="19"/>
      <c r="B123" s="22"/>
      <c r="C123" s="61"/>
      <c r="D123" s="111">
        <v>1</v>
      </c>
      <c r="E123" s="45">
        <v>1</v>
      </c>
      <c r="F123" s="97">
        <v>0</v>
      </c>
      <c r="G123" s="32"/>
      <c r="H123" s="31"/>
      <c r="I123" s="9"/>
      <c r="J123" s="9"/>
      <c r="K123" s="9"/>
      <c r="L123" s="9"/>
      <c r="M123" s="9"/>
      <c r="N123" s="9"/>
      <c r="O123" s="9"/>
      <c r="R123" s="2"/>
      <c r="S123" s="2"/>
      <c r="T123" s="7"/>
    </row>
    <row r="124" spans="1:20" x14ac:dyDescent="0.2">
      <c r="A124" s="19"/>
      <c r="B124" s="22"/>
      <c r="C124" s="61"/>
      <c r="D124" s="111">
        <v>1</v>
      </c>
      <c r="E124" s="45">
        <v>1</v>
      </c>
      <c r="F124" s="97">
        <f t="shared" si="20"/>
        <v>0</v>
      </c>
      <c r="G124" s="32"/>
      <c r="H124" s="31"/>
      <c r="I124" s="9"/>
      <c r="J124" s="19"/>
      <c r="K124" s="30"/>
      <c r="L124" s="31"/>
      <c r="M124" s="9"/>
      <c r="N124" s="9"/>
      <c r="O124" s="9"/>
      <c r="T124" s="8"/>
    </row>
    <row r="125" spans="1:20" x14ac:dyDescent="0.2">
      <c r="A125" s="19"/>
      <c r="B125" s="22"/>
      <c r="C125" s="61"/>
      <c r="D125" s="111">
        <v>1</v>
      </c>
      <c r="E125" s="45">
        <v>1</v>
      </c>
      <c r="F125" s="97">
        <f t="shared" si="20"/>
        <v>0</v>
      </c>
      <c r="G125" s="32"/>
      <c r="H125" s="31"/>
      <c r="I125" s="9"/>
      <c r="J125" s="19"/>
      <c r="K125" s="30"/>
      <c r="L125" s="31"/>
      <c r="M125" s="9"/>
      <c r="N125" s="9"/>
      <c r="O125" s="9"/>
      <c r="T125" s="8"/>
    </row>
    <row r="126" spans="1:20" x14ac:dyDescent="0.2">
      <c r="A126" s="19"/>
      <c r="B126" s="22"/>
      <c r="C126" s="61"/>
      <c r="D126" s="111">
        <v>1</v>
      </c>
      <c r="E126" s="45">
        <v>1</v>
      </c>
      <c r="F126" s="97">
        <f t="shared" si="20"/>
        <v>0</v>
      </c>
      <c r="G126" s="32"/>
      <c r="H126" s="31"/>
      <c r="I126" s="9"/>
      <c r="J126" s="19"/>
      <c r="K126" s="30"/>
      <c r="L126" s="31"/>
      <c r="M126" s="9"/>
      <c r="N126" s="9"/>
      <c r="O126" s="9"/>
      <c r="T126" s="8"/>
    </row>
    <row r="127" spans="1:20" x14ac:dyDescent="0.2">
      <c r="A127" s="19"/>
      <c r="B127" s="22"/>
      <c r="C127" s="61"/>
      <c r="D127" s="111">
        <v>1</v>
      </c>
      <c r="E127" s="45">
        <v>1</v>
      </c>
      <c r="F127" s="97">
        <f t="shared" si="20"/>
        <v>0</v>
      </c>
      <c r="G127" s="32"/>
      <c r="H127" s="31"/>
      <c r="I127" s="9"/>
      <c r="J127" s="19"/>
      <c r="K127" s="30"/>
      <c r="L127" s="31"/>
      <c r="M127" s="9"/>
      <c r="N127" s="9"/>
      <c r="O127" s="9"/>
      <c r="T127" s="8"/>
    </row>
    <row r="128" spans="1:20" x14ac:dyDescent="0.2">
      <c r="A128" s="19"/>
      <c r="B128" s="22"/>
      <c r="C128" s="61"/>
      <c r="D128" s="111">
        <v>1</v>
      </c>
      <c r="E128" s="45">
        <v>1</v>
      </c>
      <c r="F128" s="97">
        <v>0</v>
      </c>
      <c r="G128" s="32"/>
      <c r="H128" s="31"/>
      <c r="I128" s="9"/>
      <c r="J128" s="19"/>
      <c r="K128" s="30"/>
      <c r="L128" s="31"/>
      <c r="M128" s="9"/>
      <c r="N128" s="9"/>
      <c r="O128" s="9"/>
      <c r="T128" s="8"/>
    </row>
    <row r="129" spans="1:20" x14ac:dyDescent="0.2">
      <c r="A129" s="19"/>
      <c r="B129" s="22"/>
      <c r="C129" s="61"/>
      <c r="D129" s="111"/>
      <c r="E129" s="45"/>
      <c r="F129" s="97"/>
      <c r="G129" s="32"/>
      <c r="H129" s="31"/>
      <c r="I129" s="9"/>
      <c r="J129" s="22"/>
      <c r="K129" s="30"/>
      <c r="L129" s="31"/>
      <c r="M129" s="9"/>
      <c r="N129" s="9"/>
      <c r="O129" s="9"/>
      <c r="T129" s="8"/>
    </row>
    <row r="130" spans="1:20" x14ac:dyDescent="0.2">
      <c r="A130" s="66" t="s">
        <v>59</v>
      </c>
      <c r="B130" s="22"/>
      <c r="C130" s="80"/>
      <c r="D130" s="34"/>
      <c r="E130" s="49"/>
      <c r="F130" s="90">
        <f>SUM(F120:F129)</f>
        <v>0</v>
      </c>
      <c r="G130" s="33"/>
      <c r="H130" s="34"/>
      <c r="I130" s="31"/>
      <c r="J130" s="9"/>
      <c r="K130" s="9"/>
      <c r="L130" s="9"/>
      <c r="M130" s="9"/>
      <c r="N130" s="9"/>
      <c r="O130" s="9"/>
      <c r="T130" s="8"/>
    </row>
    <row r="131" spans="1:20" x14ac:dyDescent="0.2">
      <c r="A131" s="9"/>
      <c r="B131" s="9"/>
      <c r="C131" s="11"/>
      <c r="D131" s="9"/>
      <c r="E131" s="45"/>
      <c r="F131" s="9"/>
      <c r="G131" s="9"/>
      <c r="H131" s="9"/>
      <c r="I131" s="9"/>
      <c r="J131" s="9"/>
      <c r="K131" s="9"/>
      <c r="L131" s="9"/>
      <c r="M131" s="9"/>
      <c r="N131" s="9"/>
      <c r="O131" s="9"/>
    </row>
    <row r="132" spans="1:20" x14ac:dyDescent="0.2">
      <c r="A132" s="9"/>
      <c r="B132" s="9"/>
      <c r="C132" s="11"/>
      <c r="D132" s="9"/>
      <c r="E132" s="45"/>
      <c r="F132" s="35"/>
      <c r="G132" s="9"/>
      <c r="H132" s="9"/>
      <c r="I132" s="9"/>
      <c r="J132" s="9"/>
      <c r="K132" s="9"/>
      <c r="L132" s="9"/>
      <c r="M132" s="9"/>
      <c r="N132" s="9"/>
      <c r="O132" s="9"/>
    </row>
    <row r="133" spans="1:20" x14ac:dyDescent="0.2">
      <c r="A133" s="127" t="s">
        <v>60</v>
      </c>
      <c r="B133" s="127"/>
      <c r="C133" s="126"/>
      <c r="D133" s="126"/>
      <c r="E133" s="45"/>
      <c r="F133" s="9"/>
      <c r="G133" s="9"/>
      <c r="H133" s="9"/>
      <c r="I133" s="9"/>
      <c r="J133" s="9"/>
      <c r="K133" s="9"/>
      <c r="L133" s="9"/>
      <c r="M133" s="9"/>
      <c r="N133" s="9"/>
      <c r="O133" s="9"/>
    </row>
    <row r="134" spans="1:20" x14ac:dyDescent="0.2">
      <c r="A134" s="22" t="s">
        <v>81</v>
      </c>
      <c r="B134" s="22">
        <v>0</v>
      </c>
      <c r="C134" s="70"/>
      <c r="D134" s="70">
        <v>1</v>
      </c>
      <c r="E134" s="45">
        <v>1</v>
      </c>
      <c r="F134" s="114"/>
      <c r="G134" s="9"/>
      <c r="H134" s="9"/>
      <c r="I134" s="9"/>
      <c r="J134" s="9"/>
      <c r="K134" s="9"/>
      <c r="L134" s="9"/>
      <c r="M134" s="9"/>
      <c r="N134" s="9"/>
      <c r="O134" s="9"/>
    </row>
    <row r="135" spans="1:20" x14ac:dyDescent="0.2">
      <c r="A135" s="22" t="s">
        <v>78</v>
      </c>
      <c r="B135" s="62">
        <v>0</v>
      </c>
      <c r="C135" s="61"/>
      <c r="D135" s="31">
        <v>1</v>
      </c>
      <c r="E135" s="45">
        <v>1</v>
      </c>
      <c r="F135" s="115"/>
      <c r="G135" s="9"/>
      <c r="H135" s="9"/>
      <c r="I135" s="9"/>
      <c r="J135" s="9"/>
      <c r="K135" s="9"/>
      <c r="L135" s="9"/>
      <c r="M135" s="9"/>
      <c r="N135" s="9"/>
      <c r="O135" s="9"/>
    </row>
    <row r="136" spans="1:20" x14ac:dyDescent="0.2">
      <c r="A136" s="22" t="s">
        <v>79</v>
      </c>
      <c r="B136" s="62">
        <v>0</v>
      </c>
      <c r="C136" s="61"/>
      <c r="D136" s="31">
        <v>1</v>
      </c>
      <c r="E136" s="45">
        <v>1</v>
      </c>
      <c r="F136" s="114"/>
      <c r="G136" s="9"/>
      <c r="H136" s="9"/>
      <c r="I136" s="9"/>
      <c r="J136" s="9"/>
      <c r="K136" s="9"/>
      <c r="L136" s="9"/>
      <c r="M136" s="9"/>
      <c r="N136" s="9"/>
      <c r="O136" s="9"/>
    </row>
    <row r="137" spans="1:20" x14ac:dyDescent="0.2">
      <c r="A137" s="22"/>
      <c r="B137" s="62"/>
      <c r="C137" s="61">
        <f>'[1]Plan entrada'!D113</f>
        <v>0</v>
      </c>
      <c r="D137" s="31">
        <f>'[1]Plan entrada'!E113/'[1]Plan entrada'!G113</f>
        <v>0</v>
      </c>
      <c r="E137" s="45">
        <f t="shared" ref="E137:E138" si="21">D137*C137</f>
        <v>0</v>
      </c>
      <c r="F137" s="9"/>
      <c r="G137" s="9"/>
      <c r="H137" s="9"/>
      <c r="I137" s="9"/>
      <c r="J137" s="9"/>
      <c r="K137" s="9"/>
      <c r="L137" s="9"/>
      <c r="M137" s="9"/>
      <c r="N137" s="9"/>
      <c r="O137" s="9"/>
    </row>
    <row r="138" spans="1:20" x14ac:dyDescent="0.2">
      <c r="A138" s="22"/>
      <c r="B138" s="62"/>
      <c r="C138" s="61">
        <f>'[1]Plan entrada'!D114</f>
        <v>0</v>
      </c>
      <c r="D138" s="31">
        <f>'[1]Plan entrada'!E114/'[1]Plan entrada'!G114</f>
        <v>0</v>
      </c>
      <c r="E138" s="45">
        <f t="shared" si="21"/>
        <v>0</v>
      </c>
      <c r="F138" s="9"/>
      <c r="G138" s="9"/>
      <c r="H138" s="9"/>
      <c r="I138" s="9"/>
      <c r="J138" s="9"/>
      <c r="K138" s="9"/>
      <c r="L138" s="9"/>
      <c r="M138" s="9"/>
      <c r="N138" s="9"/>
      <c r="O138" s="9"/>
    </row>
    <row r="139" spans="1:20" x14ac:dyDescent="0.2">
      <c r="A139" s="76" t="s">
        <v>61</v>
      </c>
      <c r="B139" s="19"/>
      <c r="C139" s="80">
        <f>D139/D167</f>
        <v>3.3896843308336386E-4</v>
      </c>
      <c r="D139" s="31">
        <f>SUM(E135:E139)</f>
        <v>2</v>
      </c>
      <c r="E139" s="45"/>
      <c r="F139" s="91"/>
      <c r="G139" s="9"/>
      <c r="H139" s="9"/>
      <c r="I139" s="9"/>
      <c r="J139" s="9"/>
      <c r="K139" s="9"/>
      <c r="L139" s="9"/>
      <c r="M139" s="9"/>
      <c r="N139" s="9"/>
      <c r="O139" s="9"/>
    </row>
    <row r="140" spans="1:20" x14ac:dyDescent="0.2">
      <c r="A140" s="9"/>
      <c r="B140" s="9"/>
      <c r="C140" s="11"/>
      <c r="D140" s="9"/>
      <c r="E140" s="45"/>
      <c r="F140" s="9"/>
      <c r="G140" s="9"/>
      <c r="H140" s="9"/>
      <c r="I140" s="9"/>
      <c r="J140" s="9"/>
      <c r="K140" s="9"/>
      <c r="L140" s="9"/>
      <c r="M140" s="9"/>
      <c r="N140" s="9"/>
      <c r="O140" s="9"/>
    </row>
    <row r="141" spans="1:20" x14ac:dyDescent="0.2">
      <c r="A141" s="64" t="s">
        <v>62</v>
      </c>
      <c r="B141" s="19"/>
      <c r="C141" s="11"/>
      <c r="D141" s="9"/>
      <c r="E141" s="45"/>
      <c r="F141" s="9"/>
      <c r="G141" s="9"/>
      <c r="H141" s="9"/>
      <c r="I141" s="9"/>
      <c r="J141" s="9"/>
      <c r="K141" s="9"/>
      <c r="L141" s="9"/>
      <c r="M141" s="9"/>
      <c r="N141" s="9"/>
      <c r="O141" s="9"/>
    </row>
    <row r="142" spans="1:20" x14ac:dyDescent="0.2">
      <c r="A142" s="9"/>
      <c r="B142" s="9"/>
      <c r="C142" s="11"/>
      <c r="D142" s="9"/>
      <c r="E142" s="45"/>
      <c r="F142" s="9"/>
      <c r="G142" s="9"/>
      <c r="H142" s="9"/>
      <c r="I142" s="9"/>
      <c r="J142" s="9"/>
      <c r="K142" s="9"/>
      <c r="L142" s="9"/>
      <c r="M142" s="9"/>
      <c r="N142" s="9"/>
      <c r="O142" s="9"/>
    </row>
    <row r="143" spans="1:20" x14ac:dyDescent="0.2">
      <c r="A143" s="19" t="s">
        <v>63</v>
      </c>
      <c r="B143" s="19"/>
      <c r="C143" s="116">
        <v>7.0000000000000007E-2</v>
      </c>
      <c r="D143" s="72">
        <f t="shared" ref="D143:D149" si="22">D$153*C143</f>
        <v>367.97981032090752</v>
      </c>
      <c r="E143" s="45"/>
      <c r="F143" s="9"/>
      <c r="G143" s="9"/>
      <c r="H143" s="9"/>
      <c r="I143" s="9"/>
      <c r="J143" s="9"/>
      <c r="K143" s="9"/>
      <c r="L143" s="9"/>
      <c r="M143" s="9"/>
      <c r="N143" s="9"/>
      <c r="O143" s="9"/>
    </row>
    <row r="144" spans="1:20" x14ac:dyDescent="0.2">
      <c r="A144" s="22" t="s">
        <v>64</v>
      </c>
      <c r="B144" s="19"/>
      <c r="C144" s="116">
        <v>0.02</v>
      </c>
      <c r="D144" s="72">
        <f t="shared" si="22"/>
        <v>105.13708866311643</v>
      </c>
      <c r="E144" s="45"/>
      <c r="F144" s="9"/>
      <c r="G144" s="9"/>
      <c r="H144" s="9"/>
      <c r="I144" s="9"/>
      <c r="J144" s="9"/>
      <c r="K144" s="9"/>
      <c r="L144" s="9"/>
      <c r="M144" s="9"/>
      <c r="N144" s="9"/>
      <c r="O144" s="9"/>
    </row>
    <row r="145" spans="1:15" x14ac:dyDescent="0.2">
      <c r="A145" s="22" t="s">
        <v>65</v>
      </c>
      <c r="B145" s="9"/>
      <c r="C145" s="116">
        <v>0.02</v>
      </c>
      <c r="D145" s="72">
        <f t="shared" si="22"/>
        <v>105.13708866311643</v>
      </c>
      <c r="E145" s="45"/>
      <c r="F145" s="9"/>
      <c r="G145" s="9"/>
      <c r="H145" s="9"/>
      <c r="I145" s="9"/>
      <c r="J145" s="9"/>
      <c r="K145" s="9"/>
      <c r="L145" s="9"/>
      <c r="M145" s="9"/>
      <c r="N145" s="9"/>
      <c r="O145" s="9"/>
    </row>
    <row r="146" spans="1:15" x14ac:dyDescent="0.2">
      <c r="A146" s="9" t="s">
        <v>66</v>
      </c>
      <c r="B146" s="9"/>
      <c r="C146" s="116">
        <v>0.05</v>
      </c>
      <c r="D146" s="72">
        <f t="shared" si="22"/>
        <v>262.84272165779106</v>
      </c>
      <c r="E146" s="50"/>
      <c r="F146" s="9"/>
      <c r="G146" s="9"/>
      <c r="H146" s="9"/>
      <c r="I146" s="9"/>
      <c r="J146" s="9"/>
      <c r="K146" s="9"/>
      <c r="L146" s="9"/>
      <c r="M146" s="9"/>
      <c r="N146" s="9"/>
      <c r="O146" s="9"/>
    </row>
    <row r="147" spans="1:15" x14ac:dyDescent="0.2">
      <c r="A147" s="9" t="s">
        <v>67</v>
      </c>
      <c r="B147" s="9"/>
      <c r="C147" s="116">
        <v>7.3200000000000001E-2</v>
      </c>
      <c r="D147" s="72">
        <f t="shared" si="22"/>
        <v>384.80174450700616</v>
      </c>
      <c r="E147" s="50"/>
      <c r="F147" s="9"/>
      <c r="G147" s="9"/>
      <c r="H147" s="9"/>
      <c r="I147" s="9"/>
      <c r="J147" s="9"/>
      <c r="K147" s="9"/>
      <c r="L147" s="9"/>
      <c r="M147" s="9"/>
      <c r="N147" s="9"/>
      <c r="O147" s="9"/>
    </row>
    <row r="148" spans="1:15" x14ac:dyDescent="0.2">
      <c r="A148" s="22" t="s">
        <v>68</v>
      </c>
      <c r="B148" s="9"/>
      <c r="C148" s="116">
        <v>8.43E-2</v>
      </c>
      <c r="D148" s="72">
        <f t="shared" si="22"/>
        <v>443.15282871503575</v>
      </c>
      <c r="E148" s="50"/>
      <c r="F148" s="9"/>
      <c r="G148" s="9"/>
      <c r="H148" s="9"/>
      <c r="I148" s="9"/>
      <c r="J148" s="9"/>
      <c r="K148" s="9"/>
      <c r="L148" s="9"/>
      <c r="M148" s="9"/>
      <c r="N148" s="9"/>
      <c r="O148" s="9"/>
    </row>
    <row r="149" spans="1:15" x14ac:dyDescent="0.2">
      <c r="A149" s="9" t="s">
        <v>69</v>
      </c>
      <c r="B149" s="9"/>
      <c r="C149" s="21">
        <v>0</v>
      </c>
      <c r="D149" s="15">
        <f t="shared" si="22"/>
        <v>0</v>
      </c>
      <c r="E149" s="37"/>
      <c r="F149" s="9"/>
      <c r="G149" s="9"/>
      <c r="H149" s="9"/>
      <c r="I149" s="9"/>
      <c r="J149" s="9"/>
      <c r="K149" s="9"/>
      <c r="L149" s="9"/>
      <c r="M149" s="9"/>
      <c r="N149" s="9"/>
      <c r="O149" s="9"/>
    </row>
    <row r="150" spans="1:15" x14ac:dyDescent="0.2">
      <c r="A150" s="9"/>
      <c r="B150" s="9"/>
      <c r="C150" s="11"/>
      <c r="D150" s="9"/>
      <c r="E150" s="47"/>
      <c r="F150" s="9"/>
      <c r="G150" s="9"/>
      <c r="H150" s="9"/>
      <c r="I150" s="9"/>
      <c r="J150" s="9"/>
      <c r="K150" s="9"/>
      <c r="L150" s="9"/>
      <c r="M150" s="9"/>
      <c r="N150" s="9"/>
      <c r="O150" s="9"/>
    </row>
    <row r="151" spans="1:15" x14ac:dyDescent="0.2">
      <c r="A151" s="76" t="s">
        <v>70</v>
      </c>
      <c r="B151" s="19"/>
      <c r="C151" s="11"/>
      <c r="D151" s="89">
        <f>SUM(D143:D150)</f>
        <v>1669.0512825269734</v>
      </c>
      <c r="E151" s="37"/>
      <c r="F151" s="9"/>
      <c r="G151" s="11"/>
      <c r="H151" s="15"/>
      <c r="I151" s="9"/>
      <c r="J151" s="9"/>
      <c r="K151" s="9"/>
      <c r="L151" s="9"/>
      <c r="M151" s="9"/>
      <c r="N151" s="9"/>
      <c r="O151" s="9"/>
    </row>
    <row r="152" spans="1:15" x14ac:dyDescent="0.2">
      <c r="A152" s="9"/>
      <c r="B152" s="9"/>
      <c r="C152" s="11"/>
      <c r="D152" s="9"/>
      <c r="E152" s="44"/>
      <c r="F152" s="9"/>
      <c r="G152" s="9"/>
      <c r="H152" s="9"/>
      <c r="I152" s="9"/>
      <c r="J152" s="9"/>
      <c r="K152" s="9"/>
      <c r="L152" s="9"/>
      <c r="M152" s="9"/>
      <c r="N152" s="9"/>
      <c r="O152" s="9"/>
    </row>
    <row r="153" spans="1:15" x14ac:dyDescent="0.2">
      <c r="A153" s="63" t="s">
        <v>71</v>
      </c>
      <c r="B153" s="9"/>
      <c r="C153" s="75">
        <f>SUM(C143:C149)</f>
        <v>0.3175</v>
      </c>
      <c r="D153" s="93">
        <f>SUM(D155:D163)/(1-C153)*1</f>
        <v>5256.8544331558214</v>
      </c>
      <c r="E153" s="44"/>
      <c r="F153" s="9"/>
      <c r="G153" s="21"/>
      <c r="H153" s="36"/>
      <c r="I153" s="9"/>
      <c r="J153" s="9"/>
      <c r="K153" s="9"/>
      <c r="L153" s="9"/>
      <c r="M153" s="9"/>
      <c r="N153" s="9"/>
      <c r="O153" s="9"/>
    </row>
    <row r="154" spans="1:15" x14ac:dyDescent="0.2">
      <c r="A154" s="9"/>
      <c r="B154" s="9"/>
      <c r="C154" s="11"/>
      <c r="D154" s="9"/>
      <c r="E154" s="44"/>
      <c r="F154" s="9"/>
      <c r="G154" s="9"/>
      <c r="H154" s="9"/>
      <c r="I154" s="9"/>
      <c r="J154" s="9"/>
      <c r="K154" s="9"/>
      <c r="L154" s="9"/>
      <c r="M154" s="9"/>
      <c r="N154" s="9"/>
      <c r="O154" s="9"/>
    </row>
    <row r="155" spans="1:15" x14ac:dyDescent="0.2">
      <c r="A155" s="98" t="str">
        <f>A27</f>
        <v>1- Formação da Folha de pagamentos</v>
      </c>
      <c r="B155" s="98"/>
      <c r="C155" s="99"/>
      <c r="D155" s="100">
        <f>O42</f>
        <v>1781.9774545454543</v>
      </c>
      <c r="E155" s="44"/>
      <c r="F155" s="9"/>
      <c r="G155" s="9"/>
      <c r="H155" s="9"/>
      <c r="I155" s="9"/>
      <c r="J155" s="9"/>
      <c r="K155" s="9"/>
      <c r="L155" s="9"/>
      <c r="M155" s="9"/>
      <c r="N155" s="9"/>
      <c r="O155" s="9"/>
    </row>
    <row r="156" spans="1:15" x14ac:dyDescent="0.2">
      <c r="A156" s="98" t="str">
        <f>A44</f>
        <v>2- Encargos trabalhistas (Recolhimento Mensal)</v>
      </c>
      <c r="B156" s="98"/>
      <c r="C156" s="99"/>
      <c r="D156" s="100">
        <f>D51</f>
        <v>196.01751999999996</v>
      </c>
      <c r="E156" s="44"/>
      <c r="F156" s="9"/>
      <c r="G156" s="9"/>
      <c r="H156" s="9"/>
      <c r="I156" s="9"/>
      <c r="J156" s="9"/>
      <c r="K156" s="9"/>
      <c r="L156" s="9"/>
      <c r="M156" s="9"/>
      <c r="N156" s="9"/>
      <c r="O156" s="9"/>
    </row>
    <row r="157" spans="1:15" x14ac:dyDescent="0.2">
      <c r="A157" s="98" t="str">
        <f>A53</f>
        <v>3- Encargos sociais (Provisões)</v>
      </c>
      <c r="B157" s="98"/>
      <c r="C157" s="99"/>
      <c r="D157" s="100">
        <f>D62</f>
        <v>511.78392494545449</v>
      </c>
      <c r="E157" s="44"/>
      <c r="F157" s="9"/>
      <c r="G157" s="9"/>
      <c r="H157" s="9"/>
      <c r="I157" s="9"/>
      <c r="J157" s="9"/>
      <c r="K157" s="9"/>
      <c r="L157" s="9"/>
      <c r="M157" s="9"/>
      <c r="N157" s="9"/>
      <c r="O157" s="9"/>
    </row>
    <row r="158" spans="1:15" x14ac:dyDescent="0.2">
      <c r="A158" s="98" t="str">
        <f>A64</f>
        <v>4- Encargos trabalhistas sobre provisões (Férias, 13o. e reflexos)</v>
      </c>
      <c r="B158" s="98"/>
      <c r="C158" s="99"/>
      <c r="D158" s="100">
        <f>D71</f>
        <v>56.296231743999996</v>
      </c>
      <c r="E158" s="44"/>
      <c r="F158" s="9"/>
      <c r="G158" s="9"/>
      <c r="H158" s="9"/>
      <c r="I158" s="9"/>
      <c r="J158" s="9"/>
      <c r="K158" s="9"/>
      <c r="L158" s="9"/>
      <c r="M158" s="9"/>
      <c r="N158" s="9"/>
      <c r="O158" s="9"/>
    </row>
    <row r="159" spans="1:15" x14ac:dyDescent="0.2">
      <c r="A159" s="98" t="str">
        <f>A73</f>
        <v>5- Outras despesas da administração do contrato</v>
      </c>
      <c r="B159" s="98"/>
      <c r="C159" s="99"/>
      <c r="D159" s="101">
        <f>D81</f>
        <v>86.7</v>
      </c>
      <c r="E159" s="44"/>
      <c r="F159" s="9"/>
      <c r="G159" s="9"/>
      <c r="H159" s="9"/>
      <c r="I159" s="9"/>
      <c r="J159" s="9"/>
      <c r="K159" s="9"/>
      <c r="L159" s="9"/>
      <c r="M159" s="9"/>
      <c r="N159" s="9"/>
      <c r="O159" s="9"/>
    </row>
    <row r="160" spans="1:15" x14ac:dyDescent="0.2">
      <c r="A160" s="98" t="str">
        <f>A83</f>
        <v>6- Benefícios</v>
      </c>
      <c r="B160" s="98"/>
      <c r="C160" s="99"/>
      <c r="D160" s="101">
        <f>D97</f>
        <v>924.61135272727279</v>
      </c>
      <c r="E160" s="50"/>
      <c r="F160" s="9"/>
      <c r="G160" s="9"/>
      <c r="H160" s="9"/>
      <c r="I160" s="9"/>
      <c r="J160" s="9"/>
      <c r="K160" s="9"/>
      <c r="L160" s="9"/>
      <c r="M160" s="9"/>
      <c r="N160" s="9"/>
      <c r="O160" s="9"/>
    </row>
    <row r="161" spans="1:15" x14ac:dyDescent="0.2">
      <c r="A161" s="98" t="str">
        <f>A99</f>
        <v>7- Uniformes e epi's</v>
      </c>
      <c r="B161" s="98"/>
      <c r="C161" s="99"/>
      <c r="D161" s="101">
        <f>F117</f>
        <v>30.416666666666664</v>
      </c>
      <c r="E161" s="37"/>
      <c r="F161" s="9"/>
      <c r="G161" s="9"/>
      <c r="H161" s="9"/>
      <c r="I161" s="9"/>
      <c r="J161" s="9"/>
      <c r="K161" s="9"/>
      <c r="L161" s="9"/>
      <c r="M161" s="9"/>
      <c r="N161" s="9"/>
      <c r="O161" s="9"/>
    </row>
    <row r="162" spans="1:15" x14ac:dyDescent="0.2">
      <c r="A162" s="98" t="str">
        <f>A119</f>
        <v>8- Materiais e acessórios (consumo mês)</v>
      </c>
      <c r="B162" s="98"/>
      <c r="C162" s="99"/>
      <c r="D162" s="102">
        <v>0</v>
      </c>
      <c r="E162" s="37"/>
      <c r="F162" s="9"/>
      <c r="G162" s="9"/>
      <c r="H162" s="9"/>
      <c r="I162" s="9"/>
      <c r="J162" s="9"/>
      <c r="K162" s="9"/>
      <c r="L162" s="9"/>
      <c r="M162" s="9"/>
      <c r="N162" s="9"/>
      <c r="O162" s="9"/>
    </row>
    <row r="163" spans="1:15" x14ac:dyDescent="0.2">
      <c r="A163" s="98" t="str">
        <f>A133</f>
        <v>9- Equipamentos e ferramentas (locação)</v>
      </c>
      <c r="B163" s="98"/>
      <c r="C163" s="99"/>
      <c r="D163" s="101">
        <f>F139</f>
        <v>0</v>
      </c>
      <c r="E163" s="37"/>
      <c r="F163" s="9"/>
      <c r="G163" s="9"/>
      <c r="H163" s="9"/>
      <c r="I163" s="9"/>
      <c r="J163" s="9"/>
      <c r="K163" s="9"/>
      <c r="L163" s="9"/>
      <c r="M163" s="9"/>
      <c r="N163" s="9"/>
      <c r="O163" s="9"/>
    </row>
    <row r="164" spans="1:15" x14ac:dyDescent="0.2">
      <c r="A164" s="103" t="str">
        <f>A141</f>
        <v>10- Demais despesas sobre fatura, administração e resultado</v>
      </c>
      <c r="B164" s="103"/>
      <c r="C164" s="99"/>
      <c r="D164" s="101">
        <f>D151</f>
        <v>1669.0512825269734</v>
      </c>
      <c r="E164" s="37"/>
      <c r="F164" s="9"/>
      <c r="G164" s="9"/>
      <c r="H164" s="9"/>
      <c r="I164" s="9"/>
      <c r="J164" s="9"/>
      <c r="K164" s="9"/>
      <c r="L164" s="9"/>
      <c r="M164" s="9"/>
      <c r="N164" s="9"/>
      <c r="O164" s="9"/>
    </row>
    <row r="165" spans="1:15" x14ac:dyDescent="0.2">
      <c r="A165" s="63" t="s">
        <v>86</v>
      </c>
      <c r="B165" s="119"/>
      <c r="C165" s="124"/>
      <c r="D165" s="117">
        <v>300</v>
      </c>
      <c r="E165" s="37"/>
      <c r="F165" s="9"/>
      <c r="G165" s="9"/>
      <c r="H165" s="9"/>
      <c r="I165" s="9"/>
      <c r="J165" s="9"/>
      <c r="K165" s="9"/>
      <c r="L165" s="9"/>
      <c r="M165" s="9"/>
      <c r="N165" s="9"/>
      <c r="O165" s="9"/>
    </row>
    <row r="166" spans="1:15" x14ac:dyDescent="0.2">
      <c r="A166" s="63" t="s">
        <v>12</v>
      </c>
      <c r="B166" s="119"/>
      <c r="C166" s="124" t="s">
        <v>89</v>
      </c>
      <c r="D166" s="125">
        <v>343.4</v>
      </c>
      <c r="E166" s="37"/>
      <c r="F166" s="9"/>
      <c r="G166" s="9"/>
      <c r="H166" s="9"/>
      <c r="I166" s="9"/>
      <c r="J166" s="9"/>
      <c r="K166" s="9"/>
      <c r="L166" s="9"/>
      <c r="M166" s="9"/>
      <c r="N166" s="9"/>
      <c r="O166" s="9"/>
    </row>
    <row r="167" spans="1:15" x14ac:dyDescent="0.2">
      <c r="A167" s="66" t="s">
        <v>72</v>
      </c>
      <c r="B167" s="22"/>
      <c r="C167" s="69" t="s">
        <v>73</v>
      </c>
      <c r="D167" s="120">
        <f>SUM(D155:D166)</f>
        <v>5900.2544331558211</v>
      </c>
      <c r="E167" s="37"/>
      <c r="F167" s="9"/>
      <c r="G167" s="9"/>
      <c r="H167" s="9"/>
      <c r="I167" s="9"/>
      <c r="J167" s="9"/>
      <c r="K167" s="9"/>
      <c r="L167" s="9"/>
      <c r="M167" s="9"/>
      <c r="N167" s="9"/>
      <c r="O167" s="9"/>
    </row>
    <row r="168" spans="1:15" ht="13.5" thickBot="1" x14ac:dyDescent="0.25">
      <c r="A168" s="9"/>
      <c r="B168" s="119"/>
      <c r="C168" s="22"/>
      <c r="D168" s="121"/>
    </row>
    <row r="169" spans="1:15" ht="13.5" thickBot="1" x14ac:dyDescent="0.25">
      <c r="D169" s="123"/>
    </row>
    <row r="171" spans="1:15" x14ac:dyDescent="0.2">
      <c r="E171" s="118"/>
    </row>
  </sheetData>
  <mergeCells count="2">
    <mergeCell ref="A119:D119"/>
    <mergeCell ref="A133:D133"/>
  </mergeCells>
  <conditionalFormatting sqref="A141:B141">
    <cfRule type="cellIs" dxfId="0" priority="1" stopIfTrue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7B9E2-970F-4B28-A3CA-190CBE1D6669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 re</dc:creator>
  <cp:lastModifiedBy>Jair Ré</cp:lastModifiedBy>
  <cp:lastPrinted>2024-02-23T02:49:31Z</cp:lastPrinted>
  <dcterms:created xsi:type="dcterms:W3CDTF">2023-12-12T00:09:08Z</dcterms:created>
  <dcterms:modified xsi:type="dcterms:W3CDTF">2025-03-25T15:03:54Z</dcterms:modified>
</cp:coreProperties>
</file>