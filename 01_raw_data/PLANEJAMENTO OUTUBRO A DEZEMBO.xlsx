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drawings/drawing3.xml" ContentType="application/vnd.openxmlformats-officedocument.drawing+xml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drawings/drawing4.xml" ContentType="application/vnd.openxmlformats-officedocument.drawing+xml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975D2F3A-D26F-455E-8A4C-277C874224BC}" xr6:coauthVersionLast="47" xr6:coauthVersionMax="47" xr10:uidLastSave="{00000000-0000-0000-0000-000000000000}"/>
  <bookViews>
    <workbookView xWindow="-108" yWindow="-108" windowWidth="23256" windowHeight="12456" tabRatio="546" activeTab="1" xr2:uid="{2D4EBA98-E3F3-4A1F-9CF4-5FA2B2664D5F}"/>
  </bookViews>
  <sheets>
    <sheet name="PLANEJAMENTO- OFC" sheetId="74" r:id="rId1"/>
    <sheet name="BASE" sheetId="73" r:id="rId2"/>
    <sheet name="ajustes " sheetId="108" r:id="rId3"/>
    <sheet name="pagamento 23.10" sheetId="152" state="hidden" r:id="rId4"/>
    <sheet name="22 A 29.10" sheetId="136" state="hidden" r:id="rId5"/>
    <sheet name="DDA " sheetId="80" state="hidden" r:id="rId6"/>
    <sheet name="TR" sheetId="77" state="hidden" r:id="rId7"/>
    <sheet name="RP" sheetId="75" r:id="rId8"/>
    <sheet name="DDA VENCIDO" sheetId="151" state="hidden" r:id="rId9"/>
    <sheet name="Planilha1" sheetId="112" state="hidden" r:id="rId10"/>
    <sheet name="RESCISÃO" sheetId="81" state="hidden" r:id="rId11"/>
    <sheet name="BN JUROS" sheetId="84" state="hidden" r:id="rId12"/>
    <sheet name="Planilha3" sheetId="153" state="hidden" r:id="rId13"/>
    <sheet name="Planilha4" sheetId="180" state="hidden" r:id="rId14"/>
    <sheet name="Planilha5" sheetId="181" state="hidden" r:id="rId15"/>
    <sheet name="Planilha2" sheetId="121" state="hidden" r:id="rId16"/>
    <sheet name="APORTE VITOR PROGRAMAÇÃO " sheetId="71" state="hidden" r:id="rId17"/>
    <sheet name="PLANEJAMENTO1" sheetId="22" state="hidden" r:id="rId18"/>
    <sheet name="COPIA 1 JULHO  DEZ" sheetId="1" state="hidden" r:id="rId19"/>
  </sheets>
  <definedNames>
    <definedName name="_xlnm._FilterDatabase" localSheetId="4" hidden="1">'22 A 29.10'!$A$1:$G$45</definedName>
    <definedName name="_xlnm._FilterDatabase" localSheetId="2" hidden="1">'ajustes '!$A$3:$J$3</definedName>
    <definedName name="_xlnm._FilterDatabase" localSheetId="1" hidden="1">BASE!$A$1:$H$1258</definedName>
    <definedName name="_xlnm._FilterDatabase" localSheetId="18" hidden="1">'COPIA 1 JULHO  DEZ'!$A$1:$M$2778</definedName>
    <definedName name="_xlnm.Print_Area" localSheetId="3">'pagamento 23.10'!$A$1:$G$39</definedName>
  </definedNames>
  <calcPr calcId="191029"/>
  <pivotCaches>
    <pivotCache cacheId="205" r:id="rId20"/>
    <pivotCache cacheId="209" r:id="rId21"/>
    <pivotCache cacheId="214" r:id="rId2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90" i="75" l="1"/>
  <c r="BL15" i="74"/>
  <c r="BK15" i="74"/>
  <c r="BJ13" i="74"/>
  <c r="BJ15" i="74"/>
  <c r="BI15" i="74"/>
  <c r="BH15" i="74"/>
  <c r="BG15" i="74"/>
  <c r="BF15" i="74"/>
  <c r="BE15" i="74"/>
  <c r="BD15" i="74"/>
  <c r="BC15" i="74"/>
  <c r="BB15" i="74"/>
  <c r="BA15" i="74"/>
  <c r="AZ15" i="74"/>
  <c r="AY15" i="74"/>
  <c r="AX15" i="74"/>
  <c r="AW15" i="74"/>
  <c r="AV15" i="74"/>
  <c r="AU15" i="74"/>
  <c r="AT15" i="74"/>
  <c r="BK13" i="74"/>
  <c r="BL13" i="74" s="1"/>
  <c r="BI13" i="74"/>
  <c r="BH13" i="74"/>
  <c r="E830" i="75" l="1"/>
  <c r="E795" i="75" l="1"/>
  <c r="E718" i="75"/>
  <c r="E694" i="75" l="1"/>
  <c r="E675" i="75" l="1"/>
  <c r="G63" i="77"/>
  <c r="E662" i="75" l="1"/>
  <c r="H43" i="77" l="1"/>
  <c r="I47" i="77" s="1"/>
  <c r="B43" i="77"/>
  <c r="B47" i="77" s="1"/>
  <c r="C47" i="77" l="1"/>
  <c r="H47" i="77"/>
  <c r="E633" i="75" l="1"/>
  <c r="E572" i="75"/>
  <c r="E45" i="136"/>
  <c r="B12" i="112"/>
  <c r="E550" i="75"/>
  <c r="E536" i="75"/>
  <c r="C5" i="112"/>
  <c r="E518" i="75"/>
  <c r="E502" i="75"/>
  <c r="E476" i="75"/>
  <c r="E462" i="75"/>
  <c r="E449" i="75"/>
  <c r="H25" i="77" l="1"/>
  <c r="I29" i="77" s="1"/>
  <c r="C29" i="77"/>
  <c r="B29" i="77"/>
  <c r="B25" i="77"/>
  <c r="E417" i="75"/>
  <c r="E405" i="75"/>
  <c r="E393" i="75"/>
  <c r="E381" i="75"/>
  <c r="E335" i="75"/>
  <c r="E309" i="75"/>
  <c r="E246" i="75"/>
  <c r="E191" i="75"/>
  <c r="E175" i="75"/>
  <c r="H29" i="77" l="1"/>
  <c r="E151" i="75"/>
  <c r="F10" i="84"/>
  <c r="E10" i="84"/>
  <c r="E126" i="75" l="1"/>
  <c r="E22" i="81" l="1"/>
  <c r="E103" i="75" l="1"/>
  <c r="E75" i="75"/>
  <c r="C14" i="77"/>
  <c r="B13" i="77"/>
  <c r="B9" i="77"/>
  <c r="B6" i="77"/>
  <c r="E36" i="75" l="1"/>
  <c r="BQ21" i="22" l="1"/>
  <c r="B13" i="74"/>
  <c r="AW38" i="22" l="1"/>
  <c r="AW37" i="22"/>
  <c r="B13" i="22"/>
  <c r="C13" i="74"/>
  <c r="D13" i="74" l="1"/>
  <c r="C13" i="22"/>
  <c r="D13" i="22" l="1"/>
  <c r="E13" i="74"/>
  <c r="F13" i="74" l="1"/>
  <c r="E13" i="22"/>
  <c r="F13" i="22" l="1"/>
  <c r="G13" i="74"/>
  <c r="H13" i="74" l="1"/>
  <c r="G13" i="22"/>
  <c r="H13" i="22" l="1"/>
  <c r="I13" i="74"/>
  <c r="J13" i="74" l="1"/>
  <c r="I13" i="22"/>
  <c r="J13" i="22" l="1"/>
  <c r="K13" i="74"/>
  <c r="K13" i="22" l="1"/>
  <c r="L13" i="74"/>
  <c r="M13" i="74" l="1"/>
  <c r="L13" i="22"/>
  <c r="M13" i="22" l="1"/>
  <c r="N13" i="74"/>
  <c r="O13" i="74" l="1"/>
  <c r="N13" i="22"/>
  <c r="O13" i="22" l="1"/>
  <c r="P13" i="74"/>
  <c r="Q13" i="74" l="1"/>
  <c r="P13" i="22"/>
  <c r="Q13" i="22" l="1"/>
  <c r="R13" i="74"/>
  <c r="R13" i="22" l="1"/>
  <c r="S13" i="74"/>
  <c r="T13" i="74" l="1"/>
  <c r="S13" i="22"/>
  <c r="U13" i="74" l="1"/>
  <c r="T13" i="22"/>
  <c r="U13" i="22" l="1"/>
  <c r="V13" i="74"/>
  <c r="W13" i="74"/>
  <c r="V13" i="22"/>
  <c r="W13" i="22"/>
  <c r="X13" i="74"/>
  <c r="Y13" i="74"/>
  <c r="Z15" i="74" s="1"/>
  <c r="AA15" i="74" s="1"/>
  <c r="AB15" i="74" s="1"/>
  <c r="AC15" i="74" s="1"/>
  <c r="AD15" i="74" s="1"/>
  <c r="AE15" i="74" s="1"/>
  <c r="AF15" i="74" s="1"/>
  <c r="AG15" i="74" s="1"/>
  <c r="AH15" i="74" s="1"/>
  <c r="AI15" i="74" s="1"/>
  <c r="AJ15" i="74" s="1"/>
  <c r="AK15" i="74" s="1"/>
  <c r="AL15" i="74" s="1"/>
  <c r="AM15" i="74" s="1"/>
  <c r="AN15" i="74" s="1"/>
  <c r="AO15" i="74" s="1"/>
  <c r="AP15" i="74" s="1"/>
  <c r="AQ15" i="74" s="1"/>
  <c r="AR15" i="74" s="1"/>
  <c r="AS15" i="74" s="1"/>
  <c r="X13" i="22"/>
  <c r="Y13" i="22"/>
  <c r="Z13" i="74"/>
  <c r="AA13" i="74"/>
  <c r="Z13" i="22"/>
  <c r="AA13" i="22"/>
  <c r="AB13" i="74"/>
  <c r="AC13" i="74"/>
  <c r="AB13" i="22"/>
  <c r="AC13" i="22"/>
  <c r="AD13" i="74"/>
  <c r="AE13" i="74"/>
  <c r="AD13" i="22"/>
  <c r="AE13" i="22"/>
  <c r="AF13" i="74"/>
  <c r="AG13" i="74"/>
  <c r="AF13" i="22"/>
  <c r="AG13" i="22"/>
  <c r="AH13" i="74"/>
  <c r="AI13" i="74"/>
  <c r="AH13" i="22"/>
  <c r="AI13" i="22"/>
  <c r="AJ13" i="74"/>
  <c r="AK13" i="74"/>
  <c r="AJ13" i="22"/>
  <c r="AK13" i="22"/>
  <c r="AL13" i="74"/>
  <c r="AM13" i="74"/>
  <c r="AL13" i="22"/>
  <c r="AN13" i="74"/>
  <c r="AM13" i="22"/>
  <c r="AN13" i="22"/>
  <c r="AO13" i="74"/>
  <c r="AP13" i="74"/>
  <c r="AO13" i="22"/>
  <c r="AP13" i="22"/>
  <c r="AQ13" i="74"/>
  <c r="AR13" i="74"/>
  <c r="AS13" i="74" s="1"/>
  <c r="AT13" i="74" s="1"/>
  <c r="AU13" i="74" s="1"/>
  <c r="AV13" i="74" s="1"/>
  <c r="AW13" i="74" s="1"/>
  <c r="AX13" i="74" s="1"/>
  <c r="AY13" i="74" s="1"/>
  <c r="AZ13" i="74" s="1"/>
  <c r="BA13" i="74" s="1"/>
  <c r="BB13" i="74" s="1"/>
  <c r="BC13" i="74" s="1"/>
  <c r="BD13" i="74" s="1"/>
  <c r="BE13" i="74" s="1"/>
  <c r="BF13" i="74" s="1"/>
  <c r="BG13" i="74" s="1"/>
  <c r="AQ13" i="22"/>
  <c r="AR13" i="22"/>
  <c r="AS13" i="22"/>
  <c r="AT13" i="22"/>
  <c r="AU13" i="22"/>
  <c r="AV13" i="22"/>
  <c r="AW13" i="22"/>
  <c r="AX13" i="22"/>
  <c r="AY13" i="22"/>
  <c r="AZ13" i="22"/>
  <c r="BA13" i="22"/>
  <c r="BB13" i="22"/>
  <c r="BC13" i="22"/>
  <c r="BD13" i="22"/>
  <c r="BE13" i="22"/>
  <c r="BF14" i="22"/>
  <c r="BF13" i="22"/>
  <c r="BG13" i="22"/>
  <c r="BG14" i="22"/>
  <c r="BH14" i="22"/>
  <c r="BH13" i="22"/>
  <c r="BI13" i="22"/>
  <c r="BI14" i="22"/>
  <c r="BJ14" i="22"/>
  <c r="BJ13" i="22"/>
  <c r="BK13" i="22"/>
  <c r="BK14" i="22"/>
  <c r="BL14" i="22"/>
  <c r="BL13" i="22"/>
  <c r="BM13" i="22"/>
  <c r="BM17" i="22"/>
  <c r="BM14" i="22"/>
  <c r="BN14" i="22"/>
  <c r="BN17" i="22"/>
  <c r="BN13" i="22"/>
  <c r="BO13" i="22"/>
  <c r="BO17" i="22"/>
  <c r="BO14" i="22"/>
  <c r="BP14" i="22"/>
  <c r="BP13" i="22"/>
  <c r="BP17" i="22"/>
  <c r="BQ17" i="22"/>
  <c r="BQ13" i="22"/>
  <c r="BQ14" i="22"/>
  <c r="BR14" i="22"/>
  <c r="BR13" i="22"/>
  <c r="BR17" i="22"/>
  <c r="BS17" i="22"/>
  <c r="BS13" i="22"/>
  <c r="BS14" i="22"/>
  <c r="BT14" i="22"/>
  <c r="BT13" i="22"/>
  <c r="BT17" i="22"/>
  <c r="BU17" i="22"/>
  <c r="BU13" i="22"/>
  <c r="BU14" i="22"/>
  <c r="BV14" i="22"/>
  <c r="BV13" i="22"/>
  <c r="BV17" i="22"/>
  <c r="BW17" i="22"/>
  <c r="BW14" i="22"/>
  <c r="BW13" i="22"/>
  <c r="BX13" i="22"/>
  <c r="BX14" i="22"/>
  <c r="BX17" i="22"/>
  <c r="BY13" i="22"/>
  <c r="BZ13" i="22"/>
  <c r="CA13" i="22"/>
  <c r="CB13" i="22"/>
  <c r="CC13" i="22"/>
  <c r="CD13" i="22"/>
  <c r="CE13" i="22"/>
  <c r="CF13" i="22"/>
  <c r="CG13" i="22"/>
  <c r="CH13" i="22"/>
  <c r="CI13" i="22"/>
  <c r="CJ13" i="22"/>
  <c r="CK13" i="22"/>
  <c r="CL13" i="22"/>
  <c r="CM13" i="22"/>
  <c r="CN13" i="22"/>
  <c r="CO13" i="22"/>
  <c r="CP13" i="22"/>
  <c r="CQ13" i="22"/>
  <c r="CR13" i="22"/>
  <c r="CS13" i="22"/>
  <c r="CT13" i="22"/>
  <c r="CU13" i="22"/>
  <c r="CV13" i="22"/>
  <c r="CW13" i="22"/>
  <c r="CX13" i="22"/>
  <c r="CY13" i="22"/>
  <c r="CZ13" i="22"/>
  <c r="DA13" i="22"/>
  <c r="DB13" i="22"/>
  <c r="DC13" i="22"/>
  <c r="DD13" i="22"/>
  <c r="DE13" i="22"/>
  <c r="DF13" i="22"/>
  <c r="DG13" i="22"/>
  <c r="DH13" i="22"/>
  <c r="DI13" i="22"/>
  <c r="DJ13" i="22"/>
  <c r="DK13" i="22"/>
  <c r="DL13" i="22"/>
  <c r="DM13" i="22"/>
  <c r="DN13" i="22"/>
  <c r="DO13" i="22"/>
  <c r="DP13" i="22"/>
  <c r="DQ13" i="22"/>
  <c r="DR13" i="22"/>
  <c r="DS13" i="22"/>
  <c r="DT13" i="22"/>
  <c r="DT22" i="22" l="1"/>
  <c r="DT24" i="22" s="1"/>
  <c r="DT27" i="22" s="1"/>
  <c r="DT30" i="22" s="1"/>
  <c r="DT33" i="22" s="1"/>
</calcChain>
</file>

<file path=xl/sharedStrings.xml><?xml version="1.0" encoding="utf-8"?>
<sst xmlns="http://schemas.openxmlformats.org/spreadsheetml/2006/main" count="26363" uniqueCount="2339">
  <si>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</si>
  <si>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</si>
  <si>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</si>
  <si>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</si>
  <si>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</si>
  <si>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</si>
  <si>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</si>
  <si>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</si>
  <si>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</si>
  <si>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</si>
  <si>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</si>
  <si>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</si>
  <si>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</si>
  <si>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</si>
  <si>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</si>
  <si>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</si>
  <si>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</si>
  <si>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</si>
  <si>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</si>
  <si>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</si>
  <si>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</si>
  <si>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</si>
  <si>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</si>
  <si>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</si>
  <si>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</si>
  <si>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</si>
  <si>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</si>
  <si>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</si>
  <si>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</si>
  <si>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</si>
  <si>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</si>
  <si>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</si>
  <si>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</si>
  <si>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</si>
  <si>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</si>
  <si>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</si>
  <si>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</si>
  <si>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</si>
  <si>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</si>
  <si>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</si>
  <si>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</si>
  <si>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</si>
  <si>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</si>
  <si>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</si>
  <si>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</si>
  <si>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</si>
  <si>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</si>
  <si>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</si>
  <si>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</si>
  <si>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</si>
  <si>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</si>
  <si>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</si>
  <si>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</si>
  <si>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</si>
  <si>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</si>
  <si>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</si>
  <si>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SEGURANÇAS</t>
  </si>
  <si>
    <t>JHONNY WALACE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</si>
  <si>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</si>
  <si>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</si>
  <si>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</si>
  <si>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</si>
  <si>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</si>
  <si>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</si>
  <si>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</si>
  <si>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</si>
  <si>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</si>
  <si>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</si>
  <si>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</si>
  <si>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</si>
  <si>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</si>
  <si>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</si>
  <si>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</si>
  <si>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</si>
  <si>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</si>
  <si>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</si>
  <si>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>NOVITA VEST CONFECCOES LTDA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</si>
  <si>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</si>
  <si>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</si>
  <si>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</si>
  <si>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</si>
  <si>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</si>
  <si>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</si>
  <si>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</si>
  <si>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</si>
  <si>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</si>
  <si>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</si>
  <si>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</si>
  <si>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</si>
  <si>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SEM PARAR-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</si>
  <si>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</si>
  <si>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</si>
  <si>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</si>
  <si>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</si>
  <si>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</si>
  <si>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</si>
  <si>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</si>
  <si>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</si>
  <si>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</si>
  <si>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</si>
  <si>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</si>
  <si>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</si>
  <si>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</si>
  <si>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</si>
  <si>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</si>
  <si>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</si>
  <si>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</si>
  <si>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</si>
  <si>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</si>
  <si>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</si>
  <si>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LOCALIZA - VENCIDA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</si>
  <si>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</si>
  <si>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</si>
  <si>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</si>
  <si>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</si>
  <si>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</si>
  <si>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</si>
  <si>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</si>
  <si>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</si>
  <si>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</si>
  <si>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</si>
  <si>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</si>
  <si>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</si>
  <si>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</si>
  <si>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</si>
  <si>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</si>
  <si>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</si>
  <si>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</si>
  <si>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</si>
  <si>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</si>
  <si>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</si>
  <si>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</si>
  <si>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</si>
  <si>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</si>
  <si>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</si>
  <si>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</si>
  <si>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</si>
  <si>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</si>
  <si>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</si>
  <si>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</si>
  <si>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</si>
  <si>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</si>
  <si>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</si>
  <si>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</si>
  <si>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</si>
  <si>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</si>
  <si>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</si>
  <si>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</si>
  <si>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</si>
  <si>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</si>
  <si>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</si>
  <si>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</si>
  <si>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</si>
  <si>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</si>
  <si>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</si>
  <si>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</si>
  <si>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</si>
  <si>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</si>
  <si>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</si>
  <si>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</si>
  <si>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</si>
  <si>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</si>
  <si>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</si>
  <si>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</si>
  <si>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</si>
  <si>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</si>
  <si>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</si>
  <si>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</si>
  <si>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</si>
  <si>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</si>
  <si>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</si>
  <si>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</si>
  <si>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CONDOMINIO PALAZZO VENEZA</t>
  </si>
  <si>
    <t>TTB INDUSTRIA E COMERCIO DE PRODUTOS MET</t>
  </si>
  <si>
    <t>VITOR</t>
  </si>
  <si>
    <t>DEPOSITO SANTA CATARINA LTDA</t>
  </si>
  <si>
    <t>GIFEL</t>
  </si>
  <si>
    <t>CLEAN</t>
  </si>
  <si>
    <t>RICARO</t>
  </si>
  <si>
    <t>IMPROVEMENT FIT ACADEMIA LTDA</t>
  </si>
  <si>
    <t xml:space="preserve">AVENIDA </t>
  </si>
  <si>
    <t>TERCEIRIZADOS</t>
  </si>
  <si>
    <t>BELLART</t>
  </si>
  <si>
    <t>MIPAL INDUSTRIA DE EVAPORADORES LTDA</t>
  </si>
  <si>
    <t>PLASTY COMERCIAL DE PLASTICOS LTDA</t>
  </si>
  <si>
    <t>BOA</t>
  </si>
  <si>
    <t>ACORDO TRABALHISTA</t>
  </si>
  <si>
    <t>LUCAS LEONARDO MARQUES DE OLIVEIRA</t>
  </si>
  <si>
    <t>CRISTIANI COSIM DE OLIVEIRA VILELA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</si>
  <si>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</si>
  <si>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</si>
  <si>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</si>
  <si>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</si>
  <si>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</si>
  <si>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>CEF MATRIZ-EMPRESTIMO HSERV COMBINADOS VENCIDO</t>
  </si>
  <si>
    <t>SINDPRESTEM</t>
  </si>
  <si>
    <t>SIEMACO-PRUDENTE SINDICATO AVENIDA, ASSIS E REGIÃO</t>
  </si>
  <si>
    <t>EMPORIO MEGA 100 COMERCIO DE ALIMENTOS S.A.</t>
  </si>
  <si>
    <t>LOCALIZA FLEET S.A.</t>
  </si>
  <si>
    <t>JONESO EMPREENDIMENTOS E ADMINISTRACAO LTDA</t>
  </si>
  <si>
    <t>FMD FUNDO DE INVESTIMENTO EM DIREITOS CREDITORIOS-STAR CLEAN</t>
  </si>
  <si>
    <t>L. A. DE SOUZA - EQUIPAMENTOS DE SEGURANCA LTDA</t>
  </si>
  <si>
    <t>WIG COMERCIO DE BATERIAS COMPONENTES LTDA</t>
  </si>
  <si>
    <t>MANUTENÇÃO</t>
  </si>
  <si>
    <t>SPARTAN DO BRASIL PRODUTOS QUIMICOS LTDA</t>
  </si>
  <si>
    <t>LOTUS CENTRAL DE DISTRIBUICAO DE HIGIENICOS LTDA</t>
  </si>
  <si>
    <t>JULHO</t>
  </si>
  <si>
    <t>AGOSTO</t>
  </si>
  <si>
    <t>SETEMBRO</t>
  </si>
  <si>
    <t>EMPRESTIMO HSERV CLEAN BRADESCO -PARCELA MENSAL</t>
  </si>
  <si>
    <t>FT 2 QUINZENA</t>
  </si>
  <si>
    <t>OUTUBRO</t>
  </si>
  <si>
    <t>NOVEMBRO</t>
  </si>
  <si>
    <t>FT 1 QUINZENA E PACOTES, RT</t>
  </si>
  <si>
    <t xml:space="preserve">FT 2 QUINZENA </t>
  </si>
  <si>
    <t>DECIMO TERCEIRO SALARIOS</t>
  </si>
  <si>
    <t>DEZEMBRO</t>
  </si>
  <si>
    <t>FT ANO NOVO</t>
  </si>
  <si>
    <t>FT NATAL</t>
  </si>
  <si>
    <t>Rótulos de Linha</t>
  </si>
  <si>
    <t>Soma de VALOR</t>
  </si>
  <si>
    <t>Total Geral</t>
  </si>
  <si>
    <t>Rótulos de Coluna</t>
  </si>
  <si>
    <t>PLANEJAMENTO JULHO A DEZEMBRO 2025</t>
  </si>
  <si>
    <t>SALDO</t>
  </si>
  <si>
    <t>DECIMO TERCEIRO SALARIO</t>
  </si>
  <si>
    <t>J.E. COMERCIO E SOLUCOES LTDA</t>
  </si>
  <si>
    <t>MERCADORIAS PARA REVENDA</t>
  </si>
  <si>
    <t>PAROLAR DIST DE UTENSILIOS DOMESTICOS LTDA</t>
  </si>
  <si>
    <t>FLORA DISTRIB PROD DE HIGIENE E LIMPEZA LTDA</t>
  </si>
  <si>
    <t>01/jul</t>
  </si>
  <si>
    <t>02/jul</t>
  </si>
  <si>
    <t>03/jul</t>
  </si>
  <si>
    <t>04/jul</t>
  </si>
  <si>
    <t>07/jul</t>
  </si>
  <si>
    <t>08/jul</t>
  </si>
  <si>
    <t>10/jul</t>
  </si>
  <si>
    <t>11/jul</t>
  </si>
  <si>
    <t>14/jul</t>
  </si>
  <si>
    <t>15/jul</t>
  </si>
  <si>
    <t>16/jul</t>
  </si>
  <si>
    <t>17/jul</t>
  </si>
  <si>
    <t>18/jul</t>
  </si>
  <si>
    <t>21/jul</t>
  </si>
  <si>
    <t>22/jul</t>
  </si>
  <si>
    <t>23/jul</t>
  </si>
  <si>
    <t>25/jul</t>
  </si>
  <si>
    <t>28/jul</t>
  </si>
  <si>
    <t>30/jul</t>
  </si>
  <si>
    <t>31/jul</t>
  </si>
  <si>
    <t>01/ago</t>
  </si>
  <si>
    <t>04/ago</t>
  </si>
  <si>
    <t>05/ago</t>
  </si>
  <si>
    <t>06/ago</t>
  </si>
  <si>
    <t>07/ago</t>
  </si>
  <si>
    <t>08/ago</t>
  </si>
  <si>
    <t>11/ago</t>
  </si>
  <si>
    <t>12/ago</t>
  </si>
  <si>
    <t>13/ago</t>
  </si>
  <si>
    <t>14/ago</t>
  </si>
  <si>
    <t>15/ago</t>
  </si>
  <si>
    <t>18/ago</t>
  </si>
  <si>
    <t>19/ago</t>
  </si>
  <si>
    <t>20/ago</t>
  </si>
  <si>
    <t>21/ago</t>
  </si>
  <si>
    <t>22/ago</t>
  </si>
  <si>
    <t>25/ago</t>
  </si>
  <si>
    <t>26/ago</t>
  </si>
  <si>
    <t>27/ago</t>
  </si>
  <si>
    <t>29/ago</t>
  </si>
  <si>
    <t>01/set</t>
  </si>
  <si>
    <t>02/set</t>
  </si>
  <si>
    <t>03/set</t>
  </si>
  <si>
    <t>04/set</t>
  </si>
  <si>
    <t>05/set</t>
  </si>
  <si>
    <t>08/set</t>
  </si>
  <si>
    <t>09/set</t>
  </si>
  <si>
    <t>10/set</t>
  </si>
  <si>
    <t>11/set</t>
  </si>
  <si>
    <t>12/set</t>
  </si>
  <si>
    <t>16/set</t>
  </si>
  <si>
    <t>17/set</t>
  </si>
  <si>
    <t>18/set</t>
  </si>
  <si>
    <t>19/set</t>
  </si>
  <si>
    <t>22/set</t>
  </si>
  <si>
    <t>23/set</t>
  </si>
  <si>
    <t>24/set</t>
  </si>
  <si>
    <t>25/set</t>
  </si>
  <si>
    <t>26/set</t>
  </si>
  <si>
    <t>29/set</t>
  </si>
  <si>
    <t>30/set</t>
  </si>
  <si>
    <t>01/out</t>
  </si>
  <si>
    <t>02/out</t>
  </si>
  <si>
    <t>03/out</t>
  </si>
  <si>
    <t>06/out</t>
  </si>
  <si>
    <t>08/out</t>
  </si>
  <si>
    <t>09/out</t>
  </si>
  <si>
    <t>10/out</t>
  </si>
  <si>
    <t>13/out</t>
  </si>
  <si>
    <t>14/out</t>
  </si>
  <si>
    <t>15/out</t>
  </si>
  <si>
    <t>16/out</t>
  </si>
  <si>
    <t>17/out</t>
  </si>
  <si>
    <t>20/out</t>
  </si>
  <si>
    <t>22/out</t>
  </si>
  <si>
    <t>24/out</t>
  </si>
  <si>
    <t>27/out</t>
  </si>
  <si>
    <t>29/out</t>
  </si>
  <si>
    <t>30/out</t>
  </si>
  <si>
    <t>31/out</t>
  </si>
  <si>
    <t>03/nov</t>
  </si>
  <si>
    <t>04/nov</t>
  </si>
  <si>
    <t>05/nov</t>
  </si>
  <si>
    <t>06/nov</t>
  </si>
  <si>
    <t>07/nov</t>
  </si>
  <si>
    <t>10/nov</t>
  </si>
  <si>
    <t>11/nov</t>
  </si>
  <si>
    <t>13/nov</t>
  </si>
  <si>
    <t>14/nov</t>
  </si>
  <si>
    <t>17/nov</t>
  </si>
  <si>
    <t>18/nov</t>
  </si>
  <si>
    <t>20/nov</t>
  </si>
  <si>
    <t>21/nov</t>
  </si>
  <si>
    <t>24/nov</t>
  </si>
  <si>
    <t>25/nov</t>
  </si>
  <si>
    <t>26/nov</t>
  </si>
  <si>
    <t>28/nov</t>
  </si>
  <si>
    <t>01/dez</t>
  </si>
  <si>
    <t>02/dez</t>
  </si>
  <si>
    <t>04/dez</t>
  </si>
  <si>
    <t>05/dez</t>
  </si>
  <si>
    <t>08/dez</t>
  </si>
  <si>
    <t>09/dez</t>
  </si>
  <si>
    <t>10/dez</t>
  </si>
  <si>
    <t>11/dez</t>
  </si>
  <si>
    <t>12/dez</t>
  </si>
  <si>
    <t>15/dez</t>
  </si>
  <si>
    <t>16/dez</t>
  </si>
  <si>
    <t>17/dez</t>
  </si>
  <si>
    <t>18/dez</t>
  </si>
  <si>
    <t>19/dez</t>
  </si>
  <si>
    <t>22/dez</t>
  </si>
  <si>
    <t>23/dez</t>
  </si>
  <si>
    <t>26/dez</t>
  </si>
  <si>
    <t>29/dez</t>
  </si>
  <si>
    <t>30/dez</t>
  </si>
  <si>
    <t>24/jul</t>
  </si>
  <si>
    <t>BOM FALCAO LOGISTICA E TRANSPORTE LTDA</t>
  </si>
  <si>
    <t>FRETE</t>
  </si>
  <si>
    <t>DANILO ENDRIGO GARAVELO</t>
  </si>
  <si>
    <t>GLOVAN CABREUVA ALUGUEL DE EQUIPAMENTOS LTDA</t>
  </si>
  <si>
    <t>EQUIPAMENTOS</t>
  </si>
  <si>
    <t>GRRF DANILO ENDRIGO GARAVELO</t>
  </si>
  <si>
    <t>LM SUPER TROCA DE OLEO</t>
  </si>
  <si>
    <t>ANDRADE FREITAS SOCIEDADE DE ADVOGADOS</t>
  </si>
  <si>
    <t>HIGOR HENRIQUE SANTOS</t>
  </si>
  <si>
    <t>YAIKEL MARTINEZ LEON</t>
  </si>
  <si>
    <t>RAFAEL MOREIRA ANDRELINO</t>
  </si>
  <si>
    <t>MARIA JOSE CONCEICAO DA SILVA</t>
  </si>
  <si>
    <t>FRANCINI MARQUES DA SILVA</t>
  </si>
  <si>
    <t>MARIA JOSE DA SILVA SANTOS</t>
  </si>
  <si>
    <t>MATHEUS SANT ANNA</t>
  </si>
  <si>
    <t>JENIFFER ADRIELE SANTOS SERGIO</t>
  </si>
  <si>
    <t>PRISCILA JESUS DOS SANTOS</t>
  </si>
  <si>
    <t>GUSTAVO HENRIQUE DOS SANTOS</t>
  </si>
  <si>
    <t>DAIANI SILVA RODRIGUES</t>
  </si>
  <si>
    <t>VALMIR DOS SANTOS</t>
  </si>
  <si>
    <t>VETTOR PECAS E TUBOS INDUSTRIA E COMERCIO LTDA.</t>
  </si>
  <si>
    <t>REBECCA ELONICE</t>
  </si>
  <si>
    <t>JOSE ADILSON LIMA BATISTA</t>
  </si>
  <si>
    <t>GRACE KELLY CUSTODIO AURELIANO</t>
  </si>
  <si>
    <t>LINDIMAR FERREIRA DOS SANTOS</t>
  </si>
  <si>
    <t>FABIO NOGUEIRA DA SILVA LOPES</t>
  </si>
  <si>
    <t>LINDENALVA FARIAS RIBEIRO</t>
  </si>
  <si>
    <t>RONALDO SILVA MARQUES</t>
  </si>
  <si>
    <t>ROSANGELA FRANCO</t>
  </si>
  <si>
    <t>IFOOD.COM AGENCIA DE RESTAURANTES ONLINE S.A.</t>
  </si>
  <si>
    <t>DIOGO HENRIQUE BARBOSA BERNARDINO-L  2 DIAS DE FT DESSE COLABORADOR NO UPA</t>
  </si>
  <si>
    <t>MARIA DE JESUS SANTOS</t>
  </si>
  <si>
    <t>ALEX APARECIDO DE MORAES</t>
  </si>
  <si>
    <t>LARAH MELYSSA ALVES DE SOUSA  NO VALOR DE R$ 921,71 A DAIANE CRISTINA ANDRADE - BELLART</t>
  </si>
  <si>
    <t>SALÁRIOS</t>
  </si>
  <si>
    <t>JESSICA NATALIA APARECIDA TEODORO</t>
  </si>
  <si>
    <t>LUZIA DE CARVALHO</t>
  </si>
  <si>
    <t>TAMIRES DA SILVA CAPUCHINHO</t>
  </si>
  <si>
    <t>RESOLVE ALIMENTACAO LTDA</t>
  </si>
  <si>
    <t>VALE ALIMENTAÇAO</t>
  </si>
  <si>
    <t>CREDIFIT SOCIEDADE DE CREDITO DIRETO S.A.</t>
  </si>
  <si>
    <t>GRRF JESSICA NATALIA APARECIDA TEODORO</t>
  </si>
  <si>
    <t>ALTOLIM COMERCIAL ASSIS EIRELI - ME</t>
  </si>
  <si>
    <t>PRIMETEC TECNOLOGIA LTDA</t>
  </si>
  <si>
    <t>NEXTI DESENVOLVIMENTO DE SISTEMAS S.A. VENCIDO 30/06/2025</t>
  </si>
  <si>
    <t>SIMPLES NACIONAL-PARCELAMENTO VENCIDO 30/06/2025</t>
  </si>
  <si>
    <t xml:space="preserve">HSERV REPRESENTAÇÃO </t>
  </si>
  <si>
    <t>GUIA DE PARCELAMENTO INSS VITOR JULHO A NOV 2024- VENCIMENTO 30/06/2025</t>
  </si>
  <si>
    <t xml:space="preserve">	DA REC FED DARF C211000 GUIA DE PARELAMENTO DE DIVIDA ATIVA HSERV CLEAN-  VENCIMENTO 30/06/2025</t>
  </si>
  <si>
    <t>PARCELAMENTO SIMPLICADO- HSERV CLEAN DEBITO PREVIDENCIARIO  VENCIMENTO 30/06/2025</t>
  </si>
  <si>
    <t>PARCELAMENTO SIMPLICADO- HSERV COMBINADOS  DEBITO PREVIDENCIARIO - VENCIMENTO 30/06/2025</t>
  </si>
  <si>
    <t>PARCELAMENTO SIMPLICADO- VITOR DUARTE  DEBITO PREVIDENCIARIO - VENCIMENTO 30/06/2025</t>
  </si>
  <si>
    <t>PARCELAMENTO SIMPLICADO- HSERV REPRESENTAÇÃO  DEBITO PREVIDENCIARIO  - VENCIMENTO 30/06/2025</t>
  </si>
  <si>
    <t>PARCELAMENTO SIMPLICADO- HSERV LIMPEZA - DEBITO PREVIDENCIARIO  - VENCIMENTO 30/06/2025</t>
  </si>
  <si>
    <t>EMPORIO MEGA 100 COMERCIO DE ALIMENTOS S.A.-CESTA NATALINA - VENCIMENTO 30/06/2025</t>
  </si>
  <si>
    <t>CESTA NATALINA</t>
  </si>
  <si>
    <t>54.055.078 MATHEUS PEIXOTO DE OLIVEIRA-VENCIDO 30/06/2025</t>
  </si>
  <si>
    <t>ADEMIR- IMPRESSÃO E IMPRESSORA VENCIDO 30/06/2025</t>
  </si>
  <si>
    <t>SOFT WORKS EPI CALCADOS LTDA- VENCIDO 30/06/2025</t>
  </si>
  <si>
    <t>GABRIEL DOS SANTOS NOVÃESCLOUD-TELEFONIA-VENCIDO 30/06/2025</t>
  </si>
  <si>
    <t>SPARTAN DO BRASIL PRODUTOS QUIMICOS LTDA-VENCIMENTO 01/07/2025</t>
  </si>
  <si>
    <t>JOSE JONAS DE ARAUJO SILVA- PROCESSO 0010137-76.2022.5.15.0018- MANOEL VICENTE  HONORARIOS</t>
  </si>
  <si>
    <t>JOSE JONAS DE ARAUJO SILVA- PROCESSO 0010137-76.2022.5.15.0018- MANOEL VICENTE  PARCELA 1/8</t>
  </si>
  <si>
    <t>29/jul</t>
  </si>
  <si>
    <t>IRMÃOS BOAS-RECEITAS DO DIA 30/06/2025-PAGAMENTO ATRASADO</t>
  </si>
  <si>
    <t>AVENIDA -ANTECIPADO DIA 02/07- VENCIMENTO 15/07</t>
  </si>
  <si>
    <t>SPARTAN DO BRASIL PRODUTOS QUIMICOS LTDA VENCIDA 02/07/2025</t>
  </si>
  <si>
    <t>LOTUS CENTRAL DE DISTRIBUICAO DE HIGIENICOS LTDA- NF  111185 -PARCELA 2/3 VENCIMENTO 01/07/2025</t>
  </si>
  <si>
    <t xml:space="preserve">WIG COMERCIO DE BATERIAS COMPONENTES LTDA NF 553- 02 BATERIAS - VENCIMENTO 02/07/2025 </t>
  </si>
  <si>
    <t xml:space="preserve">	EVERTON DOMINGOS LUIZ - ANTEDCIPAÇÃO DE SALARIOS- COLABORADOR SOLICITOU PARA COMPRA DE GAS </t>
  </si>
  <si>
    <t>BANCO SAFRA S A</t>
  </si>
  <si>
    <t>WAGNER BIONDO</t>
  </si>
  <si>
    <t>KELLY LOPES DA SILVA</t>
  </si>
  <si>
    <t xml:space="preserve">HSERV COMBINADOS  ND </t>
  </si>
  <si>
    <t>HSERV COMBINADOS ND</t>
  </si>
  <si>
    <t xml:space="preserve">HENRIQUE DUARTE </t>
  </si>
  <si>
    <t>HERV COMBINADOS</t>
  </si>
  <si>
    <t>ASOMETRA ENGENHARIA VENCIDO 20/05/2025</t>
  </si>
  <si>
    <t xml:space="preserve">Antônio Cesar caffe benatti-FT FISCAIS DOM OLIVIO SOROCABA </t>
  </si>
  <si>
    <t xml:space="preserve">Welllington da Silva Araujoi-FT FISCAIS DOM OLIVIO SOROCABA </t>
  </si>
  <si>
    <t xml:space="preserve">Sidnei Silveira Rodrigues  -FT FISCAIS DOM OLIVIO SOROCABA </t>
  </si>
  <si>
    <t xml:space="preserve">Ezequiel Rodrigues dos Santos  -FT FISCAIS DOM OLIVIO SOROCABA </t>
  </si>
  <si>
    <t xml:space="preserve">Alexs Sandro lagos da Silva  -FT FISCAIS DOM OLIVIO SOROCABA </t>
  </si>
  <si>
    <t>TAR PLANO ADAPT 3 06/24</t>
  </si>
  <si>
    <t>MARIA SOCORRO DA SILVA PEREIRA- MEI</t>
  </si>
  <si>
    <t>ADRIANA APARECIDA DA SILVA</t>
  </si>
  <si>
    <t>ILAIDE JOSE RODRIGUES</t>
  </si>
  <si>
    <t>RODRIGO CESAR DOS SANTOS</t>
  </si>
  <si>
    <t>EDILMA SILVA SANTOS-COBRINDO FÉRIAS DIVA CORREA PADILHA DINIZ-SANTA CRUZ - LOJA 26</t>
  </si>
  <si>
    <t xml:space="preserve">FABIULA AP. CAIRES MASCALHUSK- COBRINDO FÉRIAS ADRIANA SOARES DE LIMA TARUMA LOJA 33 </t>
  </si>
  <si>
    <t>ERIKA DE PAULA SERAFIM -COBRINDO FÉRIAS  FATIMA APARECIDA RIBEIRO CANDIDO MOTA CD</t>
  </si>
  <si>
    <t>GLEYCE JAQUELINE DOS REIS OLIVEIRA -REFORMA MERCADO-APOIO EXTRA ASSIS - LOJA 13 PREMIUM</t>
  </si>
  <si>
    <t>CRISTIANA DOS SANTOS -COBRINDO AFASTAMENTO  REGIVANIA PEREIRA DA SILVA  RANCHARIA LOJA 12</t>
  </si>
  <si>
    <t>PATRICIA MARTON ZANINI DAMASCO-COBRINDO AFASTAMENTO  GISLAINE FERNANDA DA SILVA BARBOSA DRACENA LOJA 44</t>
  </si>
  <si>
    <t>LIVIA MARIA TAVARES-COBRINDO FÉRIA DIVA CORREA PADILHA DINIZ SANTA CRUZ - LOJA 26</t>
  </si>
  <si>
    <t xml:space="preserve">FT REDE AVENIDA -ASSIS E REGIÃO- </t>
  </si>
  <si>
    <t xml:space="preserve">	ENCARGOS DESCOBERTO CC</t>
  </si>
  <si>
    <t>VALERIA BARBOSA LEITE</t>
  </si>
  <si>
    <t>ANA CLAUDIA XAVIER DA SILVEIRA BATISTA</t>
  </si>
  <si>
    <t>DANIELE VIEIRA DA SILVA</t>
  </si>
  <si>
    <t>MAIKON CEZARIO DOS SANTOS COPINO</t>
  </si>
  <si>
    <t>GRRF VALMIR DOS SANTOS</t>
  </si>
  <si>
    <t>L. A. DE SOUZA - EQUIPAMENTOS DE SEGURANCA LTDA NF 11620 - SAPATO ASG AVENIDA- OSSIRES</t>
  </si>
  <si>
    <t>LOTUS CENTRAL DE DISTRIBUICAO DE HIGIENICOS LTDA- NF  111185 PARC 3/3</t>
  </si>
  <si>
    <t>PAROLAR DIST DE UTENSILIOS DOMESTICOS LTDA- NF 210.137</t>
  </si>
  <si>
    <t>SPARTAN DO BRASIL PRODUTOS QUIMICOS LTDA NF 253783 PARC 3/3</t>
  </si>
  <si>
    <t>LOCALIZA AFMTZ 2356665  VENCIDA 30/05/2025 KM EXCEDENTE</t>
  </si>
  <si>
    <t xml:space="preserve">LOCALIZA AFMTZ 2357800 -VENCIDA 30/05/2025 LOCAÇÃO 3 VTR </t>
  </si>
  <si>
    <t>LOCALIZA- AGMTZ 2454658-VENCIDA 02/05/2025-PREFIXAÇÃO DE DANOS - AVARIAS</t>
  </si>
  <si>
    <t>LOCALIZA -AFMTZ 2350662-VENCIDA 30/05/2025 QUILÔMETROS EXCEDENTES</t>
  </si>
  <si>
    <t>LOCALIZA-AGMTZ 2454656 VENCIDA 02/05/2025-REEMBOLSO DE CUSTOS REF. PNEUS EXCEDENTES / ATIVIDADES CORRELATAS</t>
  </si>
  <si>
    <t>LOCALIZA- AGMTZ 2561576-VENCIDA 03/07/2025 MULTA DE TRANSITO</t>
  </si>
  <si>
    <t>LOCALIZA- AGMTZ 2561586-VENCIDA 03/07/2025 MULTA DE TRANSITO</t>
  </si>
  <si>
    <t>LOCALIZA- AGMTZ 2561603-VENCIDA 03/07/2025 MULTA DE TRANSITO</t>
  </si>
  <si>
    <t>LOCALIZA- AGMTZ 2561625-VENCIDA 03/07/2025  MULTA DE TRANSITO</t>
  </si>
  <si>
    <t xml:space="preserve">OKUYAMA &amp; ALVES SOCIEDADE DE ADVOGADOS- - 0012457-65.2023.5.15.0018 JESSICA BARROS DOS SANTOS </t>
  </si>
  <si>
    <t xml:space="preserve">SAMARA DE JESUS VITOR 08/07- VT </t>
  </si>
  <si>
    <t>vALCILENE DOS SANTOS 08/07- VT PARA COBRIR A LOJ 22- ASG-</t>
  </si>
  <si>
    <t>SINDPRESTEM-VENCIDO 30/06/2025</t>
  </si>
  <si>
    <t>PREFEITURA M DE CABR</t>
  </si>
  <si>
    <t>VIVIAN APARECIDA MENDES</t>
  </si>
  <si>
    <t>ALTAMIRO LOPES SIQUEIRA</t>
  </si>
  <si>
    <t>DAIANA INDIANARA DE PAULA SILVA</t>
  </si>
  <si>
    <t>CELSO DE JESUS DANTAS</t>
  </si>
  <si>
    <t>ANA CLAUDIA DE FIGUEIREDO</t>
  </si>
  <si>
    <t>BRASIL MEDICINA E SAUDE PREVENTIVA ORGANIZACAO,-VENCIMENTO 10/07/2025</t>
  </si>
  <si>
    <t>SINDICATO DOS EMPREGADOS E TRABALHADORES NAS EMPRESAS DE PRE</t>
  </si>
  <si>
    <t>VINICIUS JOSE EUGENIO - ME</t>
  </si>
  <si>
    <t>DAVID DA SILVA PORFIRIO-DEVOÇÃO DE DESCONTO DE FALTA INDEVIDO NA FOLHA 06/2025</t>
  </si>
  <si>
    <t>KARINA APARECIDA DE BRITO DOS SANTOS</t>
  </si>
  <si>
    <t>ELAINE BARBOSA DE SOUSA</t>
  </si>
  <si>
    <t>ASOMETRA ENGENHARIA DE SEGURANCA E MEDICINA DO TRABALHO LTDA</t>
  </si>
  <si>
    <t>PROLABORE SOCIOS -MARIA JOSE-THAIS MACEDO</t>
  </si>
  <si>
    <t>GISELE RODRIGUES- CAIXINHA</t>
  </si>
  <si>
    <t>HSERV CMBINAODS</t>
  </si>
  <si>
    <t>SINDITERCERIZADOSASSOCIADA- CICERA MARIA VENCIMENTO 10/07/2025</t>
  </si>
  <si>
    <t>FIT ADM (VIDA NOVA) 43-02</t>
  </si>
  <si>
    <t>MARCASA-SEGURANÇA VEPAKUM</t>
  </si>
  <si>
    <t>SANTOS SEPULVEDA SOCIEDADE - PROC 0010895-75.2023.5.15.009 AMANDA BRITO SANTOS PARCELA 3/17</t>
  </si>
  <si>
    <t>MARCIO FERREIRA TOLLER SILVA- 0012057-42.2022.5.15.0097-FELIPE ANGELO DE OLIVEIRA PARCELA 3/3</t>
  </si>
  <si>
    <t>SANTA CASA DE MISERICORDIA DE CABREUVA</t>
  </si>
  <si>
    <t>VENDAS DE PRODUTOS</t>
  </si>
  <si>
    <t>FAGNER LOPES DA SILVA</t>
  </si>
  <si>
    <t>MANOEL ALVES DE ANDRADE</t>
  </si>
  <si>
    <t>JHONY WALLACE GOMES DE OLIVEIRA</t>
  </si>
  <si>
    <t>THIAGO ALMEIDA SANTANA</t>
  </si>
  <si>
    <t>LARAH MELYSSA ALVES DE SOUSA</t>
  </si>
  <si>
    <t>GISELE RODRIGUES DOS SANTOS</t>
  </si>
  <si>
    <t>MARINALDA ALMEIDA PEREIRA</t>
  </si>
  <si>
    <t>MARCIA VALERIA DA SILVA</t>
  </si>
  <si>
    <t>GABRIEL DO NASCIMENTO NEVES</t>
  </si>
  <si>
    <t>ESTER CARDOZO DE LIMA</t>
  </si>
  <si>
    <t>PAMELA GREICE MARINHO ROCHA</t>
  </si>
  <si>
    <t>ELIANE ULITZKA DOS SANTOS</t>
  </si>
  <si>
    <t>JAIR APARECIDO RE</t>
  </si>
  <si>
    <t>INELTEC TECNOLOGIAS LTDA - EPP- COMPRA DE IBUTTONS</t>
  </si>
  <si>
    <t>GRRF FAGNER LOPES DA SILVA</t>
  </si>
  <si>
    <t>GRRF GRACE KELLY CUSTODIO AURELIANO</t>
  </si>
  <si>
    <t>GRRF MANOEL ALVES DE ANDRADE</t>
  </si>
  <si>
    <t>GRRF MATHEUS SANT ANNA</t>
  </si>
  <si>
    <t>WIG COMERCIO DE BATERIAS COMPONENTES LTDA-BATERIA EXCELL FORCE TRACIONARIA EXT150 EXT150</t>
  </si>
  <si>
    <t xml:space="preserve">PAMELA ROCHA MARINHO-SALARIO </t>
  </si>
  <si>
    <t>ESTER CARDOZO- SALARIO</t>
  </si>
  <si>
    <t>ZAMBONI, SOUSA, CARVALHO &amp; MARIANO-PROC 0012594-41.2022.5.15.0096 -CLAUDIA ARAUJO DOS SANTOS-PARCELA 2/2</t>
  </si>
  <si>
    <t>FABIANO SAMPAIO DAVILA- PROCESSO 0011969-47.2022.5.15.0018CLAUDINEIA SANTOS DA SILVA -PARCELA 8/9</t>
  </si>
  <si>
    <t>ZAMBONI, SOUSA, CARVALHO &amp; MARIANO --PROC 0012075-66.2022.5.15.0096 -CLAUDIA ARAUJO DOS SANTOS-PARCELA 2/6</t>
  </si>
  <si>
    <t>SAMANTHA PATRICIA MACHADO DE GOUVEIA -PROC  nº 0010287-43.2024.5.15.0097-SHEILA PASSALINE FERRAZ- PARCELA 2/4</t>
  </si>
  <si>
    <t>OKUYAMA &amp; ALVES SOCIEDADE DE ADVOGADOS- PROC 0012465-42.2023.5.15.0018-PROC GENILDA MARIA DA SILVA PARCELA 3/8</t>
  </si>
  <si>
    <t>FEMACON CONSTRUCOES LTDA-CAMACON- MATERIAS PARA CALÇADA DA LOJA CLEAN</t>
  </si>
  <si>
    <t>CARTAO DE CRÉDITO-EMPRESA VITOR DUARTE</t>
  </si>
  <si>
    <t>SALARIOS MEI</t>
  </si>
  <si>
    <t>VALE ALIMENTAÇÃO MENSAL DE JULHO</t>
  </si>
  <si>
    <t>IFOOD.COM AGENCIA DE RESTAURANTES-ASSIDUIDADE BOA</t>
  </si>
  <si>
    <t>IFOOD.COM AGENCIA DE RESTAURANTES -ASSIDUIDADE AVENID.</t>
  </si>
  <si>
    <t>IFOOD.COM AGENCIA DE RESTAURANTES -ASSIDUIDADE RICOY JUNHO</t>
  </si>
  <si>
    <t>IFOOD.COM AGENCIA DE RESTAURANTES -ASSIDUIDADE EMPRESAS</t>
  </si>
  <si>
    <t>IFOOD.COM AGENCIA DE RESTAURANTES- VALE COMBUSTIVEL-2º QUINZENA DE JULHO</t>
  </si>
  <si>
    <t>SAMANTHA PATRICIA MACHADO DE GOUVEIA- PROC 0011413-05.2022.5.15.0096-ANDERSON RAIMUNDO DUARTE -PARCELA 2/2</t>
  </si>
  <si>
    <t>BENEFICIOS SOCIAIS LTDA- VENCIMENTO 10/04/2025</t>
  </si>
  <si>
    <t>LOCALIZA - VENCIDA 30/04/2025- AFMTZ 2273080</t>
  </si>
  <si>
    <t>LOCALIZA - VENCIDA 30/05/2025-AFMTZ 2347763</t>
  </si>
  <si>
    <t>LOCALIZA - VENCIDA 30/06/2025 -AFMTZ 2417828</t>
  </si>
  <si>
    <t>JAIR APARECIDO RÉ -COMISSÃO MAIO/JUNHO</t>
  </si>
  <si>
    <t xml:space="preserve">NOVITA VEST CONFECCOES LTDA-SETTE UNIFORMES </t>
  </si>
  <si>
    <t>SOFISA ACORDO- PROCESSO EXECUÇÃO-PARCELA 18/24</t>
  </si>
  <si>
    <t>SOFISA ACORDO - HONORARIOS ADVICATICIOS-PARCELA 18/18</t>
  </si>
  <si>
    <t>FT 1 QUINZENA DE JUNHO E PACOTES, RT</t>
  </si>
  <si>
    <t>PROLABORE SOCIOS -CRISTIANE-E GUTHIERRI- BLOQUEADO ATE SOCIOS COMPARECER NA BASE</t>
  </si>
  <si>
    <t>MARCIO FERREIRA TOLLER SILVA-  PROC 1001220-97.2024.5.02.0291-NORTON DO NASCIMENTO GONÇALVES BUENO-PARCELA 4/4</t>
  </si>
  <si>
    <t>CLARO S/A-LINHAS TELEFONICAS</t>
  </si>
  <si>
    <t>ELEKTRO SALA 16 07/2025- UNIDADE 42926742</t>
  </si>
  <si>
    <t>ELEKTRO SALA 18 07/2025- UNIDADE 9584765</t>
  </si>
  <si>
    <t>ELEKTRO SALA 17- 07/2025-UNIDADE 42926823</t>
  </si>
  <si>
    <t>LUPE LOCACAO E COMERCIO DE EQUIPAMENTOS ELETRONICOS E SERVIC</t>
  </si>
  <si>
    <t>OPEN IT GROUP- ESCRITORIO</t>
  </si>
  <si>
    <t xml:space="preserve">OPEN IT GROUP-LOJA CLEAN </t>
  </si>
  <si>
    <t>MAC LUCER - MAITA (MENSAL) -20/07/2025 -RESIDENCIAL MAITÁ APTO 073 (contrato-170) PARCELA 16/27</t>
  </si>
  <si>
    <t>MAC LUCER - VINEA (MENSAL) PARCELA 13- VINEA -Apto 004 (contrato-95)</t>
  </si>
  <si>
    <t>ALINE CAMOLEZ SOARES ISCARO-PROC: 0012233-68.2024.5.15.0188 - GISLAINE CRISTINA FERNANDES PEREIRA PARCELA 5/5</t>
  </si>
  <si>
    <t>SIND DAS EMP DE PREST DE SER T C A M O T T NO E DE SP</t>
  </si>
  <si>
    <t>ARAUJO E RIOS ADVOGADOS ASSOCIADOS PRoc 0010784-37.2023.5.15.0018 -: FABIO LUIZ ALVES -PARCELA 2/7</t>
  </si>
  <si>
    <t>LUCAS LEONARDO MARQUES DE OLIVEIRA-PROC 1000130-70.2024.5.02.0221-GILVAN ANTONIO DOS SANTOS SILVA  PARCELA 3/12</t>
  </si>
  <si>
    <t>EGLE SIQUEIRA SOCIEDADE INDIVIDUAL-PROC 1001012-96.2023.5.02.0211 SAMUEL DE SOUZA CAMARA - PARCELA 4/4</t>
  </si>
  <si>
    <t>MARIA APARECIDA ALVES DE MELO ATSum 0010327-82.2025.5.15.0002 RECLAMANTE: CRISTIANE DE SOUSA PARCELA 2/3</t>
  </si>
  <si>
    <t>TIAGO JOSE DE FREITAS OLIVEIRA-Proc 0012190-87.2022.5.15.0096 Reclamante: KASSIA VITAL FERREIRA PARCELA 2/10</t>
  </si>
  <si>
    <t>PATRICIA LOMBARDI PROC 1002854-81.2023.5.02.0221 TANIA MARIANO DOS SANTOS- PARCELA 2/6</t>
  </si>
  <si>
    <t>DALMAZO SOCIEDADE INDIVIDUAL-PROC 0011504-24.2024.5.15.0097 -ANDRE DE ARAUJO LEITE FILHO PARCELA 1/3</t>
  </si>
  <si>
    <t>LETICIA FERNANDA DO NASCIMENTO - PROC - 0012166-65.2023.5.15.0018- JADISON SOUZA FONTES PARCELA 4/5</t>
  </si>
  <si>
    <t>ANA PAULA HERKES MARTINS-  PROC 0011455-60.2023.5.15.0018-MARIA DE JESUS MARQUES GINO FERREIRA PARCELA 4/7</t>
  </si>
  <si>
    <t>JUAN PHILIPY STEPHANO AMARO SOCIEDADE IPROC 0011148-23.2024.5.15.0002- ANTONIA MILENA SOARES DE SOUZA PARCELA 1/10</t>
  </si>
  <si>
    <t>LUAN VIEIRA BARRETO - PROC 0012216-57.2024.5.15.0018-ANGELO JOSE ARANTES -PARCELA 3/10</t>
  </si>
  <si>
    <t>IVAN MARQUES DOS SANTOS Proc  0010898-64.2022.5.15.0097 AUTOR: FRANCISCA NEUDA FRANCALINO DE SOUZA PARCELA 2/9</t>
  </si>
  <si>
    <t>VALERIA GEOVANNA DOS SANTOS-- PROC 1001103-06.2024.5.02.0292 -ELIENE ALVES LISBOA PARCELA 3/12</t>
  </si>
  <si>
    <t>HM MAQ COMERCIO E ASSISTENCIA TECNICA INDUSTRIAL</t>
  </si>
  <si>
    <t>JOSE JONAS DE ARAUJO SILVA</t>
  </si>
  <si>
    <t>JOSE JONAS DE ARAUJO SILVA-PROC 0010137-76.2022.5.15.0018 MANOEL VICENTE DA SILVA PARCELA 2/8</t>
  </si>
  <si>
    <t>TADIM NEVES SOCIEDADE INDIVIDUAL DE ADVOCACIA -PROC  - 0012114-44.2023.5.15.0188-ADILIO SANTOS SOUZA PARCELA 5/8</t>
  </si>
  <si>
    <t xml:space="preserve">SALARIOS MEI  </t>
  </si>
  <si>
    <t>CRISTIANI COSIM DE OLIVEIRA VILELA-Proc 0011289-67.2024.5.15.0026 AUTOR: ELAINE JAQUES LOURENCONI PARCELA2/3</t>
  </si>
  <si>
    <t xml:space="preserve">SICOOB HSERV CABREUVA NEGOCIAÇÃO CHEQUE ESPECIAL </t>
  </si>
  <si>
    <t>PAMELA ROCHA MARINHO-SALARIOS</t>
  </si>
  <si>
    <t>ESTER CARDOZO-SALARIOS</t>
  </si>
  <si>
    <t>FABIANO SAMPAIO DAVILA- PROCESSO 0011969-47.2022.5.15.0018CLAUDINEIA SANTOS DA SILVA -PARCELA 9/9</t>
  </si>
  <si>
    <t>SAMANTHA PATRICIA MACHADO DE GOUVEIA -PROC  nº 0010287-43.2024.5.15.0097-SHEILA PASSALINE FERRAZ- PARCELA 3/4</t>
  </si>
  <si>
    <t>ZAMBONI, SOUSA, CARVALHO &amp; MARIANO --PROC 0012075-66.2022.5.15.0096 -CLAUDIA ARAUJO DOS SANTOS-PARCELA 3/6</t>
  </si>
  <si>
    <t>SOFISA ACORDO- PROCESSO EXECUÇÃO PARCELA 19/24</t>
  </si>
  <si>
    <t>ALEF MARTINS DE LIMA</t>
  </si>
  <si>
    <t>GRRF ALEF MARTINS DE LIMA</t>
  </si>
  <si>
    <t>RONALDO DE OLIVEIRA HOLANDA</t>
  </si>
  <si>
    <t>GRRF RONALDO DE OLIVEIRA HOLANDA</t>
  </si>
  <si>
    <t>PEDRO LEOPOLDO BRUNELLI JUNIOR -Processo n. 0011252-29.2021.5.15.0096  AUTOR: DANILO MIGUEL DA SILVA  -PARCEL A 3/4</t>
  </si>
  <si>
    <t xml:space="preserve">CEF MATRIZ--EMPRESTIMO HENRIQUE IEAN VENCIDO </t>
  </si>
  <si>
    <t>LUCAS LEONARDO MARQUES DE OLIVEIRA-PROC 1000130-70.2024.5.02.0221-GILVAN ANTONIO DOS SANTOS SILVA  PARCELA 4/12</t>
  </si>
  <si>
    <t>LETICIA FERNANDA DO NASCIMENTO - PROC - 0012166-65.2023.5.15.0018- JADISON SOUZA FONTES PARCELA 5/5</t>
  </si>
  <si>
    <t>ANA PAULA HERKES MARTINS-  PROC 0011455-60.2023.5.15.0018-MARIA DE JESUS MARQUES GINO FERREIRA PARCELA 5/7</t>
  </si>
  <si>
    <t>VALERIA GEOVANNA DOS SANTOS-- PROC 1001103-06.2024.5.02.0292 -ELIENE ALVES LISBOA PARCELA 4/12</t>
  </si>
  <si>
    <t>LUAN VIEIRA BARRETO - PROC 0012216-57.2024.5.15.0018-ANGELO JOSE ARANTES -PARCELA 4/10</t>
  </si>
  <si>
    <t>DALMAZO SOCIEDADE INDIVIDUAL DE ADVOCACIA</t>
  </si>
  <si>
    <t>ARAUJO E RIOS ADVOGADOS ASSOCIADOS</t>
  </si>
  <si>
    <t>TIAGO JOSE DE FREITAS OLIVEIRA</t>
  </si>
  <si>
    <t>JUAN PHILIPY STEPHANO AMARO SOCIEDADE INDIVIDUAL DE ADVOCACI</t>
  </si>
  <si>
    <t>IVAN MARQUES DOS SANTOS</t>
  </si>
  <si>
    <t>DALMAZO SOCIEDADE INDIVIDUAL-PROC 0011504-24.2024.5.15.0097 -ANDRE DE ARAUJO LEITE FILHO PARCELA 2/3</t>
  </si>
  <si>
    <t>ARAUJO E RIOS ADVOGADOS ASSOCIADOS PRoc 0010784-37.2023.5.15.0018 -: FABIO LUIZ ALVES -PARCELA 3/7</t>
  </si>
  <si>
    <t>TIAGO JOSE DE FREITAS OLIVEIRA-Proc 0012190-87.2022.5.15.0096 Reclamante: KASSIA VITAL FERREIRA PARCELA 3/10</t>
  </si>
  <si>
    <t>JUAN PHILIPY STEPHANO AMARO SOCIEDADE IPROC 0011148-23.2024.5.15.0002- ANTONIA MILENA SOARES DE SOUZA PARCELA 2/10</t>
  </si>
  <si>
    <t>IVAN MARQUES DOS SANTOS Proc  0010898-64.2022.5.15.0097 AUTOR: FRANCISCA NEUDA FRANCALINO DE SOUZA PARCELA 3/9</t>
  </si>
  <si>
    <t>MARIA APARECIDA ALVES DE MELO ATSum 0010327-82.2025.5.15.0002 RECLAMANTE: CRISTIANE DE SOUSA PARCELA 3/3</t>
  </si>
  <si>
    <t>JOSE JONAS DE ARAUJO SILVA- PROCESSO 0010137-76.2022.5.15.0018- MANOEL VICENTE  PARCELA 3/8</t>
  </si>
  <si>
    <t>TADIM NEVES SOCIEDADE INDIVIDUAL DE ADVOCACIA -PROC  - 0012114-44.2023.5.15.0188-ADILIO SANTOS SOUZA PARCELA 6/8</t>
  </si>
  <si>
    <t>TADIM NEVES SOCIEDADE INDIVIDUAL DE ADVOCACIA -PROC  - 0012114-44.2023.5.15.0188-ADILIO SANTOS SOUZA PARCELA 8/8</t>
  </si>
  <si>
    <t>ANDRADE FREITAS SOCIEDADE DE ADVOGADOS-Proc 0012259-82.2024.5.15.0021 ESTEVAO GOMES DE SOUZA PARCELA 5/5</t>
  </si>
  <si>
    <t>ANDRADE FREITAS SOCIEDADE DE ADVOGADOS-Proc 0012259-82.2024.5.15.0021 ESTEVAO GOMES DE SOUZA PARCELA 4/5</t>
  </si>
  <si>
    <t>ANDRADE FREITAS SOCIEDADE DE ADVOGADOS-Proc 0012259-82.2024.5.15.0021 ESTEVAO GOMES DE SOUZA PARCELA 3/5</t>
  </si>
  <si>
    <t>ANDRADE FREITAS SOCIEDADE DE ADVOGADOS-Proc 0012259-82.2024.5.15.0021 ESTEVAO GOMES DE SOUZA PARCELA 2/5</t>
  </si>
  <si>
    <t>OKUYAMA &amp; ALVES SOCIEDADE DE ADVOGADOSS - PROC 0012457-65.2023.5.15.0018 -JESSICA BARROS DOS SANTO PARCELA 4/8</t>
  </si>
  <si>
    <t>OKUYAMA &amp; ALVES SOCIEDADE DE ADVOGADOSS - PROC 0012457-65.2023.5.15.0018 -JESSICA BARROS DOS SANTO PARCELA 5/8</t>
  </si>
  <si>
    <t>OKUYAMA &amp; ALVES SOCIEDADE DE ADVOGADOSS - PROC 0012457-65.2023.5.15.0018 -JESSICA BARROS DOS SANTO PARCELA 6/8</t>
  </si>
  <si>
    <t>OKUYAMA &amp; ALVES SOCIEDADE DE ADVOGADOSS - PROC 0012457-65.2023.5.15.0018 -JESSICA BARROS DOS SANTO PARCELA 7/8</t>
  </si>
  <si>
    <t>OKUYAMA &amp; ALVES SOCIEDADE DE ADVOGADOSS - PROC 0012457-65.2023.5.15.0018 -JESSICA BARROS DOS SANTO PARCELA 8/8</t>
  </si>
  <si>
    <t>SANTOS SEPULVEDA SOCIEDADE INDIVIDUAL DE ADVOCACIA- - PROC 0010895-75.2023.5.15.009-AMANDA BRITO SANTOS PARCELA 4/16</t>
  </si>
  <si>
    <t>SANTOS SEPULVEDA SOCIEDADE INDIVIDUAL DE ADVOCACIA- - PROC 0010895-75.2023.5.15.009-AMANDA BRITO SANTOS PARCELA 5/16</t>
  </si>
  <si>
    <t>SANTOS SEPULVEDA SOCIEDADE INDIVIDUAL DE ADVOCACIA- - PROC 0010895-75.2023.5.15.009-AMANDA BRITO SANTOS PARCELA 6/16</t>
  </si>
  <si>
    <t>SANTOS SEPULVEDA SOCIEDADE INDIVIDUAL DE ADVOCACIA- - PROC 0010895-75.2023.5.15.009-AMANDA BRITO SANTOS PARCELA 7/16</t>
  </si>
  <si>
    <t>SANTOS SEPULVEDA SOCIEDADE INDIVIDUAL DE ADVOCACIA- - PROC 0010895-75.2023.5.15.009-AMANDA BRITO SANTOS PARCELA 8/16</t>
  </si>
  <si>
    <t>SAMANTHA PATRICIA MACHADO DE GOUVEIA -PROC  nº 0010287-43.2024.5.15.0097-SHEILA PASSALINE FERRAZ- PARCELA 4/4</t>
  </si>
  <si>
    <t>ZAMBONI, SOUSA, CARVALHO &amp; MARIANO --PROC 0012075-66.2022.5.15.0096 -CLAUDIA ARAUJO DOS SANTOS-PARCELA 4/6</t>
  </si>
  <si>
    <t>OKUYAMA &amp; ALVES SOCIEDADE DE ADVOGADOS- PROC 0012465-42.2023.5.15.0018-PROC GENILDA MARIA DA SILVA PARCELA 5/8</t>
  </si>
  <si>
    <t>PEDRO LEOPOLDO BRUNELLI JUNIOR -Processo n. 0011252-29.2021.5.15.0096  AUTOR: DANILO MIGUEL DA SILVA  -PARCEL A 4/4</t>
  </si>
  <si>
    <t>JOSE JONAS DE ARAUJO SILVA- PROCESSO 0010137-76.2022.5.15.0018- MANOEL VICENTE  PARCELA 4/8</t>
  </si>
  <si>
    <t>JOSE JONAS DE ARAUJO SILVA- PROCESSO 0010137-76.2022.5.15.0018- MANOEL VICENTE  PARCELA 6/8</t>
  </si>
  <si>
    <t>ZAMBONI, SOUSA, CARVALHO &amp; MARIANO --PROC 0012075-66.2022.5.15.0096 -CLAUDIA ARAUJO DOS SANTOS-PARCELA 5/6</t>
  </si>
  <si>
    <t>OKUYAMA &amp; ALVES SOCIEDADE DE ADVOGADOS- PROC 0012465-42.2023.5.15.0018-PROC GENILDA MARIA DA SILVA PARCELA 6/8</t>
  </si>
  <si>
    <t>JHONNY WALACE REEMBOLSO</t>
  </si>
  <si>
    <t>21/out</t>
  </si>
  <si>
    <t>FMD FUNDO DE INVESTIMENTO EM DIREITOS CREDITORIOS-STAR CLEAN NF 1356</t>
  </si>
  <si>
    <t xml:space="preserve">LOCALIZA FLEET S.A.- FATURA  AGMTZ-2577180- MULTA DE TRANSITO </t>
  </si>
  <si>
    <t>LOCALIZA FLEET S.A. FATIRA AGMTZ-2577199-MULTA DE TRANSITO</t>
  </si>
  <si>
    <t>LOCALIZA FLEET S.A.-AGMTZ-2577162</t>
  </si>
  <si>
    <t>LEONARDO ANTONIO DO CARMO JUNIOR-.FGTS EM ATRASO 10/2023</t>
  </si>
  <si>
    <t>LEONARDO ANTONIO DO CARMO JUNIOR-.FGTS EM ATRASO 02/2023</t>
  </si>
  <si>
    <t>LEONARDO ANTONIO DO CARMO JUNIOR-.FGTS EM ATRASO 07/2023</t>
  </si>
  <si>
    <t>LEONARDO ANTONIO DO CARMO JUNIOR-.FGTS EM ATRASO 09/2023</t>
  </si>
  <si>
    <t>LEONARDO ANTONIO DO CARMO JUNIOR-.FGTS EM ATRASO 04/2023</t>
  </si>
  <si>
    <t>LEONARDO ANTONIO DO CARMO JUNIOR-.FGTS EM ATRASO 03/2023</t>
  </si>
  <si>
    <t>LEONARDO ANTONIO DO CARMO JUNIOR-.FGTS EM ATRASO 08/2023</t>
  </si>
  <si>
    <t>LEONARDO ANTONIO DO CARMO JUNIOR-.FGTS EM ATRASO 11/2023</t>
  </si>
  <si>
    <t>LEONARDO ANTONIO DO CARMO JUNIOR-.FGTS EM ATRASO 12/2023</t>
  </si>
  <si>
    <t>GP REFEIÇÕES- MARMITAS PESSOAL UPA</t>
  </si>
  <si>
    <t>VALERIA CRISTINA RAIEL- FT UPA CABREUVA</t>
  </si>
  <si>
    <t>ISTERFANY MATIAS PORTO - FT UPA CABREUVA</t>
  </si>
  <si>
    <t>DIOGO HENRIQUE BARBOSA BERNARDINO- FT UPA CABREUVA</t>
  </si>
  <si>
    <t>CELI MARIA DOS SANTOS DA SILVA- FT UPA CABREUVA</t>
  </si>
  <si>
    <t>ARIANE VITORIA SOUSA SANTOS -FT UPA CABREUVA</t>
  </si>
  <si>
    <t>RESSARCIMENTO</t>
  </si>
  <si>
    <t>MARIELE DE LIMA CANDIDO- RESSARCIMENTO DE MERCADORIA QUE O CONTROLADOR PAULO SERGIO (PALAZO VENEZA) FORNECEU AO MORADOR ERRADO</t>
  </si>
  <si>
    <t>RODRIGO GUIMARÃES - FT MOTORISTA</t>
  </si>
  <si>
    <t>OSSIRES DONAGELO-RREMBOLSO DE DESPESAS</t>
  </si>
  <si>
    <t>IRMÃOS BOA-ANTECIPAÇÃO</t>
  </si>
  <si>
    <t>CARTÃO DE CREDITO-PARCELAMENTO</t>
  </si>
  <si>
    <t>VITOR DUARTE ND</t>
  </si>
  <si>
    <t>HSERV COMBINADOS  ND</t>
  </si>
  <si>
    <t>HENRIQUE JEAN DUARTE LTDA</t>
  </si>
  <si>
    <t xml:space="preserve">H SERV CLEAN </t>
  </si>
  <si>
    <t>HSERV  REPRESENTACOES</t>
  </si>
  <si>
    <t xml:space="preserve">HSERV TECNOLOGIA </t>
  </si>
  <si>
    <t>ASOMETRA ENGENHARIA DE SEGURANÇA- VENCIMENTO 20/06/2025</t>
  </si>
  <si>
    <t>CAIXA CARTOES PRE-PAGOS S.A.</t>
  </si>
  <si>
    <t xml:space="preserve">HSERVTERCEIRIZADOS </t>
  </si>
  <si>
    <t>BENEFICIO SOCIAL SINDICAL-VENCIMENTO 10/05/2025</t>
  </si>
  <si>
    <t>BENEFICIO SOCIAL SINDICAL- VENCIMENTO 10/06/2025</t>
  </si>
  <si>
    <t>H SERV CLEAN</t>
  </si>
  <si>
    <t>HENRIQUE  DUARTE</t>
  </si>
  <si>
    <t xml:space="preserve">VITOR DUARTE </t>
  </si>
  <si>
    <t xml:space="preserve">HSERV LIMPEZA </t>
  </si>
  <si>
    <t>LOCALIZA FLEET S.-VENCIMENTO 01/08</t>
  </si>
  <si>
    <t>LOCALIZA FLEET S.A.-VENCIMENTO 10/08/2025</t>
  </si>
  <si>
    <t>SALDO FINAL</t>
  </si>
  <si>
    <t>PROCESSO</t>
  </si>
  <si>
    <t>13 SALARIO</t>
  </si>
  <si>
    <t>FGTS MENSAL HENRIQUE JEAN</t>
  </si>
  <si>
    <t>FGTS MENSAL HSERV CABREUVA</t>
  </si>
  <si>
    <t xml:space="preserve">FGTS MENSAL HSERV CLEAN </t>
  </si>
  <si>
    <t>FGTS MENSAL HSERV COMBINADOS</t>
  </si>
  <si>
    <t>FGTS MENSAL HSERV LIMPEZA</t>
  </si>
  <si>
    <t>FGTS MENSAL HSERV TECNOLOGIA</t>
  </si>
  <si>
    <t>FGTS MENSAL HSERV CABREUVA REPRESENTACOES</t>
  </si>
  <si>
    <t>FGTS MENSAL HSERV  TERCEIRIZADOS</t>
  </si>
  <si>
    <t>FGTS MENSAL VITOR DUARTE</t>
  </si>
  <si>
    <t>DARF INSS MENSAL HENRIQUE JEAN DUARTE</t>
  </si>
  <si>
    <t>DARF INSS MENSAL HSERV CABREUVA</t>
  </si>
  <si>
    <t xml:space="preserve">DARF INSS MENSAL HSERV CLEAN </t>
  </si>
  <si>
    <t xml:space="preserve">DARF INSS MENSAL HSERV  COMBINADOS </t>
  </si>
  <si>
    <t xml:space="preserve">DARF INSS MENSAL HSERV  LIMPEZA </t>
  </si>
  <si>
    <t xml:space="preserve">DARF INSS MENSAL HSERV TECNOLOGIA </t>
  </si>
  <si>
    <t>DARF INSS MENSAL HSERVTERCEIRIZADOS</t>
  </si>
  <si>
    <t>DARF INSS MNSAL VITOR DUARTE</t>
  </si>
  <si>
    <t>RAI INDUSTRIAL</t>
  </si>
  <si>
    <t>NEW PARK TENIS</t>
  </si>
  <si>
    <t>RIOS DAS PEDRAS</t>
  </si>
  <si>
    <t>07/out</t>
  </si>
  <si>
    <t xml:space="preserve">CEF MATRIZ--EMPRESTIMO HSERV COMBINADOS VENCIDO </t>
  </si>
  <si>
    <t>ASOMETRA</t>
  </si>
  <si>
    <t xml:space="preserve">DEVOLUÇÃO APORTE VITOR - APORTE </t>
  </si>
  <si>
    <t>CARLOS HENRIQUE CONCEICAO</t>
  </si>
  <si>
    <t>GABRIEL GATTI DA SILVA</t>
  </si>
  <si>
    <t>ROSALINA CRISTIANE JUSTINO</t>
  </si>
  <si>
    <t>MARIA ROSEANE DA SILVA</t>
  </si>
  <si>
    <t>FLAVIA KELI DE OLIVEIRA FELIX</t>
  </si>
  <si>
    <t>RAI INGREDIENTES INDUSTRIAL</t>
  </si>
  <si>
    <t>HOSPITALSÃO ROQUE</t>
  </si>
  <si>
    <t>SPARTAN DO BRASIL</t>
  </si>
  <si>
    <t>CBM TOWER -RATEIO MENSAL</t>
  </si>
  <si>
    <t>CBM TOWER -TAXA DE CONDOMINIO</t>
  </si>
  <si>
    <t>EZEQUIEL RODRIGUES DOS SANTOS</t>
  </si>
  <si>
    <t>MARIA SOCORRO DA SILVA PEREIRA</t>
  </si>
  <si>
    <t>ILMA FERREIRA DE SOUZA</t>
  </si>
  <si>
    <t>JESAIAS ROMANHA -PROC 0010363-38.2022.5.15.0097 - ISABEL MACHADO PARCELA 2/8</t>
  </si>
  <si>
    <t>ARGENTON E QUEIROZ ADVOGADOS ASSOCIADOS- Proc 0012026-51.2024.5.15.0097 Reclamante: SIMONE DA SILVA CORREIA PARCELA 2/6</t>
  </si>
  <si>
    <t>IF EMPRESARIAL-CONTABILIDADE, JURIDICO E DEPARTAMENTO PESSOAL</t>
  </si>
  <si>
    <t>FT ASSIS E REGIÃO- REDE AVENIDA</t>
  </si>
  <si>
    <t>OKUYAMA &amp; ALVES SOCIEDADE DE ADVOGADOS-PROC 0012360-22.2024.5.15.0021 ADRIANA TEIXEIRA DE OLIVEIRA PARCELA 1/8</t>
  </si>
  <si>
    <t>OKUYAMA &amp; ALVES SOCIEDADE DE ADVOGADOS-PROC 0012360-22.2024.5.15.0021 ADRIANA TEIXEIRA DE OLIVEIRA PARCELA 2/8</t>
  </si>
  <si>
    <t>OKUYAMA &amp; ALVES SOCIEDADE DE ADVOGADOS-PROC 0012360-22.2024.5.15.0021 ADRIANA TEIXEIRA DE OLIVEIRA PARCELA 3/8</t>
  </si>
  <si>
    <t>OKUYAMA &amp; ALVES SOCIEDADE DE ADVOGADOS-PROC 0012360-22.2024.5.15.0021 ADRIANA TEIXEIRA DE OLIVEIRA PARCELA 4/8</t>
  </si>
  <si>
    <t>OKUYAMA &amp; ALVES SOCIEDADE DE ADVOGADOS-PROC 0012360-22.2024.5.15.0021 ADRIANA TEIXEIRA DE OLIVEIRA PARCELA 5/8</t>
  </si>
  <si>
    <t>OKUYAMA &amp; ALVES SOCIEDADE DE ADVOGADOS-PROC 0012360-22.2024.5.15.0021 ADRIANA TEIXEIRA DE OLIVEIRA PARCELA 6/8</t>
  </si>
  <si>
    <t>OKUYAMA &amp; ALVES SOCIEDADE DE ADVOGADOS   PROC- 0012465-42.2023.5.15.0018 GENILDA MARIA DA SILVA CARRILHO PARCELA 4/8</t>
  </si>
  <si>
    <t>ARGENTON E QUEIROZ ADVOGADOS ASSOCIADOS-Proc 0012026-51.2024.5.15.0097-SIMONE DA SILVA CORREIA- PARCELA 3/6</t>
  </si>
  <si>
    <t>ARGENTON E QUEIROZ ADVOGADOS ASSOCIADOS-Proc 0012026-51.2024.5.15.0097-SIMONE DA SILVA CORREIA- PARCELA 4/6</t>
  </si>
  <si>
    <t>ARGENTON E QUEIROZ ADVOGADOS ASSOCIADOS-Proc 0012026-51.2024.5.15.0097-SIMONE DA SILVA CORREIA- PARCELA 5/6</t>
  </si>
  <si>
    <t>ARGENTON E QUEIROZ ADVOGADOS ASSOCIADOS-Proc 0012026-51.2024.5.15.0097-SIMONE DA SILVA CORREIA- PARCELA 6/6</t>
  </si>
  <si>
    <t>PATRICIA LOMBARDI-PROC 1002854-81.2023.5.02.0221 TANIA MARIANO DOS SANTOS PARCELA 3/6</t>
  </si>
  <si>
    <t>PATRICIA LOMBARDI-PROC 1002854-81.2023.5.02.0221 TANIA MARIANO DOS SANTOS PARCELA 4/6</t>
  </si>
  <si>
    <t>PATRICIA LOMBARDI-PROC 1002854-81.2023.5.02.0221 TANIA MARIANO DOS SANTOS PARCELA 5/6</t>
  </si>
  <si>
    <t>PATRICIA LOMBARDI-PROC 1002854-81.2023.5.02.0221 TANIA MARIANO DOS SANTOS PARCELA 6/6</t>
  </si>
  <si>
    <t>EMPORIO MEGA 100 COMERCIO DE ALIMENTOS S.A. NF 982.488</t>
  </si>
  <si>
    <t>SUFEX COMERCIO -JALECOS-COMPRA DE 150 UNIDADES</t>
  </si>
  <si>
    <t xml:space="preserve">SUFEX COMERCIO -CALÇAS ASG- COMPRA DE 100 CALÇAS ASG </t>
  </si>
  <si>
    <t>EMPORIO MEGA 100 COMERCIO DE ALIMENTOS S.A. NF982.489</t>
  </si>
  <si>
    <t>EMPORIO MEGA 100 COMERCIO DE ALIMENTOS S.A. NF 982.496</t>
  </si>
  <si>
    <t>EMPORIO MEGA 100 COMERCIO DE ALIMENTOS S.A. NF 982.491</t>
  </si>
  <si>
    <t>EMPORIO MEGA 100 COMERCIO DE ALIMENTOS S.A. NF 982.492</t>
  </si>
  <si>
    <t>EMPORIO MEGA 100 COMERCIO DE ALIMENTOS S.A. NF 982.497</t>
  </si>
  <si>
    <t>EMPORIO MEGA 100 COMERCIO DE ALIMENTOS S.A. NF 982.494</t>
  </si>
  <si>
    <t>EMPORIO MEGA 100 COMERCIO DE ALIMENTOS S.A. NF 982.495</t>
  </si>
  <si>
    <t>EMPORIO MEGA 100 COMERCIO DE ALIMENTOS S.A. NF 982.490</t>
  </si>
  <si>
    <t>LOTUS CENTRAL DE DISTRIBUICAO DE HIGIENICOS LTDA- NF 138.143</t>
  </si>
  <si>
    <t>EMPORIO MEGA 100 COMERCIO DE ALIMENTOS S.A. NF 982.493</t>
  </si>
  <si>
    <t>DEPOSITO GAS E AGUA CABREUVA-AGUA GALÕES DE AGUA  PARA BASE 1 SEMESTRE</t>
  </si>
  <si>
    <t>SPARTAN DO BRASIL PRODUTOS QUIMICOS LTDA NF 254.458 PARCELA 2/3</t>
  </si>
  <si>
    <t>SPARTAN DO BRASIL PRODUTOS QUIMICOS LTDA NF 254.458 PARCELA 3/3</t>
  </si>
  <si>
    <t>NEWPARK TENIS</t>
  </si>
  <si>
    <t>JESAIAS ROMANHA -PROC 0010363-38.2022.5.15.0097 - ISABEL MACHADO PARCELA 3/8</t>
  </si>
  <si>
    <t>JESAIAS ROMANHA -PROC 0010363-38.2022.5.15.0097 - ISABEL MACHADO PARCELA 4/8</t>
  </si>
  <si>
    <t>JESAIAS ROMANHA -PROC 0010363-38.2022.5.15.0097 - ISABEL MACHADO PARCELA 5/8</t>
  </si>
  <si>
    <t>JESAIAS ROMANHA -PROC 0010363-38.2022.5.15.0097 - ISABEL MACHADO PARCELA 6/8</t>
  </si>
  <si>
    <t xml:space="preserve">JOSÉ SANTOS DE PAULA- JARDINEIRO PALAZZO VENEZA- </t>
  </si>
  <si>
    <t>TAXA DE DESARQUIVAMENTO - PROCESSO 1012583-14.2021.8.26.0309</t>
  </si>
  <si>
    <t>JURIDICO</t>
  </si>
  <si>
    <t>FATIMA APARECIDA DOS ANJOS LUCIO-COMPLEMENTO DE SALARIOS</t>
  </si>
  <si>
    <t>PALOMA CARVALHO PINHEIRO</t>
  </si>
  <si>
    <t>ALCIDES PEREIRA DE SOUZA</t>
  </si>
  <si>
    <t>JOSELITA DA SILVA</t>
  </si>
  <si>
    <t>SANDRA RIBEIRO DA SILVA</t>
  </si>
  <si>
    <t>ORVANDA MARIA VITALINO FIGUEROA</t>
  </si>
  <si>
    <t>ROSEMEIRE VIEIRA BEZERRA</t>
  </si>
  <si>
    <t xml:space="preserve">BRASIL MEDICINA E SAUDE PREVENTIVA ORGANIZACAO- ABRIL </t>
  </si>
  <si>
    <t>CAIXA CARTOES PRE-PAGOS S.A.- VALE TRANSPORTE COLABORADORES -VIAÇÕES</t>
  </si>
  <si>
    <t>VERA LUCIA FELIX DE OLIVEIRA</t>
  </si>
  <si>
    <t>VANDERLEI APARECIDO SOARES DOS SANTOS</t>
  </si>
  <si>
    <t>GUIA DE PARCELAMENTO DE DIVIDA ATIVA HSERV CLEAN</t>
  </si>
  <si>
    <t>HENRIQUE JEAN DUARTE</t>
  </si>
  <si>
    <t>DEPOSITO GAS E AGUA CABREUVA- GALÕES DE AGUA  ESCRITORIO</t>
  </si>
  <si>
    <t>MAC LUCER -MAITA (MENSAL) - -RESIDENCIAL MAITÁ APTO 073 (contrato-170</t>
  </si>
  <si>
    <t>MAC LUCER - VINEA (MENSAL)   PARCELA 13- VINEA -Apto 004 (contrato-95)</t>
  </si>
  <si>
    <t xml:space="preserve">DEVOLUÇÃO APORTE VITOR -APORTE 16/12 </t>
  </si>
  <si>
    <t>FT 1 QUINZENA  DE JULHO -PACOTES  DE AGOSTO</t>
  </si>
  <si>
    <t>FT 2 QUINZENA DE JULHO</t>
  </si>
  <si>
    <t>FT ASSIS E REGIÃO-REDE AVENIDA</t>
  </si>
  <si>
    <t>PARCELAMENTO SIMPLICADO- HSERV COMBINADOS  DEBITO PREVIDENCIARIO - VENCIMENTO 30/08/2025</t>
  </si>
  <si>
    <t>PARCELAMENTO SIMPLICADO- HSERV REPRESENTAÇÃO  DEBITO PREVIDENCIARIO  - VENCIMENTO 30/08/2025</t>
  </si>
  <si>
    <t>PARCELAMENTO SIMPLICADO- HSERV COMBINADOS  DEBITO PREVIDENCIARIO - VENCIMENTO 30/07/2025</t>
  </si>
  <si>
    <t>PARCELAMENTO SIMPLICADO- HSERV REPRESENTAÇÃO  DEBITO PREVIDENCIARIO  - VENCIMENTO 30/07/2025</t>
  </si>
  <si>
    <t>PARCELAMENTO SIMPLICADO- HSERV LIMPEZA - DEBITO PREVIDENCIARIO  - VENCIMENTO 30/07/2025</t>
  </si>
  <si>
    <t>DARF ISS MENSAL- EMPRESA VITOR</t>
  </si>
  <si>
    <t>DARF UNIFICADA DE IMPOSTO; COFINS,PIS - HSERV CABREUVA</t>
  </si>
  <si>
    <t>GUIA DE PARCELAMENTO INSS VITOR  JULHO A NOV 2024</t>
  </si>
  <si>
    <t>PROLABORE SOCIOS CRISTIANE-MARIA JOSE, GUTHIERRI</t>
  </si>
  <si>
    <t>MOVIDA PARTICIPACOES S A VENCIDO 12/06/2025 FATURA -06834107- PLACA TJL4F14/10</t>
  </si>
  <si>
    <t>MOVIDA PARTICIPACOES S A VENCIDO 13/06/2025-FATURA 06770206-LOCAÇÃO PLACAS:TJL4F14 E QMY1E00</t>
  </si>
  <si>
    <t>MOVIDA PARTICIPACOES S A VENCIDO 17/06/2025- FATURA 6830253-CONTRATO 25884412/03/000-PLACA: SHU-1C88</t>
  </si>
  <si>
    <t>MOVIDA PARTICIPACOES S A VENCIDO 29/05/2025 -FATURA 06770134-MULTA - PLACAS: TJL4F14 E QMY1E00</t>
  </si>
  <si>
    <t>MOVIDA PARTICIPACOES S A VENCIDO 28/06/2025-06902382- MULTA E/OU INFR.TRÂNSITO-PLACA : TJL4F14</t>
  </si>
  <si>
    <t>MOVIDA PARTICIPACOES S A-VENCIMENTO 05/07/2025 FATURA 6908514-CONTRATO  25884412-PLACA: TJG6B82</t>
  </si>
  <si>
    <t>MOVIDA PARTICIPACOES S A-VENCIMENTO 07/07/2025- FATURA 6915357 - CONTRATO -PLACA PLACA: STQ-7B01</t>
  </si>
  <si>
    <t>MOVIDA PARTICIPACOES S A-VENCIMENTO 02/07/2025 FATURA 6897892- CONTRATO 25884412-PLACA: TJG6B82</t>
  </si>
  <si>
    <t>MOVIDA PARTICIPACOES S.A.- FATURA 6962199 -CONTRATO -25884412 -PLACA: SHU1C88</t>
  </si>
  <si>
    <t>THIAGO ALMEIDA- COMISSÃO DE PRODUTOS</t>
  </si>
  <si>
    <t>CSLL TRIMESTRAL HSERV CABREUVA</t>
  </si>
  <si>
    <t>IRPJ TRIMESTRAL HSERV CABREUVA</t>
  </si>
  <si>
    <t xml:space="preserve">LOTUS CENTRAL DE DISTRIBUICAO DE HIGIENICOS LTDA-NF 143.048 </t>
  </si>
  <si>
    <t>RSC COM. MAT.P/ CONSTRUCAO LTDA. NF 106.601</t>
  </si>
  <si>
    <t>GUIA DE PAGAMENTO DO PROCESSO DA QUEBEC CATALOGOS - PROCESSO 0000704-93.2025.8.26.0080</t>
  </si>
  <si>
    <t>LOTUS CENTRAL DE DISTRIBUICAO DE HIGIENICOS LTDA- NF 135.334</t>
  </si>
  <si>
    <t>NOVITA VEST CONFECCOES LTDA-SETTE UNIFORMES NF 6.111</t>
  </si>
  <si>
    <t>LM SUPER TROCA DE OLEO NF 1.020</t>
  </si>
  <si>
    <t>NATHALIA THAIS- FT FALTANTE BELL ART</t>
  </si>
  <si>
    <t xml:space="preserve">DARE VITOR DUARTE- GUIA PARA ALTERAÇÃO SOCIETARIA </t>
  </si>
  <si>
    <t xml:space="preserve">DANIEL DE ARAUJO- FT REALIZADA DIA 18/07- </t>
  </si>
  <si>
    <t>IFOOD.COM AGENCIA DE RESTAURANTES ONLINE S.A.-VALE ALIMENTAÇÃO  AVENIDA SANDRA PATRICIA MARTON</t>
  </si>
  <si>
    <t>IFOOD.COM AGENCIA DE RESTAURANTES ONLINE S.A.-VALE COMBUSTIVEL RICARDO VAIZ TERMINAR O MÊS</t>
  </si>
  <si>
    <t>MATUSALEM NOGUEIRA-VALE TRANSPORTE DO DIA 23/07 AO DIA 03/08 R$12,80 POR DIA  LOJA 17</t>
  </si>
  <si>
    <t>KATIA HELENA DA SILVA-VALE TRANSPORTE DO DIA 23/07 AO DIA 03/08 R$12,40 POR DIA  VALINHOS</t>
  </si>
  <si>
    <t>RONALDO SILVA MARQUES-VALE TRANSPORTE DO DIA 23/07 AO DIA 03/08 R$11,80 POR DIA  LOJA 12</t>
  </si>
  <si>
    <t>LINDIMAR FERREIRA DOS SANTOS-VALE TRANSPORTE PARA FINALIZAR O MES  R$11,80 POR DIA  CAMPO LIMPO</t>
  </si>
  <si>
    <t>JOSE ADILSON LIMA BATISTA -VALE TRANSPORTE DO DIA 24/07 AO DIA 31/07 R$12,30 POR D</t>
  </si>
  <si>
    <t>ALUGUEL DE EQUIPAMENTOS</t>
  </si>
  <si>
    <t>LEIDIANE MENDES</t>
  </si>
  <si>
    <t>YGOR SILVA DA CONCEICAO</t>
  </si>
  <si>
    <t>GRRF LEIDIANE MENDES</t>
  </si>
  <si>
    <t>ALTEVYR SILVA GONCALVES -PROC-nº 0010321-03.2025.5.15.0026  IZILDA APARECIDA SABINO PARCELA 1/5</t>
  </si>
  <si>
    <t>ALTEVYR SILVA GONCALVES -PROC-nº 0010321-03.2025.5.15.0026  IZILDA APARECIDA SABINO PARCELA 2/5</t>
  </si>
  <si>
    <t>ALTEVYR SILVA GONCALVES -PROC-nº 0010321-03.2025.5.15.0026  IZILDA APARECIDA SABINO PARCELA 3/5</t>
  </si>
  <si>
    <t>ALTEVYR SILVA GONCALVES -PROC-nº 0010321-03.2025.5.15.0026  IZILDA APARECIDA SABINO PARCELA 4/5</t>
  </si>
  <si>
    <t>ALTEVYR SILVA GONCALVES -PROC-nº 0010321-03.2025.5.15.0026  IZILDA APARECIDA SABINO PARCELA 5/5</t>
  </si>
  <si>
    <t>VITOR DUARTE- Proc 0011845-30.2023.5.15.0018 RECLAMANTE: ALINE MARTINS DE ASSIS RECLAMADO</t>
  </si>
  <si>
    <t>CLAUDIO JESUS DE ALMEIDA ADVOGADOS ASSOCIADOS-Proc 0011865-05.2024.5.15.0109- ADRILENE PEREIRA DA SILVA-PARCELA 1/6</t>
  </si>
  <si>
    <t>REEMBOLSO DE DESPESAS</t>
  </si>
  <si>
    <t>MAURA VILELA PINTO</t>
  </si>
  <si>
    <t>MARIA INES VERDEIRO</t>
  </si>
  <si>
    <t>WILLIAN KIOSHI NEVES SAKAI</t>
  </si>
  <si>
    <t>JOSE DAVI DOS SANTOS MEDEIROS</t>
  </si>
  <si>
    <t>GUSTAVO AMARANTE DA SILVA</t>
  </si>
  <si>
    <t>REGINA DE SOUZA</t>
  </si>
  <si>
    <t>CICERA MATOS DA SILVA</t>
  </si>
  <si>
    <t>VANDERLEIA BISPO DE SOUZA</t>
  </si>
  <si>
    <t>Lucineia de Souza Megueiro</t>
  </si>
  <si>
    <t>SANDRO HELENO DE OLIVEIRA</t>
  </si>
  <si>
    <t>PATRICIA PEREIRA DOS SANTOS</t>
  </si>
  <si>
    <t>MANOEL FREIRE SANTOS</t>
  </si>
  <si>
    <t>CLAUDIO JESUS DE ALMEIDA ADVOGADOS ASSOCIADOS-Proc 0011865-05.2024.5.15.0109- ADRILENE PEREIRA DA SILVA-PARCELA 2/6</t>
  </si>
  <si>
    <t>CLAUDIO JESUS DE ALMEIDA ADVOGADOS ASSOCIADOS-Proc 0011865-05.2024.5.15.0109- ADRILENE PEREIRA DA SILVA-PARCELA 3/6</t>
  </si>
  <si>
    <t>CLAUDIO JESUS DE ALMEIDA ADVOGADOS ASSOCIADOS-Proc 0011865-05.2024.5.15.0109- ADRILENE PEREIRA DA SILVA-PARCELA 4/6</t>
  </si>
  <si>
    <t>CLAUDIO JESUS DE ALMEIDA ADVOGADOS ASSOCIADOS-Proc 0011865-05.2024.5.15.0109- ADRILENE PEREIRA DA SILVA-PARCELA 5/6</t>
  </si>
  <si>
    <t>CLAUDIO JESUS DE ALMEIDA ADVOGADOS ASSOCIADOS-Proc 0011865-05.2024.5.15.0109- ADRILENE PEREIRA DA SILVA-PARCELA 6/6</t>
  </si>
  <si>
    <t>J.E. COMERCIO E SOLUCOES LTDA- NF 10.679</t>
  </si>
  <si>
    <t>J.E. COMERCIO E SOLUCOES LTDA NF 10.676</t>
  </si>
  <si>
    <t>LOTUS CENTRAL DE DISTRIBUICAO DE HIGIENICOS LTDA NF 138.143</t>
  </si>
  <si>
    <t>CRISTIANA DOS SANTOS COBRINDO AFASTAMENTO REGIVANIA PEREIRA DA SILVA RANCHARIA LOJA 12</t>
  </si>
  <si>
    <t>PATRICIA MARTON ZANINI DAMASCENO COBRINDO AFASTAMENTO GISLAINE FERNANDA DA SILVA BARBOSA DRACENA LOJA 44</t>
  </si>
  <si>
    <t>HIABÁ DE OLIVEIRA COBRINDO FÉRIAS DA PATRICIA XAVIER  MARTINOPOLIS - LOJA 38</t>
  </si>
  <si>
    <t xml:space="preserve">ANDRESSA DA SILVA CASSALHO COBRINDO FÉRIAS MISLENE LANZA ECHAPORÃ - LOJA 08 </t>
  </si>
  <si>
    <t xml:space="preserve">RITA CARNEIRO  COBRINDO FÉRIAS MISLENE LANZA ECHAPORÃ - LOJA 08 </t>
  </si>
  <si>
    <t xml:space="preserve">GLEYCE JAQUELINE DOS REIS OLIVEIRA  COBRINDO AFASTAMENTO BRUNA MAIARA DA SILVA TEODORO ASSIS - LOJA 20 MAX </t>
  </si>
  <si>
    <t>IZABEL APARECIDA BARBOSA -COBRINDO AFASTAMENTO DA ALESSANDRA MOREIRA LEITE  LENÇOIS - LOJA 34</t>
  </si>
  <si>
    <t>MARIA INES VERDEIRO fazer 4 dias  R$49,20 R$12,30 POR DIA  vencedor</t>
  </si>
  <si>
    <t>LOTUS CENTRAL DE DISTRIBUICAO DE HIGIENICOS LTDA NF 140.263</t>
  </si>
  <si>
    <t>SELMA VIEIRA DOS SANTOS VALE TRANSPORTE PARA COBERTURA DA LOJA 06-  PERIODO MANHÃ DIA 25/07/2025</t>
  </si>
  <si>
    <t>ADENILZA MENDONÇA  VALE TRANSPORTE COBERTURA LOJA 14-VILA ARENS PERIODO TARDE DIA 24/07/2025</t>
  </si>
  <si>
    <t>DEBORA GOMES DOS SANTOS-VALE TRANSPORTE DO DIA 25/07 AO DIA 07/08 R$14,70 POR DIA  LOJA 08</t>
  </si>
  <si>
    <t>GUSTAVO HENRIQUE DOS SANTOS-vale transporte fiscal de sorocaba do dia 25/07 ao dia 07/08 R$23,60 por dia  escala 4x1</t>
  </si>
  <si>
    <t>RODRIGO CESAR DOS SANTOS-VALE TRANSPORTE DO DIA 25/07 AO DIA 07/08  28,80  POR DIA</t>
  </si>
  <si>
    <t>ELANDIO GONCALVES LIMA Limpador de Vidro loja 24 Sorocaba  Nos dias  15-07 ,16-07, 17-07, e 18-07</t>
  </si>
  <si>
    <t>GILBERTO SILVA SANTOS-VALE TRANSPORTE DO DIA 28/07 AO DIA 07/08 R$10,00 POR DIA  JARDINEIRO ADMISSÃO</t>
  </si>
  <si>
    <t>LAURINDA MARIA SANTOS NEVES-VALE TRANSPORTE DO DIA 28/07 AO DIA 07/08 R$10,00 POR DIA ADMISSÃO VETTOR</t>
  </si>
  <si>
    <t>FABIA REGIANE AMARO CABRAL-vale transporte do dia 28/07 ao dia 07/08 R$10,00 POR DIA  ADMISSÃO RAI</t>
  </si>
  <si>
    <t>MAQUISSUEL DE SOUZA FREITAS</t>
  </si>
  <si>
    <t>SPARTAN DO BRASIL PRODUTOS QUIMICOS LTDA - NF 256.344</t>
  </si>
  <si>
    <t>AUTO POSTO JARDIM DAS HORTENCIAS NF 869</t>
  </si>
  <si>
    <t>J.E. COMERCIO E SOLUCOES LTDA NF 10.734</t>
  </si>
  <si>
    <t>L. A. DE SOUZA - EQUIPAMENTOS DE SEGURANCA LTDA- NF</t>
  </si>
  <si>
    <t>FMD FUNDO DE INVESTIMENTO EM DIREITOS CREDITORIOS NF 1.356</t>
  </si>
  <si>
    <t xml:space="preserve">GISELE RODRIGUES- CAIXINHA OPERACIONAL </t>
  </si>
  <si>
    <t xml:space="preserve">FTS FALTANTE </t>
  </si>
  <si>
    <t>OSSIRES JOSÉ DONANGELO- CAIXINHA OPERACIONAL</t>
  </si>
  <si>
    <t>JURANDIR LUCAS BEZERRA</t>
  </si>
  <si>
    <t>MARIA LUCIA SOUSA SANTOS</t>
  </si>
  <si>
    <t>BRADESCO AUTO/RE COMPANHIA DE SEGUROS</t>
  </si>
  <si>
    <t>ALEX APARECIDO DE MORAIS</t>
  </si>
  <si>
    <t>EDIMARA GISELE SILVA JOANI-VALE TRANSPORTE AGOSTO</t>
  </si>
  <si>
    <t>KEMELLY THAIS TERTULIANO DE OLIVEIRA-VALE TRANSPORTE AGOSTO</t>
  </si>
  <si>
    <t>ROSANGELA DA SILVA-VALE TRANSPORTE AGOSTO</t>
  </si>
  <si>
    <t>TATIANE CRISTINA BARBOSA-VALE TRANSPORTE AGOSTO AVENIDA</t>
  </si>
  <si>
    <t>MARIA INES CHAGAS-VALE TRANSPORTE AGOSTO</t>
  </si>
  <si>
    <t>ELUSA ROSALVA DA ROCHA PEREIRA-VALE TRANSPORTE R$14,40 POR DIA  ASSIS</t>
  </si>
  <si>
    <t>JULIANA TOMAZ FERREIRA-VALE TRANSPORTE AGOSTO</t>
  </si>
  <si>
    <t>THAYANE TERTULIANO DOMINGOS DA SILVA-VALE TRANSPORTE AGOSTO</t>
  </si>
  <si>
    <t>JULIANA SANTANA CARAVANTE MENDES-VALE TRANSPORTE AGOSTO</t>
  </si>
  <si>
    <t>TATIANI LOPES-VALE TRANSPORTE DE AGOSTO  R$16,00 POR DIA</t>
  </si>
  <si>
    <t>NATALINA SILVA NIZIO-AVENIDA VALE TRANSPORTE AGOSTO</t>
  </si>
  <si>
    <t>NILDA FERREIRA SOBRINHO</t>
  </si>
  <si>
    <t>MARIA APARECIDA DOS SANTOS ROCHA</t>
  </si>
  <si>
    <t>ELENILZA PATRICIA ALMEIDA DUARTE</t>
  </si>
  <si>
    <t>ADRIANA SIMONE MARINHO GOULART-VALE TRANSPORTE DE AGOSTO</t>
  </si>
  <si>
    <t>MARIA SOCORRO DA SILVA PEREIRA-VALE TRANSPORTE DO DIA 01/08 AO DIA 15/08 R$10,00 POR DIA</t>
  </si>
  <si>
    <t>SIMONE PAIXAO VAIZ-VALE TRANSPORTE DE AGOSTO R$14,50 POR DIA</t>
  </si>
  <si>
    <t>TAMIRES DA SILVA CAPUCHINHO-VTE AGOSTO DESCONTANDO OS DIAS 15/07,16/07,17/07 E 18/07e 28/07  QUE TRABALHOU HOMEOFICCE</t>
  </si>
  <si>
    <t>GISELE RODRIGUES DOS SANTOS-VALE TRANSPORTE DE AGOSTO</t>
  </si>
  <si>
    <t>QUEILA JESUS BERNARDES DE OLIVEIRA-VALE TRANSPORTE DO DIA 01/08 AO DIA 15/08 R$10,00</t>
  </si>
  <si>
    <t>JAIR APARECIDO RE -AJUDA DE CUSTO DO DIA 01/08 AO DIA 15/08</t>
  </si>
  <si>
    <t>JHONY WALLACE GOMES DE OLIVEIRA-VALE TRANSPORTE DO DIA 01/08 AO DIA 15/08 R$10,00 POR DIA</t>
  </si>
  <si>
    <t>IFOOD BENEFICIOS - VALE COMBUSTIVEL 1 QUINZENA DE AGOSTO</t>
  </si>
  <si>
    <t>ELIANA DOS SANTOS</t>
  </si>
  <si>
    <t>GRRF ELIANA DOS SANTOS</t>
  </si>
  <si>
    <t>JULIO CESAR ALVES</t>
  </si>
  <si>
    <t>GRRF ELENILZA PATRICIA ALMEIDA DUARTE</t>
  </si>
  <si>
    <t xml:space="preserve">INSTITUTO LOJAS RENNE </t>
  </si>
  <si>
    <t>LOTUS CENTRAL DE DISTRIBUICAO DE HIGIENICOS LTDA-NF 143048</t>
  </si>
  <si>
    <t>SOFT WORKS EPI CALCADOS LTDA NF  216358</t>
  </si>
  <si>
    <t>ALTOLIM COMERCIAL ASSIS EIRELI - NF 40326</t>
  </si>
  <si>
    <t xml:space="preserve">HSERV TERCEIRIZADOS </t>
  </si>
  <si>
    <t>ANDERSON NASCIMENTO SANTOS</t>
  </si>
  <si>
    <t>MARIA DA CONCEICAO DE BARROS LOGERIO-VT 1 DIA - DEVIDO RECARGA NÃO TER ENTRADO</t>
  </si>
  <si>
    <t>RFP MATERIAIS PARA CONSTRUCAO LTDA NF 3600</t>
  </si>
  <si>
    <t>DARE- HENRIQUE JEAN- PNº do protocolo: SPP2530984205</t>
  </si>
  <si>
    <t>WIG COMERCIO DE BATERIAS E COMP. LTDA NF 553 BATERIAS PARA B70</t>
  </si>
  <si>
    <t>LOTUS CENTRAL DE DISTRIBUICAO DE HIGIENICOS LTDA NF 138143-MERCADORIA PARA REVENDAS</t>
  </si>
  <si>
    <t>RFP MATERIAIS PARA CONSTRUCAO LTDA NF 138143-MERCADORIA PARA REVENDA</t>
  </si>
  <si>
    <t>JAIR RÉ- REEMBOLSO DE KM VISITA A PREFEITURA</t>
  </si>
  <si>
    <t>PARCELAMENTO SIMPLICADO- HENRIQUE JEAN DEBITO PREVIDENCIARIO  VENCIMENTO 30/07/2025</t>
  </si>
  <si>
    <t>GUIA DE IRRF_1708_07.2024 - HSERV CLEAN- VEPAKUM</t>
  </si>
  <si>
    <t>GUIA DE CSRF_1708_07.2024 - HSERV CLEAN- VEPAKUM</t>
  </si>
  <si>
    <t>GUIA DE PARCELAMENTO- ENTRADA PARC_SIMPLES NACIONAL_DIVIDA ATIVA  HSERV CABREUVA</t>
  </si>
  <si>
    <t>GUIA DE PARCELAMENTO- ENTRADA PARC_SIMPLES NACIONAL_DIVIDA ATIVA HSERV COMBINADOS</t>
  </si>
  <si>
    <t>PARCELAMENTO - VITOR DUARTE  DEBITO PREVIDENCIARIO-GPS JULHO A NOVEMBRO DE 2024- VENCIMENTO 30/07/2025</t>
  </si>
  <si>
    <t>PARCELAMENTO - VITOR DUARTE  DEBITO PREVIDENCIARIO-GPS DEZEMBRO A FEVEREIRO DE 2025- VENCIMENTO 30/07/2025</t>
  </si>
  <si>
    <t>GRRF MARIA LUCIA SOUSA SANTOS</t>
  </si>
  <si>
    <t>IFOOD.COM AGENCIA DE RESTAURANTES ONLINE S.A.-VALDILMA,GILBERTO,LAURINDA E FABIA</t>
  </si>
  <si>
    <t>LUCAS VITOR NUNES</t>
  </si>
  <si>
    <t>RICARO IMPORTACAO INDUSTRIA E COMERCIO DE EMBALAGENS E INSUM</t>
  </si>
  <si>
    <t>TTB INDUSTRIA E COMERCIO DE PRODUTOS METALICOS</t>
  </si>
  <si>
    <t xml:space="preserve">OTAVIO AUGUSTO FERREIRA </t>
  </si>
  <si>
    <t>JOSE ERIVALDO CAVALCANTE DA SILVA</t>
  </si>
  <si>
    <t>EDNA JOSE DE SOUZA COSTA</t>
  </si>
  <si>
    <t>FABIANA DE LIMA VIEIRA</t>
  </si>
  <si>
    <t>TABATHA TUANY TAVARES</t>
  </si>
  <si>
    <t>CARLOS WASHINGTON DE ALMEIDA</t>
  </si>
  <si>
    <t>MICAEL LINS SOUZA</t>
  </si>
  <si>
    <t>COSME FRANCA</t>
  </si>
  <si>
    <t>ALTOLIM COMERCIAL ASSIS EIRELI - NF 40442</t>
  </si>
  <si>
    <t>SPARTAN DO BRASIL PRODUTOS QUIMICOS LTDA NF 256344</t>
  </si>
  <si>
    <t>STAR CLEAN PRO INDUSTRIA E COMERCIO NF 10927</t>
  </si>
  <si>
    <t>MOVIDA PARTICIPACOES S.A.- FATURA 07116307 -MULTA PLACA TJL4F14</t>
  </si>
  <si>
    <t>LOCALIZA FLEET S.-VENCIMENTO 01/08- FATURA AGMTZ-2605527-PLACA RVF1A42</t>
  </si>
  <si>
    <t>IMPRESSORA</t>
  </si>
  <si>
    <t>ADEMIR- IMPRESSÃO E IMPRESSORA-ALUGUEL IMPRESSORA</t>
  </si>
  <si>
    <t>WILSON ZANON-VALE TRANSPORTE DE AGOSTO  R$10,80 POR DIA  CAMPINAS</t>
  </si>
  <si>
    <t>ANDRE VICENTE TAVARES-VALE TRANSPORTE DE AGOSTO  R$12,80 POR DIA  CAMPINAS</t>
  </si>
  <si>
    <t>ORVANDA MARIA VITALINO FIGUEROA-VALE TRANSPORTE DO DIA 04/08 AO DIA  20/08 LOJA 16 R$12,,80 POR DIA</t>
  </si>
  <si>
    <t>JOSELITA DA SILVA-vale transporte do dia 04/08 ao dia 13/08 vettor admissão dia 01/08</t>
  </si>
  <si>
    <t>ILAIDE JOSE RODRIGUES-VALE TRANSPORTE DO DIA 01/08 ao dia 14/08  R$11,80  POR DIA</t>
  </si>
  <si>
    <t>MARINALDA ALMEIDA PEREIRA-vale transporte do dia 05/08 ao dia 23/08</t>
  </si>
  <si>
    <t>ANA CLAUDIA DE FIGUEIREDO-VALE TRANSPORTE AGOSTO</t>
  </si>
  <si>
    <t>ELIANE ULITZKA DOS SANTOS-VALE TRANSPORTE DO DIA 01/08 ao dia 17/08 R$22,80 POR DIA  REGISTRADA DA LOJA 12</t>
  </si>
  <si>
    <t>KATIA HELENA DA SILVA-VALE TRANSPORTE DO DIA 05/08 AO DIA 21/08 R$12,40 POR DIA  VALINHOS</t>
  </si>
  <si>
    <t>LUCINEIA CANDIDA GONCALVES-VALE TRANSPORTE AGOSTO AVENIDA</t>
  </si>
  <si>
    <t>MARIA DAS DORES DA CONCEICAO-VALE TRANSPORTE DE AGOSTO</t>
  </si>
  <si>
    <t xml:space="preserve">JAIR RÉ-COMISSAO MARÇO </t>
  </si>
  <si>
    <t>WELLINGTON OLIVEIRA BORIAN DA CRUZ</t>
  </si>
  <si>
    <t>PATRICIA MARTON</t>
  </si>
  <si>
    <t>GRRF JURANDIR LUCAS BEZERRA</t>
  </si>
  <si>
    <t>BRASIL MEDICINA E SAUDE PREVENTIVA ORGANIZACAO, GESTAO E CON</t>
  </si>
  <si>
    <t>FERNANDO APARECIDO DOS SANTOS Proc 0013031-54.2024.5.15.0018 RECLAMANTE: MANOEL ROBERTO DE SOUSA -PARCELA 1/17</t>
  </si>
  <si>
    <t>JURANDIR BAVOSO JUNIOR-Proc 0010814-86.2024.5.15.0002 RECLAMANTE: JUAN ERICK REIS DOS SANTOS PARCELA 1/12</t>
  </si>
  <si>
    <t>ANDREIA SOARES DE LIMA DA SILVA</t>
  </si>
  <si>
    <t>FLAVIA KELI DE OLIVEIRA FELIX-VALE TRANSPORTE DO DIA 01/08 AO DIA 17/08 R$12,30 POR DIA  RT</t>
  </si>
  <si>
    <t>LOTUS CENTRAL DE DISTRIBUICAO DE HIGIENICOS LTDA- NF 155019</t>
  </si>
  <si>
    <t>LOTUS CENTRAL DE DISTRIBUICAO DE HIGIENICOS LTDA - NF 143048</t>
  </si>
  <si>
    <t>IOF</t>
  </si>
  <si>
    <t>ALTOLIM COMERCIAL ASSIS EIRELI - ME NF 40.501</t>
  </si>
  <si>
    <t>CLAUDIO DEL DUCA</t>
  </si>
  <si>
    <t>GISELE RODRIGUES - CAIXINHA OPERACIONAL E RECRUTAMENTO</t>
  </si>
  <si>
    <t>KATIA CRISTINA DE ALMEIDA - VT 4 DIAS LOJA 15 ( DIA 04/08 A 07/08)</t>
  </si>
  <si>
    <t xml:space="preserve">VALDENICE LIMA DE OLIVEIRA- VT EMERGÊNCIA COBERTURA LOJA 11 </t>
  </si>
  <si>
    <t>NATALIA BRITO LIMA VT EMERGÊNCIA COBERTURA LOJA 22</t>
  </si>
  <si>
    <t>KEILANE MACEDO DE OLIVEIRA- VT EMERGÊNCIA COBERTURA DA LOJA 01</t>
  </si>
  <si>
    <t>SIND DAS EMP DE PREST DE SER T C A M O T T NO E DE SP- NEGOCIAL SINDEPRESTEN</t>
  </si>
  <si>
    <t xml:space="preserve">IOF </t>
  </si>
  <si>
    <t>ANA LUCIA CORREIA DA SILVA-VALE TRANSPORTE DA AVENIDA  R$4,00 POR DIA</t>
  </si>
  <si>
    <t>RODRIGO CESAR DOS SANTOS-VALE TRANSPORTE DO DIA 08/08 ao dia 18/08  28,80  POR DIA</t>
  </si>
  <si>
    <t>EZEQUIEL RODRIGUES DOS SANTOS-vale transporte do dia 08/08 ao dia 30/08 R$11,80 por dia</t>
  </si>
  <si>
    <t>CAMILA FERREIRA DA SILVA-VALE TRANSPORTE DE AGOSTO AVENIDA  COBRINDO FÉRIAS DA MAURA VILELA PINTO</t>
  </si>
  <si>
    <t>GUSTAVO HENRIQUE DOS SANTOS-vale transporte fiscal de sorocaba do dia 08/08 AO DIA 30/08  R$23,60 por dia  escala 4x1</t>
  </si>
  <si>
    <t>NATALIA DA SILVA-VALE TRANSPORTE DO DIA 07/08 AO DIA 23/08 R$11,80 POR DIA  LOJA 24  PACOTE</t>
  </si>
  <si>
    <t>EUNICE ALMEIDA DOS SANTOS-vale transporte do dia 07/08 até o dia 23/08 R$16,80 por dia</t>
  </si>
  <si>
    <t>L. A. DE SOUZA - EQUIPAMENTOS DE SEGURANCA LTDA- NF 11.747- SAPATOS ASG E LUVAS</t>
  </si>
  <si>
    <t>CRISTIANA DOS SANTOS  -COBRINDO AFASTAMENTO DA REGIVANIA PEREIRA DA SILVA -RANCHARIA LOJA 12</t>
  </si>
  <si>
    <t>HIABÁ DE OLIVEIRA COBRINDO FÉRIAS DA PATRICIA XAVIER-MARTINOPOLIS - LOJA 38</t>
  </si>
  <si>
    <t>VANESSA PEREIRA AMBROSIO-COBRINDO FÉRIAS DA JOICE CARREIRO ORTIZ-LOJA CANDIDO MOTA LOJA 11</t>
  </si>
  <si>
    <t xml:space="preserve">GLEYCE JAQUELINE DOS REIS OLIVEIRA  -COBRINDO AFASTAMENTO DA BRUNA MAIARA DA SILVA TEODORO-ASSIS - LOJA 20 MAX </t>
  </si>
  <si>
    <t>ERIKA DE PAULA SERAFIM  -APOIO EXTRA REFORMA -REFORMA DA LOJA CONFORME CONTRATO-C.MOTA LOJA 11</t>
  </si>
  <si>
    <t>ANAY VICTORIA DIAS NEIRA - APOIO EXTRA REFORMA -REFORMA DA LOJA CONFORME  CONTRATO-C.MOTA LOJA 09</t>
  </si>
  <si>
    <t>THAYANE TERTULIANO DOMINGOS DA SILVA DIFERENÇA VT AGOSTO -REDE AVENIDA</t>
  </si>
  <si>
    <t>RESOLVE ALIMENTACAO LTDA NF 12186</t>
  </si>
  <si>
    <t xml:space="preserve"> SONIA MARIA MALZONI</t>
  </si>
  <si>
    <t>RAI INGREDIENTES INDUSTRIAL S/A</t>
  </si>
  <si>
    <t>MARKETING</t>
  </si>
  <si>
    <t>ANDREIA APARECIDA BARBOSA- VALOR ADICIONAL DAS CANECAS PERSONALIZADAS</t>
  </si>
  <si>
    <t>GILBERTO SILVA SANTOS</t>
  </si>
  <si>
    <t>MARIA ISABELE CELESTE DUARTE</t>
  </si>
  <si>
    <t>LAURINDA MARIA SANTOS NEVES</t>
  </si>
  <si>
    <t>SPARTAN DO BRASIL PRODUTOS QUIMICOS LTDA NF 256.344</t>
  </si>
  <si>
    <t>STAR CLEAN PRO INDUSTRIA E COMERCIO DE EQUIPAMENTOS DE LIMPEZA- NF 10927-PRODUTOS PARA REVENDA</t>
  </si>
  <si>
    <t>TUTTI SPORT VECCHI LTDA- VITOR SOLICITOU PAGAMENTO VIA WHATSAPP- DESCONTAR NO PROLABORE</t>
  </si>
  <si>
    <t xml:space="preserve">ELIZANGELA APARECIDA VITOR - ALIMENTAÇÃO, SUPERVISORA ESTARÁ PRESENCIALMENTE NOS PROXIMOS DIAS NA BASE </t>
  </si>
  <si>
    <t>DIANA MARCIA DE CAMARGO BARBOSA-VALE TRANSPORTE DO DIA 12/08 AO DIA 22/08 R$12,30</t>
  </si>
  <si>
    <t>KELLDRIE TALINE SILVA-VALE TRANSPORTE DO DIA 12/08 AO DIA 22/08 R$31,30 POR DIA LOJA 13</t>
  </si>
  <si>
    <t>MILIANE TALITA DA SILVA ALVES-VALE TRANSPORTE DO DIA 12/08 AO DIA 22/08 R$7,40 POR DIA  VALINHOS</t>
  </si>
  <si>
    <t>SANDRA BORGES-VALE TRANSPORTE DO DIA 12/08 AO DIA 22/08 R$19,00 POR DIA  DOM OLIVIO ADMISSAO</t>
  </si>
  <si>
    <t>SIND DAS EMP DE PREST DE SER T C A M O T T NO E DE SP-TAXA NEGICOAL SINDICATO - 08/2025</t>
  </si>
  <si>
    <t>KACIA SILVANIA DANTAS GOMES-DIFERENÇA DE BONUS</t>
  </si>
  <si>
    <t>JOSE CLAUDINO MESSIAS FILHO-DIFERENÇA DE BONUS DE RONDA - FOLHA 07/2025</t>
  </si>
  <si>
    <t>FRANCIELLY XAVIER DA SILVA</t>
  </si>
  <si>
    <t>PENSÃO ALIMENTÍCIA</t>
  </si>
  <si>
    <t>PAPEL E CIA NF 20.362</t>
  </si>
  <si>
    <t>ALTOLIM COMERCIAL ASSIS EIRELI - NF 40.577</t>
  </si>
  <si>
    <t>AUTO POSTO JARDIM DAS HORTENCIA NF 908</t>
  </si>
  <si>
    <t>J.E. COMERCIO E SOLUCOES LTDA NF 10.991</t>
  </si>
  <si>
    <t>RSC COM. MAT.P/ CONSTRUCAO LTDA. NF 107.078</t>
  </si>
  <si>
    <t>LOTUS CENTRAL DE DISTRIBUICAO DE HIGIENICOS LTDA NF161.290</t>
  </si>
  <si>
    <t>TAIRA SAITO LOPES -MARCASA-SEGURANÇA VEPAKUM</t>
  </si>
  <si>
    <t>PROLABORE SOCIOS MARIA JOSE</t>
  </si>
  <si>
    <t>FEMACON CONSTRUCOES LTDA NF 11.707</t>
  </si>
  <si>
    <t>DEBORA CARVALHO DA SILVA-VALE TRANSPORTE DO DIA 12/08 AO DIA 30/08 R$19,00 POR DIA</t>
  </si>
  <si>
    <t>MARIA JOSE CONCEICAO DA SILVA VALE TRANSPORTE DO DIA 12/08 AO DIA 31/08</t>
  </si>
  <si>
    <t>VIVIAN APARECIDA MENDES-DEVOLUÇÃO DE FALTAS DESCONTADAS  - TRABALHOU OS DIAS 26/07 E 30/07</t>
  </si>
  <si>
    <t>JONATHAN CANDIDO BATISTA</t>
  </si>
  <si>
    <t>EDNA JOSE DE SOUZA COSTA-VALE TRANSPORTE DO DIA 14/08 AO DIA 31/08 R$16,80 POR DIA  LOJA 0</t>
  </si>
  <si>
    <t>LINDIMAR FERREIRA DOS SANTOS-VALE TRANSPORTE DO DIA 14/08 AO DIA 31/08 R$11,80 POR DIA  SOLICITADO PELA ELISANGELA</t>
  </si>
  <si>
    <t>GRRF RONALDO SILVA MARQUES</t>
  </si>
  <si>
    <t>IFOOD.COM AGENCIA DE RESTAURANTES ONLINE S.A. -VALE COMBUSTIVEL-2 QUINZENA DE AGOSTO</t>
  </si>
  <si>
    <t>IFOOD.COM AGENCIA DE RESTAURANTES ONLINE S.A. -ASSIDUIDADE REDE BOA</t>
  </si>
  <si>
    <t>IFOOD.COM AGENCIA DE RESTAURANTES ONLINE S.A. -ASSIDUIDADE RICOY</t>
  </si>
  <si>
    <t>IFOOD.COM AGENCIA DE RESTAURANTES ONLINE S.A.-ASSIDUIDADE EMPRESAS</t>
  </si>
  <si>
    <t>IFOOD.COM AGENCIA DE RESTAURANTES ONLINE S.A.-ASSIDUIDADE REDE AVENIDA</t>
  </si>
  <si>
    <t>PABLO ITHALO SANTOS GUANDELINI</t>
  </si>
  <si>
    <t>FABIANA FERNANDA GUEDES DA SILVA-FOLHA MEI 07/2025 Período de prestação de serviço Início: 07/07/2025 Término: 05/08/2025</t>
  </si>
  <si>
    <t>JONATHAN DINIZ WESFAL-PROC 1001448-72.2024.5.02.0291 AUTOR: LUCIANA APARECIDA MARQUES DA SILVA  PARCELA 1/10</t>
  </si>
  <si>
    <t>ESCOBRAS INDUSTRIA E COMERCIO DE MAQUINAS LTDA</t>
  </si>
  <si>
    <t>AUTO POSTO JARDIM DAS HORTENCIAS</t>
  </si>
  <si>
    <t>BORELA ADVOGADOS ASSOCIADOS-Proc 0010084-90.2025.5.15.0018 AUTOR: VANESSA ALESSANDRA NUNES DA COSTA-PARCELA 1/2</t>
  </si>
  <si>
    <t>PAULO CEZAR FERREIRA DOS SANTOS-PROC 0012427-44.2024.5.15.0002 - MARIA NAZARE DA SILVA PARCELA 1/10</t>
  </si>
  <si>
    <t>FABIANA DE SOUZA CULBERT SOCIEDADE INDIVIDUAL DE ADVOCACIA-PROC 0010360-81.2025.5.15.0096- PAULO EDVAN HAHNE  -PARCELA 1/6</t>
  </si>
  <si>
    <t>FERNANDO APARECIDO DOS SANTOS-Proc 0013031-54.2024.5.15.0018  MANOEL ROBERTO DE SOUSA- PARCLEA 2/17</t>
  </si>
  <si>
    <t>SANTOS SEPULVEDA SOCIEDADE INDIVIDUAL DE ADVOCACIA-PRoc 0011475-02.2023.5.15.0002  ANA CAROLINA DOS SANTOS-PARCELA 1/10</t>
  </si>
  <si>
    <t>AUREA MOSCATINI- PROC 0012313-20.2024.5.15.0095 -GABRIEL BARBOSA DOS SANTOS -PARCELA 1/5</t>
  </si>
  <si>
    <t>JURANDIR BAVOSO JUNIOR-Proc 0010814-86.2024.5.15.0002 RECLAMANTE: JUAN ERICK REIS DOS SANTOS  PARCELA 2/12</t>
  </si>
  <si>
    <t xml:space="preserve">TAXA DE FISCALIZAÇÃO- VTM NEGOCIOS IMOBILIARIOS- EMPRESA VITOR PESSOAL- LEMBRAR O VITOR DE REALIZAR O PAGAMENTO </t>
  </si>
  <si>
    <t>PROLABORE  GUTHIERRI</t>
  </si>
  <si>
    <t>PROLABORE CRISTIANE</t>
  </si>
  <si>
    <t>MES</t>
  </si>
  <si>
    <t>VETTOR PECAS</t>
  </si>
  <si>
    <t>MARIA ROSEANE- FT FALTANTES</t>
  </si>
  <si>
    <t>JOSELITA DA SILVA:    FT FALTANTES</t>
  </si>
  <si>
    <t>GLOVAN CABREUVA ALUGUEL DE EQUIPAMENTOS LTDA- VENCIMENTO 13/08/2025 NF 6077</t>
  </si>
  <si>
    <t>SOFT WORKS EPI CALCADOS LTDA- VENCIMENTO 13/08/2025-PRORROGADO SEM JUROS PARA O DIA 29/08</t>
  </si>
  <si>
    <t>NOVITA VEST CONFECCOES LTDA- VENCIMENTO 13/08/2025-PRORROGADO PARA O DIA 29/08</t>
  </si>
  <si>
    <t>LOTUS CENTRAL DE DISTRIBUICAO DE HIGIENICOS LTDA- VENCIMENTO 13/08/2025-PRORROGADO PARA O DIA 20/08</t>
  </si>
  <si>
    <t>LOTUS CENTRAL DE DISTRIBUICAO DE HIGIENICOS LTDA VENCIMENTO 14/08 - NF 167.899</t>
  </si>
  <si>
    <t>LOTUS CENTRAL DE DISTRIBUICAO DE HIGIENICOS LTDA  NF 179.434</t>
  </si>
  <si>
    <t>LOTUS CENTRAL DE DISTRIBUICAO DE HIGIENICOS LTDA NF 173.719</t>
  </si>
  <si>
    <t>LOTUS CENTRAL DE DISTRIBUICAO DE HIGIENICOS LTDA NF 179.434</t>
  </si>
  <si>
    <t>LOTUS CENTRAL DE DISTRIBUICAO DE HIGIENICOS LTDA NF 189.843</t>
  </si>
  <si>
    <t>NOVITA VEST CONFECCOES LTDA- JUROS PELA PRORROGAÇÃO DAS NFS  6322, 6103 e 6111</t>
  </si>
  <si>
    <t>CARTAO DE CRÉDITO- VITOR-VENCIMENTO 15/08/2025</t>
  </si>
  <si>
    <t>CARTÃO DE CREDITO VENCIMENTO 15/08/2025</t>
  </si>
  <si>
    <t>MOVIDA PARTICIPACOES S.A. 18/08/2025</t>
  </si>
  <si>
    <t>JOSE SANTOS DE PAULA</t>
  </si>
  <si>
    <t>EMPRESTIMO HSERV CLEAN BRADESCO -PARCELA MENSAL- VENCIDO 14/08/2025</t>
  </si>
  <si>
    <t>SAMUEL ALEXANDER NARANJO RODRIGUEZ</t>
  </si>
  <si>
    <t xml:space="preserve">TAXA DE DESARQUIVAMENTO -PROCESSO SOFISA </t>
  </si>
  <si>
    <t>OSSIRES DONNANGELO-SUPERVISOR AVENIDA- CAIXINHA OSSIRES</t>
  </si>
  <si>
    <t>HSERV LCLEAN</t>
  </si>
  <si>
    <t>EMPRESTIMO INTER</t>
  </si>
  <si>
    <t>DAIANE CRISTINA ANDRADE-DEVOLUÇÃO DESCONTO INDEVIDO FOLHA 04/2025</t>
  </si>
  <si>
    <t>SEM PARAR</t>
  </si>
  <si>
    <t xml:space="preserve">MANUTENÇÃO </t>
  </si>
  <si>
    <t>BRAN ENGENHARIA LTDA-0217/2025 CLCB (Certificado de licença do Corpo de Bombeiro) 021/2025 Equipamentos-LOJA CLEAN</t>
  </si>
  <si>
    <t>CUSTAS FINAIS -Proc 0011413-05.2022.5.15.0096 RECLAMANTE: ANDERSON RAIMUNDO DUARTE</t>
  </si>
  <si>
    <t xml:space="preserve">VALE ALIMENTAÇÃO </t>
  </si>
  <si>
    <t>Wellington Abreu de Jesus-Vale-Refeição e Vale transporte  R$ 20,76/dia × 4 dias</t>
  </si>
  <si>
    <t>SAFRA</t>
  </si>
  <si>
    <t>TERCERIZADOS</t>
  </si>
  <si>
    <t>LIMITE</t>
  </si>
  <si>
    <t>DALI OSCAR MARRERO PIQUERO-vale transporte do dia 20/08 ao dia 31/08  R$7,50 por dia  loja 22 valinhos</t>
  </si>
  <si>
    <t>LEIA ROSA DA SILVA-vale transporte do dia 20/08 ao dia 31/08 loja 14 a pedido da dona cicera  R$12,30 POR DIA</t>
  </si>
  <si>
    <t>WELLINTON ABREU DE JESUS-VALE TRANSPORTE DO DIA 20/08 AO DIA 31/08 R$23,30 POR DIA  NOVO SUPERVISOR  ESCALA 4X2</t>
  </si>
  <si>
    <t>DARF INSS MENSAL HENRIQUE JEAN DUARTE LTDA</t>
  </si>
  <si>
    <t>DARF INSS MENSAL HSERV CLEAN</t>
  </si>
  <si>
    <t xml:space="preserve">DARF INSS HSERV COMBINADOS </t>
  </si>
  <si>
    <t xml:space="preserve">DARF INSS MENSAL HSERV LIMPEZA </t>
  </si>
  <si>
    <t>DARF INSS MENSAL HSERV REPRESENTACOES</t>
  </si>
  <si>
    <t>DARF INSS MENSAL HSERV TERCEIRIZADOS</t>
  </si>
  <si>
    <t>DARF INSS MENSAL VITOR AUGUSTO DUARTE</t>
  </si>
  <si>
    <t xml:space="preserve">FGTS MENSAL HSERV COMBINADOS </t>
  </si>
  <si>
    <t xml:space="preserve">FGTS MENSAL HSERV LIMPEZA </t>
  </si>
  <si>
    <t xml:space="preserve">FGTS MENSAL HSERV  REPRESENTACOES </t>
  </si>
  <si>
    <t xml:space="preserve">FGTS MENSAL HSERV TECNOLOGIA </t>
  </si>
  <si>
    <t>FGTS MENSAL HSERV TERCEIRIZADOS</t>
  </si>
  <si>
    <t>FGTS MENSAL HENRIQUE JEAN DUARTE LTDA</t>
  </si>
  <si>
    <t>WELLINTON ABREU DE JESUS-VALE ALIMENTAÇÃO PARA FINALIZAR O MÊS NOVO SUPERVISOR</t>
  </si>
  <si>
    <t>DAVID DA SILVA PORFIRIO</t>
  </si>
  <si>
    <t>MARIA SELMA DE JESUS SOUZA</t>
  </si>
  <si>
    <t>ANDRADE FREITAS SOCIEDADE DE ADVOGADOS-Proc 0012259-82.2024.5.15.0021 AUTOR: ESTEVAO GOMES DE SOUZA   PARCELA 1/5</t>
  </si>
  <si>
    <t>CAETANO BERNARDES NEUBAUER-Proc 0010591-77.2025.5.15.0074 RECLAMANTE: SIMONE FERREIRA DA SILVA PARCELA 1/6</t>
  </si>
  <si>
    <t>BRAN ENGENHARIA LTDA-ENGENHERIA DE SEGURANÇA- BOMBEIRO LOJA CLEAN</t>
  </si>
  <si>
    <t xml:space="preserve">CAIXA CARTOES PRE-PAGOS S.A.-VALE ALIMENTAÇÃO </t>
  </si>
  <si>
    <t>GNB ADMINISTRACAO DE BENEFICIOS SOCIAIS LTDA-BENEFICIO SOCIAL- VENCIMENTO 10/07/2025</t>
  </si>
  <si>
    <t>L. A. DE SOUZA - EQUIPAMENTOS DE SEGURANCA LTDA NF 11.793</t>
  </si>
  <si>
    <t>COMISSÃO</t>
  </si>
  <si>
    <t>VALDECI BERTOZZI DA SILVA- COMISSÃO -SANTA CASA PARCELA 1/2</t>
  </si>
  <si>
    <t>PAMELA GREICE MARINHO ROCHA-UBER FISCAL DAVI DO RIO ACIMA E DANIEL DA VARZEA PAULISTA  - JUNDIAI  LOJA 08 -APOIO EXTRA-  CAIXINHA PARA CONDUÇÃO DE APOIOS EXTRAS LOJA 08</t>
  </si>
  <si>
    <t>PAMELA GREICE MARINHO ROCHA- JONATHAN PRECISAVA IR PARA VALINHOS, O POSTO DE GASOLINA FECHOU- UBER DO BOA VALINHOS PARA VILA NAMBI  FISCAL FABIO E ASG FLAVIA KELLY</t>
  </si>
  <si>
    <t>JAIR RÉ-COMISSÃO AGOSTO</t>
  </si>
  <si>
    <t>JAIR RÉ-COMISSAO JULHO</t>
  </si>
  <si>
    <t>JONESO EMPREENDIMENTOS-VECIMENTO 17/08/2025-PRORROGADO SEM JUROS</t>
  </si>
  <si>
    <t>DARF ISS MENSAL- EMPRESA HSERV LTDA</t>
  </si>
  <si>
    <t xml:space="preserve">HENRIQUE JEAN </t>
  </si>
  <si>
    <t>SIMPLES NACIONAL MENSAL -07.20.25217.7214735-5</t>
  </si>
  <si>
    <t xml:space="preserve">SIMPLES NACIONAL MENSAL -07.20.25217.7070891-0 </t>
  </si>
  <si>
    <t>SIMPLES NACIONAL MENSAL  07.20.25217.7160108-7</t>
  </si>
  <si>
    <t>SIMPLES NACIONAL MENSAL -07.20.25217.7804266-0</t>
  </si>
  <si>
    <t>SIMPLES NACIONAL MENSAL -07.20.25217.7740556-5</t>
  </si>
  <si>
    <t>SIMPLES NACIONAL MENSAL -07.20.25217.7286546-0</t>
  </si>
  <si>
    <t>SIMPLES NACIONAL MENSAL -07.20.25217.7618506-5</t>
  </si>
  <si>
    <t>LUPE LOCACAO E COMERCIO DE EQUIPAMENTOS</t>
  </si>
  <si>
    <t>JHONNY WALACE- REEMBOLSO DE DESPESAS PEDREIRA-GASTOS COM PEDAGIO</t>
  </si>
  <si>
    <t>VIVA FOOD PARCELA 1/3 - REAJUSTE REATROATIVO</t>
  </si>
  <si>
    <t>J.E. COMERCIO E SOLUCOES LTDA- NF 11.132 VENCIMENTO 15/08/2025-PRORROGADO</t>
  </si>
  <si>
    <t>SINDICATO DOS EMPREGADOS E TRABALHADORES - VENCIMENTO 10/07/2025</t>
  </si>
  <si>
    <t>EMPORIO MEGA 100 COMERCIO DE ALIMENTOS S.A. NF 995.259 VENCIMENTO 18/08/2025</t>
  </si>
  <si>
    <t>EMPORIO MEGA 100 COMERCIO DE ALIMENTOS S.A.-NF 995.260VENCIMENT 18/08/2025</t>
  </si>
  <si>
    <t>EMPORIO MEGA 100 COMERCIO DE ALIMENTOS S.A.-NF 995.267 VENCIMENTO 18/08/2025</t>
  </si>
  <si>
    <t>EMPORIO MEGA 100 COMERCIO DE ALIMENTOS S.A.-NF 995.263 VENCIMENTO 18/08/2025</t>
  </si>
  <si>
    <t>EMPORIO MEGA 100 COMERCIO DE ALIMENTOS S.A.-NF 995.268 VENCIMENTO 18/08/2025</t>
  </si>
  <si>
    <t>EMPORIO MEGA 100 COMERCIO DE ALIMENTOS S.A.- NF  VENCIMENTO 18/08/2025</t>
  </si>
  <si>
    <t>EMPORIO MEGA 100 COMERCIO DE ALIMENTOS S.A.-NF 995.266 VENCIMENTO 18/08/2025</t>
  </si>
  <si>
    <t>EMPORIO MEGA 100 COMERCIO DE ALIMENTOS S.A.-NF 995.264 VENCIMENTO 18/08/2025</t>
  </si>
  <si>
    <t>ALTOLIM COMERCIAL ASSIS EIRELI  NF 40.720</t>
  </si>
  <si>
    <t>HM MAQ COMERCIO E ASSISTENCIA TECNICA INDUSTRIAL-VENCIMENTO 14/08 NF 7.544</t>
  </si>
  <si>
    <t>LOTUS CENTRAL DE DISTRIBUICAO DE HIGIENICOS LTDA NF169.062-VENCIMENTO 15/08/2025</t>
  </si>
  <si>
    <t xml:space="preserve">EMPORIO MEGA 100 COMERCIO DE ALIMENTOS S.A.-NF 995.265 VENCIMENTO 18/08/2025 </t>
  </si>
  <si>
    <t>CANOPUS ADMNISTRADORA DE CONSORCIOS- EMPRESTIMO VITOR PESSOAL (VITOR SOLICITOU PAGAMENTO , DEVOLUÇÃO PROGRAMADA PARA 21/08-QUINTA FEIRA)</t>
  </si>
  <si>
    <t>BRADESCO SAUDE- DESCONTAR PROLABORE VITOR</t>
  </si>
  <si>
    <t>EMPORIO MEGA 100 COMERCIO DE ALIMENTOS S.A.-NF 995.261 VENCIMENTO 18/08/2025</t>
  </si>
  <si>
    <t>DARF ISS TOMADOS- NF -- VALDECI BERTOZZI DA SILVA - Serviço: 03.05- 44.505.123/0001-50 -</t>
  </si>
  <si>
    <t>IF SAO PAULO SERVICOS DE APOIO A MICRO E PEQUENA EMPRESA LTD</t>
  </si>
  <si>
    <t>ELIZANGELA APARECIDA VITOR -JANTA DO DIA 19/08- SUPERVISORA ESTÁ NO BOA DE PEDREIRA JUNTO A COLABORADORA FLAVIA KELLY</t>
  </si>
  <si>
    <t>ELIZANGELA APARECIDA VITOR -JANTA DO DIA 20/08- SUPERVISORA ESTÁ NO BOA DE PEDREIRA JUNTO A COLABORADORA FLAVIA KELLY</t>
  </si>
  <si>
    <t xml:space="preserve">ELIZANGELA APARECIDA VITOR -ALMOÇO DO DIA 20/08- SUPERVISORA ESTÁ NO BOA DE PEDREIRA </t>
  </si>
  <si>
    <t>LUANA VITORIA MARQUES LIMA</t>
  </si>
  <si>
    <t>MARIA LUCIA BENTO</t>
  </si>
  <si>
    <t>JULIA LOURENCIO FRANCO</t>
  </si>
  <si>
    <t>MILIANE TALITA DA SILVA ALVES</t>
  </si>
  <si>
    <t>ROSANGELA CAMPOS PERROUD</t>
  </si>
  <si>
    <t>SONIA REGINA DA SILVA SOUZA</t>
  </si>
  <si>
    <t>GRRF RODRIGO CESAR DOS SANTOS</t>
  </si>
  <si>
    <t>SCOLA &amp; FALCAO SOCIEDADE DE ADVOGADAS-Processo: 0010503-86.2025.5.15.0026 -NAIR DONIZETE TEODORO DE ANDRADE  PARCELA 1/5</t>
  </si>
  <si>
    <t>ASOMETRA ENGENHARIA DE SEGURANÇA- VENCIMENTO 20/07/205</t>
  </si>
  <si>
    <t>MOVIDA PARTICIPACOES S.A. VENCIMENTO 29/07/2025-PLACA SVQ7D60- PERIODO DE LOCAÇÃO 03/08 Á 03/07 CARRO HENRIQUE JEAN</t>
  </si>
  <si>
    <t>MOVIDA PARTICIPACOES S.A. VENCIMENTO 07/07/2025- PLACA: STQ7B01-PERIODO DE LOCAÇÃO 09/06 Á 13/06- CARRO OPERAÇAO</t>
  </si>
  <si>
    <t>MOVIDA PARTICIPACOES S.A. VENCIMENTO 16/07/2025-PLACA QMYE00 (COORDENAÇÃO) E TJL4F14 (VITOR)-PERIODO DE LOCAÇÃO 31/05 Á 30/06</t>
  </si>
  <si>
    <t xml:space="preserve">MOVIDA PARTICIPACOES S.A. VENCIMENTO 19/07/2025- PLACA TJGB82-PERIODO DE LOCAÇÃO 22/06 Á 27/06- CARRO DA OPERAÇÃO </t>
  </si>
  <si>
    <t xml:space="preserve">CRISTIANA DOS SANTOS  COBRINDO AFASTAMENTO REGIVANIA PEREIRA DA SILVA RANCHARIA LOJA 12 </t>
  </si>
  <si>
    <t>CAMILA FERREIRA DA SILVA  COBRINDO FÉRIAS MAURA VILELE VIANA  OURINHOS - LOJA 25</t>
  </si>
  <si>
    <t>AMANDA SILVA DE SOUZA COBRINDO FÉRIAS NILDA FERREIRA SOBRINHO PRES. VENCESLAU - LOJA 41</t>
  </si>
  <si>
    <t xml:space="preserve">GLEYCE JAQUELINE DOS REIS OLIVEIRA COBRINDO AFASTAMENTO BRUNA MAIARA DA SILVA ASSIS - LOJA 20 MAX </t>
  </si>
  <si>
    <t xml:space="preserve">JANAINA APARECIDA LOPES COBRINDO AFASTAMENTO DIVA CORREIA PADILHA SANTA CRUZ - LOJA-26 </t>
  </si>
  <si>
    <t>KELLY LOPES DA SILVA - FTS FALTANTE RICOY PERIODO DO DIA 03/7 A 16/07</t>
  </si>
  <si>
    <t>JOAO CAETANO GUEDES-VALE TRANSPORTE DO DIA 18/08 AO DIA 27/08 PEDREIRA R$10,00</t>
  </si>
  <si>
    <t>SUELEN DOS REIS FOSTINO FELIX VALE TRANSPORTE DO DIA 18/08 AO DIA 27/08 PEDREIRA R$10,00</t>
  </si>
  <si>
    <t>CRISTIANA APARECIDA PEREIRA LIMA-VALE TRANSPORTE DO DIA 18/08 AO DIA 27/08</t>
  </si>
  <si>
    <t xml:space="preserve">SUELEN DOS REIS FOSTINO FELIX-VALE ALIMENTAÇÃO DO DIA 18/08 AO DIA 27/08 </t>
  </si>
  <si>
    <t>CRISTIANA APARECIDA PEREIRA LIMA-VALE  ALIEMNTAÇAO DO DIA 18/08 AO DIA 27/08</t>
  </si>
  <si>
    <t xml:space="preserve">JOAO CAETANO GUEDES -VALE T ALIMENTAÇÃO DO DIA 20/08 AO DIA 27/08 </t>
  </si>
  <si>
    <t>LUCINEIA CANDIDA GONCALVES-ADIANTAMENTO SALARIAL</t>
  </si>
  <si>
    <t>28/ago</t>
  </si>
  <si>
    <t xml:space="preserve">FATIMA ANJO LUCIO - COMISSÃO </t>
  </si>
  <si>
    <t>J.E. COMERCIO E SOLUCOES LTDA NF 11.279</t>
  </si>
  <si>
    <t>J.E. COMERCIO E SOLUCOES LTDA NF 11.280</t>
  </si>
  <si>
    <t>FLORA DISTRIB PROD DE HIGIENE E LIMPEZA LTDA NF 1.063.702</t>
  </si>
  <si>
    <t>TARIFAS BANCARIAS</t>
  </si>
  <si>
    <t>TARIFA MANUTENCAO CONTA- BANCO CAIXA</t>
  </si>
  <si>
    <t>COBERTURA DE LIMITE-HSERV TERCERIZADOS ND</t>
  </si>
  <si>
    <t>SONIA MARIA MALZONI M 22/08</t>
  </si>
  <si>
    <t>JOSIMARA LINO DOS SANTOS</t>
  </si>
  <si>
    <t>RODNEI APARECIDO PACCINI DE LIMA</t>
  </si>
  <si>
    <t>SARA ALMEIDA LOPES</t>
  </si>
  <si>
    <t>RAFAEL DA SILVA RIBEIRO</t>
  </si>
  <si>
    <t>LUAN HENRIQUE COSTA RIBEIRO</t>
  </si>
  <si>
    <t>KEDLEI PATRICK FERREIRA</t>
  </si>
  <si>
    <t>ROSANGELA MARIA CALO</t>
  </si>
  <si>
    <t>MICHELLE SILVA DE JESUS</t>
  </si>
  <si>
    <t>IFOOD.COM AGENCIA -VALE ALIMENTAÇÃO DE AGOSTO  ADMISSÃO DIA 22/08 SONIA REGINA NA LOJA 05</t>
  </si>
  <si>
    <t>IFOOD.COM AGENCIA DE RESTAURANTES ONLINE S.A.-ALIMENTAÇÃO COLABORADORES UPA</t>
  </si>
  <si>
    <t>FABIA REGIANE AMARO CABRAL</t>
  </si>
  <si>
    <t>SUELEN DOS REIS FOSTINO FELIX-VALE ALIMENTAÇÃO DO DIA 28/08 AO DIA 31/08  PEDREIRA</t>
  </si>
  <si>
    <t>JOAO CAETANO GUEDES-VALE ALIMENTAÇÃO DO DIA 28/08 AO DIA 31/08  PEDREIRA</t>
  </si>
  <si>
    <t>CRISTIANA APARECIDA PEREIRA LIMA-VALE ALIMENTAÇÃO DO DIA 28/08 AO DIA 31/08  PEDREIRA</t>
  </si>
  <si>
    <t>IFOOD.COM AGENCIA DE RESTAURANTES ONLINE S.A.-VALE COMBUSTIVEL GEDSON</t>
  </si>
  <si>
    <t>TALITA SEABRA VEIGA</t>
  </si>
  <si>
    <t>EUNICE ALMEIDA DOS SANTOS</t>
  </si>
  <si>
    <t>JOAO CAETANO GUEDES</t>
  </si>
  <si>
    <t>CRISTIANA APARECIDA PEREIRA LIMA</t>
  </si>
  <si>
    <t>SUELEN DOS REIS FOSTINO FELIX</t>
  </si>
  <si>
    <t>IFOOD.COM AGENCIA DE RESTAURANTES ONLINE S.A. VALE COMBUSTIVEL 1º QUINZENA DE SETEMBRO</t>
  </si>
  <si>
    <t>IFOOD.COM AGENCIA DE RESTAURANTES ONLINE S.A.-COLABORADORES VALINHO</t>
  </si>
  <si>
    <t>ROSANGELA APARECIDA FURQUIM DA CRUZ</t>
  </si>
  <si>
    <t>MARCOS PAULO DE ANDRADE AMERICO</t>
  </si>
  <si>
    <t>DEBORA GOMES DOS SANTOS</t>
  </si>
  <si>
    <t>RECOLHIMENTO FGTS EM ATRASO-JONATHAN CANDIDO BATISTA 10.2023</t>
  </si>
  <si>
    <t>RECOLHIMENTO FGTS EM ATRASO-JONATHAN CANDIDO BATISTA 03.2023</t>
  </si>
  <si>
    <t>RECOLHIMENTO FGTS EM ATRASO-JONATHAN CANDIDO BATISTA 07.2023</t>
  </si>
  <si>
    <t>RECOLHIMENTO FGTS EM ATRASO-JONATHAN CANDIDO BATISTA 04.2023</t>
  </si>
  <si>
    <t>RECOLHIMENTO FGTS EM ATRASO-JONATHAN CANDIDO BATISTA 12.2023</t>
  </si>
  <si>
    <t>RECOLHIMENTO FGTS EM ATRASO-JONATHAN CANDIDO BATISTA 02.2023</t>
  </si>
  <si>
    <t>RECOLHIMENTO FGTS EM ATRASO-JONATHAN CANDIDO BATISTA 01.2023</t>
  </si>
  <si>
    <t>RECOLHIMENTO FGTS EM ATRASO-JONATHAN CANDIDO BATISTA 09.2023</t>
  </si>
  <si>
    <t>VITOR SANTANA FGTS EM ATRASO 09/20245 E 13° 2024</t>
  </si>
  <si>
    <t>OZEIAS ROBERTO DA SILVEIRA</t>
  </si>
  <si>
    <t>CEF MATRIZ--EMPRESTIMO HENRIQUE IEAN VENCIDO EM JUNHO 2025</t>
  </si>
  <si>
    <t>CEF MATRIZ-EMPRESTIMO HSERV COMBINADOS VENCIDO EM JUNHO 2025</t>
  </si>
  <si>
    <t>STAR CLEAN PRO INDUSTRIA E COMERCIO DE EQUIPAMENTOS - NF 11.270</t>
  </si>
  <si>
    <t>ELIZANGELA APARECIDA VITOR- REEMBOLSO DE PEDAGIO</t>
  </si>
  <si>
    <t>PEDAGIO</t>
  </si>
  <si>
    <t>HENRIQUE JEAN - PROLABORE</t>
  </si>
  <si>
    <t>BOA R$ 856.612,19 -- FALTAVA R$ 162.068,9</t>
  </si>
  <si>
    <t>ELIZANGELA APARECIDA VITOR- ALIMENTAÇÃO LAVAÇÃO SP -PLURIX</t>
  </si>
  <si>
    <t xml:space="preserve">MOVIDA PARTICIPACOES S.A. VENCIMENTO 15/07/2025-PLACA TJGB82-PERIODO DE LOCAÇÃO 22/05 Á 21/06- CARRO DA OPERAÇÃO -FATURA  06913500 </t>
  </si>
  <si>
    <t>ELIZANGELA APARECIDA VITOR-  ALIMENTAÇÃO (JANTAR) DO DIA 24/08 Á 01/09</t>
  </si>
  <si>
    <t>ROGERIO APARECIDA DE MOREIRA A- UBER QUE LEVOU FLAVIA KELLI DA POUSADA ATE A LOJA DO BOA EM PEDREIRA</t>
  </si>
  <si>
    <t>SPARTAN DO BRASIL PRODUTOS QUIMICOS LTDA- NF 258.675</t>
  </si>
  <si>
    <t xml:space="preserve">NUCLEO- JC SOARES DE OLIVEIRA ESTAMPARIA-CAMISETAS PERSONALIZADAS ADMNISTRATIVO </t>
  </si>
  <si>
    <t>THIAGO ALMEIDA SANTANA-VALE ALIMENTAÇÃO DO DIA  20/08 e 29/08  SOLICITADO PELA PAMELA VIA EMAIL</t>
  </si>
  <si>
    <t>GUIA GRU - FELIPE ANGELO</t>
  </si>
  <si>
    <t>RECOLHIMENTO FGTS EM ATRASO -JONATHAN CANDIDO BATISTA 08.2023</t>
  </si>
  <si>
    <t>RECOLHIMENTO FGTS EM ATRASO-JONATHAN CANDIDO BATISTA 11.2023</t>
  </si>
  <si>
    <t>JANAINE DOS SANTOS SILVA</t>
  </si>
  <si>
    <t>ANA PAULA DOS SANTOS</t>
  </si>
  <si>
    <t>DAYANE CRISTINA SILVA SOUZA</t>
  </si>
  <si>
    <t>PATRICIA CRISTINA HAHNE</t>
  </si>
  <si>
    <t>RITA DE CASSIA GOMES DE OLIVEIRA HERRERA</t>
  </si>
  <si>
    <t>MARISA GEREMIAS</t>
  </si>
  <si>
    <t>WELLINGTON DE SOUZA FONCECA</t>
  </si>
  <si>
    <t>ANTONIO PLACIDO NETO</t>
  </si>
  <si>
    <t>KELI CRISTINA SAMPAIO DE FARIA</t>
  </si>
  <si>
    <t>SIMONE DE FATIMA OLIVEIRA</t>
  </si>
  <si>
    <t>ANDREA FARIAS RIBEIRO PEREIRA</t>
  </si>
  <si>
    <t>KAUE HENRIQUE DA SILVA OLIVEIRA</t>
  </si>
  <si>
    <t>PARCELAMENTO SIMPLICADO- VITOR DUARTE  DEBITO PREVIDENCIARIO - VENCIMENTO 30/08/2025-GPS NOVEMBRO,DEZEMBRO E JANEIRO 2025</t>
  </si>
  <si>
    <t>IRMÃOS BOAS -ASSIDUIDADE</t>
  </si>
  <si>
    <t xml:space="preserve">AVENIDA -ANTECIPAÇÃO </t>
  </si>
  <si>
    <t xml:space="preserve">IRMÃOS BOAS </t>
  </si>
  <si>
    <t>ITW DO BRASIL</t>
  </si>
  <si>
    <t>SOFT WORKS EPI CALCADOS LTDA- NF 220.732</t>
  </si>
  <si>
    <t>NOVITA VEST CONFECCOES LTDA- VENCIMENTO 19/08/2025-PRORROGADO PARA O DIA 29/08</t>
  </si>
  <si>
    <t>NOVITA VEST CONFECCOES LTDA- VENCIMENTO 18/08/2025-PRORROGADO PARA O DIA 29/08</t>
  </si>
  <si>
    <t>PARCELAMENTO SIMPLICADO- HENRIQUE JEAN DEBITO PREVIDENCIARIO  VENCIMENTO 30/08/2025</t>
  </si>
  <si>
    <t>PARCELAMENTO SIMPLICADO- HSERV CLEAN - DEBITO PREVIDENCIARIO  - VENCIMENTO 30/06/2025</t>
  </si>
  <si>
    <t>LUCIANO FERREIRA DOS SANTOS</t>
  </si>
  <si>
    <t>ELIZANGELA APARECIDA VITOR- REEMBOLSO DE PEDAGIO SP-PLURIX</t>
  </si>
  <si>
    <t>ELIZANGELA APARECIDA VITOR- ALIMENTAÇÃO PEDREIRA</t>
  </si>
  <si>
    <t>ELIZANGELA APARECIDA VITOR- JANTA DOA DIA 29/08 A 031/08</t>
  </si>
  <si>
    <t>LUCINEIA CANDIDA GONCALVES</t>
  </si>
  <si>
    <t>EDIMARA GISELE SILVA JOANI</t>
  </si>
  <si>
    <t>MARIA DAS DORES DA CONCEICAO</t>
  </si>
  <si>
    <t>NATALINA SILVA NIZIO</t>
  </si>
  <si>
    <t>TATIANE CRISTINA BARBOSA</t>
  </si>
  <si>
    <t>ELUSA ROSALVA DA ROCHA PEREIRA</t>
  </si>
  <si>
    <t>JULIANA TOMAZ FERREIRA</t>
  </si>
  <si>
    <t>MARIA INES CHAGAS</t>
  </si>
  <si>
    <t>TATIANI LOPES</t>
  </si>
  <si>
    <t>ROSANGELA DA SILVA</t>
  </si>
  <si>
    <t>KEMILLY CRISTINA DE SOUZA</t>
  </si>
  <si>
    <t>THAYANE TERTULIANO DOMINGOS DA SILVA</t>
  </si>
  <si>
    <t>JULIANA SANTANA CARAVANTE MENDES</t>
  </si>
  <si>
    <t>WENDRES BRAZ RODRIGUES</t>
  </si>
  <si>
    <t>GRACE ADRIANA DE ANDRADE</t>
  </si>
  <si>
    <t>ANA CELIA DA SILVA LOPES</t>
  </si>
  <si>
    <t>RICARDO BARBOSA DA SILVA</t>
  </si>
  <si>
    <t>MARCELO EVANGELISTA SANTOS</t>
  </si>
  <si>
    <t>SIMONE COSTA DA SILVA</t>
  </si>
  <si>
    <t>ADRIANA SIMONE MARINHO GOULART</t>
  </si>
  <si>
    <t>WELLINTON ABREU DE JESUS</t>
  </si>
  <si>
    <t>MAURO TADEU COSTA DOS SANTOS-BONIFICAÇÃO</t>
  </si>
  <si>
    <t>JULIO CEZAR IGLESIAS DE LIMA</t>
  </si>
  <si>
    <t>RECOLHIMENTO FGTS EM ATRASO _11/2022-JONATHAN CANDIDO BATISTA</t>
  </si>
  <si>
    <t>RECOLHIMENTO FGTS EM ATRASO _12/2022-JONATHAN CANDIDO BATISTA</t>
  </si>
  <si>
    <t>TRANSURB TRANSPORTES URBANOS DE JUNDIAI LTDA</t>
  </si>
  <si>
    <t>CLAUDIO EDUARDO DEL DUCA CARDOSO DOS SANTOS</t>
  </si>
  <si>
    <t>GRRF WELLINGTON OLIVEIRA BORIAN DA CRUZ</t>
  </si>
  <si>
    <t>MERCADORIA PARA REVENDA</t>
  </si>
  <si>
    <t>VIVA FOOD PARCELA 1/3 - REAJUSTE REATROATIVO NF 3.039</t>
  </si>
  <si>
    <t>L. A. DE SOUZA - EQUIPAMENTOS DE SEGURANCA LTDA NF11.867</t>
  </si>
  <si>
    <t>ALTOLIM COMERCIAL ASSIS EIRELI  NF 40.912</t>
  </si>
  <si>
    <t xml:space="preserve">JC SOARES DE OLIVEIRA - NUCLEO- CAMISAS PERSONALIZADAS ADM </t>
  </si>
  <si>
    <t>ANDERSON-CONSERTO DO PNEU VIATURA ARGOS</t>
  </si>
  <si>
    <t>FABIOLA FELIX- REEMBOLSO DE VT COLABORADORES  DIANA ALVES (ASG loja 01), -DESLOCAMENTO PARA JUNDIAI</t>
  </si>
  <si>
    <t xml:space="preserve">ELISANGELA APARECIDA VITOR </t>
  </si>
  <si>
    <t xml:space="preserve">VIAGEM E HOSPEAGEM </t>
  </si>
  <si>
    <t xml:space="preserve">ERIKA DE PAULA SERAFIM -ATESTADO COLABORADORA DA CASA- APOIO EXTRA CD - CENTRO DISTRIBUIÇÃO </t>
  </si>
  <si>
    <t>SANDRA REGINA MARTINS FT FALTANTES</t>
  </si>
  <si>
    <t>MARCIA VALERIA-FT FALTANTE</t>
  </si>
  <si>
    <t>MARIA HELENA CORREA- FTS EM PEDREIRA DIA 23 E 24</t>
  </si>
  <si>
    <t>MATUSALEM NOGUEIRA- FT FALNTANTE</t>
  </si>
  <si>
    <t xml:space="preserve">JOÃO VICTOR RODRIGUES DA SILVA COBRINDO ATESTADO THAYANE  (LOJA 18) E JULIANA SANTANA LOJA 29 PRUDENTE </t>
  </si>
  <si>
    <t>FRANCISCO PEREIRA DOS SANTOS</t>
  </si>
  <si>
    <t>J.E. COMERCIO E SOLUCOES LTDA NF 11.491</t>
  </si>
  <si>
    <t>LOTUS CENTRAL DE DISTRIBUICAO DE HIGIENICOS LTDA NF  179.434</t>
  </si>
  <si>
    <t>ALEXANDRA SILVA DE LIMA</t>
  </si>
  <si>
    <t>JHENNIFER KETREN LOPES FERREIRA</t>
  </si>
  <si>
    <t>DOUGLAS ALCANTARA FIGUEIREDO</t>
  </si>
  <si>
    <t>IFOOD.COM AGENCIA DE RESTAURANTES ONLINE S.A.BRUNA MAYARA - VA 22/08 AO DIA 31/08 R$20,76 - VOLTOU DE AFASTAMENTO</t>
  </si>
  <si>
    <t>J.E. COMERCIO E SOLUCOES LTDA NF 11.431</t>
  </si>
  <si>
    <t>RSC COM. MAT.P/ CONSTRUCAO LTDA. NF 107.700</t>
  </si>
  <si>
    <t xml:space="preserve">	IOF S/ UTILIZACAO LIMITE</t>
  </si>
  <si>
    <t xml:space="preserve">MARIA HELENA - FT DIA 25/08 PEDREIRA- DESCONTADO R$ 69,00 DO DIA DE TRABALHO DELA </t>
  </si>
  <si>
    <t>DENIS CARLOS DA ROCHA</t>
  </si>
  <si>
    <t>NATALIA DA SILVA</t>
  </si>
  <si>
    <t>ALEXANDRE DONIZETE DOS SANTOS ALVES</t>
  </si>
  <si>
    <t>SPARTAN DO BRASIL PRODUTOS QUIMICOS LTDA NF 258.675</t>
  </si>
  <si>
    <t>CASA AVENIDA</t>
  </si>
  <si>
    <t>LUANA RODRIGUES DOS REIS</t>
  </si>
  <si>
    <t>ANA LUCIA CORREIA DA SILVA</t>
  </si>
  <si>
    <t>F. L. CABRERO-LAVA FACIL - LAVAGE DE UNIFORMES</t>
  </si>
  <si>
    <t>J.E. COMERCIO E SOLUCOES LTDA  NF 11.571</t>
  </si>
  <si>
    <t>J.E. COMERCIO E SOLUCOES LTDA NF 11.570</t>
  </si>
  <si>
    <t>MARCOS ANTONIO COUTO DO NASCIMENTO</t>
  </si>
  <si>
    <t>VIAGEM E HOSPEDAGEM</t>
  </si>
  <si>
    <t>FABIOLA FARIAS FELIX-DEVOLUÇÃO DESCONTO - CASO DAIANE CRISTINA ANDRADE - BELLART</t>
  </si>
  <si>
    <t>MICHEL CRHISTIAN CARVALHO</t>
  </si>
  <si>
    <t>LUIZ RICARDO DE MORAES</t>
  </si>
  <si>
    <t>GRRF LUIZ RICARDO DE MORAES</t>
  </si>
  <si>
    <t>IFOOD.COM AGENCIA DE RESTAURANTES ONLINE S.A.-ASSIDUIDADE RICOY</t>
  </si>
  <si>
    <t xml:space="preserve">IFOOD.COM AGENCIA DE RESTAURANTES ONLINE S.A.- ASSIDUIDADE AVENIDA </t>
  </si>
  <si>
    <t xml:space="preserve">IFOOD.COM AGENCIA DE RESTAURANTES ONLINE S.A.-ASSIDUIDADE </t>
  </si>
  <si>
    <t>NILCEIA CRISTINA DA CUNHA</t>
  </si>
  <si>
    <t>JONATHAN DINIZ WESFAL 0-PROC 1001448-72.2024.5.02.0291 AUTOR: LUCIANA APARECIDA MARQUES DA SILVA -PARCELA  1/10</t>
  </si>
  <si>
    <t>STAR CLEAN PRO INDUSTRIA E COMERCIO DE EQUIPAMENTOS DE LIMPE</t>
  </si>
  <si>
    <t>BORELA ADVOGADOS ASSOCIADOS Proc 0010084-90.2025.5.15.0018 AUTOR: VANESSA ALESSANDRA NUNES DA COSTA SANTOS  -PARCELA 1/2</t>
  </si>
  <si>
    <t>PAULO CEZAR FERREIRA DOS SANTOS-PROC 0012427-44.2024.5.15.0002 -MARIA NAZARE DA SILVA PARCELA 2/10</t>
  </si>
  <si>
    <t>FABIANA DE SOUZA CULBERT SOCIEDADE INDIVIDUAL DE ADVOCACIA- PROC 0010360-81.2025.5.15.0096PAULO EDVAN HAHNE -PARCELA 2/6</t>
  </si>
  <si>
    <t>SANTOS SEPULVEDA SOCIEDADE INDIVIDUAL DE ADVOCACIA-PROC  0011475-02.2023.5.15.0002 RECLAMANTE: ANA CAROLINA DOS SANTOS PARCELA 2/10</t>
  </si>
  <si>
    <t>AUREA MOSCATINI-PROC 0012313-20.2024.5.15.0095  - GABRIEL BARBOSA DOS SANTOS   PARCELA 2/5</t>
  </si>
  <si>
    <t>FERNANDO APARECIDO DOS SANTOS-Proc 0013031-54.2024.5.15.0018 RECLAMANTE: MANOEL ROBERTO DE SOUSA   PARCELA 3/17</t>
  </si>
  <si>
    <t>JURANDIR BAVOSO JUNIOR- Proc 0010814-86.2024.5.15.0002 RECLAMANTE: JUAN ERICK REIS DOS SANTOS  PARCELA 3/12</t>
  </si>
  <si>
    <t>INTER</t>
  </si>
  <si>
    <t>DEVOLUÇÃO EMPRESTIMO INTER- RETIRADA DE R$ 110.000,00 DIA 15/08 E R$ 10.000,00 DIA 05/09</t>
  </si>
  <si>
    <t>FTS ASG, FISCAL E PORTARIA 2º QUINZENA DE AGOSTO</t>
  </si>
  <si>
    <t xml:space="preserve">FTS FALTANTES -ASG, FISCAL E PORTARIA </t>
  </si>
  <si>
    <t>PAMELA ROCHA MARINHO -REEMBOLSOS DE DESPESAS</t>
  </si>
  <si>
    <t>SOFISA ACORDO- PROCESSO EXECUÇÃO PARCELA 20/24</t>
  </si>
  <si>
    <t>FT 1º QUINZENA E PACOTES, RT</t>
  </si>
  <si>
    <t>CEF MATRIZ--EMPRESTIMO HENRIQUE IEAN VENCIDO JULHO</t>
  </si>
  <si>
    <t>AUTO POSTO JARDIM DAS HORTENCIA</t>
  </si>
  <si>
    <t>LUPE LOCACAO E COMERCIO DE EQUIPAMENTOS ELETRONICOS E SERVICO- LOCAÇÃO NOTEBOOK ELISANGELA APARECIDA VITOR</t>
  </si>
  <si>
    <t xml:space="preserve">JAIR RÉ-COMISSÃO DE VENDAS DE SERVIÇOS </t>
  </si>
  <si>
    <t>OPEN IT GROUP ESCRITORIO E LOJA CLEAN</t>
  </si>
  <si>
    <t>MAC LUCER - MAITÁ APTO 073 CONTRATO 170 (MENSAL) PARCELA 18 /27</t>
  </si>
  <si>
    <t xml:space="preserve">MAC LUCER - VINEA AP 004 CONTRATO 095 (MENSAL) </t>
  </si>
  <si>
    <t>JC SOARES DE OLVEIRA ESTAMPARIA- CAMISAS PERSONALIZADAS</t>
  </si>
  <si>
    <t>CAMILA FERREIRA DA SILVA- COBRINDO FÉRIAS  MAURA VILELE VIANA  OURINHOS - LOJA 25</t>
  </si>
  <si>
    <t xml:space="preserve">CRISTIANA DOS SANTO-   COBRINDO AFASTAMENTO  REGIVANIA PEREIRA DA SILVA RANCHARIA LOJA 12  </t>
  </si>
  <si>
    <t>ANA CECILIA CUSTODIO DA SILVA  COBRINDO FÉRIAS  MAURA VILELE VIANA  OURINHOS - LOJA 25 01/09 e 02/09</t>
  </si>
  <si>
    <t>AMANDA SILVA DE SOUZA   COBRINDO FÉRIAS -NILDA FERREIRA SOBRINHO PRES. VENCESLAU - LOJA 41</t>
  </si>
  <si>
    <t>ANA CLAUDIA SILVA DOS ANJOS  COBRINDO AFASTAMENTO  JUSCELENE CORREIA DE PAULA PARAGUAÇU - LOJA 10</t>
  </si>
  <si>
    <t xml:space="preserve">JANAINA APARECIDA LOPES COBRINDO AFASTAMENTO  DIVA CORREIA PADILHA  SANTA CRUZ - LOJA-26 </t>
  </si>
  <si>
    <t xml:space="preserve">ANAY VICTORIA DIAS NEIRA   COBRINDO AFASTAMENTO  ANTONIA MARCELINA JORGE  C.MOTA LOJA 09 </t>
  </si>
  <si>
    <t>TIAGO PAULO TEIXEIRA</t>
  </si>
  <si>
    <t>JOSE SEVERINO LEONARDO CONCEICAO DA SILVA</t>
  </si>
  <si>
    <t>FABRICIO DOS SANTOS FURQUIM-ADICONAL NOTURNO - 120 HORAS</t>
  </si>
  <si>
    <t>WASHINGTON LUIZ DO NASCIMENTO SILVA-FT MOEMA 02/09</t>
  </si>
  <si>
    <t>LUANA RODRIGUES DOS REIS-FT MOEMA - 02,03,04 E 05/09</t>
  </si>
  <si>
    <t>MICHELLE SILVA DE JESUS-FT MOEMA - 25/08, 26/08, 27/08 ,28/09, 29/08 E 02/09</t>
  </si>
  <si>
    <t>FLORA DISTRIB PROD DE HIGIENE E LIMPEZA LTDA NF1.072.019</t>
  </si>
  <si>
    <t>ANTONIO LUIZ FELIX DE ALMEIDA - FT FISCAL VOTORATIM</t>
  </si>
  <si>
    <t xml:space="preserve">TECNIPLAS EQUIPAMENTOS EM COMPOSITOS EIR-NO DIA 10/09/2025 PAGRAM R$ 11.225,96 RESTA </t>
  </si>
  <si>
    <t>KEVYN TAWAN BERTONHA FERREIRA</t>
  </si>
  <si>
    <t>JEFFERSON FERREIRA SANTOS</t>
  </si>
  <si>
    <t>ELIANA CRISTINA DE OLIVEIRA</t>
  </si>
  <si>
    <t>JOSE FERNANDO CAVALCANTE DE ALBUQUERQUE</t>
  </si>
  <si>
    <t>FELIPE NUNES MACHADO</t>
  </si>
  <si>
    <t>MATHEUS RODRIGUES RIBEIRO</t>
  </si>
  <si>
    <t>JOAO VITOR RODRIGUES DA SILVA</t>
  </si>
  <si>
    <t xml:space="preserve">IFOOD.COM AGENCIA DE RESTAURANTES ONLINE S.A. VALE COMBUSTIVEL-2 QUINZENA </t>
  </si>
  <si>
    <t>NICOLAS BARBATI BERNARDO</t>
  </si>
  <si>
    <t xml:space="preserve">CARLOS DAMIAO -PERITO - PRoc 0012545-94.2022.5.15.0097 RECLAMANTE: EDNALVA PEDREIRA DA CONCEICAO DA SILVA  </t>
  </si>
  <si>
    <t xml:space="preserve">CLAUDIO DEL DUCA- REEMBOLSO DE KM, PEDAGIO E ESTACIONAMENTO - REUNIÃO PLURIX </t>
  </si>
  <si>
    <t xml:space="preserve">CLAUDIO DEL DUCA- REEMBOLSO DE  KM, PEDAGIO,ESTACIONAMENTO E REFEIÇÃO-CONNAR RH 2025 </t>
  </si>
  <si>
    <t>SOFT WORKS EPI CALCADOS LTDA NF 223.836</t>
  </si>
  <si>
    <t>WIG COMERCIO DE BATERIAS COMPONENTES LTDA NF 1.728</t>
  </si>
  <si>
    <t xml:space="preserve">YASMIN VITORIA GOMES BUENO- REEMBOLSO ADENILZA COBERTURA LOJA  HOJE </t>
  </si>
  <si>
    <t>PACHECO NF 3.712</t>
  </si>
  <si>
    <t>LOCALIZA - VENCIDA 30/07/2025 -PLACAS RVN7E49,RVN7E51  E RVN7E43 PERIODO 01/07/2025 Á 31/07/2025</t>
  </si>
  <si>
    <t>LOCALIZA - VENCIDA 30/07/2025 PLACAS RVF1A42  e RVF1A39-PERIODO 01/07/2025 Á 31/07/2025</t>
  </si>
  <si>
    <t>LOCALIZA - VENCIDA 30/07/2025- KM EXCENDETE PLACA RVF743</t>
  </si>
  <si>
    <t>NOVITA VEST CONFECCOES LTDA NF 6.322</t>
  </si>
  <si>
    <t>BOA R$ 872.126,10- R$ 602.847,78 = R$ 269.278,32</t>
  </si>
  <si>
    <t>TEM ACO COMERCIO E MANUTENCAO LTDA</t>
  </si>
  <si>
    <t>OSMAR NUNES DA SILVA</t>
  </si>
  <si>
    <t>SANDRA REGINA BATISTA</t>
  </si>
  <si>
    <t>JEFFERSON FERREIRA SANTOS-FT 05/09, 08/09, 10/09, 11/09 E 12/09 - PLURIX</t>
  </si>
  <si>
    <t>THIAGO ALMEIDA SANTANA-FT RELAIZADO NO DIA 28/08 E 29/08</t>
  </si>
  <si>
    <t>JOSE CICERO DOS SANTOS COSTA</t>
  </si>
  <si>
    <t>ELIZABETH SEMENSSATO LEITE</t>
  </si>
  <si>
    <t>FATIMA APARECIDA DOS ANJOS LUCIO</t>
  </si>
  <si>
    <t>MARIA RAIMUNDA DE OLIVEIRA</t>
  </si>
  <si>
    <t>LUANA RODRIGUES DOS REIS-DIS 08/09 ATÉ O DIA 12/09/2025 - PLURIX</t>
  </si>
  <si>
    <t xml:space="preserve">VALDECI BERTOZI -COMISSÃO UPA </t>
  </si>
  <si>
    <t>MICHAEL NOVAES DE FRANCA FGTS EM ATRASO 07/2023</t>
  </si>
  <si>
    <t>MICHAEL NOVAES DE FRANCA FGTS EM ATRASO 04/2023</t>
  </si>
  <si>
    <t>MICHAEL NOVAES DE FRANCA FGTS EM ATRASO 10/2023</t>
  </si>
  <si>
    <t>MICHAEL NOVAES DE FRANCA FGTS EM ATRASO 12/2023</t>
  </si>
  <si>
    <t>MICHAEL NOVAES DE FRANCA FGTS EM ATRASO 03/2023</t>
  </si>
  <si>
    <t>MICHAEL NOVAES DE FRANCA FGTS EM ATRASO 08/2023</t>
  </si>
  <si>
    <t>MICHAEL NOVAES DE FRANCA FGTS EM ATRASO 11/2023</t>
  </si>
  <si>
    <t>MICHAEL NOVAES DE FRANCA FGTS EM ATRASO 01/2023</t>
  </si>
  <si>
    <t>MICHAEL NOVAES DE FRANCA FGTS EM ATRASO 11/2022</t>
  </si>
  <si>
    <t>MICHAEL NOVAES DE FRANCA FGTS EM ATRASO 02/2023</t>
  </si>
  <si>
    <t>MICHAEL NOVAES DE FRANCA FGTS EM ATRASO 09/2023</t>
  </si>
  <si>
    <t xml:space="preserve">EMPRESTIMO INTER HSERV CLEAN </t>
  </si>
  <si>
    <t>JANIEL DOS SANTOS</t>
  </si>
  <si>
    <t xml:space="preserve">DARF INSS MENSAL - HENRIQUE JEAN DUARTE </t>
  </si>
  <si>
    <t xml:space="preserve">DARF INSS MENSAL  HSERV CABREUVA </t>
  </si>
  <si>
    <t xml:space="preserve">DARF INSS MENSAL  HSERV CLEAN </t>
  </si>
  <si>
    <t xml:space="preserve">DARF INSS MENSAL  HSERV COMBINADOS </t>
  </si>
  <si>
    <t>DARF INSS MENSAL  HSERV LIMPEZA</t>
  </si>
  <si>
    <t xml:space="preserve">DARF INSS MENSAL  HSERV  REPRESENTACOES </t>
  </si>
  <si>
    <t>DARF INSS MENSAL  HSERV TECNOLOGIA</t>
  </si>
  <si>
    <t>DARF INSS MENSAL  HSERV TERCEIRIZADOS</t>
  </si>
  <si>
    <t xml:space="preserve">DARF INSS MENSAL  HSERV LTDA </t>
  </si>
  <si>
    <t xml:space="preserve">FGTS MENSAL - HENRIQUE JEAN </t>
  </si>
  <si>
    <t xml:space="preserve">FGTS MENSAL - HSERV CABREUVA </t>
  </si>
  <si>
    <t xml:space="preserve">FGTS MENSAL - HSERV CLEAN </t>
  </si>
  <si>
    <t xml:space="preserve">FGTS MENSAL - HSERV COMBINADOS </t>
  </si>
  <si>
    <t xml:space="preserve">FGTS MENSAL - HSERV LIMPEZA </t>
  </si>
  <si>
    <t xml:space="preserve">FGTS MENSAL - HSERV REPRESENTACOES </t>
  </si>
  <si>
    <t>FGTS MENSAL - HSERV TECNOLOGIA</t>
  </si>
  <si>
    <t>FGTS MENSAL - HSERV TERCEIRIZADOS</t>
  </si>
  <si>
    <t>FGTS MENSAL - HSERV LTDA VITOR DUARTE</t>
  </si>
  <si>
    <t>SIMPLES NACIONAL MENSAL - HSERV CLEAN-07.20.25247.2693681-9</t>
  </si>
  <si>
    <t>SIMPLES NACIONAL MENSAL - HSERV COMBINADOS-07.20.25248.3910154-2</t>
  </si>
  <si>
    <t>SIMPLES NACIONAL MENSAL - HENRIQUE JEAN - 07.20.25247.2707569-8</t>
  </si>
  <si>
    <t>SIMPLES NACIONAL MENSAL - HSERV TECNOLOGIA-07.20.25255.9466159-0</t>
  </si>
  <si>
    <t>SIMPLES NACIONAL MENSAL - HSERV LIMPEZA-07.20.25248.3984353-0</t>
  </si>
  <si>
    <t>SIMPLES NACIONAL MENSAL - HSERV REPRESENTAÇÃO - 07.20.25248.3924133-6</t>
  </si>
  <si>
    <t>SIMPLES NACIONAL MENSAL - HSERV TERCERIZADOS - 07.20.25248.3944995-6</t>
  </si>
  <si>
    <t>GRRF ELIZABETH SEMENSSATO LEITE</t>
  </si>
  <si>
    <t>ALINE CAMOLEZ SOARES ISCARO-RENAN GUSTAVO DA COSTA MOTA - Proc 0011848-82.2023.5.15.0018  PARCELA 1/9</t>
  </si>
  <si>
    <t>CAETANO BERNARDES NEUBAUER Proc 0010591-77.2025.5.15.0074 RECLAMANTE: SIMONE FERREIRA DA SILVA -PARCELA  2/6</t>
  </si>
  <si>
    <t>SCOLA &amp; FALCAO SOCIEDADE DE ADVOGADAS Processo: 0010503-86.2025.5.15.0026 Reclamante: NAIR DONIZETE TEODORO DE ANDRADE PARCELA 2/5</t>
  </si>
  <si>
    <t>RSC COM. MAT.P/ CONSTRUCAO LTDA.</t>
  </si>
  <si>
    <t xml:space="preserve">UNIFORMES </t>
  </si>
  <si>
    <t>GRRF WELLINGTON DE SOUZA FONCECA</t>
  </si>
  <si>
    <t>WELLINGTON DE SOUZA FONCECA-FGTS EM ATRASO</t>
  </si>
  <si>
    <t>GRRF LUCIANO FERREIRA DOS SANTOS</t>
  </si>
  <si>
    <t xml:space="preserve">TAXA IPTU PREFEITURA DE CABREUVA </t>
  </si>
  <si>
    <t xml:space="preserve">LIMITE TERCERIZADOS </t>
  </si>
  <si>
    <t>DEVOLUÇÃO</t>
  </si>
  <si>
    <t>DEVOLUÇÃO VITOR- EMPRESTIMO DOS 34K</t>
  </si>
  <si>
    <t xml:space="preserve">HSERV-Proc 1001220-97.2024.5.02.0291 NORTON DO NASCIMENTO GONCALVES BUENO </t>
  </si>
  <si>
    <t>HSERV-CUSTA  Processo: 1001220-97.2024.5.02.0291 Reclamante: NORTON DO NASCIMENTO GONCALVES BUENO</t>
  </si>
  <si>
    <t>PAROLAR DIST DE UTENSILIOS DOMESTICOS LTDA NF 214.721</t>
  </si>
  <si>
    <t>NOVITA VEST CONFECCOES LTDA NF 6.111</t>
  </si>
  <si>
    <t>FRANCISCO GALILEU DA COSTA SILVA</t>
  </si>
  <si>
    <t>MARLY DA SILVA</t>
  </si>
  <si>
    <t>BENEFICIO SOCIAL VENCIDA 10/08/2025</t>
  </si>
  <si>
    <t>CRISTIANA DOS SANTOS</t>
  </si>
  <si>
    <t>RITA SABINO DE MIRANDA MOURA</t>
  </si>
  <si>
    <t>DARF INSS VITOR DUARTE-INSS FOLHA 07/2025 -RETIFICAÇÃO</t>
  </si>
  <si>
    <t>NAIR APARECIDA DA GONELLA DOS SANTOS</t>
  </si>
  <si>
    <t>MIGUEL RIBEIRO DA SILVA</t>
  </si>
  <si>
    <t>FRANCISCO DE SOUSA CAVALCANTE JUNIOR</t>
  </si>
  <si>
    <t>LEONILDA CRISTINA APARECIDA FERRAZ</t>
  </si>
  <si>
    <t>ANA PAULA DE SOUZA FREIRE</t>
  </si>
  <si>
    <t>CICERA MARIA DA SILVA ANDRADE</t>
  </si>
  <si>
    <t>JOSUE MARIO GOMES DA SILVA</t>
  </si>
  <si>
    <t>ADRIANA INACIA BENTO DE ASSIS</t>
  </si>
  <si>
    <t>MARIA ELIZA CARNEIRO DIAS</t>
  </si>
  <si>
    <t>JOSE RODRIGUES DA SILVA</t>
  </si>
  <si>
    <t>FRANCISCO FERMINO RODRIGUES FILHO</t>
  </si>
  <si>
    <t>WEVERTON GABRIEL DE JESUS OLIVEIRA</t>
  </si>
  <si>
    <t>ROSALINA NOGUEIRA PEREIRA</t>
  </si>
  <si>
    <t>INFOJOBS BRASIL ATIVIDADES DE INTERNET LTDA.</t>
  </si>
  <si>
    <t>RECRUTAMENTO E SELEÇÃO</t>
  </si>
  <si>
    <t>BONIFICAÇÕES</t>
  </si>
  <si>
    <t>23/out</t>
  </si>
  <si>
    <t>CBM TOWER HONORARIOS ADVOCATIVOS PROCESSO CBM TOWER COTA CONDOMINAL</t>
  </si>
  <si>
    <t>CBM TOWER HONORARIOS ADVOCATIVOS PROCESSO CBM TOWER -RATEIO</t>
  </si>
  <si>
    <t>FGTS EM ATRASO 07/2023 -GUSTAVO AMARANTE DA SILVA</t>
  </si>
  <si>
    <t>FGTS EM ATRASO 02/2023 -GUSTAVO AMARANTE DA SILVA</t>
  </si>
  <si>
    <t>FGTS EM ATRASO 04/2023 -GUSTAVO AMARANTE DA SILVA</t>
  </si>
  <si>
    <t>FGTS EM ATRASO 10/2023 -GUSTAVO AMARANTE DA SILVA</t>
  </si>
  <si>
    <t>FGTS EM ATRASO 11/2023 -GUSTAVO AMARANTE DA SILVA</t>
  </si>
  <si>
    <t>FGTS EM ATRASO 03/2023 -GUSTAVO AMARANTE DA SILVA</t>
  </si>
  <si>
    <t>FGTS EM ATRASO 11/2022 -GUSTAVO AMARANTE DA SILVA</t>
  </si>
  <si>
    <t>FGTS EM ATRASO 09/2023 -GUSTAVO AMARANTE DA SILVA</t>
  </si>
  <si>
    <t>FGTS EM ATRASO 12/2022 -GUSTAVO AMARANTE DA SILVA</t>
  </si>
  <si>
    <t>FGTS EM ATRASO 01/2023 -GUSTAVO AMARANTE DA SILVA</t>
  </si>
  <si>
    <t>FGTS EM ATRASO 12/2023 -GUSTAVO AMARANTE DA SILVA</t>
  </si>
  <si>
    <t>FGTS EM ATRASO 08/2023 -GUSTAVO AMARANTE DA SILVA</t>
  </si>
  <si>
    <t>FGTS EM ATRASO 12/2022 -JOSE CICERO DOS SANTOS COSTA</t>
  </si>
  <si>
    <t>FGTS EM ATRASO 10/2023 -JOSE CICERO DOS SANTOS COSTA</t>
  </si>
  <si>
    <t>FGTS EM ATRASO 01/2023 -JOSE CICERO DOS SANTOS COSTA</t>
  </si>
  <si>
    <t>FGTS EM ATRASO 11/2023 -JOSE CICERO DOS SANTOS COSTA</t>
  </si>
  <si>
    <t>FGTS EM ATRASO 02/2023 -JOSE CICERO DOS SANTOS COSTA</t>
  </si>
  <si>
    <t>FGTS EM ATRASO 11/2022 -JOSE CICERO DOS SANTOS COSTA</t>
  </si>
  <si>
    <t>FGTS EM ATRASO 07/2023 -JOSE CICERO DOS SANTOS COSTA</t>
  </si>
  <si>
    <t>FGTS EM ATRASO 04/2023 -JOSE CICERO DOS SANTOS COSTA</t>
  </si>
  <si>
    <t>FGTS EM ATRASO 08/2023 -JOSE CICERO DOS SANTOS COSTA</t>
  </si>
  <si>
    <t>FGTS EM ATRASO 09/2023 -JOSE CICERO DOS SANTOS COSTA</t>
  </si>
  <si>
    <t>FGTS EM ATRASO 12/2023 -JOSE CICERO DOS SANTOS COSTA</t>
  </si>
  <si>
    <t>FGTS EM ATRASO 03/2023 JOSE CICERO DOS SANTOS COSTA</t>
  </si>
  <si>
    <t>CRISTIANA DOS SANTOS  COBRINDO AFASTAMENTO  REGIVANIA PEREIRA DA SILVA  RANCHARIA LOJA 12</t>
  </si>
  <si>
    <t xml:space="preserve"> IARA CRISTINA DA SILVA COBRINDO FÉRIAS  DA ANA CLAUDIA FIGUEIREDO ASSIS - LOJA 04</t>
  </si>
  <si>
    <t>ANA CLAUDIA SILVA DOS ANJOS COBRINDO AFASTAMENTO  JUSCELENE CORREIA DE PAULA PARAGUAÇU - LOJA 10</t>
  </si>
  <si>
    <t>CEF MATRIZ--EMPRESTIMO HSERV COMBINADOS VENCIDO JULHO</t>
  </si>
  <si>
    <t>FGTS EM ATRASO 09/2023 FRANCISCO DE SOUSA CAVALCANTE JUNIOR</t>
  </si>
  <si>
    <t>FGTS EM ATRASO 11/2022 FRANCISCO DE SOUSA CAVALCANTE JUNIOR</t>
  </si>
  <si>
    <t>FGTS EM ATRASO 12/2023 FRANCISCO DE SOUSA CAVALCANTE JUNIOR</t>
  </si>
  <si>
    <t>FGTS EM ATRASO 02/2023 FRANCISCO DE SOUSA CAVALCANTE JUNIOR</t>
  </si>
  <si>
    <t>FGTS EM ATRASO 07/2023 FRANCISCO DE SOUSA CAVALCANTE JUNIOR</t>
  </si>
  <si>
    <t>FGTS EM ATRASO 08/2023 FRANCISCO DE SOUSA CAVALCANTE JUNIOR</t>
  </si>
  <si>
    <t>FGTS EM ATRASO 10/2023 FRANCISCO DE SOUSA CAVALCANTE JUNIOR</t>
  </si>
  <si>
    <t>FGTS EM ATRASO 04/2023 FRANCISCO DE SOUSA CAVALCANTE JUNIOR</t>
  </si>
  <si>
    <t>FGTS EM ATRASO 01/2023 FRANCISCO DE SOUSA CAVALCANTE JUNIOR</t>
  </si>
  <si>
    <t>FGTS EM ATRASO 11/2023 FRANCISCO DE SOUSA CAVALCANTE JUNIOR</t>
  </si>
  <si>
    <t>FGTS EM ATRASO 03/2023 FRANCISCO DE SOUSA CAVALCANTE JUNIOR</t>
  </si>
  <si>
    <t>FGTS EM ATRASO 12/2022 FRANCISCO DE SOUSA CAVALCANTE JUNIOR</t>
  </si>
  <si>
    <t>GUIA DE PROCESSO  nº 0000520-11.2023.8.26.0080-Barroso Fontelles Sociedade de Advogados</t>
  </si>
  <si>
    <t>FOCO CENTRO MEDICO PEDREIRA -EXAME MEDICO KARINA DE SOUSA MELO-PEDREIRA</t>
  </si>
  <si>
    <t xml:space="preserve">LAPAMED CONSULTORIA EM SEGURANÇA DO TRABALHO -EXAME DAMIÃO PLURIX </t>
  </si>
  <si>
    <t>MOVIDA PARTICIPACOES S.A.- PLACAS TJL4F14 e QMY1E00- PERIODO 30/06/2025 Á 30/07/2025</t>
  </si>
  <si>
    <t>PRISCILA DE JESUS RIBEIRO</t>
  </si>
  <si>
    <t>GENSON VICENTE</t>
  </si>
  <si>
    <t>EDUARDO DE AQUINO RODRIGUES</t>
  </si>
  <si>
    <t>THIAGO SOUSA DOS SANTOS</t>
  </si>
  <si>
    <t>RAISSA CAROLINA DE OLIVEIRA</t>
  </si>
  <si>
    <t>SIDNEI FEITOSA GOMES</t>
  </si>
  <si>
    <t>CONDOMINIO DE CONSTRUCAO DO EDIFICIO COMERCIAL CBM TOWER</t>
  </si>
  <si>
    <t>FGTS EM ATRASO 09/2024  FRANCISCO DE SOUSA CAVALCANTE JUNIOR</t>
  </si>
  <si>
    <t>SSMPT - VALINHOS EXAME MÉDICO VALINHOS - ANTONIO DIVINO DONATO BARTOLOMEU E KARINA DE SOUZA MELO</t>
  </si>
  <si>
    <t>QUALITY SEG SEGURANCA E MEDICINA DO TRABALHO LTDA EXAME PERIODICO E RETRONO AO TRABALHO  - ELAINE CRISTINA LOPES - LENÇOIS - AVENIDA</t>
  </si>
  <si>
    <t>POLYCLINIC CLINICA DE ESPECIALIDADES MEDICAS LTDA-EXAME MÉDICO VALINHOS - ANTONIO DIVINO DONATO BARTOLOMEU E KARINA DE SOUZA MELO</t>
  </si>
  <si>
    <t>SPARTAN DO BRASIL PRODUTOS QUIMICOS LTDA NF 261.702</t>
  </si>
  <si>
    <t>OSSIRES JOSÉ DONANGELO- REEMBOLSO DA HOSPEDAGEM PARA VISITA DO AVENIDA DE DRACENA  E REGIÕES- COPIAS DE CONTRATO TRABALHISTA PARA COLABORADORES</t>
  </si>
  <si>
    <t xml:space="preserve">ADRIANA PIRES DE FREITAS -COBRIU A LOJA DE GARÇA LOJA 39 DO DIA 12 AO DIA 19 - PEDIDO DEMISSÃO REGINALDA </t>
  </si>
  <si>
    <t>GUIA UNIFICADA DE PIS,COFINS - HSERV CABREUVA</t>
  </si>
  <si>
    <t>HM MAQ COMERCIO E ASSISTENCIA TECNICA INDUSTRIAL NF 8.064</t>
  </si>
  <si>
    <t xml:space="preserve">GISELE RODRIGUES- CAIXINHA L </t>
  </si>
  <si>
    <t>BOA R$ 872.126,10- R$ 602.847,78 = R$ 269.278,32 - DEPOSITOU HOJE R$ 192.770,08</t>
  </si>
  <si>
    <t>BOA R$ 872.126,10- R$ 602.847,78 = R$ 269.278,32 - DEPOSITOU 29/09/2025 R$ 192.770,08 = FALTA R$ 76.508,24</t>
  </si>
  <si>
    <t>PREFEITURA M DE CABREUVA-FALTAVA A ATRASADA DE AGOSTO E A DE SETEMBRO ( R$ 15.077,75 CADA ) DIA 29/09 PAGARAM  R$27.081,68</t>
  </si>
  <si>
    <t>RIOS DAS PEDRAS-SONIA MARIA MALZONI M</t>
  </si>
  <si>
    <t>GRRF FABIO NOGUEIRA DA SILVA LOPES</t>
  </si>
  <si>
    <t>HSERV-CUSTA Jadison Souza Fontes 0012166-65.2023.5.15.0018</t>
  </si>
  <si>
    <t>HSERV  COMBINADOS DE FACILITIES-GUIA INSS   0011590-34.2021.5.15.0021 MARIA ANA ALVES DE OLIVEIRA</t>
  </si>
  <si>
    <t>POLYCLINIC CLINICA DE ESPECIALIDADES MEDICAS LTDA-EXAME RETORNO AO TRABALHO - ANA CLAUDIA XAVIER DA SILVEIRA BATISTA</t>
  </si>
  <si>
    <t>SCHWARTZ E KEDE SOCIEDADE DE ADVOGADOS-PROC 0010117-02.2023.5.15.0002  AUTOR: DAIANE OLIVEIRA DIAS DO PRADO  1/16</t>
  </si>
  <si>
    <t>HSERV-GUIA INSS  0012166-65.2023.5.15.0018 Jadison Souza Fontes</t>
  </si>
  <si>
    <t>CELIO ROBERTO-QUITAÇÃO</t>
  </si>
  <si>
    <t>DAMIAO BERNARDO DA SILVA</t>
  </si>
  <si>
    <t>MARIA DELAIDE DA SILVA OLIVEIRA</t>
  </si>
  <si>
    <t>ROSANGELA FREIRE DE MATOS ARAUJO</t>
  </si>
  <si>
    <t>DAIANE CRISTINA FELIX</t>
  </si>
  <si>
    <t>HSERV CABREUVA- GUIA INSS Samuel de Souza Câmara 1001012-96.2023.5.02.0211</t>
  </si>
  <si>
    <t xml:space="preserve">FELIPE NUNES MACHADO-FGTS EM ATRASO </t>
  </si>
  <si>
    <t>RAPIDO LUXO CAMPINAS LTDA</t>
  </si>
  <si>
    <t>HENRIQUE JEAN DUARTE LTDA-CUSTAS 0010287-43.2024.5.15.0097  SHEILA PASSALINE FERRAZ</t>
  </si>
  <si>
    <t>SAMANTHA PATRICIA MACHADO DE GOUVEIA-Roc 0010968-81.2023.5.15.0021 AUTOR: ELIANA APARECIDA DOS SANTOS DA SILVA</t>
  </si>
  <si>
    <t>RITA SABINO DE MIRANDA MOURA-FT REALIZADA NOS DIAS 16/09 ATE 25/09 - PLURIX</t>
  </si>
  <si>
    <t>HSERV GUIA INSS Proc 0011252-29.2021.5.15.0096 AUTOR: DANILO MIGUEL DA SILVA MARIANO</t>
  </si>
  <si>
    <t>HSERV-CUSTA Proc 0011252-29.2021.5.15.0096 AUTOR: DANILO MIGUEL DA SILVA MARIANO</t>
  </si>
  <si>
    <t>HSERV-PERICIA Proc 0011252-29.2021.5.15.0096 AUTOR: DANILO MIGUEL DA SILVA MARIANO</t>
  </si>
  <si>
    <t>BRAN ENGENHARIA LTDA</t>
  </si>
  <si>
    <t>OKUYAMA &amp; ALVES SOCIEDADE DE ADVOGADOS-Processo: 0010780-86.2025.5.15.0096 Reclamante: PATRICIA VIOTTI NOGUEIRA      parcela 1/4</t>
  </si>
  <si>
    <t>JONATHAN DINIZ WESFALROC 1001448-72.2024.5.02.0291 AUTOR: LUCIANA APARECIDA MARQUES DA SILVA  -PARCELA 3/10</t>
  </si>
  <si>
    <t>CONDOMINIO DE CONSTRUCAO DO EDIFICIO COMERCIAL CBM TOWER PARCELA 48/48</t>
  </si>
  <si>
    <t>ALTOLIM COMERCIAL ASSIS EIRELI - NF 40.912</t>
  </si>
  <si>
    <t>J.E. COMERCIO E SOLUCOES LTDA NF 11970</t>
  </si>
  <si>
    <t>ASOMETRA ENGENHARIA DE SEGURANÇA -VENCIDO 20/08/2025</t>
  </si>
  <si>
    <t>CENTRO DE SEGURANCA OCUPACIONAL LTDA EXAME PERIODICO E RETORNO AO TRABALHO - JUSCELENE CORREA</t>
  </si>
  <si>
    <t>SSMPT - VALINHOS- EXAME ADMISSIONAL - JEFFERSON DA CUNHA FERREIRA</t>
  </si>
  <si>
    <t>HSERV LTDA</t>
  </si>
  <si>
    <t>STAR CLEAN PRO INDUSTRIA E COMERCIO DE EQUIPAMENTOS DE LIMPEZA- NF 11.580</t>
  </si>
  <si>
    <t>GISELE RODRIGUES DOS SANTOS-REEMBOLSO DE KM - AUDIENCIA PROCESSO ANA CAROLINA DIA 06/08/2025</t>
  </si>
  <si>
    <t>DOCUMENTOS</t>
  </si>
  <si>
    <t xml:space="preserve">CERTIDÃO DE INTERIO TEOR - PARA EMISSÃO DE CONTRATO SOCIAL ATUALIZADO HSERV TERCERIZADOS </t>
  </si>
  <si>
    <t xml:space="preserve">CERTIDÃO DE INTERIO TEOR - PARA EMISSÃO DE CONTRATO SOCIAL ATUALIZADO HSERV TECNOLOGIA </t>
  </si>
  <si>
    <t>CONDOMINIO DE CONSTRUCAO DO EDIFICIO COMERCIAL-ACORDO RATEIO EM ATRASO CBM TOWER-PARCELA 1/8</t>
  </si>
  <si>
    <t>CONDOMINIO DE CONSTRUCAO DO EDIFICIO COMERCIAL ACORDO COTA CONDOMINIAL CBM TOWER PARCEL 1/8</t>
  </si>
  <si>
    <t>MARIA DE LOURDES SANTOS SILVA</t>
  </si>
  <si>
    <t>BRADESCO -RENEGOCIAÇÃO DO EMPRESTIMO PARCELA 09/24</t>
  </si>
  <si>
    <t>VALE COMBUSTIVEL 1 QUINZENA</t>
  </si>
  <si>
    <t>PARCELAMENTO PREFEITURA DE CABREUVA- N: 4013/2025 -HSERV LTDA PARCELA 4/40- DESCONTAR DO PROLABORE DO DR DUARTE</t>
  </si>
  <si>
    <t>HERV TECNOLOGIA</t>
  </si>
  <si>
    <t>CONFIMED MEDICINA OCUPACIONAL LTDA-EXAME RETORNO AO TRABALHO - ANA CLAUDIA XAVIER DA SILVA BATISTA</t>
  </si>
  <si>
    <t>HSERV LTDA ND</t>
  </si>
  <si>
    <t>CATIA GUIMARAES DE SOUZA-VALE ALIMENTAÇÃO DO DIA 26/09 AO DIA 30/09 R$20,76  POR DIA</t>
  </si>
  <si>
    <t>JOAO ORLANDO GASPARETO</t>
  </si>
  <si>
    <t>ROSICLEI ALVES DE OLIVEIRA</t>
  </si>
  <si>
    <t>ELAINE CRISTINA LOPES</t>
  </si>
  <si>
    <t>ANTONIO LUIZ FELIX DE ALMEIDA</t>
  </si>
  <si>
    <t>GUIA DE PARCELAMENTO INSS VITOR DEZEMBRO A JANEIRO 2025</t>
  </si>
  <si>
    <t>HSERV  TERCEIRIZADOS</t>
  </si>
  <si>
    <t>EMPORIO MEGA 100 COMERCIO DE A- VENCIDA DIA 20/09/2025</t>
  </si>
  <si>
    <t>HSERV  LIMPEZA</t>
  </si>
  <si>
    <t>HENRIQUE DUARTE</t>
  </si>
  <si>
    <t>BRASIL MEDICINA E SAUDE VENCIDA 10/09/2025</t>
  </si>
  <si>
    <t>PARCELAMENTO PREFEITURA DE CABREUVA Nº  4012/2025 HENRIQUE JEAN  PARCELA  4/5</t>
  </si>
  <si>
    <t>PARCELAMENTO PREFEITURA DE CABREUVA Nº  4014/2025 HSERV TECNOLOGIA  PARCELA 4/5</t>
  </si>
  <si>
    <t>OTAVIO AUGUSTO FERREIRA-APORTE VITOR</t>
  </si>
  <si>
    <t>PARCELAMENTO PREFEITURA DE CABREUVA Nº  4014/2025 HSERV LIMPEZA  PARCELA 4/5</t>
  </si>
  <si>
    <t>PARCELAMENTO PREFEITURA DE CABREUVA Nº  4014/2025 HSERV CLEAN  PARCELA 4/5</t>
  </si>
  <si>
    <t>PARCELAMENTO PREFEITURA DE CABREUVA Nº  4014/2025 HSERV CABREUVA  PARCELA 4/5</t>
  </si>
  <si>
    <t>ISS-- LUCRO REAL EMPRESA VITOR</t>
  </si>
  <si>
    <t>LOTUS CENTRAL DE DISTRIBUICAO DE HIGIENICOS LTDA - NF 217.959</t>
  </si>
  <si>
    <t>PARCELAMENTO PREFEITURA DE CABREUVA Nº  4015/2025 HSERV LIMPEZA PARCELA 2 E 3/5</t>
  </si>
  <si>
    <t>PARCELAMENTO PREFEITURA DE CABREUVA Nº  4012/2025 HENRIQUE JEAN  PARCELA  2 E 3/5</t>
  </si>
  <si>
    <t>PARCELAMENTO PREFEITURA DE CABREUVA Nº  4014/2025 HSERV TECNOLOGIA  PARCELA 2 E 3/5</t>
  </si>
  <si>
    <t>PARCELAMENTO PREFEITURA DE CABREUVA Nº  4017/2025 HSERV CLEAN  PARCELA  2 E 3/5</t>
  </si>
  <si>
    <t xml:space="preserve">ROGERIO MAZZA TROISE -Proc 0011590-34.2021.5.15.0021 AUTOR: MARIA ANA ALVES DE OLIVEIRA </t>
  </si>
  <si>
    <t xml:space="preserve">IRRF- VEPAKUM COMPETÊNCIA 08/2024-  IMPOSTO RETROATIVO REFERENTE AO FATURAMENTO </t>
  </si>
  <si>
    <t xml:space="preserve">CSRF VEPAKUM COMPETÊNCIA 08/2024-  IMPOSTO RETROATIVO REFERENTE AO FATURAMENTO </t>
  </si>
  <si>
    <t>CONFIMED MEDICINA OCUPACIONAL LTDA-EXAME RETORNO AO TRABALHO - ANA CLAUDIA XAVIER</t>
  </si>
  <si>
    <t>FOCO CENTRO MEDICO PEDREIRA LTDA-EXAME ADMISSIONAL - Antonio Divino Donato Bartholomeu</t>
  </si>
  <si>
    <t>KATIA CRISTINA DOLORES DOS SANTOS-VALE ALIMENTAÇÃO ASSIS  ADMISSÃO DIA 23/09</t>
  </si>
  <si>
    <t>SIMONE DE OLIVEIRA SALLES</t>
  </si>
  <si>
    <t>CLAUDETE DO PRADO LOPES PEREIRA</t>
  </si>
  <si>
    <t>NILTON LEPORES</t>
  </si>
  <si>
    <t>ANDRE LUIZ DA SILVA ALVES</t>
  </si>
  <si>
    <t>MARIA CRISTINA DE SOUSA GONZAGA</t>
  </si>
  <si>
    <t>ROSANGELA CARDOSO LIRA DE OLIVEIRA-CALCULOS  ANGELICA MOREIRA  reclamada  HSERV CABREUVA</t>
  </si>
  <si>
    <t>GRRF MARISA DE SOUSA SILVA</t>
  </si>
  <si>
    <t>CARTÃO DE CREDITO -PESSOAL  VITOR</t>
  </si>
  <si>
    <t>CARTAO DE CRÉDITO-</t>
  </si>
  <si>
    <t>SOFISA ACORDO- PROCESSO EXECUÇÃO PARCELA 21/24</t>
  </si>
  <si>
    <t>RFP MATERIAIS PARA CONSTRUCAO LTDA</t>
  </si>
  <si>
    <t>MANUTENÇAO</t>
  </si>
  <si>
    <t>PAULO CEZAR FERREIRA DOS SANTOS PROC 0012427-44.2024.5.15.0002   AUTOR: MARIA NAZARE DA SILV- PARCELA 3/10</t>
  </si>
  <si>
    <t>FABIANA DE SOUZA CULBERT SOCIEDADE INDIVIDUAL DE ADVOCACIA-PROC 0010360-81.2025.5.15.0096  AUTOR: PAULO EDVAN HAHNE  PARCELA 3/6</t>
  </si>
  <si>
    <t>AUREA MOSCATINI PROC 0012313-20.2024.5.15.0095   AUTOR: GABRIEL BARBOSA DOS SANTOS-PARCELA 3/5</t>
  </si>
  <si>
    <t>PAULO CEZAR FERREIRA DOS SANTOS PROC 0012427-44.2024.5.15.0002   AUTOR: MARIA NAZARE DA SILV- PARCELA 4/10</t>
  </si>
  <si>
    <t>PAULO CEZAR FERREIRA DOS SANTOS PROC 0012427-44.2024.5.15.0002   AUTOR: MARIA NAZARE DA SILV- PARCELA 5/10</t>
  </si>
  <si>
    <t>SANTOS SEPULVEDA SOCIEDADE INDIVIDUAL DE ADVOCACIAPRoc 0011475-02.2023.5.15.0002 RECLAMANTE: ANA CAROLINA DOS SANTOS PARCELA 4/10</t>
  </si>
  <si>
    <t>SANTOS SEPULVEDA SOCIEDADE INDIVIDUAL DE ADVOCACIAPRoc 0011475-02.2023.5.15.0002 RECLAMANTE: ANA CAROLINA DOS SANTOS PARCELA 3/10</t>
  </si>
  <si>
    <t>SANTOS SEPULVEDA SOCIEDADE INDIVIDUAL DE ADVOCACIAPRoc 0011475-02.2023.5.15.0002 RECLAMANTE: ANA CAROLINA DOS SANTOS PARCELA 5/10</t>
  </si>
  <si>
    <t>GUIA DE IMPOSTO VEPAKUM RETROATIVO 2024- SETEMBRO 2024</t>
  </si>
  <si>
    <t xml:space="preserve">VITOR DUARTE ND </t>
  </si>
  <si>
    <t>PARCELAMENTO PREFEITURA DE CABREUVA VITOR AUGUSTO DUARTE-DESCONTAR DO PROLABORE DR DUARTE</t>
  </si>
  <si>
    <t xml:space="preserve">PARCELAMENTO PREFEITURA DE CABREUVA HENRIQUE JEAN DUARTE PARCELA 5/5 </t>
  </si>
  <si>
    <t>PARCELAMENTO PREFEITURA DE CABREUVA HSERV LIMPEZA PARCELA 5/5</t>
  </si>
  <si>
    <t>PARCELAMENTO PREFEITURA DE CABREUVA HSERV CLEAN COMERCIO DE PRODUTOS DE LIMPEZA LTDA-PARCELA 5/5</t>
  </si>
  <si>
    <t>PARCELAMENTO PREFEITURA DE CABREUVA HSERV TECNOLOGIA PARCELA 5/5</t>
  </si>
  <si>
    <t>PARCELAMENTO PREFEITURA DE CABREUVA VITOR AUGUSTO DUARTE-DESCONTAR DO PROLABORE DR DUARTE PARCELA 5</t>
  </si>
  <si>
    <t>PARCELAMENTO PREFEITURA DE CABREUVA HSERV 5/13</t>
  </si>
  <si>
    <t>PARCELAMENTO PREFEITURA DE CABREUVA HSERV 6/13</t>
  </si>
  <si>
    <t>PARCELAMENTO PREFEITURA DE CABREUVA HSERV 7/13</t>
  </si>
  <si>
    <t>FERNANDO APARECIDO DOS SANTOS Proc 0013031-54.2024.5.15.0018 RECLAMANTE: MANOEL ROBERTO DE SOUSA  PARCELA 4/17</t>
  </si>
  <si>
    <t>FERNANDO APARECIDO DOS SANTOS Proc 0013031-54.2024.5.15.0018 RECLAMANTE: MANOEL ROBERTO DE SOUSA  PARCELA 5/17</t>
  </si>
  <si>
    <t>FERNANDO APARECIDO DOS SANTOS Proc 0013031-54.2024.5.15.0018 RECLAMANTE: MANOEL ROBERTO DE SOUSA  PARCELA 6/17</t>
  </si>
  <si>
    <t>SCHWARTZ E KEDE SOCIEDADE DE ADVOGADOS PROC 0010117-02.2023.5.15.0002  AUTOR: DAIANE OLIVEIRA DIAS DO PRADO  PARCELA 2/16</t>
  </si>
  <si>
    <t>SCHWARTZ E KEDE SOCIEDADE DE ADVOGADOS PROC 0010117-02.2023.5.15.0002  AUTOR: DAIANE OLIVEIRA DIAS DO PRADO  PARCELA 3/16</t>
  </si>
  <si>
    <t>SCHWARTZ E KEDE SOCIEDADE DE ADVOGADOS PROC 0010117-02.2023.5.15.0002  AUTOR: DAIANE OLIVEIRA DIAS DO PRADO  PARCELA 4/16</t>
  </si>
  <si>
    <t>JURANDIR BAVOSO JUNIOR Proc 0010814-86.2024.5.15.0002 RECLAMANTE: JUAN ERICK REIS DOS SANTOS PARCEL 4/12</t>
  </si>
  <si>
    <t>JURANDIR BAVOSO JUNIOR Proc 0010814-86.2024.5.15.0002 RECLAMANTE: JUAN ERICK REIS DOS SANTOS PARCEL 5/12</t>
  </si>
  <si>
    <t>JURANDIR BAVOSO JUNIOR Proc 0010814-86.2024.5.15.0002 RECLAMANTE: JUAN ERICK REIS DOS SANTOS PARCEL 6/12</t>
  </si>
  <si>
    <t>27/nov</t>
  </si>
  <si>
    <t>ALINE CAMOLEZ SOARES ISCARO-RENAN GUSTAVO DA COSTA MOTA - Proc 0011848-82.2023.5.15.0018  HSERV CABREUVA - SERVIÇOS E COMÉRCIO LTDA PARCELA 2/9</t>
  </si>
  <si>
    <t>ALINE CAMOLEZ SOARES ISCARO-RENAN GUSTAVO DA COSTA MOTA - Proc 0011848-82.2023.5.15.0018  HSERV CABREUVA - SERVIÇOS E COMÉRCIO LTDA PARCELA 3/9</t>
  </si>
  <si>
    <t>EMPRESTIMO</t>
  </si>
  <si>
    <t>BANCO SAFRA S A-TARIFA BANCARIA</t>
  </si>
  <si>
    <t>SCOLA &amp; FALCAO SOCIEDADE DE ADVOGADAS Processo: 0010503-86.2025.5.15.0026 Reclamante: NAIR DONIZETE TEODORO DE ANDRADE 3/5</t>
  </si>
  <si>
    <t>SCOLA &amp; FALCAO SOCIEDADE DE ADVOGADAS Processo: 0010503-86.2025.5.15.0026 Reclamante: NAIR DONIZETE TEODORO DE ANDRADE 4/5</t>
  </si>
  <si>
    <t xml:space="preserve">CAETANO BERNARDES NEUBAUER PARCELA -Proc 0010591-77.2025.5.15.0074 RECLAMANTE: SIMONE FERREIRA DA SILVA 3/6 </t>
  </si>
  <si>
    <t xml:space="preserve">CAETANO BERNARDES NEUBAUER PARCELA -Proc 0010591-77.2025.5.15.0074 RECLAMANTE: SIMONE FERREIRA DA SILVA 4/6 </t>
  </si>
  <si>
    <t xml:space="preserve">MEI  </t>
  </si>
  <si>
    <t>GRRF KAUE HENRIQUE DA SILVA OLIVEIRA</t>
  </si>
  <si>
    <t xml:space="preserve"> GUIA INSS 0012114-44.2023.5.15.0188 ADILIO SANTOS SOUZA VITOR DUARTE</t>
  </si>
  <si>
    <t>CUSTAS 0012114-44.2023.5.15.0188 ADILIO SANTOS SOUZA VITOR DUARTE</t>
  </si>
  <si>
    <t>03/dez</t>
  </si>
  <si>
    <t>ZAMBONI, SOUSA, CARVALHO &amp; MARIANO ADVOGADOS-PRoc 0012075-66.2022.5.15.0096  AUTOR: CLAUDIA ARAUJO DOS SANTOS PARCELA 6/6</t>
  </si>
  <si>
    <t>OKUYAMA &amp; ALVES SOCIEDADE DE ADVOGADOS PARCELA 7/8</t>
  </si>
  <si>
    <t xml:space="preserve">VALE COMBUSTIVEL-2 QUINZENA </t>
  </si>
  <si>
    <t>OKUYAMA &amp; ALVES SOCIEDADE DE ADVOGADOS Processo: 0010780-86.2025.5.15.0096 Reclamante: PATRICIA VIOTTI NOGUEIRA   PARCELA 2/4</t>
  </si>
  <si>
    <t>OKUYAMA &amp; ALVES SOCIEDADE DE ADVOGADOS Processo: 0010780-86.2025.5.15.0096 Reclamante: PATRICIA VIOTTI NOGUEIRA   PARCELA 3/4</t>
  </si>
  <si>
    <t>BANCO SAFRA S A-EMPRESTIMO BANCO SAFRA HSERV CLEAN</t>
  </si>
  <si>
    <t>JONATHAN DINIZ WESFAL PROC 1001448-72.2024.5.02.0291 AUTOR: LUCIANA APARECIDA MARQUES DA SILVA PARCELA 4/10</t>
  </si>
  <si>
    <t>JONATHAN DINIZ WESFAL PROC 1001448-72.2024.5.02.0291 AUTOR: LUCIANA APARECIDA MARQUES DA SILVA PARCELA 5/10</t>
  </si>
  <si>
    <t xml:space="preserve">VALE COMBUSTIVEL 1 QUINZENA </t>
  </si>
  <si>
    <t>FÉRIAS-</t>
  </si>
  <si>
    <t>BANCO SAFRA S A-EMPRESTIMO SAFRA HSERV CLEAN</t>
  </si>
  <si>
    <t>ASOMETRA- VENCIDA</t>
  </si>
  <si>
    <t>JESAIAS ROMANHA ACORDO TRABALHISTA - ISABEL MACHADO PARCELA 6/6</t>
  </si>
  <si>
    <t>GUIA DE PARCELAMENTO INSS VITOR DEZEMBRO  A JANEIRO 2025</t>
  </si>
  <si>
    <t xml:space="preserve">VALE COMBUSTIVEL </t>
  </si>
  <si>
    <t>PLANEJAMENTO OUTUBRO A DEZEMBRO 2025</t>
  </si>
  <si>
    <t>LAPAMED CONSULTORIA EM SEGURANCA DO TRABALHO LTDA EXAME PERIODICO -  MARISA DE SOUSA SILVA</t>
  </si>
  <si>
    <t>RELAÇÃO DE PAGAMENTO DO DIA 02/10/2025</t>
  </si>
  <si>
    <t>FGTS EM ATRASO 11/2023 FELIPE NUNES MACHADO</t>
  </si>
  <si>
    <t>FGTS EM ATRASO 04/2023 FELIPE NUNES MACHADO</t>
  </si>
  <si>
    <t>FGTS EM ATRASO 12/2023 FELIPE NUNES MACHADO</t>
  </si>
  <si>
    <t>FGTS EM ATRASO 09/2024 E 13° 2024  FELIPE NUNES MACHADO</t>
  </si>
  <si>
    <t>FGTS EM ATRASO 02/2023 FELIPE NUNES MACHADO</t>
  </si>
  <si>
    <t>FGTS EM ATRASO 10/2023 FELIPE NUNES MACHADO</t>
  </si>
  <si>
    <t>FGTS EM ATRASO 07/2023 FELIPE NUNES MACHADO</t>
  </si>
  <si>
    <t>FGTS EM ATRASO 11/2022 FELIPE NUNES MACHADO</t>
  </si>
  <si>
    <t>FGTS EM ATRASO 12/2022 FELIPE NUNES MACHADO</t>
  </si>
  <si>
    <t>FGTS EM ATRASO 01/2023 FELIPE NUNES MACHADO</t>
  </si>
  <si>
    <t>FGTS EM ATRASO 03/2023 FELIPE NUNES MACHADO</t>
  </si>
  <si>
    <t>FGTS EM ATRASO 08/2023 FELIPE NUNES MACHADO</t>
  </si>
  <si>
    <t>FGTS EM ATRASO 09/2023 FELIPE NUNES MACHADO</t>
  </si>
  <si>
    <t>EDILANE NOVAIS SOUZA MENDES</t>
  </si>
  <si>
    <t>NEUZA APARECIDA MURICY</t>
  </si>
  <si>
    <t>NALANDA DE SOUZA MATOS</t>
  </si>
  <si>
    <t>VERA LUCIA MORAES DA CRUZ</t>
  </si>
  <si>
    <t>MARCIA COSME DA SILVA</t>
  </si>
  <si>
    <t>A.D.F ASSESSORIA EM MEDICINA E SEGURANCA DO TRABALHO LTDA</t>
  </si>
  <si>
    <t>BRUNA MAIARA DA SILVA PIRES</t>
  </si>
  <si>
    <t>PM DE CABREUVA</t>
  </si>
  <si>
    <t>SPARTAN DO BRASIL PRODUTOS QUIMICOS LTDA NF 262.409</t>
  </si>
  <si>
    <t>SALDO D EHJ</t>
  </si>
  <si>
    <t xml:space="preserve">TIRAR </t>
  </si>
  <si>
    <t>CHEQUE PRONTO</t>
  </si>
  <si>
    <t>4 CHEQUE</t>
  </si>
  <si>
    <t>PABLO-FT</t>
  </si>
  <si>
    <t>RELAÇÃO DE PAGAMENTO DO DIA 03/10/2025</t>
  </si>
  <si>
    <t>BOA R$ 872.126,10- R$ 602.847,78 = R$ 269.278,32 - DEPOSITOU 29/09/2025 R$ 192.770,08 , DIA 03/10 DEPOSITOU</t>
  </si>
  <si>
    <t>RELAÇÃO DE PAGAMENTO DO DIA 06/10/2025</t>
  </si>
  <si>
    <t xml:space="preserve">EXXPRESS TECNOLOGIA E SISTEMAS LTDA-FRETE CRACHÁ </t>
  </si>
  <si>
    <t>DARF INSS MENSAL  HSERV LIMPEZA VENCIDA 19/09/2025</t>
  </si>
  <si>
    <t>DARF INSS MENSAL  HSERV TERCEIRIZADOS-VENCIDA 19/09/2025</t>
  </si>
  <si>
    <t>IFOOD.COM AGENCIA DE RESTAURANTES ONLINE S.A.-DONA AIDE PREFEITURA</t>
  </si>
  <si>
    <t>Contas a Pagar</t>
  </si>
  <si>
    <t>Vencimento</t>
  </si>
  <si>
    <t>Minha Empresa (Nome Fantasia)</t>
  </si>
  <si>
    <t>Razão Social</t>
  </si>
  <si>
    <t>Valor Líquido</t>
  </si>
  <si>
    <t>Categoria</t>
  </si>
  <si>
    <t>Observação da Conta</t>
  </si>
  <si>
    <t>BRASIL MEDICINA ANEXADO</t>
  </si>
  <si>
    <t>GNB ADMINISTRACAO DE BENEFICIOS SOCIAIS LTDA</t>
  </si>
  <si>
    <t>BENEFICIO SOCIAL SINDICAL</t>
  </si>
  <si>
    <t>BENEFICIO SOCIAL</t>
  </si>
  <si>
    <t>SINDICATO DOS EMP.E.AS.E C.E TRAB.L.URB.P.PE E REGIAO</t>
  </si>
  <si>
    <t>SINDICATO MES 09/2025  - ROSIMEIRE DA SILVA NAGAMATU</t>
  </si>
  <si>
    <t>SINDITERCEIRIZADOS</t>
  </si>
  <si>
    <t>SINDICATO DOS EMPREGADOS EM EMPRESAS DE LIMPEZA PUBLICA LIMP-SINDICATO MES 09/2025  - ROSIMEIRE DA SILVA NAGAMATU</t>
  </si>
  <si>
    <t>VIVIANE RODRIGUES</t>
  </si>
  <si>
    <t>CARTAO DE CRÉDITO</t>
  </si>
  <si>
    <t>VALE COMBUSTIVEL-2 QUINZENA DE OUTUBRO</t>
  </si>
  <si>
    <t>Exames medicos</t>
  </si>
  <si>
    <t>BANCO INTER</t>
  </si>
  <si>
    <t>JOAO VITOR RODRIGUES DA SILVA -APOIO EXTRA REFORMA PRUDENTE -LOJA 18</t>
  </si>
  <si>
    <t>RAISSA CAROLINA DE OLIVEIRA - COBRINDO FÉRIAS  DA ANA CLAUDIA FIGUEIREDO ASSIS - LOJA 04</t>
  </si>
  <si>
    <t>DENISE CASTRO DA SILVA  COBRINDO FÉRIAS ANA CLAUDIA FIGUEIREDO-ASSIS - LOJA 04</t>
  </si>
  <si>
    <t>DAIANA CRISTINA FERREIRA   COBRINDO FÉRIAS  JANAINE DOSSANTOS SILVA  PIRATININGA LOJA 37</t>
  </si>
  <si>
    <t>SUELY DE OLIVEIRA SANTOS - COBRINDO FÉRIAS  DAYANE CRISTINA SILVA SANTOS -PRES. VENCESLAU - LOJA 41</t>
  </si>
  <si>
    <t>CELIA CAUM DE ANDRADE-COBRINDO AFASTAMENTO JUSCELENE CORREIA DE PAULA PARAGUAÇU - LOJA 10</t>
  </si>
  <si>
    <t>BEATRIZ APARECIDA DE SILVA</t>
  </si>
  <si>
    <t>PENSÃO ALIMENTICIA</t>
  </si>
  <si>
    <t>RELAÇÃO DE PAGAMENTO DO DIA 07/10/2025</t>
  </si>
  <si>
    <t xml:space="preserve">OPEN IT GROUP ESCRITORIO </t>
  </si>
  <si>
    <t>HSERV TECNOLOGIA E SERVICOS SO</t>
  </si>
  <si>
    <t>HSERV SERVICOS DE LIMPEZA E SE</t>
  </si>
  <si>
    <t>HSERV SERVICOS TERCEIRIZADOS S</t>
  </si>
  <si>
    <t>HSERV CABREUVA REPRESENTACOES</t>
  </si>
  <si>
    <t>HSERV SERVICOS COMBINADOS DE F</t>
  </si>
  <si>
    <t>H SERV CLEAN COMERCIO DE PRODU</t>
  </si>
  <si>
    <t>VITOR AUGUSTO DUARTE SOCIEDADE</t>
  </si>
  <si>
    <t>HSERV CABREUVA SERVICOS DE APO</t>
  </si>
  <si>
    <t>BENEFICIO SOCIAL SINDICAL VENCIDA 10/09/2025</t>
  </si>
  <si>
    <t xml:space="preserve">Conta a pagar criada automaticamente pelo Omie.CASH. Referente ao seguinte boleto para </t>
  </si>
  <si>
    <t>IFOOD.COM AGENCIA DE RESTAURANTES ONLINE S.A.VALE COMBUSTIVEL GUSTAVO LOJA 12</t>
  </si>
  <si>
    <t>A.D.F ASSESSORIA EM MEDICINA E SEGURANCA DO TRABALHO LTDA-EXAME MEDICO ADMISSIONAL - TIAGO AUGUSTO BOLLA</t>
  </si>
  <si>
    <t>WESLEY ALEXANDRE DA CRUZ</t>
  </si>
  <si>
    <t>LAURITA ALVES PEREIRA</t>
  </si>
  <si>
    <t>QUALITY SEG SEGURANCA -EXAMES ADMISSIONAIS - Luciana Gomes de Oliveira da Cunha  Alesxandra de Oliveira da Conceição</t>
  </si>
  <si>
    <t>GRRF BRUNA MAIARA DA SILVA PIRES</t>
  </si>
  <si>
    <t>GRRF VIVIANE RODRIGUES</t>
  </si>
  <si>
    <t>GRRF JOAO CAETANO GUEDES</t>
  </si>
  <si>
    <t>CLAUDIO DEL DUCA- REEMBOLSO DE DESPESAS-ALMOÇO BOA, KM VISITA PREFEITURA E VETTOR, ESTACIONAMENTO DIA 01/10, ASSINTURA BRITIX E  E DIARIAS DO DIA 08,16,22 E 29/09</t>
  </si>
  <si>
    <t>BOA R$ 872.126,10- R$ 602.847,78 = R$ 269.278,32 - DEPOSITOU 29/09/2025 R$ 192.770,08 , depositou R$ 24.278,21  DIA 07/10 E NO DIA 09/10 DEPOSITOU MAIS R$ 18.100,00= RESTA 34.130,00</t>
  </si>
  <si>
    <t>SINDICATO DOS EMP.EM TURISMO E HOPITALIDADE DE SOROCABA-SINDICATO SOROCABA</t>
  </si>
  <si>
    <t>GUIA FGTS EM ATRASO 11/2023 WELLINGTON DE SOUZA FONCECA</t>
  </si>
  <si>
    <t>GUIA FGTS EM ATRASO 07/2023 WELLINGTON DE SOUZA FONCECA</t>
  </si>
  <si>
    <t>GUIA FGTS EM ATRASO 01/2023 WELLINGTON DE SOUZA FONCECA</t>
  </si>
  <si>
    <t>GUIA FGTS EM ATRASO 04/2023 WELLINGTON DE SOUZA FONCECA</t>
  </si>
  <si>
    <t>GUIA FGTS EM ATRASO 10/2023 WELLINGTON DE SOUZA FONCECA</t>
  </si>
  <si>
    <t>GUIA FGTS EM ATRASO 03/2023 WELLINGTON DE SOUZA FONCECA</t>
  </si>
  <si>
    <t>GUIA FGTS EM ATRASO 02/2023 WELLINGTON DE SOUZA FONCECA</t>
  </si>
  <si>
    <t>GUIA FGTS EM ATRASO 09/2023 WELLINGTON DE SOUZA FONCECA</t>
  </si>
  <si>
    <t>GUIA FGTS EM ATRASO 11/2022 WELLINGTON DE SOUZA FONCECA</t>
  </si>
  <si>
    <t>GUIA FGTS EM ATRASO 08/2023 WELLINGTON DE SOUZA FONCECA</t>
  </si>
  <si>
    <t>GUIA FGTS EM ATRASO 12/2022 WELLINGTON DE SOUZA FONCECA</t>
  </si>
  <si>
    <t>GUIA FGTS EM ATRASO 12/2023 WELLINGTON DE SOUZA FONCECA</t>
  </si>
  <si>
    <t>PATRICIA TORRICELLI SOARES DIAS PRoc 0011282-22.2025.5.15.0097 RECLAMANTE: LUCINEIDE DIAS DA SILVA PARCELA 1/15</t>
  </si>
  <si>
    <t xml:space="preserve">SIND DAS EMP DE PREST DE SER T C A M O T T NO E DE SP-SINDIPRESTEM </t>
  </si>
  <si>
    <t xml:space="preserve">SINDICATO DOS EMP.E.AS.E C.E TRAB.L.URB.P.PE E REGIAO-SIEMACO LINS HENRIQUE </t>
  </si>
  <si>
    <t>SINDICATO DOS EMP.EM TURISMO E HOPITALIDADE DE SOROCABA SINETUR SOROCABA</t>
  </si>
  <si>
    <t>SINDICATO DOS EMPREGADOS E TRABALHADORES -SINDITERCERIZADOS</t>
  </si>
  <si>
    <t>SPARTAN DO BRASIL PRODUTOS QUIMICOS LTDA VENCIDA 13/10</t>
  </si>
  <si>
    <t>ELIZABETE ROZE DE PAULA</t>
  </si>
  <si>
    <t>MARCIO CARAZI SOARES-EXAME ADMISSIONAL - Liliane Aparecida Batista</t>
  </si>
  <si>
    <t>SEGMAR SAUDE OCUPACIONAL LTDA-EXMAE ADMISSIONAL - Kelly Priscila dos Santos</t>
  </si>
  <si>
    <t>BRASIL MEDICINE - VENCIDO 10/10/2025</t>
  </si>
  <si>
    <t>SOFT WORKS EPI CALCADOS LTDA Vencimento 17/03/2025</t>
  </si>
  <si>
    <t>LOCALIZA FLEET S.A. MULTA PLACA  RVN7E51 -TRANSITAR EM VELOCIDADE SUPERIOR A MAXIMA PERMITIDA EM ATE 20%</t>
  </si>
  <si>
    <t>RAI INDUSTRIAL vencimento 10/10</t>
  </si>
  <si>
    <t xml:space="preserve">INTER </t>
  </si>
  <si>
    <t>RELAÇÃO DE PAGAMENTO DO DIA 13/10/2025</t>
  </si>
  <si>
    <t>SINDICATO DOS EMP.EM TURISMO E HOPITALIDADE DE SOROCABA-BENEFICIO SAUDE</t>
  </si>
  <si>
    <t>SINDICATO DOS EMP.EM TURISMO E HOPITALIDADE DE SOROCABA</t>
  </si>
  <si>
    <t>JOAO VICTOR DOS SANTOS PANUTTO</t>
  </si>
  <si>
    <t>LAURA SAFI FREIRE</t>
  </si>
  <si>
    <t>GSSO GESTAO EM SAUDE E SEGURANCA OCUPACIONAL LTDA-EXAME ADMISSIONAL - PATRICIA DANIELA SANT ANA - PAULINIA</t>
  </si>
  <si>
    <t>PLUXEE BENEFICIOS BRASIL S.A.</t>
  </si>
  <si>
    <t>PLUXEE BENEFICIOS BRASIL S.A.-ASSIDUIDADE AVENIDA</t>
  </si>
  <si>
    <t>PLUXEE BENEFICIOS BRASIL S.A.-ASSIDUIDADE SETEMBRO BOA</t>
  </si>
  <si>
    <t>PLUXEE BENEFICIOS BRASIL S.A.-ASSIDUIDADE DE SETEMBRO EMPRESAS</t>
  </si>
  <si>
    <t>PLUXEE BENEFICIOS BRASIL S.A.-BONUS COLABORADORES DE VALINHOS</t>
  </si>
  <si>
    <t>CENTRO DE SEGURANCA OCUPACIONAL LTDA-EXAME ADMISSIONAL - MARIA LAURA - ASSIS</t>
  </si>
  <si>
    <t>BENEFICIO SOCIAL VENCIDA</t>
  </si>
  <si>
    <t>GRRF MICHEL CRHISTIAN CARVALHO</t>
  </si>
  <si>
    <t>ROSILEIDE FIRMINO DA SILVA</t>
  </si>
  <si>
    <t>FGTS MENSAL - HSERV LTDA COMPETENCIA 09/2025 VENCIMENTO</t>
  </si>
  <si>
    <t>FGTS MENSAL - HSERV TERCERIZADOS  COMPETENCIA 09/2025 VENCIMENTO</t>
  </si>
  <si>
    <t>FGTS MENSAL - HSERV TECNOLOGIA  COMPETENCIA 09/2025 VENCIMENTO</t>
  </si>
  <si>
    <t>FGTS MENSAL - HSERV REPRESENTAÇÃO COMPETENCIA 09/2025 VENCIMENTO</t>
  </si>
  <si>
    <t>FGTS MENSAL - HSERV LIMPEZA COMPETENCIA 09/2025 VENCIMENTO</t>
  </si>
  <si>
    <t>FGTS MENSAL - HSERV COMBINADOS  COMPETENCIA 09/2025 VENCIMENTO</t>
  </si>
  <si>
    <t>FGTS MENSAL - HSERV CLEAN  COMPETENCIA 09/2025 VENCIMENTO</t>
  </si>
  <si>
    <t>FGTS MENSAL - HSERV CABREUVA  COMPETENCIA 09/2025 VENCIMENTO</t>
  </si>
  <si>
    <t>FGTS MENSAL - HENRIQUE JEAN COMPETENCIA 09/2025 VENCIMENTO</t>
  </si>
  <si>
    <t>DARF INSS MENSAL HENRIQUE JEAN DUARTE LTDA COMPETENCIA 09/2025 VENCIMENTO 20/10/2025</t>
  </si>
  <si>
    <t>DARF INSS MENSAL HSERV CABREUVA  LTDA COMPETENCIA 09/2025 VENCIMENTO 20/10/2025</t>
  </si>
  <si>
    <t>DARF INSS MENSAL HSERV CLEAN  COMPETENCIA 09/2025 VENCIMENTO 20/10/2025</t>
  </si>
  <si>
    <t>DARF INSS MENSAL HSERV COMBINADOS COMPETENCIA 09/2025 VENCIMENTO 20/10/2025</t>
  </si>
  <si>
    <t>DARF INSS MENSAL  HSERV LIMPEZA  COMPETENCIA 09/2025 VENCIMENTO 20/10/2025</t>
  </si>
  <si>
    <t>DARF INSS MENSAL HSERV REPRESENTAÇÃO  COMPETENCIA 09/2025 VENCIMENTO 20/10/2025</t>
  </si>
  <si>
    <t>DARF INSS MENSAL HSERV TECNOLOGIA  COMPETENCIA 09/2025 VENCIMENTO 20/10/2025</t>
  </si>
  <si>
    <t>DARF INSS MENSAL HSERV TERCERIZADOS  COMPETENCIA 09/2025 VENCIMENTO 20/10/2025</t>
  </si>
  <si>
    <t>DARF INSS MENSAL HSERV LTDA  COMPETENCIA 09/2025 VENCIMENTO 20/10/2025</t>
  </si>
  <si>
    <t>CARLOS EDUARDO DE OLIVEIRA SOCIEDADE INDIVIDUAL DE ADVOCACIA PRoc 0011980-02.2023.5.15.0096 RECLAMANTE: LAZINHO CANDID PARCELA 2/18</t>
  </si>
  <si>
    <t xml:space="preserve">VALE ALIMENTAÇAO </t>
  </si>
  <si>
    <t>RELAÇÃO DE PAGAMENTO DO DIA 14/10/2025</t>
  </si>
  <si>
    <t>RELAÇÃO DE PAGAMENTO DO DIA 15/10/2025</t>
  </si>
  <si>
    <t>SIMPLES NACIONAL MENSAL - HSERV CLEAN-07.20.25247.2693681-9-VENCIDO 20/09/2025</t>
  </si>
  <si>
    <t>SIMPLES NACIONAL MENSAL - HSERV COMBINADOS-07.20.25248.3910154-2 VENCIDO 20/09/2025</t>
  </si>
  <si>
    <t>SIMPLES NACIONAL MENSAL - HENRIQUE JEAN - 07.20.25247.2707569-8 VENCIDO 20/09/2025</t>
  </si>
  <si>
    <t>SIMPLES NACIONAL MENSAL - HSERV TECNOLOGIA-07.20.25255.9466159-0 VENCIDO 20/09/2025</t>
  </si>
  <si>
    <t>SIMPLES NACIONAL MENSAL - HSERV LIMPEZA-07.20.25248.3984353-0 VENCIDO 20/09/2025</t>
  </si>
  <si>
    <t>SIMPLES NACIONAL MENSAL - HSERV REPRESENTAÇÃO - 07.20.25248.3924133-6 VENCIDO 20/09/2025</t>
  </si>
  <si>
    <t>SIMPLES NACIONAL MENSAL - HSERV TERCERIZADOS - 07.20.25248.3944995-6 VENCIDO 20/09/2025</t>
  </si>
  <si>
    <t>DARF INSS MENSAL - HENRIQUE JEAN DUARTE  VENCIDO 20/09/2025</t>
  </si>
  <si>
    <t>DARF INSS MENSAL  HSERV CABREUVA  VENCIDO 20/09/2025</t>
  </si>
  <si>
    <t>DARF INSS MENSAL  HSERV TECNOLOGIA VENCIDO 20/09/2025</t>
  </si>
  <si>
    <t>DARF INSS MENSAL  HSERV LTDA  VENCIDO 20/09/2025</t>
  </si>
  <si>
    <t>SIMPLES NACIONAL-PARCELAMENTO VENCIDO 30/09/2025</t>
  </si>
  <si>
    <t>GUIA DE PARCELAMENTO INSS VITOR JULHO A NOV 2024 VENCIDO 20/09/2025</t>
  </si>
  <si>
    <t>GUIA DE PARCELAMENTO INSS VITOR DEZEMBRO A JANEIRO 2025 VENCIDO 20/09/2025</t>
  </si>
  <si>
    <t>EMPRESTIMO HSERV CLEAN BRADESCO -PARCELA MENSAL VENCIDA 14/10/2025</t>
  </si>
  <si>
    <t>SINDICATO DOS EMPREGADOS - VENCIDA 10/09/2025</t>
  </si>
  <si>
    <t>BANCO SAFRA S A-EMPRESTIMO HSERV CLEAN MENSAL</t>
  </si>
  <si>
    <t>RELAÇÃO DE PAGAMENTO DO DIA 16/10/2025</t>
  </si>
  <si>
    <t>ISS-- LUCRO REAL EMPRESA VITOR VENCIDO 20/09/2025</t>
  </si>
  <si>
    <t>ASOMETRA VENCIDO 20/09/2025</t>
  </si>
  <si>
    <t>LOCALIZA - VENCIDA 30/09/2025</t>
  </si>
  <si>
    <t>MOVIDA PARTICIPACOES -VENCIDA SETEMBRO</t>
  </si>
  <si>
    <t>MOVIDA PARTICIPACOES-VENCIDA SETEMBRO</t>
  </si>
  <si>
    <t>RELAÇÃO DE PAGAMENTO DO DIA 17/10/2025</t>
  </si>
  <si>
    <t xml:space="preserve">ISS MENSAL EMPRESA HSERV LTDA </t>
  </si>
  <si>
    <t>RELAÇÃO DE PAGAMENTO DO DIA 20/10/2025</t>
  </si>
  <si>
    <t>BENEFICIO SOCIAL VENCIDA 10/09/2025</t>
  </si>
  <si>
    <t>RELAÇÃO DE PAGAMENTO DO DIA 21/10/2025</t>
  </si>
  <si>
    <t>RELAÇÃO DE PAGAMENTO DO DIA 22/10/2025</t>
  </si>
  <si>
    <t>RELAÇÃO DE PAGAMENTO DO DIA 23/10/2025</t>
  </si>
  <si>
    <t>DEVOLUÇÃO EMPRESTIMO INTER- RETIRADA DE R$ 40.000,00 E DIA 06/10/2025 E R$ 19.000,00 10/10/2025</t>
  </si>
  <si>
    <t>DENILSON APARECIDO PEDROSO DE ALMEIDA</t>
  </si>
  <si>
    <t>YAN SOARES DOS SANTOS</t>
  </si>
  <si>
    <t>CATIA GUIMARAES DE SOUZA</t>
  </si>
  <si>
    <t>ROBERLEI DA SILVA PINTO</t>
  </si>
  <si>
    <t>TIAGO AUGUSTO BOLLA</t>
  </si>
  <si>
    <t>SOUZA SAFETY EQUIPAMENTOS DE PROTECAO LTDA-EXAME IBITINGA AVENIDA  - MARIA CAROLINA DO NASCIMENTO</t>
  </si>
  <si>
    <t>ARGENTON E QUEIROZ ADVOGADOS ASSOCIADOS Proc 0012026-51.2024.5.15.0097 Reclamante: SIMONE DA SILVA CORREIA  PARCELA 5/6</t>
  </si>
  <si>
    <t>Conta a pagar criada automaticamente pelo Omie.CASH. Referente ao seguinte boleto para pagamento localizado em DDA:  Linha Digitável: 34191090160782581293185927510009112500000627470 Emitido Por: LOCALIZA FLEET S.A. (02.286.479/0001-08) Data de Vencimento: 30/10/2025</t>
  </si>
  <si>
    <t>PARCELAMENTO PREFEITURA DE CABREUVA HSERV CABREUVA 5/13</t>
  </si>
  <si>
    <t>PATRICIA TORRICELLI SOARES DIASRoc 0011282-22.2025.5.15.0097 RECLAMANTE: LUCINEIDE DIAS DA SILVA PARCELA 2/15</t>
  </si>
  <si>
    <t>CARLOS EDUARDO DE OLIVEIRA SOCIEDADE INDIVIDUAL DE ADVOCACIA  PRoc 0011980-02.2023.5.15.0096 RECLAMANTE: LAZINHO CANDIDO PARCELA 3/18</t>
  </si>
  <si>
    <t>CARLOS EDUARDO DE OLIVEIRA SOCIEDADE INDIVIDUAL DE ADVOCACIA  PRoc 0011980-02.2023.5.15.0096 RECLAMANTE: LAZINHO CANDIDO PARCELA 4/18</t>
  </si>
  <si>
    <t>SOFT WORKS EPI CALCADOS LTDA Vencimento 13/10/2025</t>
  </si>
  <si>
    <t>TAR PLANO ADAPT 3</t>
  </si>
  <si>
    <t>SENIR EMBALAGENS LTDA</t>
  </si>
  <si>
    <t xml:space="preserve">SIMONE PAIXAO VAIZ-FGTS EM ATRASO </t>
  </si>
  <si>
    <t xml:space="preserve">VALE ALIMENTAÇÃO MENSAL </t>
  </si>
  <si>
    <t>EMPORIO MEGA 100 COMERCIO DE ALIMENTOS S.A. VENCIDA 16/10/2025</t>
  </si>
  <si>
    <t>SABESP SALA 16 VENCIDA 16/10/2025</t>
  </si>
  <si>
    <t>SABESP CLEAN VENCIDA 16/10/2025</t>
  </si>
  <si>
    <t>J.E. COMERCIO E SOLUCOES LTDA VENCIMENTO 16/10/2025</t>
  </si>
  <si>
    <t>FLORA DISTRIB PROD DE HIGIENE E LIMPEZA LTDA VENCIMENTO 16/10/2025</t>
  </si>
  <si>
    <t>LOTUS CENTRAL DE DISTRIBUICAO DE HIGIENICOS LTDA-VENCIMENTO 16/10/2025</t>
  </si>
  <si>
    <t>EMPORIO MEGA 100 COMERCIO DE ALIMENTOS S.A. VENCIDA 20/10/2025</t>
  </si>
  <si>
    <t>ANJO AZUL ALARMES VENCIDA 31/10/2025</t>
  </si>
  <si>
    <t>FGTS MENSAL - HSERV CABREUVA  COMPETENCIA 09/2025 VENCIMENTO 20/10/2025</t>
  </si>
  <si>
    <t>FGTS MENSAL - HENRIQUE JEAN COMPETENCIA 09/2025 VENCIMENTO 20/10/2025</t>
  </si>
  <si>
    <t>DARF INSS MENSAL HSERV CABREUVA  LTDA COMPETENCIA 09/2025 VENCIMENTO  20/10/2025</t>
  </si>
  <si>
    <t>FGTS MENSAL - HSERV LIMPEZA COMPETENCIA 09/2025 VENCIMENTO 20/10/2025</t>
  </si>
  <si>
    <t>FGTS MENSAL - HSERV TECNOLOGIA  COMPETENCIA 09/2025 VENCIMENTO 20/10/2025</t>
  </si>
  <si>
    <t>Despesas que não houve movimentação</t>
  </si>
  <si>
    <t>SIMPLES NACIONAL MENSAL 20/10/2025</t>
  </si>
  <si>
    <t>AJUSTES REALIZADOS ATÉ O DIA 24/10/2025</t>
  </si>
  <si>
    <t>MÊS</t>
  </si>
  <si>
    <t>DESCRIÇÃO</t>
  </si>
  <si>
    <t>DT DE AJUSTE</t>
  </si>
  <si>
    <t>SOFT WORKS EPI CALCADOS LTDA VENCIMENTO 13/10/2025</t>
  </si>
  <si>
    <t>CARTÃO DE CREDITO- VENCIMENTO 15/10/2025 HENRIQUE JEAN</t>
  </si>
  <si>
    <t>CARTÃO DE CREDITO- VENCIMENTO 15/10/2025 HSERV COMBINADOS</t>
  </si>
  <si>
    <t>CARTÃO DE CREDITO- VENCIMENTO 15/10/2025 HSERV LTDA</t>
  </si>
  <si>
    <t xml:space="preserve">CSLL TRIMESTRAL HSERV CABREUVA- </t>
  </si>
  <si>
    <t>GUIA DE PARCELAMENTO INSS VITOR JULHO A NOV 2024 VENCIDO 30/09/2025</t>
  </si>
  <si>
    <t>GUIA DE PARCELAMENTO INSS VITOR DEZEMBRO A JANEIRO 2025 VENCIDO 30/09/2025</t>
  </si>
  <si>
    <t>FGTS MENSAL - HSERV LTDA COMPETENCIA 09/2025 VENCIMENTO 20/10/2025</t>
  </si>
  <si>
    <t xml:space="preserve">FGTS MENSAL - HSERV CLEAN  COMPETENCIA 09/2025 VENCIMENTO 20/10/2025- DOCUMENTAÇÃO VEPAKUM </t>
  </si>
  <si>
    <t>FGTS MENSAL - HSERV REPRESENTAÇÃO COMPETENCIA 09/2025 VENCIMENTO 20/10/2025 - DOCUMENTAÇÃO VETTOR</t>
  </si>
  <si>
    <t>DARF INSS MENSAL HSERV REPRESENTAÇÃO  COMPETENCIA 09/2025 VENCIMENTO 20/10/2025  - DOCUMENTAÇÃO VETTOR</t>
  </si>
  <si>
    <t xml:space="preserve">DARF INSS MENSAL HSERV CLEAN  COMPETENCIA 09/2025 VENCIMENTO 20/10/2025 DOCUMENTAÇÃO VEPAKUM </t>
  </si>
  <si>
    <t xml:space="preserve">HENRIQUE JEAN -RESTANTE DO VALOR ACORDADO REFERENTE AO PROLABORE DAS EMPRESAS </t>
  </si>
  <si>
    <t xml:space="preserve">FIT ADM (VIDA NOVA) </t>
  </si>
  <si>
    <t>PATRICIA TORRICELLI SOARES DIAS PRoc 0011282-22.2025.5.15.0097 RECLAMANTE: LUCINEIDE DIAS DA PARCELA 4/15</t>
  </si>
  <si>
    <t>PATRICIA TORRICELLI SOARES DIAS PRoc 0011282-22.2025.5.15.0097 RECLAMANTE: LUCINEIDE DIAS DA PARCELA 3/15</t>
  </si>
  <si>
    <t>SABIANA VITORIA DE SOUZA</t>
  </si>
  <si>
    <t>GRRF EDIMARA GISELE SILVA JOANI</t>
  </si>
  <si>
    <t>TIAGO PAULO -VEPAKUM</t>
  </si>
  <si>
    <t>LOCAWEB- RENOVAÇÃO ANUAL</t>
  </si>
  <si>
    <t xml:space="preserve">JULIANA DE CASSIA MARIANA   APOIO EXTRA  LIMPEZA FABRICA PANETONE ASSIS- ESCRITORIO CENTRAL </t>
  </si>
  <si>
    <t xml:space="preserve">ALESSANDRA LEITE FELIX   APOIO EXTRA  LIMPEZA FABRICA PANETONE ASSIS- ESCRITORIO CENTRAL </t>
  </si>
  <si>
    <t xml:space="preserve">ERIKA DE PAULA SERAFIM -APOIO EXTRA  LIMPEZA FABRICA PANETONE ASSIS- ESCRITORIO CENTRAL </t>
  </si>
  <si>
    <t>cm inss. La e tarifas</t>
  </si>
  <si>
    <t>ND</t>
  </si>
  <si>
    <t xml:space="preserve">APORTE VITOR </t>
  </si>
  <si>
    <t>LOTUS CENTRAL DE DISTRIBUICAO DE HIGIENICOS LTDA- NF 238.695 VENCIMENTO 16/10/2025</t>
  </si>
  <si>
    <t xml:space="preserve">FLORA DISTRIB PROD DE HIGIENE E LIMPEZA LTDA NF 1.092.112 - VENCIMENTO 16/10/2025 </t>
  </si>
  <si>
    <r>
      <t xml:space="preserve">CLAUDIO DEL DUCA- </t>
    </r>
    <r>
      <rPr>
        <sz val="8"/>
        <color rgb="FFFF0000"/>
        <rFont val="Calibri Light"/>
        <family val="2"/>
        <scheme val="major"/>
      </rPr>
      <t>REEMBOLSO DE DESPESAS-ALMOÇO BOA, KM VISITA PREFEITURA E VETTOR, ESTACIONAMENTO DIA 01/10, ASSINATURA BRITIX E  E DIARIAS DO DIA 08,16,22 E 29/09</t>
    </r>
  </si>
  <si>
    <t>ANTECIPAÇÃO</t>
  </si>
  <si>
    <t xml:space="preserve">BRAN ENGENHARIA LTDA </t>
  </si>
  <si>
    <t>HSERV-Proc 0011289-67.2024.5.15.0026 AUTOR: ELAINE JAQUES LOURENCONI</t>
  </si>
  <si>
    <t>ALTOLIM COMERCIAL ASSIS EIRELI - ME VENCIMENTO 17/10/2025</t>
  </si>
  <si>
    <t>HM MAQ COMERCIO E ASSISTENCIA TECNICA INDUSTRIAL-VENCIMENTO 17/10/2025</t>
  </si>
  <si>
    <t>L. A. DE SOUZA - EQUIPAMENTOS DE SEGURANCA LTDA VENCIMENTO 17/10/2025</t>
  </si>
  <si>
    <t xml:space="preserve">MOVIDA PARTICIPACOES S.A. </t>
  </si>
  <si>
    <t>L. A. DE SOUZA - EQUIPAMENTOS DE SEGURANCA LTDA NF 12.054 VENCIMENTO 16/10/2025</t>
  </si>
  <si>
    <t>ANTONIO LUIZ FELIX DE ALMEIDA-AJUDA DE CUSTO DO DIA 10/10 AO DIA 31/10 ANTONIO SUPERVISOR NOITE</t>
  </si>
  <si>
    <t>MARICLEIDE IRACI DA SILVA VALE TRANSPORTE DE OUTUBRO  LOJA 29 PRESIDENTE PRUDENTE</t>
  </si>
  <si>
    <t>EVERTON DOMINGOS LUIZ</t>
  </si>
  <si>
    <t>JONESO EMPREENDIMENTOS VENCIDO 17/10/2025</t>
  </si>
  <si>
    <t xml:space="preserve">VITOR AUGUSTO DUARTE </t>
  </si>
  <si>
    <t>RAI INDUSTRIAL vencimento 10/09</t>
  </si>
  <si>
    <t>ANTONIA BATISTA DO NASCIMENTO</t>
  </si>
  <si>
    <t>CAIO HENRIQUE ARRUDA DA SILVEIRA</t>
  </si>
  <si>
    <t>ANTONIO LUIZ FELIX DE ALMEIDA-VALE ALIMENTAÇÃO</t>
  </si>
  <si>
    <t>FT ASSIS E REGIÃO-</t>
  </si>
  <si>
    <t>FT ASSIS E REGIÃO</t>
  </si>
  <si>
    <t>RELAÇÃO DE PAGAMENTO DO DIA 24/10/2025</t>
  </si>
  <si>
    <t xml:space="preserve">SALDO DE HOJE </t>
  </si>
  <si>
    <t>RELAÇÃO DE PAGAMENTO DO DIA 27/10/2025</t>
  </si>
  <si>
    <t>RELAÇÃO DE PAGAMENTO DO DIA 29/10/2025</t>
  </si>
  <si>
    <t xml:space="preserve">CAPONUS </t>
  </si>
  <si>
    <t xml:space="preserve">TRANSFERENCIA VITOR- VITOR ENVIOU 18.000 E  SOLICITOU QUE PAGASSE UM BOLETO DE 36 MIL </t>
  </si>
  <si>
    <t>PLUXEE BENEFICIOS BRASIL S.A.REGINA TECNIPLAS</t>
  </si>
  <si>
    <t>CENTRO DE SEGURANCA OCUPACIONAL LTDA-MARIA LAURA GODOI PALMA ALVES - ADMISSIONAL - FALTANTE</t>
  </si>
  <si>
    <t>PLUXEE BENEFICIOS BRASIL S.A. VALE ALIMENTAÇÃO AVENIDA JUSCELENE</t>
  </si>
  <si>
    <t>ANGELO TELES SILVA</t>
  </si>
  <si>
    <t>THAIS DE SA NATAL</t>
  </si>
  <si>
    <t>TATIANE PAULA MARTINS</t>
  </si>
  <si>
    <t>TATIANE SEIXAS CASTALDO PERICIA Proc 0011252-29.2021.5.15.0096 AUTOR: DANILO MIGUEL DA SILVA MARIANO</t>
  </si>
  <si>
    <t>WILSON ZANON</t>
  </si>
  <si>
    <t>CASA AVENIDA COMERCIO E IMPORTACAO S.A.</t>
  </si>
  <si>
    <t>CAIXINHA OPERACIONAL -MARCOS COUTO</t>
  </si>
  <si>
    <t>FTS -20/10</t>
  </si>
  <si>
    <t>FTS - 20/10</t>
  </si>
  <si>
    <t>22/10 A 29/10/2025</t>
  </si>
  <si>
    <t>COSINOX CENTRO DE SERVICOS DE ACOS LTDA</t>
  </si>
  <si>
    <t>TRAMAR INDUSTRIAL LTDA</t>
  </si>
  <si>
    <t>PATRICIA DANIELA SANT ANA</t>
  </si>
  <si>
    <t>APORTE VITOR - OTAVIO</t>
  </si>
  <si>
    <t>OTAVIO AUGUSTO FERREIRA  - PROLABORE</t>
  </si>
  <si>
    <t>VENDAS CLEAN</t>
  </si>
  <si>
    <t>SPARTAN DO BRASIL PRODUTOS QUIMICOS LTDA NF 264.023</t>
  </si>
  <si>
    <t>JESAIAS ROMANHA -PROC 0010363-38.2022.5.15.0097 - ISABEL MACHADO PARCELA 5/8-RESTANTE DO ACORDO</t>
  </si>
  <si>
    <t>APORTE VITOR - JEAN TRANSFERIU 20K NA COMBINADOS ND E 4K NA COMBINADOS OFC FITBANK</t>
  </si>
  <si>
    <t>IRMÃOS BOAS</t>
  </si>
  <si>
    <t>VENDAS DE PRODUTOS OMIE CASH</t>
  </si>
  <si>
    <t>LIMITE TERCERIZADO ND-BRADESCO</t>
  </si>
  <si>
    <t>t</t>
  </si>
  <si>
    <t>REDE MAST DB0039982394</t>
  </si>
  <si>
    <t>REDE VISA DB0039982394</t>
  </si>
  <si>
    <t>REDE MAST CD0039982394</t>
  </si>
  <si>
    <t>REDE VISA CD0039982394</t>
  </si>
  <si>
    <t>REDE ELO DB0039982394</t>
  </si>
  <si>
    <t>VENDAS DE PRODUTOS ITAU-MAQUININHA</t>
  </si>
  <si>
    <t>ALTOLIM COMERCIAL ASSIS EIRELI - ME VENCIDA 21/10/2025</t>
  </si>
  <si>
    <t>ALTOLIM COMERCIAL ASSIS EIRELI - ME VENCIDO 22/10/2025</t>
  </si>
  <si>
    <t>RFP MATERIAIS PARA CONSTRUCAO LTDA VENCIDA 22/10/2025</t>
  </si>
  <si>
    <t>LOTUS CENTRAL DE DISTRIBUICAO DE HIGIENICOS LTDA VENCIDA 22/10/2025</t>
  </si>
  <si>
    <t>STAR CLEAN PRO INDUSTRIA E COMERCIO DE EQUIPAMENTOS DE LIMPE VENCIDA 22/10/2025</t>
  </si>
  <si>
    <t>Tipo de boleto</t>
  </si>
  <si>
    <t>Situação</t>
  </si>
  <si>
    <t>Vencto</t>
  </si>
  <si>
    <t>Data limite</t>
  </si>
  <si>
    <t>para pagto.</t>
  </si>
  <si>
    <t>CPF / CNPJ</t>
  </si>
  <si>
    <t>Nome</t>
  </si>
  <si>
    <t>Até o vencto.</t>
  </si>
  <si>
    <t>A pagar </t>
  </si>
  <si>
    <t>Pagador / Agregado</t>
  </si>
  <si>
    <t>Beneficiário</t>
  </si>
  <si>
    <t>Nº do documento</t>
  </si>
  <si>
    <t>   </t>
  </si>
  <si>
    <t>Valores (R$)</t>
  </si>
  <si>
    <t>Banco</t>
  </si>
  <si>
    <t>ELADIO SILVA BARRETO</t>
  </si>
  <si>
    <t>02.286.479/0001-08</t>
  </si>
  <si>
    <t>Cobrança</t>
  </si>
  <si>
    <t>Vencido</t>
  </si>
  <si>
    <t>VITOR AUGUSTO DUARTE</t>
  </si>
  <si>
    <t>04.401.579/0001-55</t>
  </si>
  <si>
    <t>CAR SYSTEM</t>
  </si>
  <si>
    <t>66.662.974/0001-49</t>
  </si>
  <si>
    <t>SIND EMP PREST SERV TCAM DE SP</t>
  </si>
  <si>
    <t>02.333.528/0001-08</t>
  </si>
  <si>
    <t>ASSOCIACAO COMERCIAL E EMPRESA</t>
  </si>
  <si>
    <t>02.521.087/0001-78</t>
  </si>
  <si>
    <t>ASOMETRA ENGENHARIA DE SEGURAN</t>
  </si>
  <si>
    <t>HSU32</t>
  </si>
  <si>
    <t>HLS32</t>
  </si>
  <si>
    <t>HST32</t>
  </si>
  <si>
    <t>HTS32</t>
  </si>
  <si>
    <t>CLE40</t>
  </si>
  <si>
    <t>HJD43</t>
  </si>
  <si>
    <t>HCC43</t>
  </si>
  <si>
    <t>ESB43</t>
  </si>
  <si>
    <t>VIT43</t>
  </si>
  <si>
    <t>Hserv Servicos Terceirizados S</t>
  </si>
  <si>
    <t>21.314.559/0001-66</t>
  </si>
  <si>
    <t>MOVIDA PARTICIPACOES S A</t>
  </si>
  <si>
    <t>HSERV SERV TERCEIRIZADOS SOC U</t>
  </si>
  <si>
    <t>39.459.331/0004-72</t>
  </si>
  <si>
    <t>51.783.866/0001-57</t>
  </si>
  <si>
    <t>SNPC TECNOLOGIA LTDA</t>
  </si>
  <si>
    <t>31.976.819/0001-12</t>
  </si>
  <si>
    <t>OPEN IT GROUP TECNOLOGIA COMUN</t>
  </si>
  <si>
    <t>25.414.878/0001-02</t>
  </si>
  <si>
    <t>OPEN IT SOLUTIONS LTDA</t>
  </si>
  <si>
    <t>00.873.750/0001-78</t>
  </si>
  <si>
    <t>SIND E T E A CONS LIMP URBANA</t>
  </si>
  <si>
    <t>H SERV CLEAN COMERCIAL LTDA ME</t>
  </si>
  <si>
    <t>HSERV CABREUVA SERVICOS E COME</t>
  </si>
  <si>
    <t>H SERV CLEAN COMERCIAL LTDA</t>
  </si>
  <si>
    <t>47.767.552/0001-93</t>
  </si>
  <si>
    <t>BRASIL MEDICINA E SAUDE PREVEN</t>
  </si>
  <si>
    <t>50.029.001/0001-37</t>
  </si>
  <si>
    <t>J.E. COMERCIO E SOLUCOES</t>
  </si>
  <si>
    <t>012314/1</t>
  </si>
  <si>
    <t>22.914.613/0004-10</t>
  </si>
  <si>
    <t>EMPORIO MEGA 1 C ALIMENTOS S A</t>
  </si>
  <si>
    <t>1019873 2</t>
  </si>
  <si>
    <t>11.852.585/0001-94</t>
  </si>
  <si>
    <t>FLORA DISTRIBUIDORA DE PRODUTO</t>
  </si>
  <si>
    <t>24.784.756/0001-37</t>
  </si>
  <si>
    <t>L. A. DE SOUZA EQUIPAMENTOS D</t>
  </si>
  <si>
    <t>NFE-12054-</t>
  </si>
  <si>
    <t>HSERV CABREUVA - SERVICOS E CO</t>
  </si>
  <si>
    <t>57.955.720/0001-28</t>
  </si>
  <si>
    <t>WORKBITE SISTEMAS LTDA</t>
  </si>
  <si>
    <t>27.266.222/0001-07</t>
  </si>
  <si>
    <t>ALTOLIM COMERCIAL ASSIS LTDA</t>
  </si>
  <si>
    <t>0041787/01</t>
  </si>
  <si>
    <t>NFE-12060-</t>
  </si>
  <si>
    <t>VITOR AUGUSTO DUARTE SOC UNIPE</t>
  </si>
  <si>
    <t>14.537.478/0001-60</t>
  </si>
  <si>
    <t>JONESO EMPREENDIMENTOS E ADMIN</t>
  </si>
  <si>
    <t>01 12 003</t>
  </si>
  <si>
    <t>H SERV CLEAN COM DE PRODUTOS D</t>
  </si>
  <si>
    <t>24.368.168/0001-12</t>
  </si>
  <si>
    <t>HM MAQ COMERCIO E ASSISTENCIA</t>
  </si>
  <si>
    <t>NF 8411</t>
  </si>
  <si>
    <t>03.790.608/0001-55</t>
  </si>
  <si>
    <t>G2G INTERNET E SERVICOS DE TEL</t>
  </si>
  <si>
    <t>1019870 2</t>
  </si>
  <si>
    <t>1019872 2</t>
  </si>
  <si>
    <t>1019875 2</t>
  </si>
  <si>
    <t>1019876 2</t>
  </si>
  <si>
    <t>1019877 2</t>
  </si>
  <si>
    <t>1019878 2</t>
  </si>
  <si>
    <t>1019880 2</t>
  </si>
  <si>
    <t>1019881 2</t>
  </si>
  <si>
    <t>1019892 2</t>
  </si>
  <si>
    <t>1044678 1</t>
  </si>
  <si>
    <t>1044681 1</t>
  </si>
  <si>
    <t>1044685 1</t>
  </si>
  <si>
    <t>1044679 1</t>
  </si>
  <si>
    <t>1044680 1</t>
  </si>
  <si>
    <t>1044677 1</t>
  </si>
  <si>
    <t>1044675 1</t>
  </si>
  <si>
    <t>1044682 1</t>
  </si>
  <si>
    <t>1044676 1</t>
  </si>
  <si>
    <t>1044674 1</t>
  </si>
  <si>
    <t>07.456.870/0001-19</t>
  </si>
  <si>
    <t>ANJO AZUL ALARMES E RASTREAMEN</t>
  </si>
  <si>
    <t>37.764.193/0001-67</t>
  </si>
  <si>
    <t>IF SAO PAULO SERVICOS DE APOIO</t>
  </si>
  <si>
    <t>HSU33</t>
  </si>
  <si>
    <t>HLS33</t>
  </si>
  <si>
    <t>HST33</t>
  </si>
  <si>
    <t>HTS33</t>
  </si>
  <si>
    <t>HJD44</t>
  </si>
  <si>
    <t>HCC44</t>
  </si>
  <si>
    <t>ESB44</t>
  </si>
  <si>
    <t>VIT44</t>
  </si>
  <si>
    <t>17.668.689/0001-20</t>
  </si>
  <si>
    <t>CONCIERGE BLINDADO SERVICOS AU</t>
  </si>
  <si>
    <t>0041315/02</t>
  </si>
  <si>
    <t>13.929.711/0001-97</t>
  </si>
  <si>
    <t>ITEV - INFORMACOES TRIBUTARIAS</t>
  </si>
  <si>
    <t>Proposta</t>
  </si>
  <si>
    <t>60.002.700/0001-47</t>
  </si>
  <si>
    <t>INTEGRA INFORMACOES TRIBUTARIA</t>
  </si>
  <si>
    <t>32.381.705/0001-92</t>
  </si>
  <si>
    <t>ASSOCIACAO P/ PROTECAO EMPRESA</t>
  </si>
  <si>
    <t>0041861/01</t>
  </si>
  <si>
    <t>37.365.187/0001-37</t>
  </si>
  <si>
    <t>FMD -SECURITIZADORA S A</t>
  </si>
  <si>
    <t>11842-001</t>
  </si>
  <si>
    <t>HSERV SERV TERCEIRIZADOS SOCIE</t>
  </si>
  <si>
    <t>58.055.343/0001-33</t>
  </si>
  <si>
    <t>LOTUS CENTRAL DE DISTRIBUICAO</t>
  </si>
  <si>
    <t>HSERV SERV. TERCERIZADOS SOCIE</t>
  </si>
  <si>
    <t>43.361.854/0001-06</t>
  </si>
  <si>
    <t>RFP MATERIAIS PARA CONSTRUCAO</t>
  </si>
  <si>
    <t>3980-01</t>
  </si>
  <si>
    <t>GADE CORPORATIVA VENCIMENTO 25/10/2025</t>
  </si>
  <si>
    <t>BRADESCO VENCIMENTO 27/10/2025</t>
  </si>
  <si>
    <t>AUTO POSTO JARDIM DAS HORTENCIA VENCIMENTO 25/10/2025</t>
  </si>
  <si>
    <t>GABRIEL DOS SANTOS NOVÃESCLOUD-TELEFONIA VENCIMENTO 29/10/2025</t>
  </si>
  <si>
    <t>IMOVEL NEX ONE -VENCIMENTO 22/10/2025</t>
  </si>
  <si>
    <t>FT REDE AVENIDA  ASSIS E REGIÃO-</t>
  </si>
  <si>
    <t>JANAINA DE FATIMA FRAGA  APOIO EXTRA REFORMA STA CRUZ LOJA 26</t>
  </si>
  <si>
    <t>ANA PAULA CAMARGO COBRINDO FÉRIAS  DA ROSALINA NOGUEIRA PEREIRA  STA CRUZ LOJA 26</t>
  </si>
  <si>
    <t>PLUXEE BENEFICIOS BRASIL S.A.- VALE TRANSPORTE MENSAL VIAÇÕES</t>
  </si>
  <si>
    <t>DENISE CASTRO DA SILVA  COBRINDO FÉRIAS  ANA PAULA DE SOUZA FREIRE  ASSIS - LOJA 04</t>
  </si>
  <si>
    <t>LILIANE APARECIDA BATISTA  COBRINDO AFASTAMENTO CARMELITA ATANAZIO LINS - LOJA 28</t>
  </si>
  <si>
    <t>BRASIL MEDICINA E SAUDE VENCIDA 10/09/2025- VALOR SOFRERÁ AJUSTE DEVIDO A JUROS E MULTA</t>
  </si>
  <si>
    <t>BENEFICIO SOCIAL VENCIDA 10/10/2025- VALOR SOFRERÁ AJUSTE DEVIDO MULTA E JUROS</t>
  </si>
  <si>
    <t>BRASIL MEDICINE - VENCIDO 10/10/2025 VALOR SOFRERÁ AJUSTE DEVIDO MULTA E JUROS</t>
  </si>
  <si>
    <t>SIMPLES NACIONAL MENSAL - HSERV CLEAN-07.20.25247.2693681-9-VENCIDO 20/09/2025-VALOR SOFRERÁ AJUSTE DEVIDO MULTA E JUROS</t>
  </si>
  <si>
    <t>SIMPLES NACIONAL MENSAL - HSERV COMBINADOS-07.20.25248.3910154-2 VENCIDO 20/09/2025-VALOR SOFRERÁ AJUSTE DEVIDO MULTA E JUROS</t>
  </si>
  <si>
    <t>SIMPLES NACIONAL MENSAL - HENRIQUE JEAN - 07.20.25247.2707569-8 VENCIDO 20/09/2025-VALOR SOFRERÁ AJUSTE DEVIDO MULTA E JUROS</t>
  </si>
  <si>
    <t>SIMPLES NACIONAL MENSAL - HSERV TECNOLOGIA-07.20.25255.9466159-0 VENCIDO 20/09/2025-VALOR SOFRERÁ AJUSTE DEVIDO MULTA E JUROS</t>
  </si>
  <si>
    <t>SIMPLES NACIONAL MENSAL - HSERV LIMPEZA-07.20.25248.3984353-0 VENCIDO 20/09/2025-VALOR SOFRERÁ AJUSTE DEVIDO MULTA E JUROS</t>
  </si>
  <si>
    <t>SIMPLES NACIONAL MENSAL - HSERV REPRESENTAÇÃO - 07.20.25248.3924133-6 VENCIDO 20/09/2025-VALOR SOFRERÁ AJUSTE DEVIDO MULTA E JUROS</t>
  </si>
  <si>
    <t>SIMPLES NACIONAL MENSAL - HSERV TERCERIZADOS - 07.20.25248.3944995-6 VENCIDO 20/09/2025-VALOR SOFRERÁ AJUSTE DEVIDO MULTA E JUROS</t>
  </si>
  <si>
    <t>DARF INSS MENSAL  HSERV TERCEIRIZADOS-VENCIDA 19/09/2025-VALOR SOFRERÁ AJUSTE DEVIDO MULTA E JUROS - DOCUMENTAÇÃO BELLART</t>
  </si>
  <si>
    <t>SIMPLES NACIONAL-PARCELAMENTO VENCIDO 30/09/2025-VALOR SOFRERÁ AJUSTE DEVIDO MULTA E JUROS</t>
  </si>
  <si>
    <t>GUIA DE PARCELAMENTO INSS VITOR JULHO A NOV 2024 VENCIDO 20/09/2025-VALOR SOFRERÁ AJUSTE DEVIDO MULTA E JUROS</t>
  </si>
  <si>
    <t>GUIA DE PARCELAMENTO INSS VITOR DEZEMBRO A JANEIRO 2025 VENCIDO 20/09/2025-VALOR SOFRERÁ AJUSTE DEVIDO MULTA E JUROS</t>
  </si>
  <si>
    <t xml:space="preserve">CARTÃO DE CREDITO-PODERA SOFRER AJUSTE </t>
  </si>
  <si>
    <t>CLARO S/A VENCIDA 22/10/2025-PODE SOFRER AJUSTE DE JUROS E MULTA</t>
  </si>
  <si>
    <t>ISS MENSAL EMPRESA HSERV LTDA -VENCIDO 20/10/2025 --VALOR SOFRERÁ AJUSTE DE JUROS E MULTA</t>
  </si>
  <si>
    <t>FGTS MENSAL - HENRIQUE JEAN COMPETENCIA 09/2025 VENCIMENTO 20/10/2025- VALOR SOFRERÁ AJUSTE DE JUROS E MULTA</t>
  </si>
  <si>
    <t>FGTS MENSAL - HSERV CABREUVA  COMPETENCIA 09/2025 VENCIMENTO 20/10/2025  VALOR SOFRERÁ AJUSTE DE JUROS E MULTA</t>
  </si>
  <si>
    <t>FGTS MENSAL - HSERV COMBINADOS  COMPETENCIA 09/2025 VENCIMENTO- VALOR SOFRERÁ AJUSTE DE JUROS E MULTA</t>
  </si>
  <si>
    <t>FGTS MENSAL - HSERV LIMPEZA COMPETENCIA 09/2025 VENCIMENTO 20/10/2025- VALOR SOFRERÁ AJUSTE DE JUROS E MULTA</t>
  </si>
  <si>
    <t>FGTS MENSAL - HSERV TECNOLOGIA  COMPETENCIA 09/2025 VENCIMENTO 20/10/2025- VALOR SOFRERÁ AJUSTE DE JUROS E MULTA</t>
  </si>
  <si>
    <t>FGTS MENSAL - HSERV LTDA COMPETENCIA 09/2025 VENCIMENTO- VALOR SOFRERÁ AJUSTE DE JUROS E MULTA</t>
  </si>
  <si>
    <t>DARF INSS MENSAL HENRIQUE JEAN DUARTE LTDA COMPETENCIA 09/2025 VENCIMENTO 20/10/2025- VALOR SOFRERÁ AJUSTE DE JUROS E MULTA</t>
  </si>
  <si>
    <t>DARF INSS MENSAL HSERV CABREUVA  LTDA COMPETENCIA 09/2025 VENCIMENTO 20/10/2025- VALOR SOFRERÁ AJUSTE DE JUROS E MULTA</t>
  </si>
  <si>
    <t>DARF INSS MENSAL HSERV COMBINADOS COMPETENCIA 09/2025 VENCIMENTO 20/10/2025- VALOR SOFRERÁ AJUSTE DE JUROS E MULTA</t>
  </si>
  <si>
    <t>DARF INSS MENSAL  HSERV LIMPEZA  COMPETENCIA 09/2025 VENCIMENTO 20/10/2025- VALOR SOFRERÁ AJUSTE DE JUROS E MULTA</t>
  </si>
  <si>
    <t>DARF INSS MENSAL HSERV TECNOLOGIA  COMPETENCIA 09/2025 VENCIMENTO 20/10/2025- VALOR SOFRERÁ AJUSTE DE JUROS E MULTA</t>
  </si>
  <si>
    <t>DARF INSS MENSAL HSERV LTDA  COMPETENCIA 09/2025 VENCIMENTO 20/10/2025- VALOR SOFRERÁ AJUSTE DE JUROS E MULTA</t>
  </si>
  <si>
    <t>DARF DE COFINS, PIS- LUCRO  PRESUMIDO HSERV CABREUVA VENCIDA 20/10/2025 -VALOR SOFRERÁ AJUSTE DE JUROS E MULTA</t>
  </si>
  <si>
    <t>SIMPLES NACIONAL MENSAL  VENCIMENTO 20/10/2025--VALOR SOFRERÁ AJUSTE DE JUROS E MULTA</t>
  </si>
  <si>
    <t>COBLI</t>
  </si>
  <si>
    <t>MAC LUCER - MAITA (MENSAL)</t>
  </si>
  <si>
    <t>CAPONUS- SOLICITAÇÃO VITOR ADM</t>
  </si>
  <si>
    <t>THIAGO CARREIRA SILVA CLINICA MEDICA EXAME ADMISSIONAL - PRESIDENTE PRUDENTE - RITA DO CARMO RODRIGUES</t>
  </si>
  <si>
    <t>GSSO GESTAO EM SAUDE E SEGURANCA OCUPACIONAL LTDA-EXAME ADMISSIONAL - MARCO ANTONIO - PAULINIA</t>
  </si>
  <si>
    <t xml:space="preserve">TECNIPLAS EQUIPAMENTOS EM COMPOSITOS - VENCIDA 30/09/2025. FALTA A OUTRA METADE DO VALOR </t>
  </si>
  <si>
    <t xml:space="preserve">TECNIPLAS EQUIPAMENTOS EM COMPOSITOS - VENCIDA 30/09/202, PAGOU R$ 11.225,96 DIA 23/10 E  FALTA A OUTRA METADE DO VALOR </t>
  </si>
  <si>
    <t>VENDAS DE PRODUTOS  CLEAN OMIE CASH</t>
  </si>
  <si>
    <t>GRU CUSTA FINAIS  Proc 0011252-29.2021.5.15.0096 AUTOR: DANILO MIGUEL DA SILVA MARIANO</t>
  </si>
  <si>
    <t>GUIA INSS Proc 0011252-29.2021.5.15.0096 AUTOR: DANILO MIGUEL DA SILVA MARIANO</t>
  </si>
  <si>
    <t>DARF INSS MENSAL HSERV TERCERIZADOS  COMPETENCIA 09/2025 VENCIMENTO 20/10/2025- Bell Art</t>
  </si>
  <si>
    <t>DARF INSS MENSAL  HSERV TERCEIRIZADOS-VENCIDA 19/09/2025-Bell Art</t>
  </si>
  <si>
    <t>FGTS MENSAL - HSERV TERCERIZADOS  COMPETENCIA 09/2025 VENCIMENTO-Bell Art</t>
  </si>
  <si>
    <t>ROSANGELA CARDOSO LIRA DE OLIVEIRA PRoc 0010002-93.2024.5.15.0018 AUTOR: JOSE GERLIANO DA SILVA LIMA</t>
  </si>
  <si>
    <t>SONIA APARECIDA MELO DOS SANTOS</t>
  </si>
  <si>
    <t>FRANCINE LAURIANE DE ABREU</t>
  </si>
  <si>
    <t>PLUXEE INSTITUICAO DE PAGAMENTO BRASIL S.A.</t>
  </si>
  <si>
    <t>HENRIQUE JOSE APELDORN-Proc 0010836-87.2024.5.15.0021 RECLAMANTE: INGRYD BIANCA OLIVEIRA</t>
  </si>
  <si>
    <t>LUCILENE TORRES GALINDO</t>
  </si>
  <si>
    <t>MOVIDA PARTICIPACOES- FATURA 07261552 VENCIDA SETEMBRO 24/09/2025 - Placa: SVQ7D60 02/08/2025 A 01/09/2025</t>
  </si>
  <si>
    <t xml:space="preserve">PROLABORE VITOR AUGUSTO DUARTE - REFERENTE A SETEMBRO </t>
  </si>
  <si>
    <t xml:space="preserve">DEVOLUÇÃO DA ANTECIPAÇÃO DE VALORES REALIZADA PELO VITOR DUARTE EM RAZÃO DO BOA TER ATRASADO O PROCESSO DE ANTECIPAÇÃO MENSAL </t>
  </si>
  <si>
    <t>DEVOLUÇÃO DA ANTECIPAÇÃO DE VALORES REALIZADA PELO VITOR DUARTE EM RAZÃO DO BOA TER ATRASADO O PROCESSO DE ANTECIPAÇÃO MENSAL - TOTAL DA DEVOLUÇÃO R$ 235.423,46</t>
  </si>
  <si>
    <t>LIMITE HSERV TERCERIZADOS-BRADESCO</t>
  </si>
  <si>
    <t xml:space="preserve">LIMITE HENRIQUE JEAN - ITAU </t>
  </si>
  <si>
    <t>OPEN IT GROUP LOJA CLEAN</t>
  </si>
  <si>
    <t xml:space="preserve">OPEN IT GROUP- BASE </t>
  </si>
  <si>
    <t>SPARTAN DO BRASIL PRODUTOS QUIMICOS LTDA VENCIMENTO 29/10/2025</t>
  </si>
  <si>
    <t>STAR CLEAN PRO INDUSTRIA E COMERCIO DE EQUIPAMENTOS DE LIMPEZA VENCIMENTO 29/10/2025</t>
  </si>
  <si>
    <t>ALTOLIM COMERCIAL ASSIS EIRELI - -VENCIMENTO 30/10/2025</t>
  </si>
  <si>
    <t>J.E. COMERCIO E SOLUCOES LTDA-VENCIMENTO 27/10/2025</t>
  </si>
  <si>
    <t>ALTOLIM COMERCIAL ASSIS EIRELI -VENCIMENTO 28/10/2025</t>
  </si>
  <si>
    <t>NEXTI DESENVOLVIMENTO DE SISTEMAS S.A.-VENCIMENTO 30/10/2025</t>
  </si>
  <si>
    <t>MAC LUCER - VINEA (MENSAL) -VENCIMENTO 25/10/2025</t>
  </si>
  <si>
    <t>LOTUS CENTRAL DE DISTRIBUICAO DE HIGIENICOS LTDA-VENCIMENTO 24/10/2025</t>
  </si>
  <si>
    <t>LUPE LOCACAO E COMERCIO DE EQUIPAMENTOS ELETRONICOS E SERVIÇOS-VENCIMENTO 30/10/2025</t>
  </si>
  <si>
    <t>PREFEITURA MUNICIPAL DE CABREUVA</t>
  </si>
  <si>
    <t>J.E. COMERCIO E SOLUCOES LTDA-VENCIMENTO 30/10/2025</t>
  </si>
  <si>
    <t xml:space="preserve">DAMIAO BERNARDO DA SILVA- VA 4 DIAS </t>
  </si>
  <si>
    <t>CSLL TRIMESTRAL HSERV CABREUVA 1º SEMESTRE DE 2025</t>
  </si>
  <si>
    <t>IRPJ TRIMESTRAL HSERV CABREUVA  1º SEMESTRE DE 2025</t>
  </si>
  <si>
    <t>BRUNA STEFANI DE CASTRO POSTO VAGO VIVIANE RODRIGUES DA SILVA -PIRATININGA LOJA 37- FTS FALTANTE REDE AVENIDA</t>
  </si>
  <si>
    <t>JANDIRA PEREIRA DELGADO COBRINDO ATESTADO MARIA DAS DORES CONCEIÇÃO ASSIS - ESCRITORIO CENTRAL- FTS FALTANTE REDE AVENIDA</t>
  </si>
  <si>
    <t>SINDICATO DOS EMPREGADOS - VENCIDA 10/09/2025 - BOLETO RECALCULADO ARA O DIA 23/10/2025- SOFRERÁ AJUSTE DEVIDO MULTA E JUROS</t>
  </si>
  <si>
    <t>QUEILA JESUS BERNARDES DE OLIVEIRA- FÉRIAS</t>
  </si>
  <si>
    <t>L. A. DE SOUZA - EQUIPAMENTOS DE SEGURANCA LTDA-VENCIMENTO 31/10/2025</t>
  </si>
  <si>
    <t>RSC COM. MAT.P/ CONSTRUCAO LTDA.-VENCIMENTO 31/10/2025</t>
  </si>
  <si>
    <t>ALTOLIM COMERCIAL ASSIS EIRELI - ME-VENCIMENTO 31/10/2025</t>
  </si>
  <si>
    <t xml:space="preserve">CARLOS EDUARDO DE OLIVEIRA SOCIEDADE INDIVIDUAL DE ADVOCACIA  PRoc 0011980-02.2023.5.15.0096 RECLAMANTE: LAZINHO CANDIDO PARCELA 2/18- </t>
  </si>
  <si>
    <t>IF EMPRESARIAL-VENCIDA 20/10/2025 PRORROGADA SEM JUROS OU MULTA</t>
  </si>
  <si>
    <t>ADRIANA ALVES</t>
  </si>
  <si>
    <t>KEMELLY THAIS TERTULIANO DE OLIVEIRA</t>
  </si>
  <si>
    <t>CASSIA REGINA MARTINS AMARAL</t>
  </si>
  <si>
    <t>FLAVIA PATRICIA SILVA DE LIMA</t>
  </si>
  <si>
    <t>FRANCISCA AQUINO MARCOS DOS SANTOS</t>
  </si>
  <si>
    <t>MARCOS DA SILVA</t>
  </si>
  <si>
    <t>JULIANA LEME DO PRADO</t>
  </si>
  <si>
    <t>THALYTA ALONSO DA COSTA</t>
  </si>
  <si>
    <t>MARIA ISABEL FERNANDES DE SOUZA</t>
  </si>
  <si>
    <t>LUCELIA APARECIDA RODRIGUES</t>
  </si>
  <si>
    <t>LUCIENE DA SILVA</t>
  </si>
  <si>
    <t>ROZANGELA LEITE SILVA</t>
  </si>
  <si>
    <t>AIDE ZORAIDE RONDAO</t>
  </si>
  <si>
    <t>ALFA CONSULTORIA ESPECIALIZADA LTDA-EXAMES MEDICOS - SOROCABA - MICHELE CRISTINA/ ROSEANE ROA/ THIAGO GLEISON/ GERLAINE DA SILVA/ DENILSON APARECIDO/ WILSON ZANON/</t>
  </si>
  <si>
    <t>SALARIO CLT, PENSÃO ALIMENTICIA, BONUS-PROVISÃ INFORMADA PELA DEPARTAMENTO PESSOAL</t>
  </si>
  <si>
    <t>GUIA INSS 0012114-44.2023.5.15.0188 ADILIO SANTOS SOUZA VITOR DUARTE</t>
  </si>
  <si>
    <t>GUIA PROCESSO 003125-58.2023.8.26.0161- POLIPRIME</t>
  </si>
  <si>
    <t>DEVOLUÇÃO APORTE VITOR - APORTE  2024</t>
  </si>
  <si>
    <t>GUIA DE PARCELAMENTO INSS HSERV LTDA DEZEMBRO A FEV 2025-VENCIMENTO 31/10/2025</t>
  </si>
  <si>
    <t>GUIA DE PARCELAMENTO INSS VITOR JULHO A NOV 2024-VENCIMENTO 31/10/2025</t>
  </si>
  <si>
    <t>44.166.252 HUDSON ROLDMAN TEIXEIRA</t>
  </si>
  <si>
    <t>RICARO IMPORTACAO INDUSTRIA-OMIE CASH</t>
  </si>
  <si>
    <t>MARCOS COUTO - CAIXINHA OPERACIONAL</t>
  </si>
  <si>
    <t>AGUAS- GALÃO BASE</t>
  </si>
  <si>
    <t>ESCOBRAS INDUSTRIA E COMERCIO DE MAQUINAS LTDA-MAQUINA M03-LOCAÇÃO BOA PAULINIA</t>
  </si>
  <si>
    <t>ISS- LUCRO REAL EMPRESA VITOR VENCIDO 20/09/2025-VALOR SOFRERÁ AJUSTE DEVIDO MULTA E JUROS</t>
  </si>
  <si>
    <t>RELAÇÃO DE PAGAMENTO DO DIA 28/10/2025</t>
  </si>
  <si>
    <t>CEF MATRIZ--EMPRESTIMO HENRIQUE IEAN VENCIDO AGOSTO</t>
  </si>
  <si>
    <t>CEF MATRIZ-EMPRESTIMO HSERV COMBINADOS VENCIDO-AGOSTO</t>
  </si>
  <si>
    <t>CASA AVENIDA COMERCIO E IMPORTACAO S.A</t>
  </si>
  <si>
    <t>SINDICATO DOS EMPREGADOS E TRA</t>
  </si>
  <si>
    <t>HENRIQUE JEAN DUARTE EIRELI</t>
  </si>
  <si>
    <t>GADE SOLUTION</t>
  </si>
  <si>
    <t>320870 1</t>
  </si>
  <si>
    <t>012482/1</t>
  </si>
  <si>
    <t>012481/1</t>
  </si>
  <si>
    <t>012490/1</t>
  </si>
  <si>
    <t>0041954/01</t>
  </si>
  <si>
    <t>SPARTAN BRASIL P QUIMICOS LTDA</t>
  </si>
  <si>
    <t>264023B 01</t>
  </si>
  <si>
    <t>11842-002</t>
  </si>
  <si>
    <t>CLAVE INTERNET</t>
  </si>
  <si>
    <t xml:space="preserve">HSERV  TERCEIRIZADOS </t>
  </si>
  <si>
    <t>EMPORIO MEGA 1 C ALIMENTOS S A VENCIMENTO 16/10/2025</t>
  </si>
  <si>
    <t>EMPORIO MEGA 1 C ALIMENTOS S A VENCIMENTO 20/10/2025</t>
  </si>
  <si>
    <t>EMPORIO MEGA 1 C ALIMENTOS S A VENCIMENTO 16/10/2024</t>
  </si>
  <si>
    <t>EMPORIO MEGA 1 C ALIMENTOS S A- VENCIMENTO 20/10/2025</t>
  </si>
  <si>
    <t>EMPORIO MEGA 1 C ALIMENTOS S A-VENCIMENTO 16/10/2025</t>
  </si>
  <si>
    <t>GABRIEL PEREIRA LAVAR- LAVAGEM DE CARRO-PROVISÃO</t>
  </si>
  <si>
    <t>RELAÇÃO DE PAGAMENTO DO DIA 30/10/2025</t>
  </si>
  <si>
    <t>CLINICA WISSENCE LTDA</t>
  </si>
  <si>
    <t>SUPERMERCADOS TREIXED 30/10 BOA - PORTUGA NF 819,821 E 1911- RSTANTE DO FATURAMENTO DO DIA 01/10/2025</t>
  </si>
  <si>
    <t xml:space="preserve">SUPERMERCADOS TREIXED  - BOA R$ 872.126,10- R$ 602.847,78 = R$ 269.278,32 - DEPOSITOU 29/09/2025 R$ 192.770,08 , depositou R$ 24.278,21  DIA 07/10 E NO DIA 09/10 DEPOSITOU MAIS R$ 18.100,00= RESTA 34.130,00- REFERENTE A SETEMBRO </t>
  </si>
  <si>
    <t>BOA R$ 816.717,89 , ANTECIPAÇÃO DIA 22/10/2025 R$ 697.844,37 (R$ 703.584,4),-- FALTA NF 812 E 1906 R$ 36.409,88</t>
  </si>
  <si>
    <t>PLUXEE BENEFICIOS BRASIL S.A. VALE COMBUSTIVEL COLABORADORES .- 1º SEMESTRE DE NOVEMBRO 2025</t>
  </si>
  <si>
    <t>IFOOD.COM AGENCIA DE RESTAURANTES ONLINE S.A.-VALE COMBUSTIVEL COLABORADORES .- 1º SEMESTRE DE NOVEMBRO 2025</t>
  </si>
  <si>
    <t xml:space="preserve">PASSOS SAUDE OCUPACIONAL LTDA-EXAMES MEDICOS - SIMONE APARECIDA DOS SANTOS - OURINHOS </t>
  </si>
  <si>
    <t>LEONE PEREIRA BOSCATTI</t>
  </si>
  <si>
    <t>ADENILZA MENDONCA DOS SANTOS</t>
  </si>
  <si>
    <t>MARIA SILVIA SANTOS DA PAIXAO SOUZA</t>
  </si>
  <si>
    <t>OSMIRA DOMINGOS MASSA</t>
  </si>
  <si>
    <t>VIVA FOOD R E LTDA-boleto estava sem registro</t>
  </si>
  <si>
    <t xml:space="preserve">JAIR RÉ - DEVOLUÇÃO DA ANTECIPAÇÃO DE VALORES REALIZADA PELO VITOR DUARTE EM RAZÃO DO BOA TER ATRASADO O PROCESSO DE ANTECIPAÇÃO MENSAL -ACORDO </t>
  </si>
  <si>
    <t xml:space="preserve">CHEQUE DR DUARTE - DEVOLUÇÃO DA ANTECIPAÇÃO DE VALORES REALIZADA PELO VITOR DUARTE EM RAZÃO DO BOA TER ATRASADO O PROCESSO DE ANTECIPAÇÃO MENSAL </t>
  </si>
  <si>
    <t>MOVIDA PARTICIPACOES -VENCIDA SETEMBRO 7038032</t>
  </si>
  <si>
    <t>RELAÇÃO DE PAGAMENTO DO DIA 31/10/2025</t>
  </si>
  <si>
    <t xml:space="preserve">BOA R$ 816.717,89 , ANTECIPAÇÃO DIA 22/10/2025 R$ 697.844,37 (R$ 703.584,4), FALTA R$ 105.241,46, BOA PAGOU R$ 15.632,38 ONTEM, RESTA R$ 89.309,08 A NF 812 E 1906 IRÃO PAGAR DIA 07/11 SENDO ASSIM RESTA R$ 52.899,20 </t>
  </si>
  <si>
    <t>IRRF-GUIA DE IMPOSTO VEPAKUM RETROATIVO SETEMBRO 2024</t>
  </si>
  <si>
    <t>CSRF  DE IMPOSTO VEPAKUM RETROATIVO SETEMBRO 2024</t>
  </si>
  <si>
    <t xml:space="preserve">MOVIDA PARTICIPACOES S.A. FATURA  07422879 -Placa: SVQ7D60 </t>
  </si>
  <si>
    <t xml:space="preserve">MOVIDA PARTICIPACOES S.A - FATURA 07422878 -Placa: SVQ7D60 -  </t>
  </si>
  <si>
    <t>FGTS EM ATRASO 02/2023 - MICHAEL NOVAES DE FRANCA</t>
  </si>
  <si>
    <t>FGTS EM ATRASO 12/2022 - MICHAEL NOVAES DE FRANCA</t>
  </si>
  <si>
    <t>FGTS EM ATRASO 07/2025 - MICHAEL NOVAES DE FRANCA</t>
  </si>
  <si>
    <t>FGTS EM ATRASO 10/2023 - MICHAEL NOVAES DE FRANCA</t>
  </si>
  <si>
    <t>FGTS EM ATRASO 11/2022 - MICHAEL NOVAES DE FRANCA</t>
  </si>
  <si>
    <t>FGTS EM ATRASO 08/2023 - MICHAEL NOVAES DE FRANCA</t>
  </si>
  <si>
    <t>FGTS EM ATRASO 09/2023 - MICHAEL NOVAES DE FRANCA</t>
  </si>
  <si>
    <t>FGTS EM ATRASO 12/2023 - MICHAEL NOVAES DE FRANCA</t>
  </si>
  <si>
    <t>FGTS EM ATRASO 04/2023- MICHAEL NOVAES DE FRANCA</t>
  </si>
  <si>
    <t>FGTS EM ATRASO 11/2023- MICHAEL NOVAES DE FRANCA</t>
  </si>
  <si>
    <t>RELAÇÃO DE PAGAMENTO DO DIA 03/11/2025</t>
  </si>
  <si>
    <t>GIANE GOULARTE DE MORAES MACEDO</t>
  </si>
  <si>
    <t>INGRID DAIANE DOS SANTOS</t>
  </si>
  <si>
    <t>GIRLENE DOS SANTOS OLIVEIRA</t>
  </si>
  <si>
    <t>SUZANA PAIVA GARCIA</t>
  </si>
  <si>
    <t>MARIA APARECIDA GRACIANO DA SILVA</t>
  </si>
  <si>
    <t>CENTRO DE SEGURANCA OCUPACIONAL LTDA</t>
  </si>
  <si>
    <t>LAPAMED CONSULTORIA EM SEGURANCA DO TRABALHO LTDA</t>
  </si>
  <si>
    <t>ALDA FRANCISCA DE MORAIS GABRIEL</t>
  </si>
  <si>
    <t>RITA DO CARMO RODRIGUES DA SILVA</t>
  </si>
  <si>
    <t>ALENCAR DA SILVA INACIO DE OLIVEIRA</t>
  </si>
  <si>
    <t>CONFIMED MEDICINA-EXAMES MEDICOS - CLINICA CONFIMED SOROCABA - ELIZABETE ROZE DE PAULA R$ 93,00/ DENILSON APARECIDO PEDROSO DE ALMEIDA R$ 62,00</t>
  </si>
  <si>
    <t>ROSIMEIRE NAGAMATU ASSOCIADA SIEMACO LINS</t>
  </si>
  <si>
    <t>BOLETO SINDERPRESTEM QUANTIDADE DE FUNCIONARIOS DA HENRIQUE  R$1,20 POR FUNCIONARIO  86 FUNCIONARIOS AVENIDA NA HENRIQUE (PLANILHA EM ANEXO)</t>
  </si>
  <si>
    <t>SINDICATO DOS EMPREGADOS EM EMPRESAS DE LIMPEZA PUBLICA LIMP</t>
  </si>
  <si>
    <t>CONTRIBUICAO ASSISTENCIAL REFERENTE OUTUBRO DE 2025</t>
  </si>
  <si>
    <t>SINDTERCEIRIZADOS</t>
  </si>
  <si>
    <t>Conta a pagar criada automaticamente pelo Omie.CASH. Referente ao seguinte boleto para pagamento localizado em DDA:  Linha Digitável: 34191090162221923876790840240007612610000226148 Emitido Por: SIND E T E A CONS LIMP URBANA (00.873.750/0001-78) Data de Vencimento: 10/11/2025</t>
  </si>
  <si>
    <t>SINDICATO SINETUR SOROCABA</t>
  </si>
  <si>
    <t xml:space="preserve">BRASIL MEDICINE </t>
  </si>
  <si>
    <t>Conta a pagar criada automaticamente pelo Omie.CASH. Referente ao seguinte boleto para pagamento localizado em DDA:  Linha Digitável: 03399253074810000000843972101018812670000437575 Emitido Por: MOVIDA PARTICIPACOES S A (21.314.559/0001-66) Data de Vencimento: 16/11/2025</t>
  </si>
  <si>
    <t>ANTONIO DIVINO DONATO BARTHOLOMEU</t>
  </si>
  <si>
    <t>GRRF ANTONIO DIVINO DONATO BARTHOLOMEU</t>
  </si>
  <si>
    <t>KARINA DE SOUSA MELO</t>
  </si>
  <si>
    <t>GRRF CRISTIANA APARECIDA PEREIRA LIMA</t>
  </si>
  <si>
    <t>GRRF KARINA DE SOUSA MELO</t>
  </si>
  <si>
    <t>ISS-LUCRO REAL EMPRESA VITOR</t>
  </si>
  <si>
    <t>Conta a pagar criada automaticamente pelo Omie.CASH. Referente ao seguinte boleto para pagamento localizado em DDA:  Linha Digitável: 03399056144090000001509471901018112730000347383 Emitido Por: MOVIDA PARTICIPACOES S A (21.314.559/0001-66) Data de Vencimento: 22/11/2025</t>
  </si>
  <si>
    <t>KEVYN TAWAN BERTONHA FERREIRA-FGTS EM ATRASO</t>
  </si>
  <si>
    <t>ISS- LUCRO REAL EMPRESA VITOR</t>
  </si>
  <si>
    <t>LOCALIZA FLEET S.A. PRORROGADA PARA O DIA 24/11/2025-AVARIAS</t>
  </si>
  <si>
    <t>LOCALIZA - VENCIDA 30/09/2025 KM EXCEDENTE</t>
  </si>
  <si>
    <t xml:space="preserve">LOCALIZA - VENCIDA 30/08/2025 -LOCAÇÃO </t>
  </si>
  <si>
    <t xml:space="preserve">LOCALIZA - VENCIDA 30/10/2025-LOCAÇÃO </t>
  </si>
  <si>
    <t xml:space="preserve">CARTÃO DE CREDITO-VITOR-PROLABORE </t>
  </si>
  <si>
    <t>PROLABORE SOCIOS- VERIFICAR COM O VITOR ANTES DE PAGAR</t>
  </si>
  <si>
    <t>TED 422.0115.KYN C V A L-VENCIDA 10/10/2025</t>
  </si>
  <si>
    <t>TECNIPLAS EQUIPAMENTOS EM COMPOSITOS VENCIDA 10/11/2025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</si>
</sst>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]\ #,##0.00;\-[$R$ ]#,##0.00"/>
    <numFmt numFmtId="165" formatCode="#,##0.0#########;\-#,##0.0#########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6"/>
      <color theme="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ED0000"/>
      <name val="Calibri Light"/>
      <family val="2"/>
      <scheme val="major"/>
    </font>
    <font>
      <sz val="10"/>
      <color rgb="FFED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 Light"/>
      <family val="2"/>
      <scheme val="major"/>
    </font>
    <font>
      <sz val="10"/>
      <color rgb="FF1111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EE0000"/>
      <name val="Calibri Light"/>
      <family val="2"/>
      <scheme val="major"/>
    </font>
    <font>
      <sz val="11"/>
      <color rgb="FF11111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b/>
      <sz val="10"/>
      <name val="Calibri Light"/>
      <family val="2"/>
      <scheme val="major"/>
    </font>
    <font>
      <sz val="9"/>
      <color rgb="FF111111"/>
      <name val="Arial"/>
      <family val="2"/>
    </font>
    <font>
      <sz val="9"/>
      <color rgb="FFFF0000"/>
      <name val="Arial"/>
      <family val="2"/>
    </font>
    <font>
      <sz val="12"/>
      <color rgb="FF111111"/>
      <name val="Arial"/>
      <family val="2"/>
    </font>
    <font>
      <b/>
      <sz val="9"/>
      <color rgb="FF111111"/>
      <name val="Arial"/>
      <family val="2"/>
    </font>
    <font>
      <sz val="10"/>
      <color rgb="FF333333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8"/>
      <color rgb="FFFF0000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.85"/>
      <color rgb="FF333333"/>
      <name val="Tahoma"/>
      <family val="2"/>
    </font>
    <font>
      <sz val="11.85"/>
      <color rgb="FF0000A0"/>
      <name val="Tahoma"/>
      <family val="2"/>
    </font>
    <font>
      <sz val="11.85"/>
      <color rgb="FFCC092F"/>
      <name val="Tahoma"/>
      <family val="2"/>
    </font>
    <font>
      <b/>
      <sz val="10"/>
      <color rgb="FF333333"/>
      <name val="Calibri Light"/>
      <family val="2"/>
      <scheme val="major"/>
    </font>
    <font>
      <b/>
      <u val="singleAccounting"/>
      <sz val="11"/>
      <color rgb="FFFF0000"/>
      <name val="Calibri"/>
      <family val="2"/>
      <scheme val="minor"/>
    </font>
    <font>
      <i/>
      <sz val="10"/>
      <name val="Calibri Light"/>
      <family val="2"/>
      <scheme val="major"/>
    </font>
    <font>
      <sz val="6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FF0000"/>
      <name val="Calibri Light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9" tint="0.59999389629810485"/>
        <bgColor theme="4" tint="0.59999389629810485"/>
      </patternFill>
    </fill>
    <fill>
      <patternFill patternType="solid">
        <fgColor rgb="FFE9E9E9"/>
        <bgColor rgb="FFE9E9E9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3F3F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/>
      <diagonal/>
    </border>
    <border>
      <left/>
      <right/>
      <top style="medium">
        <color rgb="FFB8B8B8"/>
      </top>
      <bottom/>
      <diagonal/>
    </border>
    <border>
      <left/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/>
      <top/>
      <bottom/>
      <diagonal/>
    </border>
    <border>
      <left/>
      <right style="medium">
        <color rgb="FFB8B8B8"/>
      </right>
      <top/>
      <bottom/>
      <diagonal/>
    </border>
    <border>
      <left style="medium">
        <color rgb="FFB8B8B8"/>
      </left>
      <right/>
      <top/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4">
    <xf numFmtId="0" fontId="0" fillId="0" borderId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41" fillId="0" borderId="0" applyNumberFormat="0" applyFill="0" applyBorder="0" applyAlignment="0" applyProtection="0"/>
  </cellStyleXfs>
  <cellXfs count="1177">
    <xf numFmtId="0" fontId="0" fillId="0" borderId="0" xfId="0"/>
    <xf numFmtId="44" fontId="0" fillId="0" borderId="0" xfId="0" applyNumberFormat="1"/>
    <xf numFmtId="14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left" vertical="center" wrapText="1"/>
    </xf>
    <xf numFmtId="0" fontId="0" fillId="0" borderId="1" xfId="0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14" fontId="3" fillId="2" borderId="6" xfId="0" applyNumberFormat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44" fontId="8" fillId="0" borderId="0" xfId="0" applyNumberFormat="1" applyFont="1"/>
    <xf numFmtId="14" fontId="3" fillId="2" borderId="8" xfId="0" applyNumberFormat="1" applyFont="1" applyFill="1" applyBorder="1" applyAlignment="1">
      <alignment horizontal="left" vertical="center" wrapText="1"/>
    </xf>
    <xf numFmtId="4" fontId="3" fillId="2" borderId="8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/>
    <xf numFmtId="0" fontId="10" fillId="2" borderId="1" xfId="0" applyFont="1" applyFill="1" applyBorder="1" applyAlignment="1">
      <alignment horizontal="left"/>
    </xf>
    <xf numFmtId="44" fontId="11" fillId="3" borderId="1" xfId="0" applyNumberFormat="1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vertical="center" wrapText="1"/>
    </xf>
    <xf numFmtId="44" fontId="10" fillId="2" borderId="1" xfId="0" applyNumberFormat="1" applyFont="1" applyFill="1" applyBorder="1" applyAlignment="1">
      <alignment wrapText="1"/>
    </xf>
    <xf numFmtId="14" fontId="13" fillId="2" borderId="1" xfId="0" applyNumberFormat="1" applyFont="1" applyFill="1" applyBorder="1" applyAlignment="1">
      <alignment horizontal="lef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/>
    <xf numFmtId="14" fontId="13" fillId="3" borderId="1" xfId="0" applyNumberFormat="1" applyFont="1" applyFill="1" applyBorder="1" applyAlignment="1">
      <alignment horizontal="left" vertical="center" wrapText="1"/>
    </xf>
    <xf numFmtId="44" fontId="13" fillId="3" borderId="1" xfId="0" applyNumberFormat="1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44" fontId="5" fillId="3" borderId="1" xfId="0" applyNumberFormat="1" applyFont="1" applyFill="1" applyBorder="1" applyAlignment="1">
      <alignment horizontal="right" vertical="center" wrapText="1"/>
    </xf>
    <xf numFmtId="14" fontId="12" fillId="2" borderId="1" xfId="0" applyNumberFormat="1" applyFont="1" applyFill="1" applyBorder="1" applyAlignment="1">
      <alignment horizontal="left" vertical="center" wrapText="1"/>
    </xf>
    <xf numFmtId="14" fontId="12" fillId="3" borderId="1" xfId="0" applyNumberFormat="1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44" fontId="12" fillId="3" borderId="1" xfId="0" applyNumberFormat="1" applyFont="1" applyFill="1" applyBorder="1" applyAlignment="1">
      <alignment horizontal="right" vertical="center" wrapText="1"/>
    </xf>
    <xf numFmtId="4" fontId="12" fillId="2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lef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44" fontId="10" fillId="3" borderId="1" xfId="0" applyNumberFormat="1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44" fontId="10" fillId="2" borderId="1" xfId="0" applyNumberFormat="1" applyFont="1" applyFill="1" applyBorder="1"/>
    <xf numFmtId="44" fontId="10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14" fontId="10" fillId="2" borderId="8" xfId="0" applyNumberFormat="1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44" fontId="10" fillId="3" borderId="8" xfId="0" applyNumberFormat="1" applyFont="1" applyFill="1" applyBorder="1" applyAlignment="1">
      <alignment horizontal="right" vertical="center" wrapText="1"/>
    </xf>
    <xf numFmtId="4" fontId="10" fillId="2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4" fontId="10" fillId="2" borderId="6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wrapText="1"/>
    </xf>
    <xf numFmtId="14" fontId="5" fillId="3" borderId="1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vertical="center" wrapText="1"/>
    </xf>
    <xf numFmtId="0" fontId="10" fillId="2" borderId="1" xfId="0" applyFont="1" applyFill="1" applyBorder="1"/>
    <xf numFmtId="14" fontId="3" fillId="3" borderId="8" xfId="0" applyNumberFormat="1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left" wrapText="1"/>
    </xf>
    <xf numFmtId="44" fontId="3" fillId="3" borderId="8" xfId="0" applyNumberFormat="1" applyFont="1" applyFill="1" applyBorder="1" applyAlignment="1">
      <alignment horizontal="righ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4" fontId="3" fillId="2" borderId="7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4" fontId="3" fillId="2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wrapText="1"/>
    </xf>
    <xf numFmtId="44" fontId="3" fillId="3" borderId="6" xfId="0" applyNumberFormat="1" applyFont="1" applyFill="1" applyBorder="1" applyAlignment="1">
      <alignment horizontal="right" vertical="center" wrapText="1"/>
    </xf>
    <xf numFmtId="44" fontId="3" fillId="3" borderId="1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0" borderId="1" xfId="0" applyFont="1" applyBorder="1"/>
    <xf numFmtId="14" fontId="3" fillId="2" borderId="1" xfId="0" applyNumberFormat="1" applyFont="1" applyFill="1" applyBorder="1" applyAlignment="1">
      <alignment horizontal="left" vertical="center"/>
    </xf>
    <xf numFmtId="44" fontId="3" fillId="2" borderId="6" xfId="0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vertical="center"/>
    </xf>
    <xf numFmtId="0" fontId="3" fillId="2" borderId="8" xfId="0" applyFont="1" applyFill="1" applyBorder="1"/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/>
    <xf numFmtId="4" fontId="3" fillId="2" borderId="6" xfId="0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44" fontId="3" fillId="6" borderId="1" xfId="0" applyNumberFormat="1" applyFont="1" applyFill="1" applyBorder="1" applyAlignment="1">
      <alignment vertical="center"/>
    </xf>
    <xf numFmtId="14" fontId="3" fillId="2" borderId="8" xfId="0" applyNumberFormat="1" applyFont="1" applyFill="1" applyBorder="1" applyAlignment="1">
      <alignment horizontal="left" vertical="center"/>
    </xf>
    <xf numFmtId="0" fontId="3" fillId="2" borderId="8" xfId="0" applyFont="1" applyFill="1" applyBorder="1" applyAlignment="1">
      <alignment vertical="center" wrapText="1"/>
    </xf>
    <xf numFmtId="0" fontId="3" fillId="2" borderId="3" xfId="0" applyFont="1" applyFill="1" applyBorder="1"/>
    <xf numFmtId="0" fontId="7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44" fontId="7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wrapText="1"/>
    </xf>
    <xf numFmtId="0" fontId="10" fillId="2" borderId="1" xfId="0" applyFont="1" applyFill="1" applyBorder="1" applyAlignment="1">
      <alignment vertical="center"/>
    </xf>
    <xf numFmtId="44" fontId="10" fillId="2" borderId="1" xfId="0" applyNumberFormat="1" applyFont="1" applyFill="1" applyBorder="1" applyAlignment="1">
      <alignment vertical="center"/>
    </xf>
    <xf numFmtId="4" fontId="10" fillId="2" borderId="1" xfId="0" applyNumberFormat="1" applyFont="1" applyFill="1" applyBorder="1" applyAlignment="1">
      <alignment horizontal="left" wrapText="1"/>
    </xf>
    <xf numFmtId="14" fontId="10" fillId="2" borderId="1" xfId="0" applyNumberFormat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wrapText="1"/>
    </xf>
    <xf numFmtId="44" fontId="10" fillId="5" borderId="1" xfId="0" applyNumberFormat="1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44" fontId="10" fillId="2" borderId="1" xfId="0" applyNumberFormat="1" applyFont="1" applyFill="1" applyBorder="1" applyAlignment="1">
      <alignment horizontal="left" vertical="center"/>
    </xf>
    <xf numFmtId="44" fontId="12" fillId="5" borderId="1" xfId="0" applyNumberFormat="1" applyFont="1" applyFill="1" applyBorder="1"/>
    <xf numFmtId="0" fontId="1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0" fontId="7" fillId="2" borderId="0" xfId="0" applyFont="1" applyFill="1"/>
    <xf numFmtId="14" fontId="7" fillId="3" borderId="1" xfId="0" applyNumberFormat="1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/>
    </xf>
    <xf numFmtId="14" fontId="13" fillId="2" borderId="1" xfId="0" applyNumberFormat="1" applyFont="1" applyFill="1" applyBorder="1" applyAlignment="1">
      <alignment horizontal="left"/>
    </xf>
    <xf numFmtId="0" fontId="13" fillId="2" borderId="0" xfId="0" applyFont="1" applyFill="1"/>
    <xf numFmtId="0" fontId="13" fillId="3" borderId="1" xfId="0" applyFont="1" applyFill="1" applyBorder="1" applyAlignment="1">
      <alignment horizontal="left" wrapText="1"/>
    </xf>
    <xf numFmtId="0" fontId="3" fillId="2" borderId="0" xfId="0" applyFont="1" applyFill="1"/>
    <xf numFmtId="0" fontId="13" fillId="2" borderId="1" xfId="0" applyFont="1" applyFill="1" applyBorder="1" applyAlignment="1">
      <alignment horizontal="left" vertical="center"/>
    </xf>
    <xf numFmtId="44" fontId="13" fillId="2" borderId="1" xfId="0" applyNumberFormat="1" applyFont="1" applyFill="1" applyBorder="1" applyAlignment="1">
      <alignment horizontal="right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/>
    <xf numFmtId="14" fontId="16" fillId="2" borderId="1" xfId="0" applyNumberFormat="1" applyFont="1" applyFill="1" applyBorder="1" applyAlignment="1">
      <alignment horizontal="left" vertical="center"/>
    </xf>
    <xf numFmtId="44" fontId="3" fillId="2" borderId="8" xfId="0" applyNumberFormat="1" applyFont="1" applyFill="1" applyBorder="1" applyAlignment="1">
      <alignment vertical="center"/>
    </xf>
    <xf numFmtId="14" fontId="3" fillId="2" borderId="6" xfId="0" applyNumberFormat="1" applyFont="1" applyFill="1" applyBorder="1" applyAlignment="1">
      <alignment horizontal="left" vertical="center"/>
    </xf>
    <xf numFmtId="14" fontId="10" fillId="2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4" fontId="3" fillId="2" borderId="0" xfId="0" applyNumberFormat="1" applyFont="1" applyFill="1"/>
    <xf numFmtId="0" fontId="16" fillId="2" borderId="0" xfId="0" applyFont="1" applyFill="1"/>
    <xf numFmtId="44" fontId="13" fillId="2" borderId="1" xfId="0" applyNumberFormat="1" applyFont="1" applyFill="1" applyBorder="1"/>
    <xf numFmtId="44" fontId="3" fillId="2" borderId="1" xfId="0" applyNumberFormat="1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 wrapText="1"/>
    </xf>
    <xf numFmtId="14" fontId="7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44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wrapText="1"/>
    </xf>
    <xf numFmtId="44" fontId="7" fillId="2" borderId="1" xfId="0" applyNumberFormat="1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4" fontId="10" fillId="2" borderId="7" xfId="0" applyNumberFormat="1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left"/>
    </xf>
    <xf numFmtId="44" fontId="3" fillId="2" borderId="8" xfId="0" applyNumberFormat="1" applyFont="1" applyFill="1" applyBorder="1"/>
    <xf numFmtId="14" fontId="7" fillId="2" borderId="8" xfId="0" applyNumberFormat="1" applyFont="1" applyFill="1" applyBorder="1" applyAlignment="1">
      <alignment horizontal="left"/>
    </xf>
    <xf numFmtId="14" fontId="7" fillId="2" borderId="8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44" fontId="7" fillId="3" borderId="8" xfId="0" applyNumberFormat="1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wrapText="1"/>
    </xf>
    <xf numFmtId="44" fontId="7" fillId="2" borderId="8" xfId="0" applyNumberFormat="1" applyFont="1" applyFill="1" applyBorder="1"/>
    <xf numFmtId="4" fontId="7" fillId="2" borderId="8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left"/>
    </xf>
    <xf numFmtId="14" fontId="13" fillId="3" borderId="6" xfId="0" applyNumberFormat="1" applyFont="1" applyFill="1" applyBorder="1" applyAlignment="1">
      <alignment horizontal="left" vertical="center" wrapText="1"/>
    </xf>
    <xf numFmtId="14" fontId="13" fillId="2" borderId="6" xfId="0" applyNumberFormat="1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44" fontId="13" fillId="3" borderId="6" xfId="0" applyNumberFormat="1" applyFont="1" applyFill="1" applyBorder="1" applyAlignment="1">
      <alignment horizontal="right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3" fillId="2" borderId="7" xfId="0" applyNumberFormat="1" applyFont="1" applyFill="1" applyBorder="1" applyAlignment="1">
      <alignment horizontal="left" vertical="center"/>
    </xf>
    <xf numFmtId="14" fontId="3" fillId="3" borderId="7" xfId="0" applyNumberFormat="1" applyFont="1" applyFill="1" applyBorder="1" applyAlignment="1">
      <alignment horizontal="left" vertical="center" wrapText="1"/>
    </xf>
    <xf numFmtId="44" fontId="3" fillId="3" borderId="7" xfId="0" applyNumberFormat="1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wrapText="1"/>
    </xf>
    <xf numFmtId="0" fontId="3" fillId="3" borderId="7" xfId="0" applyFont="1" applyFill="1" applyBorder="1" applyAlignment="1">
      <alignment vertical="center" wrapText="1"/>
    </xf>
    <xf numFmtId="0" fontId="3" fillId="2" borderId="7" xfId="0" applyFont="1" applyFill="1" applyBorder="1"/>
    <xf numFmtId="44" fontId="3" fillId="2" borderId="7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/>
    </xf>
    <xf numFmtId="44" fontId="3" fillId="2" borderId="6" xfId="0" applyNumberFormat="1" applyFont="1" applyFill="1" applyBorder="1"/>
    <xf numFmtId="0" fontId="13" fillId="2" borderId="6" xfId="0" applyFont="1" applyFill="1" applyBorder="1" applyAlignment="1">
      <alignment horizontal="left" vertical="center"/>
    </xf>
    <xf numFmtId="0" fontId="13" fillId="2" borderId="6" xfId="0" applyFont="1" applyFill="1" applyBorder="1"/>
    <xf numFmtId="44" fontId="13" fillId="2" borderId="6" xfId="0" applyNumberFormat="1" applyFont="1" applyFill="1" applyBorder="1" applyAlignment="1">
      <alignment horizontal="right" vertical="center" wrapText="1"/>
    </xf>
    <xf numFmtId="4" fontId="13" fillId="2" borderId="6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wrapText="1"/>
    </xf>
    <xf numFmtId="14" fontId="13" fillId="2" borderId="6" xfId="0" applyNumberFormat="1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 wrapText="1"/>
    </xf>
    <xf numFmtId="0" fontId="3" fillId="7" borderId="0" xfId="0" applyFont="1" applyFill="1"/>
    <xf numFmtId="44" fontId="2" fillId="7" borderId="1" xfId="0" applyNumberFormat="1" applyFont="1" applyFill="1" applyBorder="1"/>
    <xf numFmtId="44" fontId="8" fillId="0" borderId="1" xfId="0" applyNumberFormat="1" applyFont="1" applyBorder="1"/>
    <xf numFmtId="44" fontId="15" fillId="8" borderId="1" xfId="0" applyNumberFormat="1" applyFont="1" applyFill="1" applyBorder="1" applyAlignment="1">
      <alignment horizontal="left"/>
    </xf>
    <xf numFmtId="44" fontId="15" fillId="8" borderId="1" xfId="0" applyNumberFormat="1" applyFont="1" applyFill="1" applyBorder="1"/>
    <xf numFmtId="0" fontId="3" fillId="2" borderId="6" xfId="0" applyFont="1" applyFill="1" applyBorder="1" applyAlignment="1">
      <alignment wrapText="1"/>
    </xf>
    <xf numFmtId="44" fontId="1" fillId="0" borderId="0" xfId="0" applyNumberFormat="1" applyFont="1"/>
    <xf numFmtId="16" fontId="0" fillId="0" borderId="0" xfId="0" applyNumberFormat="1"/>
    <xf numFmtId="44" fontId="9" fillId="0" borderId="1" xfId="0" applyNumberFormat="1" applyFont="1" applyBorder="1"/>
    <xf numFmtId="14" fontId="10" fillId="3" borderId="6" xfId="0" applyNumberFormat="1" applyFont="1" applyFill="1" applyBorder="1" applyAlignment="1">
      <alignment horizontal="left" vertical="center" wrapText="1"/>
    </xf>
    <xf numFmtId="14" fontId="10" fillId="2" borderId="6" xfId="0" applyNumberFormat="1" applyFont="1" applyFill="1" applyBorder="1" applyAlignment="1">
      <alignment horizontal="left" vertical="center" wrapText="1"/>
    </xf>
    <xf numFmtId="44" fontId="10" fillId="3" borderId="6" xfId="0" applyNumberFormat="1" applyFont="1" applyFill="1" applyBorder="1" applyAlignment="1">
      <alignment horizontal="right" vertical="center" wrapText="1"/>
    </xf>
    <xf numFmtId="0" fontId="10" fillId="3" borderId="6" xfId="0" applyFont="1" applyFill="1" applyBorder="1" applyAlignment="1">
      <alignment horizontal="center" vertical="center" wrapText="1"/>
    </xf>
    <xf numFmtId="14" fontId="10" fillId="2" borderId="8" xfId="0" applyNumberFormat="1" applyFont="1" applyFill="1" applyBorder="1" applyAlignment="1">
      <alignment horizontal="left"/>
    </xf>
    <xf numFmtId="44" fontId="10" fillId="2" borderId="8" xfId="0" applyNumberFormat="1" applyFont="1" applyFill="1" applyBorder="1"/>
    <xf numFmtId="0" fontId="10" fillId="2" borderId="8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left"/>
    </xf>
    <xf numFmtId="0" fontId="12" fillId="2" borderId="1" xfId="0" applyFont="1" applyFill="1" applyBorder="1"/>
    <xf numFmtId="44" fontId="12" fillId="2" borderId="1" xfId="0" applyNumberFormat="1" applyFont="1" applyFill="1" applyBorder="1"/>
    <xf numFmtId="0" fontId="12" fillId="2" borderId="1" xfId="0" applyFont="1" applyFill="1" applyBorder="1" applyAlignment="1">
      <alignment horizontal="center" vertical="center"/>
    </xf>
    <xf numFmtId="44" fontId="5" fillId="2" borderId="1" xfId="0" applyNumberFormat="1" applyFont="1" applyFill="1" applyBorder="1" applyAlignment="1">
      <alignment horizontal="right" vertical="center" wrapText="1"/>
    </xf>
    <xf numFmtId="44" fontId="0" fillId="0" borderId="1" xfId="0" applyNumberFormat="1" applyBorder="1" applyAlignment="1">
      <alignment horizontal="center"/>
    </xf>
    <xf numFmtId="14" fontId="10" fillId="2" borderId="6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/>
    <xf numFmtId="44" fontId="10" fillId="2" borderId="6" xfId="0" applyNumberFormat="1" applyFont="1" applyFill="1" applyBorder="1"/>
    <xf numFmtId="0" fontId="10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left" vertical="center" wrapText="1"/>
    </xf>
    <xf numFmtId="44" fontId="3" fillId="3" borderId="5" xfId="0" applyNumberFormat="1" applyFont="1" applyFill="1" applyBorder="1" applyAlignment="1">
      <alignment horizontal="right" vertical="center" wrapText="1"/>
    </xf>
    <xf numFmtId="44" fontId="3" fillId="2" borderId="5" xfId="0" applyNumberFormat="1" applyFont="1" applyFill="1" applyBorder="1" applyAlignment="1">
      <alignment vertical="center"/>
    </xf>
    <xf numFmtId="44" fontId="3" fillId="3" borderId="14" xfId="0" applyNumberFormat="1" applyFont="1" applyFill="1" applyBorder="1" applyAlignment="1">
      <alignment horizontal="right" vertical="center" wrapText="1"/>
    </xf>
    <xf numFmtId="44" fontId="3" fillId="2" borderId="13" xfId="0" applyNumberFormat="1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44" fontId="3" fillId="2" borderId="8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left" vertical="center" wrapText="1"/>
    </xf>
    <xf numFmtId="14" fontId="3" fillId="14" borderId="1" xfId="0" applyNumberFormat="1" applyFont="1" applyFill="1" applyBorder="1" applyAlignment="1">
      <alignment horizontal="left" vertical="center" wrapText="1"/>
    </xf>
    <xf numFmtId="44" fontId="3" fillId="15" borderId="1" xfId="0" applyNumberFormat="1" applyFont="1" applyFill="1" applyBorder="1" applyAlignment="1">
      <alignment horizontal="right" vertical="center" wrapText="1"/>
    </xf>
    <xf numFmtId="4" fontId="3" fillId="14" borderId="1" xfId="0" applyNumberFormat="1" applyFont="1" applyFill="1" applyBorder="1" applyAlignment="1">
      <alignment horizontal="center" vertical="center"/>
    </xf>
    <xf numFmtId="0" fontId="3" fillId="14" borderId="0" xfId="0" applyFont="1" applyFill="1"/>
    <xf numFmtId="14" fontId="3" fillId="15" borderId="1" xfId="0" applyNumberFormat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left" wrapText="1"/>
    </xf>
    <xf numFmtId="0" fontId="3" fillId="15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14" fontId="3" fillId="14" borderId="8" xfId="0" applyNumberFormat="1" applyFont="1" applyFill="1" applyBorder="1" applyAlignment="1">
      <alignment horizontal="left"/>
    </xf>
    <xf numFmtId="14" fontId="3" fillId="14" borderId="8" xfId="0" applyNumberFormat="1" applyFont="1" applyFill="1" applyBorder="1" applyAlignment="1">
      <alignment horizontal="left" vertical="center" wrapText="1"/>
    </xf>
    <xf numFmtId="44" fontId="3" fillId="14" borderId="8" xfId="0" applyNumberFormat="1" applyFont="1" applyFill="1" applyBorder="1"/>
    <xf numFmtId="14" fontId="13" fillId="15" borderId="1" xfId="0" applyNumberFormat="1" applyFont="1" applyFill="1" applyBorder="1" applyAlignment="1">
      <alignment horizontal="left" vertical="center" wrapText="1"/>
    </xf>
    <xf numFmtId="14" fontId="13" fillId="14" borderId="1" xfId="0" applyNumberFormat="1" applyFont="1" applyFill="1" applyBorder="1" applyAlignment="1">
      <alignment horizontal="left" vertical="center" wrapText="1"/>
    </xf>
    <xf numFmtId="0" fontId="13" fillId="14" borderId="0" xfId="0" applyFont="1" applyFill="1"/>
    <xf numFmtId="0" fontId="13" fillId="15" borderId="1" xfId="0" applyFont="1" applyFill="1" applyBorder="1" applyAlignment="1">
      <alignment horizontal="left" vertical="center" wrapText="1"/>
    </xf>
    <xf numFmtId="44" fontId="13" fillId="15" borderId="1" xfId="0" applyNumberFormat="1" applyFont="1" applyFill="1" applyBorder="1" applyAlignment="1">
      <alignment horizontal="right" vertical="center" wrapText="1"/>
    </xf>
    <xf numFmtId="14" fontId="12" fillId="2" borderId="1" xfId="0" applyNumberFormat="1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12" fillId="14" borderId="0" xfId="0" applyFont="1" applyFill="1"/>
    <xf numFmtId="0" fontId="3" fillId="14" borderId="1" xfId="0" applyFont="1" applyFill="1" applyBorder="1" applyAlignment="1">
      <alignment horizontal="left" vertical="center" wrapText="1"/>
    </xf>
    <xf numFmtId="0" fontId="3" fillId="14" borderId="3" xfId="0" applyFont="1" applyFill="1" applyBorder="1"/>
    <xf numFmtId="0" fontId="3" fillId="14" borderId="8" xfId="0" applyFont="1" applyFill="1" applyBorder="1" applyAlignment="1">
      <alignment horizontal="center" vertical="center"/>
    </xf>
    <xf numFmtId="14" fontId="10" fillId="2" borderId="6" xfId="0" applyNumberFormat="1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 vertical="center" wrapText="1"/>
    </xf>
    <xf numFmtId="14" fontId="16" fillId="3" borderId="1" xfId="0" applyNumberFormat="1" applyFont="1" applyFill="1" applyBorder="1" applyAlignment="1">
      <alignment horizontal="left" vertical="center" wrapText="1"/>
    </xf>
    <xf numFmtId="0" fontId="3" fillId="3" borderId="15" xfId="0" applyFont="1" applyFill="1" applyBorder="1" applyAlignment="1">
      <alignment horizontal="center" vertical="center" wrapText="1"/>
    </xf>
    <xf numFmtId="44" fontId="3" fillId="3" borderId="2" xfId="0" applyNumberFormat="1" applyFont="1" applyFill="1" applyBorder="1" applyAlignment="1">
      <alignment horizontal="right" vertical="center" wrapText="1"/>
    </xf>
    <xf numFmtId="4" fontId="3" fillId="2" borderId="5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 wrapText="1"/>
    </xf>
    <xf numFmtId="4" fontId="13" fillId="2" borderId="5" xfId="0" applyNumberFormat="1" applyFont="1" applyFill="1" applyBorder="1" applyAlignment="1">
      <alignment horizontal="center" vertical="center"/>
    </xf>
    <xf numFmtId="44" fontId="10" fillId="2" borderId="1" xfId="0" applyNumberFormat="1" applyFont="1" applyFill="1" applyBorder="1" applyAlignment="1">
      <alignment horizontal="center"/>
    </xf>
    <xf numFmtId="14" fontId="7" fillId="3" borderId="8" xfId="0" applyNumberFormat="1" applyFont="1" applyFill="1" applyBorder="1" applyAlignment="1">
      <alignment horizontal="left" vertical="center" wrapText="1"/>
    </xf>
    <xf numFmtId="44" fontId="7" fillId="3" borderId="5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/>
    <xf numFmtId="44" fontId="7" fillId="2" borderId="5" xfId="0" applyNumberFormat="1" applyFont="1" applyFill="1" applyBorder="1"/>
    <xf numFmtId="0" fontId="7" fillId="2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/>
    </xf>
    <xf numFmtId="44" fontId="3" fillId="3" borderId="9" xfId="0" applyNumberFormat="1" applyFont="1" applyFill="1" applyBorder="1" applyAlignment="1">
      <alignment horizontal="right" vertical="center" wrapText="1"/>
    </xf>
    <xf numFmtId="0" fontId="13" fillId="15" borderId="5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wrapText="1"/>
    </xf>
    <xf numFmtId="0" fontId="3" fillId="14" borderId="8" xfId="0" applyFont="1" applyFill="1" applyBorder="1" applyAlignment="1">
      <alignment vertical="center"/>
    </xf>
    <xf numFmtId="44" fontId="3" fillId="2" borderId="5" xfId="0" applyNumberFormat="1" applyFont="1" applyFill="1" applyBorder="1" applyAlignment="1">
      <alignment horizontal="right" vertical="center" wrapText="1"/>
    </xf>
    <xf numFmtId="0" fontId="3" fillId="15" borderId="1" xfId="0" applyFont="1" applyFill="1" applyBorder="1" applyAlignment="1">
      <alignment horizontal="left" vertical="center" wrapText="1"/>
    </xf>
    <xf numFmtId="44" fontId="3" fillId="15" borderId="5" xfId="0" applyNumberFormat="1" applyFont="1" applyFill="1" applyBorder="1" applyAlignment="1">
      <alignment horizontal="right" vertical="center" wrapText="1"/>
    </xf>
    <xf numFmtId="44" fontId="13" fillId="15" borderId="5" xfId="0" applyNumberFormat="1" applyFont="1" applyFill="1" applyBorder="1" applyAlignment="1">
      <alignment horizontal="right" vertical="center" wrapText="1"/>
    </xf>
    <xf numFmtId="0" fontId="3" fillId="15" borderId="3" xfId="0" applyFont="1" applyFill="1" applyBorder="1" applyAlignment="1">
      <alignment horizontal="left" vertical="center" wrapText="1"/>
    </xf>
    <xf numFmtId="44" fontId="3" fillId="15" borderId="1" xfId="0" applyNumberFormat="1" applyFont="1" applyFill="1" applyBorder="1" applyAlignment="1">
      <alignment horizontal="center" vertical="center" wrapText="1"/>
    </xf>
    <xf numFmtId="44" fontId="3" fillId="15" borderId="5" xfId="0" applyNumberFormat="1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/>
    </xf>
    <xf numFmtId="0" fontId="3" fillId="14" borderId="1" xfId="0" applyFont="1" applyFill="1" applyBorder="1"/>
    <xf numFmtId="44" fontId="3" fillId="14" borderId="1" xfId="0" applyNumberFormat="1" applyFont="1" applyFill="1" applyBorder="1" applyAlignment="1">
      <alignment horizontal="center"/>
    </xf>
    <xf numFmtId="44" fontId="3" fillId="15" borderId="14" xfId="0" applyNumberFormat="1" applyFont="1" applyFill="1" applyBorder="1" applyAlignment="1">
      <alignment horizontal="center" vertical="center" wrapText="1"/>
    </xf>
    <xf numFmtId="44" fontId="7" fillId="15" borderId="1" xfId="0" applyNumberFormat="1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7" fillId="14" borderId="0" xfId="0" applyFont="1" applyFill="1"/>
    <xf numFmtId="44" fontId="13" fillId="15" borderId="5" xfId="0" applyNumberFormat="1" applyFont="1" applyFill="1" applyBorder="1" applyAlignment="1">
      <alignment horizontal="center" vertical="center" wrapText="1"/>
    </xf>
    <xf numFmtId="44" fontId="3" fillId="14" borderId="1" xfId="0" applyNumberFormat="1" applyFont="1" applyFill="1" applyBorder="1" applyAlignment="1">
      <alignment horizontal="center" vertical="center"/>
    </xf>
    <xf numFmtId="14" fontId="3" fillId="15" borderId="8" xfId="0" applyNumberFormat="1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wrapText="1"/>
    </xf>
    <xf numFmtId="0" fontId="3" fillId="14" borderId="1" xfId="0" applyFont="1" applyFill="1" applyBorder="1" applyAlignment="1">
      <alignment horizontal="center"/>
    </xf>
    <xf numFmtId="0" fontId="13" fillId="14" borderId="1" xfId="0" applyFont="1" applyFill="1" applyBorder="1" applyAlignment="1">
      <alignment horizontal="left" vertical="center"/>
    </xf>
    <xf numFmtId="44" fontId="13" fillId="15" borderId="1" xfId="0" applyNumberFormat="1" applyFont="1" applyFill="1" applyBorder="1" applyAlignment="1">
      <alignment horizontal="center" vertical="center" wrapText="1"/>
    </xf>
    <xf numFmtId="4" fontId="13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/>
    </xf>
    <xf numFmtId="44" fontId="3" fillId="15" borderId="1" xfId="0" applyNumberFormat="1" applyFont="1" applyFill="1" applyBorder="1" applyAlignment="1">
      <alignment horizontal="center" wrapText="1"/>
    </xf>
    <xf numFmtId="14" fontId="3" fillId="14" borderId="1" xfId="0" applyNumberFormat="1" applyFont="1" applyFill="1" applyBorder="1" applyAlignment="1">
      <alignment horizontal="left" vertical="center"/>
    </xf>
    <xf numFmtId="44" fontId="3" fillId="14" borderId="1" xfId="0" applyNumberFormat="1" applyFont="1" applyFill="1" applyBorder="1" applyAlignment="1">
      <alignment vertical="center"/>
    </xf>
    <xf numFmtId="44" fontId="3" fillId="14" borderId="5" xfId="0" applyNumberFormat="1" applyFont="1" applyFill="1" applyBorder="1" applyAlignment="1">
      <alignment vertical="center"/>
    </xf>
    <xf numFmtId="44" fontId="3" fillId="14" borderId="1" xfId="0" applyNumberFormat="1" applyFont="1" applyFill="1" applyBorder="1"/>
    <xf numFmtId="0" fontId="10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14" fontId="3" fillId="14" borderId="8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left" wrapText="1"/>
    </xf>
    <xf numFmtId="0" fontId="10" fillId="3" borderId="6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center" wrapText="1"/>
    </xf>
    <xf numFmtId="44" fontId="3" fillId="4" borderId="1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 wrapText="1"/>
    </xf>
    <xf numFmtId="44" fontId="11" fillId="3" borderId="2" xfId="0" applyNumberFormat="1" applyFont="1" applyFill="1" applyBorder="1" applyAlignment="1">
      <alignment horizontal="right" vertical="center" wrapText="1"/>
    </xf>
    <xf numFmtId="44" fontId="3" fillId="3" borderId="17" xfId="0" applyNumberFormat="1" applyFont="1" applyFill="1" applyBorder="1" applyAlignment="1">
      <alignment horizontal="right" vertical="center" wrapText="1"/>
    </xf>
    <xf numFmtId="165" fontId="11" fillId="3" borderId="2" xfId="0" applyNumberFormat="1" applyFont="1" applyFill="1" applyBorder="1" applyAlignment="1">
      <alignment horizontal="right" vertical="center" wrapText="1"/>
    </xf>
    <xf numFmtId="0" fontId="3" fillId="15" borderId="3" xfId="0" applyFont="1" applyFill="1" applyBorder="1" applyAlignment="1">
      <alignment horizontal="left" wrapText="1"/>
    </xf>
    <xf numFmtId="44" fontId="3" fillId="15" borderId="2" xfId="0" applyNumberFormat="1" applyFont="1" applyFill="1" applyBorder="1" applyAlignment="1">
      <alignment horizontal="righ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wrapText="1"/>
    </xf>
    <xf numFmtId="44" fontId="3" fillId="15" borderId="14" xfId="0" applyNumberFormat="1" applyFont="1" applyFill="1" applyBorder="1" applyAlignment="1">
      <alignment horizontal="right" vertical="center" wrapText="1"/>
    </xf>
    <xf numFmtId="0" fontId="3" fillId="15" borderId="2" xfId="0" applyFont="1" applyFill="1" applyBorder="1" applyAlignment="1">
      <alignment horizontal="center" vertical="center" wrapText="1"/>
    </xf>
    <xf numFmtId="44" fontId="3" fillId="15" borderId="8" xfId="0" applyNumberFormat="1" applyFont="1" applyFill="1" applyBorder="1" applyAlignment="1">
      <alignment horizontal="right" vertical="center" wrapText="1"/>
    </xf>
    <xf numFmtId="44" fontId="10" fillId="3" borderId="20" xfId="0" applyNumberFormat="1" applyFont="1" applyFill="1" applyBorder="1" applyAlignment="1">
      <alignment horizontal="right" vertical="center" wrapText="1"/>
    </xf>
    <xf numFmtId="0" fontId="3" fillId="16" borderId="1" xfId="0" applyFont="1" applyFill="1" applyBorder="1" applyAlignment="1">
      <alignment horizontal="left" vertical="center" wrapText="1"/>
    </xf>
    <xf numFmtId="44" fontId="3" fillId="16" borderId="1" xfId="0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44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44" fontId="12" fillId="2" borderId="1" xfId="0" applyNumberFormat="1" applyFont="1" applyFill="1" applyBorder="1" applyAlignment="1">
      <alignment horizontal="center"/>
    </xf>
    <xf numFmtId="44" fontId="3" fillId="2" borderId="5" xfId="0" applyNumberFormat="1" applyFont="1" applyFill="1" applyBorder="1"/>
    <xf numFmtId="0" fontId="3" fillId="3" borderId="2" xfId="0" applyFont="1" applyFill="1" applyBorder="1" applyAlignment="1">
      <alignment horizontal="center" vertical="center" wrapText="1"/>
    </xf>
    <xf numFmtId="44" fontId="3" fillId="2" borderId="5" xfId="0" applyNumberFormat="1" applyFont="1" applyFill="1" applyBorder="1" applyAlignment="1">
      <alignment horizontal="center" vertical="center"/>
    </xf>
    <xf numFmtId="44" fontId="3" fillId="3" borderId="15" xfId="0" applyNumberFormat="1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horizontal="right" vertical="center" wrapText="1"/>
    </xf>
    <xf numFmtId="14" fontId="7" fillId="2" borderId="1" xfId="0" applyNumberFormat="1" applyFont="1" applyFill="1" applyBorder="1" applyAlignment="1">
      <alignment horizontal="left" vertical="center"/>
    </xf>
    <xf numFmtId="0" fontId="3" fillId="11" borderId="1" xfId="0" applyFont="1" applyFill="1" applyBorder="1"/>
    <xf numFmtId="44" fontId="3" fillId="11" borderId="1" xfId="0" applyNumberFormat="1" applyFont="1" applyFill="1" applyBorder="1" applyAlignment="1">
      <alignment vertical="center"/>
    </xf>
    <xf numFmtId="0" fontId="3" fillId="14" borderId="1" xfId="0" applyFont="1" applyFill="1" applyBorder="1" applyAlignment="1">
      <alignment horizontal="left"/>
    </xf>
    <xf numFmtId="0" fontId="10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44" fontId="3" fillId="14" borderId="0" xfId="0" applyNumberFormat="1" applyFont="1" applyFill="1" applyAlignment="1">
      <alignment horizontal="center" vertical="center"/>
    </xf>
    <xf numFmtId="0" fontId="3" fillId="15" borderId="8" xfId="0" applyFont="1" applyFill="1" applyBorder="1" applyAlignment="1">
      <alignment vertical="center" wrapText="1"/>
    </xf>
    <xf numFmtId="44" fontId="5" fillId="15" borderId="1" xfId="0" applyNumberFormat="1" applyFont="1" applyFill="1" applyBorder="1" applyAlignment="1">
      <alignment horizontal="right" vertical="center" wrapText="1"/>
    </xf>
    <xf numFmtId="14" fontId="10" fillId="2" borderId="8" xfId="0" applyNumberFormat="1" applyFont="1" applyFill="1" applyBorder="1" applyAlignment="1">
      <alignment horizontal="left" vertical="center"/>
    </xf>
    <xf numFmtId="14" fontId="3" fillId="14" borderId="1" xfId="0" applyNumberFormat="1" applyFont="1" applyFill="1" applyBorder="1" applyAlignment="1">
      <alignment horizontal="left"/>
    </xf>
    <xf numFmtId="44" fontId="2" fillId="0" borderId="0" xfId="0" applyNumberFormat="1" applyFont="1"/>
    <xf numFmtId="0" fontId="3" fillId="14" borderId="3" xfId="0" applyFont="1" applyFill="1" applyBorder="1" applyAlignment="1">
      <alignment vertical="center"/>
    </xf>
    <xf numFmtId="0" fontId="3" fillId="15" borderId="8" xfId="0" applyFont="1" applyFill="1" applyBorder="1" applyAlignment="1">
      <alignment horizontal="left" vertical="center" wrapText="1"/>
    </xf>
    <xf numFmtId="4" fontId="3" fillId="14" borderId="8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wrapText="1"/>
    </xf>
    <xf numFmtId="14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/>
    <xf numFmtId="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 wrapText="1"/>
    </xf>
    <xf numFmtId="14" fontId="5" fillId="14" borderId="1" xfId="0" applyNumberFormat="1" applyFont="1" applyFill="1" applyBorder="1" applyAlignment="1">
      <alignment horizontal="left" vertical="center"/>
    </xf>
    <xf numFmtId="0" fontId="5" fillId="14" borderId="0" xfId="0" applyFont="1" applyFill="1"/>
    <xf numFmtId="44" fontId="3" fillId="14" borderId="1" xfId="0" applyNumberFormat="1" applyFont="1" applyFill="1" applyBorder="1" applyAlignment="1">
      <alignment horizontal="right" vertical="center" wrapText="1"/>
    </xf>
    <xf numFmtId="14" fontId="3" fillId="14" borderId="6" xfId="0" applyNumberFormat="1" applyFont="1" applyFill="1" applyBorder="1" applyAlignment="1">
      <alignment horizontal="left" vertical="center"/>
    </xf>
    <xf numFmtId="0" fontId="3" fillId="14" borderId="6" xfId="0" applyFont="1" applyFill="1" applyBorder="1" applyAlignment="1">
      <alignment vertical="center"/>
    </xf>
    <xf numFmtId="0" fontId="3" fillId="14" borderId="6" xfId="0" applyFont="1" applyFill="1" applyBorder="1"/>
    <xf numFmtId="0" fontId="5" fillId="15" borderId="8" xfId="0" applyFont="1" applyFill="1" applyBorder="1" applyAlignment="1">
      <alignment horizontal="left" vertical="center" wrapText="1"/>
    </xf>
    <xf numFmtId="44" fontId="5" fillId="15" borderId="8" xfId="0" applyNumberFormat="1" applyFont="1" applyFill="1" applyBorder="1" applyAlignment="1">
      <alignment horizontal="righ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164" fontId="5" fillId="4" borderId="6" xfId="0" applyNumberFormat="1" applyFont="1" applyFill="1" applyBorder="1" applyAlignment="1">
      <alignment horizontal="right" vertical="center" wrapText="1"/>
    </xf>
    <xf numFmtId="164" fontId="3" fillId="15" borderId="1" xfId="0" applyNumberFormat="1" applyFont="1" applyFill="1" applyBorder="1" applyAlignment="1">
      <alignment horizontal="right" vertical="center" wrapText="1"/>
    </xf>
    <xf numFmtId="0" fontId="3" fillId="14" borderId="3" xfId="0" applyFont="1" applyFill="1" applyBorder="1" applyAlignment="1">
      <alignment horizontal="left" vertical="center" wrapText="1"/>
    </xf>
    <xf numFmtId="0" fontId="3" fillId="15" borderId="11" xfId="0" applyFont="1" applyFill="1" applyBorder="1" applyAlignment="1">
      <alignment horizontal="left" vertical="center" wrapText="1"/>
    </xf>
    <xf numFmtId="0" fontId="3" fillId="15" borderId="8" xfId="0" applyFont="1" applyFill="1" applyBorder="1" applyAlignment="1">
      <alignment horizontal="left" wrapText="1"/>
    </xf>
    <xf numFmtId="164" fontId="3" fillId="15" borderId="8" xfId="0" applyNumberFormat="1" applyFont="1" applyFill="1" applyBorder="1" applyAlignment="1">
      <alignment horizontal="right" vertical="center" wrapText="1"/>
    </xf>
    <xf numFmtId="0" fontId="3" fillId="15" borderId="0" xfId="0" applyFont="1" applyFill="1" applyAlignment="1">
      <alignment horizontal="left" vertical="center" wrapText="1"/>
    </xf>
    <xf numFmtId="44" fontId="1" fillId="17" borderId="1" xfId="0" applyNumberFormat="1" applyFont="1" applyFill="1" applyBorder="1"/>
    <xf numFmtId="44" fontId="16" fillId="2" borderId="0" xfId="0" applyNumberFormat="1" applyFont="1" applyFill="1" applyAlignment="1">
      <alignment horizontal="center"/>
    </xf>
    <xf numFmtId="44" fontId="3" fillId="7" borderId="1" xfId="0" applyNumberFormat="1" applyFont="1" applyFill="1" applyBorder="1" applyAlignment="1">
      <alignment vertical="center"/>
    </xf>
    <xf numFmtId="4" fontId="3" fillId="14" borderId="6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wrapText="1"/>
    </xf>
    <xf numFmtId="14" fontId="3" fillId="15" borderId="6" xfId="0" applyNumberFormat="1" applyFont="1" applyFill="1" applyBorder="1" applyAlignment="1">
      <alignment horizontal="left" vertical="center" wrapText="1"/>
    </xf>
    <xf numFmtId="0" fontId="3" fillId="15" borderId="6" xfId="0" applyFont="1" applyFill="1" applyBorder="1" applyAlignment="1">
      <alignment horizontal="left" vertical="center" wrapText="1"/>
    </xf>
    <xf numFmtId="44" fontId="3" fillId="15" borderId="6" xfId="0" applyNumberFormat="1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/>
    </xf>
    <xf numFmtId="0" fontId="3" fillId="14" borderId="6" xfId="0" applyFont="1" applyFill="1" applyBorder="1" applyAlignment="1">
      <alignment horizontal="center" vertical="center"/>
    </xf>
    <xf numFmtId="0" fontId="15" fillId="14" borderId="0" xfId="0" applyFont="1" applyFill="1"/>
    <xf numFmtId="44" fontId="3" fillId="18" borderId="1" xfId="0" applyNumberFormat="1" applyFont="1" applyFill="1" applyBorder="1"/>
    <xf numFmtId="0" fontId="3" fillId="15" borderId="18" xfId="0" applyFont="1" applyFill="1" applyBorder="1" applyAlignment="1">
      <alignment horizontal="left" vertical="center" wrapText="1"/>
    </xf>
    <xf numFmtId="0" fontId="3" fillId="15" borderId="17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vertical="center" wrapText="1"/>
    </xf>
    <xf numFmtId="44" fontId="10" fillId="5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/>
    <xf numFmtId="14" fontId="5" fillId="15" borderId="1" xfId="0" applyNumberFormat="1" applyFont="1" applyFill="1" applyBorder="1" applyAlignment="1">
      <alignment horizontal="left" vertical="center" wrapText="1"/>
    </xf>
    <xf numFmtId="14" fontId="5" fillId="14" borderId="1" xfId="0" applyNumberFormat="1" applyFont="1" applyFill="1" applyBorder="1" applyAlignment="1">
      <alignment horizontal="left" vertical="center" wrapText="1"/>
    </xf>
    <xf numFmtId="0" fontId="5" fillId="15" borderId="3" xfId="0" applyFont="1" applyFill="1" applyBorder="1" applyAlignment="1">
      <alignment horizontal="left" vertical="center" wrapText="1"/>
    </xf>
    <xf numFmtId="0" fontId="5" fillId="15" borderId="4" xfId="0" applyFont="1" applyFill="1" applyBorder="1" applyAlignment="1">
      <alignment horizontal="left" vertical="center" wrapText="1"/>
    </xf>
    <xf numFmtId="4" fontId="5" fillId="14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 wrapText="1"/>
    </xf>
    <xf numFmtId="0" fontId="3" fillId="15" borderId="3" xfId="0" applyFont="1" applyFill="1" applyBorder="1" applyAlignment="1">
      <alignment vertical="center" wrapText="1"/>
    </xf>
    <xf numFmtId="0" fontId="3" fillId="15" borderId="19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horizontal="left" wrapText="1"/>
    </xf>
    <xf numFmtId="0" fontId="13" fillId="15" borderId="1" xfId="0" applyFont="1" applyFill="1" applyBorder="1" applyAlignment="1">
      <alignment horizontal="left" wrapText="1"/>
    </xf>
    <xf numFmtId="0" fontId="5" fillId="14" borderId="1" xfId="0" applyFont="1" applyFill="1" applyBorder="1" applyAlignment="1">
      <alignment horizontal="center" vertical="center"/>
    </xf>
    <xf numFmtId="14" fontId="3" fillId="13" borderId="1" xfId="0" applyNumberFormat="1" applyFont="1" applyFill="1" applyBorder="1" applyAlignment="1">
      <alignment horizontal="left" vertical="center" wrapText="1"/>
    </xf>
    <xf numFmtId="44" fontId="3" fillId="14" borderId="6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44" fontId="10" fillId="2" borderId="7" xfId="0" applyNumberFormat="1" applyFont="1" applyFill="1" applyBorder="1"/>
    <xf numFmtId="44" fontId="15" fillId="14" borderId="1" xfId="0" applyNumberFormat="1" applyFont="1" applyFill="1" applyBorder="1"/>
    <xf numFmtId="44" fontId="8" fillId="14" borderId="1" xfId="0" applyNumberFormat="1" applyFont="1" applyFill="1" applyBorder="1"/>
    <xf numFmtId="0" fontId="3" fillId="15" borderId="6" xfId="0" applyFont="1" applyFill="1" applyBorder="1" applyAlignment="1">
      <alignment horizontal="left" wrapText="1"/>
    </xf>
    <xf numFmtId="14" fontId="5" fillId="14" borderId="8" xfId="0" applyNumberFormat="1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/>
    </xf>
    <xf numFmtId="44" fontId="3" fillId="14" borderId="6" xfId="0" applyNumberFormat="1" applyFont="1" applyFill="1" applyBorder="1" applyAlignment="1">
      <alignment vertical="center"/>
    </xf>
    <xf numFmtId="44" fontId="10" fillId="2" borderId="6" xfId="0" applyNumberFormat="1" applyFont="1" applyFill="1" applyBorder="1" applyAlignment="1">
      <alignment vertical="center"/>
    </xf>
    <xf numFmtId="0" fontId="3" fillId="2" borderId="8" xfId="0" applyFont="1" applyFill="1" applyBorder="1" applyAlignment="1">
      <alignment wrapText="1"/>
    </xf>
    <xf numFmtId="14" fontId="13" fillId="14" borderId="8" xfId="0" applyNumberFormat="1" applyFont="1" applyFill="1" applyBorder="1" applyAlignment="1">
      <alignment horizontal="left"/>
    </xf>
    <xf numFmtId="14" fontId="13" fillId="14" borderId="8" xfId="0" applyNumberFormat="1" applyFont="1" applyFill="1" applyBorder="1" applyAlignment="1">
      <alignment horizontal="left" vertical="center" wrapText="1"/>
    </xf>
    <xf numFmtId="14" fontId="10" fillId="14" borderId="1" xfId="0" applyNumberFormat="1" applyFont="1" applyFill="1" applyBorder="1" applyAlignment="1">
      <alignment horizontal="left" vertical="center"/>
    </xf>
    <xf numFmtId="0" fontId="10" fillId="14" borderId="1" xfId="0" applyFont="1" applyFill="1" applyBorder="1" applyAlignment="1">
      <alignment vertical="center"/>
    </xf>
    <xf numFmtId="0" fontId="10" fillId="14" borderId="1" xfId="0" applyFont="1" applyFill="1" applyBorder="1"/>
    <xf numFmtId="4" fontId="10" fillId="14" borderId="1" xfId="0" applyNumberFormat="1" applyFont="1" applyFill="1" applyBorder="1" applyAlignment="1">
      <alignment horizontal="center" vertical="center"/>
    </xf>
    <xf numFmtId="0" fontId="10" fillId="14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44" fontId="12" fillId="0" borderId="1" xfId="0" applyNumberFormat="1" applyFont="1" applyBorder="1"/>
    <xf numFmtId="14" fontId="13" fillId="2" borderId="8" xfId="0" applyNumberFormat="1" applyFont="1" applyFill="1" applyBorder="1" applyAlignment="1">
      <alignment horizontal="left"/>
    </xf>
    <xf numFmtId="14" fontId="13" fillId="2" borderId="8" xfId="0" applyNumberFormat="1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44" fontId="13" fillId="3" borderId="8" xfId="0" applyNumberFormat="1" applyFont="1" applyFill="1" applyBorder="1" applyAlignment="1">
      <alignment horizontal="right" vertical="center" wrapText="1"/>
    </xf>
    <xf numFmtId="14" fontId="3" fillId="15" borderId="8" xfId="0" applyNumberFormat="1" applyFont="1" applyFill="1" applyBorder="1" applyAlignment="1">
      <alignment horizontal="left" vertical="top" wrapText="1"/>
    </xf>
    <xf numFmtId="14" fontId="7" fillId="15" borderId="8" xfId="0" applyNumberFormat="1" applyFont="1" applyFill="1" applyBorder="1" applyAlignment="1">
      <alignment horizontal="left" vertical="center" wrapText="1"/>
    </xf>
    <xf numFmtId="14" fontId="7" fillId="14" borderId="8" xfId="0" applyNumberFormat="1" applyFont="1" applyFill="1" applyBorder="1" applyAlignment="1">
      <alignment horizontal="left" vertical="center" wrapText="1"/>
    </xf>
    <xf numFmtId="0" fontId="7" fillId="15" borderId="8" xfId="0" applyFont="1" applyFill="1" applyBorder="1" applyAlignment="1">
      <alignment horizontal="left" vertical="center" wrapText="1"/>
    </xf>
    <xf numFmtId="44" fontId="7" fillId="15" borderId="8" xfId="0" applyNumberFormat="1" applyFont="1" applyFill="1" applyBorder="1" applyAlignment="1">
      <alignment horizontal="center" vertical="center" wrapText="1"/>
    </xf>
    <xf numFmtId="4" fontId="7" fillId="14" borderId="8" xfId="0" applyNumberFormat="1" applyFont="1" applyFill="1" applyBorder="1" applyAlignment="1">
      <alignment horizontal="center" vertical="center"/>
    </xf>
    <xf numFmtId="44" fontId="3" fillId="15" borderId="21" xfId="0" applyNumberFormat="1" applyFont="1" applyFill="1" applyBorder="1" applyAlignment="1">
      <alignment horizontal="right" vertical="center" wrapText="1"/>
    </xf>
    <xf numFmtId="44" fontId="3" fillId="14" borderId="8" xfId="0" applyNumberFormat="1" applyFont="1" applyFill="1" applyBorder="1" applyAlignment="1">
      <alignment vertical="center"/>
    </xf>
    <xf numFmtId="0" fontId="3" fillId="14" borderId="8" xfId="0" applyFont="1" applyFill="1" applyBorder="1"/>
    <xf numFmtId="0" fontId="3" fillId="14" borderId="11" xfId="0" applyFont="1" applyFill="1" applyBorder="1" applyAlignment="1">
      <alignment vertical="center"/>
    </xf>
    <xf numFmtId="0" fontId="13" fillId="14" borderId="8" xfId="0" applyFont="1" applyFill="1" applyBorder="1" applyAlignment="1">
      <alignment horizontal="left" vertical="center"/>
    </xf>
    <xf numFmtId="0" fontId="13" fillId="15" borderId="8" xfId="0" applyFont="1" applyFill="1" applyBorder="1" applyAlignment="1">
      <alignment horizontal="left" wrapText="1"/>
    </xf>
    <xf numFmtId="44" fontId="13" fillId="15" borderId="8" xfId="0" applyNumberFormat="1" applyFont="1" applyFill="1" applyBorder="1" applyAlignment="1">
      <alignment horizontal="right" vertical="center" wrapText="1"/>
    </xf>
    <xf numFmtId="4" fontId="13" fillId="14" borderId="8" xfId="0" applyNumberFormat="1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/>
    </xf>
    <xf numFmtId="0" fontId="12" fillId="5" borderId="8" xfId="0" applyFont="1" applyFill="1" applyBorder="1" applyAlignment="1">
      <alignment vertical="center" wrapText="1"/>
    </xf>
    <xf numFmtId="44" fontId="11" fillId="3" borderId="8" xfId="0" applyNumberFormat="1" applyFont="1" applyFill="1" applyBorder="1" applyAlignment="1">
      <alignment horizontal="right" vertical="center" wrapText="1"/>
    </xf>
    <xf numFmtId="4" fontId="10" fillId="2" borderId="8" xfId="0" applyNumberFormat="1" applyFont="1" applyFill="1" applyBorder="1" applyAlignment="1">
      <alignment horizontal="center"/>
    </xf>
    <xf numFmtId="4" fontId="10" fillId="2" borderId="8" xfId="0" applyNumberFormat="1" applyFont="1" applyFill="1" applyBorder="1" applyAlignment="1">
      <alignment horizontal="left" wrapText="1"/>
    </xf>
    <xf numFmtId="44" fontId="10" fillId="2" borderId="8" xfId="0" applyNumberFormat="1" applyFont="1" applyFill="1" applyBorder="1" applyAlignment="1">
      <alignment vertical="center"/>
    </xf>
    <xf numFmtId="0" fontId="10" fillId="5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vertical="center" wrapText="1"/>
    </xf>
    <xf numFmtId="14" fontId="5" fillId="14" borderId="8" xfId="0" applyNumberFormat="1" applyFont="1" applyFill="1" applyBorder="1" applyAlignment="1">
      <alignment horizontal="left" vertical="center" wrapText="1"/>
    </xf>
    <xf numFmtId="0" fontId="5" fillId="15" borderId="8" xfId="0" applyFont="1" applyFill="1" applyBorder="1" applyAlignment="1">
      <alignment horizontal="center" vertical="center" wrapText="1"/>
    </xf>
    <xf numFmtId="0" fontId="3" fillId="15" borderId="9" xfId="0" applyFont="1" applyFill="1" applyBorder="1" applyAlignment="1">
      <alignment horizontal="left" vertical="center" wrapText="1"/>
    </xf>
    <xf numFmtId="0" fontId="3" fillId="15" borderId="9" xfId="0" applyFont="1" applyFill="1" applyBorder="1" applyAlignment="1">
      <alignment horizontal="left" wrapText="1"/>
    </xf>
    <xf numFmtId="44" fontId="3" fillId="15" borderId="9" xfId="0" applyNumberFormat="1" applyFont="1" applyFill="1" applyBorder="1" applyAlignment="1">
      <alignment horizontal="right" vertical="center" wrapText="1"/>
    </xf>
    <xf numFmtId="14" fontId="5" fillId="15" borderId="8" xfId="0" applyNumberFormat="1" applyFont="1" applyFill="1" applyBorder="1" applyAlignment="1">
      <alignment horizontal="left" vertical="center" wrapText="1"/>
    </xf>
    <xf numFmtId="14" fontId="3" fillId="14" borderId="6" xfId="0" applyNumberFormat="1" applyFont="1" applyFill="1" applyBorder="1" applyAlignment="1">
      <alignment horizontal="left" vertical="center" wrapText="1"/>
    </xf>
    <xf numFmtId="0" fontId="13" fillId="15" borderId="6" xfId="0" applyFont="1" applyFill="1" applyBorder="1" applyAlignment="1">
      <alignment horizontal="left" vertical="center" wrapText="1"/>
    </xf>
    <xf numFmtId="44" fontId="3" fillId="14" borderId="6" xfId="0" applyNumberFormat="1" applyFont="1" applyFill="1" applyBorder="1" applyAlignment="1">
      <alignment horizontal="center"/>
    </xf>
    <xf numFmtId="44" fontId="3" fillId="15" borderId="6" xfId="0" applyNumberFormat="1" applyFont="1" applyFill="1" applyBorder="1" applyAlignment="1">
      <alignment horizontal="center" wrapText="1"/>
    </xf>
    <xf numFmtId="44" fontId="3" fillId="3" borderId="16" xfId="0" applyNumberFormat="1" applyFont="1" applyFill="1" applyBorder="1" applyAlignment="1">
      <alignment horizontal="right" vertical="center" wrapText="1"/>
    </xf>
    <xf numFmtId="14" fontId="3" fillId="15" borderId="7" xfId="0" applyNumberFormat="1" applyFont="1" applyFill="1" applyBorder="1" applyAlignment="1">
      <alignment horizontal="left" vertical="center" wrapText="1"/>
    </xf>
    <xf numFmtId="14" fontId="3" fillId="14" borderId="7" xfId="0" applyNumberFormat="1" applyFont="1" applyFill="1" applyBorder="1" applyAlignment="1">
      <alignment horizontal="left" vertical="center" wrapText="1"/>
    </xf>
    <xf numFmtId="0" fontId="3" fillId="14" borderId="7" xfId="0" applyFont="1" applyFill="1" applyBorder="1"/>
    <xf numFmtId="0" fontId="3" fillId="14" borderId="7" xfId="0" applyFont="1" applyFill="1" applyBorder="1" applyAlignment="1">
      <alignment vertical="center"/>
    </xf>
    <xf numFmtId="44" fontId="3" fillId="14" borderId="7" xfId="0" applyNumberFormat="1" applyFont="1" applyFill="1" applyBorder="1" applyAlignment="1">
      <alignment horizontal="center"/>
    </xf>
    <xf numFmtId="4" fontId="3" fillId="14" borderId="7" xfId="0" applyNumberFormat="1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3" fillId="16" borderId="6" xfId="0" applyFont="1" applyFill="1" applyBorder="1" applyAlignment="1">
      <alignment horizontal="left" vertical="center" wrapText="1"/>
    </xf>
    <xf numFmtId="44" fontId="3" fillId="16" borderId="6" xfId="0" applyNumberFormat="1" applyFont="1" applyFill="1" applyBorder="1" applyAlignment="1">
      <alignment horizontal="right" vertical="center" wrapText="1"/>
    </xf>
    <xf numFmtId="0" fontId="3" fillId="15" borderId="6" xfId="0" applyFont="1" applyFill="1" applyBorder="1" applyAlignment="1">
      <alignment vertical="center" wrapText="1"/>
    </xf>
    <xf numFmtId="0" fontId="5" fillId="15" borderId="6" xfId="0" applyFont="1" applyFill="1" applyBorder="1" applyAlignment="1">
      <alignment horizontal="left" vertical="center" wrapText="1"/>
    </xf>
    <xf numFmtId="44" fontId="5" fillId="15" borderId="6" xfId="0" applyNumberFormat="1" applyFont="1" applyFill="1" applyBorder="1" applyAlignment="1">
      <alignment horizontal="right" vertical="center" wrapText="1"/>
    </xf>
    <xf numFmtId="0" fontId="7" fillId="15" borderId="6" xfId="0" applyFont="1" applyFill="1" applyBorder="1" applyAlignment="1">
      <alignment horizontal="left" vertical="center" wrapText="1"/>
    </xf>
    <xf numFmtId="0" fontId="7" fillId="15" borderId="6" xfId="0" applyFont="1" applyFill="1" applyBorder="1" applyAlignment="1">
      <alignment horizontal="left" wrapText="1"/>
    </xf>
    <xf numFmtId="44" fontId="15" fillId="14" borderId="6" xfId="0" applyNumberFormat="1" applyFont="1" applyFill="1" applyBorder="1"/>
    <xf numFmtId="4" fontId="13" fillId="14" borderId="6" xfId="0" applyNumberFormat="1" applyFont="1" applyFill="1" applyBorder="1" applyAlignment="1">
      <alignment horizontal="center" vertical="center"/>
    </xf>
    <xf numFmtId="0" fontId="7" fillId="14" borderId="6" xfId="0" applyFont="1" applyFill="1" applyBorder="1" applyAlignment="1">
      <alignment horizontal="center"/>
    </xf>
    <xf numFmtId="4" fontId="10" fillId="2" borderId="6" xfId="0" applyNumberFormat="1" applyFont="1" applyFill="1" applyBorder="1" applyAlignment="1">
      <alignment horizontal="left" wrapText="1"/>
    </xf>
    <xf numFmtId="0" fontId="10" fillId="5" borderId="6" xfId="0" applyFont="1" applyFill="1" applyBorder="1" applyAlignment="1">
      <alignment horizontal="center" vertical="center" wrapText="1"/>
    </xf>
    <xf numFmtId="14" fontId="5" fillId="15" borderId="6" xfId="0" applyNumberFormat="1" applyFont="1" applyFill="1" applyBorder="1" applyAlignment="1">
      <alignment horizontal="left" vertical="center" wrapText="1"/>
    </xf>
    <xf numFmtId="14" fontId="5" fillId="14" borderId="6" xfId="0" applyNumberFormat="1" applyFont="1" applyFill="1" applyBorder="1" applyAlignment="1">
      <alignment horizontal="left" vertical="center" wrapText="1"/>
    </xf>
    <xf numFmtId="4" fontId="5" fillId="14" borderId="6" xfId="0" applyNumberFormat="1" applyFont="1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14" fontId="10" fillId="2" borderId="7" xfId="0" applyNumberFormat="1" applyFont="1" applyFill="1" applyBorder="1" applyAlignment="1">
      <alignment horizontal="left" vertical="center"/>
    </xf>
    <xf numFmtId="0" fontId="10" fillId="2" borderId="7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left"/>
    </xf>
    <xf numFmtId="44" fontId="10" fillId="2" borderId="7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44" fontId="10" fillId="14" borderId="1" xfId="0" applyNumberFormat="1" applyFont="1" applyFill="1" applyBorder="1" applyAlignment="1">
      <alignment vertical="center"/>
    </xf>
    <xf numFmtId="0" fontId="2" fillId="0" borderId="3" xfId="0" applyFont="1" applyBorder="1"/>
    <xf numFmtId="0" fontId="10" fillId="2" borderId="3" xfId="0" applyFont="1" applyFill="1" applyBorder="1" applyAlignment="1">
      <alignment horizontal="left"/>
    </xf>
    <xf numFmtId="44" fontId="2" fillId="0" borderId="1" xfId="0" applyNumberFormat="1" applyFont="1" applyBorder="1" applyAlignment="1">
      <alignment horizontal="center"/>
    </xf>
    <xf numFmtId="44" fontId="2" fillId="0" borderId="1" xfId="0" applyNumberFormat="1" applyFont="1" applyBorder="1"/>
    <xf numFmtId="14" fontId="7" fillId="14" borderId="1" xfId="0" applyNumberFormat="1" applyFont="1" applyFill="1" applyBorder="1" applyAlignment="1">
      <alignment horizontal="left" vertical="center"/>
    </xf>
    <xf numFmtId="44" fontId="7" fillId="15" borderId="1" xfId="0" applyNumberFormat="1" applyFont="1" applyFill="1" applyBorder="1" applyAlignment="1">
      <alignment horizontal="right" vertical="center" wrapText="1"/>
    </xf>
    <xf numFmtId="4" fontId="7" fillId="14" borderId="1" xfId="0" applyNumberFormat="1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 wrapText="1"/>
    </xf>
    <xf numFmtId="44" fontId="7" fillId="13" borderId="1" xfId="0" applyNumberFormat="1" applyFont="1" applyFill="1" applyBorder="1" applyAlignment="1">
      <alignment horizontal="right" vertical="center" wrapText="1"/>
    </xf>
    <xf numFmtId="4" fontId="7" fillId="7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vertical="center" wrapText="1"/>
    </xf>
    <xf numFmtId="0" fontId="7" fillId="14" borderId="1" xfId="0" applyFont="1" applyFill="1" applyBorder="1"/>
    <xf numFmtId="14" fontId="7" fillId="19" borderId="1" xfId="0" applyNumberFormat="1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44" fontId="3" fillId="20" borderId="1" xfId="0" applyNumberFormat="1" applyFont="1" applyFill="1" applyBorder="1" applyAlignment="1">
      <alignment horizontal="right" vertical="center" wrapText="1"/>
    </xf>
    <xf numFmtId="4" fontId="7" fillId="19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3" fillId="19" borderId="0" xfId="0" applyFont="1" applyFill="1"/>
    <xf numFmtId="14" fontId="3" fillId="19" borderId="1" xfId="0" applyNumberFormat="1" applyFont="1" applyFill="1" applyBorder="1" applyAlignment="1">
      <alignment horizontal="left" vertical="center"/>
    </xf>
    <xf numFmtId="4" fontId="3" fillId="19" borderId="1" xfId="0" applyNumberFormat="1" applyFont="1" applyFill="1" applyBorder="1" applyAlignment="1">
      <alignment horizontal="center" vertical="center"/>
    </xf>
    <xf numFmtId="44" fontId="7" fillId="20" borderId="1" xfId="0" applyNumberFormat="1" applyFont="1" applyFill="1" applyBorder="1" applyAlignment="1">
      <alignment horizontal="right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10" fillId="19" borderId="0" xfId="0" applyFont="1" applyFill="1" applyAlignment="1">
      <alignment horizontal="center" vertical="center"/>
    </xf>
    <xf numFmtId="0" fontId="3" fillId="20" borderId="1" xfId="0" applyFont="1" applyFill="1" applyBorder="1" applyAlignment="1">
      <alignment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/>
    </xf>
    <xf numFmtId="44" fontId="3" fillId="19" borderId="1" xfId="0" applyNumberFormat="1" applyFont="1" applyFill="1" applyBorder="1" applyAlignment="1">
      <alignment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vertical="center"/>
    </xf>
    <xf numFmtId="0" fontId="3" fillId="19" borderId="1" xfId="0" applyFont="1" applyFill="1" applyBorder="1"/>
    <xf numFmtId="0" fontId="3" fillId="19" borderId="0" xfId="0" applyFont="1" applyFill="1" applyAlignment="1">
      <alignment horizontal="center" vertical="center"/>
    </xf>
    <xf numFmtId="44" fontId="2" fillId="0" borderId="0" xfId="0" applyNumberFormat="1" applyFont="1" applyAlignment="1">
      <alignment horizontal="center"/>
    </xf>
    <xf numFmtId="0" fontId="2" fillId="2" borderId="3" xfId="0" applyFont="1" applyFill="1" applyBorder="1"/>
    <xf numFmtId="44" fontId="2" fillId="2" borderId="1" xfId="0" applyNumberFormat="1" applyFont="1" applyFill="1" applyBorder="1"/>
    <xf numFmtId="0" fontId="17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0" fontId="3" fillId="10" borderId="1" xfId="0" applyFont="1" applyFill="1" applyBorder="1"/>
    <xf numFmtId="44" fontId="3" fillId="10" borderId="1" xfId="0" applyNumberFormat="1" applyFont="1" applyFill="1" applyBorder="1" applyAlignment="1">
      <alignment vertical="center"/>
    </xf>
    <xf numFmtId="44" fontId="7" fillId="20" borderId="2" xfId="0" applyNumberFormat="1" applyFont="1" applyFill="1" applyBorder="1" applyAlignment="1">
      <alignment horizontal="right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wrapText="1"/>
    </xf>
    <xf numFmtId="14" fontId="3" fillId="20" borderId="1" xfId="0" applyNumberFormat="1" applyFont="1" applyFill="1" applyBorder="1" applyAlignment="1">
      <alignment horizontal="left" vertical="center" wrapText="1"/>
    </xf>
    <xf numFmtId="14" fontId="3" fillId="19" borderId="6" xfId="0" applyNumberFormat="1" applyFont="1" applyFill="1" applyBorder="1" applyAlignment="1">
      <alignment horizontal="left" vertical="center"/>
    </xf>
    <xf numFmtId="0" fontId="3" fillId="20" borderId="17" xfId="0" applyFont="1" applyFill="1" applyBorder="1" applyAlignment="1">
      <alignment horizontal="left" vertical="center" wrapText="1"/>
    </xf>
    <xf numFmtId="44" fontId="3" fillId="20" borderId="17" xfId="0" applyNumberFormat="1" applyFont="1" applyFill="1" applyBorder="1" applyAlignment="1">
      <alignment horizontal="right" vertical="center" wrapText="1"/>
    </xf>
    <xf numFmtId="0" fontId="3" fillId="20" borderId="6" xfId="0" applyFont="1" applyFill="1" applyBorder="1" applyAlignment="1">
      <alignment horizontal="center" vertical="center" wrapText="1"/>
    </xf>
    <xf numFmtId="0" fontId="3" fillId="20" borderId="17" xfId="0" applyFont="1" applyFill="1" applyBorder="1" applyAlignment="1">
      <alignment horizontal="center" vertical="center" wrapText="1"/>
    </xf>
    <xf numFmtId="44" fontId="3" fillId="19" borderId="1" xfId="0" applyNumberFormat="1" applyFont="1" applyFill="1" applyBorder="1"/>
    <xf numFmtId="0" fontId="3" fillId="21" borderId="1" xfId="0" applyFont="1" applyFill="1" applyBorder="1" applyAlignment="1">
      <alignment horizontal="left" vertical="center" wrapText="1"/>
    </xf>
    <xf numFmtId="4" fontId="5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left" vertical="center" wrapText="1"/>
    </xf>
    <xf numFmtId="44" fontId="2" fillId="0" borderId="8" xfId="0" applyNumberFormat="1" applyFont="1" applyBorder="1" applyAlignment="1">
      <alignment horizontal="center"/>
    </xf>
    <xf numFmtId="0" fontId="3" fillId="2" borderId="11" xfId="0" applyFont="1" applyFill="1" applyBorder="1"/>
    <xf numFmtId="0" fontId="3" fillId="2" borderId="12" xfId="0" applyFont="1" applyFill="1" applyBorder="1"/>
    <xf numFmtId="0" fontId="1" fillId="12" borderId="0" xfId="0" applyFont="1" applyFill="1"/>
    <xf numFmtId="44" fontId="1" fillId="12" borderId="0" xfId="0" applyNumberFormat="1" applyFont="1" applyFill="1"/>
    <xf numFmtId="44" fontId="8" fillId="12" borderId="0" xfId="0" applyNumberFormat="1" applyFont="1" applyFill="1"/>
    <xf numFmtId="44" fontId="9" fillId="12" borderId="0" xfId="0" applyNumberFormat="1" applyFont="1" applyFill="1"/>
    <xf numFmtId="14" fontId="13" fillId="14" borderId="1" xfId="0" applyNumberFormat="1" applyFont="1" applyFill="1" applyBorder="1" applyAlignment="1">
      <alignment horizontal="left"/>
    </xf>
    <xf numFmtId="0" fontId="17" fillId="15" borderId="1" xfId="0" applyFont="1" applyFill="1" applyBorder="1" applyAlignment="1">
      <alignment horizontal="left" vertical="center" wrapText="1"/>
    </xf>
    <xf numFmtId="44" fontId="17" fillId="15" borderId="1" xfId="0" applyNumberFormat="1" applyFont="1" applyFill="1" applyBorder="1" applyAlignment="1">
      <alignment horizontal="right" vertical="center" wrapText="1"/>
    </xf>
    <xf numFmtId="0" fontId="3" fillId="14" borderId="5" xfId="0" applyFont="1" applyFill="1" applyBorder="1"/>
    <xf numFmtId="14" fontId="5" fillId="14" borderId="6" xfId="0" applyNumberFormat="1" applyFont="1" applyFill="1" applyBorder="1" applyAlignment="1">
      <alignment horizontal="left" vertical="center"/>
    </xf>
    <xf numFmtId="14" fontId="3" fillId="11" borderId="1" xfId="0" applyNumberFormat="1" applyFont="1" applyFill="1" applyBorder="1" applyAlignment="1">
      <alignment horizontal="left" vertical="center"/>
    </xf>
    <xf numFmtId="4" fontId="3" fillId="11" borderId="1" xfId="0" applyNumberFormat="1" applyFont="1" applyFill="1" applyBorder="1" applyAlignment="1">
      <alignment horizontal="center" vertical="center"/>
    </xf>
    <xf numFmtId="0" fontId="3" fillId="11" borderId="0" xfId="0" applyFont="1" applyFill="1"/>
    <xf numFmtId="44" fontId="3" fillId="14" borderId="0" xfId="1" applyFont="1" applyFill="1" applyBorder="1"/>
    <xf numFmtId="0" fontId="5" fillId="15" borderId="2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/>
    </xf>
    <xf numFmtId="164" fontId="3" fillId="15" borderId="6" xfId="0" applyNumberFormat="1" applyFont="1" applyFill="1" applyBorder="1" applyAlignment="1">
      <alignment horizontal="right" vertical="center" wrapText="1"/>
    </xf>
    <xf numFmtId="0" fontId="5" fillId="15" borderId="17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horizontal="left" vertical="center" wrapText="1"/>
    </xf>
    <xf numFmtId="44" fontId="7" fillId="13" borderId="8" xfId="0" applyNumberFormat="1" applyFont="1" applyFill="1" applyBorder="1" applyAlignment="1">
      <alignment horizontal="right" vertical="center" wrapText="1"/>
    </xf>
    <xf numFmtId="4" fontId="7" fillId="7" borderId="8" xfId="0" applyNumberFormat="1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left"/>
    </xf>
    <xf numFmtId="14" fontId="7" fillId="15" borderId="1" xfId="0" applyNumberFormat="1" applyFont="1" applyFill="1" applyBorder="1" applyAlignment="1">
      <alignment horizontal="left" vertical="center" wrapText="1"/>
    </xf>
    <xf numFmtId="44" fontId="3" fillId="15" borderId="17" xfId="0" applyNumberFormat="1" applyFont="1" applyFill="1" applyBorder="1" applyAlignment="1">
      <alignment horizontal="right" vertical="center" wrapText="1"/>
    </xf>
    <xf numFmtId="0" fontId="7" fillId="14" borderId="1" xfId="0" applyFont="1" applyFill="1" applyBorder="1" applyAlignment="1">
      <alignment vertical="center"/>
    </xf>
    <xf numFmtId="44" fontId="7" fillId="14" borderId="1" xfId="0" applyNumberFormat="1" applyFont="1" applyFill="1" applyBorder="1" applyAlignment="1">
      <alignment vertical="center"/>
    </xf>
    <xf numFmtId="0" fontId="7" fillId="15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10" fillId="2" borderId="3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14" fontId="3" fillId="3" borderId="1" xfId="0" applyNumberFormat="1" applyFont="1" applyFill="1" applyBorder="1" applyAlignment="1">
      <alignment horizontal="left" wrapText="1"/>
    </xf>
    <xf numFmtId="44" fontId="17" fillId="3" borderId="1" xfId="0" applyNumberFormat="1" applyFont="1" applyFill="1" applyBorder="1" applyAlignment="1">
      <alignment horizontal="right" vertical="center" wrapText="1"/>
    </xf>
    <xf numFmtId="0" fontId="3" fillId="2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/>
    </xf>
    <xf numFmtId="0" fontId="5" fillId="2" borderId="0" xfId="0" applyFont="1" applyFill="1"/>
    <xf numFmtId="0" fontId="5" fillId="2" borderId="1" xfId="0" applyFont="1" applyFill="1" applyBorder="1" applyAlignment="1">
      <alignment horizontal="center" vertical="center"/>
    </xf>
    <xf numFmtId="44" fontId="3" fillId="15" borderId="10" xfId="0" applyNumberFormat="1" applyFont="1" applyFill="1" applyBorder="1" applyAlignment="1">
      <alignment horizontal="right" vertical="center" wrapText="1"/>
    </xf>
    <xf numFmtId="0" fontId="3" fillId="22" borderId="1" xfId="0" applyFont="1" applyFill="1" applyBorder="1"/>
    <xf numFmtId="44" fontId="3" fillId="22" borderId="1" xfId="0" applyNumberFormat="1" applyFont="1" applyFill="1" applyBorder="1" applyAlignment="1">
      <alignment vertical="center"/>
    </xf>
    <xf numFmtId="0" fontId="5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/>
    <xf numFmtId="44" fontId="5" fillId="14" borderId="1" xfId="0" applyNumberFormat="1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 wrapText="1"/>
    </xf>
    <xf numFmtId="4" fontId="5" fillId="2" borderId="8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left" wrapText="1"/>
    </xf>
    <xf numFmtId="44" fontId="5" fillId="2" borderId="1" xfId="0" applyNumberFormat="1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 wrapText="1"/>
    </xf>
    <xf numFmtId="44" fontId="3" fillId="3" borderId="10" xfId="0" applyNumberFormat="1" applyFont="1" applyFill="1" applyBorder="1" applyAlignment="1">
      <alignment horizontal="right" vertical="center" wrapText="1"/>
    </xf>
    <xf numFmtId="0" fontId="5" fillId="3" borderId="3" xfId="0" applyFont="1" applyFill="1" applyBorder="1" applyAlignment="1">
      <alignment horizontal="left" vertical="center" wrapText="1"/>
    </xf>
    <xf numFmtId="44" fontId="5" fillId="3" borderId="2" xfId="0" applyNumberFormat="1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5" fillId="2" borderId="3" xfId="0" applyFont="1" applyFill="1" applyBorder="1"/>
    <xf numFmtId="44" fontId="5" fillId="2" borderId="1" xfId="0" applyNumberFormat="1" applyFont="1" applyFill="1" applyBorder="1"/>
    <xf numFmtId="44" fontId="5" fillId="3" borderId="14" xfId="0" applyNumberFormat="1" applyFont="1" applyFill="1" applyBorder="1" applyAlignment="1">
      <alignment horizontal="right" vertical="center" wrapText="1"/>
    </xf>
    <xf numFmtId="0" fontId="17" fillId="3" borderId="2" xfId="0" applyFont="1" applyFill="1" applyBorder="1" applyAlignment="1">
      <alignment horizontal="left" vertical="center" wrapText="1"/>
    </xf>
    <xf numFmtId="44" fontId="17" fillId="3" borderId="2" xfId="0" applyNumberFormat="1" applyFont="1" applyFill="1" applyBorder="1" applyAlignment="1">
      <alignment horizontal="right" vertical="center" wrapText="1"/>
    </xf>
    <xf numFmtId="0" fontId="17" fillId="3" borderId="2" xfId="0" applyFont="1" applyFill="1" applyBorder="1" applyAlignment="1">
      <alignment horizontal="center" vertical="center" wrapText="1"/>
    </xf>
    <xf numFmtId="44" fontId="12" fillId="2" borderId="0" xfId="0" applyNumberFormat="1" applyFont="1" applyFill="1"/>
    <xf numFmtId="0" fontId="11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wrapText="1"/>
    </xf>
    <xf numFmtId="0" fontId="0" fillId="0" borderId="0" xfId="0" pivotButton="1"/>
    <xf numFmtId="44" fontId="0" fillId="7" borderId="1" xfId="0" applyNumberFormat="1" applyFill="1" applyBorder="1" applyAlignment="1">
      <alignment horizontal="left"/>
    </xf>
    <xf numFmtId="44" fontId="0" fillId="7" borderId="1" xfId="0" applyNumberFormat="1" applyFill="1" applyBorder="1"/>
    <xf numFmtId="0" fontId="1" fillId="0" borderId="0" xfId="0" applyFont="1" applyAlignment="1">
      <alignment horizontal="center"/>
    </xf>
    <xf numFmtId="0" fontId="10" fillId="3" borderId="3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wrapText="1"/>
    </xf>
    <xf numFmtId="0" fontId="19" fillId="0" borderId="0" xfId="0" applyFont="1"/>
    <xf numFmtId="0" fontId="10" fillId="3" borderId="3" xfId="0" applyFont="1" applyFill="1" applyBorder="1" applyAlignment="1">
      <alignment horizontal="left" wrapText="1"/>
    </xf>
    <xf numFmtId="44" fontId="10" fillId="3" borderId="2" xfId="0" applyNumberFormat="1" applyFont="1" applyFill="1" applyBorder="1" applyAlignment="1">
      <alignment horizontal="right" vertical="center" wrapText="1"/>
    </xf>
    <xf numFmtId="0" fontId="10" fillId="3" borderId="2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wrapText="1"/>
    </xf>
    <xf numFmtId="0" fontId="0" fillId="0" borderId="1" xfId="0" pivotButton="1" applyBorder="1"/>
    <xf numFmtId="0" fontId="0" fillId="0" borderId="1" xfId="0" pivotButton="1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4" fontId="3" fillId="7" borderId="6" xfId="0" applyNumberFormat="1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 wrapText="1"/>
    </xf>
    <xf numFmtId="44" fontId="3" fillId="13" borderId="1" xfId="0" applyNumberFormat="1" applyFont="1" applyFill="1" applyBorder="1" applyAlignment="1">
      <alignment horizontal="right" vertical="center" wrapText="1"/>
    </xf>
    <xf numFmtId="0" fontId="1" fillId="10" borderId="1" xfId="0" applyFont="1" applyFill="1" applyBorder="1" applyAlignment="1">
      <alignment horizontal="center"/>
    </xf>
    <xf numFmtId="44" fontId="1" fillId="10" borderId="1" xfId="0" applyNumberFormat="1" applyFont="1" applyFill="1" applyBorder="1"/>
    <xf numFmtId="4" fontId="3" fillId="7" borderId="8" xfId="0" applyNumberFormat="1" applyFont="1" applyFill="1" applyBorder="1" applyAlignment="1">
      <alignment horizontal="center" vertical="center"/>
    </xf>
    <xf numFmtId="0" fontId="3" fillId="15" borderId="12" xfId="0" applyFont="1" applyFill="1" applyBorder="1" applyAlignment="1">
      <alignment horizontal="left" vertical="center" wrapText="1"/>
    </xf>
    <xf numFmtId="0" fontId="19" fillId="2" borderId="0" xfId="0" applyFont="1" applyFill="1"/>
    <xf numFmtId="44" fontId="10" fillId="3" borderId="5" xfId="0" applyNumberFormat="1" applyFont="1" applyFill="1" applyBorder="1" applyAlignment="1">
      <alignment horizontal="right" vertical="center" wrapText="1"/>
    </xf>
    <xf numFmtId="14" fontId="20" fillId="2" borderId="1" xfId="0" applyNumberFormat="1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 wrapText="1"/>
    </xf>
    <xf numFmtId="44" fontId="20" fillId="3" borderId="1" xfId="0" applyNumberFormat="1" applyFont="1" applyFill="1" applyBorder="1" applyAlignment="1">
      <alignment horizontal="right" vertical="center" wrapText="1"/>
    </xf>
    <xf numFmtId="4" fontId="20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left" vertical="center" wrapText="1"/>
    </xf>
    <xf numFmtId="44" fontId="10" fillId="3" borderId="17" xfId="0" applyNumberFormat="1" applyFont="1" applyFill="1" applyBorder="1" applyAlignment="1">
      <alignment horizontal="right" vertical="center" wrapText="1"/>
    </xf>
    <xf numFmtId="0" fontId="10" fillId="3" borderId="19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center" vertical="center" wrapText="1"/>
    </xf>
    <xf numFmtId="44" fontId="21" fillId="2" borderId="1" xfId="0" applyNumberFormat="1" applyFont="1" applyFill="1" applyBorder="1" applyAlignment="1">
      <alignment horizontal="left" vertical="center"/>
    </xf>
    <xf numFmtId="44" fontId="21" fillId="2" borderId="1" xfId="0" applyNumberFormat="1" applyFont="1" applyFill="1" applyBorder="1"/>
    <xf numFmtId="44" fontId="21" fillId="2" borderId="1" xfId="0" applyNumberFormat="1" applyFont="1" applyFill="1" applyBorder="1" applyAlignment="1">
      <alignment horizontal="center" vertical="center"/>
    </xf>
    <xf numFmtId="44" fontId="21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vertical="center" wrapText="1"/>
    </xf>
    <xf numFmtId="14" fontId="22" fillId="4" borderId="2" xfId="0" applyNumberFormat="1" applyFont="1" applyFill="1" applyBorder="1" applyAlignment="1">
      <alignment horizontal="right" vertical="center" wrapText="1"/>
    </xf>
    <xf numFmtId="0" fontId="22" fillId="4" borderId="2" xfId="0" applyFont="1" applyFill="1" applyBorder="1" applyAlignment="1">
      <alignment horizontal="left" vertical="center" wrapText="1"/>
    </xf>
    <xf numFmtId="164" fontId="23" fillId="4" borderId="2" xfId="0" applyNumberFormat="1" applyFont="1" applyFill="1" applyBorder="1" applyAlignment="1">
      <alignment horizontal="right" vertical="center" wrapText="1"/>
    </xf>
    <xf numFmtId="14" fontId="25" fillId="23" borderId="2" xfId="0" applyNumberFormat="1" applyFont="1" applyFill="1" applyBorder="1" applyAlignment="1">
      <alignment horizontal="left" vertical="center" wrapText="1"/>
    </xf>
    <xf numFmtId="0" fontId="25" fillId="23" borderId="2" xfId="0" applyFont="1" applyFill="1" applyBorder="1" applyAlignment="1">
      <alignment horizontal="left" vertical="center" wrapText="1"/>
    </xf>
    <xf numFmtId="0" fontId="25" fillId="23" borderId="2" xfId="0" applyFont="1" applyFill="1" applyBorder="1" applyAlignment="1">
      <alignment horizontal="left" wrapText="1"/>
    </xf>
    <xf numFmtId="0" fontId="22" fillId="4" borderId="2" xfId="0" applyFont="1" applyFill="1" applyBorder="1" applyAlignment="1">
      <alignment horizontal="left" wrapText="1"/>
    </xf>
    <xf numFmtId="0" fontId="3" fillId="2" borderId="1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44" fontId="12" fillId="2" borderId="1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13" borderId="8" xfId="0" applyFont="1" applyFill="1" applyBorder="1" applyAlignment="1">
      <alignment horizontal="left" vertical="center" wrapText="1"/>
    </xf>
    <xf numFmtId="44" fontId="3" fillId="13" borderId="8" xfId="0" applyNumberFormat="1" applyFont="1" applyFill="1" applyBorder="1" applyAlignment="1">
      <alignment horizontal="right" vertical="center" wrapText="1"/>
    </xf>
    <xf numFmtId="0" fontId="10" fillId="3" borderId="8" xfId="0" applyFont="1" applyFill="1" applyBorder="1" applyAlignment="1">
      <alignment horizontal="left" wrapText="1"/>
    </xf>
    <xf numFmtId="0" fontId="10" fillId="3" borderId="1" xfId="0" applyFont="1" applyFill="1" applyBorder="1" applyAlignment="1">
      <alignment vertical="center" wrapText="1"/>
    </xf>
    <xf numFmtId="44" fontId="10" fillId="2" borderId="3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 wrapText="1"/>
    </xf>
    <xf numFmtId="44" fontId="21" fillId="2" borderId="3" xfId="0" applyNumberFormat="1" applyFont="1" applyFill="1" applyBorder="1" applyAlignment="1">
      <alignment horizontal="left"/>
    </xf>
    <xf numFmtId="0" fontId="20" fillId="3" borderId="1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left" wrapText="1"/>
    </xf>
    <xf numFmtId="14" fontId="3" fillId="14" borderId="7" xfId="0" applyNumberFormat="1" applyFont="1" applyFill="1" applyBorder="1" applyAlignment="1">
      <alignment horizontal="left" vertical="center"/>
    </xf>
    <xf numFmtId="0" fontId="26" fillId="25" borderId="13" xfId="0" applyFont="1" applyFill="1" applyBorder="1" applyAlignment="1">
      <alignment horizontal="left" vertical="center" wrapText="1"/>
    </xf>
    <xf numFmtId="0" fontId="26" fillId="25" borderId="13" xfId="0" applyFont="1" applyFill="1" applyBorder="1" applyAlignment="1">
      <alignment horizontal="center" vertical="center" wrapText="1"/>
    </xf>
    <xf numFmtId="0" fontId="12" fillId="0" borderId="0" xfId="0" applyFont="1"/>
    <xf numFmtId="0" fontId="26" fillId="25" borderId="13" xfId="0" applyFont="1" applyFill="1" applyBorder="1" applyAlignment="1">
      <alignment horizontal="left" vertical="center"/>
    </xf>
    <xf numFmtId="0" fontId="26" fillId="24" borderId="13" xfId="0" applyFont="1" applyFill="1" applyBorder="1" applyAlignment="1">
      <alignment horizontal="center" vertical="center" wrapText="1"/>
    </xf>
    <xf numFmtId="0" fontId="26" fillId="24" borderId="13" xfId="0" applyFont="1" applyFill="1" applyBorder="1" applyAlignment="1">
      <alignment horizontal="left" vertical="center"/>
    </xf>
    <xf numFmtId="0" fontId="26" fillId="25" borderId="13" xfId="0" applyFont="1" applyFill="1" applyBorder="1" applyAlignment="1">
      <alignment horizontal="left" wrapText="1"/>
    </xf>
    <xf numFmtId="0" fontId="26" fillId="24" borderId="13" xfId="0" applyFont="1" applyFill="1" applyBorder="1" applyAlignment="1">
      <alignment horizontal="left" wrapText="1"/>
    </xf>
    <xf numFmtId="44" fontId="26" fillId="25" borderId="13" xfId="0" applyNumberFormat="1" applyFont="1" applyFill="1" applyBorder="1" applyAlignment="1">
      <alignment horizontal="right" vertical="center" wrapText="1"/>
    </xf>
    <xf numFmtId="44" fontId="26" fillId="24" borderId="13" xfId="0" applyNumberFormat="1" applyFont="1" applyFill="1" applyBorder="1" applyAlignment="1">
      <alignment horizontal="right" vertical="center" wrapText="1"/>
    </xf>
    <xf numFmtId="44" fontId="27" fillId="0" borderId="1" xfId="0" applyNumberFormat="1" applyFont="1" applyBorder="1"/>
    <xf numFmtId="44" fontId="12" fillId="0" borderId="0" xfId="0" applyNumberFormat="1" applyFont="1"/>
    <xf numFmtId="0" fontId="3" fillId="14" borderId="1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left" wrapText="1"/>
    </xf>
    <xf numFmtId="44" fontId="10" fillId="2" borderId="1" xfId="0" applyNumberFormat="1" applyFont="1" applyFill="1" applyBorder="1" applyAlignment="1">
      <alignment horizontal="right" vertical="center" wrapText="1"/>
    </xf>
    <xf numFmtId="44" fontId="8" fillId="2" borderId="1" xfId="0" applyNumberFormat="1" applyFont="1" applyFill="1" applyBorder="1"/>
    <xf numFmtId="0" fontId="0" fillId="0" borderId="0" xfId="0" applyAlignment="1">
      <alignment vertical="center"/>
    </xf>
    <xf numFmtId="164" fontId="3" fillId="4" borderId="1" xfId="0" applyNumberFormat="1" applyFont="1" applyFill="1" applyBorder="1" applyAlignment="1">
      <alignment horizontal="right" vertical="center" wrapText="1"/>
    </xf>
    <xf numFmtId="44" fontId="2" fillId="7" borderId="1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left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vertical="center" wrapText="1"/>
    </xf>
    <xf numFmtId="0" fontId="3" fillId="14" borderId="14" xfId="0" applyFont="1" applyFill="1" applyBorder="1" applyAlignment="1">
      <alignment horizontal="left" vertical="center" wrapText="1"/>
    </xf>
    <xf numFmtId="44" fontId="3" fillId="14" borderId="2" xfId="0" applyNumberFormat="1" applyFont="1" applyFill="1" applyBorder="1" applyAlignment="1">
      <alignment horizontal="righ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vertical="center" wrapText="1"/>
    </xf>
    <xf numFmtId="44" fontId="11" fillId="4" borderId="1" xfId="0" applyNumberFormat="1" applyFont="1" applyFill="1" applyBorder="1" applyAlignment="1">
      <alignment horizontal="right" vertical="center" wrapText="1"/>
    </xf>
    <xf numFmtId="0" fontId="22" fillId="3" borderId="2" xfId="0" applyFont="1" applyFill="1" applyBorder="1" applyAlignment="1">
      <alignment horizontal="left" vertical="center" wrapText="1"/>
    </xf>
    <xf numFmtId="164" fontId="23" fillId="3" borderId="2" xfId="0" applyNumberFormat="1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left" vertical="center" wrapText="1"/>
    </xf>
    <xf numFmtId="14" fontId="3" fillId="26" borderId="1" xfId="0" applyNumberFormat="1" applyFont="1" applyFill="1" applyBorder="1" applyAlignment="1">
      <alignment horizontal="left" vertical="center"/>
    </xf>
    <xf numFmtId="0" fontId="3" fillId="26" borderId="1" xfId="0" applyFont="1" applyFill="1" applyBorder="1" applyAlignment="1">
      <alignment horizontal="center" vertical="center"/>
    </xf>
    <xf numFmtId="0" fontId="3" fillId="26" borderId="0" xfId="0" applyFont="1" applyFill="1"/>
    <xf numFmtId="44" fontId="15" fillId="0" borderId="1" xfId="0" applyNumberFormat="1" applyFont="1" applyBorder="1"/>
    <xf numFmtId="0" fontId="3" fillId="28" borderId="1" xfId="0" applyFont="1" applyFill="1" applyBorder="1" applyAlignment="1">
      <alignment horizontal="left" vertical="center" wrapText="1"/>
    </xf>
    <xf numFmtId="44" fontId="3" fillId="28" borderId="1" xfId="0" applyNumberFormat="1" applyFont="1" applyFill="1" applyBorder="1" applyAlignment="1">
      <alignment horizontal="right" vertical="center" wrapText="1"/>
    </xf>
    <xf numFmtId="14" fontId="3" fillId="29" borderId="1" xfId="0" applyNumberFormat="1" applyFont="1" applyFill="1" applyBorder="1" applyAlignment="1">
      <alignment horizontal="left" vertical="center"/>
    </xf>
    <xf numFmtId="0" fontId="3" fillId="30" borderId="1" xfId="0" applyFont="1" applyFill="1" applyBorder="1" applyAlignment="1">
      <alignment horizontal="left" vertical="center" wrapText="1"/>
    </xf>
    <xf numFmtId="0" fontId="3" fillId="30" borderId="1" xfId="0" applyFont="1" applyFill="1" applyBorder="1" applyAlignment="1">
      <alignment horizontal="left" wrapText="1"/>
    </xf>
    <xf numFmtId="44" fontId="3" fillId="30" borderId="1" xfId="0" applyNumberFormat="1" applyFont="1" applyFill="1" applyBorder="1" applyAlignment="1">
      <alignment horizontal="right" vertical="center" wrapText="1"/>
    </xf>
    <xf numFmtId="4" fontId="3" fillId="29" borderId="1" xfId="0" applyNumberFormat="1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 wrapText="1"/>
    </xf>
    <xf numFmtId="0" fontId="3" fillId="29" borderId="0" xfId="0" applyFont="1" applyFill="1"/>
    <xf numFmtId="0" fontId="0" fillId="2" borderId="0" xfId="0" applyFill="1"/>
    <xf numFmtId="14" fontId="12" fillId="2" borderId="6" xfId="0" applyNumberFormat="1" applyFont="1" applyFill="1" applyBorder="1" applyAlignment="1">
      <alignment horizontal="left" vertical="center"/>
    </xf>
    <xf numFmtId="44" fontId="8" fillId="0" borderId="6" xfId="0" applyNumberFormat="1" applyFont="1" applyBorder="1"/>
    <xf numFmtId="44" fontId="20" fillId="0" borderId="0" xfId="0" applyNumberFormat="1" applyFont="1"/>
    <xf numFmtId="0" fontId="10" fillId="4" borderId="1" xfId="0" applyFont="1" applyFill="1" applyBorder="1" applyAlignment="1">
      <alignment horizontal="left" vertical="center" wrapText="1"/>
    </xf>
    <xf numFmtId="44" fontId="10" fillId="4" borderId="1" xfId="0" applyNumberFormat="1" applyFont="1" applyFill="1" applyBorder="1" applyAlignment="1">
      <alignment horizontal="right" vertical="center" wrapText="1"/>
    </xf>
    <xf numFmtId="14" fontId="10" fillId="3" borderId="8" xfId="0" applyNumberFormat="1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horizontal="center" wrapText="1"/>
    </xf>
    <xf numFmtId="44" fontId="10" fillId="2" borderId="5" xfId="0" applyNumberFormat="1" applyFont="1" applyFill="1" applyBorder="1" applyAlignment="1">
      <alignment vertical="center"/>
    </xf>
    <xf numFmtId="44" fontId="10" fillId="4" borderId="14" xfId="0" applyNumberFormat="1" applyFont="1" applyFill="1" applyBorder="1" applyAlignment="1">
      <alignment horizontal="right" vertical="center" wrapText="1"/>
    </xf>
    <xf numFmtId="44" fontId="10" fillId="4" borderId="5" xfId="0" applyNumberFormat="1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left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wrapText="1"/>
    </xf>
    <xf numFmtId="0" fontId="10" fillId="4" borderId="4" xfId="0" applyFont="1" applyFill="1" applyBorder="1" applyAlignment="1">
      <alignment horizontal="left" vertical="center" wrapText="1"/>
    </xf>
    <xf numFmtId="0" fontId="10" fillId="2" borderId="8" xfId="0" applyFont="1" applyFill="1" applyBorder="1"/>
    <xf numFmtId="44" fontId="10" fillId="3" borderId="9" xfId="0" applyNumberFormat="1" applyFont="1" applyFill="1" applyBorder="1" applyAlignment="1">
      <alignment horizontal="right" vertical="center" wrapText="1"/>
    </xf>
    <xf numFmtId="44" fontId="10" fillId="2" borderId="1" xfId="0" applyNumberFormat="1" applyFont="1" applyFill="1" applyBorder="1" applyAlignment="1">
      <alignment horizontal="left"/>
    </xf>
    <xf numFmtId="0" fontId="12" fillId="2" borderId="1" xfId="0" applyFont="1" applyFill="1" applyBorder="1" applyAlignment="1">
      <alignment wrapText="1"/>
    </xf>
    <xf numFmtId="44" fontId="12" fillId="2" borderId="1" xfId="0" applyNumberFormat="1" applyFont="1" applyFill="1" applyBorder="1" applyAlignment="1">
      <alignment horizontal="left" vertical="center"/>
    </xf>
    <xf numFmtId="44" fontId="12" fillId="2" borderId="3" xfId="0" applyNumberFormat="1" applyFont="1" applyFill="1" applyBorder="1" applyAlignment="1">
      <alignment horizontal="left"/>
    </xf>
    <xf numFmtId="44" fontId="12" fillId="2" borderId="1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44" fontId="16" fillId="0" borderId="1" xfId="0" applyNumberFormat="1" applyFont="1" applyBorder="1"/>
    <xf numFmtId="14" fontId="22" fillId="3" borderId="2" xfId="0" applyNumberFormat="1" applyFont="1" applyFill="1" applyBorder="1" applyAlignment="1">
      <alignment horizontal="right" vertical="center" wrapText="1"/>
    </xf>
    <xf numFmtId="0" fontId="3" fillId="4" borderId="14" xfId="0" applyFont="1" applyFill="1" applyBorder="1" applyAlignment="1">
      <alignment horizontal="center" vertical="center" wrapText="1"/>
    </xf>
    <xf numFmtId="14" fontId="3" fillId="3" borderId="0" xfId="0" applyNumberFormat="1" applyFont="1" applyFill="1" applyAlignment="1">
      <alignment horizontal="left" vertical="center" wrapText="1"/>
    </xf>
    <xf numFmtId="164" fontId="3" fillId="4" borderId="6" xfId="0" applyNumberFormat="1" applyFont="1" applyFill="1" applyBorder="1" applyAlignment="1">
      <alignment horizontal="right" vertical="center" wrapText="1"/>
    </xf>
    <xf numFmtId="0" fontId="3" fillId="2" borderId="23" xfId="0" applyFont="1" applyFill="1" applyBorder="1" applyAlignment="1">
      <alignment vertical="center"/>
    </xf>
    <xf numFmtId="0" fontId="3" fillId="4" borderId="24" xfId="0" applyFont="1" applyFill="1" applyBorder="1" applyAlignment="1">
      <alignment horizontal="left" vertical="center" wrapText="1"/>
    </xf>
    <xf numFmtId="0" fontId="3" fillId="3" borderId="23" xfId="0" applyFont="1" applyFill="1" applyBorder="1" applyAlignment="1">
      <alignment horizontal="left" vertical="center" wrapText="1"/>
    </xf>
    <xf numFmtId="44" fontId="16" fillId="2" borderId="1" xfId="0" applyNumberFormat="1" applyFont="1" applyFill="1" applyBorder="1" applyAlignment="1">
      <alignment vertical="center"/>
    </xf>
    <xf numFmtId="0" fontId="3" fillId="27" borderId="1" xfId="0" applyFont="1" applyFill="1" applyBorder="1" applyAlignment="1">
      <alignment horizontal="left" vertical="center" wrapText="1"/>
    </xf>
    <xf numFmtId="44" fontId="3" fillId="27" borderId="1" xfId="0" applyNumberFormat="1" applyFont="1" applyFill="1" applyBorder="1" applyAlignment="1">
      <alignment horizontal="right" vertical="center" wrapText="1"/>
    </xf>
    <xf numFmtId="0" fontId="3" fillId="27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wrapText="1"/>
    </xf>
    <xf numFmtId="0" fontId="3" fillId="27" borderId="1" xfId="0" applyFont="1" applyFill="1" applyBorder="1" applyAlignment="1">
      <alignment horizontal="left" wrapText="1"/>
    </xf>
    <xf numFmtId="0" fontId="0" fillId="26" borderId="0" xfId="0" applyFill="1"/>
    <xf numFmtId="0" fontId="3" fillId="26" borderId="1" xfId="0" applyFont="1" applyFill="1" applyBorder="1" applyAlignment="1">
      <alignment vertical="center"/>
    </xf>
    <xf numFmtId="0" fontId="3" fillId="26" borderId="1" xfId="0" applyFont="1" applyFill="1" applyBorder="1"/>
    <xf numFmtId="44" fontId="3" fillId="26" borderId="1" xfId="0" applyNumberFormat="1" applyFont="1" applyFill="1" applyBorder="1" applyAlignment="1">
      <alignment vertical="center"/>
    </xf>
    <xf numFmtId="14" fontId="3" fillId="26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/>
    <xf numFmtId="0" fontId="27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6" borderId="1" xfId="0" applyNumberFormat="1" applyFont="1" applyFill="1" applyBorder="1" applyAlignment="1">
      <alignment horizontal="center" vertical="center"/>
    </xf>
    <xf numFmtId="14" fontId="3" fillId="26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1" fillId="2" borderId="0" xfId="0" applyFont="1" applyFill="1"/>
    <xf numFmtId="0" fontId="0" fillId="26" borderId="0" xfId="0" applyFill="1" applyAlignment="1">
      <alignment vertical="center"/>
    </xf>
    <xf numFmtId="14" fontId="3" fillId="27" borderId="1" xfId="0" applyNumberFormat="1" applyFont="1" applyFill="1" applyBorder="1" applyAlignment="1">
      <alignment horizontal="left" vertical="center" wrapText="1"/>
    </xf>
    <xf numFmtId="0" fontId="3" fillId="27" borderId="1" xfId="0" applyFont="1" applyFill="1" applyBorder="1" applyAlignment="1">
      <alignment vertical="center" wrapText="1"/>
    </xf>
    <xf numFmtId="44" fontId="5" fillId="7" borderId="0" xfId="0" applyNumberFormat="1" applyFont="1" applyFill="1"/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center" vertical="center"/>
    </xf>
    <xf numFmtId="14" fontId="16" fillId="2" borderId="1" xfId="0" applyNumberFormat="1" applyFont="1" applyFill="1" applyBorder="1"/>
    <xf numFmtId="44" fontId="10" fillId="3" borderId="0" xfId="0" applyNumberFormat="1" applyFont="1" applyFill="1" applyAlignment="1">
      <alignment horizontal="right" vertical="center" wrapText="1"/>
    </xf>
    <xf numFmtId="0" fontId="3" fillId="15" borderId="8" xfId="0" applyFont="1" applyFill="1" applyBorder="1" applyAlignment="1">
      <alignment horizontal="center" wrapText="1"/>
    </xf>
    <xf numFmtId="0" fontId="3" fillId="14" borderId="8" xfId="0" applyFont="1" applyFill="1" applyBorder="1" applyAlignment="1">
      <alignment vertical="center" wrapText="1"/>
    </xf>
    <xf numFmtId="44" fontId="11" fillId="4" borderId="6" xfId="0" applyNumberFormat="1" applyFont="1" applyFill="1" applyBorder="1" applyAlignment="1">
      <alignment horizontal="right" vertical="center" wrapText="1"/>
    </xf>
    <xf numFmtId="14" fontId="3" fillId="11" borderId="6" xfId="0" applyNumberFormat="1" applyFont="1" applyFill="1" applyBorder="1" applyAlignment="1">
      <alignment horizontal="left" vertical="center"/>
    </xf>
    <xf numFmtId="0" fontId="3" fillId="11" borderId="6" xfId="0" applyFont="1" applyFill="1" applyBorder="1"/>
    <xf numFmtId="44" fontId="3" fillId="11" borderId="6" xfId="0" applyNumberFormat="1" applyFont="1" applyFill="1" applyBorder="1" applyAlignment="1">
      <alignment vertical="center"/>
    </xf>
    <xf numFmtId="4" fontId="3" fillId="11" borderId="6" xfId="0" applyNumberFormat="1" applyFont="1" applyFill="1" applyBorder="1" applyAlignment="1">
      <alignment horizontal="center" vertical="center"/>
    </xf>
    <xf numFmtId="44" fontId="3" fillId="7" borderId="1" xfId="0" applyNumberFormat="1" applyFont="1" applyFill="1" applyBorder="1"/>
    <xf numFmtId="44" fontId="32" fillId="2" borderId="1" xfId="0" applyNumberFormat="1" applyFont="1" applyFill="1" applyBorder="1"/>
    <xf numFmtId="44" fontId="32" fillId="0" borderId="1" xfId="0" applyNumberFormat="1" applyFont="1" applyBorder="1"/>
    <xf numFmtId="0" fontId="3" fillId="15" borderId="9" xfId="0" applyFont="1" applyFill="1" applyBorder="1" applyAlignment="1">
      <alignment horizontal="center" vertical="center" wrapText="1"/>
    </xf>
    <xf numFmtId="44" fontId="3" fillId="2" borderId="15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wrapText="1"/>
    </xf>
    <xf numFmtId="44" fontId="10" fillId="3" borderId="14" xfId="0" applyNumberFormat="1" applyFont="1" applyFill="1" applyBorder="1" applyAlignment="1">
      <alignment horizontal="right" vertical="center" wrapText="1"/>
    </xf>
    <xf numFmtId="44" fontId="10" fillId="4" borderId="2" xfId="0" applyNumberFormat="1" applyFont="1" applyFill="1" applyBorder="1" applyAlignment="1">
      <alignment horizontal="righ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2" borderId="28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4" borderId="24" xfId="0" applyFont="1" applyFill="1" applyBorder="1" applyAlignment="1">
      <alignment horizontal="left" vertical="center" wrapText="1"/>
    </xf>
    <xf numFmtId="44" fontId="12" fillId="4" borderId="1" xfId="0" applyNumberFormat="1" applyFont="1" applyFill="1" applyBorder="1" applyAlignment="1">
      <alignment horizontal="right" vertical="center" wrapText="1"/>
    </xf>
    <xf numFmtId="14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44" fontId="3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16" fontId="0" fillId="0" borderId="1" xfId="0" applyNumberFormat="1" applyBorder="1" applyAlignment="1">
      <alignment horizontal="center"/>
    </xf>
    <xf numFmtId="44" fontId="33" fillId="0" borderId="1" xfId="0" applyNumberFormat="1" applyFont="1" applyBorder="1"/>
    <xf numFmtId="0" fontId="10" fillId="2" borderId="11" xfId="0" applyFont="1" applyFill="1" applyBorder="1" applyAlignment="1">
      <alignment vertical="center"/>
    </xf>
    <xf numFmtId="0" fontId="3" fillId="15" borderId="7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horizontal="left" vertical="center" wrapText="1"/>
    </xf>
    <xf numFmtId="44" fontId="10" fillId="2" borderId="8" xfId="0" applyNumberFormat="1" applyFont="1" applyFill="1" applyBorder="1" applyAlignment="1">
      <alignment horizontal="left" vertical="center"/>
    </xf>
    <xf numFmtId="44" fontId="10" fillId="2" borderId="11" xfId="0" applyNumberFormat="1" applyFont="1" applyFill="1" applyBorder="1" applyAlignment="1">
      <alignment horizontal="left"/>
    </xf>
    <xf numFmtId="44" fontId="10" fillId="2" borderId="8" xfId="0" applyNumberFormat="1" applyFont="1" applyFill="1" applyBorder="1" applyAlignment="1">
      <alignment horizontal="center" vertical="center"/>
    </xf>
    <xf numFmtId="44" fontId="10" fillId="2" borderId="8" xfId="0" applyNumberFormat="1" applyFont="1" applyFill="1" applyBorder="1" applyAlignment="1">
      <alignment horizontal="center"/>
    </xf>
    <xf numFmtId="0" fontId="12" fillId="0" borderId="1" xfId="0" applyFont="1" applyBorder="1"/>
    <xf numFmtId="14" fontId="13" fillId="7" borderId="1" xfId="0" applyNumberFormat="1" applyFont="1" applyFill="1" applyBorder="1" applyAlignment="1">
      <alignment horizontal="left"/>
    </xf>
    <xf numFmtId="14" fontId="13" fillId="7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wrapText="1"/>
    </xf>
    <xf numFmtId="0" fontId="13" fillId="13" borderId="1" xfId="0" applyFont="1" applyFill="1" applyBorder="1" applyAlignment="1">
      <alignment horizontal="left" vertical="center" wrapText="1"/>
    </xf>
    <xf numFmtId="44" fontId="13" fillId="13" borderId="1" xfId="0" applyNumberFormat="1" applyFont="1" applyFill="1" applyBorder="1" applyAlignment="1">
      <alignment horizontal="righ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7" borderId="0" xfId="0" applyFont="1" applyFill="1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44" fontId="13" fillId="3" borderId="1" xfId="0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44" fontId="3" fillId="4" borderId="2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14" fontId="3" fillId="3" borderId="6" xfId="0" applyNumberFormat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44" fontId="3" fillId="3" borderId="6" xfId="0" applyNumberFormat="1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center" vertical="center"/>
    </xf>
    <xf numFmtId="44" fontId="3" fillId="3" borderId="5" xfId="0" applyNumberFormat="1" applyFont="1" applyFill="1" applyBorder="1" applyAlignment="1">
      <alignment horizontal="right" vertical="center"/>
    </xf>
    <xf numFmtId="44" fontId="3" fillId="3" borderId="16" xfId="0" applyNumberFormat="1" applyFont="1" applyFill="1" applyBorder="1" applyAlignment="1">
      <alignment horizontal="right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44" fontId="3" fillId="4" borderId="8" xfId="0" applyNumberFormat="1" applyFont="1" applyFill="1" applyBorder="1" applyAlignment="1">
      <alignment horizontal="right" vertical="center"/>
    </xf>
    <xf numFmtId="0" fontId="3" fillId="3" borderId="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44" fontId="21" fillId="2" borderId="8" xfId="0" applyNumberFormat="1" applyFont="1" applyFill="1" applyBorder="1" applyAlignment="1">
      <alignment horizontal="left" vertical="center"/>
    </xf>
    <xf numFmtId="44" fontId="21" fillId="2" borderId="8" xfId="0" applyNumberFormat="1" applyFont="1" applyFill="1" applyBorder="1"/>
    <xf numFmtId="44" fontId="21" fillId="2" borderId="11" xfId="0" applyNumberFormat="1" applyFont="1" applyFill="1" applyBorder="1" applyAlignment="1">
      <alignment horizontal="left"/>
    </xf>
    <xf numFmtId="44" fontId="21" fillId="2" borderId="8" xfId="0" applyNumberFormat="1" applyFont="1" applyFill="1" applyBorder="1" applyAlignment="1">
      <alignment horizontal="center" vertical="center"/>
    </xf>
    <xf numFmtId="44" fontId="21" fillId="2" borderId="8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44" fontId="2" fillId="3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/>
    <xf numFmtId="44" fontId="2" fillId="3" borderId="8" xfId="0" applyNumberFormat="1" applyFont="1" applyFill="1" applyBorder="1" applyAlignment="1">
      <alignment horizontal="left" vertical="center" wrapText="1"/>
    </xf>
    <xf numFmtId="0" fontId="0" fillId="25" borderId="0" xfId="0" applyFill="1"/>
    <xf numFmtId="0" fontId="34" fillId="25" borderId="0" xfId="0" applyFont="1" applyFill="1" applyAlignment="1">
      <alignment vertical="center" wrapText="1"/>
    </xf>
    <xf numFmtId="0" fontId="34" fillId="31" borderId="0" xfId="0" applyFont="1" applyFill="1" applyAlignment="1">
      <alignment vertical="center" wrapText="1"/>
    </xf>
    <xf numFmtId="44" fontId="11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3" fillId="11" borderId="28" xfId="0" applyFont="1" applyFill="1" applyBorder="1" applyAlignment="1">
      <alignment vertical="center"/>
    </xf>
    <xf numFmtId="4" fontId="3" fillId="11" borderId="7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vertical="center"/>
    </xf>
    <xf numFmtId="0" fontId="26" fillId="24" borderId="1" xfId="0" applyFont="1" applyFill="1" applyBorder="1" applyAlignment="1">
      <alignment horizontal="left" vertical="center" wrapText="1" indent="1"/>
    </xf>
    <xf numFmtId="0" fontId="26" fillId="24" borderId="1" xfId="0" applyFont="1" applyFill="1" applyBorder="1" applyAlignment="1">
      <alignment vertical="center" wrapText="1"/>
    </xf>
    <xf numFmtId="0" fontId="37" fillId="24" borderId="1" xfId="0" applyFont="1" applyFill="1" applyBorder="1" applyAlignment="1">
      <alignment horizontal="center" vertical="center" wrapText="1"/>
    </xf>
    <xf numFmtId="0" fontId="12" fillId="24" borderId="1" xfId="0" applyFont="1" applyFill="1" applyBorder="1"/>
    <xf numFmtId="0" fontId="26" fillId="25" borderId="1" xfId="0" applyFont="1" applyFill="1" applyBorder="1" applyAlignment="1">
      <alignment horizontal="center" vertical="center" wrapText="1"/>
    </xf>
    <xf numFmtId="0" fontId="26" fillId="25" borderId="1" xfId="0" applyFont="1" applyFill="1" applyBorder="1" applyAlignment="1">
      <alignment horizontal="left" vertical="center"/>
    </xf>
    <xf numFmtId="0" fontId="26" fillId="25" borderId="1" xfId="0" applyFont="1" applyFill="1" applyBorder="1" applyAlignment="1">
      <alignment horizontal="left" vertical="center" wrapText="1"/>
    </xf>
    <xf numFmtId="0" fontId="26" fillId="25" borderId="1" xfId="0" applyFont="1" applyFill="1" applyBorder="1" applyAlignment="1">
      <alignment horizontal="right" vertical="center"/>
    </xf>
    <xf numFmtId="14" fontId="26" fillId="25" borderId="1" xfId="0" applyNumberFormat="1" applyFont="1" applyFill="1" applyBorder="1" applyAlignment="1">
      <alignment horizontal="center" vertical="center" wrapText="1"/>
    </xf>
    <xf numFmtId="4" fontId="26" fillId="25" borderId="1" xfId="0" applyNumberFormat="1" applyFont="1" applyFill="1" applyBorder="1" applyAlignment="1">
      <alignment horizontal="right" vertical="center" wrapText="1"/>
    </xf>
    <xf numFmtId="0" fontId="26" fillId="24" borderId="1" xfId="0" applyFont="1" applyFill="1" applyBorder="1" applyAlignment="1">
      <alignment horizontal="center" vertical="center" wrapText="1"/>
    </xf>
    <xf numFmtId="0" fontId="26" fillId="24" borderId="1" xfId="0" applyFont="1" applyFill="1" applyBorder="1" applyAlignment="1">
      <alignment horizontal="left" vertical="center"/>
    </xf>
    <xf numFmtId="0" fontId="26" fillId="24" borderId="1" xfId="0" applyFont="1" applyFill="1" applyBorder="1" applyAlignment="1">
      <alignment horizontal="left" vertical="center" wrapText="1"/>
    </xf>
    <xf numFmtId="0" fontId="26" fillId="24" borderId="1" xfId="0" applyFont="1" applyFill="1" applyBorder="1" applyAlignment="1">
      <alignment horizontal="right" vertical="center"/>
    </xf>
    <xf numFmtId="14" fontId="26" fillId="24" borderId="1" xfId="0" applyNumberFormat="1" applyFont="1" applyFill="1" applyBorder="1" applyAlignment="1">
      <alignment horizontal="center" vertical="center" wrapText="1"/>
    </xf>
    <xf numFmtId="4" fontId="26" fillId="24" borderId="1" xfId="0" applyNumberFormat="1" applyFont="1" applyFill="1" applyBorder="1" applyAlignment="1">
      <alignment horizontal="right" vertical="center" wrapText="1"/>
    </xf>
    <xf numFmtId="0" fontId="26" fillId="25" borderId="1" xfId="0" applyFont="1" applyFill="1" applyBorder="1" applyAlignment="1">
      <alignment horizontal="right" vertical="center" wrapText="1"/>
    </xf>
    <xf numFmtId="0" fontId="26" fillId="24" borderId="1" xfId="0" applyFont="1" applyFill="1" applyBorder="1" applyAlignment="1">
      <alignment horizontal="right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top"/>
    </xf>
    <xf numFmtId="0" fontId="26" fillId="25" borderId="1" xfId="0" applyFont="1" applyFill="1" applyBorder="1" applyAlignment="1">
      <alignment horizontal="left" vertical="top" wrapText="1"/>
    </xf>
    <xf numFmtId="0" fontId="26" fillId="24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vertical="center"/>
    </xf>
    <xf numFmtId="0" fontId="26" fillId="11" borderId="1" xfId="0" applyFont="1" applyFill="1" applyBorder="1" applyAlignment="1">
      <alignment horizontal="left" vertical="center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left" vertical="center" wrapText="1"/>
    </xf>
    <xf numFmtId="14" fontId="26" fillId="11" borderId="1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right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top" wrapText="1"/>
    </xf>
    <xf numFmtId="0" fontId="3" fillId="2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24" borderId="1" xfId="0" applyFont="1" applyFill="1" applyBorder="1" applyAlignment="1">
      <alignment horizontal="left" vertical="center" wrapText="1"/>
    </xf>
    <xf numFmtId="14" fontId="3" fillId="24" borderId="1" xfId="0" applyNumberFormat="1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right" vertical="center" wrapText="1"/>
    </xf>
    <xf numFmtId="0" fontId="3" fillId="24" borderId="1" xfId="0" applyFont="1" applyFill="1" applyBorder="1"/>
    <xf numFmtId="0" fontId="3" fillId="0" borderId="1" xfId="0" applyFont="1" applyBorder="1"/>
    <xf numFmtId="0" fontId="3" fillId="25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left" vertical="top" wrapText="1"/>
    </xf>
    <xf numFmtId="0" fontId="3" fillId="25" borderId="1" xfId="0" applyFont="1" applyFill="1" applyBorder="1" applyAlignment="1">
      <alignment horizontal="right" vertical="center"/>
    </xf>
    <xf numFmtId="0" fontId="3" fillId="25" borderId="1" xfId="0" applyFont="1" applyFill="1" applyBorder="1" applyAlignment="1">
      <alignment horizontal="left" vertical="center" wrapText="1"/>
    </xf>
    <xf numFmtId="14" fontId="3" fillId="25" borderId="1" xfId="0" applyNumberFormat="1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right" vertical="center" wrapText="1"/>
    </xf>
    <xf numFmtId="4" fontId="3" fillId="25" borderId="1" xfId="0" applyNumberFormat="1" applyFont="1" applyFill="1" applyBorder="1" applyAlignment="1">
      <alignment horizontal="right" vertical="center" wrapText="1"/>
    </xf>
    <xf numFmtId="4" fontId="3" fillId="24" borderId="1" xfId="0" applyNumberFormat="1" applyFont="1" applyFill="1" applyBorder="1" applyAlignment="1">
      <alignment horizontal="right" vertical="center" wrapText="1"/>
    </xf>
    <xf numFmtId="0" fontId="26" fillId="11" borderId="1" xfId="0" applyFont="1" applyFill="1" applyBorder="1" applyAlignment="1">
      <alignment horizontal="left" vertical="top" wrapText="1"/>
    </xf>
    <xf numFmtId="0" fontId="26" fillId="11" borderId="1" xfId="0" applyFont="1" applyFill="1" applyBorder="1" applyAlignment="1">
      <alignment horizontal="right" vertical="center"/>
    </xf>
    <xf numFmtId="4" fontId="26" fillId="11" borderId="1" xfId="0" applyNumberFormat="1" applyFont="1" applyFill="1" applyBorder="1" applyAlignment="1">
      <alignment horizontal="right" vertical="center" wrapText="1"/>
    </xf>
    <xf numFmtId="0" fontId="12" fillId="11" borderId="1" xfId="0" applyFont="1" applyFill="1" applyBorder="1"/>
    <xf numFmtId="0" fontId="3" fillId="11" borderId="6" xfId="0" applyFont="1" applyFill="1" applyBorder="1" applyAlignment="1">
      <alignment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3" xfId="0" applyFont="1" applyFill="1" applyBorder="1"/>
    <xf numFmtId="0" fontId="3" fillId="11" borderId="1" xfId="0" applyFont="1" applyFill="1" applyBorder="1" applyAlignment="1">
      <alignment horizontal="left"/>
    </xf>
    <xf numFmtId="4" fontId="3" fillId="11" borderId="8" xfId="0" applyNumberFormat="1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12" fillId="0" borderId="6" xfId="0" applyFont="1" applyBorder="1"/>
    <xf numFmtId="44" fontId="12" fillId="0" borderId="6" xfId="0" applyNumberFormat="1" applyFont="1" applyBorder="1"/>
    <xf numFmtId="44" fontId="10" fillId="2" borderId="6" xfId="0" applyNumberFormat="1" applyFont="1" applyFill="1" applyBorder="1" applyAlignment="1">
      <alignment horizontal="center" vertical="center"/>
    </xf>
    <xf numFmtId="44" fontId="10" fillId="2" borderId="6" xfId="0" applyNumberFormat="1" applyFont="1" applyFill="1" applyBorder="1" applyAlignment="1">
      <alignment horizontal="center"/>
    </xf>
    <xf numFmtId="0" fontId="10" fillId="3" borderId="11" xfId="0" applyFont="1" applyFill="1" applyBorder="1" applyAlignment="1">
      <alignment horizontal="left" vertical="center" wrapText="1"/>
    </xf>
    <xf numFmtId="14" fontId="12" fillId="3" borderId="6" xfId="0" applyNumberFormat="1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vertical="center"/>
    </xf>
    <xf numFmtId="0" fontId="12" fillId="2" borderId="6" xfId="0" applyFont="1" applyFill="1" applyBorder="1"/>
    <xf numFmtId="44" fontId="12" fillId="2" borderId="6" xfId="0" applyNumberFormat="1" applyFont="1" applyFill="1" applyBorder="1" applyAlignment="1">
      <alignment vertical="center"/>
    </xf>
    <xf numFmtId="0" fontId="10" fillId="2" borderId="7" xfId="0" applyFont="1" applyFill="1" applyBorder="1"/>
    <xf numFmtId="44" fontId="3" fillId="15" borderId="29" xfId="0" applyNumberFormat="1" applyFont="1" applyFill="1" applyBorder="1" applyAlignment="1">
      <alignment horizontal="right" vertical="center" wrapText="1"/>
    </xf>
    <xf numFmtId="44" fontId="11" fillId="3" borderId="6" xfId="0" applyNumberFormat="1" applyFont="1" applyFill="1" applyBorder="1" applyAlignment="1">
      <alignment horizontal="right" vertical="center" wrapText="1"/>
    </xf>
    <xf numFmtId="44" fontId="12" fillId="5" borderId="6" xfId="0" applyNumberFormat="1" applyFont="1" applyFill="1" applyBorder="1"/>
    <xf numFmtId="0" fontId="3" fillId="28" borderId="1" xfId="0" applyFont="1" applyFill="1" applyBorder="1" applyAlignment="1">
      <alignment horizontal="left" vertical="center"/>
    </xf>
    <xf numFmtId="0" fontId="3" fillId="28" borderId="1" xfId="0" applyFont="1" applyFill="1" applyBorder="1" applyAlignment="1">
      <alignment horizontal="left"/>
    </xf>
    <xf numFmtId="44" fontId="3" fillId="28" borderId="1" xfId="0" applyNumberFormat="1" applyFont="1" applyFill="1" applyBorder="1" applyAlignment="1">
      <alignment horizontal="right" vertical="center"/>
    </xf>
    <xf numFmtId="0" fontId="3" fillId="28" borderId="1" xfId="0" applyFont="1" applyFill="1" applyBorder="1" applyAlignment="1">
      <alignment horizontal="center"/>
    </xf>
    <xf numFmtId="0" fontId="3" fillId="28" borderId="1" xfId="0" applyFont="1" applyFill="1" applyBorder="1" applyAlignment="1">
      <alignment vertical="center"/>
    </xf>
    <xf numFmtId="14" fontId="3" fillId="28" borderId="1" xfId="0" applyNumberFormat="1" applyFont="1" applyFill="1" applyBorder="1" applyAlignment="1">
      <alignment horizontal="left" vertical="center"/>
    </xf>
    <xf numFmtId="0" fontId="3" fillId="28" borderId="1" xfId="0" applyFont="1" applyFill="1" applyBorder="1" applyAlignment="1">
      <alignment horizontal="center" vertical="center"/>
    </xf>
    <xf numFmtId="0" fontId="3" fillId="28" borderId="2" xfId="0" applyFont="1" applyFill="1" applyBorder="1" applyAlignment="1">
      <alignment horizontal="left" vertical="center"/>
    </xf>
    <xf numFmtId="44" fontId="3" fillId="28" borderId="2" xfId="0" applyNumberFormat="1" applyFont="1" applyFill="1" applyBorder="1" applyAlignment="1">
      <alignment horizontal="right" vertical="center"/>
    </xf>
    <xf numFmtId="0" fontId="3" fillId="28" borderId="5" xfId="0" applyFont="1" applyFill="1" applyBorder="1" applyAlignment="1">
      <alignment horizontal="left"/>
    </xf>
    <xf numFmtId="44" fontId="3" fillId="28" borderId="5" xfId="0" applyNumberFormat="1" applyFont="1" applyFill="1" applyBorder="1" applyAlignment="1">
      <alignment horizontal="right" vertical="center"/>
    </xf>
    <xf numFmtId="0" fontId="3" fillId="28" borderId="3" xfId="0" applyFont="1" applyFill="1" applyBorder="1" applyAlignment="1">
      <alignment horizontal="left" vertical="center"/>
    </xf>
    <xf numFmtId="44" fontId="21" fillId="2" borderId="1" xfId="0" applyNumberFormat="1" applyFont="1" applyFill="1" applyBorder="1" applyAlignment="1">
      <alignment horizontal="left"/>
    </xf>
    <xf numFmtId="0" fontId="3" fillId="14" borderId="28" xfId="0" applyFont="1" applyFill="1" applyBorder="1" applyAlignment="1">
      <alignment vertical="center"/>
    </xf>
    <xf numFmtId="14" fontId="3" fillId="14" borderId="6" xfId="0" applyNumberFormat="1" applyFont="1" applyFill="1" applyBorder="1" applyAlignment="1">
      <alignment horizontal="left"/>
    </xf>
    <xf numFmtId="0" fontId="12" fillId="0" borderId="0" xfId="0" applyFont="1" applyAlignment="1">
      <alignment vertical="center"/>
    </xf>
    <xf numFmtId="44" fontId="15" fillId="0" borderId="0" xfId="0" applyNumberFormat="1" applyFont="1"/>
    <xf numFmtId="44" fontId="38" fillId="0" borderId="0" xfId="0" applyNumberFormat="1" applyFont="1"/>
    <xf numFmtId="44" fontId="5" fillId="14" borderId="0" xfId="0" applyNumberFormat="1" applyFont="1" applyFill="1"/>
    <xf numFmtId="44" fontId="39" fillId="2" borderId="1" xfId="0" applyNumberFormat="1" applyFont="1" applyFill="1" applyBorder="1" applyAlignment="1">
      <alignment horizontal="left" vertical="center"/>
    </xf>
    <xf numFmtId="44" fontId="12" fillId="3" borderId="5" xfId="0" applyNumberFormat="1" applyFont="1" applyFill="1" applyBorder="1" applyAlignment="1">
      <alignment horizontal="right" vertical="center" wrapText="1"/>
    </xf>
    <xf numFmtId="14" fontId="12" fillId="2" borderId="8" xfId="0" applyNumberFormat="1" applyFont="1" applyFill="1" applyBorder="1" applyAlignment="1">
      <alignment horizontal="left" vertical="center"/>
    </xf>
    <xf numFmtId="44" fontId="12" fillId="3" borderId="10" xfId="0" applyNumberFormat="1" applyFont="1" applyFill="1" applyBorder="1" applyAlignment="1">
      <alignment horizontal="right" vertical="center" wrapText="1"/>
    </xf>
    <xf numFmtId="4" fontId="12" fillId="2" borderId="8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44" fontId="3" fillId="4" borderId="2" xfId="0" applyNumberFormat="1" applyFont="1" applyFill="1" applyBorder="1" applyAlignment="1">
      <alignment horizontal="right" vertical="center" wrapText="1"/>
    </xf>
    <xf numFmtId="0" fontId="3" fillId="14" borderId="12" xfId="0" applyFont="1" applyFill="1" applyBorder="1" applyAlignment="1">
      <alignment vertical="center"/>
    </xf>
    <xf numFmtId="44" fontId="3" fillId="4" borderId="5" xfId="0" applyNumberFormat="1" applyFont="1" applyFill="1" applyBorder="1" applyAlignment="1">
      <alignment horizontal="right" vertical="center" wrapText="1"/>
    </xf>
    <xf numFmtId="44" fontId="0" fillId="2" borderId="1" xfId="0" applyNumberFormat="1" applyFill="1" applyBorder="1"/>
    <xf numFmtId="44" fontId="11" fillId="3" borderId="8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44" fontId="20" fillId="2" borderId="1" xfId="0" applyNumberFormat="1" applyFont="1" applyFill="1" applyBorder="1"/>
    <xf numFmtId="0" fontId="3" fillId="15" borderId="28" xfId="0" applyFont="1" applyFill="1" applyBorder="1" applyAlignment="1">
      <alignment horizontal="left" vertical="center" wrapText="1"/>
    </xf>
    <xf numFmtId="44" fontId="3" fillId="3" borderId="21" xfId="0" applyNumberFormat="1" applyFont="1" applyFill="1" applyBorder="1" applyAlignment="1">
      <alignment horizontal="right" vertical="center" wrapText="1"/>
    </xf>
    <xf numFmtId="0" fontId="3" fillId="3" borderId="29" xfId="0" applyFont="1" applyFill="1" applyBorder="1" applyAlignment="1">
      <alignment horizontal="center" vertical="center" wrapText="1"/>
    </xf>
    <xf numFmtId="44" fontId="3" fillId="15" borderId="15" xfId="0" applyNumberFormat="1" applyFont="1" applyFill="1" applyBorder="1" applyAlignment="1">
      <alignment horizontal="right" vertical="center" wrapText="1"/>
    </xf>
    <xf numFmtId="0" fontId="3" fillId="14" borderId="7" xfId="0" applyFont="1" applyFill="1" applyBorder="1" applyAlignment="1">
      <alignment vertical="center" wrapText="1"/>
    </xf>
    <xf numFmtId="0" fontId="3" fillId="15" borderId="6" xfId="0" applyFont="1" applyFill="1" applyBorder="1" applyAlignment="1">
      <alignment horizontal="center" wrapText="1"/>
    </xf>
    <xf numFmtId="4" fontId="12" fillId="2" borderId="6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44" fontId="3" fillId="14" borderId="7" xfId="0" applyNumberFormat="1" applyFont="1" applyFill="1" applyBorder="1" applyAlignment="1">
      <alignment vertical="center"/>
    </xf>
    <xf numFmtId="0" fontId="3" fillId="14" borderId="7" xfId="0" applyFont="1" applyFill="1" applyBorder="1" applyAlignment="1">
      <alignment horizontal="center"/>
    </xf>
    <xf numFmtId="44" fontId="3" fillId="15" borderId="20" xfId="0" applyNumberFormat="1" applyFont="1" applyFill="1" applyBorder="1" applyAlignment="1">
      <alignment horizontal="right" vertical="center" wrapText="1"/>
    </xf>
    <xf numFmtId="14" fontId="3" fillId="2" borderId="7" xfId="0" applyNumberFormat="1" applyFont="1" applyFill="1" applyBorder="1" applyAlignment="1">
      <alignment horizontal="left" vertical="center" wrapText="1"/>
    </xf>
    <xf numFmtId="0" fontId="3" fillId="15" borderId="15" xfId="0" applyFont="1" applyFill="1" applyBorder="1" applyAlignment="1">
      <alignment horizontal="left" vertical="center" wrapText="1"/>
    </xf>
    <xf numFmtId="0" fontId="3" fillId="15" borderId="7" xfId="0" applyFont="1" applyFill="1" applyBorder="1" applyAlignment="1">
      <alignment horizontal="center" vertical="center" wrapText="1"/>
    </xf>
    <xf numFmtId="44" fontId="3" fillId="13" borderId="5" xfId="0" applyNumberFormat="1" applyFont="1" applyFill="1" applyBorder="1" applyAlignment="1">
      <alignment horizontal="right" vertical="center" wrapText="1"/>
    </xf>
    <xf numFmtId="0" fontId="3" fillId="7" borderId="6" xfId="0" applyFont="1" applyFill="1" applyBorder="1" applyAlignment="1">
      <alignment vertical="center"/>
    </xf>
    <xf numFmtId="0" fontId="3" fillId="7" borderId="6" xfId="0" applyFont="1" applyFill="1" applyBorder="1"/>
    <xf numFmtId="44" fontId="3" fillId="7" borderId="6" xfId="0" applyNumberFormat="1" applyFont="1" applyFill="1" applyBorder="1" applyAlignment="1">
      <alignment vertical="center"/>
    </xf>
    <xf numFmtId="4" fontId="3" fillId="7" borderId="6" xfId="0" applyNumberFormat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left" vertical="center" wrapText="1"/>
    </xf>
    <xf numFmtId="44" fontId="3" fillId="11" borderId="1" xfId="0" applyNumberFormat="1" applyFont="1" applyFill="1" applyBorder="1" applyAlignment="1">
      <alignment horizontal="right" vertical="center" wrapText="1"/>
    </xf>
    <xf numFmtId="14" fontId="3" fillId="28" borderId="1" xfId="0" applyNumberFormat="1" applyFont="1" applyFill="1" applyBorder="1" applyAlignment="1">
      <alignment horizontal="left" vertical="center" wrapText="1"/>
    </xf>
    <xf numFmtId="0" fontId="3" fillId="28" borderId="1" xfId="0" applyFont="1" applyFill="1" applyBorder="1" applyAlignment="1">
      <alignment horizontal="left" wrapText="1"/>
    </xf>
    <xf numFmtId="0" fontId="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vertical="center" wrapText="1"/>
    </xf>
    <xf numFmtId="0" fontId="3" fillId="28" borderId="6" xfId="0" applyFont="1" applyFill="1" applyBorder="1" applyAlignment="1">
      <alignment horizontal="left" wrapText="1"/>
    </xf>
    <xf numFmtId="0" fontId="3" fillId="28" borderId="6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4" fontId="3" fillId="7" borderId="6" xfId="0" applyNumberFormat="1" applyFont="1" applyFill="1" applyBorder="1" applyAlignment="1">
      <alignment horizontal="left"/>
    </xf>
    <xf numFmtId="0" fontId="3" fillId="7" borderId="3" xfId="0" applyFont="1" applyFill="1" applyBorder="1" applyAlignment="1">
      <alignment vertical="center"/>
    </xf>
    <xf numFmtId="14" fontId="12" fillId="2" borderId="6" xfId="0" applyNumberFormat="1" applyFont="1" applyFill="1" applyBorder="1" applyAlignment="1">
      <alignment horizontal="left"/>
    </xf>
    <xf numFmtId="0" fontId="12" fillId="2" borderId="3" xfId="0" applyFont="1" applyFill="1" applyBorder="1" applyAlignment="1">
      <alignment vertical="center"/>
    </xf>
    <xf numFmtId="0" fontId="12" fillId="2" borderId="6" xfId="0" applyFont="1" applyFill="1" applyBorder="1" applyAlignment="1">
      <alignment horizontal="center"/>
    </xf>
    <xf numFmtId="44" fontId="39" fillId="2" borderId="8" xfId="0" applyNumberFormat="1" applyFont="1" applyFill="1" applyBorder="1" applyAlignment="1">
      <alignment horizontal="left" vertical="center"/>
    </xf>
    <xf numFmtId="44" fontId="3" fillId="14" borderId="22" xfId="0" applyNumberFormat="1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 vertical="center" wrapText="1"/>
    </xf>
    <xf numFmtId="0" fontId="37" fillId="24" borderId="0" xfId="0" applyFont="1" applyFill="1" applyAlignment="1">
      <alignment horizontal="center" vertical="center" wrapText="1"/>
    </xf>
    <xf numFmtId="0" fontId="12" fillId="24" borderId="0" xfId="0" applyFont="1" applyFill="1"/>
    <xf numFmtId="0" fontId="26" fillId="25" borderId="35" xfId="0" applyFont="1" applyFill="1" applyBorder="1" applyAlignment="1">
      <alignment horizontal="left" vertical="center"/>
    </xf>
    <xf numFmtId="0" fontId="26" fillId="24" borderId="35" xfId="0" applyFont="1" applyFill="1" applyBorder="1" applyAlignment="1">
      <alignment horizontal="left" vertical="center"/>
    </xf>
    <xf numFmtId="0" fontId="26" fillId="25" borderId="40" xfId="0" applyFont="1" applyFill="1" applyBorder="1" applyAlignment="1">
      <alignment horizontal="left" vertical="center" wrapText="1"/>
    </xf>
    <xf numFmtId="0" fontId="26" fillId="25" borderId="40" xfId="0" applyFont="1" applyFill="1" applyBorder="1" applyAlignment="1">
      <alignment horizontal="center" vertical="center" wrapText="1"/>
    </xf>
    <xf numFmtId="0" fontId="12" fillId="0" borderId="40" xfId="0" applyFont="1" applyBorder="1"/>
    <xf numFmtId="0" fontId="26" fillId="25" borderId="40" xfId="0" applyFont="1" applyFill="1" applyBorder="1" applyAlignment="1">
      <alignment horizontal="left" vertical="center"/>
    </xf>
    <xf numFmtId="14" fontId="26" fillId="25" borderId="40" xfId="0" applyNumberFormat="1" applyFont="1" applyFill="1" applyBorder="1" applyAlignment="1">
      <alignment horizontal="center" vertical="center" wrapText="1"/>
    </xf>
    <xf numFmtId="4" fontId="26" fillId="25" borderId="40" xfId="0" applyNumberFormat="1" applyFont="1" applyFill="1" applyBorder="1" applyAlignment="1">
      <alignment horizontal="right" vertical="center" wrapText="1"/>
    </xf>
    <xf numFmtId="0" fontId="26" fillId="24" borderId="40" xfId="0" applyFont="1" applyFill="1" applyBorder="1" applyAlignment="1">
      <alignment horizontal="left" vertical="center" wrapText="1"/>
    </xf>
    <xf numFmtId="0" fontId="26" fillId="24" borderId="40" xfId="0" applyFont="1" applyFill="1" applyBorder="1" applyAlignment="1">
      <alignment horizontal="center" vertical="center" wrapText="1"/>
    </xf>
    <xf numFmtId="0" fontId="26" fillId="24" borderId="40" xfId="0" applyFont="1" applyFill="1" applyBorder="1" applyAlignment="1">
      <alignment horizontal="left" vertical="center"/>
    </xf>
    <xf numFmtId="14" fontId="26" fillId="24" borderId="40" xfId="0" applyNumberFormat="1" applyFont="1" applyFill="1" applyBorder="1" applyAlignment="1">
      <alignment horizontal="center" vertical="center" wrapText="1"/>
    </xf>
    <xf numFmtId="4" fontId="26" fillId="24" borderId="40" xfId="0" applyNumberFormat="1" applyFont="1" applyFill="1" applyBorder="1" applyAlignment="1">
      <alignment horizontal="right" vertical="center" wrapText="1"/>
    </xf>
    <xf numFmtId="0" fontId="26" fillId="24" borderId="40" xfId="0" applyFont="1" applyFill="1" applyBorder="1" applyAlignment="1">
      <alignment horizontal="right" vertical="center" wrapText="1"/>
    </xf>
    <xf numFmtId="0" fontId="26" fillId="25" borderId="40" xfId="0" applyFont="1" applyFill="1" applyBorder="1" applyAlignment="1">
      <alignment horizontal="right" vertical="center" wrapText="1"/>
    </xf>
    <xf numFmtId="0" fontId="16" fillId="24" borderId="13" xfId="0" applyFont="1" applyFill="1" applyBorder="1" applyAlignment="1">
      <alignment horizontal="center" vertical="center" wrapText="1"/>
    </xf>
    <xf numFmtId="0" fontId="16" fillId="24" borderId="35" xfId="0" applyFont="1" applyFill="1" applyBorder="1" applyAlignment="1">
      <alignment horizontal="left" vertical="center"/>
    </xf>
    <xf numFmtId="0" fontId="16" fillId="24" borderId="40" xfId="0" applyFont="1" applyFill="1" applyBorder="1" applyAlignment="1">
      <alignment horizontal="left" vertical="center" wrapText="1"/>
    </xf>
    <xf numFmtId="0" fontId="16" fillId="0" borderId="40" xfId="0" applyFont="1" applyBorder="1"/>
    <xf numFmtId="0" fontId="16" fillId="24" borderId="40" xfId="0" applyFont="1" applyFill="1" applyBorder="1" applyAlignment="1">
      <alignment horizontal="left" vertical="center"/>
    </xf>
    <xf numFmtId="14" fontId="16" fillId="24" borderId="40" xfId="0" applyNumberFormat="1" applyFont="1" applyFill="1" applyBorder="1" applyAlignment="1">
      <alignment horizontal="center" vertical="center" wrapText="1"/>
    </xf>
    <xf numFmtId="0" fontId="16" fillId="24" borderId="40" xfId="0" applyFont="1" applyFill="1" applyBorder="1" applyAlignment="1">
      <alignment horizontal="right" vertical="center" wrapText="1"/>
    </xf>
    <xf numFmtId="0" fontId="16" fillId="24" borderId="0" xfId="0" applyFont="1" applyFill="1"/>
    <xf numFmtId="0" fontId="16" fillId="0" borderId="0" xfId="0" applyFont="1"/>
    <xf numFmtId="0" fontId="16" fillId="25" borderId="13" xfId="0" applyFont="1" applyFill="1" applyBorder="1" applyAlignment="1">
      <alignment horizontal="center" vertical="center" wrapText="1"/>
    </xf>
    <xf numFmtId="0" fontId="16" fillId="25" borderId="35" xfId="0" applyFont="1" applyFill="1" applyBorder="1" applyAlignment="1">
      <alignment horizontal="left" vertical="center"/>
    </xf>
    <xf numFmtId="0" fontId="16" fillId="25" borderId="40" xfId="0" applyFont="1" applyFill="1" applyBorder="1" applyAlignment="1">
      <alignment horizontal="left" vertical="center" wrapText="1"/>
    </xf>
    <xf numFmtId="0" fontId="16" fillId="25" borderId="40" xfId="0" applyFont="1" applyFill="1" applyBorder="1" applyAlignment="1">
      <alignment horizontal="left" vertical="center"/>
    </xf>
    <xf numFmtId="14" fontId="16" fillId="25" borderId="40" xfId="0" applyNumberFormat="1" applyFont="1" applyFill="1" applyBorder="1" applyAlignment="1">
      <alignment horizontal="center" vertical="center" wrapText="1"/>
    </xf>
    <xf numFmtId="0" fontId="16" fillId="25" borderId="40" xfId="0" applyFont="1" applyFill="1" applyBorder="1" applyAlignment="1">
      <alignment horizontal="right" vertical="center" wrapText="1"/>
    </xf>
    <xf numFmtId="0" fontId="26" fillId="11" borderId="13" xfId="0" applyFont="1" applyFill="1" applyBorder="1" applyAlignment="1">
      <alignment horizontal="center" vertical="center" wrapText="1"/>
    </xf>
    <xf numFmtId="0" fontId="26" fillId="11" borderId="35" xfId="0" applyFont="1" applyFill="1" applyBorder="1" applyAlignment="1">
      <alignment horizontal="left" vertical="center"/>
    </xf>
    <xf numFmtId="0" fontId="26" fillId="11" borderId="40" xfId="0" applyFont="1" applyFill="1" applyBorder="1" applyAlignment="1">
      <alignment horizontal="left" vertical="center" wrapText="1"/>
    </xf>
    <xf numFmtId="0" fontId="12" fillId="11" borderId="40" xfId="0" applyFont="1" applyFill="1" applyBorder="1"/>
    <xf numFmtId="4" fontId="26" fillId="11" borderId="40" xfId="0" applyNumberFormat="1" applyFont="1" applyFill="1" applyBorder="1" applyAlignment="1">
      <alignment horizontal="right" vertical="center" wrapText="1"/>
    </xf>
    <xf numFmtId="14" fontId="26" fillId="11" borderId="40" xfId="0" applyNumberFormat="1" applyFont="1" applyFill="1" applyBorder="1" applyAlignment="1">
      <alignment horizontal="center" vertical="center" wrapText="1"/>
    </xf>
    <xf numFmtId="0" fontId="12" fillId="11" borderId="0" xfId="0" applyFont="1" applyFill="1"/>
    <xf numFmtId="0" fontId="26" fillId="11" borderId="40" xfId="0" applyFont="1" applyFill="1" applyBorder="1" applyAlignment="1">
      <alignment horizontal="left" vertical="center"/>
    </xf>
    <xf numFmtId="0" fontId="5" fillId="14" borderId="40" xfId="0" applyFont="1" applyFill="1" applyBorder="1" applyAlignment="1">
      <alignment horizontal="left" vertical="center" wrapText="1"/>
    </xf>
    <xf numFmtId="0" fontId="5" fillId="14" borderId="40" xfId="0" applyFont="1" applyFill="1" applyBorder="1"/>
    <xf numFmtId="44" fontId="5" fillId="14" borderId="40" xfId="0" applyNumberFormat="1" applyFont="1" applyFill="1" applyBorder="1" applyAlignment="1">
      <alignment horizontal="right" vertical="center" wrapText="1"/>
    </xf>
    <xf numFmtId="0" fontId="20" fillId="2" borderId="40" xfId="0" applyFont="1" applyFill="1" applyBorder="1" applyAlignment="1">
      <alignment horizontal="left" vertical="center" wrapText="1"/>
    </xf>
    <xf numFmtId="0" fontId="20" fillId="2" borderId="40" xfId="0" applyFont="1" applyFill="1" applyBorder="1"/>
    <xf numFmtId="44" fontId="20" fillId="2" borderId="40" xfId="0" applyNumberFormat="1" applyFont="1" applyFill="1" applyBorder="1" applyAlignment="1">
      <alignment horizontal="right" vertical="center" wrapText="1"/>
    </xf>
    <xf numFmtId="44" fontId="8" fillId="0" borderId="40" xfId="0" applyNumberFormat="1" applyFont="1" applyBorder="1"/>
    <xf numFmtId="44" fontId="10" fillId="13" borderId="1" xfId="0" applyNumberFormat="1" applyFont="1" applyFill="1" applyBorder="1" applyAlignment="1">
      <alignment horizontal="right" vertical="center" wrapText="1"/>
    </xf>
    <xf numFmtId="44" fontId="12" fillId="13" borderId="1" xfId="0" applyNumberFormat="1" applyFont="1" applyFill="1" applyBorder="1" applyAlignment="1">
      <alignment horizontal="right" vertical="center" wrapText="1"/>
    </xf>
    <xf numFmtId="44" fontId="12" fillId="7" borderId="1" xfId="0" applyNumberFormat="1" applyFont="1" applyFill="1" applyBorder="1"/>
    <xf numFmtId="44" fontId="10" fillId="7" borderId="6" xfId="0" applyNumberFormat="1" applyFont="1" applyFill="1" applyBorder="1"/>
    <xf numFmtId="44" fontId="10" fillId="7" borderId="1" xfId="0" applyNumberFormat="1" applyFont="1" applyFill="1" applyBorder="1"/>
    <xf numFmtId="4" fontId="2" fillId="7" borderId="1" xfId="0" applyNumberFormat="1" applyFont="1" applyFill="1" applyBorder="1"/>
    <xf numFmtId="44" fontId="3" fillId="4" borderId="14" xfId="0" applyNumberFormat="1" applyFont="1" applyFill="1" applyBorder="1" applyAlignment="1">
      <alignment horizontal="right" vertical="center" wrapText="1"/>
    </xf>
    <xf numFmtId="0" fontId="16" fillId="14" borderId="0" xfId="0" applyFont="1" applyFill="1"/>
    <xf numFmtId="44" fontId="5" fillId="7" borderId="1" xfId="0" applyNumberFormat="1" applyFont="1" applyFill="1" applyBorder="1"/>
    <xf numFmtId="0" fontId="40" fillId="25" borderId="13" xfId="0" applyFont="1" applyFill="1" applyBorder="1" applyAlignment="1">
      <alignment horizontal="center" vertical="center" wrapText="1"/>
    </xf>
    <xf numFmtId="0" fontId="40" fillId="25" borderId="13" xfId="0" applyFont="1" applyFill="1" applyBorder="1" applyAlignment="1">
      <alignment horizontal="left" vertical="center"/>
    </xf>
    <xf numFmtId="0" fontId="40" fillId="25" borderId="13" xfId="0" applyFont="1" applyFill="1" applyBorder="1" applyAlignment="1">
      <alignment horizontal="left" vertical="center" wrapText="1"/>
    </xf>
    <xf numFmtId="0" fontId="40" fillId="25" borderId="13" xfId="0" applyFont="1" applyFill="1" applyBorder="1" applyAlignment="1">
      <alignment horizontal="right" vertical="center"/>
    </xf>
    <xf numFmtId="0" fontId="41" fillId="25" borderId="13" xfId="3" applyFill="1" applyBorder="1" applyAlignment="1">
      <alignment horizontal="left" vertical="center" wrapText="1"/>
    </xf>
    <xf numFmtId="14" fontId="40" fillId="25" borderId="13" xfId="0" applyNumberFormat="1" applyFont="1" applyFill="1" applyBorder="1" applyAlignment="1">
      <alignment horizontal="center" vertical="center" wrapText="1"/>
    </xf>
    <xf numFmtId="4" fontId="40" fillId="25" borderId="13" xfId="0" applyNumberFormat="1" applyFont="1" applyFill="1" applyBorder="1" applyAlignment="1">
      <alignment horizontal="right" vertical="center" wrapText="1"/>
    </xf>
    <xf numFmtId="0" fontId="40" fillId="24" borderId="13" xfId="0" applyFont="1" applyFill="1" applyBorder="1" applyAlignment="1">
      <alignment horizontal="center" vertical="center" wrapText="1"/>
    </xf>
    <xf numFmtId="0" fontId="40" fillId="24" borderId="13" xfId="0" applyFont="1" applyFill="1" applyBorder="1" applyAlignment="1">
      <alignment horizontal="left" vertical="center"/>
    </xf>
    <xf numFmtId="0" fontId="40" fillId="24" borderId="13" xfId="0" applyFont="1" applyFill="1" applyBorder="1" applyAlignment="1">
      <alignment horizontal="left" vertical="center" wrapText="1"/>
    </xf>
    <xf numFmtId="0" fontId="40" fillId="24" borderId="13" xfId="0" applyFont="1" applyFill="1" applyBorder="1" applyAlignment="1">
      <alignment horizontal="right" vertical="center"/>
    </xf>
    <xf numFmtId="0" fontId="41" fillId="24" borderId="13" xfId="3" applyFill="1" applyBorder="1" applyAlignment="1">
      <alignment horizontal="left" vertical="center" wrapText="1"/>
    </xf>
    <xf numFmtId="14" fontId="40" fillId="24" borderId="13" xfId="0" applyNumberFormat="1" applyFont="1" applyFill="1" applyBorder="1" applyAlignment="1">
      <alignment horizontal="center" vertical="center" wrapText="1"/>
    </xf>
    <xf numFmtId="4" fontId="40" fillId="24" borderId="13" xfId="0" applyNumberFormat="1" applyFont="1" applyFill="1" applyBorder="1" applyAlignment="1">
      <alignment horizontal="right" vertical="center" wrapText="1"/>
    </xf>
    <xf numFmtId="44" fontId="5" fillId="14" borderId="1" xfId="0" applyNumberFormat="1" applyFont="1" applyFill="1" applyBorder="1"/>
    <xf numFmtId="0" fontId="3" fillId="4" borderId="1" xfId="0" applyFont="1" applyFill="1" applyBorder="1" applyAlignment="1">
      <alignment horizontal="left" wrapText="1"/>
    </xf>
    <xf numFmtId="0" fontId="3" fillId="15" borderId="4" xfId="0" applyFont="1" applyFill="1" applyBorder="1" applyAlignment="1">
      <alignment horizontal="left" wrapText="1"/>
    </xf>
    <xf numFmtId="0" fontId="4" fillId="9" borderId="0" xfId="0" applyFont="1" applyFill="1" applyAlignment="1">
      <alignment horizontal="center" vertical="center"/>
    </xf>
    <xf numFmtId="0" fontId="28" fillId="26" borderId="25" xfId="0" applyFont="1" applyFill="1" applyBorder="1" applyAlignment="1">
      <alignment horizontal="center"/>
    </xf>
    <xf numFmtId="0" fontId="28" fillId="26" borderId="26" xfId="0" applyFont="1" applyFill="1" applyBorder="1" applyAlignment="1">
      <alignment horizontal="center"/>
    </xf>
    <xf numFmtId="0" fontId="28" fillId="26" borderId="27" xfId="0" applyFont="1" applyFill="1" applyBorder="1" applyAlignment="1">
      <alignment horizontal="center"/>
    </xf>
    <xf numFmtId="0" fontId="30" fillId="26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37" fillId="2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vertical="top"/>
    </xf>
    <xf numFmtId="0" fontId="34" fillId="25" borderId="0" xfId="0" applyFont="1" applyFill="1" applyAlignment="1">
      <alignment vertical="center" wrapText="1"/>
    </xf>
    <xf numFmtId="0" fontId="35" fillId="25" borderId="0" xfId="0" applyFont="1" applyFill="1" applyAlignment="1">
      <alignment horizontal="right" vertical="center" wrapText="1"/>
    </xf>
    <xf numFmtId="0" fontId="36" fillId="25" borderId="0" xfId="0" applyFont="1" applyFill="1" applyAlignment="1">
      <alignment horizontal="right" vertical="center" wrapText="1"/>
    </xf>
    <xf numFmtId="4" fontId="35" fillId="25" borderId="0" xfId="0" applyNumberFormat="1" applyFont="1" applyFill="1" applyAlignment="1">
      <alignment horizontal="right" vertical="center" wrapText="1"/>
    </xf>
    <xf numFmtId="4" fontId="35" fillId="31" borderId="0" xfId="0" applyNumberFormat="1" applyFont="1" applyFill="1" applyAlignment="1">
      <alignment horizontal="right" vertical="center" wrapText="1"/>
    </xf>
    <xf numFmtId="0" fontId="34" fillId="31" borderId="0" xfId="0" applyFont="1" applyFill="1" applyAlignment="1">
      <alignment vertical="center" wrapText="1"/>
    </xf>
    <xf numFmtId="0" fontId="35" fillId="31" borderId="0" xfId="0" applyFont="1" applyFill="1" applyAlignment="1">
      <alignment horizontal="right" vertical="center" wrapText="1"/>
    </xf>
    <xf numFmtId="0" fontId="36" fillId="31" borderId="0" xfId="0" applyFont="1" applyFill="1" applyAlignment="1">
      <alignment horizontal="right" vertical="center" wrapText="1"/>
    </xf>
    <xf numFmtId="0" fontId="12" fillId="0" borderId="0" xfId="0" applyFont="1"/>
    <xf numFmtId="0" fontId="37" fillId="24" borderId="30" xfId="0" applyFont="1" applyFill="1" applyBorder="1" applyAlignment="1">
      <alignment horizontal="center" vertical="center" wrapText="1"/>
    </xf>
    <xf numFmtId="0" fontId="37" fillId="24" borderId="13" xfId="0" applyFont="1" applyFill="1" applyBorder="1" applyAlignment="1">
      <alignment horizontal="center" vertical="center" wrapText="1"/>
    </xf>
    <xf numFmtId="0" fontId="37" fillId="24" borderId="3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37" fillId="24" borderId="34" xfId="0" applyFont="1" applyFill="1" applyBorder="1" applyAlignment="1">
      <alignment horizontal="center" vertical="center" wrapText="1"/>
    </xf>
    <xf numFmtId="0" fontId="37" fillId="24" borderId="36" xfId="0" applyFont="1" applyFill="1" applyBorder="1" applyAlignment="1">
      <alignment horizontal="center" vertical="center" wrapText="1"/>
    </xf>
    <xf numFmtId="0" fontId="37" fillId="24" borderId="39" xfId="0" applyFont="1" applyFill="1" applyBorder="1" applyAlignment="1">
      <alignment horizontal="center" vertical="center" wrapText="1"/>
    </xf>
    <xf numFmtId="0" fontId="37" fillId="24" borderId="32" xfId="0" applyFont="1" applyFill="1" applyBorder="1" applyAlignment="1">
      <alignment horizontal="center" vertical="center" wrapText="1"/>
    </xf>
    <xf numFmtId="0" fontId="37" fillId="24" borderId="33" xfId="0" applyFont="1" applyFill="1" applyBorder="1" applyAlignment="1">
      <alignment horizontal="center" vertical="center" wrapText="1"/>
    </xf>
    <xf numFmtId="0" fontId="37" fillId="24" borderId="35" xfId="0" applyFont="1" applyFill="1" applyBorder="1" applyAlignment="1">
      <alignment horizontal="center" vertical="center" wrapText="1"/>
    </xf>
    <xf numFmtId="0" fontId="37" fillId="24" borderId="0" xfId="0" applyFont="1" applyFill="1" applyAlignment="1">
      <alignment horizontal="center" vertical="center" wrapText="1"/>
    </xf>
    <xf numFmtId="0" fontId="37" fillId="24" borderId="37" xfId="0" applyFont="1" applyFill="1" applyBorder="1" applyAlignment="1">
      <alignment horizontal="center" vertical="center" wrapText="1"/>
    </xf>
    <xf numFmtId="0" fontId="37" fillId="24" borderId="38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3" fillId="14" borderId="15" xfId="0" applyFont="1" applyFill="1" applyBorder="1"/>
    <xf numFmtId="44" fontId="3" fillId="2" borderId="7" xfId="0" applyNumberFormat="1" applyFont="1" applyFill="1" applyBorder="1"/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/>
    </xf>
    <xf numFmtId="44" fontId="15" fillId="5" borderId="1" xfId="0" applyNumberFormat="1" applyFont="1" applyFill="1" applyBorder="1"/>
    <xf numFmtId="44" fontId="3" fillId="4" borderId="41" xfId="0" applyNumberFormat="1" applyFont="1" applyFill="1" applyBorder="1" applyAlignment="1">
      <alignment horizontal="right" vertical="center" wrapText="1"/>
    </xf>
    <xf numFmtId="0" fontId="42" fillId="2" borderId="3" xfId="0" applyFont="1" applyFill="1" applyBorder="1"/>
  </cellXfs>
  <cellStyles count="4">
    <cellStyle name="Hiperlink" xfId="3" builtinId="8"/>
    <cellStyle name="Moeda" xfId="1" builtinId="4"/>
    <cellStyle name="Moeda 2" xfId="2" xr:uid="{C2788A6A-952D-405B-A784-E97297EF2752}"/>
    <cellStyle name="Normal" xfId="0" builtinId="0"/>
  </cellStyles>
  <dxfs count="46"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FFFF"/>
      <color rgb="FF0033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4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3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5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4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3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5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7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274320</xdr:colOff>
      <xdr:row>0</xdr:row>
      <xdr:rowOff>53340</xdr:rowOff>
    </xdr:from>
    <xdr:ext cx="590306" cy="643321"/>
    <xdr:pic>
      <xdr:nvPicPr>
        <xdr:cNvPr id="2" name="image1.png">
          <a:extLst>
            <a:ext uri="{FF2B5EF4-FFF2-40B4-BE49-F238E27FC236}">
              <a16:creationId xmlns:a16="http://schemas.microsoft.com/office/drawing/2014/main" id="{D4589ED7-C96D-4C9B-AB7B-A72A6B2DEF8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53340"/>
          <a:ext cx="590306" cy="643321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37</xdr:row>
      <xdr:rowOff>53341</xdr:rowOff>
    </xdr:from>
    <xdr:ext cx="556260" cy="480060"/>
    <xdr:pic>
      <xdr:nvPicPr>
        <xdr:cNvPr id="3" name="image1.png">
          <a:extLst>
            <a:ext uri="{FF2B5EF4-FFF2-40B4-BE49-F238E27FC236}">
              <a16:creationId xmlns:a16="http://schemas.microsoft.com/office/drawing/2014/main" id="{ADFCB067-482E-4904-92BD-19F433ED56B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7315201"/>
          <a:ext cx="556260" cy="480060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82</xdr:row>
      <xdr:rowOff>53341</xdr:rowOff>
    </xdr:from>
    <xdr:ext cx="556260" cy="480060"/>
    <xdr:pic>
      <xdr:nvPicPr>
        <xdr:cNvPr id="4" name="image1.png">
          <a:extLst>
            <a:ext uri="{FF2B5EF4-FFF2-40B4-BE49-F238E27FC236}">
              <a16:creationId xmlns:a16="http://schemas.microsoft.com/office/drawing/2014/main" id="{8BB5AD0F-5562-4F59-9B36-5AE536A9A93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7315201"/>
          <a:ext cx="556260" cy="480060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107</xdr:row>
      <xdr:rowOff>53341</xdr:rowOff>
    </xdr:from>
    <xdr:ext cx="556260" cy="480060"/>
    <xdr:pic>
      <xdr:nvPicPr>
        <xdr:cNvPr id="5" name="image1.png">
          <a:extLst>
            <a:ext uri="{FF2B5EF4-FFF2-40B4-BE49-F238E27FC236}">
              <a16:creationId xmlns:a16="http://schemas.microsoft.com/office/drawing/2014/main" id="{40285F6F-507B-414C-8C3A-5BDCC6B5F5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15788641"/>
          <a:ext cx="556260" cy="480060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130</xdr:row>
      <xdr:rowOff>53340</xdr:rowOff>
    </xdr:from>
    <xdr:ext cx="510540" cy="502919"/>
    <xdr:pic>
      <xdr:nvPicPr>
        <xdr:cNvPr id="6" name="image1.png">
          <a:extLst>
            <a:ext uri="{FF2B5EF4-FFF2-40B4-BE49-F238E27FC236}">
              <a16:creationId xmlns:a16="http://schemas.microsoft.com/office/drawing/2014/main" id="{095B14B2-2F35-4192-A821-4233794136E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2513838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155</xdr:row>
      <xdr:rowOff>53340</xdr:rowOff>
    </xdr:from>
    <xdr:ext cx="510540" cy="502919"/>
    <xdr:pic>
      <xdr:nvPicPr>
        <xdr:cNvPr id="7" name="image1.png">
          <a:extLst>
            <a:ext uri="{FF2B5EF4-FFF2-40B4-BE49-F238E27FC236}">
              <a16:creationId xmlns:a16="http://schemas.microsoft.com/office/drawing/2014/main" id="{86E9BC58-B3DF-462E-8243-79E425B5528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2513838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177</xdr:row>
      <xdr:rowOff>53340</xdr:rowOff>
    </xdr:from>
    <xdr:ext cx="510540" cy="502919"/>
    <xdr:pic>
      <xdr:nvPicPr>
        <xdr:cNvPr id="8" name="image1.png">
          <a:extLst>
            <a:ext uri="{FF2B5EF4-FFF2-40B4-BE49-F238E27FC236}">
              <a16:creationId xmlns:a16="http://schemas.microsoft.com/office/drawing/2014/main" id="{B2136359-4E3B-4FBB-8721-FBF3A10B702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2994660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194</xdr:row>
      <xdr:rowOff>53340</xdr:rowOff>
    </xdr:from>
    <xdr:ext cx="510540" cy="502919"/>
    <xdr:pic>
      <xdr:nvPicPr>
        <xdr:cNvPr id="9" name="image1.png">
          <a:extLst>
            <a:ext uri="{FF2B5EF4-FFF2-40B4-BE49-F238E27FC236}">
              <a16:creationId xmlns:a16="http://schemas.microsoft.com/office/drawing/2014/main" id="{9827616B-E43C-4132-9516-03F59CC099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3436620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249</xdr:row>
      <xdr:rowOff>53340</xdr:rowOff>
    </xdr:from>
    <xdr:ext cx="510540" cy="502919"/>
    <xdr:pic>
      <xdr:nvPicPr>
        <xdr:cNvPr id="10" name="image1.png">
          <a:extLst>
            <a:ext uri="{FF2B5EF4-FFF2-40B4-BE49-F238E27FC236}">
              <a16:creationId xmlns:a16="http://schemas.microsoft.com/office/drawing/2014/main" id="{2E86E1C0-28B3-4F8C-B707-6235B92C7C4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3777234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311</xdr:row>
      <xdr:rowOff>53340</xdr:rowOff>
    </xdr:from>
    <xdr:ext cx="510540" cy="502919"/>
    <xdr:pic>
      <xdr:nvPicPr>
        <xdr:cNvPr id="11" name="image1.png">
          <a:extLst>
            <a:ext uri="{FF2B5EF4-FFF2-40B4-BE49-F238E27FC236}">
              <a16:creationId xmlns:a16="http://schemas.microsoft.com/office/drawing/2014/main" id="{EEC0FBE0-AEFB-43EA-8F00-073CAB23C9F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4807458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336</xdr:row>
      <xdr:rowOff>53340</xdr:rowOff>
    </xdr:from>
    <xdr:ext cx="510540" cy="502919"/>
    <xdr:pic>
      <xdr:nvPicPr>
        <xdr:cNvPr id="12" name="image1.png">
          <a:extLst>
            <a:ext uri="{FF2B5EF4-FFF2-40B4-BE49-F238E27FC236}">
              <a16:creationId xmlns:a16="http://schemas.microsoft.com/office/drawing/2014/main" id="{B0E82102-3432-4C37-914A-03BA2AC359B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5968746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384</xdr:row>
      <xdr:rowOff>53340</xdr:rowOff>
    </xdr:from>
    <xdr:ext cx="510540" cy="502919"/>
    <xdr:pic>
      <xdr:nvPicPr>
        <xdr:cNvPr id="13" name="image1.png">
          <a:extLst>
            <a:ext uri="{FF2B5EF4-FFF2-40B4-BE49-F238E27FC236}">
              <a16:creationId xmlns:a16="http://schemas.microsoft.com/office/drawing/2014/main" id="{487CA0BB-B701-4FD0-848B-CEEACE1F55D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6457950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394</xdr:row>
      <xdr:rowOff>53340</xdr:rowOff>
    </xdr:from>
    <xdr:ext cx="510540" cy="502919"/>
    <xdr:pic>
      <xdr:nvPicPr>
        <xdr:cNvPr id="15" name="image1.png">
          <a:extLst>
            <a:ext uri="{FF2B5EF4-FFF2-40B4-BE49-F238E27FC236}">
              <a16:creationId xmlns:a16="http://schemas.microsoft.com/office/drawing/2014/main" id="{15A1D322-4827-4064-B6A0-E625E4B00B3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7362444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405</xdr:row>
      <xdr:rowOff>53340</xdr:rowOff>
    </xdr:from>
    <xdr:ext cx="510540" cy="502919"/>
    <xdr:pic>
      <xdr:nvPicPr>
        <xdr:cNvPr id="16" name="image1.png">
          <a:extLst>
            <a:ext uri="{FF2B5EF4-FFF2-40B4-BE49-F238E27FC236}">
              <a16:creationId xmlns:a16="http://schemas.microsoft.com/office/drawing/2014/main" id="{E584BBCD-71A4-404F-A2D8-7D75FF75233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7581138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422</xdr:row>
      <xdr:rowOff>53340</xdr:rowOff>
    </xdr:from>
    <xdr:ext cx="510540" cy="502919"/>
    <xdr:pic>
      <xdr:nvPicPr>
        <xdr:cNvPr id="14" name="image1.png">
          <a:extLst>
            <a:ext uri="{FF2B5EF4-FFF2-40B4-BE49-F238E27FC236}">
              <a16:creationId xmlns:a16="http://schemas.microsoft.com/office/drawing/2014/main" id="{A15BE850-8B2C-49C7-A3E0-5F4B64936C0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7802118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451</xdr:row>
      <xdr:rowOff>53340</xdr:rowOff>
    </xdr:from>
    <xdr:ext cx="510540" cy="502919"/>
    <xdr:pic>
      <xdr:nvPicPr>
        <xdr:cNvPr id="17" name="image1.png">
          <a:extLst>
            <a:ext uri="{FF2B5EF4-FFF2-40B4-BE49-F238E27FC236}">
              <a16:creationId xmlns:a16="http://schemas.microsoft.com/office/drawing/2014/main" id="{2E091EB1-5A22-45B4-938B-18D6579D178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8149590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465</xdr:row>
      <xdr:rowOff>53340</xdr:rowOff>
    </xdr:from>
    <xdr:ext cx="510540" cy="502919"/>
    <xdr:pic>
      <xdr:nvPicPr>
        <xdr:cNvPr id="18" name="image1.png">
          <a:extLst>
            <a:ext uri="{FF2B5EF4-FFF2-40B4-BE49-F238E27FC236}">
              <a16:creationId xmlns:a16="http://schemas.microsoft.com/office/drawing/2014/main" id="{931B66B4-6DB4-47A4-962A-03FE321A6E4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8703564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478</xdr:row>
      <xdr:rowOff>53340</xdr:rowOff>
    </xdr:from>
    <xdr:ext cx="510540" cy="502919"/>
    <xdr:pic>
      <xdr:nvPicPr>
        <xdr:cNvPr id="19" name="image1.png">
          <a:extLst>
            <a:ext uri="{FF2B5EF4-FFF2-40B4-BE49-F238E27FC236}">
              <a16:creationId xmlns:a16="http://schemas.microsoft.com/office/drawing/2014/main" id="{DD68843B-71D3-424D-94C1-752F819DF89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8985504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505</xdr:row>
      <xdr:rowOff>53340</xdr:rowOff>
    </xdr:from>
    <xdr:ext cx="510540" cy="502919"/>
    <xdr:pic>
      <xdr:nvPicPr>
        <xdr:cNvPr id="20" name="image1.png">
          <a:extLst>
            <a:ext uri="{FF2B5EF4-FFF2-40B4-BE49-F238E27FC236}">
              <a16:creationId xmlns:a16="http://schemas.microsoft.com/office/drawing/2014/main" id="{F3628C3E-3F59-4651-B692-3E0611342B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9256014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525</xdr:row>
      <xdr:rowOff>53340</xdr:rowOff>
    </xdr:from>
    <xdr:ext cx="510540" cy="502919"/>
    <xdr:pic>
      <xdr:nvPicPr>
        <xdr:cNvPr id="21" name="image1.png">
          <a:extLst>
            <a:ext uri="{FF2B5EF4-FFF2-40B4-BE49-F238E27FC236}">
              <a16:creationId xmlns:a16="http://schemas.microsoft.com/office/drawing/2014/main" id="{6AC1CF58-C259-4611-9CFA-A07B8222A33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9778746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540</xdr:row>
      <xdr:rowOff>53340</xdr:rowOff>
    </xdr:from>
    <xdr:ext cx="510540" cy="502919"/>
    <xdr:pic>
      <xdr:nvPicPr>
        <xdr:cNvPr id="23" name="image1.png">
          <a:extLst>
            <a:ext uri="{FF2B5EF4-FFF2-40B4-BE49-F238E27FC236}">
              <a16:creationId xmlns:a16="http://schemas.microsoft.com/office/drawing/2014/main" id="{FBC864AF-952E-450F-9E3E-8F82E82929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10437114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274320</xdr:colOff>
      <xdr:row>554</xdr:row>
      <xdr:rowOff>53340</xdr:rowOff>
    </xdr:from>
    <xdr:ext cx="510540" cy="502919"/>
    <xdr:pic>
      <xdr:nvPicPr>
        <xdr:cNvPr id="22" name="image1.png">
          <a:extLst>
            <a:ext uri="{FF2B5EF4-FFF2-40B4-BE49-F238E27FC236}">
              <a16:creationId xmlns:a16="http://schemas.microsoft.com/office/drawing/2014/main" id="{93DD96B3-B481-44FE-A087-B567055BB3E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320" y="101696520"/>
          <a:ext cx="510540" cy="502919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576</xdr:row>
      <xdr:rowOff>83820</xdr:rowOff>
    </xdr:from>
    <xdr:ext cx="624840" cy="556260"/>
    <xdr:pic>
      <xdr:nvPicPr>
        <xdr:cNvPr id="24" name="image1.png">
          <a:extLst>
            <a:ext uri="{FF2B5EF4-FFF2-40B4-BE49-F238E27FC236}">
              <a16:creationId xmlns:a16="http://schemas.microsoft.com/office/drawing/2014/main" id="{014C116F-6A49-4AF7-A213-80F41368E7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11853980"/>
          <a:ext cx="624840" cy="556260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639</xdr:row>
      <xdr:rowOff>83820</xdr:rowOff>
    </xdr:from>
    <xdr:ext cx="624840" cy="556260"/>
    <xdr:pic>
      <xdr:nvPicPr>
        <xdr:cNvPr id="25" name="image1.png">
          <a:extLst>
            <a:ext uri="{FF2B5EF4-FFF2-40B4-BE49-F238E27FC236}">
              <a16:creationId xmlns:a16="http://schemas.microsoft.com/office/drawing/2014/main" id="{325926C9-9117-42D6-9BB8-483E2296326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11853980"/>
          <a:ext cx="624840" cy="556260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663</xdr:row>
      <xdr:rowOff>83820</xdr:rowOff>
    </xdr:from>
    <xdr:ext cx="624840" cy="556260"/>
    <xdr:pic>
      <xdr:nvPicPr>
        <xdr:cNvPr id="26" name="image1.png">
          <a:extLst>
            <a:ext uri="{FF2B5EF4-FFF2-40B4-BE49-F238E27FC236}">
              <a16:creationId xmlns:a16="http://schemas.microsoft.com/office/drawing/2014/main" id="{BA5BF1E3-CF13-47A8-9D8C-C972B6407CD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23771660"/>
          <a:ext cx="624840" cy="556260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677</xdr:row>
      <xdr:rowOff>83820</xdr:rowOff>
    </xdr:from>
    <xdr:ext cx="533400" cy="510540"/>
    <xdr:pic>
      <xdr:nvPicPr>
        <xdr:cNvPr id="27" name="image1.png">
          <a:extLst>
            <a:ext uri="{FF2B5EF4-FFF2-40B4-BE49-F238E27FC236}">
              <a16:creationId xmlns:a16="http://schemas.microsoft.com/office/drawing/2014/main" id="{9E76C936-B7E4-44A8-88A9-C50FCA211D6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31353560"/>
          <a:ext cx="533400" cy="510540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698</xdr:row>
      <xdr:rowOff>83820</xdr:rowOff>
    </xdr:from>
    <xdr:ext cx="662940" cy="632460"/>
    <xdr:pic>
      <xdr:nvPicPr>
        <xdr:cNvPr id="28" name="image1.png">
          <a:extLst>
            <a:ext uri="{FF2B5EF4-FFF2-40B4-BE49-F238E27FC236}">
              <a16:creationId xmlns:a16="http://schemas.microsoft.com/office/drawing/2014/main" id="{7B9D3A1D-6984-4FBB-AB1A-C53F629A1BD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35506460"/>
          <a:ext cx="662940" cy="632460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722</xdr:row>
      <xdr:rowOff>83820</xdr:rowOff>
    </xdr:from>
    <xdr:ext cx="662940" cy="632460"/>
    <xdr:pic>
      <xdr:nvPicPr>
        <xdr:cNvPr id="29" name="image1.png">
          <a:extLst>
            <a:ext uri="{FF2B5EF4-FFF2-40B4-BE49-F238E27FC236}">
              <a16:creationId xmlns:a16="http://schemas.microsoft.com/office/drawing/2014/main" id="{F57DF221-BEE0-4FE7-9AED-58DEC89B23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35506460"/>
          <a:ext cx="662940" cy="632460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800</xdr:row>
      <xdr:rowOff>83820</xdr:rowOff>
    </xdr:from>
    <xdr:ext cx="662940" cy="632460"/>
    <xdr:pic>
      <xdr:nvPicPr>
        <xdr:cNvPr id="30" name="image1.png">
          <a:extLst>
            <a:ext uri="{FF2B5EF4-FFF2-40B4-BE49-F238E27FC236}">
              <a16:creationId xmlns:a16="http://schemas.microsoft.com/office/drawing/2014/main" id="{E17A4209-1EC8-4DD7-9858-B6EBBDC0E1C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40208000"/>
          <a:ext cx="662940" cy="632460"/>
        </a:xfrm>
        <a:prstGeom prst="rect">
          <a:avLst/>
        </a:prstGeom>
      </xdr:spPr>
    </xdr:pic>
    <xdr:clientData/>
  </xdr:oneCellAnchor>
  <xdr:oneCellAnchor>
    <xdr:from>
      <xdr:col>0</xdr:col>
      <xdr:colOff>259080</xdr:colOff>
      <xdr:row>835</xdr:row>
      <xdr:rowOff>83820</xdr:rowOff>
    </xdr:from>
    <xdr:ext cx="662940" cy="632460"/>
    <xdr:pic>
      <xdr:nvPicPr>
        <xdr:cNvPr id="31" name="image1.png">
          <a:extLst>
            <a:ext uri="{FF2B5EF4-FFF2-40B4-BE49-F238E27FC236}">
              <a16:creationId xmlns:a16="http://schemas.microsoft.com/office/drawing/2014/main" id="{8E3D0654-5B0E-4F59-98CB-6885DA12DE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9080" y="154983180"/>
          <a:ext cx="662940" cy="6324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60960</xdr:rowOff>
        </xdr:to>
        <xdr:sp macro="" textlink="">
          <xdr:nvSpPr>
            <xdr:cNvPr id="29832" name="Control 136" hidden="1">
              <a:extLst>
                <a:ext uri="{63B3BB69-23CF-44E3-9099-C40C66FF867C}">
                  <a14:compatExt spid="_x0000_s29832"/>
                </a:ext>
                <a:ext uri="{FF2B5EF4-FFF2-40B4-BE49-F238E27FC236}">
                  <a16:creationId xmlns:a16="http://schemas.microsoft.com/office/drawing/2014/main" id="{00000000-0008-0000-0D00-00008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2</xdr:row>
      <xdr:rowOff>0</xdr:rowOff>
    </xdr:from>
    <xdr:to>
      <xdr:col>2</xdr:col>
      <xdr:colOff>114300</xdr:colOff>
      <xdr:row>3</xdr:row>
      <xdr:rowOff>15240</xdr:rowOff>
    </xdr:to>
    <xdr:pic>
      <xdr:nvPicPr>
        <xdr:cNvPr id="14" name="Imagem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191CA5-A563-7C04-17D0-1F949947F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898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114300</xdr:colOff>
      <xdr:row>3</xdr:row>
      <xdr:rowOff>15240</xdr:rowOff>
    </xdr:to>
    <xdr:pic>
      <xdr:nvPicPr>
        <xdr:cNvPr id="15" name="Imagem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9877F8-1066-BA04-7F8F-571FE3FD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6898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114300</xdr:colOff>
      <xdr:row>3</xdr:row>
      <xdr:rowOff>15240</xdr:rowOff>
    </xdr:to>
    <xdr:pic>
      <xdr:nvPicPr>
        <xdr:cNvPr id="16" name="Imagem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F190571-338A-3C56-323F-ADD56ED56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898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114300</xdr:colOff>
      <xdr:row>3</xdr:row>
      <xdr:rowOff>15240</xdr:rowOff>
    </xdr:to>
    <xdr:pic>
      <xdr:nvPicPr>
        <xdr:cNvPr id="17" name="Imagem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02261A-2A1B-A5FE-F6FD-D383D70D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26898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114300</xdr:colOff>
      <xdr:row>3</xdr:row>
      <xdr:rowOff>15240</xdr:rowOff>
    </xdr:to>
    <xdr:pic>
      <xdr:nvPicPr>
        <xdr:cNvPr id="18" name="Imagem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55086D-B272-DAF9-9B88-442EC373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6898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114300</xdr:colOff>
      <xdr:row>4</xdr:row>
      <xdr:rowOff>15240</xdr:rowOff>
    </xdr:to>
    <xdr:pic>
      <xdr:nvPicPr>
        <xdr:cNvPr id="19" name="Imagem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5127ACF-3BA8-20A6-E1BD-EF9C519B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05562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</xdr:row>
      <xdr:rowOff>7620</xdr:rowOff>
    </xdr:from>
    <xdr:to>
      <xdr:col>10</xdr:col>
      <xdr:colOff>152400</xdr:colOff>
      <xdr:row>4</xdr:row>
      <xdr:rowOff>160020</xdr:rowOff>
    </xdr:to>
    <xdr:pic>
      <xdr:nvPicPr>
        <xdr:cNvPr id="20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37A68E0-4706-842F-EB02-269EF22B2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537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6</xdr:row>
      <xdr:rowOff>15240</xdr:rowOff>
    </xdr:to>
    <xdr:pic>
      <xdr:nvPicPr>
        <xdr:cNvPr id="21" name="Imagem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682BE16-75A6-D421-B38C-07E213E9B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290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6</xdr:row>
      <xdr:rowOff>15240</xdr:rowOff>
    </xdr:to>
    <xdr:pic>
      <xdr:nvPicPr>
        <xdr:cNvPr id="22" name="Imagem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3AE097-6D6C-FA23-1D26-E6807699A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290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114300</xdr:colOff>
      <xdr:row>6</xdr:row>
      <xdr:rowOff>15240</xdr:rowOff>
    </xdr:to>
    <xdr:pic>
      <xdr:nvPicPr>
        <xdr:cNvPr id="23" name="Imagem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6479EFB-7EF0-6637-C763-1E8B30DC4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114300</xdr:colOff>
      <xdr:row>5</xdr:row>
      <xdr:rowOff>15240</xdr:rowOff>
    </xdr:to>
    <xdr:pic>
      <xdr:nvPicPr>
        <xdr:cNvPr id="24" name="Imagem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018B000-1253-E55E-F02B-108E82703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24612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114300</xdr:colOff>
      <xdr:row>5</xdr:row>
      <xdr:rowOff>15240</xdr:rowOff>
    </xdr:to>
    <xdr:pic>
      <xdr:nvPicPr>
        <xdr:cNvPr id="25" name="Imagem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C340313-4643-C400-E40A-F6F8AF76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4612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29845" name="Control 149" hidden="1">
              <a:extLst>
                <a:ext uri="{63B3BB69-23CF-44E3-9099-C40C66FF867C}">
                  <a14:compatExt spid="_x0000_s29845"/>
                </a:ext>
                <a:ext uri="{FF2B5EF4-FFF2-40B4-BE49-F238E27FC236}">
                  <a16:creationId xmlns:a16="http://schemas.microsoft.com/office/drawing/2014/main" id="{00000000-0008-0000-0D00-00009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29846" name="Control 150" hidden="1">
              <a:extLst>
                <a:ext uri="{63B3BB69-23CF-44E3-9099-C40C66FF867C}">
                  <a14:compatExt spid="_x0000_s29846"/>
                </a:ext>
                <a:ext uri="{FF2B5EF4-FFF2-40B4-BE49-F238E27FC236}">
                  <a16:creationId xmlns:a16="http://schemas.microsoft.com/office/drawing/2014/main" id="{00000000-0008-0000-0D00-00009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29847" name="Control 151" hidden="1">
              <a:extLst>
                <a:ext uri="{63B3BB69-23CF-44E3-9099-C40C66FF867C}">
                  <a14:compatExt spid="_x0000_s29847"/>
                </a:ext>
                <a:ext uri="{FF2B5EF4-FFF2-40B4-BE49-F238E27FC236}">
                  <a16:creationId xmlns:a16="http://schemas.microsoft.com/office/drawing/2014/main" id="{00000000-0008-0000-0D00-00009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29848" name="Control 152" hidden="1">
              <a:extLst>
                <a:ext uri="{63B3BB69-23CF-44E3-9099-C40C66FF867C}">
                  <a14:compatExt spid="_x0000_s29848"/>
                </a:ext>
                <a:ext uri="{FF2B5EF4-FFF2-40B4-BE49-F238E27FC236}">
                  <a16:creationId xmlns:a16="http://schemas.microsoft.com/office/drawing/2014/main" id="{00000000-0008-0000-0D00-00009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29849" name="Control 153" hidden="1">
              <a:extLst>
                <a:ext uri="{63B3BB69-23CF-44E3-9099-C40C66FF867C}">
                  <a14:compatExt spid="_x0000_s29849"/>
                </a:ext>
                <a:ext uri="{FF2B5EF4-FFF2-40B4-BE49-F238E27FC236}">
                  <a16:creationId xmlns:a16="http://schemas.microsoft.com/office/drawing/2014/main" id="{00000000-0008-0000-0D00-00009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29850" name="Control 154" hidden="1">
              <a:extLst>
                <a:ext uri="{63B3BB69-23CF-44E3-9099-C40C66FF867C}">
                  <a14:compatExt spid="_x0000_s29850"/>
                </a:ext>
                <a:ext uri="{FF2B5EF4-FFF2-40B4-BE49-F238E27FC236}">
                  <a16:creationId xmlns:a16="http://schemas.microsoft.com/office/drawing/2014/main" id="{00000000-0008-0000-0D00-00009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29851" name="Control 155" hidden="1">
              <a:extLst>
                <a:ext uri="{63B3BB69-23CF-44E3-9099-C40C66FF867C}">
                  <a14:compatExt spid="_x0000_s29851"/>
                </a:ext>
                <a:ext uri="{FF2B5EF4-FFF2-40B4-BE49-F238E27FC236}">
                  <a16:creationId xmlns:a16="http://schemas.microsoft.com/office/drawing/2014/main" id="{00000000-0008-0000-0D00-00009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29852" name="Control 156" hidden="1">
              <a:extLst>
                <a:ext uri="{63B3BB69-23CF-44E3-9099-C40C66FF867C}">
                  <a14:compatExt spid="_x0000_s29852"/>
                </a:ext>
                <a:ext uri="{FF2B5EF4-FFF2-40B4-BE49-F238E27FC236}">
                  <a16:creationId xmlns:a16="http://schemas.microsoft.com/office/drawing/2014/main" id="{00000000-0008-0000-0D00-00009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29853" name="Control 157" hidden="1">
              <a:extLst>
                <a:ext uri="{63B3BB69-23CF-44E3-9099-C40C66FF867C}">
                  <a14:compatExt spid="_x0000_s29853"/>
                </a:ext>
                <a:ext uri="{FF2B5EF4-FFF2-40B4-BE49-F238E27FC236}">
                  <a16:creationId xmlns:a16="http://schemas.microsoft.com/office/drawing/2014/main" id="{00000000-0008-0000-0D00-00009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29854" name="Control 158" hidden="1">
              <a:extLst>
                <a:ext uri="{63B3BB69-23CF-44E3-9099-C40C66FF867C}">
                  <a14:compatExt spid="_x0000_s29854"/>
                </a:ext>
                <a:ext uri="{FF2B5EF4-FFF2-40B4-BE49-F238E27FC236}">
                  <a16:creationId xmlns:a16="http://schemas.microsoft.com/office/drawing/2014/main" id="{00000000-0008-0000-0D00-00009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29855" name="Control 159" hidden="1">
              <a:extLst>
                <a:ext uri="{63B3BB69-23CF-44E3-9099-C40C66FF867C}">
                  <a14:compatExt spid="_x0000_s29855"/>
                </a:ext>
                <a:ext uri="{FF2B5EF4-FFF2-40B4-BE49-F238E27FC236}">
                  <a16:creationId xmlns:a16="http://schemas.microsoft.com/office/drawing/2014/main" id="{00000000-0008-0000-0D00-00009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60960</xdr:rowOff>
        </xdr:to>
        <xdr:sp macro="" textlink="">
          <xdr:nvSpPr>
            <xdr:cNvPr id="29856" name="Control 160" hidden="1">
              <a:extLst>
                <a:ext uri="{63B3BB69-23CF-44E3-9099-C40C66FF867C}">
                  <a14:compatExt spid="_x0000_s29856"/>
                </a:ext>
                <a:ext uri="{FF2B5EF4-FFF2-40B4-BE49-F238E27FC236}">
                  <a16:creationId xmlns:a16="http://schemas.microsoft.com/office/drawing/2014/main" id="{00000000-0008-0000-0D00-0000A0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19</xdr:row>
          <xdr:rowOff>60960</xdr:rowOff>
        </xdr:to>
        <xdr:sp macro="" textlink="">
          <xdr:nvSpPr>
            <xdr:cNvPr id="29857" name="Control 161" hidden="1">
              <a:extLst>
                <a:ext uri="{63B3BB69-23CF-44E3-9099-C40C66FF867C}">
                  <a14:compatExt spid="_x0000_s29857"/>
                </a:ext>
                <a:ext uri="{FF2B5EF4-FFF2-40B4-BE49-F238E27FC236}">
                  <a16:creationId xmlns:a16="http://schemas.microsoft.com/office/drawing/2014/main" id="{00000000-0008-0000-0D00-0000A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60960</xdr:rowOff>
        </xdr:to>
        <xdr:sp macro="" textlink="">
          <xdr:nvSpPr>
            <xdr:cNvPr id="29858" name="Control 162" hidden="1">
              <a:extLst>
                <a:ext uri="{63B3BB69-23CF-44E3-9099-C40C66FF867C}">
                  <a14:compatExt spid="_x0000_s29858"/>
                </a:ext>
                <a:ext uri="{FF2B5EF4-FFF2-40B4-BE49-F238E27FC236}">
                  <a16:creationId xmlns:a16="http://schemas.microsoft.com/office/drawing/2014/main" id="{00000000-0008-0000-0D00-0000A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21</xdr:row>
          <xdr:rowOff>60960</xdr:rowOff>
        </xdr:to>
        <xdr:sp macro="" textlink="">
          <xdr:nvSpPr>
            <xdr:cNvPr id="29859" name="Control 163" hidden="1">
              <a:extLst>
                <a:ext uri="{63B3BB69-23CF-44E3-9099-C40C66FF867C}">
                  <a14:compatExt spid="_x0000_s29859"/>
                </a:ext>
                <a:ext uri="{FF2B5EF4-FFF2-40B4-BE49-F238E27FC236}">
                  <a16:creationId xmlns:a16="http://schemas.microsoft.com/office/drawing/2014/main" id="{00000000-0008-0000-0D00-0000A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22</xdr:row>
          <xdr:rowOff>60960</xdr:rowOff>
        </xdr:to>
        <xdr:sp macro="" textlink="">
          <xdr:nvSpPr>
            <xdr:cNvPr id="29860" name="Control 164" hidden="1">
              <a:extLst>
                <a:ext uri="{63B3BB69-23CF-44E3-9099-C40C66FF867C}">
                  <a14:compatExt spid="_x0000_s29860"/>
                </a:ext>
                <a:ext uri="{FF2B5EF4-FFF2-40B4-BE49-F238E27FC236}">
                  <a16:creationId xmlns:a16="http://schemas.microsoft.com/office/drawing/2014/main" id="{00000000-0008-0000-0D00-0000A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23</xdr:row>
          <xdr:rowOff>60960</xdr:rowOff>
        </xdr:to>
        <xdr:sp macro="" textlink="">
          <xdr:nvSpPr>
            <xdr:cNvPr id="29861" name="Control 165" hidden="1">
              <a:extLst>
                <a:ext uri="{63B3BB69-23CF-44E3-9099-C40C66FF867C}">
                  <a14:compatExt spid="_x0000_s29861"/>
                </a:ext>
                <a:ext uri="{FF2B5EF4-FFF2-40B4-BE49-F238E27FC236}">
                  <a16:creationId xmlns:a16="http://schemas.microsoft.com/office/drawing/2014/main" id="{00000000-0008-0000-0D00-0000A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24</xdr:row>
          <xdr:rowOff>60960</xdr:rowOff>
        </xdr:to>
        <xdr:sp macro="" textlink="">
          <xdr:nvSpPr>
            <xdr:cNvPr id="29862" name="Control 166" hidden="1">
              <a:extLst>
                <a:ext uri="{63B3BB69-23CF-44E3-9099-C40C66FF867C}">
                  <a14:compatExt spid="_x0000_s29862"/>
                </a:ext>
                <a:ext uri="{FF2B5EF4-FFF2-40B4-BE49-F238E27FC236}">
                  <a16:creationId xmlns:a16="http://schemas.microsoft.com/office/drawing/2014/main" id="{00000000-0008-0000-0D00-0000A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25</xdr:row>
          <xdr:rowOff>60960</xdr:rowOff>
        </xdr:to>
        <xdr:sp macro="" textlink="">
          <xdr:nvSpPr>
            <xdr:cNvPr id="29863" name="Control 167" hidden="1">
              <a:extLst>
                <a:ext uri="{63B3BB69-23CF-44E3-9099-C40C66FF867C}">
                  <a14:compatExt spid="_x0000_s29863"/>
                </a:ext>
                <a:ext uri="{FF2B5EF4-FFF2-40B4-BE49-F238E27FC236}">
                  <a16:creationId xmlns:a16="http://schemas.microsoft.com/office/drawing/2014/main" id="{00000000-0008-0000-0D00-0000A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26</xdr:row>
          <xdr:rowOff>60960</xdr:rowOff>
        </xdr:to>
        <xdr:sp macro="" textlink="">
          <xdr:nvSpPr>
            <xdr:cNvPr id="29864" name="Control 168" hidden="1">
              <a:extLst>
                <a:ext uri="{63B3BB69-23CF-44E3-9099-C40C66FF867C}">
                  <a14:compatExt spid="_x0000_s29864"/>
                </a:ext>
                <a:ext uri="{FF2B5EF4-FFF2-40B4-BE49-F238E27FC236}">
                  <a16:creationId xmlns:a16="http://schemas.microsoft.com/office/drawing/2014/main" id="{00000000-0008-0000-0D00-0000A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27</xdr:row>
          <xdr:rowOff>60960</xdr:rowOff>
        </xdr:to>
        <xdr:sp macro="" textlink="">
          <xdr:nvSpPr>
            <xdr:cNvPr id="29865" name="Control 169" hidden="1">
              <a:extLst>
                <a:ext uri="{63B3BB69-23CF-44E3-9099-C40C66FF867C}">
                  <a14:compatExt spid="_x0000_s29865"/>
                </a:ext>
                <a:ext uri="{FF2B5EF4-FFF2-40B4-BE49-F238E27FC236}">
                  <a16:creationId xmlns:a16="http://schemas.microsoft.com/office/drawing/2014/main" id="{00000000-0008-0000-0D00-0000A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228600</xdr:colOff>
          <xdr:row>28</xdr:row>
          <xdr:rowOff>60960</xdr:rowOff>
        </xdr:to>
        <xdr:sp macro="" textlink="">
          <xdr:nvSpPr>
            <xdr:cNvPr id="29866" name="Control 170" hidden="1">
              <a:extLst>
                <a:ext uri="{63B3BB69-23CF-44E3-9099-C40C66FF867C}">
                  <a14:compatExt spid="_x0000_s29866"/>
                </a:ext>
                <a:ext uri="{FF2B5EF4-FFF2-40B4-BE49-F238E27FC236}">
                  <a16:creationId xmlns:a16="http://schemas.microsoft.com/office/drawing/2014/main" id="{00000000-0008-0000-0D00-0000A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228600</xdr:colOff>
          <xdr:row>29</xdr:row>
          <xdr:rowOff>60960</xdr:rowOff>
        </xdr:to>
        <xdr:sp macro="" textlink="">
          <xdr:nvSpPr>
            <xdr:cNvPr id="29867" name="Control 171" hidden="1">
              <a:extLst>
                <a:ext uri="{63B3BB69-23CF-44E3-9099-C40C66FF867C}">
                  <a14:compatExt spid="_x0000_s29867"/>
                </a:ext>
                <a:ext uri="{FF2B5EF4-FFF2-40B4-BE49-F238E27FC236}">
                  <a16:creationId xmlns:a16="http://schemas.microsoft.com/office/drawing/2014/main" id="{00000000-0008-0000-0D00-0000A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228600</xdr:colOff>
          <xdr:row>30</xdr:row>
          <xdr:rowOff>60960</xdr:rowOff>
        </xdr:to>
        <xdr:sp macro="" textlink="">
          <xdr:nvSpPr>
            <xdr:cNvPr id="29868" name="Control 172" hidden="1">
              <a:extLst>
                <a:ext uri="{63B3BB69-23CF-44E3-9099-C40C66FF867C}">
                  <a14:compatExt spid="_x0000_s29868"/>
                </a:ext>
                <a:ext uri="{FF2B5EF4-FFF2-40B4-BE49-F238E27FC236}">
                  <a16:creationId xmlns:a16="http://schemas.microsoft.com/office/drawing/2014/main" id="{00000000-0008-0000-0D00-0000A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228600</xdr:colOff>
          <xdr:row>31</xdr:row>
          <xdr:rowOff>60960</xdr:rowOff>
        </xdr:to>
        <xdr:sp macro="" textlink="">
          <xdr:nvSpPr>
            <xdr:cNvPr id="29869" name="Control 173" hidden="1">
              <a:extLst>
                <a:ext uri="{63B3BB69-23CF-44E3-9099-C40C66FF867C}">
                  <a14:compatExt spid="_x0000_s29869"/>
                </a:ext>
                <a:ext uri="{FF2B5EF4-FFF2-40B4-BE49-F238E27FC236}">
                  <a16:creationId xmlns:a16="http://schemas.microsoft.com/office/drawing/2014/main" id="{00000000-0008-0000-0D00-0000A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228600</xdr:colOff>
          <xdr:row>32</xdr:row>
          <xdr:rowOff>60960</xdr:rowOff>
        </xdr:to>
        <xdr:sp macro="" textlink="">
          <xdr:nvSpPr>
            <xdr:cNvPr id="29870" name="Control 174" hidden="1">
              <a:extLst>
                <a:ext uri="{63B3BB69-23CF-44E3-9099-C40C66FF867C}">
                  <a14:compatExt spid="_x0000_s29870"/>
                </a:ext>
                <a:ext uri="{FF2B5EF4-FFF2-40B4-BE49-F238E27FC236}">
                  <a16:creationId xmlns:a16="http://schemas.microsoft.com/office/drawing/2014/main" id="{00000000-0008-0000-0D00-0000A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228600</xdr:colOff>
          <xdr:row>33</xdr:row>
          <xdr:rowOff>60960</xdr:rowOff>
        </xdr:to>
        <xdr:sp macro="" textlink="">
          <xdr:nvSpPr>
            <xdr:cNvPr id="29871" name="Control 175" hidden="1">
              <a:extLst>
                <a:ext uri="{63B3BB69-23CF-44E3-9099-C40C66FF867C}">
                  <a14:compatExt spid="_x0000_s29871"/>
                </a:ext>
                <a:ext uri="{FF2B5EF4-FFF2-40B4-BE49-F238E27FC236}">
                  <a16:creationId xmlns:a16="http://schemas.microsoft.com/office/drawing/2014/main" id="{00000000-0008-0000-0D00-0000A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228600</xdr:colOff>
          <xdr:row>34</xdr:row>
          <xdr:rowOff>60960</xdr:rowOff>
        </xdr:to>
        <xdr:sp macro="" textlink="">
          <xdr:nvSpPr>
            <xdr:cNvPr id="29872" name="Control 176" hidden="1">
              <a:extLst>
                <a:ext uri="{63B3BB69-23CF-44E3-9099-C40C66FF867C}">
                  <a14:compatExt spid="_x0000_s29872"/>
                </a:ext>
                <a:ext uri="{FF2B5EF4-FFF2-40B4-BE49-F238E27FC236}">
                  <a16:creationId xmlns:a16="http://schemas.microsoft.com/office/drawing/2014/main" id="{00000000-0008-0000-0D00-0000B0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228600</xdr:colOff>
          <xdr:row>35</xdr:row>
          <xdr:rowOff>60960</xdr:rowOff>
        </xdr:to>
        <xdr:sp macro="" textlink="">
          <xdr:nvSpPr>
            <xdr:cNvPr id="29873" name="Control 177" hidden="1">
              <a:extLst>
                <a:ext uri="{63B3BB69-23CF-44E3-9099-C40C66FF867C}">
                  <a14:compatExt spid="_x0000_s29873"/>
                </a:ext>
                <a:ext uri="{FF2B5EF4-FFF2-40B4-BE49-F238E27FC236}">
                  <a16:creationId xmlns:a16="http://schemas.microsoft.com/office/drawing/2014/main" id="{00000000-0008-0000-0D00-0000B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228600</xdr:colOff>
          <xdr:row>36</xdr:row>
          <xdr:rowOff>60960</xdr:rowOff>
        </xdr:to>
        <xdr:sp macro="" textlink="">
          <xdr:nvSpPr>
            <xdr:cNvPr id="29874" name="Control 178" hidden="1">
              <a:extLst>
                <a:ext uri="{63B3BB69-23CF-44E3-9099-C40C66FF867C}">
                  <a14:compatExt spid="_x0000_s29874"/>
                </a:ext>
                <a:ext uri="{FF2B5EF4-FFF2-40B4-BE49-F238E27FC236}">
                  <a16:creationId xmlns:a16="http://schemas.microsoft.com/office/drawing/2014/main" id="{00000000-0008-0000-0D00-0000B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228600</xdr:colOff>
          <xdr:row>37</xdr:row>
          <xdr:rowOff>60960</xdr:rowOff>
        </xdr:to>
        <xdr:sp macro="" textlink="">
          <xdr:nvSpPr>
            <xdr:cNvPr id="29875" name="Control 179" hidden="1">
              <a:extLst>
                <a:ext uri="{63B3BB69-23CF-44E3-9099-C40C66FF867C}">
                  <a14:compatExt spid="_x0000_s29875"/>
                </a:ext>
                <a:ext uri="{FF2B5EF4-FFF2-40B4-BE49-F238E27FC236}">
                  <a16:creationId xmlns:a16="http://schemas.microsoft.com/office/drawing/2014/main" id="{00000000-0008-0000-0D00-0000B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228600</xdr:colOff>
          <xdr:row>38</xdr:row>
          <xdr:rowOff>60960</xdr:rowOff>
        </xdr:to>
        <xdr:sp macro="" textlink="">
          <xdr:nvSpPr>
            <xdr:cNvPr id="29876" name="Control 180" hidden="1">
              <a:extLst>
                <a:ext uri="{63B3BB69-23CF-44E3-9099-C40C66FF867C}">
                  <a14:compatExt spid="_x0000_s29876"/>
                </a:ext>
                <a:ext uri="{FF2B5EF4-FFF2-40B4-BE49-F238E27FC236}">
                  <a16:creationId xmlns:a16="http://schemas.microsoft.com/office/drawing/2014/main" id="{00000000-0008-0000-0D00-0000B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228600</xdr:colOff>
          <xdr:row>39</xdr:row>
          <xdr:rowOff>60960</xdr:rowOff>
        </xdr:to>
        <xdr:sp macro="" textlink="">
          <xdr:nvSpPr>
            <xdr:cNvPr id="29877" name="Control 181" hidden="1">
              <a:extLst>
                <a:ext uri="{63B3BB69-23CF-44E3-9099-C40C66FF867C}">
                  <a14:compatExt spid="_x0000_s29877"/>
                </a:ext>
                <a:ext uri="{FF2B5EF4-FFF2-40B4-BE49-F238E27FC236}">
                  <a16:creationId xmlns:a16="http://schemas.microsoft.com/office/drawing/2014/main" id="{00000000-0008-0000-0D00-0000B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228600</xdr:colOff>
          <xdr:row>40</xdr:row>
          <xdr:rowOff>60960</xdr:rowOff>
        </xdr:to>
        <xdr:sp macro="" textlink="">
          <xdr:nvSpPr>
            <xdr:cNvPr id="29878" name="Control 182" hidden="1">
              <a:extLst>
                <a:ext uri="{63B3BB69-23CF-44E3-9099-C40C66FF867C}">
                  <a14:compatExt spid="_x0000_s29878"/>
                </a:ext>
                <a:ext uri="{FF2B5EF4-FFF2-40B4-BE49-F238E27FC236}">
                  <a16:creationId xmlns:a16="http://schemas.microsoft.com/office/drawing/2014/main" id="{00000000-0008-0000-0D00-0000B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228600</xdr:colOff>
          <xdr:row>41</xdr:row>
          <xdr:rowOff>60960</xdr:rowOff>
        </xdr:to>
        <xdr:sp macro="" textlink="">
          <xdr:nvSpPr>
            <xdr:cNvPr id="29879" name="Control 183" hidden="1">
              <a:extLst>
                <a:ext uri="{63B3BB69-23CF-44E3-9099-C40C66FF867C}">
                  <a14:compatExt spid="_x0000_s29879"/>
                </a:ext>
                <a:ext uri="{FF2B5EF4-FFF2-40B4-BE49-F238E27FC236}">
                  <a16:creationId xmlns:a16="http://schemas.microsoft.com/office/drawing/2014/main" id="{00000000-0008-0000-0D00-0000B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42</xdr:row>
          <xdr:rowOff>60960</xdr:rowOff>
        </xdr:to>
        <xdr:sp macro="" textlink="">
          <xdr:nvSpPr>
            <xdr:cNvPr id="29880" name="Control 184" hidden="1">
              <a:extLst>
                <a:ext uri="{63B3BB69-23CF-44E3-9099-C40C66FF867C}">
                  <a14:compatExt spid="_x0000_s29880"/>
                </a:ext>
                <a:ext uri="{FF2B5EF4-FFF2-40B4-BE49-F238E27FC236}">
                  <a16:creationId xmlns:a16="http://schemas.microsoft.com/office/drawing/2014/main" id="{00000000-0008-0000-0D00-0000B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228600</xdr:colOff>
          <xdr:row>43</xdr:row>
          <xdr:rowOff>60960</xdr:rowOff>
        </xdr:to>
        <xdr:sp macro="" textlink="">
          <xdr:nvSpPr>
            <xdr:cNvPr id="29881" name="Control 185" hidden="1">
              <a:extLst>
                <a:ext uri="{63B3BB69-23CF-44E3-9099-C40C66FF867C}">
                  <a14:compatExt spid="_x0000_s29881"/>
                </a:ext>
                <a:ext uri="{FF2B5EF4-FFF2-40B4-BE49-F238E27FC236}">
                  <a16:creationId xmlns:a16="http://schemas.microsoft.com/office/drawing/2014/main" id="{00000000-0008-0000-0D00-0000B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228600</xdr:colOff>
          <xdr:row>44</xdr:row>
          <xdr:rowOff>60960</xdr:rowOff>
        </xdr:to>
        <xdr:sp macro="" textlink="">
          <xdr:nvSpPr>
            <xdr:cNvPr id="29882" name="Control 186" hidden="1">
              <a:extLst>
                <a:ext uri="{63B3BB69-23CF-44E3-9099-C40C66FF867C}">
                  <a14:compatExt spid="_x0000_s29882"/>
                </a:ext>
                <a:ext uri="{FF2B5EF4-FFF2-40B4-BE49-F238E27FC236}">
                  <a16:creationId xmlns:a16="http://schemas.microsoft.com/office/drawing/2014/main" id="{00000000-0008-0000-0D00-0000B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228600</xdr:colOff>
          <xdr:row>45</xdr:row>
          <xdr:rowOff>60960</xdr:rowOff>
        </xdr:to>
        <xdr:sp macro="" textlink="">
          <xdr:nvSpPr>
            <xdr:cNvPr id="29883" name="Control 187" hidden="1">
              <a:extLst>
                <a:ext uri="{63B3BB69-23CF-44E3-9099-C40C66FF867C}">
                  <a14:compatExt spid="_x0000_s29883"/>
                </a:ext>
                <a:ext uri="{FF2B5EF4-FFF2-40B4-BE49-F238E27FC236}">
                  <a16:creationId xmlns:a16="http://schemas.microsoft.com/office/drawing/2014/main" id="{00000000-0008-0000-0D00-0000B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228600</xdr:colOff>
          <xdr:row>46</xdr:row>
          <xdr:rowOff>60960</xdr:rowOff>
        </xdr:to>
        <xdr:sp macro="" textlink="">
          <xdr:nvSpPr>
            <xdr:cNvPr id="29884" name="Control 188" hidden="1">
              <a:extLst>
                <a:ext uri="{63B3BB69-23CF-44E3-9099-C40C66FF867C}">
                  <a14:compatExt spid="_x0000_s29884"/>
                </a:ext>
                <a:ext uri="{FF2B5EF4-FFF2-40B4-BE49-F238E27FC236}">
                  <a16:creationId xmlns:a16="http://schemas.microsoft.com/office/drawing/2014/main" id="{00000000-0008-0000-0D00-0000B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228600</xdr:colOff>
          <xdr:row>47</xdr:row>
          <xdr:rowOff>60960</xdr:rowOff>
        </xdr:to>
        <xdr:sp macro="" textlink="">
          <xdr:nvSpPr>
            <xdr:cNvPr id="29885" name="Control 189" hidden="1">
              <a:extLst>
                <a:ext uri="{63B3BB69-23CF-44E3-9099-C40C66FF867C}">
                  <a14:compatExt spid="_x0000_s29885"/>
                </a:ext>
                <a:ext uri="{FF2B5EF4-FFF2-40B4-BE49-F238E27FC236}">
                  <a16:creationId xmlns:a16="http://schemas.microsoft.com/office/drawing/2014/main" id="{00000000-0008-0000-0D00-0000B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228600</xdr:colOff>
          <xdr:row>48</xdr:row>
          <xdr:rowOff>60960</xdr:rowOff>
        </xdr:to>
        <xdr:sp macro="" textlink="">
          <xdr:nvSpPr>
            <xdr:cNvPr id="29886" name="Control 190" hidden="1">
              <a:extLst>
                <a:ext uri="{63B3BB69-23CF-44E3-9099-C40C66FF867C}">
                  <a14:compatExt spid="_x0000_s29886"/>
                </a:ext>
                <a:ext uri="{FF2B5EF4-FFF2-40B4-BE49-F238E27FC236}">
                  <a16:creationId xmlns:a16="http://schemas.microsoft.com/office/drawing/2014/main" id="{00000000-0008-0000-0D00-0000B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228600</xdr:colOff>
          <xdr:row>49</xdr:row>
          <xdr:rowOff>60960</xdr:rowOff>
        </xdr:to>
        <xdr:sp macro="" textlink="">
          <xdr:nvSpPr>
            <xdr:cNvPr id="29887" name="Control 191" hidden="1">
              <a:extLst>
                <a:ext uri="{63B3BB69-23CF-44E3-9099-C40C66FF867C}">
                  <a14:compatExt spid="_x0000_s29887"/>
                </a:ext>
                <a:ext uri="{FF2B5EF4-FFF2-40B4-BE49-F238E27FC236}">
                  <a16:creationId xmlns:a16="http://schemas.microsoft.com/office/drawing/2014/main" id="{00000000-0008-0000-0D00-0000B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228600</xdr:colOff>
          <xdr:row>50</xdr:row>
          <xdr:rowOff>60960</xdr:rowOff>
        </xdr:to>
        <xdr:sp macro="" textlink="">
          <xdr:nvSpPr>
            <xdr:cNvPr id="29888" name="Control 192" hidden="1">
              <a:extLst>
                <a:ext uri="{63B3BB69-23CF-44E3-9099-C40C66FF867C}">
                  <a14:compatExt spid="_x0000_s29888"/>
                </a:ext>
                <a:ext uri="{FF2B5EF4-FFF2-40B4-BE49-F238E27FC236}">
                  <a16:creationId xmlns:a16="http://schemas.microsoft.com/office/drawing/2014/main" id="{00000000-0008-0000-0D00-0000C0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228600</xdr:colOff>
          <xdr:row>51</xdr:row>
          <xdr:rowOff>60960</xdr:rowOff>
        </xdr:to>
        <xdr:sp macro="" textlink="">
          <xdr:nvSpPr>
            <xdr:cNvPr id="29889" name="Control 193" hidden="1">
              <a:extLst>
                <a:ext uri="{63B3BB69-23CF-44E3-9099-C40C66FF867C}">
                  <a14:compatExt spid="_x0000_s29889"/>
                </a:ext>
                <a:ext uri="{FF2B5EF4-FFF2-40B4-BE49-F238E27FC236}">
                  <a16:creationId xmlns:a16="http://schemas.microsoft.com/office/drawing/2014/main" id="{00000000-0008-0000-0D00-0000C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228600</xdr:colOff>
          <xdr:row>52</xdr:row>
          <xdr:rowOff>60960</xdr:rowOff>
        </xdr:to>
        <xdr:sp macro="" textlink="">
          <xdr:nvSpPr>
            <xdr:cNvPr id="29890" name="Control 194" hidden="1">
              <a:extLst>
                <a:ext uri="{63B3BB69-23CF-44E3-9099-C40C66FF867C}">
                  <a14:compatExt spid="_x0000_s29890"/>
                </a:ext>
                <a:ext uri="{FF2B5EF4-FFF2-40B4-BE49-F238E27FC236}">
                  <a16:creationId xmlns:a16="http://schemas.microsoft.com/office/drawing/2014/main" id="{00000000-0008-0000-0D00-0000C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228600</xdr:colOff>
          <xdr:row>53</xdr:row>
          <xdr:rowOff>60960</xdr:rowOff>
        </xdr:to>
        <xdr:sp macro="" textlink="">
          <xdr:nvSpPr>
            <xdr:cNvPr id="29891" name="Control 195" hidden="1">
              <a:extLst>
                <a:ext uri="{63B3BB69-23CF-44E3-9099-C40C66FF867C}">
                  <a14:compatExt spid="_x0000_s29891"/>
                </a:ext>
                <a:ext uri="{FF2B5EF4-FFF2-40B4-BE49-F238E27FC236}">
                  <a16:creationId xmlns:a16="http://schemas.microsoft.com/office/drawing/2014/main" id="{00000000-0008-0000-0D00-0000C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228600</xdr:colOff>
          <xdr:row>54</xdr:row>
          <xdr:rowOff>60960</xdr:rowOff>
        </xdr:to>
        <xdr:sp macro="" textlink="">
          <xdr:nvSpPr>
            <xdr:cNvPr id="29892" name="Control 196" hidden="1">
              <a:extLst>
                <a:ext uri="{63B3BB69-23CF-44E3-9099-C40C66FF867C}">
                  <a14:compatExt spid="_x0000_s29892"/>
                </a:ext>
                <a:ext uri="{FF2B5EF4-FFF2-40B4-BE49-F238E27FC236}">
                  <a16:creationId xmlns:a16="http://schemas.microsoft.com/office/drawing/2014/main" id="{00000000-0008-0000-0D00-0000C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228600</xdr:colOff>
          <xdr:row>55</xdr:row>
          <xdr:rowOff>60960</xdr:rowOff>
        </xdr:to>
        <xdr:sp macro="" textlink="">
          <xdr:nvSpPr>
            <xdr:cNvPr id="29893" name="Control 197" hidden="1">
              <a:extLst>
                <a:ext uri="{63B3BB69-23CF-44E3-9099-C40C66FF867C}">
                  <a14:compatExt spid="_x0000_s29893"/>
                </a:ext>
                <a:ext uri="{FF2B5EF4-FFF2-40B4-BE49-F238E27FC236}">
                  <a16:creationId xmlns:a16="http://schemas.microsoft.com/office/drawing/2014/main" id="{00000000-0008-0000-0D00-0000C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228600</xdr:colOff>
          <xdr:row>56</xdr:row>
          <xdr:rowOff>60960</xdr:rowOff>
        </xdr:to>
        <xdr:sp macro="" textlink="">
          <xdr:nvSpPr>
            <xdr:cNvPr id="29894" name="Control 198" hidden="1">
              <a:extLst>
                <a:ext uri="{63B3BB69-23CF-44E3-9099-C40C66FF867C}">
                  <a14:compatExt spid="_x0000_s29894"/>
                </a:ext>
                <a:ext uri="{FF2B5EF4-FFF2-40B4-BE49-F238E27FC236}">
                  <a16:creationId xmlns:a16="http://schemas.microsoft.com/office/drawing/2014/main" id="{00000000-0008-0000-0D00-0000C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228600</xdr:colOff>
          <xdr:row>57</xdr:row>
          <xdr:rowOff>60960</xdr:rowOff>
        </xdr:to>
        <xdr:sp macro="" textlink="">
          <xdr:nvSpPr>
            <xdr:cNvPr id="29895" name="Control 199" hidden="1">
              <a:extLst>
                <a:ext uri="{63B3BB69-23CF-44E3-9099-C40C66FF867C}">
                  <a14:compatExt spid="_x0000_s29895"/>
                </a:ext>
                <a:ext uri="{FF2B5EF4-FFF2-40B4-BE49-F238E27FC236}">
                  <a16:creationId xmlns:a16="http://schemas.microsoft.com/office/drawing/2014/main" id="{00000000-0008-0000-0D00-0000C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228600</xdr:colOff>
          <xdr:row>58</xdr:row>
          <xdr:rowOff>60960</xdr:rowOff>
        </xdr:to>
        <xdr:sp macro="" textlink="">
          <xdr:nvSpPr>
            <xdr:cNvPr id="29896" name="Control 200" hidden="1">
              <a:extLst>
                <a:ext uri="{63B3BB69-23CF-44E3-9099-C40C66FF867C}">
                  <a14:compatExt spid="_x0000_s29896"/>
                </a:ext>
                <a:ext uri="{FF2B5EF4-FFF2-40B4-BE49-F238E27FC236}">
                  <a16:creationId xmlns:a16="http://schemas.microsoft.com/office/drawing/2014/main" id="{00000000-0008-0000-0D00-0000C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228600</xdr:colOff>
          <xdr:row>59</xdr:row>
          <xdr:rowOff>60960</xdr:rowOff>
        </xdr:to>
        <xdr:sp macro="" textlink="">
          <xdr:nvSpPr>
            <xdr:cNvPr id="29897" name="Control 201" hidden="1">
              <a:extLst>
                <a:ext uri="{63B3BB69-23CF-44E3-9099-C40C66FF867C}">
                  <a14:compatExt spid="_x0000_s29897"/>
                </a:ext>
                <a:ext uri="{FF2B5EF4-FFF2-40B4-BE49-F238E27FC236}">
                  <a16:creationId xmlns:a16="http://schemas.microsoft.com/office/drawing/2014/main" id="{00000000-0008-0000-0D00-0000C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228600</xdr:colOff>
          <xdr:row>60</xdr:row>
          <xdr:rowOff>60960</xdr:rowOff>
        </xdr:to>
        <xdr:sp macro="" textlink="">
          <xdr:nvSpPr>
            <xdr:cNvPr id="29898" name="Control 202" hidden="1">
              <a:extLst>
                <a:ext uri="{63B3BB69-23CF-44E3-9099-C40C66FF867C}">
                  <a14:compatExt spid="_x0000_s29898"/>
                </a:ext>
                <a:ext uri="{FF2B5EF4-FFF2-40B4-BE49-F238E27FC236}">
                  <a16:creationId xmlns:a16="http://schemas.microsoft.com/office/drawing/2014/main" id="{00000000-0008-0000-0D00-0000C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228600</xdr:colOff>
          <xdr:row>61</xdr:row>
          <xdr:rowOff>60960</xdr:rowOff>
        </xdr:to>
        <xdr:sp macro="" textlink="">
          <xdr:nvSpPr>
            <xdr:cNvPr id="29899" name="Control 203" hidden="1">
              <a:extLst>
                <a:ext uri="{63B3BB69-23CF-44E3-9099-C40C66FF867C}">
                  <a14:compatExt spid="_x0000_s29899"/>
                </a:ext>
                <a:ext uri="{FF2B5EF4-FFF2-40B4-BE49-F238E27FC236}">
                  <a16:creationId xmlns:a16="http://schemas.microsoft.com/office/drawing/2014/main" id="{00000000-0008-0000-0D00-0000C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228600</xdr:colOff>
          <xdr:row>62</xdr:row>
          <xdr:rowOff>60960</xdr:rowOff>
        </xdr:to>
        <xdr:sp macro="" textlink="">
          <xdr:nvSpPr>
            <xdr:cNvPr id="29900" name="Control 204" hidden="1">
              <a:extLst>
                <a:ext uri="{63B3BB69-23CF-44E3-9099-C40C66FF867C}">
                  <a14:compatExt spid="_x0000_s29900"/>
                </a:ext>
                <a:ext uri="{FF2B5EF4-FFF2-40B4-BE49-F238E27FC236}">
                  <a16:creationId xmlns:a16="http://schemas.microsoft.com/office/drawing/2014/main" id="{00000000-0008-0000-0D00-0000C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228600</xdr:colOff>
          <xdr:row>63</xdr:row>
          <xdr:rowOff>60960</xdr:rowOff>
        </xdr:to>
        <xdr:sp macro="" textlink="">
          <xdr:nvSpPr>
            <xdr:cNvPr id="29901" name="Control 205" hidden="1">
              <a:extLst>
                <a:ext uri="{63B3BB69-23CF-44E3-9099-C40C66FF867C}">
                  <a14:compatExt spid="_x0000_s29901"/>
                </a:ext>
                <a:ext uri="{FF2B5EF4-FFF2-40B4-BE49-F238E27FC236}">
                  <a16:creationId xmlns:a16="http://schemas.microsoft.com/office/drawing/2014/main" id="{00000000-0008-0000-0D00-0000C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228600</xdr:colOff>
          <xdr:row>64</xdr:row>
          <xdr:rowOff>60960</xdr:rowOff>
        </xdr:to>
        <xdr:sp macro="" textlink="">
          <xdr:nvSpPr>
            <xdr:cNvPr id="29902" name="Control 206" hidden="1">
              <a:extLst>
                <a:ext uri="{63B3BB69-23CF-44E3-9099-C40C66FF867C}">
                  <a14:compatExt spid="_x0000_s29902"/>
                </a:ext>
                <a:ext uri="{FF2B5EF4-FFF2-40B4-BE49-F238E27FC236}">
                  <a16:creationId xmlns:a16="http://schemas.microsoft.com/office/drawing/2014/main" id="{00000000-0008-0000-0D00-0000C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228600</xdr:colOff>
          <xdr:row>65</xdr:row>
          <xdr:rowOff>60960</xdr:rowOff>
        </xdr:to>
        <xdr:sp macro="" textlink="">
          <xdr:nvSpPr>
            <xdr:cNvPr id="29903" name="Control 207" hidden="1">
              <a:extLst>
                <a:ext uri="{63B3BB69-23CF-44E3-9099-C40C66FF867C}">
                  <a14:compatExt spid="_x0000_s29903"/>
                </a:ext>
                <a:ext uri="{FF2B5EF4-FFF2-40B4-BE49-F238E27FC236}">
                  <a16:creationId xmlns:a16="http://schemas.microsoft.com/office/drawing/2014/main" id="{00000000-0008-0000-0D00-0000C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228600</xdr:colOff>
          <xdr:row>66</xdr:row>
          <xdr:rowOff>60960</xdr:rowOff>
        </xdr:to>
        <xdr:sp macro="" textlink="">
          <xdr:nvSpPr>
            <xdr:cNvPr id="29904" name="Control 208" hidden="1">
              <a:extLst>
                <a:ext uri="{63B3BB69-23CF-44E3-9099-C40C66FF867C}">
                  <a14:compatExt spid="_x0000_s29904"/>
                </a:ext>
                <a:ext uri="{FF2B5EF4-FFF2-40B4-BE49-F238E27FC236}">
                  <a16:creationId xmlns:a16="http://schemas.microsoft.com/office/drawing/2014/main" id="{00000000-0008-0000-0D00-0000D0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228600</xdr:colOff>
          <xdr:row>67</xdr:row>
          <xdr:rowOff>60960</xdr:rowOff>
        </xdr:to>
        <xdr:sp macro="" textlink="">
          <xdr:nvSpPr>
            <xdr:cNvPr id="29905" name="Control 209" hidden="1">
              <a:extLst>
                <a:ext uri="{63B3BB69-23CF-44E3-9099-C40C66FF867C}">
                  <a14:compatExt spid="_x0000_s29905"/>
                </a:ext>
                <a:ext uri="{FF2B5EF4-FFF2-40B4-BE49-F238E27FC236}">
                  <a16:creationId xmlns:a16="http://schemas.microsoft.com/office/drawing/2014/main" id="{00000000-0008-0000-0D00-0000D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228600</xdr:colOff>
          <xdr:row>68</xdr:row>
          <xdr:rowOff>60960</xdr:rowOff>
        </xdr:to>
        <xdr:sp macro="" textlink="">
          <xdr:nvSpPr>
            <xdr:cNvPr id="29906" name="Control 210" hidden="1">
              <a:extLst>
                <a:ext uri="{63B3BB69-23CF-44E3-9099-C40C66FF867C}">
                  <a14:compatExt spid="_x0000_s29906"/>
                </a:ext>
                <a:ext uri="{FF2B5EF4-FFF2-40B4-BE49-F238E27FC236}">
                  <a16:creationId xmlns:a16="http://schemas.microsoft.com/office/drawing/2014/main" id="{00000000-0008-0000-0D00-0000D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228600</xdr:colOff>
          <xdr:row>69</xdr:row>
          <xdr:rowOff>60960</xdr:rowOff>
        </xdr:to>
        <xdr:sp macro="" textlink="">
          <xdr:nvSpPr>
            <xdr:cNvPr id="29907" name="Control 211" hidden="1">
              <a:extLst>
                <a:ext uri="{63B3BB69-23CF-44E3-9099-C40C66FF867C}">
                  <a14:compatExt spid="_x0000_s29907"/>
                </a:ext>
                <a:ext uri="{FF2B5EF4-FFF2-40B4-BE49-F238E27FC236}">
                  <a16:creationId xmlns:a16="http://schemas.microsoft.com/office/drawing/2014/main" id="{00000000-0008-0000-0D00-0000D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228600</xdr:colOff>
          <xdr:row>70</xdr:row>
          <xdr:rowOff>60960</xdr:rowOff>
        </xdr:to>
        <xdr:sp macro="" textlink="">
          <xdr:nvSpPr>
            <xdr:cNvPr id="29908" name="Control 212" hidden="1">
              <a:extLst>
                <a:ext uri="{63B3BB69-23CF-44E3-9099-C40C66FF867C}">
                  <a14:compatExt spid="_x0000_s29908"/>
                </a:ext>
                <a:ext uri="{FF2B5EF4-FFF2-40B4-BE49-F238E27FC236}">
                  <a16:creationId xmlns:a16="http://schemas.microsoft.com/office/drawing/2014/main" id="{00000000-0008-0000-0D00-0000D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228600</xdr:colOff>
          <xdr:row>71</xdr:row>
          <xdr:rowOff>60960</xdr:rowOff>
        </xdr:to>
        <xdr:sp macro="" textlink="">
          <xdr:nvSpPr>
            <xdr:cNvPr id="29909" name="Control 213" hidden="1">
              <a:extLst>
                <a:ext uri="{63B3BB69-23CF-44E3-9099-C40C66FF867C}">
                  <a14:compatExt spid="_x0000_s29909"/>
                </a:ext>
                <a:ext uri="{FF2B5EF4-FFF2-40B4-BE49-F238E27FC236}">
                  <a16:creationId xmlns:a16="http://schemas.microsoft.com/office/drawing/2014/main" id="{00000000-0008-0000-0D00-0000D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228600</xdr:colOff>
          <xdr:row>72</xdr:row>
          <xdr:rowOff>68580</xdr:rowOff>
        </xdr:to>
        <xdr:sp macro="" textlink="">
          <xdr:nvSpPr>
            <xdr:cNvPr id="29910" name="Control 214" hidden="1">
              <a:extLst>
                <a:ext uri="{63B3BB69-23CF-44E3-9099-C40C66FF867C}">
                  <a14:compatExt spid="_x0000_s29910"/>
                </a:ext>
                <a:ext uri="{FF2B5EF4-FFF2-40B4-BE49-F238E27FC236}">
                  <a16:creationId xmlns:a16="http://schemas.microsoft.com/office/drawing/2014/main" id="{00000000-0008-0000-0D00-0000D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228600</xdr:colOff>
          <xdr:row>73</xdr:row>
          <xdr:rowOff>60960</xdr:rowOff>
        </xdr:to>
        <xdr:sp macro="" textlink="">
          <xdr:nvSpPr>
            <xdr:cNvPr id="29911" name="Control 215" hidden="1">
              <a:extLst>
                <a:ext uri="{63B3BB69-23CF-44E3-9099-C40C66FF867C}">
                  <a14:compatExt spid="_x0000_s29911"/>
                </a:ext>
                <a:ext uri="{FF2B5EF4-FFF2-40B4-BE49-F238E27FC236}">
                  <a16:creationId xmlns:a16="http://schemas.microsoft.com/office/drawing/2014/main" id="{00000000-0008-0000-0D00-0000D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228600</xdr:colOff>
          <xdr:row>74</xdr:row>
          <xdr:rowOff>60960</xdr:rowOff>
        </xdr:to>
        <xdr:sp macro="" textlink="">
          <xdr:nvSpPr>
            <xdr:cNvPr id="29912" name="Control 216" hidden="1">
              <a:extLst>
                <a:ext uri="{63B3BB69-23CF-44E3-9099-C40C66FF867C}">
                  <a14:compatExt spid="_x0000_s29912"/>
                </a:ext>
                <a:ext uri="{FF2B5EF4-FFF2-40B4-BE49-F238E27FC236}">
                  <a16:creationId xmlns:a16="http://schemas.microsoft.com/office/drawing/2014/main" id="{00000000-0008-0000-0D00-0000D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228600</xdr:colOff>
          <xdr:row>75</xdr:row>
          <xdr:rowOff>60960</xdr:rowOff>
        </xdr:to>
        <xdr:sp macro="" textlink="">
          <xdr:nvSpPr>
            <xdr:cNvPr id="29913" name="Control 217" hidden="1">
              <a:extLst>
                <a:ext uri="{63B3BB69-23CF-44E3-9099-C40C66FF867C}">
                  <a14:compatExt spid="_x0000_s29913"/>
                </a:ext>
                <a:ext uri="{FF2B5EF4-FFF2-40B4-BE49-F238E27FC236}">
                  <a16:creationId xmlns:a16="http://schemas.microsoft.com/office/drawing/2014/main" id="{00000000-0008-0000-0D00-0000D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228600</xdr:colOff>
          <xdr:row>76</xdr:row>
          <xdr:rowOff>60960</xdr:rowOff>
        </xdr:to>
        <xdr:sp macro="" textlink="">
          <xdr:nvSpPr>
            <xdr:cNvPr id="29914" name="Control 218" hidden="1">
              <a:extLst>
                <a:ext uri="{63B3BB69-23CF-44E3-9099-C40C66FF867C}">
                  <a14:compatExt spid="_x0000_s29914"/>
                </a:ext>
                <a:ext uri="{FF2B5EF4-FFF2-40B4-BE49-F238E27FC236}">
                  <a16:creationId xmlns:a16="http://schemas.microsoft.com/office/drawing/2014/main" id="{00000000-0008-0000-0D00-0000D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228600</xdr:colOff>
          <xdr:row>77</xdr:row>
          <xdr:rowOff>60960</xdr:rowOff>
        </xdr:to>
        <xdr:sp macro="" textlink="">
          <xdr:nvSpPr>
            <xdr:cNvPr id="29915" name="Control 219" hidden="1">
              <a:extLst>
                <a:ext uri="{63B3BB69-23CF-44E3-9099-C40C66FF867C}">
                  <a14:compatExt spid="_x0000_s29915"/>
                </a:ext>
                <a:ext uri="{FF2B5EF4-FFF2-40B4-BE49-F238E27FC236}">
                  <a16:creationId xmlns:a16="http://schemas.microsoft.com/office/drawing/2014/main" id="{00000000-0008-0000-0D00-0000D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228600</xdr:colOff>
          <xdr:row>78</xdr:row>
          <xdr:rowOff>60960</xdr:rowOff>
        </xdr:to>
        <xdr:sp macro="" textlink="">
          <xdr:nvSpPr>
            <xdr:cNvPr id="29916" name="Control 220" hidden="1">
              <a:extLst>
                <a:ext uri="{63B3BB69-23CF-44E3-9099-C40C66FF867C}">
                  <a14:compatExt spid="_x0000_s29916"/>
                </a:ext>
                <a:ext uri="{FF2B5EF4-FFF2-40B4-BE49-F238E27FC236}">
                  <a16:creationId xmlns:a16="http://schemas.microsoft.com/office/drawing/2014/main" id="{00000000-0008-0000-0D00-0000D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228600</xdr:colOff>
          <xdr:row>79</xdr:row>
          <xdr:rowOff>60960</xdr:rowOff>
        </xdr:to>
        <xdr:sp macro="" textlink="">
          <xdr:nvSpPr>
            <xdr:cNvPr id="29917" name="Control 221" hidden="1">
              <a:extLst>
                <a:ext uri="{63B3BB69-23CF-44E3-9099-C40C66FF867C}">
                  <a14:compatExt spid="_x0000_s29917"/>
                </a:ext>
                <a:ext uri="{FF2B5EF4-FFF2-40B4-BE49-F238E27FC236}">
                  <a16:creationId xmlns:a16="http://schemas.microsoft.com/office/drawing/2014/main" id="{00000000-0008-0000-0D00-0000D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228600</xdr:colOff>
          <xdr:row>80</xdr:row>
          <xdr:rowOff>60960</xdr:rowOff>
        </xdr:to>
        <xdr:sp macro="" textlink="">
          <xdr:nvSpPr>
            <xdr:cNvPr id="29918" name="Control 222" hidden="1">
              <a:extLst>
                <a:ext uri="{63B3BB69-23CF-44E3-9099-C40C66FF867C}">
                  <a14:compatExt spid="_x0000_s29918"/>
                </a:ext>
                <a:ext uri="{FF2B5EF4-FFF2-40B4-BE49-F238E27FC236}">
                  <a16:creationId xmlns:a16="http://schemas.microsoft.com/office/drawing/2014/main" id="{00000000-0008-0000-0D00-0000D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228600</xdr:colOff>
          <xdr:row>81</xdr:row>
          <xdr:rowOff>60960</xdr:rowOff>
        </xdr:to>
        <xdr:sp macro="" textlink="">
          <xdr:nvSpPr>
            <xdr:cNvPr id="29919" name="Control 223" hidden="1">
              <a:extLst>
                <a:ext uri="{63B3BB69-23CF-44E3-9099-C40C66FF867C}">
                  <a14:compatExt spid="_x0000_s29919"/>
                </a:ext>
                <a:ext uri="{FF2B5EF4-FFF2-40B4-BE49-F238E27FC236}">
                  <a16:creationId xmlns:a16="http://schemas.microsoft.com/office/drawing/2014/main" id="{00000000-0008-0000-0D00-0000D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228600</xdr:colOff>
          <xdr:row>82</xdr:row>
          <xdr:rowOff>60960</xdr:rowOff>
        </xdr:to>
        <xdr:sp macro="" textlink="">
          <xdr:nvSpPr>
            <xdr:cNvPr id="29920" name="Control 224" hidden="1">
              <a:extLst>
                <a:ext uri="{63B3BB69-23CF-44E3-9099-C40C66FF867C}">
                  <a14:compatExt spid="_x0000_s29920"/>
                </a:ext>
                <a:ext uri="{FF2B5EF4-FFF2-40B4-BE49-F238E27FC236}">
                  <a16:creationId xmlns:a16="http://schemas.microsoft.com/office/drawing/2014/main" id="{00000000-0008-0000-0D00-0000E0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228600</xdr:colOff>
          <xdr:row>83</xdr:row>
          <xdr:rowOff>60960</xdr:rowOff>
        </xdr:to>
        <xdr:sp macro="" textlink="">
          <xdr:nvSpPr>
            <xdr:cNvPr id="29921" name="Control 225" hidden="1">
              <a:extLst>
                <a:ext uri="{63B3BB69-23CF-44E3-9099-C40C66FF867C}">
                  <a14:compatExt spid="_x0000_s29921"/>
                </a:ext>
                <a:ext uri="{FF2B5EF4-FFF2-40B4-BE49-F238E27FC236}">
                  <a16:creationId xmlns:a16="http://schemas.microsoft.com/office/drawing/2014/main" id="{00000000-0008-0000-0D00-0000E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228600</xdr:colOff>
          <xdr:row>84</xdr:row>
          <xdr:rowOff>60960</xdr:rowOff>
        </xdr:to>
        <xdr:sp macro="" textlink="">
          <xdr:nvSpPr>
            <xdr:cNvPr id="29922" name="Control 226" hidden="1">
              <a:extLst>
                <a:ext uri="{63B3BB69-23CF-44E3-9099-C40C66FF867C}">
                  <a14:compatExt spid="_x0000_s29922"/>
                </a:ext>
                <a:ext uri="{FF2B5EF4-FFF2-40B4-BE49-F238E27FC236}">
                  <a16:creationId xmlns:a16="http://schemas.microsoft.com/office/drawing/2014/main" id="{00000000-0008-0000-0D00-0000E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228600</xdr:colOff>
          <xdr:row>85</xdr:row>
          <xdr:rowOff>60960</xdr:rowOff>
        </xdr:to>
        <xdr:sp macro="" textlink="">
          <xdr:nvSpPr>
            <xdr:cNvPr id="29923" name="Control 227" hidden="1">
              <a:extLst>
                <a:ext uri="{63B3BB69-23CF-44E3-9099-C40C66FF867C}">
                  <a14:compatExt spid="_x0000_s29923"/>
                </a:ext>
                <a:ext uri="{FF2B5EF4-FFF2-40B4-BE49-F238E27FC236}">
                  <a16:creationId xmlns:a16="http://schemas.microsoft.com/office/drawing/2014/main" id="{00000000-0008-0000-0D00-0000E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228600</xdr:colOff>
          <xdr:row>86</xdr:row>
          <xdr:rowOff>60960</xdr:rowOff>
        </xdr:to>
        <xdr:sp macro="" textlink="">
          <xdr:nvSpPr>
            <xdr:cNvPr id="29924" name="Control 228" hidden="1">
              <a:extLst>
                <a:ext uri="{63B3BB69-23CF-44E3-9099-C40C66FF867C}">
                  <a14:compatExt spid="_x0000_s29924"/>
                </a:ext>
                <a:ext uri="{FF2B5EF4-FFF2-40B4-BE49-F238E27FC236}">
                  <a16:creationId xmlns:a16="http://schemas.microsoft.com/office/drawing/2014/main" id="{00000000-0008-0000-0D00-0000E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228600</xdr:colOff>
          <xdr:row>87</xdr:row>
          <xdr:rowOff>60960</xdr:rowOff>
        </xdr:to>
        <xdr:sp macro="" textlink="">
          <xdr:nvSpPr>
            <xdr:cNvPr id="29925" name="Control 229" hidden="1">
              <a:extLst>
                <a:ext uri="{63B3BB69-23CF-44E3-9099-C40C66FF867C}">
                  <a14:compatExt spid="_x0000_s29925"/>
                </a:ext>
                <a:ext uri="{FF2B5EF4-FFF2-40B4-BE49-F238E27FC236}">
                  <a16:creationId xmlns:a16="http://schemas.microsoft.com/office/drawing/2014/main" id="{00000000-0008-0000-0D00-0000E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228600</xdr:colOff>
          <xdr:row>88</xdr:row>
          <xdr:rowOff>60960</xdr:rowOff>
        </xdr:to>
        <xdr:sp macro="" textlink="">
          <xdr:nvSpPr>
            <xdr:cNvPr id="29926" name="Control 230" hidden="1">
              <a:extLst>
                <a:ext uri="{63B3BB69-23CF-44E3-9099-C40C66FF867C}">
                  <a14:compatExt spid="_x0000_s29926"/>
                </a:ext>
                <a:ext uri="{FF2B5EF4-FFF2-40B4-BE49-F238E27FC236}">
                  <a16:creationId xmlns:a16="http://schemas.microsoft.com/office/drawing/2014/main" id="{00000000-0008-0000-0D00-0000E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228600</xdr:colOff>
          <xdr:row>89</xdr:row>
          <xdr:rowOff>60960</xdr:rowOff>
        </xdr:to>
        <xdr:sp macro="" textlink="">
          <xdr:nvSpPr>
            <xdr:cNvPr id="29927" name="Control 231" hidden="1">
              <a:extLst>
                <a:ext uri="{63B3BB69-23CF-44E3-9099-C40C66FF867C}">
                  <a14:compatExt spid="_x0000_s29927"/>
                </a:ext>
                <a:ext uri="{FF2B5EF4-FFF2-40B4-BE49-F238E27FC236}">
                  <a16:creationId xmlns:a16="http://schemas.microsoft.com/office/drawing/2014/main" id="{00000000-0008-0000-0D00-0000E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228600</xdr:colOff>
          <xdr:row>90</xdr:row>
          <xdr:rowOff>60960</xdr:rowOff>
        </xdr:to>
        <xdr:sp macro="" textlink="">
          <xdr:nvSpPr>
            <xdr:cNvPr id="29928" name="Control 232" hidden="1">
              <a:extLst>
                <a:ext uri="{63B3BB69-23CF-44E3-9099-C40C66FF867C}">
                  <a14:compatExt spid="_x0000_s29928"/>
                </a:ext>
                <a:ext uri="{FF2B5EF4-FFF2-40B4-BE49-F238E27FC236}">
                  <a16:creationId xmlns:a16="http://schemas.microsoft.com/office/drawing/2014/main" id="{00000000-0008-0000-0D00-0000E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228600</xdr:colOff>
          <xdr:row>91</xdr:row>
          <xdr:rowOff>60960</xdr:rowOff>
        </xdr:to>
        <xdr:sp macro="" textlink="">
          <xdr:nvSpPr>
            <xdr:cNvPr id="29929" name="Control 233" hidden="1">
              <a:extLst>
                <a:ext uri="{63B3BB69-23CF-44E3-9099-C40C66FF867C}">
                  <a14:compatExt spid="_x0000_s29929"/>
                </a:ext>
                <a:ext uri="{FF2B5EF4-FFF2-40B4-BE49-F238E27FC236}">
                  <a16:creationId xmlns:a16="http://schemas.microsoft.com/office/drawing/2014/main" id="{00000000-0008-0000-0D00-0000E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228600</xdr:colOff>
          <xdr:row>92</xdr:row>
          <xdr:rowOff>60960</xdr:rowOff>
        </xdr:to>
        <xdr:sp macro="" textlink="">
          <xdr:nvSpPr>
            <xdr:cNvPr id="29930" name="Control 234" hidden="1">
              <a:extLst>
                <a:ext uri="{63B3BB69-23CF-44E3-9099-C40C66FF867C}">
                  <a14:compatExt spid="_x0000_s29930"/>
                </a:ext>
                <a:ext uri="{FF2B5EF4-FFF2-40B4-BE49-F238E27FC236}">
                  <a16:creationId xmlns:a16="http://schemas.microsoft.com/office/drawing/2014/main" id="{00000000-0008-0000-0D00-0000E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228600</xdr:colOff>
          <xdr:row>93</xdr:row>
          <xdr:rowOff>60960</xdr:rowOff>
        </xdr:to>
        <xdr:sp macro="" textlink="">
          <xdr:nvSpPr>
            <xdr:cNvPr id="29931" name="Control 235" hidden="1">
              <a:extLst>
                <a:ext uri="{63B3BB69-23CF-44E3-9099-C40C66FF867C}">
                  <a14:compatExt spid="_x0000_s29931"/>
                </a:ext>
                <a:ext uri="{FF2B5EF4-FFF2-40B4-BE49-F238E27FC236}">
                  <a16:creationId xmlns:a16="http://schemas.microsoft.com/office/drawing/2014/main" id="{00000000-0008-0000-0D00-0000E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228600</xdr:colOff>
          <xdr:row>94</xdr:row>
          <xdr:rowOff>60960</xdr:rowOff>
        </xdr:to>
        <xdr:sp macro="" textlink="">
          <xdr:nvSpPr>
            <xdr:cNvPr id="29932" name="Control 236" hidden="1">
              <a:extLst>
                <a:ext uri="{63B3BB69-23CF-44E3-9099-C40C66FF867C}">
                  <a14:compatExt spid="_x0000_s29932"/>
                </a:ext>
                <a:ext uri="{FF2B5EF4-FFF2-40B4-BE49-F238E27FC236}">
                  <a16:creationId xmlns:a16="http://schemas.microsoft.com/office/drawing/2014/main" id="{00000000-0008-0000-0D00-0000E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228600</xdr:colOff>
          <xdr:row>95</xdr:row>
          <xdr:rowOff>60960</xdr:rowOff>
        </xdr:to>
        <xdr:sp macro="" textlink="">
          <xdr:nvSpPr>
            <xdr:cNvPr id="29933" name="Control 237" hidden="1">
              <a:extLst>
                <a:ext uri="{63B3BB69-23CF-44E3-9099-C40C66FF867C}">
                  <a14:compatExt spid="_x0000_s29933"/>
                </a:ext>
                <a:ext uri="{FF2B5EF4-FFF2-40B4-BE49-F238E27FC236}">
                  <a16:creationId xmlns:a16="http://schemas.microsoft.com/office/drawing/2014/main" id="{00000000-0008-0000-0D00-0000E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228600</xdr:colOff>
          <xdr:row>96</xdr:row>
          <xdr:rowOff>60960</xdr:rowOff>
        </xdr:to>
        <xdr:sp macro="" textlink="">
          <xdr:nvSpPr>
            <xdr:cNvPr id="29934" name="Control 238" hidden="1">
              <a:extLst>
                <a:ext uri="{63B3BB69-23CF-44E3-9099-C40C66FF867C}">
                  <a14:compatExt spid="_x0000_s29934"/>
                </a:ext>
                <a:ext uri="{FF2B5EF4-FFF2-40B4-BE49-F238E27FC236}">
                  <a16:creationId xmlns:a16="http://schemas.microsoft.com/office/drawing/2014/main" id="{00000000-0008-0000-0D00-0000E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228600</xdr:colOff>
          <xdr:row>97</xdr:row>
          <xdr:rowOff>60960</xdr:rowOff>
        </xdr:to>
        <xdr:sp macro="" textlink="">
          <xdr:nvSpPr>
            <xdr:cNvPr id="29935" name="Control 239" hidden="1">
              <a:extLst>
                <a:ext uri="{63B3BB69-23CF-44E3-9099-C40C66FF867C}">
                  <a14:compatExt spid="_x0000_s29935"/>
                </a:ext>
                <a:ext uri="{FF2B5EF4-FFF2-40B4-BE49-F238E27FC236}">
                  <a16:creationId xmlns:a16="http://schemas.microsoft.com/office/drawing/2014/main" id="{00000000-0008-0000-0D00-0000E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228600</xdr:colOff>
          <xdr:row>98</xdr:row>
          <xdr:rowOff>60960</xdr:rowOff>
        </xdr:to>
        <xdr:sp macro="" textlink="">
          <xdr:nvSpPr>
            <xdr:cNvPr id="29936" name="Control 240" hidden="1">
              <a:extLst>
                <a:ext uri="{63B3BB69-23CF-44E3-9099-C40C66FF867C}">
                  <a14:compatExt spid="_x0000_s29936"/>
                </a:ext>
                <a:ext uri="{FF2B5EF4-FFF2-40B4-BE49-F238E27FC236}">
                  <a16:creationId xmlns:a16="http://schemas.microsoft.com/office/drawing/2014/main" id="{00000000-0008-0000-0D00-0000F0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228600</xdr:colOff>
          <xdr:row>99</xdr:row>
          <xdr:rowOff>60960</xdr:rowOff>
        </xdr:to>
        <xdr:sp macro="" textlink="">
          <xdr:nvSpPr>
            <xdr:cNvPr id="29937" name="Control 241" hidden="1">
              <a:extLst>
                <a:ext uri="{63B3BB69-23CF-44E3-9099-C40C66FF867C}">
                  <a14:compatExt spid="_x0000_s29937"/>
                </a:ext>
                <a:ext uri="{FF2B5EF4-FFF2-40B4-BE49-F238E27FC236}">
                  <a16:creationId xmlns:a16="http://schemas.microsoft.com/office/drawing/2014/main" id="{00000000-0008-0000-0D00-0000F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228600</xdr:colOff>
          <xdr:row>100</xdr:row>
          <xdr:rowOff>60960</xdr:rowOff>
        </xdr:to>
        <xdr:sp macro="" textlink="">
          <xdr:nvSpPr>
            <xdr:cNvPr id="29938" name="Control 242" hidden="1">
              <a:extLst>
                <a:ext uri="{63B3BB69-23CF-44E3-9099-C40C66FF867C}">
                  <a14:compatExt spid="_x0000_s29938"/>
                </a:ext>
                <a:ext uri="{FF2B5EF4-FFF2-40B4-BE49-F238E27FC236}">
                  <a16:creationId xmlns:a16="http://schemas.microsoft.com/office/drawing/2014/main" id="{00000000-0008-0000-0D00-0000F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228600</xdr:colOff>
          <xdr:row>101</xdr:row>
          <xdr:rowOff>60960</xdr:rowOff>
        </xdr:to>
        <xdr:sp macro="" textlink="">
          <xdr:nvSpPr>
            <xdr:cNvPr id="29939" name="Control 243" hidden="1">
              <a:extLst>
                <a:ext uri="{63B3BB69-23CF-44E3-9099-C40C66FF867C}">
                  <a14:compatExt spid="_x0000_s29939"/>
                </a:ext>
                <a:ext uri="{FF2B5EF4-FFF2-40B4-BE49-F238E27FC236}">
                  <a16:creationId xmlns:a16="http://schemas.microsoft.com/office/drawing/2014/main" id="{00000000-0008-0000-0D00-0000F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228600</xdr:colOff>
          <xdr:row>102</xdr:row>
          <xdr:rowOff>60960</xdr:rowOff>
        </xdr:to>
        <xdr:sp macro="" textlink="">
          <xdr:nvSpPr>
            <xdr:cNvPr id="29940" name="Control 244" hidden="1">
              <a:extLst>
                <a:ext uri="{63B3BB69-23CF-44E3-9099-C40C66FF867C}">
                  <a14:compatExt spid="_x0000_s29940"/>
                </a:ext>
                <a:ext uri="{FF2B5EF4-FFF2-40B4-BE49-F238E27FC236}">
                  <a16:creationId xmlns:a16="http://schemas.microsoft.com/office/drawing/2014/main" id="{00000000-0008-0000-0D00-0000F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228600</xdr:colOff>
          <xdr:row>103</xdr:row>
          <xdr:rowOff>60960</xdr:rowOff>
        </xdr:to>
        <xdr:sp macro="" textlink="">
          <xdr:nvSpPr>
            <xdr:cNvPr id="29941" name="Control 245" hidden="1">
              <a:extLst>
                <a:ext uri="{63B3BB69-23CF-44E3-9099-C40C66FF867C}">
                  <a14:compatExt spid="_x0000_s29941"/>
                </a:ext>
                <a:ext uri="{FF2B5EF4-FFF2-40B4-BE49-F238E27FC236}">
                  <a16:creationId xmlns:a16="http://schemas.microsoft.com/office/drawing/2014/main" id="{00000000-0008-0000-0D00-0000F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228600</xdr:colOff>
          <xdr:row>104</xdr:row>
          <xdr:rowOff>60960</xdr:rowOff>
        </xdr:to>
        <xdr:sp macro="" textlink="">
          <xdr:nvSpPr>
            <xdr:cNvPr id="29942" name="Control 246" hidden="1">
              <a:extLst>
                <a:ext uri="{63B3BB69-23CF-44E3-9099-C40C66FF867C}">
                  <a14:compatExt spid="_x0000_s29942"/>
                </a:ext>
                <a:ext uri="{FF2B5EF4-FFF2-40B4-BE49-F238E27FC236}">
                  <a16:creationId xmlns:a16="http://schemas.microsoft.com/office/drawing/2014/main" id="{00000000-0008-0000-0D00-0000F6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228600</xdr:colOff>
          <xdr:row>105</xdr:row>
          <xdr:rowOff>60960</xdr:rowOff>
        </xdr:to>
        <xdr:sp macro="" textlink="">
          <xdr:nvSpPr>
            <xdr:cNvPr id="29943" name="Control 247" hidden="1">
              <a:extLst>
                <a:ext uri="{63B3BB69-23CF-44E3-9099-C40C66FF867C}">
                  <a14:compatExt spid="_x0000_s29943"/>
                </a:ext>
                <a:ext uri="{FF2B5EF4-FFF2-40B4-BE49-F238E27FC236}">
                  <a16:creationId xmlns:a16="http://schemas.microsoft.com/office/drawing/2014/main" id="{00000000-0008-0000-0D00-0000F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228600</xdr:colOff>
          <xdr:row>106</xdr:row>
          <xdr:rowOff>60960</xdr:rowOff>
        </xdr:to>
        <xdr:sp macro="" textlink="">
          <xdr:nvSpPr>
            <xdr:cNvPr id="29944" name="Control 248" hidden="1">
              <a:extLst>
                <a:ext uri="{63B3BB69-23CF-44E3-9099-C40C66FF867C}">
                  <a14:compatExt spid="_x0000_s29944"/>
                </a:ext>
                <a:ext uri="{FF2B5EF4-FFF2-40B4-BE49-F238E27FC236}">
                  <a16:creationId xmlns:a16="http://schemas.microsoft.com/office/drawing/2014/main" id="{00000000-0008-0000-0D00-0000F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228600</xdr:colOff>
          <xdr:row>107</xdr:row>
          <xdr:rowOff>60960</xdr:rowOff>
        </xdr:to>
        <xdr:sp macro="" textlink="">
          <xdr:nvSpPr>
            <xdr:cNvPr id="29945" name="Control 249" hidden="1">
              <a:extLst>
                <a:ext uri="{63B3BB69-23CF-44E3-9099-C40C66FF867C}">
                  <a14:compatExt spid="_x0000_s29945"/>
                </a:ext>
                <a:ext uri="{FF2B5EF4-FFF2-40B4-BE49-F238E27FC236}">
                  <a16:creationId xmlns:a16="http://schemas.microsoft.com/office/drawing/2014/main" id="{00000000-0008-0000-0D00-0000F9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228600</xdr:colOff>
          <xdr:row>108</xdr:row>
          <xdr:rowOff>60960</xdr:rowOff>
        </xdr:to>
        <xdr:sp macro="" textlink="">
          <xdr:nvSpPr>
            <xdr:cNvPr id="29946" name="Control 250" hidden="1">
              <a:extLst>
                <a:ext uri="{63B3BB69-23CF-44E3-9099-C40C66FF867C}">
                  <a14:compatExt spid="_x0000_s29946"/>
                </a:ext>
                <a:ext uri="{FF2B5EF4-FFF2-40B4-BE49-F238E27FC236}">
                  <a16:creationId xmlns:a16="http://schemas.microsoft.com/office/drawing/2014/main" id="{00000000-0008-0000-0D00-0000F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228600</xdr:colOff>
          <xdr:row>109</xdr:row>
          <xdr:rowOff>60960</xdr:rowOff>
        </xdr:to>
        <xdr:sp macro="" textlink="">
          <xdr:nvSpPr>
            <xdr:cNvPr id="29947" name="Control 251" hidden="1">
              <a:extLst>
                <a:ext uri="{63B3BB69-23CF-44E3-9099-C40C66FF867C}">
                  <a14:compatExt spid="_x0000_s29947"/>
                </a:ext>
                <a:ext uri="{FF2B5EF4-FFF2-40B4-BE49-F238E27FC236}">
                  <a16:creationId xmlns:a16="http://schemas.microsoft.com/office/drawing/2014/main" id="{00000000-0008-0000-0D00-0000F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228600</xdr:colOff>
          <xdr:row>110</xdr:row>
          <xdr:rowOff>60960</xdr:rowOff>
        </xdr:to>
        <xdr:sp macro="" textlink="">
          <xdr:nvSpPr>
            <xdr:cNvPr id="29948" name="Control 252" hidden="1">
              <a:extLst>
                <a:ext uri="{63B3BB69-23CF-44E3-9099-C40C66FF867C}">
                  <a14:compatExt spid="_x0000_s29948"/>
                </a:ext>
                <a:ext uri="{FF2B5EF4-FFF2-40B4-BE49-F238E27FC236}">
                  <a16:creationId xmlns:a16="http://schemas.microsoft.com/office/drawing/2014/main" id="{00000000-0008-0000-0D00-0000FC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228600</xdr:colOff>
          <xdr:row>111</xdr:row>
          <xdr:rowOff>60960</xdr:rowOff>
        </xdr:to>
        <xdr:sp macro="" textlink="">
          <xdr:nvSpPr>
            <xdr:cNvPr id="29949" name="Control 253" hidden="1">
              <a:extLst>
                <a:ext uri="{63B3BB69-23CF-44E3-9099-C40C66FF867C}">
                  <a14:compatExt spid="_x0000_s29949"/>
                </a:ext>
                <a:ext uri="{FF2B5EF4-FFF2-40B4-BE49-F238E27FC236}">
                  <a16:creationId xmlns:a16="http://schemas.microsoft.com/office/drawing/2014/main" id="{00000000-0008-0000-0D00-0000FD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228600</xdr:colOff>
          <xdr:row>112</xdr:row>
          <xdr:rowOff>60960</xdr:rowOff>
        </xdr:to>
        <xdr:sp macro="" textlink="">
          <xdr:nvSpPr>
            <xdr:cNvPr id="29950" name="Control 254" hidden="1">
              <a:extLst>
                <a:ext uri="{63B3BB69-23CF-44E3-9099-C40C66FF867C}">
                  <a14:compatExt spid="_x0000_s29950"/>
                </a:ext>
                <a:ext uri="{FF2B5EF4-FFF2-40B4-BE49-F238E27FC236}">
                  <a16:creationId xmlns:a16="http://schemas.microsoft.com/office/drawing/2014/main" id="{00000000-0008-0000-0D00-0000FE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228600</xdr:colOff>
          <xdr:row>113</xdr:row>
          <xdr:rowOff>60960</xdr:rowOff>
        </xdr:to>
        <xdr:sp macro="" textlink="">
          <xdr:nvSpPr>
            <xdr:cNvPr id="29951" name="Control 255" hidden="1">
              <a:extLst>
                <a:ext uri="{63B3BB69-23CF-44E3-9099-C40C66FF867C}">
                  <a14:compatExt spid="_x0000_s29951"/>
                </a:ext>
                <a:ext uri="{FF2B5EF4-FFF2-40B4-BE49-F238E27FC236}">
                  <a16:creationId xmlns:a16="http://schemas.microsoft.com/office/drawing/2014/main" id="{00000000-0008-0000-0D00-0000FF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228600</xdr:colOff>
          <xdr:row>114</xdr:row>
          <xdr:rowOff>60960</xdr:rowOff>
        </xdr:to>
        <xdr:sp macro="" textlink="">
          <xdr:nvSpPr>
            <xdr:cNvPr id="29952" name="Control 256" hidden="1">
              <a:extLst>
                <a:ext uri="{63B3BB69-23CF-44E3-9099-C40C66FF867C}">
                  <a14:compatExt spid="_x0000_s29952"/>
                </a:ext>
                <a:ext uri="{FF2B5EF4-FFF2-40B4-BE49-F238E27FC236}">
                  <a16:creationId xmlns:a16="http://schemas.microsoft.com/office/drawing/2014/main" id="{00000000-0008-0000-0D00-000000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228600</xdr:colOff>
          <xdr:row>115</xdr:row>
          <xdr:rowOff>60960</xdr:rowOff>
        </xdr:to>
        <xdr:sp macro="" textlink="">
          <xdr:nvSpPr>
            <xdr:cNvPr id="29953" name="Control 257" hidden="1">
              <a:extLst>
                <a:ext uri="{63B3BB69-23CF-44E3-9099-C40C66FF867C}">
                  <a14:compatExt spid="_x0000_s29953"/>
                </a:ext>
                <a:ext uri="{FF2B5EF4-FFF2-40B4-BE49-F238E27FC236}">
                  <a16:creationId xmlns:a16="http://schemas.microsoft.com/office/drawing/2014/main" id="{00000000-0008-0000-0D00-000001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228600</xdr:colOff>
          <xdr:row>116</xdr:row>
          <xdr:rowOff>60960</xdr:rowOff>
        </xdr:to>
        <xdr:sp macro="" textlink="">
          <xdr:nvSpPr>
            <xdr:cNvPr id="29954" name="Control 258" hidden="1">
              <a:extLst>
                <a:ext uri="{63B3BB69-23CF-44E3-9099-C40C66FF867C}">
                  <a14:compatExt spid="_x0000_s29954"/>
                </a:ext>
                <a:ext uri="{FF2B5EF4-FFF2-40B4-BE49-F238E27FC236}">
                  <a16:creationId xmlns:a16="http://schemas.microsoft.com/office/drawing/2014/main" id="{00000000-0008-0000-0D00-000002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228600</xdr:colOff>
          <xdr:row>117</xdr:row>
          <xdr:rowOff>60960</xdr:rowOff>
        </xdr:to>
        <xdr:sp macro="" textlink="">
          <xdr:nvSpPr>
            <xdr:cNvPr id="29955" name="Control 259" hidden="1">
              <a:extLst>
                <a:ext uri="{63B3BB69-23CF-44E3-9099-C40C66FF867C}">
                  <a14:compatExt spid="_x0000_s29955"/>
                </a:ext>
                <a:ext uri="{FF2B5EF4-FFF2-40B4-BE49-F238E27FC236}">
                  <a16:creationId xmlns:a16="http://schemas.microsoft.com/office/drawing/2014/main" id="{00000000-0008-0000-0D00-000003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228600</xdr:colOff>
          <xdr:row>118</xdr:row>
          <xdr:rowOff>60960</xdr:rowOff>
        </xdr:to>
        <xdr:sp macro="" textlink="">
          <xdr:nvSpPr>
            <xdr:cNvPr id="29956" name="Control 260" hidden="1">
              <a:extLst>
                <a:ext uri="{63B3BB69-23CF-44E3-9099-C40C66FF867C}">
                  <a14:compatExt spid="_x0000_s29956"/>
                </a:ext>
                <a:ext uri="{FF2B5EF4-FFF2-40B4-BE49-F238E27FC236}">
                  <a16:creationId xmlns:a16="http://schemas.microsoft.com/office/drawing/2014/main" id="{00000000-0008-0000-0D00-000004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228600</xdr:colOff>
          <xdr:row>119</xdr:row>
          <xdr:rowOff>60960</xdr:rowOff>
        </xdr:to>
        <xdr:sp macro="" textlink="">
          <xdr:nvSpPr>
            <xdr:cNvPr id="29957" name="Control 261" hidden="1">
              <a:extLst>
                <a:ext uri="{63B3BB69-23CF-44E3-9099-C40C66FF867C}">
                  <a14:compatExt spid="_x0000_s29957"/>
                </a:ext>
                <a:ext uri="{FF2B5EF4-FFF2-40B4-BE49-F238E27FC236}">
                  <a16:creationId xmlns:a16="http://schemas.microsoft.com/office/drawing/2014/main" id="{00000000-0008-0000-0D00-000005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228600</xdr:colOff>
          <xdr:row>120</xdr:row>
          <xdr:rowOff>60960</xdr:rowOff>
        </xdr:to>
        <xdr:sp macro="" textlink="">
          <xdr:nvSpPr>
            <xdr:cNvPr id="29958" name="Control 262" hidden="1">
              <a:extLst>
                <a:ext uri="{63B3BB69-23CF-44E3-9099-C40C66FF867C}">
                  <a14:compatExt spid="_x0000_s29958"/>
                </a:ext>
                <a:ext uri="{FF2B5EF4-FFF2-40B4-BE49-F238E27FC236}">
                  <a16:creationId xmlns:a16="http://schemas.microsoft.com/office/drawing/2014/main" id="{00000000-0008-0000-0D00-000006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228600</xdr:colOff>
          <xdr:row>121</xdr:row>
          <xdr:rowOff>60960</xdr:rowOff>
        </xdr:to>
        <xdr:sp macro="" textlink="">
          <xdr:nvSpPr>
            <xdr:cNvPr id="29959" name="Control 263" hidden="1">
              <a:extLst>
                <a:ext uri="{63B3BB69-23CF-44E3-9099-C40C66FF867C}">
                  <a14:compatExt spid="_x0000_s29959"/>
                </a:ext>
                <a:ext uri="{FF2B5EF4-FFF2-40B4-BE49-F238E27FC236}">
                  <a16:creationId xmlns:a16="http://schemas.microsoft.com/office/drawing/2014/main" id="{00000000-0008-0000-0D00-000007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228600</xdr:colOff>
          <xdr:row>122</xdr:row>
          <xdr:rowOff>60960</xdr:rowOff>
        </xdr:to>
        <xdr:sp macro="" textlink="">
          <xdr:nvSpPr>
            <xdr:cNvPr id="29960" name="Control 264" hidden="1">
              <a:extLst>
                <a:ext uri="{63B3BB69-23CF-44E3-9099-C40C66FF867C}">
                  <a14:compatExt spid="_x0000_s29960"/>
                </a:ext>
                <a:ext uri="{FF2B5EF4-FFF2-40B4-BE49-F238E27FC236}">
                  <a16:creationId xmlns:a16="http://schemas.microsoft.com/office/drawing/2014/main" id="{00000000-0008-0000-0D00-000008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228600</xdr:colOff>
          <xdr:row>123</xdr:row>
          <xdr:rowOff>60960</xdr:rowOff>
        </xdr:to>
        <xdr:sp macro="" textlink="">
          <xdr:nvSpPr>
            <xdr:cNvPr id="29961" name="Control 265" hidden="1">
              <a:extLst>
                <a:ext uri="{63B3BB69-23CF-44E3-9099-C40C66FF867C}">
                  <a14:compatExt spid="_x0000_s29961"/>
                </a:ext>
                <a:ext uri="{FF2B5EF4-FFF2-40B4-BE49-F238E27FC236}">
                  <a16:creationId xmlns:a16="http://schemas.microsoft.com/office/drawing/2014/main" id="{00000000-0008-0000-0D00-000009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228600</xdr:colOff>
          <xdr:row>124</xdr:row>
          <xdr:rowOff>60960</xdr:rowOff>
        </xdr:to>
        <xdr:sp macro="" textlink="">
          <xdr:nvSpPr>
            <xdr:cNvPr id="29962" name="Control 266" hidden="1">
              <a:extLst>
                <a:ext uri="{63B3BB69-23CF-44E3-9099-C40C66FF867C}">
                  <a14:compatExt spid="_x0000_s29962"/>
                </a:ext>
                <a:ext uri="{FF2B5EF4-FFF2-40B4-BE49-F238E27FC236}">
                  <a16:creationId xmlns:a16="http://schemas.microsoft.com/office/drawing/2014/main" id="{00000000-0008-0000-0D00-00000A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228600</xdr:colOff>
          <xdr:row>135</xdr:row>
          <xdr:rowOff>60960</xdr:rowOff>
        </xdr:to>
        <xdr:sp macro="" textlink="">
          <xdr:nvSpPr>
            <xdr:cNvPr id="29963" name="Control 267" hidden="1">
              <a:extLst>
                <a:ext uri="{63B3BB69-23CF-44E3-9099-C40C66FF867C}">
                  <a14:compatExt spid="_x0000_s29963"/>
                </a:ext>
                <a:ext uri="{FF2B5EF4-FFF2-40B4-BE49-F238E27FC236}">
                  <a16:creationId xmlns:a16="http://schemas.microsoft.com/office/drawing/2014/main" id="{00000000-0008-0000-0D00-00000B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228600</xdr:colOff>
          <xdr:row>136</xdr:row>
          <xdr:rowOff>60960</xdr:rowOff>
        </xdr:to>
        <xdr:sp macro="" textlink="">
          <xdr:nvSpPr>
            <xdr:cNvPr id="29964" name="Control 268" hidden="1">
              <a:extLst>
                <a:ext uri="{63B3BB69-23CF-44E3-9099-C40C66FF867C}">
                  <a14:compatExt spid="_x0000_s29964"/>
                </a:ext>
                <a:ext uri="{FF2B5EF4-FFF2-40B4-BE49-F238E27FC236}">
                  <a16:creationId xmlns:a16="http://schemas.microsoft.com/office/drawing/2014/main" id="{00000000-0008-0000-0D00-00000C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228600</xdr:colOff>
          <xdr:row>137</xdr:row>
          <xdr:rowOff>60960</xdr:rowOff>
        </xdr:to>
        <xdr:sp macro="" textlink="">
          <xdr:nvSpPr>
            <xdr:cNvPr id="29965" name="Control 269" hidden="1">
              <a:extLst>
                <a:ext uri="{63B3BB69-23CF-44E3-9099-C40C66FF867C}">
                  <a14:compatExt spid="_x0000_s29965"/>
                </a:ext>
                <a:ext uri="{FF2B5EF4-FFF2-40B4-BE49-F238E27FC236}">
                  <a16:creationId xmlns:a16="http://schemas.microsoft.com/office/drawing/2014/main" id="{00000000-0008-0000-0D00-00000D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228600</xdr:colOff>
          <xdr:row>138</xdr:row>
          <xdr:rowOff>60960</xdr:rowOff>
        </xdr:to>
        <xdr:sp macro="" textlink="">
          <xdr:nvSpPr>
            <xdr:cNvPr id="29966" name="Control 270" hidden="1">
              <a:extLst>
                <a:ext uri="{63B3BB69-23CF-44E3-9099-C40C66FF867C}">
                  <a14:compatExt spid="_x0000_s29966"/>
                </a:ext>
                <a:ext uri="{FF2B5EF4-FFF2-40B4-BE49-F238E27FC236}">
                  <a16:creationId xmlns:a16="http://schemas.microsoft.com/office/drawing/2014/main" id="{00000000-0008-0000-0D00-00000E7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60960</xdr:rowOff>
        </xdr:to>
        <xdr:sp macro="" textlink="">
          <xdr:nvSpPr>
            <xdr:cNvPr id="12289" name="Control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1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60960</xdr:rowOff>
        </xdr:to>
        <xdr:sp macro="" textlink="">
          <xdr:nvSpPr>
            <xdr:cNvPr id="12290" name="Control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10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12291" name="Control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10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12292" name="Control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10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12293" name="Control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10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12294" name="Control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10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12295" name="Control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10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12296" name="Control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10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228600</xdr:colOff>
          <xdr:row>1</xdr:row>
          <xdr:rowOff>60960</xdr:rowOff>
        </xdr:to>
        <xdr:sp macro="" textlink="">
          <xdr:nvSpPr>
            <xdr:cNvPr id="65660" name="Control 124" hidden="1">
              <a:extLst>
                <a:ext uri="{63B3BB69-23CF-44E3-9099-C40C66FF867C}">
                  <a14:compatExt spid="_x0000_s65660"/>
                </a:ext>
                <a:ext uri="{FF2B5EF4-FFF2-40B4-BE49-F238E27FC236}">
                  <a16:creationId xmlns:a16="http://schemas.microsoft.com/office/drawing/2014/main" id="{00000000-0008-0000-1200-00007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1</xdr:row>
      <xdr:rowOff>0</xdr:rowOff>
    </xdr:from>
    <xdr:to>
      <xdr:col>2</xdr:col>
      <xdr:colOff>114300</xdr:colOff>
      <xdr:row>2</xdr:row>
      <xdr:rowOff>15240</xdr:rowOff>
    </xdr:to>
    <xdr:pic>
      <xdr:nvPicPr>
        <xdr:cNvPr id="14" name="Imagem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1BCCA4-96D4-5B70-3518-CB23ADB4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57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114300</xdr:colOff>
      <xdr:row>2</xdr:row>
      <xdr:rowOff>15240</xdr:rowOff>
    </xdr:to>
    <xdr:pic>
      <xdr:nvPicPr>
        <xdr:cNvPr id="15" name="Imagem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D2BC4C4-E516-2A8F-6C76-4C32F4C81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3657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114300</xdr:colOff>
      <xdr:row>2</xdr:row>
      <xdr:rowOff>15240</xdr:rowOff>
    </xdr:to>
    <xdr:pic>
      <xdr:nvPicPr>
        <xdr:cNvPr id="16" name="Imagem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BFF1A3B-292A-3F6C-8906-26E66EC61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57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114300</xdr:colOff>
      <xdr:row>2</xdr:row>
      <xdr:rowOff>15240</xdr:rowOff>
    </xdr:to>
    <xdr:pic>
      <xdr:nvPicPr>
        <xdr:cNvPr id="17" name="Imagem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E402F32-FB1A-0AFE-9E87-7ACAC089E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3657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114300</xdr:colOff>
      <xdr:row>2</xdr:row>
      <xdr:rowOff>15240</xdr:rowOff>
    </xdr:to>
    <xdr:pic>
      <xdr:nvPicPr>
        <xdr:cNvPr id="18" name="Imagem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DF20F8-8C83-C784-4AAB-504B158CA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657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114300</xdr:colOff>
      <xdr:row>3</xdr:row>
      <xdr:rowOff>7620</xdr:rowOff>
    </xdr:to>
    <xdr:pic>
      <xdr:nvPicPr>
        <xdr:cNvPr id="19" name="Imagem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B88B81A-9279-526A-0A5D-A2C5528DC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3152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7620</xdr:rowOff>
    </xdr:from>
    <xdr:to>
      <xdr:col>6</xdr:col>
      <xdr:colOff>152400</xdr:colOff>
      <xdr:row>3</xdr:row>
      <xdr:rowOff>160020</xdr:rowOff>
    </xdr:to>
    <xdr:pic>
      <xdr:nvPicPr>
        <xdr:cNvPr id="20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B51E94C-DC09-3872-500C-2B80F437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2964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5</xdr:row>
      <xdr:rowOff>7620</xdr:rowOff>
    </xdr:to>
    <xdr:pic>
      <xdr:nvPicPr>
        <xdr:cNvPr id="21" name="Imagem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564158-9201-5C51-4907-12F1A1A8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5</xdr:row>
      <xdr:rowOff>7620</xdr:rowOff>
    </xdr:to>
    <xdr:pic>
      <xdr:nvPicPr>
        <xdr:cNvPr id="22" name="Imagem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94A5300-393F-4231-2B7E-88104DB3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114300</xdr:colOff>
      <xdr:row>5</xdr:row>
      <xdr:rowOff>7620</xdr:rowOff>
    </xdr:to>
    <xdr:pic>
      <xdr:nvPicPr>
        <xdr:cNvPr id="23" name="Imagem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B11B151-49BE-E2D4-12D0-CB9579B40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114300</xdr:colOff>
      <xdr:row>4</xdr:row>
      <xdr:rowOff>15240</xdr:rowOff>
    </xdr:to>
    <xdr:pic>
      <xdr:nvPicPr>
        <xdr:cNvPr id="24" name="Imagem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4C581EF-2569-E05C-1A88-BEAECF6A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2202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114300</xdr:colOff>
      <xdr:row>4</xdr:row>
      <xdr:rowOff>15240</xdr:rowOff>
    </xdr:to>
    <xdr:pic>
      <xdr:nvPicPr>
        <xdr:cNvPr id="25" name="Imagem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BA4BC53-C114-6B18-0EFE-AC0CDAAB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2202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65673" name="Control 137" hidden="1">
              <a:extLst>
                <a:ext uri="{63B3BB69-23CF-44E3-9099-C40C66FF867C}">
                  <a14:compatExt spid="_x0000_s65673"/>
                </a:ext>
                <a:ext uri="{FF2B5EF4-FFF2-40B4-BE49-F238E27FC236}">
                  <a16:creationId xmlns:a16="http://schemas.microsoft.com/office/drawing/2014/main" id="{00000000-0008-0000-1200-000089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60960</xdr:rowOff>
        </xdr:to>
        <xdr:sp macro="" textlink="">
          <xdr:nvSpPr>
            <xdr:cNvPr id="65674" name="Control 138" hidden="1">
              <a:extLst>
                <a:ext uri="{63B3BB69-23CF-44E3-9099-C40C66FF867C}">
                  <a14:compatExt spid="_x0000_s65674"/>
                </a:ext>
                <a:ext uri="{FF2B5EF4-FFF2-40B4-BE49-F238E27FC236}">
                  <a16:creationId xmlns:a16="http://schemas.microsoft.com/office/drawing/2014/main" id="{00000000-0008-0000-1200-00008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60960</xdr:rowOff>
        </xdr:to>
        <xdr:sp macro="" textlink="">
          <xdr:nvSpPr>
            <xdr:cNvPr id="65675" name="Control 139" hidden="1">
              <a:extLst>
                <a:ext uri="{63B3BB69-23CF-44E3-9099-C40C66FF867C}">
                  <a14:compatExt spid="_x0000_s65675"/>
                </a:ext>
                <a:ext uri="{FF2B5EF4-FFF2-40B4-BE49-F238E27FC236}">
                  <a16:creationId xmlns:a16="http://schemas.microsoft.com/office/drawing/2014/main" id="{00000000-0008-0000-1200-00008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60960</xdr:rowOff>
        </xdr:to>
        <xdr:sp macro="" textlink="">
          <xdr:nvSpPr>
            <xdr:cNvPr id="65676" name="Control 140" hidden="1">
              <a:extLst>
                <a:ext uri="{63B3BB69-23CF-44E3-9099-C40C66FF867C}">
                  <a14:compatExt spid="_x0000_s65676"/>
                </a:ext>
                <a:ext uri="{FF2B5EF4-FFF2-40B4-BE49-F238E27FC236}">
                  <a16:creationId xmlns:a16="http://schemas.microsoft.com/office/drawing/2014/main" id="{00000000-0008-0000-1200-00008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228600</xdr:colOff>
          <xdr:row>10</xdr:row>
          <xdr:rowOff>60960</xdr:rowOff>
        </xdr:to>
        <xdr:sp macro="" textlink="">
          <xdr:nvSpPr>
            <xdr:cNvPr id="65677" name="Control 141" hidden="1">
              <a:extLst>
                <a:ext uri="{63B3BB69-23CF-44E3-9099-C40C66FF867C}">
                  <a14:compatExt spid="_x0000_s65677"/>
                </a:ext>
                <a:ext uri="{FF2B5EF4-FFF2-40B4-BE49-F238E27FC236}">
                  <a16:creationId xmlns:a16="http://schemas.microsoft.com/office/drawing/2014/main" id="{00000000-0008-0000-1200-00008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228600</xdr:colOff>
          <xdr:row>11</xdr:row>
          <xdr:rowOff>60960</xdr:rowOff>
        </xdr:to>
        <xdr:sp macro="" textlink="">
          <xdr:nvSpPr>
            <xdr:cNvPr id="65678" name="Control 142" hidden="1">
              <a:extLst>
                <a:ext uri="{63B3BB69-23CF-44E3-9099-C40C66FF867C}">
                  <a14:compatExt spid="_x0000_s65678"/>
                </a:ext>
                <a:ext uri="{FF2B5EF4-FFF2-40B4-BE49-F238E27FC236}">
                  <a16:creationId xmlns:a16="http://schemas.microsoft.com/office/drawing/2014/main" id="{00000000-0008-0000-1200-00008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228600</xdr:colOff>
          <xdr:row>12</xdr:row>
          <xdr:rowOff>60960</xdr:rowOff>
        </xdr:to>
        <xdr:sp macro="" textlink="">
          <xdr:nvSpPr>
            <xdr:cNvPr id="65679" name="Control 143" hidden="1">
              <a:extLst>
                <a:ext uri="{63B3BB69-23CF-44E3-9099-C40C66FF867C}">
                  <a14:compatExt spid="_x0000_s65679"/>
                </a:ext>
                <a:ext uri="{FF2B5EF4-FFF2-40B4-BE49-F238E27FC236}">
                  <a16:creationId xmlns:a16="http://schemas.microsoft.com/office/drawing/2014/main" id="{00000000-0008-0000-1200-00008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228600</xdr:colOff>
          <xdr:row>13</xdr:row>
          <xdr:rowOff>60960</xdr:rowOff>
        </xdr:to>
        <xdr:sp macro="" textlink="">
          <xdr:nvSpPr>
            <xdr:cNvPr id="65680" name="Control 144" hidden="1">
              <a:extLst>
                <a:ext uri="{63B3BB69-23CF-44E3-9099-C40C66FF867C}">
                  <a14:compatExt spid="_x0000_s65680"/>
                </a:ext>
                <a:ext uri="{FF2B5EF4-FFF2-40B4-BE49-F238E27FC236}">
                  <a16:creationId xmlns:a16="http://schemas.microsoft.com/office/drawing/2014/main" id="{00000000-0008-0000-1200-00009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228600</xdr:colOff>
          <xdr:row>14</xdr:row>
          <xdr:rowOff>60960</xdr:rowOff>
        </xdr:to>
        <xdr:sp macro="" textlink="">
          <xdr:nvSpPr>
            <xdr:cNvPr id="65681" name="Control 145" hidden="1">
              <a:extLst>
                <a:ext uri="{63B3BB69-23CF-44E3-9099-C40C66FF867C}">
                  <a14:compatExt spid="_x0000_s65681"/>
                </a:ext>
                <a:ext uri="{FF2B5EF4-FFF2-40B4-BE49-F238E27FC236}">
                  <a16:creationId xmlns:a16="http://schemas.microsoft.com/office/drawing/2014/main" id="{00000000-0008-0000-1200-00009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228600</xdr:colOff>
          <xdr:row>15</xdr:row>
          <xdr:rowOff>60960</xdr:rowOff>
        </xdr:to>
        <xdr:sp macro="" textlink="">
          <xdr:nvSpPr>
            <xdr:cNvPr id="65682" name="Control 146" hidden="1">
              <a:extLst>
                <a:ext uri="{63B3BB69-23CF-44E3-9099-C40C66FF867C}">
                  <a14:compatExt spid="_x0000_s65682"/>
                </a:ext>
                <a:ext uri="{FF2B5EF4-FFF2-40B4-BE49-F238E27FC236}">
                  <a16:creationId xmlns:a16="http://schemas.microsoft.com/office/drawing/2014/main" id="{00000000-0008-0000-1200-00009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228600</xdr:colOff>
          <xdr:row>16</xdr:row>
          <xdr:rowOff>60960</xdr:rowOff>
        </xdr:to>
        <xdr:sp macro="" textlink="">
          <xdr:nvSpPr>
            <xdr:cNvPr id="65683" name="Control 147" hidden="1">
              <a:extLst>
                <a:ext uri="{63B3BB69-23CF-44E3-9099-C40C66FF867C}">
                  <a14:compatExt spid="_x0000_s65683"/>
                </a:ext>
                <a:ext uri="{FF2B5EF4-FFF2-40B4-BE49-F238E27FC236}">
                  <a16:creationId xmlns:a16="http://schemas.microsoft.com/office/drawing/2014/main" id="{00000000-0008-0000-1200-00009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228600</xdr:colOff>
          <xdr:row>17</xdr:row>
          <xdr:rowOff>60960</xdr:rowOff>
        </xdr:to>
        <xdr:sp macro="" textlink="">
          <xdr:nvSpPr>
            <xdr:cNvPr id="65684" name="Control 148" hidden="1">
              <a:extLst>
                <a:ext uri="{63B3BB69-23CF-44E3-9099-C40C66FF867C}">
                  <a14:compatExt spid="_x0000_s65684"/>
                </a:ext>
                <a:ext uri="{FF2B5EF4-FFF2-40B4-BE49-F238E27FC236}">
                  <a16:creationId xmlns:a16="http://schemas.microsoft.com/office/drawing/2014/main" id="{00000000-0008-0000-1200-00009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228600</xdr:colOff>
          <xdr:row>18</xdr:row>
          <xdr:rowOff>60960</xdr:rowOff>
        </xdr:to>
        <xdr:sp macro="" textlink="">
          <xdr:nvSpPr>
            <xdr:cNvPr id="65685" name="Control 149" hidden="1">
              <a:extLst>
                <a:ext uri="{63B3BB69-23CF-44E3-9099-C40C66FF867C}">
                  <a14:compatExt spid="_x0000_s65685"/>
                </a:ext>
                <a:ext uri="{FF2B5EF4-FFF2-40B4-BE49-F238E27FC236}">
                  <a16:creationId xmlns:a16="http://schemas.microsoft.com/office/drawing/2014/main" id="{00000000-0008-0000-1200-00009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228600</xdr:colOff>
          <xdr:row>19</xdr:row>
          <xdr:rowOff>60960</xdr:rowOff>
        </xdr:to>
        <xdr:sp macro="" textlink="">
          <xdr:nvSpPr>
            <xdr:cNvPr id="65686" name="Control 150" hidden="1">
              <a:extLst>
                <a:ext uri="{63B3BB69-23CF-44E3-9099-C40C66FF867C}">
                  <a14:compatExt spid="_x0000_s65686"/>
                </a:ext>
                <a:ext uri="{FF2B5EF4-FFF2-40B4-BE49-F238E27FC236}">
                  <a16:creationId xmlns:a16="http://schemas.microsoft.com/office/drawing/2014/main" id="{00000000-0008-0000-1200-00009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228600</xdr:colOff>
          <xdr:row>20</xdr:row>
          <xdr:rowOff>60960</xdr:rowOff>
        </xdr:to>
        <xdr:sp macro="" textlink="">
          <xdr:nvSpPr>
            <xdr:cNvPr id="65687" name="Control 151" hidden="1">
              <a:extLst>
                <a:ext uri="{63B3BB69-23CF-44E3-9099-C40C66FF867C}">
                  <a14:compatExt spid="_x0000_s65687"/>
                </a:ext>
                <a:ext uri="{FF2B5EF4-FFF2-40B4-BE49-F238E27FC236}">
                  <a16:creationId xmlns:a16="http://schemas.microsoft.com/office/drawing/2014/main" id="{00000000-0008-0000-1200-000097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228600</xdr:colOff>
          <xdr:row>21</xdr:row>
          <xdr:rowOff>60960</xdr:rowOff>
        </xdr:to>
        <xdr:sp macro="" textlink="">
          <xdr:nvSpPr>
            <xdr:cNvPr id="65688" name="Control 152" hidden="1">
              <a:extLst>
                <a:ext uri="{63B3BB69-23CF-44E3-9099-C40C66FF867C}">
                  <a14:compatExt spid="_x0000_s65688"/>
                </a:ext>
                <a:ext uri="{FF2B5EF4-FFF2-40B4-BE49-F238E27FC236}">
                  <a16:creationId xmlns:a16="http://schemas.microsoft.com/office/drawing/2014/main" id="{00000000-0008-0000-1200-000098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228600</xdr:colOff>
          <xdr:row>22</xdr:row>
          <xdr:rowOff>60960</xdr:rowOff>
        </xdr:to>
        <xdr:sp macro="" textlink="">
          <xdr:nvSpPr>
            <xdr:cNvPr id="65689" name="Control 153" hidden="1">
              <a:extLst>
                <a:ext uri="{63B3BB69-23CF-44E3-9099-C40C66FF867C}">
                  <a14:compatExt spid="_x0000_s65689"/>
                </a:ext>
                <a:ext uri="{FF2B5EF4-FFF2-40B4-BE49-F238E27FC236}">
                  <a16:creationId xmlns:a16="http://schemas.microsoft.com/office/drawing/2014/main" id="{00000000-0008-0000-1200-000099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228600</xdr:colOff>
          <xdr:row>23</xdr:row>
          <xdr:rowOff>60960</xdr:rowOff>
        </xdr:to>
        <xdr:sp macro="" textlink="">
          <xdr:nvSpPr>
            <xdr:cNvPr id="65690" name="Control 154" hidden="1">
              <a:extLst>
                <a:ext uri="{63B3BB69-23CF-44E3-9099-C40C66FF867C}">
                  <a14:compatExt spid="_x0000_s65690"/>
                </a:ext>
                <a:ext uri="{FF2B5EF4-FFF2-40B4-BE49-F238E27FC236}">
                  <a16:creationId xmlns:a16="http://schemas.microsoft.com/office/drawing/2014/main" id="{00000000-0008-0000-1200-00009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228600</xdr:colOff>
          <xdr:row>24</xdr:row>
          <xdr:rowOff>60960</xdr:rowOff>
        </xdr:to>
        <xdr:sp macro="" textlink="">
          <xdr:nvSpPr>
            <xdr:cNvPr id="65691" name="Control 155" hidden="1">
              <a:extLst>
                <a:ext uri="{63B3BB69-23CF-44E3-9099-C40C66FF867C}">
                  <a14:compatExt spid="_x0000_s65691"/>
                </a:ext>
                <a:ext uri="{FF2B5EF4-FFF2-40B4-BE49-F238E27FC236}">
                  <a16:creationId xmlns:a16="http://schemas.microsoft.com/office/drawing/2014/main" id="{00000000-0008-0000-1200-00009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228600</xdr:colOff>
          <xdr:row>25</xdr:row>
          <xdr:rowOff>60960</xdr:rowOff>
        </xdr:to>
        <xdr:sp macro="" textlink="">
          <xdr:nvSpPr>
            <xdr:cNvPr id="65692" name="Control 156" hidden="1">
              <a:extLst>
                <a:ext uri="{63B3BB69-23CF-44E3-9099-C40C66FF867C}">
                  <a14:compatExt spid="_x0000_s65692"/>
                </a:ext>
                <a:ext uri="{FF2B5EF4-FFF2-40B4-BE49-F238E27FC236}">
                  <a16:creationId xmlns:a16="http://schemas.microsoft.com/office/drawing/2014/main" id="{00000000-0008-0000-1200-00009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26</xdr:row>
          <xdr:rowOff>60960</xdr:rowOff>
        </xdr:to>
        <xdr:sp macro="" textlink="">
          <xdr:nvSpPr>
            <xdr:cNvPr id="65693" name="Control 157" hidden="1">
              <a:extLst>
                <a:ext uri="{63B3BB69-23CF-44E3-9099-C40C66FF867C}">
                  <a14:compatExt spid="_x0000_s65693"/>
                </a:ext>
                <a:ext uri="{FF2B5EF4-FFF2-40B4-BE49-F238E27FC236}">
                  <a16:creationId xmlns:a16="http://schemas.microsoft.com/office/drawing/2014/main" id="{00000000-0008-0000-1200-00009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27</xdr:row>
          <xdr:rowOff>60960</xdr:rowOff>
        </xdr:to>
        <xdr:sp macro="" textlink="">
          <xdr:nvSpPr>
            <xdr:cNvPr id="65694" name="Control 158" hidden="1">
              <a:extLst>
                <a:ext uri="{63B3BB69-23CF-44E3-9099-C40C66FF867C}">
                  <a14:compatExt spid="_x0000_s65694"/>
                </a:ext>
                <a:ext uri="{FF2B5EF4-FFF2-40B4-BE49-F238E27FC236}">
                  <a16:creationId xmlns:a16="http://schemas.microsoft.com/office/drawing/2014/main" id="{00000000-0008-0000-1200-00009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228600</xdr:colOff>
          <xdr:row>28</xdr:row>
          <xdr:rowOff>60960</xdr:rowOff>
        </xdr:to>
        <xdr:sp macro="" textlink="">
          <xdr:nvSpPr>
            <xdr:cNvPr id="65695" name="Control 159" hidden="1">
              <a:extLst>
                <a:ext uri="{63B3BB69-23CF-44E3-9099-C40C66FF867C}">
                  <a14:compatExt spid="_x0000_s65695"/>
                </a:ext>
                <a:ext uri="{FF2B5EF4-FFF2-40B4-BE49-F238E27FC236}">
                  <a16:creationId xmlns:a16="http://schemas.microsoft.com/office/drawing/2014/main" id="{00000000-0008-0000-1200-00009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228600</xdr:colOff>
          <xdr:row>29</xdr:row>
          <xdr:rowOff>60960</xdr:rowOff>
        </xdr:to>
        <xdr:sp macro="" textlink="">
          <xdr:nvSpPr>
            <xdr:cNvPr id="65696" name="Control 160" hidden="1">
              <a:extLst>
                <a:ext uri="{63B3BB69-23CF-44E3-9099-C40C66FF867C}">
                  <a14:compatExt spid="_x0000_s65696"/>
                </a:ext>
                <a:ext uri="{FF2B5EF4-FFF2-40B4-BE49-F238E27FC236}">
                  <a16:creationId xmlns:a16="http://schemas.microsoft.com/office/drawing/2014/main" id="{00000000-0008-0000-1200-0000A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228600</xdr:colOff>
          <xdr:row>30</xdr:row>
          <xdr:rowOff>60960</xdr:rowOff>
        </xdr:to>
        <xdr:sp macro="" textlink="">
          <xdr:nvSpPr>
            <xdr:cNvPr id="65697" name="Control 161" hidden="1">
              <a:extLst>
                <a:ext uri="{63B3BB69-23CF-44E3-9099-C40C66FF867C}">
                  <a14:compatExt spid="_x0000_s65697"/>
                </a:ext>
                <a:ext uri="{FF2B5EF4-FFF2-40B4-BE49-F238E27FC236}">
                  <a16:creationId xmlns:a16="http://schemas.microsoft.com/office/drawing/2014/main" id="{00000000-0008-0000-1200-0000A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228600</xdr:colOff>
          <xdr:row>31</xdr:row>
          <xdr:rowOff>60960</xdr:rowOff>
        </xdr:to>
        <xdr:sp macro="" textlink="">
          <xdr:nvSpPr>
            <xdr:cNvPr id="65698" name="Control 162" hidden="1">
              <a:extLst>
                <a:ext uri="{63B3BB69-23CF-44E3-9099-C40C66FF867C}">
                  <a14:compatExt spid="_x0000_s65698"/>
                </a:ext>
                <a:ext uri="{FF2B5EF4-FFF2-40B4-BE49-F238E27FC236}">
                  <a16:creationId xmlns:a16="http://schemas.microsoft.com/office/drawing/2014/main" id="{00000000-0008-0000-1200-0000A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228600</xdr:colOff>
          <xdr:row>32</xdr:row>
          <xdr:rowOff>68580</xdr:rowOff>
        </xdr:to>
        <xdr:sp macro="" textlink="">
          <xdr:nvSpPr>
            <xdr:cNvPr id="65699" name="Control 163" hidden="1">
              <a:extLst>
                <a:ext uri="{63B3BB69-23CF-44E3-9099-C40C66FF867C}">
                  <a14:compatExt spid="_x0000_s65699"/>
                </a:ext>
                <a:ext uri="{FF2B5EF4-FFF2-40B4-BE49-F238E27FC236}">
                  <a16:creationId xmlns:a16="http://schemas.microsoft.com/office/drawing/2014/main" id="{00000000-0008-0000-1200-0000A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228600</xdr:colOff>
          <xdr:row>33</xdr:row>
          <xdr:rowOff>60960</xdr:rowOff>
        </xdr:to>
        <xdr:sp macro="" textlink="">
          <xdr:nvSpPr>
            <xdr:cNvPr id="65700" name="Control 164" hidden="1">
              <a:extLst>
                <a:ext uri="{63B3BB69-23CF-44E3-9099-C40C66FF867C}">
                  <a14:compatExt spid="_x0000_s65700"/>
                </a:ext>
                <a:ext uri="{FF2B5EF4-FFF2-40B4-BE49-F238E27FC236}">
                  <a16:creationId xmlns:a16="http://schemas.microsoft.com/office/drawing/2014/main" id="{00000000-0008-0000-1200-0000A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228600</xdr:colOff>
          <xdr:row>34</xdr:row>
          <xdr:rowOff>60960</xdr:rowOff>
        </xdr:to>
        <xdr:sp macro="" textlink="">
          <xdr:nvSpPr>
            <xdr:cNvPr id="65701" name="Control 165" hidden="1">
              <a:extLst>
                <a:ext uri="{63B3BB69-23CF-44E3-9099-C40C66FF867C}">
                  <a14:compatExt spid="_x0000_s65701"/>
                </a:ext>
                <a:ext uri="{FF2B5EF4-FFF2-40B4-BE49-F238E27FC236}">
                  <a16:creationId xmlns:a16="http://schemas.microsoft.com/office/drawing/2014/main" id="{00000000-0008-0000-1200-0000A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228600</xdr:colOff>
          <xdr:row>35</xdr:row>
          <xdr:rowOff>60960</xdr:rowOff>
        </xdr:to>
        <xdr:sp macro="" textlink="">
          <xdr:nvSpPr>
            <xdr:cNvPr id="65702" name="Control 166" hidden="1">
              <a:extLst>
                <a:ext uri="{63B3BB69-23CF-44E3-9099-C40C66FF867C}">
                  <a14:compatExt spid="_x0000_s65702"/>
                </a:ext>
                <a:ext uri="{FF2B5EF4-FFF2-40B4-BE49-F238E27FC236}">
                  <a16:creationId xmlns:a16="http://schemas.microsoft.com/office/drawing/2014/main" id="{00000000-0008-0000-1200-0000A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228600</xdr:colOff>
          <xdr:row>36</xdr:row>
          <xdr:rowOff>60960</xdr:rowOff>
        </xdr:to>
        <xdr:sp macro="" textlink="">
          <xdr:nvSpPr>
            <xdr:cNvPr id="65703" name="Control 167" hidden="1">
              <a:extLst>
                <a:ext uri="{63B3BB69-23CF-44E3-9099-C40C66FF867C}">
                  <a14:compatExt spid="_x0000_s65703"/>
                </a:ext>
                <a:ext uri="{FF2B5EF4-FFF2-40B4-BE49-F238E27FC236}">
                  <a16:creationId xmlns:a16="http://schemas.microsoft.com/office/drawing/2014/main" id="{00000000-0008-0000-1200-0000A7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228600</xdr:colOff>
          <xdr:row>37</xdr:row>
          <xdr:rowOff>60960</xdr:rowOff>
        </xdr:to>
        <xdr:sp macro="" textlink="">
          <xdr:nvSpPr>
            <xdr:cNvPr id="65704" name="Control 168" hidden="1">
              <a:extLst>
                <a:ext uri="{63B3BB69-23CF-44E3-9099-C40C66FF867C}">
                  <a14:compatExt spid="_x0000_s65704"/>
                </a:ext>
                <a:ext uri="{FF2B5EF4-FFF2-40B4-BE49-F238E27FC236}">
                  <a16:creationId xmlns:a16="http://schemas.microsoft.com/office/drawing/2014/main" id="{00000000-0008-0000-1200-0000A8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228600</xdr:colOff>
          <xdr:row>38</xdr:row>
          <xdr:rowOff>60960</xdr:rowOff>
        </xdr:to>
        <xdr:sp macro="" textlink="">
          <xdr:nvSpPr>
            <xdr:cNvPr id="65705" name="Control 169" hidden="1">
              <a:extLst>
                <a:ext uri="{63B3BB69-23CF-44E3-9099-C40C66FF867C}">
                  <a14:compatExt spid="_x0000_s65705"/>
                </a:ext>
                <a:ext uri="{FF2B5EF4-FFF2-40B4-BE49-F238E27FC236}">
                  <a16:creationId xmlns:a16="http://schemas.microsoft.com/office/drawing/2014/main" id="{00000000-0008-0000-1200-0000A9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228600</xdr:colOff>
          <xdr:row>39</xdr:row>
          <xdr:rowOff>60960</xdr:rowOff>
        </xdr:to>
        <xdr:sp macro="" textlink="">
          <xdr:nvSpPr>
            <xdr:cNvPr id="65706" name="Control 170" hidden="1">
              <a:extLst>
                <a:ext uri="{63B3BB69-23CF-44E3-9099-C40C66FF867C}">
                  <a14:compatExt spid="_x0000_s65706"/>
                </a:ext>
                <a:ext uri="{FF2B5EF4-FFF2-40B4-BE49-F238E27FC236}">
                  <a16:creationId xmlns:a16="http://schemas.microsoft.com/office/drawing/2014/main" id="{00000000-0008-0000-1200-0000A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228600</xdr:colOff>
          <xdr:row>40</xdr:row>
          <xdr:rowOff>60960</xdr:rowOff>
        </xdr:to>
        <xdr:sp macro="" textlink="">
          <xdr:nvSpPr>
            <xdr:cNvPr id="65707" name="Control 171" hidden="1">
              <a:extLst>
                <a:ext uri="{63B3BB69-23CF-44E3-9099-C40C66FF867C}">
                  <a14:compatExt spid="_x0000_s65707"/>
                </a:ext>
                <a:ext uri="{FF2B5EF4-FFF2-40B4-BE49-F238E27FC236}">
                  <a16:creationId xmlns:a16="http://schemas.microsoft.com/office/drawing/2014/main" id="{00000000-0008-0000-1200-0000A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228600</xdr:colOff>
          <xdr:row>41</xdr:row>
          <xdr:rowOff>60960</xdr:rowOff>
        </xdr:to>
        <xdr:sp macro="" textlink="">
          <xdr:nvSpPr>
            <xdr:cNvPr id="65708" name="Control 172" hidden="1">
              <a:extLst>
                <a:ext uri="{63B3BB69-23CF-44E3-9099-C40C66FF867C}">
                  <a14:compatExt spid="_x0000_s65708"/>
                </a:ext>
                <a:ext uri="{FF2B5EF4-FFF2-40B4-BE49-F238E27FC236}">
                  <a16:creationId xmlns:a16="http://schemas.microsoft.com/office/drawing/2014/main" id="{00000000-0008-0000-1200-0000A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228600</xdr:colOff>
          <xdr:row>42</xdr:row>
          <xdr:rowOff>60960</xdr:rowOff>
        </xdr:to>
        <xdr:sp macro="" textlink="">
          <xdr:nvSpPr>
            <xdr:cNvPr id="65709" name="Control 173" hidden="1">
              <a:extLst>
                <a:ext uri="{63B3BB69-23CF-44E3-9099-C40C66FF867C}">
                  <a14:compatExt spid="_x0000_s65709"/>
                </a:ext>
                <a:ext uri="{FF2B5EF4-FFF2-40B4-BE49-F238E27FC236}">
                  <a16:creationId xmlns:a16="http://schemas.microsoft.com/office/drawing/2014/main" id="{00000000-0008-0000-1200-0000A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228600</xdr:colOff>
          <xdr:row>43</xdr:row>
          <xdr:rowOff>60960</xdr:rowOff>
        </xdr:to>
        <xdr:sp macro="" textlink="">
          <xdr:nvSpPr>
            <xdr:cNvPr id="65710" name="Control 174" hidden="1">
              <a:extLst>
                <a:ext uri="{63B3BB69-23CF-44E3-9099-C40C66FF867C}">
                  <a14:compatExt spid="_x0000_s65710"/>
                </a:ext>
                <a:ext uri="{FF2B5EF4-FFF2-40B4-BE49-F238E27FC236}">
                  <a16:creationId xmlns:a16="http://schemas.microsoft.com/office/drawing/2014/main" id="{00000000-0008-0000-1200-0000A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228600</xdr:colOff>
          <xdr:row>44</xdr:row>
          <xdr:rowOff>60960</xdr:rowOff>
        </xdr:to>
        <xdr:sp macro="" textlink="">
          <xdr:nvSpPr>
            <xdr:cNvPr id="65711" name="Control 175" hidden="1">
              <a:extLst>
                <a:ext uri="{63B3BB69-23CF-44E3-9099-C40C66FF867C}">
                  <a14:compatExt spid="_x0000_s65711"/>
                </a:ext>
                <a:ext uri="{FF2B5EF4-FFF2-40B4-BE49-F238E27FC236}">
                  <a16:creationId xmlns:a16="http://schemas.microsoft.com/office/drawing/2014/main" id="{00000000-0008-0000-1200-0000A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228600</xdr:colOff>
          <xdr:row>45</xdr:row>
          <xdr:rowOff>60960</xdr:rowOff>
        </xdr:to>
        <xdr:sp macro="" textlink="">
          <xdr:nvSpPr>
            <xdr:cNvPr id="65712" name="Control 176" hidden="1">
              <a:extLst>
                <a:ext uri="{63B3BB69-23CF-44E3-9099-C40C66FF867C}">
                  <a14:compatExt spid="_x0000_s65712"/>
                </a:ext>
                <a:ext uri="{FF2B5EF4-FFF2-40B4-BE49-F238E27FC236}">
                  <a16:creationId xmlns:a16="http://schemas.microsoft.com/office/drawing/2014/main" id="{00000000-0008-0000-1200-0000B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228600</xdr:colOff>
          <xdr:row>46</xdr:row>
          <xdr:rowOff>60960</xdr:rowOff>
        </xdr:to>
        <xdr:sp macro="" textlink="">
          <xdr:nvSpPr>
            <xdr:cNvPr id="65713" name="Control 177" hidden="1">
              <a:extLst>
                <a:ext uri="{63B3BB69-23CF-44E3-9099-C40C66FF867C}">
                  <a14:compatExt spid="_x0000_s65713"/>
                </a:ext>
                <a:ext uri="{FF2B5EF4-FFF2-40B4-BE49-F238E27FC236}">
                  <a16:creationId xmlns:a16="http://schemas.microsoft.com/office/drawing/2014/main" id="{00000000-0008-0000-1200-0000B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228600</xdr:colOff>
          <xdr:row>46</xdr:row>
          <xdr:rowOff>60960</xdr:rowOff>
        </xdr:to>
        <xdr:sp macro="" textlink="">
          <xdr:nvSpPr>
            <xdr:cNvPr id="65714" name="Control 178" hidden="1">
              <a:extLst>
                <a:ext uri="{63B3BB69-23CF-44E3-9099-C40C66FF867C}">
                  <a14:compatExt spid="_x0000_s65714"/>
                </a:ext>
                <a:ext uri="{FF2B5EF4-FFF2-40B4-BE49-F238E27FC236}">
                  <a16:creationId xmlns:a16="http://schemas.microsoft.com/office/drawing/2014/main" id="{00000000-0008-0000-1200-0000B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228600</xdr:colOff>
          <xdr:row>47</xdr:row>
          <xdr:rowOff>60960</xdr:rowOff>
        </xdr:to>
        <xdr:sp macro="" textlink="">
          <xdr:nvSpPr>
            <xdr:cNvPr id="65715" name="Control 179" hidden="1">
              <a:extLst>
                <a:ext uri="{63B3BB69-23CF-44E3-9099-C40C66FF867C}">
                  <a14:compatExt spid="_x0000_s65715"/>
                </a:ext>
                <a:ext uri="{FF2B5EF4-FFF2-40B4-BE49-F238E27FC236}">
                  <a16:creationId xmlns:a16="http://schemas.microsoft.com/office/drawing/2014/main" id="{00000000-0008-0000-1200-0000B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228600</xdr:colOff>
          <xdr:row>48</xdr:row>
          <xdr:rowOff>60960</xdr:rowOff>
        </xdr:to>
        <xdr:sp macro="" textlink="">
          <xdr:nvSpPr>
            <xdr:cNvPr id="65716" name="Control 180" hidden="1">
              <a:extLst>
                <a:ext uri="{63B3BB69-23CF-44E3-9099-C40C66FF867C}">
                  <a14:compatExt spid="_x0000_s65716"/>
                </a:ext>
                <a:ext uri="{FF2B5EF4-FFF2-40B4-BE49-F238E27FC236}">
                  <a16:creationId xmlns:a16="http://schemas.microsoft.com/office/drawing/2014/main" id="{00000000-0008-0000-1200-0000B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228600</xdr:colOff>
          <xdr:row>49</xdr:row>
          <xdr:rowOff>60960</xdr:rowOff>
        </xdr:to>
        <xdr:sp macro="" textlink="">
          <xdr:nvSpPr>
            <xdr:cNvPr id="65717" name="Control 181" hidden="1">
              <a:extLst>
                <a:ext uri="{63B3BB69-23CF-44E3-9099-C40C66FF867C}">
                  <a14:compatExt spid="_x0000_s65717"/>
                </a:ext>
                <a:ext uri="{FF2B5EF4-FFF2-40B4-BE49-F238E27FC236}">
                  <a16:creationId xmlns:a16="http://schemas.microsoft.com/office/drawing/2014/main" id="{00000000-0008-0000-1200-0000B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228600</xdr:colOff>
          <xdr:row>50</xdr:row>
          <xdr:rowOff>60960</xdr:rowOff>
        </xdr:to>
        <xdr:sp macro="" textlink="">
          <xdr:nvSpPr>
            <xdr:cNvPr id="65718" name="Control 182" hidden="1">
              <a:extLst>
                <a:ext uri="{63B3BB69-23CF-44E3-9099-C40C66FF867C}">
                  <a14:compatExt spid="_x0000_s65718"/>
                </a:ext>
                <a:ext uri="{FF2B5EF4-FFF2-40B4-BE49-F238E27FC236}">
                  <a16:creationId xmlns:a16="http://schemas.microsoft.com/office/drawing/2014/main" id="{00000000-0008-0000-1200-0000B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228600</xdr:colOff>
          <xdr:row>51</xdr:row>
          <xdr:rowOff>60960</xdr:rowOff>
        </xdr:to>
        <xdr:sp macro="" textlink="">
          <xdr:nvSpPr>
            <xdr:cNvPr id="65719" name="Control 183" hidden="1">
              <a:extLst>
                <a:ext uri="{63B3BB69-23CF-44E3-9099-C40C66FF867C}">
                  <a14:compatExt spid="_x0000_s65719"/>
                </a:ext>
                <a:ext uri="{FF2B5EF4-FFF2-40B4-BE49-F238E27FC236}">
                  <a16:creationId xmlns:a16="http://schemas.microsoft.com/office/drawing/2014/main" id="{00000000-0008-0000-1200-0000B7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228600</xdr:colOff>
          <xdr:row>52</xdr:row>
          <xdr:rowOff>60960</xdr:rowOff>
        </xdr:to>
        <xdr:sp macro="" textlink="">
          <xdr:nvSpPr>
            <xdr:cNvPr id="65720" name="Control 184" hidden="1">
              <a:extLst>
                <a:ext uri="{63B3BB69-23CF-44E3-9099-C40C66FF867C}">
                  <a14:compatExt spid="_x0000_s65720"/>
                </a:ext>
                <a:ext uri="{FF2B5EF4-FFF2-40B4-BE49-F238E27FC236}">
                  <a16:creationId xmlns:a16="http://schemas.microsoft.com/office/drawing/2014/main" id="{00000000-0008-0000-1200-0000B8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228600</xdr:colOff>
          <xdr:row>53</xdr:row>
          <xdr:rowOff>60960</xdr:rowOff>
        </xdr:to>
        <xdr:sp macro="" textlink="">
          <xdr:nvSpPr>
            <xdr:cNvPr id="65721" name="Control 185" hidden="1">
              <a:extLst>
                <a:ext uri="{63B3BB69-23CF-44E3-9099-C40C66FF867C}">
                  <a14:compatExt spid="_x0000_s65721"/>
                </a:ext>
                <a:ext uri="{FF2B5EF4-FFF2-40B4-BE49-F238E27FC236}">
                  <a16:creationId xmlns:a16="http://schemas.microsoft.com/office/drawing/2014/main" id="{00000000-0008-0000-1200-0000B9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228600</xdr:colOff>
          <xdr:row>54</xdr:row>
          <xdr:rowOff>60960</xdr:rowOff>
        </xdr:to>
        <xdr:sp macro="" textlink="">
          <xdr:nvSpPr>
            <xdr:cNvPr id="65722" name="Control 186" hidden="1">
              <a:extLst>
                <a:ext uri="{63B3BB69-23CF-44E3-9099-C40C66FF867C}">
                  <a14:compatExt spid="_x0000_s65722"/>
                </a:ext>
                <a:ext uri="{FF2B5EF4-FFF2-40B4-BE49-F238E27FC236}">
                  <a16:creationId xmlns:a16="http://schemas.microsoft.com/office/drawing/2014/main" id="{00000000-0008-0000-1200-0000B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228600</xdr:colOff>
          <xdr:row>55</xdr:row>
          <xdr:rowOff>60960</xdr:rowOff>
        </xdr:to>
        <xdr:sp macro="" textlink="">
          <xdr:nvSpPr>
            <xdr:cNvPr id="65723" name="Control 187" hidden="1">
              <a:extLst>
                <a:ext uri="{63B3BB69-23CF-44E3-9099-C40C66FF867C}">
                  <a14:compatExt spid="_x0000_s65723"/>
                </a:ext>
                <a:ext uri="{FF2B5EF4-FFF2-40B4-BE49-F238E27FC236}">
                  <a16:creationId xmlns:a16="http://schemas.microsoft.com/office/drawing/2014/main" id="{00000000-0008-0000-1200-0000B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228600</xdr:colOff>
          <xdr:row>56</xdr:row>
          <xdr:rowOff>60960</xdr:rowOff>
        </xdr:to>
        <xdr:sp macro="" textlink="">
          <xdr:nvSpPr>
            <xdr:cNvPr id="65724" name="Control 188" hidden="1">
              <a:extLst>
                <a:ext uri="{63B3BB69-23CF-44E3-9099-C40C66FF867C}">
                  <a14:compatExt spid="_x0000_s65724"/>
                </a:ext>
                <a:ext uri="{FF2B5EF4-FFF2-40B4-BE49-F238E27FC236}">
                  <a16:creationId xmlns:a16="http://schemas.microsoft.com/office/drawing/2014/main" id="{00000000-0008-0000-1200-0000B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228600</xdr:colOff>
          <xdr:row>57</xdr:row>
          <xdr:rowOff>60960</xdr:rowOff>
        </xdr:to>
        <xdr:sp macro="" textlink="">
          <xdr:nvSpPr>
            <xdr:cNvPr id="65725" name="Control 189" hidden="1">
              <a:extLst>
                <a:ext uri="{63B3BB69-23CF-44E3-9099-C40C66FF867C}">
                  <a14:compatExt spid="_x0000_s65725"/>
                </a:ext>
                <a:ext uri="{FF2B5EF4-FFF2-40B4-BE49-F238E27FC236}">
                  <a16:creationId xmlns:a16="http://schemas.microsoft.com/office/drawing/2014/main" id="{00000000-0008-0000-1200-0000B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228600</xdr:colOff>
          <xdr:row>58</xdr:row>
          <xdr:rowOff>60960</xdr:rowOff>
        </xdr:to>
        <xdr:sp macro="" textlink="">
          <xdr:nvSpPr>
            <xdr:cNvPr id="65726" name="Control 190" hidden="1">
              <a:extLst>
                <a:ext uri="{63B3BB69-23CF-44E3-9099-C40C66FF867C}">
                  <a14:compatExt spid="_x0000_s65726"/>
                </a:ext>
                <a:ext uri="{FF2B5EF4-FFF2-40B4-BE49-F238E27FC236}">
                  <a16:creationId xmlns:a16="http://schemas.microsoft.com/office/drawing/2014/main" id="{00000000-0008-0000-1200-0000B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228600</xdr:colOff>
          <xdr:row>59</xdr:row>
          <xdr:rowOff>60960</xdr:rowOff>
        </xdr:to>
        <xdr:sp macro="" textlink="">
          <xdr:nvSpPr>
            <xdr:cNvPr id="65727" name="Control 191" hidden="1">
              <a:extLst>
                <a:ext uri="{63B3BB69-23CF-44E3-9099-C40C66FF867C}">
                  <a14:compatExt spid="_x0000_s65727"/>
                </a:ext>
                <a:ext uri="{FF2B5EF4-FFF2-40B4-BE49-F238E27FC236}">
                  <a16:creationId xmlns:a16="http://schemas.microsoft.com/office/drawing/2014/main" id="{00000000-0008-0000-1200-0000B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228600</xdr:colOff>
          <xdr:row>60</xdr:row>
          <xdr:rowOff>60960</xdr:rowOff>
        </xdr:to>
        <xdr:sp macro="" textlink="">
          <xdr:nvSpPr>
            <xdr:cNvPr id="65728" name="Control 192" hidden="1">
              <a:extLst>
                <a:ext uri="{63B3BB69-23CF-44E3-9099-C40C66FF867C}">
                  <a14:compatExt spid="_x0000_s65728"/>
                </a:ext>
                <a:ext uri="{FF2B5EF4-FFF2-40B4-BE49-F238E27FC236}">
                  <a16:creationId xmlns:a16="http://schemas.microsoft.com/office/drawing/2014/main" id="{00000000-0008-0000-1200-0000C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228600</xdr:colOff>
          <xdr:row>61</xdr:row>
          <xdr:rowOff>60960</xdr:rowOff>
        </xdr:to>
        <xdr:sp macro="" textlink="">
          <xdr:nvSpPr>
            <xdr:cNvPr id="65729" name="Control 193" hidden="1">
              <a:extLst>
                <a:ext uri="{63B3BB69-23CF-44E3-9099-C40C66FF867C}">
                  <a14:compatExt spid="_x0000_s65729"/>
                </a:ext>
                <a:ext uri="{FF2B5EF4-FFF2-40B4-BE49-F238E27FC236}">
                  <a16:creationId xmlns:a16="http://schemas.microsoft.com/office/drawing/2014/main" id="{00000000-0008-0000-1200-0000C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228600</xdr:colOff>
          <xdr:row>62</xdr:row>
          <xdr:rowOff>60960</xdr:rowOff>
        </xdr:to>
        <xdr:sp macro="" textlink="">
          <xdr:nvSpPr>
            <xdr:cNvPr id="65730" name="Control 194" hidden="1">
              <a:extLst>
                <a:ext uri="{63B3BB69-23CF-44E3-9099-C40C66FF867C}">
                  <a14:compatExt spid="_x0000_s65730"/>
                </a:ext>
                <a:ext uri="{FF2B5EF4-FFF2-40B4-BE49-F238E27FC236}">
                  <a16:creationId xmlns:a16="http://schemas.microsoft.com/office/drawing/2014/main" id="{00000000-0008-0000-1200-0000C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228600</xdr:colOff>
          <xdr:row>63</xdr:row>
          <xdr:rowOff>60960</xdr:rowOff>
        </xdr:to>
        <xdr:sp macro="" textlink="">
          <xdr:nvSpPr>
            <xdr:cNvPr id="65731" name="Control 195" hidden="1">
              <a:extLst>
                <a:ext uri="{63B3BB69-23CF-44E3-9099-C40C66FF867C}">
                  <a14:compatExt spid="_x0000_s65731"/>
                </a:ext>
                <a:ext uri="{FF2B5EF4-FFF2-40B4-BE49-F238E27FC236}">
                  <a16:creationId xmlns:a16="http://schemas.microsoft.com/office/drawing/2014/main" id="{00000000-0008-0000-1200-0000C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228600</xdr:colOff>
          <xdr:row>64</xdr:row>
          <xdr:rowOff>60960</xdr:rowOff>
        </xdr:to>
        <xdr:sp macro="" textlink="">
          <xdr:nvSpPr>
            <xdr:cNvPr id="65732" name="Control 196" hidden="1">
              <a:extLst>
                <a:ext uri="{63B3BB69-23CF-44E3-9099-C40C66FF867C}">
                  <a14:compatExt spid="_x0000_s65732"/>
                </a:ext>
                <a:ext uri="{FF2B5EF4-FFF2-40B4-BE49-F238E27FC236}">
                  <a16:creationId xmlns:a16="http://schemas.microsoft.com/office/drawing/2014/main" id="{00000000-0008-0000-1200-0000C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228600</xdr:colOff>
          <xdr:row>65</xdr:row>
          <xdr:rowOff>60960</xdr:rowOff>
        </xdr:to>
        <xdr:sp macro="" textlink="">
          <xdr:nvSpPr>
            <xdr:cNvPr id="65733" name="Control 197" hidden="1">
              <a:extLst>
                <a:ext uri="{63B3BB69-23CF-44E3-9099-C40C66FF867C}">
                  <a14:compatExt spid="_x0000_s65733"/>
                </a:ext>
                <a:ext uri="{FF2B5EF4-FFF2-40B4-BE49-F238E27FC236}">
                  <a16:creationId xmlns:a16="http://schemas.microsoft.com/office/drawing/2014/main" id="{00000000-0008-0000-1200-0000C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228600</xdr:colOff>
          <xdr:row>66</xdr:row>
          <xdr:rowOff>60960</xdr:rowOff>
        </xdr:to>
        <xdr:sp macro="" textlink="">
          <xdr:nvSpPr>
            <xdr:cNvPr id="65734" name="Control 198" hidden="1">
              <a:extLst>
                <a:ext uri="{63B3BB69-23CF-44E3-9099-C40C66FF867C}">
                  <a14:compatExt spid="_x0000_s65734"/>
                </a:ext>
                <a:ext uri="{FF2B5EF4-FFF2-40B4-BE49-F238E27FC236}">
                  <a16:creationId xmlns:a16="http://schemas.microsoft.com/office/drawing/2014/main" id="{00000000-0008-0000-1200-0000C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228600</xdr:colOff>
          <xdr:row>67</xdr:row>
          <xdr:rowOff>60960</xdr:rowOff>
        </xdr:to>
        <xdr:sp macro="" textlink="">
          <xdr:nvSpPr>
            <xdr:cNvPr id="65735" name="Control 199" hidden="1">
              <a:extLst>
                <a:ext uri="{63B3BB69-23CF-44E3-9099-C40C66FF867C}">
                  <a14:compatExt spid="_x0000_s65735"/>
                </a:ext>
                <a:ext uri="{FF2B5EF4-FFF2-40B4-BE49-F238E27FC236}">
                  <a16:creationId xmlns:a16="http://schemas.microsoft.com/office/drawing/2014/main" id="{00000000-0008-0000-1200-0000C7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228600</xdr:colOff>
          <xdr:row>68</xdr:row>
          <xdr:rowOff>60960</xdr:rowOff>
        </xdr:to>
        <xdr:sp macro="" textlink="">
          <xdr:nvSpPr>
            <xdr:cNvPr id="65736" name="Control 200" hidden="1">
              <a:extLst>
                <a:ext uri="{63B3BB69-23CF-44E3-9099-C40C66FF867C}">
                  <a14:compatExt spid="_x0000_s65736"/>
                </a:ext>
                <a:ext uri="{FF2B5EF4-FFF2-40B4-BE49-F238E27FC236}">
                  <a16:creationId xmlns:a16="http://schemas.microsoft.com/office/drawing/2014/main" id="{00000000-0008-0000-1200-0000C8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228600</xdr:colOff>
          <xdr:row>69</xdr:row>
          <xdr:rowOff>60960</xdr:rowOff>
        </xdr:to>
        <xdr:sp macro="" textlink="">
          <xdr:nvSpPr>
            <xdr:cNvPr id="65737" name="Control 201" hidden="1">
              <a:extLst>
                <a:ext uri="{63B3BB69-23CF-44E3-9099-C40C66FF867C}">
                  <a14:compatExt spid="_x0000_s65737"/>
                </a:ext>
                <a:ext uri="{FF2B5EF4-FFF2-40B4-BE49-F238E27FC236}">
                  <a16:creationId xmlns:a16="http://schemas.microsoft.com/office/drawing/2014/main" id="{00000000-0008-0000-1200-0000C9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228600</xdr:colOff>
          <xdr:row>70</xdr:row>
          <xdr:rowOff>60960</xdr:rowOff>
        </xdr:to>
        <xdr:sp macro="" textlink="">
          <xdr:nvSpPr>
            <xdr:cNvPr id="65738" name="Control 202" hidden="1">
              <a:extLst>
                <a:ext uri="{63B3BB69-23CF-44E3-9099-C40C66FF867C}">
                  <a14:compatExt spid="_x0000_s65738"/>
                </a:ext>
                <a:ext uri="{FF2B5EF4-FFF2-40B4-BE49-F238E27FC236}">
                  <a16:creationId xmlns:a16="http://schemas.microsoft.com/office/drawing/2014/main" id="{00000000-0008-0000-1200-0000C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228600</xdr:colOff>
          <xdr:row>71</xdr:row>
          <xdr:rowOff>60960</xdr:rowOff>
        </xdr:to>
        <xdr:sp macro="" textlink="">
          <xdr:nvSpPr>
            <xdr:cNvPr id="65739" name="Control 203" hidden="1">
              <a:extLst>
                <a:ext uri="{63B3BB69-23CF-44E3-9099-C40C66FF867C}">
                  <a14:compatExt spid="_x0000_s65739"/>
                </a:ext>
                <a:ext uri="{FF2B5EF4-FFF2-40B4-BE49-F238E27FC236}">
                  <a16:creationId xmlns:a16="http://schemas.microsoft.com/office/drawing/2014/main" id="{00000000-0008-0000-1200-0000C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228600</xdr:colOff>
          <xdr:row>72</xdr:row>
          <xdr:rowOff>60960</xdr:rowOff>
        </xdr:to>
        <xdr:sp macro="" textlink="">
          <xdr:nvSpPr>
            <xdr:cNvPr id="65740" name="Control 204" hidden="1">
              <a:extLst>
                <a:ext uri="{63B3BB69-23CF-44E3-9099-C40C66FF867C}">
                  <a14:compatExt spid="_x0000_s65740"/>
                </a:ext>
                <a:ext uri="{FF2B5EF4-FFF2-40B4-BE49-F238E27FC236}">
                  <a16:creationId xmlns:a16="http://schemas.microsoft.com/office/drawing/2014/main" id="{00000000-0008-0000-1200-0000C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228600</xdr:colOff>
          <xdr:row>73</xdr:row>
          <xdr:rowOff>60960</xdr:rowOff>
        </xdr:to>
        <xdr:sp macro="" textlink="">
          <xdr:nvSpPr>
            <xdr:cNvPr id="65741" name="Control 205" hidden="1">
              <a:extLst>
                <a:ext uri="{63B3BB69-23CF-44E3-9099-C40C66FF867C}">
                  <a14:compatExt spid="_x0000_s65741"/>
                </a:ext>
                <a:ext uri="{FF2B5EF4-FFF2-40B4-BE49-F238E27FC236}">
                  <a16:creationId xmlns:a16="http://schemas.microsoft.com/office/drawing/2014/main" id="{00000000-0008-0000-1200-0000C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228600</xdr:colOff>
          <xdr:row>74</xdr:row>
          <xdr:rowOff>60960</xdr:rowOff>
        </xdr:to>
        <xdr:sp macro="" textlink="">
          <xdr:nvSpPr>
            <xdr:cNvPr id="65742" name="Control 206" hidden="1">
              <a:extLst>
                <a:ext uri="{63B3BB69-23CF-44E3-9099-C40C66FF867C}">
                  <a14:compatExt spid="_x0000_s65742"/>
                </a:ext>
                <a:ext uri="{FF2B5EF4-FFF2-40B4-BE49-F238E27FC236}">
                  <a16:creationId xmlns:a16="http://schemas.microsoft.com/office/drawing/2014/main" id="{00000000-0008-0000-1200-0000C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228600</xdr:colOff>
          <xdr:row>75</xdr:row>
          <xdr:rowOff>60960</xdr:rowOff>
        </xdr:to>
        <xdr:sp macro="" textlink="">
          <xdr:nvSpPr>
            <xdr:cNvPr id="65743" name="Control 207" hidden="1">
              <a:extLst>
                <a:ext uri="{63B3BB69-23CF-44E3-9099-C40C66FF867C}">
                  <a14:compatExt spid="_x0000_s65743"/>
                </a:ext>
                <a:ext uri="{FF2B5EF4-FFF2-40B4-BE49-F238E27FC236}">
                  <a16:creationId xmlns:a16="http://schemas.microsoft.com/office/drawing/2014/main" id="{00000000-0008-0000-1200-0000C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228600</xdr:colOff>
          <xdr:row>76</xdr:row>
          <xdr:rowOff>60960</xdr:rowOff>
        </xdr:to>
        <xdr:sp macro="" textlink="">
          <xdr:nvSpPr>
            <xdr:cNvPr id="65744" name="Control 208" hidden="1">
              <a:extLst>
                <a:ext uri="{63B3BB69-23CF-44E3-9099-C40C66FF867C}">
                  <a14:compatExt spid="_x0000_s65744"/>
                </a:ext>
                <a:ext uri="{FF2B5EF4-FFF2-40B4-BE49-F238E27FC236}">
                  <a16:creationId xmlns:a16="http://schemas.microsoft.com/office/drawing/2014/main" id="{00000000-0008-0000-1200-0000D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228600</xdr:colOff>
          <xdr:row>77</xdr:row>
          <xdr:rowOff>60960</xdr:rowOff>
        </xdr:to>
        <xdr:sp macro="" textlink="">
          <xdr:nvSpPr>
            <xdr:cNvPr id="65745" name="Control 209" hidden="1">
              <a:extLst>
                <a:ext uri="{63B3BB69-23CF-44E3-9099-C40C66FF867C}">
                  <a14:compatExt spid="_x0000_s65745"/>
                </a:ext>
                <a:ext uri="{FF2B5EF4-FFF2-40B4-BE49-F238E27FC236}">
                  <a16:creationId xmlns:a16="http://schemas.microsoft.com/office/drawing/2014/main" id="{00000000-0008-0000-1200-0000D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228600</xdr:colOff>
          <xdr:row>78</xdr:row>
          <xdr:rowOff>60960</xdr:rowOff>
        </xdr:to>
        <xdr:sp macro="" textlink="">
          <xdr:nvSpPr>
            <xdr:cNvPr id="65746" name="Control 210" hidden="1">
              <a:extLst>
                <a:ext uri="{63B3BB69-23CF-44E3-9099-C40C66FF867C}">
                  <a14:compatExt spid="_x0000_s65746"/>
                </a:ext>
                <a:ext uri="{FF2B5EF4-FFF2-40B4-BE49-F238E27FC236}">
                  <a16:creationId xmlns:a16="http://schemas.microsoft.com/office/drawing/2014/main" id="{00000000-0008-0000-1200-0000D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228600</xdr:colOff>
          <xdr:row>79</xdr:row>
          <xdr:rowOff>60960</xdr:rowOff>
        </xdr:to>
        <xdr:sp macro="" textlink="">
          <xdr:nvSpPr>
            <xdr:cNvPr id="65747" name="Control 211" hidden="1">
              <a:extLst>
                <a:ext uri="{63B3BB69-23CF-44E3-9099-C40C66FF867C}">
                  <a14:compatExt spid="_x0000_s65747"/>
                </a:ext>
                <a:ext uri="{FF2B5EF4-FFF2-40B4-BE49-F238E27FC236}">
                  <a16:creationId xmlns:a16="http://schemas.microsoft.com/office/drawing/2014/main" id="{00000000-0008-0000-1200-0000D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228600</xdr:colOff>
          <xdr:row>80</xdr:row>
          <xdr:rowOff>60960</xdr:rowOff>
        </xdr:to>
        <xdr:sp macro="" textlink="">
          <xdr:nvSpPr>
            <xdr:cNvPr id="65748" name="Control 212" hidden="1">
              <a:extLst>
                <a:ext uri="{63B3BB69-23CF-44E3-9099-C40C66FF867C}">
                  <a14:compatExt spid="_x0000_s65748"/>
                </a:ext>
                <a:ext uri="{FF2B5EF4-FFF2-40B4-BE49-F238E27FC236}">
                  <a16:creationId xmlns:a16="http://schemas.microsoft.com/office/drawing/2014/main" id="{00000000-0008-0000-1200-0000D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228600</xdr:colOff>
          <xdr:row>81</xdr:row>
          <xdr:rowOff>60960</xdr:rowOff>
        </xdr:to>
        <xdr:sp macro="" textlink="">
          <xdr:nvSpPr>
            <xdr:cNvPr id="65749" name="Control 213" hidden="1">
              <a:extLst>
                <a:ext uri="{63B3BB69-23CF-44E3-9099-C40C66FF867C}">
                  <a14:compatExt spid="_x0000_s65749"/>
                </a:ext>
                <a:ext uri="{FF2B5EF4-FFF2-40B4-BE49-F238E27FC236}">
                  <a16:creationId xmlns:a16="http://schemas.microsoft.com/office/drawing/2014/main" id="{00000000-0008-0000-1200-0000D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228600</xdr:colOff>
          <xdr:row>82</xdr:row>
          <xdr:rowOff>60960</xdr:rowOff>
        </xdr:to>
        <xdr:sp macro="" textlink="">
          <xdr:nvSpPr>
            <xdr:cNvPr id="65750" name="Control 214" hidden="1">
              <a:extLst>
                <a:ext uri="{63B3BB69-23CF-44E3-9099-C40C66FF867C}">
                  <a14:compatExt spid="_x0000_s65750"/>
                </a:ext>
                <a:ext uri="{FF2B5EF4-FFF2-40B4-BE49-F238E27FC236}">
                  <a16:creationId xmlns:a16="http://schemas.microsoft.com/office/drawing/2014/main" id="{00000000-0008-0000-1200-0000D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228600</xdr:colOff>
          <xdr:row>83</xdr:row>
          <xdr:rowOff>60960</xdr:rowOff>
        </xdr:to>
        <xdr:sp macro="" textlink="">
          <xdr:nvSpPr>
            <xdr:cNvPr id="65751" name="Control 215" hidden="1">
              <a:extLst>
                <a:ext uri="{63B3BB69-23CF-44E3-9099-C40C66FF867C}">
                  <a14:compatExt spid="_x0000_s65751"/>
                </a:ext>
                <a:ext uri="{FF2B5EF4-FFF2-40B4-BE49-F238E27FC236}">
                  <a16:creationId xmlns:a16="http://schemas.microsoft.com/office/drawing/2014/main" id="{00000000-0008-0000-1200-0000D7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228600</xdr:colOff>
          <xdr:row>84</xdr:row>
          <xdr:rowOff>60960</xdr:rowOff>
        </xdr:to>
        <xdr:sp macro="" textlink="">
          <xdr:nvSpPr>
            <xdr:cNvPr id="65752" name="Control 216" hidden="1">
              <a:extLst>
                <a:ext uri="{63B3BB69-23CF-44E3-9099-C40C66FF867C}">
                  <a14:compatExt spid="_x0000_s65752"/>
                </a:ext>
                <a:ext uri="{FF2B5EF4-FFF2-40B4-BE49-F238E27FC236}">
                  <a16:creationId xmlns:a16="http://schemas.microsoft.com/office/drawing/2014/main" id="{00000000-0008-0000-1200-0000D8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228600</xdr:colOff>
          <xdr:row>85</xdr:row>
          <xdr:rowOff>60960</xdr:rowOff>
        </xdr:to>
        <xdr:sp macro="" textlink="">
          <xdr:nvSpPr>
            <xdr:cNvPr id="65753" name="Control 217" hidden="1">
              <a:extLst>
                <a:ext uri="{63B3BB69-23CF-44E3-9099-C40C66FF867C}">
                  <a14:compatExt spid="_x0000_s65753"/>
                </a:ext>
                <a:ext uri="{FF2B5EF4-FFF2-40B4-BE49-F238E27FC236}">
                  <a16:creationId xmlns:a16="http://schemas.microsoft.com/office/drawing/2014/main" id="{00000000-0008-0000-1200-0000D9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228600</xdr:colOff>
          <xdr:row>86</xdr:row>
          <xdr:rowOff>60960</xdr:rowOff>
        </xdr:to>
        <xdr:sp macro="" textlink="">
          <xdr:nvSpPr>
            <xdr:cNvPr id="65754" name="Control 218" hidden="1">
              <a:extLst>
                <a:ext uri="{63B3BB69-23CF-44E3-9099-C40C66FF867C}">
                  <a14:compatExt spid="_x0000_s65754"/>
                </a:ext>
                <a:ext uri="{FF2B5EF4-FFF2-40B4-BE49-F238E27FC236}">
                  <a16:creationId xmlns:a16="http://schemas.microsoft.com/office/drawing/2014/main" id="{00000000-0008-0000-1200-0000D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228600</xdr:colOff>
          <xdr:row>87</xdr:row>
          <xdr:rowOff>60960</xdr:rowOff>
        </xdr:to>
        <xdr:sp macro="" textlink="">
          <xdr:nvSpPr>
            <xdr:cNvPr id="65755" name="Control 219" hidden="1">
              <a:extLst>
                <a:ext uri="{63B3BB69-23CF-44E3-9099-C40C66FF867C}">
                  <a14:compatExt spid="_x0000_s65755"/>
                </a:ext>
                <a:ext uri="{FF2B5EF4-FFF2-40B4-BE49-F238E27FC236}">
                  <a16:creationId xmlns:a16="http://schemas.microsoft.com/office/drawing/2014/main" id="{00000000-0008-0000-1200-0000D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228600</xdr:colOff>
          <xdr:row>88</xdr:row>
          <xdr:rowOff>60960</xdr:rowOff>
        </xdr:to>
        <xdr:sp macro="" textlink="">
          <xdr:nvSpPr>
            <xdr:cNvPr id="65756" name="Control 220" hidden="1">
              <a:extLst>
                <a:ext uri="{63B3BB69-23CF-44E3-9099-C40C66FF867C}">
                  <a14:compatExt spid="_x0000_s65756"/>
                </a:ext>
                <a:ext uri="{FF2B5EF4-FFF2-40B4-BE49-F238E27FC236}">
                  <a16:creationId xmlns:a16="http://schemas.microsoft.com/office/drawing/2014/main" id="{00000000-0008-0000-1200-0000D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228600</xdr:colOff>
          <xdr:row>89</xdr:row>
          <xdr:rowOff>60960</xdr:rowOff>
        </xdr:to>
        <xdr:sp macro="" textlink="">
          <xdr:nvSpPr>
            <xdr:cNvPr id="65757" name="Control 221" hidden="1">
              <a:extLst>
                <a:ext uri="{63B3BB69-23CF-44E3-9099-C40C66FF867C}">
                  <a14:compatExt spid="_x0000_s65757"/>
                </a:ext>
                <a:ext uri="{FF2B5EF4-FFF2-40B4-BE49-F238E27FC236}">
                  <a16:creationId xmlns:a16="http://schemas.microsoft.com/office/drawing/2014/main" id="{00000000-0008-0000-1200-0000D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228600</xdr:colOff>
          <xdr:row>90</xdr:row>
          <xdr:rowOff>60960</xdr:rowOff>
        </xdr:to>
        <xdr:sp macro="" textlink="">
          <xdr:nvSpPr>
            <xdr:cNvPr id="65758" name="Control 222" hidden="1">
              <a:extLst>
                <a:ext uri="{63B3BB69-23CF-44E3-9099-C40C66FF867C}">
                  <a14:compatExt spid="_x0000_s65758"/>
                </a:ext>
                <a:ext uri="{FF2B5EF4-FFF2-40B4-BE49-F238E27FC236}">
                  <a16:creationId xmlns:a16="http://schemas.microsoft.com/office/drawing/2014/main" id="{00000000-0008-0000-1200-0000D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228600</xdr:colOff>
          <xdr:row>91</xdr:row>
          <xdr:rowOff>60960</xdr:rowOff>
        </xdr:to>
        <xdr:sp macro="" textlink="">
          <xdr:nvSpPr>
            <xdr:cNvPr id="65759" name="Control 223" hidden="1">
              <a:extLst>
                <a:ext uri="{63B3BB69-23CF-44E3-9099-C40C66FF867C}">
                  <a14:compatExt spid="_x0000_s65759"/>
                </a:ext>
                <a:ext uri="{FF2B5EF4-FFF2-40B4-BE49-F238E27FC236}">
                  <a16:creationId xmlns:a16="http://schemas.microsoft.com/office/drawing/2014/main" id="{00000000-0008-0000-1200-0000D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228600</xdr:colOff>
          <xdr:row>92</xdr:row>
          <xdr:rowOff>60960</xdr:rowOff>
        </xdr:to>
        <xdr:sp macro="" textlink="">
          <xdr:nvSpPr>
            <xdr:cNvPr id="65760" name="Control 224" hidden="1">
              <a:extLst>
                <a:ext uri="{63B3BB69-23CF-44E3-9099-C40C66FF867C}">
                  <a14:compatExt spid="_x0000_s65760"/>
                </a:ext>
                <a:ext uri="{FF2B5EF4-FFF2-40B4-BE49-F238E27FC236}">
                  <a16:creationId xmlns:a16="http://schemas.microsoft.com/office/drawing/2014/main" id="{00000000-0008-0000-1200-0000E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228600</xdr:colOff>
          <xdr:row>93</xdr:row>
          <xdr:rowOff>60960</xdr:rowOff>
        </xdr:to>
        <xdr:sp macro="" textlink="">
          <xdr:nvSpPr>
            <xdr:cNvPr id="65761" name="Control 225" hidden="1">
              <a:extLst>
                <a:ext uri="{63B3BB69-23CF-44E3-9099-C40C66FF867C}">
                  <a14:compatExt spid="_x0000_s65761"/>
                </a:ext>
                <a:ext uri="{FF2B5EF4-FFF2-40B4-BE49-F238E27FC236}">
                  <a16:creationId xmlns:a16="http://schemas.microsoft.com/office/drawing/2014/main" id="{00000000-0008-0000-1200-0000E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228600</xdr:colOff>
          <xdr:row>94</xdr:row>
          <xdr:rowOff>60960</xdr:rowOff>
        </xdr:to>
        <xdr:sp macro="" textlink="">
          <xdr:nvSpPr>
            <xdr:cNvPr id="65762" name="Control 226" hidden="1">
              <a:extLst>
                <a:ext uri="{63B3BB69-23CF-44E3-9099-C40C66FF867C}">
                  <a14:compatExt spid="_x0000_s65762"/>
                </a:ext>
                <a:ext uri="{FF2B5EF4-FFF2-40B4-BE49-F238E27FC236}">
                  <a16:creationId xmlns:a16="http://schemas.microsoft.com/office/drawing/2014/main" id="{00000000-0008-0000-1200-0000E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228600</xdr:colOff>
          <xdr:row>95</xdr:row>
          <xdr:rowOff>60960</xdr:rowOff>
        </xdr:to>
        <xdr:sp macro="" textlink="">
          <xdr:nvSpPr>
            <xdr:cNvPr id="65763" name="Control 227" hidden="1">
              <a:extLst>
                <a:ext uri="{63B3BB69-23CF-44E3-9099-C40C66FF867C}">
                  <a14:compatExt spid="_x0000_s65763"/>
                </a:ext>
                <a:ext uri="{FF2B5EF4-FFF2-40B4-BE49-F238E27FC236}">
                  <a16:creationId xmlns:a16="http://schemas.microsoft.com/office/drawing/2014/main" id="{00000000-0008-0000-1200-0000E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228600</xdr:colOff>
          <xdr:row>96</xdr:row>
          <xdr:rowOff>60960</xdr:rowOff>
        </xdr:to>
        <xdr:sp macro="" textlink="">
          <xdr:nvSpPr>
            <xdr:cNvPr id="65764" name="Control 228" hidden="1">
              <a:extLst>
                <a:ext uri="{63B3BB69-23CF-44E3-9099-C40C66FF867C}">
                  <a14:compatExt spid="_x0000_s65764"/>
                </a:ext>
                <a:ext uri="{FF2B5EF4-FFF2-40B4-BE49-F238E27FC236}">
                  <a16:creationId xmlns:a16="http://schemas.microsoft.com/office/drawing/2014/main" id="{00000000-0008-0000-1200-0000E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228600</xdr:colOff>
          <xdr:row>97</xdr:row>
          <xdr:rowOff>60960</xdr:rowOff>
        </xdr:to>
        <xdr:sp macro="" textlink="">
          <xdr:nvSpPr>
            <xdr:cNvPr id="65765" name="Control 229" hidden="1">
              <a:extLst>
                <a:ext uri="{63B3BB69-23CF-44E3-9099-C40C66FF867C}">
                  <a14:compatExt spid="_x0000_s65765"/>
                </a:ext>
                <a:ext uri="{FF2B5EF4-FFF2-40B4-BE49-F238E27FC236}">
                  <a16:creationId xmlns:a16="http://schemas.microsoft.com/office/drawing/2014/main" id="{00000000-0008-0000-1200-0000E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228600</xdr:colOff>
          <xdr:row>98</xdr:row>
          <xdr:rowOff>60960</xdr:rowOff>
        </xdr:to>
        <xdr:sp macro="" textlink="">
          <xdr:nvSpPr>
            <xdr:cNvPr id="65766" name="Control 230" hidden="1">
              <a:extLst>
                <a:ext uri="{63B3BB69-23CF-44E3-9099-C40C66FF867C}">
                  <a14:compatExt spid="_x0000_s65766"/>
                </a:ext>
                <a:ext uri="{FF2B5EF4-FFF2-40B4-BE49-F238E27FC236}">
                  <a16:creationId xmlns:a16="http://schemas.microsoft.com/office/drawing/2014/main" id="{00000000-0008-0000-1200-0000E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228600</xdr:colOff>
          <xdr:row>99</xdr:row>
          <xdr:rowOff>60960</xdr:rowOff>
        </xdr:to>
        <xdr:sp macro="" textlink="">
          <xdr:nvSpPr>
            <xdr:cNvPr id="65767" name="Control 231" hidden="1">
              <a:extLst>
                <a:ext uri="{63B3BB69-23CF-44E3-9099-C40C66FF867C}">
                  <a14:compatExt spid="_x0000_s65767"/>
                </a:ext>
                <a:ext uri="{FF2B5EF4-FFF2-40B4-BE49-F238E27FC236}">
                  <a16:creationId xmlns:a16="http://schemas.microsoft.com/office/drawing/2014/main" id="{00000000-0008-0000-1200-0000E7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228600</xdr:colOff>
          <xdr:row>100</xdr:row>
          <xdr:rowOff>60960</xdr:rowOff>
        </xdr:to>
        <xdr:sp macro="" textlink="">
          <xdr:nvSpPr>
            <xdr:cNvPr id="65768" name="Control 232" hidden="1">
              <a:extLst>
                <a:ext uri="{63B3BB69-23CF-44E3-9099-C40C66FF867C}">
                  <a14:compatExt spid="_x0000_s65768"/>
                </a:ext>
                <a:ext uri="{FF2B5EF4-FFF2-40B4-BE49-F238E27FC236}">
                  <a16:creationId xmlns:a16="http://schemas.microsoft.com/office/drawing/2014/main" id="{00000000-0008-0000-1200-0000E8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228600</xdr:colOff>
          <xdr:row>101</xdr:row>
          <xdr:rowOff>60960</xdr:rowOff>
        </xdr:to>
        <xdr:sp macro="" textlink="">
          <xdr:nvSpPr>
            <xdr:cNvPr id="65769" name="Control 233" hidden="1">
              <a:extLst>
                <a:ext uri="{63B3BB69-23CF-44E3-9099-C40C66FF867C}">
                  <a14:compatExt spid="_x0000_s65769"/>
                </a:ext>
                <a:ext uri="{FF2B5EF4-FFF2-40B4-BE49-F238E27FC236}">
                  <a16:creationId xmlns:a16="http://schemas.microsoft.com/office/drawing/2014/main" id="{00000000-0008-0000-1200-0000E9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228600</xdr:colOff>
          <xdr:row>102</xdr:row>
          <xdr:rowOff>60960</xdr:rowOff>
        </xdr:to>
        <xdr:sp macro="" textlink="">
          <xdr:nvSpPr>
            <xdr:cNvPr id="65770" name="Control 234" hidden="1">
              <a:extLst>
                <a:ext uri="{63B3BB69-23CF-44E3-9099-C40C66FF867C}">
                  <a14:compatExt spid="_x0000_s65770"/>
                </a:ext>
                <a:ext uri="{FF2B5EF4-FFF2-40B4-BE49-F238E27FC236}">
                  <a16:creationId xmlns:a16="http://schemas.microsoft.com/office/drawing/2014/main" id="{00000000-0008-0000-1200-0000E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228600</xdr:colOff>
          <xdr:row>103</xdr:row>
          <xdr:rowOff>60960</xdr:rowOff>
        </xdr:to>
        <xdr:sp macro="" textlink="">
          <xdr:nvSpPr>
            <xdr:cNvPr id="65771" name="Control 235" hidden="1">
              <a:extLst>
                <a:ext uri="{63B3BB69-23CF-44E3-9099-C40C66FF867C}">
                  <a14:compatExt spid="_x0000_s65771"/>
                </a:ext>
                <a:ext uri="{FF2B5EF4-FFF2-40B4-BE49-F238E27FC236}">
                  <a16:creationId xmlns:a16="http://schemas.microsoft.com/office/drawing/2014/main" id="{00000000-0008-0000-1200-0000E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228600</xdr:colOff>
          <xdr:row>104</xdr:row>
          <xdr:rowOff>60960</xdr:rowOff>
        </xdr:to>
        <xdr:sp macro="" textlink="">
          <xdr:nvSpPr>
            <xdr:cNvPr id="65772" name="Control 236" hidden="1">
              <a:extLst>
                <a:ext uri="{63B3BB69-23CF-44E3-9099-C40C66FF867C}">
                  <a14:compatExt spid="_x0000_s65772"/>
                </a:ext>
                <a:ext uri="{FF2B5EF4-FFF2-40B4-BE49-F238E27FC236}">
                  <a16:creationId xmlns:a16="http://schemas.microsoft.com/office/drawing/2014/main" id="{00000000-0008-0000-1200-0000EC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228600</xdr:colOff>
          <xdr:row>105</xdr:row>
          <xdr:rowOff>60960</xdr:rowOff>
        </xdr:to>
        <xdr:sp macro="" textlink="">
          <xdr:nvSpPr>
            <xdr:cNvPr id="65773" name="Control 237" hidden="1">
              <a:extLst>
                <a:ext uri="{63B3BB69-23CF-44E3-9099-C40C66FF867C}">
                  <a14:compatExt spid="_x0000_s65773"/>
                </a:ext>
                <a:ext uri="{FF2B5EF4-FFF2-40B4-BE49-F238E27FC236}">
                  <a16:creationId xmlns:a16="http://schemas.microsoft.com/office/drawing/2014/main" id="{00000000-0008-0000-1200-0000ED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228600</xdr:colOff>
          <xdr:row>106</xdr:row>
          <xdr:rowOff>60960</xdr:rowOff>
        </xdr:to>
        <xdr:sp macro="" textlink="">
          <xdr:nvSpPr>
            <xdr:cNvPr id="65774" name="Control 238" hidden="1">
              <a:extLst>
                <a:ext uri="{63B3BB69-23CF-44E3-9099-C40C66FF867C}">
                  <a14:compatExt spid="_x0000_s65774"/>
                </a:ext>
                <a:ext uri="{FF2B5EF4-FFF2-40B4-BE49-F238E27FC236}">
                  <a16:creationId xmlns:a16="http://schemas.microsoft.com/office/drawing/2014/main" id="{00000000-0008-0000-1200-0000EE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228600</xdr:colOff>
          <xdr:row>107</xdr:row>
          <xdr:rowOff>60960</xdr:rowOff>
        </xdr:to>
        <xdr:sp macro="" textlink="">
          <xdr:nvSpPr>
            <xdr:cNvPr id="65775" name="Control 239" hidden="1">
              <a:extLst>
                <a:ext uri="{63B3BB69-23CF-44E3-9099-C40C66FF867C}">
                  <a14:compatExt spid="_x0000_s65775"/>
                </a:ext>
                <a:ext uri="{FF2B5EF4-FFF2-40B4-BE49-F238E27FC236}">
                  <a16:creationId xmlns:a16="http://schemas.microsoft.com/office/drawing/2014/main" id="{00000000-0008-0000-1200-0000EF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228600</xdr:colOff>
          <xdr:row>108</xdr:row>
          <xdr:rowOff>60960</xdr:rowOff>
        </xdr:to>
        <xdr:sp macro="" textlink="">
          <xdr:nvSpPr>
            <xdr:cNvPr id="65776" name="Control 240" hidden="1">
              <a:extLst>
                <a:ext uri="{63B3BB69-23CF-44E3-9099-C40C66FF867C}">
                  <a14:compatExt spid="_x0000_s65776"/>
                </a:ext>
                <a:ext uri="{FF2B5EF4-FFF2-40B4-BE49-F238E27FC236}">
                  <a16:creationId xmlns:a16="http://schemas.microsoft.com/office/drawing/2014/main" id="{00000000-0008-0000-1200-0000F0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228600</xdr:colOff>
          <xdr:row>109</xdr:row>
          <xdr:rowOff>60960</xdr:rowOff>
        </xdr:to>
        <xdr:sp macro="" textlink="">
          <xdr:nvSpPr>
            <xdr:cNvPr id="65777" name="Control 241" hidden="1">
              <a:extLst>
                <a:ext uri="{63B3BB69-23CF-44E3-9099-C40C66FF867C}">
                  <a14:compatExt spid="_x0000_s65777"/>
                </a:ext>
                <a:ext uri="{FF2B5EF4-FFF2-40B4-BE49-F238E27FC236}">
                  <a16:creationId xmlns:a16="http://schemas.microsoft.com/office/drawing/2014/main" id="{00000000-0008-0000-1200-0000F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228600</xdr:colOff>
          <xdr:row>110</xdr:row>
          <xdr:rowOff>60960</xdr:rowOff>
        </xdr:to>
        <xdr:sp macro="" textlink="">
          <xdr:nvSpPr>
            <xdr:cNvPr id="65778" name="Control 242" hidden="1">
              <a:extLst>
                <a:ext uri="{63B3BB69-23CF-44E3-9099-C40C66FF867C}">
                  <a14:compatExt spid="_x0000_s65778"/>
                </a:ext>
                <a:ext uri="{FF2B5EF4-FFF2-40B4-BE49-F238E27FC236}">
                  <a16:creationId xmlns:a16="http://schemas.microsoft.com/office/drawing/2014/main" id="{00000000-0008-0000-1200-0000F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228600</xdr:colOff>
          <xdr:row>111</xdr:row>
          <xdr:rowOff>60960</xdr:rowOff>
        </xdr:to>
        <xdr:sp macro="" textlink="">
          <xdr:nvSpPr>
            <xdr:cNvPr id="65779" name="Control 243" hidden="1">
              <a:extLst>
                <a:ext uri="{63B3BB69-23CF-44E3-9099-C40C66FF867C}">
                  <a14:compatExt spid="_x0000_s65779"/>
                </a:ext>
                <a:ext uri="{FF2B5EF4-FFF2-40B4-BE49-F238E27FC236}">
                  <a16:creationId xmlns:a16="http://schemas.microsoft.com/office/drawing/2014/main" id="{00000000-0008-0000-1200-0000F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228600</xdr:colOff>
          <xdr:row>112</xdr:row>
          <xdr:rowOff>60960</xdr:rowOff>
        </xdr:to>
        <xdr:sp macro="" textlink="">
          <xdr:nvSpPr>
            <xdr:cNvPr id="65780" name="Control 244" hidden="1">
              <a:extLst>
                <a:ext uri="{63B3BB69-23CF-44E3-9099-C40C66FF867C}">
                  <a14:compatExt spid="_x0000_s65780"/>
                </a:ext>
                <a:ext uri="{FF2B5EF4-FFF2-40B4-BE49-F238E27FC236}">
                  <a16:creationId xmlns:a16="http://schemas.microsoft.com/office/drawing/2014/main" id="{00000000-0008-0000-1200-0000F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228600</xdr:colOff>
          <xdr:row>113</xdr:row>
          <xdr:rowOff>60960</xdr:rowOff>
        </xdr:to>
        <xdr:sp macro="" textlink="">
          <xdr:nvSpPr>
            <xdr:cNvPr id="65781" name="Control 245" hidden="1">
              <a:extLst>
                <a:ext uri="{63B3BB69-23CF-44E3-9099-C40C66FF867C}">
                  <a14:compatExt spid="_x0000_s65781"/>
                </a:ext>
                <a:ext uri="{FF2B5EF4-FFF2-40B4-BE49-F238E27FC236}">
                  <a16:creationId xmlns:a16="http://schemas.microsoft.com/office/drawing/2014/main" id="{00000000-0008-0000-1200-0000F5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228600</xdr:colOff>
          <xdr:row>114</xdr:row>
          <xdr:rowOff>60960</xdr:rowOff>
        </xdr:to>
        <xdr:sp macro="" textlink="">
          <xdr:nvSpPr>
            <xdr:cNvPr id="65782" name="Control 246" hidden="1">
              <a:extLst>
                <a:ext uri="{63B3BB69-23CF-44E3-9099-C40C66FF867C}">
                  <a14:compatExt spid="_x0000_s65782"/>
                </a:ext>
                <a:ext uri="{FF2B5EF4-FFF2-40B4-BE49-F238E27FC236}">
                  <a16:creationId xmlns:a16="http://schemas.microsoft.com/office/drawing/2014/main" id="{00000000-0008-0000-1200-0000F6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228600</xdr:colOff>
          <xdr:row>119</xdr:row>
          <xdr:rowOff>60960</xdr:rowOff>
        </xdr:to>
        <xdr:sp macro="" textlink="">
          <xdr:nvSpPr>
            <xdr:cNvPr id="65783" name="Control 247" hidden="1">
              <a:extLst>
                <a:ext uri="{63B3BB69-23CF-44E3-9099-C40C66FF867C}">
                  <a14:compatExt spid="_x0000_s65783"/>
                </a:ext>
                <a:ext uri="{FF2B5EF4-FFF2-40B4-BE49-F238E27FC236}">
                  <a16:creationId xmlns:a16="http://schemas.microsoft.com/office/drawing/2014/main" id="{00000000-0008-0000-1200-0000F7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10</xdr:col>
      <xdr:colOff>0</xdr:colOff>
      <xdr:row>1</xdr:row>
      <xdr:rowOff>0</xdr:rowOff>
    </xdr:from>
    <xdr:ext cx="114300" cy="190500"/>
    <xdr:pic>
      <xdr:nvPicPr>
        <xdr:cNvPr id="26" name="Imagem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5B384AB-5AB9-476C-B7E5-8435A2B5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5120" y="1752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</xdr:row>
      <xdr:rowOff>0</xdr:rowOff>
    </xdr:from>
    <xdr:ext cx="114300" cy="190500"/>
    <xdr:pic>
      <xdr:nvPicPr>
        <xdr:cNvPr id="27" name="Imagem 2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63A6858-4A2E-42D5-93FF-67652A8AE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2460" y="5334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228600</xdr:colOff>
          <xdr:row>123</xdr:row>
          <xdr:rowOff>22860</xdr:rowOff>
        </xdr:to>
        <xdr:sp macro="" textlink="">
          <xdr:nvSpPr>
            <xdr:cNvPr id="65786" name="Control 250" hidden="1">
              <a:extLst>
                <a:ext uri="{63B3BB69-23CF-44E3-9099-C40C66FF867C}">
                  <a14:compatExt spid="_x0000_s65786"/>
                </a:ext>
                <a:ext uri="{FF2B5EF4-FFF2-40B4-BE49-F238E27FC236}">
                  <a16:creationId xmlns:a16="http://schemas.microsoft.com/office/drawing/2014/main" id="{00000000-0008-0000-1200-0000FA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228600</xdr:colOff>
          <xdr:row>123</xdr:row>
          <xdr:rowOff>205740</xdr:rowOff>
        </xdr:to>
        <xdr:sp macro="" textlink="">
          <xdr:nvSpPr>
            <xdr:cNvPr id="65787" name="Control 251" hidden="1">
              <a:extLst>
                <a:ext uri="{63B3BB69-23CF-44E3-9099-C40C66FF867C}">
                  <a14:compatExt spid="_x0000_s65787"/>
                </a:ext>
                <a:ext uri="{FF2B5EF4-FFF2-40B4-BE49-F238E27FC236}">
                  <a16:creationId xmlns:a16="http://schemas.microsoft.com/office/drawing/2014/main" id="{00000000-0008-0000-1200-0000FB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65.555364236112" createdVersion="8" refreshedVersion="8" minRefreshableVersion="3" recordCount="1254" xr:uid="{16BC920C-9B41-4EB6-9B86-40BDB2DE2950}">
  <cacheSource type="worksheet">
    <worksheetSource ref="A1:G1258" sheet="BASE"/>
  </cacheSource>
  <cacheFields count="9">
    <cacheField name="DATA" numFmtId="14">
      <sharedItems containsSemiMixedTypes="0" containsNonDate="0" containsDate="1" containsString="0" minDate="2025-10-01T00:00:00" maxDate="2026-01-01T00:00:00" count="66">
        <d v="2025-10-21T00:00:00"/>
        <d v="2025-11-21T00:00:00"/>
        <d v="2025-12-19T00:00:00"/>
        <d v="2025-10-31T00:00:00"/>
        <d v="2025-11-28T00:00:00"/>
        <d v="2025-12-30T00:00:00"/>
        <d v="2025-10-30T00:00:00"/>
        <d v="2025-10-29T00:00:00"/>
        <d v="2025-11-07T00:00:00"/>
        <d v="2025-11-25T00:00:00"/>
        <d v="2025-12-26T00:00:00"/>
        <d v="2025-10-03T00:00:00"/>
        <d v="2025-10-23T00:00:00"/>
        <d v="2025-10-22T00:00:00"/>
        <d v="2025-10-20T00:00:00"/>
        <d v="2025-12-09T00:00:00"/>
        <d v="2025-10-13T00:00:00"/>
        <d v="2025-11-11T00:00:00"/>
        <d v="2025-12-11T00:00:00"/>
        <d v="2025-10-07T00:00:00"/>
        <d v="2025-10-08T00:00:00"/>
        <d v="2025-11-05T00:00:00"/>
        <d v="2025-11-03T00:00:00"/>
        <d v="2025-10-01T00:00:00"/>
        <d v="2025-10-10T00:00:00"/>
        <d v="2025-10-24T00:00:00"/>
        <d v="2025-10-02T00:00:00"/>
        <d v="2025-10-06T00:00:00"/>
        <d v="2025-12-01T00:00:00"/>
        <d v="2025-10-15T00:00:00"/>
        <d v="2025-10-16T00:00:00"/>
        <d v="2025-10-14T00:00:00"/>
        <d v="2025-10-28T00:00:00"/>
        <d v="2025-10-27T00:00:00"/>
        <d v="2025-11-27T00:00:00"/>
        <d v="2025-12-29T00:00:00"/>
        <d v="2025-11-06T00:00:00"/>
        <d v="2025-10-17T00:00:00"/>
        <d v="2025-11-04T00:00:00"/>
        <d v="2025-11-24T00:00:00"/>
        <d v="2025-12-31T00:00:00"/>
        <d v="2025-10-09T00:00:00"/>
        <d v="2025-12-03T00:00:00"/>
        <d v="2025-11-14T00:00:00"/>
        <d v="2025-11-10T00:00:00"/>
        <d v="2025-11-17T00:00:00"/>
        <d v="2025-11-13T00:00:00"/>
        <d v="2025-11-26T00:00:00"/>
        <d v="2025-12-17T00:00:00"/>
        <d v="2025-11-18T00:00:00"/>
        <d v="2025-11-20T00:00:00"/>
        <d v="2025-12-16T00:00:00"/>
        <d v="2025-12-08T00:00:00"/>
        <d v="2025-12-05T00:00:00"/>
        <d v="2025-12-02T00:00:00"/>
        <d v="2025-12-04T00:00:00"/>
        <d v="2025-12-15T00:00:00"/>
        <d v="2025-12-12T00:00:00"/>
        <d v="2025-12-10T00:00:00"/>
        <d v="2025-12-18T00:00:00"/>
        <d v="2025-12-22T00:00:00"/>
        <d v="2025-12-23T00:00:00"/>
        <d v="2025-12-24T00:00:00"/>
        <d v="2025-11-15T00:00:00" u="1"/>
        <d v="2025-11-16T00:00:00" u="1"/>
        <d v="2025-10-11T00:00:00" u="1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75000" maxValue="816717.89"/>
    </cacheField>
    <cacheField name="TIPO" numFmtId="0">
      <sharedItems count="2">
        <s v="RECEITAS"/>
        <s v="DESPESAS"/>
      </sharedItems>
    </cacheField>
    <cacheField name="CENTRO DE CUSTO" numFmtId="0">
      <sharedItems/>
    </cacheField>
    <cacheField name="Dias (DATA)" numFmtId="0" databaseField="0">
      <fieldGroup base="0">
        <rangePr groupBy="days" startDate="2025-10-01T00:00:00" endDate="2026-01-01T00:00:00"/>
        <groupItems count="368">
          <s v="&lt;01/10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DATA)" numFmtId="0" databaseField="0">
      <fieldGroup base="0">
        <rangePr groupBy="months" startDate="2025-10-01T00:00:00" endDate="2026-01-01T00:00:00"/>
        <groupItems count="14">
          <s v="&lt;01/10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65.555364699074" createdVersion="8" refreshedVersion="8" minRefreshableVersion="3" recordCount="43" xr:uid="{E9A15C1D-B70C-4CAF-A0C0-35519F46F707}">
  <cacheSource type="worksheet">
    <worksheetSource ref="A1:G44" sheet="22 A 29.10"/>
  </cacheSource>
  <cacheFields count="7">
    <cacheField name="DATA" numFmtId="14">
      <sharedItems containsSemiMixedTypes="0" containsNonDate="0" containsDate="1" containsString="0" minDate="2025-10-22T00:00:00" maxDate="2025-10-30T00:00:00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44">
      <sharedItems containsSemiMixedTypes="0" containsString="0" containsNumber="1" minValue="-41000" maxValue="-44"/>
    </cacheField>
    <cacheField name="TIPO" numFmtId="0">
      <sharedItems/>
    </cacheField>
    <cacheField name="CENTRO DE CUSTO" numFmtId="0">
      <sharedItems count="14">
        <s v="UNIFORMES"/>
        <s v="ACORDO TRABALHISTA"/>
        <s v="VALE TRANSPORTE"/>
        <s v="CAIXINHA"/>
        <s v="FT"/>
        <s v="MERCADORIAS PARA REVENDA"/>
        <s v="IMPOSTO"/>
        <s v="APORTE"/>
        <s v="INTERNET"/>
        <s v="VALE ALIMENTAÇAO"/>
        <s v="RESCISÕES"/>
        <s v="ASSIDUIDADE"/>
        <s v="EXAMES MEDICOS"/>
        <s v="VALE ALIMENTAÇÃ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65.555365046297" createdVersion="8" refreshedVersion="8" minRefreshableVersion="3" recordCount="2749" xr:uid="{92DFA49D-1A25-4934-9B35-669DE1BAB8B9}">
  <cacheSource type="worksheet">
    <worksheetSource ref="A1:G2750" sheet="COPIA 1 JULHO  DEZ"/>
  </cacheSource>
  <cacheFields count="9">
    <cacheField name="DATA" numFmtId="14">
      <sharedItems containsSemiMixedTypes="0" containsNonDate="0" containsDate="1" containsString="0" minDate="2025-07-01T00:00:00" maxDate="2025-12-31T00:00:00" count="128">
        <d v="2025-07-23T00:00:00"/>
        <d v="2025-07-01T00:00:00"/>
        <d v="2025-07-04T00:00:00"/>
        <d v="2025-07-03T00:00:00"/>
        <d v="2025-07-02T00:00:00"/>
        <d v="2025-07-07T00:00:00"/>
        <d v="2025-07-14T00:00:00"/>
        <d v="2025-07-11T00:00:00"/>
        <d v="2025-07-10T00:00:00"/>
        <d v="2025-07-22T00:00:00"/>
        <d v="2025-07-16T00:00:00"/>
        <d v="2025-07-15T00:00:00"/>
        <d v="2025-07-18T00:00:00"/>
        <d v="2025-07-17T00:00:00"/>
        <d v="2025-07-21T00:00:00"/>
        <d v="2025-07-28T00:00:00"/>
        <d v="2025-07-24T00:00:00"/>
        <d v="2025-08-21T00:00:00"/>
        <d v="2025-09-19T00:00:00"/>
        <d v="2025-10-21T00:00:00"/>
        <d v="2025-11-21T00:00:00"/>
        <d v="2025-12-19T00:00:00"/>
        <d v="2025-07-25T00:00:00"/>
        <d v="2025-08-26T00:00:00"/>
        <d v="2025-07-31T00:00:00"/>
        <d v="2025-07-30T00:00:00"/>
        <d v="2025-08-28T00:00:00"/>
        <d v="2025-09-16T00:00:00"/>
        <d v="2025-09-24T00:00:00"/>
        <d v="2025-10-31T00:00:00"/>
        <d v="2025-08-01T00:00:00"/>
        <d v="2025-08-29T00:00:00"/>
        <d v="2025-09-30T00:00:00"/>
        <d v="2025-11-28T00:00:00"/>
        <d v="2025-12-30T00:00:00"/>
        <d v="2025-07-29T00:00:00"/>
        <d v="2025-08-07T00:00:00"/>
        <d v="2025-07-08T00:00:00"/>
        <d v="2025-10-30T00:00:00"/>
        <d v="2025-10-02T00:00:00"/>
        <d v="2025-08-25T00:00:00"/>
        <d v="2025-10-27T00:00:00"/>
        <d v="2025-11-25T00:00:00"/>
        <d v="2025-12-26T00:00:00"/>
        <d v="2025-09-01T00:00:00"/>
        <d v="2025-09-29T00:00:00"/>
        <d v="2025-08-04T00:00:00"/>
        <d v="2025-08-05T00:00:00"/>
        <d v="2025-08-06T00:00:00"/>
        <d v="2025-08-19T00:00:00"/>
        <d v="2025-08-08T00:00:00"/>
        <d v="2025-08-11T00:00:00"/>
        <d v="2025-08-12T00:00:00"/>
        <d v="2025-09-12T00:00:00"/>
        <d v="2025-10-03T00:00:00"/>
        <d v="2025-08-22T00:00:00"/>
        <d v="2025-08-14T00:00:00"/>
        <d v="2025-08-15T00:00:00"/>
        <d v="2025-08-18T00:00:00"/>
        <d v="2025-08-27T00:00:00"/>
        <d v="2025-09-08T00:00:00"/>
        <d v="2025-09-17T00:00:00"/>
        <d v="2025-08-20T00:00:00"/>
        <d v="2025-09-02T00:00:00"/>
        <d v="2025-10-07T00:00:00"/>
        <d v="2025-11-07T00:00:00"/>
        <d v="2025-12-09T00:00:00"/>
        <d v="2025-09-11T00:00:00"/>
        <d v="2025-10-13T00:00:00"/>
        <d v="2025-11-11T00:00:00"/>
        <d v="2025-12-11T00:00:00"/>
        <d v="2025-08-13T00:00:00"/>
        <d v="2025-09-09T00:00:00"/>
        <d v="2025-10-08T00:00:00"/>
        <d v="2025-09-04T00:00:00"/>
        <d v="2025-09-05T00:00:00"/>
        <d v="2025-09-03T00:00:00"/>
        <d v="2025-09-10T00:00:00"/>
        <d v="2025-10-16T00:00:00"/>
        <d v="2025-10-01T00:00:00"/>
        <d v="2025-09-18T00:00:00"/>
        <d v="2025-09-22T00:00:00"/>
        <d v="2025-09-23T00:00:00"/>
        <d v="2025-09-26T00:00:00"/>
        <d v="2025-09-25T00:00:00"/>
        <d v="2025-12-01T00:00:00"/>
        <d v="2025-10-15T00:00:00"/>
        <d v="2025-10-06T00:00:00"/>
        <d v="2025-10-20T00:00:00"/>
        <d v="2025-10-17T00:00:00"/>
        <d v="2025-10-10T00:00:00"/>
        <d v="2025-10-23T00:00:00"/>
        <d v="2025-10-24T00:00:00"/>
        <d v="2025-10-22T00:00:00"/>
        <d v="2025-10-14T00:00:00"/>
        <d v="2025-10-29T00:00:00"/>
        <d v="2025-11-27T00:00:00"/>
        <d v="2025-12-29T00:00:00"/>
        <d v="2025-10-09T00:00:00"/>
        <d v="2025-11-03T00:00:00"/>
        <d v="2025-12-03T00:00:00"/>
        <d v="2025-11-04T00:00:00"/>
        <d v="2025-11-06T00:00:00"/>
        <d v="2025-11-05T00:00:00"/>
        <d v="2025-11-17T00:00:00"/>
        <d v="2025-11-14T00:00:00"/>
        <d v="2025-11-10T00:00:00"/>
        <d v="2025-11-13T00:00:00"/>
        <d v="2025-11-26T00:00:00"/>
        <d v="2025-11-18T00:00:00"/>
        <d v="2025-11-20T00:00:00"/>
        <d v="2025-11-24T00:00:00"/>
        <d v="2025-12-16T00:00:00"/>
        <d v="2025-12-08T00:00:00"/>
        <d v="2025-12-05T00:00:00"/>
        <d v="2025-12-02T00:00:00"/>
        <d v="2025-12-04T00:00:00"/>
        <d v="2025-12-15T00:00:00"/>
        <d v="2025-12-12T00:00:00"/>
        <d v="2025-12-10T00:00:00"/>
        <d v="2025-12-17T00:00:00"/>
        <d v="2025-12-18T00:00:00"/>
        <d v="2025-12-22T00:00:00"/>
        <d v="2025-12-23T00:00:00"/>
        <d v="2025-11-29T00:00:00" u="1"/>
        <d v="2025-12-07T00:00:00" u="1"/>
        <d v="2025-09-27T00:00:00" u="1"/>
        <d v="2025-09-15T00:00:00" u="1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71317.52" maxValue="908006.92"/>
    </cacheField>
    <cacheField name="TIPO" numFmtId="0">
      <sharedItems count="3">
        <s v="DESPESAS"/>
        <s v="RECEITAS"/>
        <s v="EQUIPAMENTO" u="1"/>
      </sharedItems>
    </cacheField>
    <cacheField name="CENTRO DE CUSTO" numFmtId="0">
      <sharedItems/>
    </cacheField>
    <cacheField name="Dias (DATA)" numFmtId="0" databaseField="0">
      <fieldGroup base="0">
        <rangePr groupBy="days" startDate="2025-07-01T00:00:00" endDate="2025-12-31T00:00:00"/>
        <groupItems count="368">
          <s v="&lt;01/07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5"/>
        </groupItems>
      </fieldGroup>
    </cacheField>
    <cacheField name="Meses (DATA)" numFmtId="0" databaseField="0">
      <fieldGroup base="0">
        <rangePr groupBy="months" startDate="2025-07-01T00:00:00" endDate="2025-12-31T00:00:00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4">
  <r>
    <x v="0"/>
    <s v="OUTUBRO"/>
    <s v="HSERV CLEAN"/>
    <s v="SANTA CASA DE MISERICORDIA DE CABREUVA"/>
    <n v="2863.03"/>
    <x v="0"/>
    <s v="VENDAS DE PRODUTOS"/>
  </r>
  <r>
    <x v="0"/>
    <s v="OUTUBRO"/>
    <s v="HSERV LTDA"/>
    <s v="CASA AVENIDA COMERCIO E IMPORTACAO S.A."/>
    <n v="5755.43"/>
    <x v="0"/>
    <s v="VENDAS DE SERVIÇOS"/>
  </r>
  <r>
    <x v="0"/>
    <s v="OUTUBRO"/>
    <s v="HSERV CABREUVA"/>
    <s v="FTS -20/10"/>
    <n v="-2205.73"/>
    <x v="1"/>
    <s v="FT"/>
  </r>
  <r>
    <x v="0"/>
    <s v="OUTUBRO"/>
    <s v="HSERV CABREUVA"/>
    <s v="JESAIAS ROMANHA -PROC 0010363-38.2022.5.15.0097 - ISABEL MACHADO PARCELA 5/8"/>
    <n v="-23700"/>
    <x v="1"/>
    <s v="ACORDO TRABALHISTA"/>
  </r>
  <r>
    <x v="1"/>
    <s v="NOVEMBRO"/>
    <s v="HSERV CABREUVA"/>
    <s v="JESAIAS ROMANHA -PROC 0010363-38.2022.5.15.0097 - ISABEL MACHADO PARCELA 6/8"/>
    <n v="-50000"/>
    <x v="1"/>
    <s v="ACORDO TRABALHISTA"/>
  </r>
  <r>
    <x v="2"/>
    <s v="DEZEMBRO"/>
    <s v="HSERV CABREUVA"/>
    <s v="JESAIAS ROMANHA ACORDO TRABALHISTA - ISABEL MACHADO PARCELA 6/6"/>
    <n v="-65000"/>
    <x v="1"/>
    <s v="ACORDO TRABALHISTA"/>
  </r>
  <r>
    <x v="3"/>
    <s v="OUTUBRO"/>
    <s v="VITOR DUARTE"/>
    <s v="CLAUDIO JESUS DE ALMEIDA ADVOGADOS ASSOCIADOS-Proc 0011865-05.2024.5.15.0109- ADRILENE PEREIRA DA SILVA-PARCELA 4/6"/>
    <n v="-1500"/>
    <x v="1"/>
    <s v="ACORDO TRABALHISTA"/>
  </r>
  <r>
    <x v="4"/>
    <s v="NOVEMBRO"/>
    <s v="VITOR DUARTE"/>
    <s v="CLAUDIO JESUS DE ALMEIDA ADVOGADOS ASSOCIADOS-Proc 0011865-05.2024.5.15.0109- ADRILENE PEREIRA DA SILVA-PARCELA 5/6"/>
    <n v="-1500"/>
    <x v="1"/>
    <s v="ACORDO TRABALHISTA"/>
  </r>
  <r>
    <x v="5"/>
    <s v="DEZEMBRO"/>
    <s v="VITOR DUARTE"/>
    <s v="CLAUDIO JESUS DE ALMEIDA ADVOGADOS ASSOCIADOS-Proc 0011865-05.2024.5.15.0109- ADRILENE PEREIRA DA SILVA-PARCELA 6/6"/>
    <n v="-1500"/>
    <x v="1"/>
    <s v="ACORDO TRABALHISTA"/>
  </r>
  <r>
    <x v="3"/>
    <s v="OUTUBRO"/>
    <s v="HSERV CABREUVA"/>
    <s v="OKUYAMA &amp; ALVES SOCIEDADE DE ADVOGADOS-PROC 0012360-22.2024.5.15.0021 ADRIANA TEIXEIRA DE OLIVEIRA PARCELA 4/8"/>
    <n v="-2000"/>
    <x v="1"/>
    <s v="ACORDO TRABALHISTA"/>
  </r>
  <r>
    <x v="4"/>
    <s v="NOVEMBRO"/>
    <s v="HSERV CABREUVA"/>
    <s v="OKUYAMA &amp; ALVES SOCIEDADE DE ADVOGADOS-PROC 0012360-22.2024.5.15.0021 ADRIANA TEIXEIRA DE OLIVEIRA PARCELA 5/8"/>
    <n v="-2000"/>
    <x v="1"/>
    <s v="ACORDO TRABALHISTA"/>
  </r>
  <r>
    <x v="5"/>
    <s v="DEZEMBRO"/>
    <s v="HSERV CABREUVA"/>
    <s v="OKUYAMA &amp; ALVES SOCIEDADE DE ADVOGADOS-PROC 0012360-22.2024.5.15.0021 ADRIANA TEIXEIRA DE OLIVEIRA PARCELA 6/8"/>
    <n v="-2000"/>
    <x v="1"/>
    <s v="ACORDO TRABALHISTA"/>
  </r>
  <r>
    <x v="6"/>
    <s v="OUTUBRO"/>
    <s v="VITOR DUARTE"/>
    <s v="ALTEVYR SILVA GONCALVES -PROC-nº 0010321-03.2025.5.15.0026  IZILDA APARECIDA SABINO PARCELA 4/5"/>
    <n v="-880"/>
    <x v="1"/>
    <s v="ACORDO TRABALHISTA"/>
  </r>
  <r>
    <x v="4"/>
    <s v="NOVEMBRO"/>
    <s v="VITOR DUARTE"/>
    <s v="ALTEVYR SILVA GONCALVES -PROC-nº 0010321-03.2025.5.15.0026  IZILDA APARECIDA SABINO PARCELA 5/5"/>
    <n v="-880"/>
    <x v="1"/>
    <s v="ACORDO TRABALHISTA"/>
  </r>
  <r>
    <x v="6"/>
    <s v="OUTUBRO"/>
    <s v="HSERV COMBINADOS"/>
    <s v="DAMIAO BERNARDO DA SILVA- VA 4 DIAS "/>
    <n v="-83.04"/>
    <x v="1"/>
    <s v="VALE ALIMENTAÇÃO"/>
  </r>
  <r>
    <x v="7"/>
    <s v="OUTUBRO"/>
    <s v="HSERV COMBINADOS "/>
    <s v="MARCOS COUTO - CAIXINHA OPERACIONAL"/>
    <n v="-1000"/>
    <x v="1"/>
    <s v="CAIXINHA"/>
  </r>
  <r>
    <x v="8"/>
    <s v="NOVEMBRO"/>
    <s v="VITOR DUARTE"/>
    <s v="LUPE LOCACAO E COMERCIO DE EQUIPAMENTOS ELETRONICOS E SERVIÇOS-VENCIMENTO 30/10/2025"/>
    <n v="-430.22"/>
    <x v="1"/>
    <s v="ALUGUEL DE EQUIPAMENTOS"/>
  </r>
  <r>
    <x v="9"/>
    <s v="NOVEMBRO"/>
    <s v="VITOR DUARTE"/>
    <s v="LUPE LOCACAO E COMERCIO DE EQUIPAMENTOS ELETRONICOS E SERVIC"/>
    <n v="-430.22"/>
    <x v="1"/>
    <s v="ALUGUEL DE EQUIPAMENTOS"/>
  </r>
  <r>
    <x v="10"/>
    <s v="DEZEMBRO"/>
    <s v="VITOR DUARTE"/>
    <s v="LUPE LOCACAO E COMERCIO DE EQUIPAMENTOS ELETRONICOS E SERVIC"/>
    <n v="-430.22"/>
    <x v="1"/>
    <s v="ALUGUEL DE EQUIPAMENTOS"/>
  </r>
  <r>
    <x v="8"/>
    <s v="NOVEMBRO"/>
    <s v="HSERV TERCERIZADOS"/>
    <s v="PREFEITURA MUNICIPAL DE CABREUVA"/>
    <n v="15077.75"/>
    <x v="0"/>
    <s v="VENDAS DE SERVIÇOS"/>
  </r>
  <r>
    <x v="4"/>
    <s v="NOVEMBRO"/>
    <s v="HSERV TERCERIZADOS"/>
    <s v="PREFEITURA M DE CABR"/>
    <n v="15077.75"/>
    <x v="0"/>
    <s v="VENDAS DE SERVIÇOS"/>
  </r>
  <r>
    <x v="5"/>
    <s v="DEZEMBRO"/>
    <s v="HSERV TERCERIZADOS"/>
    <s v="PREFEITURA M DE CABR"/>
    <n v="15077.75"/>
    <x v="0"/>
    <s v="VENDAS DE SERVIÇOS"/>
  </r>
  <r>
    <x v="11"/>
    <s v="OUTUBRO"/>
    <s v="HSERV TERCEIRIZADOS"/>
    <s v="MOVIDA PARTICIPACOES S.A. 18/08/2025"/>
    <n v="-2599.85"/>
    <x v="1"/>
    <s v="ALUGUEL DE VEICULOS"/>
  </r>
  <r>
    <x v="6"/>
    <s v="OUTUBRO"/>
    <s v="VITOR DUARTE"/>
    <s v="CARLOS EDUARDO DE OLIVEIRA SOCIEDADE INDIVIDUAL DE ADVOCACIA PRoc 0011980-02.2023.5.15.0096 RECLAMANTE: LAZINHO CANDID PARCELA 2/18"/>
    <n v="-4370.2700000000004"/>
    <x v="1"/>
    <s v="ACORDO TRABALHISTA"/>
  </r>
  <r>
    <x v="12"/>
    <s v="OUTUBRO"/>
    <s v="VITOR DUARTE"/>
    <s v="ALTOLIM COMERCIAL ASSIS EIRELI - ME VENCIDA 21/10/2025"/>
    <n v="-86.81"/>
    <x v="1"/>
    <s v="UNIFORMES"/>
  </r>
  <r>
    <x v="13"/>
    <s v="OUTUBRO"/>
    <s v="HSERV CABREUVA"/>
    <s v="JESAIAS ROMANHA -PROC 0010363-38.2022.5.15.0097 - ISABEL MACHADO PARCELA 5/8"/>
    <n v="-26700"/>
    <x v="1"/>
    <s v="ACORDO TRABALHISTA"/>
  </r>
  <r>
    <x v="13"/>
    <s v="OUTUBRO"/>
    <s v="HENRIQUE JEAN"/>
    <s v="MARICLEIDE IRACI DA SILVA VALE TRANSPORTE DE OUTUBRO  LOJA 29 PRESIDENTE PRUDENTE"/>
    <n v="-200"/>
    <x v="1"/>
    <s v="VALE TRANSPORTE"/>
  </r>
  <r>
    <x v="0"/>
    <s v="OUTUBRO"/>
    <s v="HSERV CLEAN"/>
    <s v="VENDAS CLEAN"/>
    <n v="3127.27"/>
    <x v="0"/>
    <s v="VENDAS DE PRODUTOS"/>
  </r>
  <r>
    <x v="0"/>
    <s v="OUTUBRO"/>
    <s v="VITOR DUARTE"/>
    <s v="APORTE VITOR - OTAVIO"/>
    <n v="19300"/>
    <x v="0"/>
    <s v="APORTE"/>
  </r>
  <r>
    <x v="13"/>
    <s v="OUTUBRO"/>
    <s v="VITOR DUARTE"/>
    <s v="OTAVIO AUGUSTO FERREIRA  - PROLABORE"/>
    <n v="-20679.990000000002"/>
    <x v="1"/>
    <s v="PROLABORE"/>
  </r>
  <r>
    <x v="0"/>
    <s v="OUTUBRO"/>
    <s v="HSERV CLEAN"/>
    <s v="EMPRESTIMO INTER"/>
    <n v="3669"/>
    <x v="0"/>
    <s v="VENDAS DE PRODUTOS"/>
  </r>
  <r>
    <x v="13"/>
    <s v="OUTUBRO"/>
    <s v="HSERV TECNOLOGIA"/>
    <s v="SIMONE DE OLIVEIRA SALLES"/>
    <n v="-221.4"/>
    <x v="1"/>
    <s v="VALE TRANSPORTE"/>
  </r>
  <r>
    <x v="13"/>
    <s v="OUTUBRO"/>
    <s v="VITOR DUARTE"/>
    <s v="LAURA SAFI FREIRE"/>
    <n v="-243"/>
    <x v="1"/>
    <s v="VALE TRANSPORTE"/>
  </r>
  <r>
    <x v="1"/>
    <s v="NOVEMBRO"/>
    <s v="VITOR DUARTE"/>
    <s v="ARGENTON E QUEIROZ ADVOGADOS ASSOCIADOS-Proc 0012026-51.2024.5.15.0097-SIMONE DA SILVA CORREIA- PARCELA 6/6"/>
    <n v="-268.92"/>
    <x v="1"/>
    <s v="ACORDO TRABALHISTA"/>
  </r>
  <r>
    <x v="11"/>
    <s v="OUTUBRO"/>
    <s v="HSERV CLEAN"/>
    <s v="PM DE CABREUVA"/>
    <n v="3073.82"/>
    <x v="0"/>
    <s v="VENDAS DE SERVIÇOS"/>
  </r>
  <r>
    <x v="14"/>
    <s v="OUTUBRO"/>
    <s v="HSERV TERCERIZADOS"/>
    <s v="RAI INDUSTRIAL vencimento 10/10"/>
    <n v="5045.21"/>
    <x v="0"/>
    <s v="VENDAS DE SERVIÇOS"/>
  </r>
  <r>
    <x v="14"/>
    <s v="OUTUBRO"/>
    <s v="HSERV TERCERIZADOS"/>
    <s v="RAI INDUSTRIAL vencimento 10/09"/>
    <n v="5094.5600000000004"/>
    <x v="0"/>
    <s v="VENDAS DE SERVIÇOS"/>
  </r>
  <r>
    <x v="8"/>
    <s v="NOVEMBRO"/>
    <s v="HSERV TERCERIZADOS"/>
    <s v="RAI INDUSTRIAL"/>
    <n v="4935"/>
    <x v="0"/>
    <s v="VENDAS DE SERVIÇOS"/>
  </r>
  <r>
    <x v="15"/>
    <s v="DEZEMBRO"/>
    <s v="HSERV TERCERIZADOS"/>
    <s v="RAI INDUSTRIAL"/>
    <n v="4935"/>
    <x v="0"/>
    <s v="VENDAS DE SERVIÇOS"/>
  </r>
  <r>
    <x v="16"/>
    <s v="OUTUBRO"/>
    <s v="HSERV LIMPEZA"/>
    <s v="NEW PARK TENIS"/>
    <n v="1200"/>
    <x v="0"/>
    <s v="VENDAS DE SERVIÇOS"/>
  </r>
  <r>
    <x v="16"/>
    <s v="OUTUBRO"/>
    <s v="HSERV LIMPEZA"/>
    <s v="NEW PARK TENIS"/>
    <n v="42921.04"/>
    <x v="0"/>
    <s v="VENDAS DE SERVIÇOS"/>
  </r>
  <r>
    <x v="17"/>
    <s v="NOVEMBRO"/>
    <s v="HSERV LIMPEZA"/>
    <s v="NEW PARK TENIS"/>
    <n v="42921.04"/>
    <x v="0"/>
    <s v="VENDAS DE SERVIÇOS"/>
  </r>
  <r>
    <x v="18"/>
    <s v="DEZEMBRO"/>
    <s v="HSERV LIMPEZA"/>
    <s v="NEW PARK TENIS"/>
    <n v="42921.04"/>
    <x v="0"/>
    <s v="VENDAS DE SERVIÇOS"/>
  </r>
  <r>
    <x v="16"/>
    <s v="OUTUBRO"/>
    <s v="CLEAN"/>
    <s v="SANTA CASA DE MISERICORDIA DE CABREUVA"/>
    <n v="21863.75"/>
    <x v="0"/>
    <s v="VENDAS DE SERVIÇOS"/>
  </r>
  <r>
    <x v="16"/>
    <s v="OUTUBRO"/>
    <s v="CLEAN"/>
    <s v="SANTA CASA DE MISERICORDIA DE CABREUVA"/>
    <n v="22930"/>
    <x v="0"/>
    <s v="VENDAS DE SERVIÇOS"/>
  </r>
  <r>
    <x v="17"/>
    <s v="NOVEMBRO"/>
    <s v="CLEAN"/>
    <s v="SANTA CASA DE MISERICORDIA DE CABREUVA"/>
    <n v="22930"/>
    <x v="0"/>
    <s v="VENDAS DE SERVIÇOS"/>
  </r>
  <r>
    <x v="18"/>
    <s v="DEZEMBRO"/>
    <s v="CLEAN"/>
    <s v="SANTA CASA DE MISERICORDIA DE CABREUVA"/>
    <n v="22930"/>
    <x v="0"/>
    <s v="VENDAS DE SERVIÇOS"/>
  </r>
  <r>
    <x v="8"/>
    <s v="NOVEMBRO"/>
    <s v="HSERV COMBINADOS"/>
    <s v="RIOS DAS PEDRAS"/>
    <n v="7440"/>
    <x v="0"/>
    <s v="VENDAS DE SERVIÇOS"/>
  </r>
  <r>
    <x v="4"/>
    <s v="NOVEMBRO"/>
    <s v="HSERV COMBINADOS"/>
    <s v="RIOS DAS PEDRAS"/>
    <n v="7440"/>
    <x v="0"/>
    <s v="VENDAS DE SERVIÇOS"/>
  </r>
  <r>
    <x v="8"/>
    <s v="NOVEMBRO"/>
    <s v="HSERV CLEAN"/>
    <s v="DEVOLUÇÃO EMPRESTIMO INTER- RETIRADA DE R$ 40.000,00 E DIA 06/10/2025 E R$ 19.000,00 10/10/2025"/>
    <n v="-59000"/>
    <x v="1"/>
    <s v="EMPRESTIMO "/>
  </r>
  <r>
    <x v="8"/>
    <s v="NOVEMBRO"/>
    <s v="HSERV CLEAN"/>
    <s v="DEVOLUÇÃO EMPRESTIMO INTER- RETIRADA DE R$ 110.000,00 DIA 15/08 E R$ 10.000,00 DIA 05/09"/>
    <n v="-171000"/>
    <x v="1"/>
    <s v="EMPRESTIMO "/>
  </r>
  <r>
    <x v="5"/>
    <s v="DEZEMBRO"/>
    <s v="HSERV COMBINADOS"/>
    <s v="RIOS DAS PEDRAS"/>
    <n v="7440"/>
    <x v="0"/>
    <s v="VENDAS DE SERVIÇOS"/>
  </r>
  <r>
    <x v="11"/>
    <s v="OUTUBRO"/>
    <s v="HSERV CLEAN"/>
    <s v="DEVOLUÇÃO EMPRESTIMO INTER- RETIRADA DE R$ 110.000,00 DIA 15/08 E R$ 10.000,00 DIA 05/09"/>
    <n v="171000"/>
    <x v="0"/>
    <s v="EMPRESTIMO "/>
  </r>
  <r>
    <x v="11"/>
    <s v="OUTUBRO"/>
    <s v="HSERV CLEAN"/>
    <s v="DEVOLUÇÃO EMPRESTIMO INTER- RETIRADA DE R$ 110.000,00 DIA 15/08 E R$ 10.000,00 DIA 05/09"/>
    <n v="-171000"/>
    <x v="1"/>
    <s v="EMPRESTIMO "/>
  </r>
  <r>
    <x v="8"/>
    <s v="NOVEMBRO"/>
    <s v="HSERV COMBINADOS"/>
    <s v="ANDRADE FREITAS SOCIEDADE DE ADVOGADOS-Proc 0012259-82.2024.5.15.0021 ESTEVAO GOMES DE SOUZA PARCELA 5/5"/>
    <n v="-5600"/>
    <x v="1"/>
    <s v="ACORDO TRABALHISTA"/>
  </r>
  <r>
    <x v="19"/>
    <s v="OUTUBRO"/>
    <s v="HSERV TERCEIRIZADOS"/>
    <s v="LOTUS CENTRAL DE DISTRIBUICAO DE HIGIENICOS LTDA"/>
    <n v="-2141.69"/>
    <x v="1"/>
    <s v="MERCADORIAS PARA REVENDA"/>
  </r>
  <r>
    <x v="19"/>
    <s v="OUTUBRO"/>
    <s v="HSERV TERCEIRIZADOS"/>
    <s v="CAETANO BERNARDES NEUBAUER Proc 0010591-77.2025.5.15.0074 RECLAMANTE: SIMONE FERREIRA DA SILVA -PARCELA  2/6"/>
    <n v="-1000"/>
    <x v="1"/>
    <s v="ACORDO TRABALHISTA"/>
  </r>
  <r>
    <x v="20"/>
    <s v="OUTUBRO"/>
    <s v="VITOR DUARTE"/>
    <s v="IRMÃOS BOAS "/>
    <n v="18100"/>
    <x v="0"/>
    <s v="VENDAS DE SERVIÇOS"/>
  </r>
  <r>
    <x v="20"/>
    <s v="OUTUBRO"/>
    <s v="VITOR DUARTE"/>
    <s v="SCOLA &amp; FALCAO SOCIEDADE DE ADVOGADAS Processo: 0010503-86.2025.5.15.0026 Reclamante: NAIR DONIZETE TEODORO DE ANDRADE PARCELA 2/5"/>
    <n v="-1000"/>
    <x v="1"/>
    <s v="ACORDO TRABALHISTA"/>
  </r>
  <r>
    <x v="20"/>
    <s v="OUTUBRO"/>
    <s v="HENRIQUE JEAN"/>
    <s v="SAMANTHA PATRICIA MACHADO DE GOUVEIA-Roc 0010968-81.2023.5.15.0021 AUTOR: ELIANA APARECIDA DOS SANTOS DA SILVA"/>
    <n v="-871.9"/>
    <x v="1"/>
    <s v="ACORDO TRABALHISTA"/>
  </r>
  <r>
    <x v="20"/>
    <s v="OUTUBRO"/>
    <s v="HSERV COMBINADOS"/>
    <s v="ANDRADE FREITAS SOCIEDADE DE ADVOGADOS-Proc 0012259-82.2024.5.15.0021 ESTEVAO GOMES DE SOUZA PARCELA 4/5"/>
    <n v="-5600"/>
    <x v="1"/>
    <s v="ACORDO TRABALHISTA"/>
  </r>
  <r>
    <x v="21"/>
    <s v="NOVEMBRO"/>
    <s v="HSERV CABREUVA"/>
    <s v="CSLL TRIMESTRAL HSERV CABREUVA 1º SEMESTRE DE 2025"/>
    <n v="-4636.07"/>
    <x v="1"/>
    <s v="IMPOSTO"/>
  </r>
  <r>
    <x v="21"/>
    <s v="NOVEMBRO"/>
    <s v="HSERV CABREUVA"/>
    <s v="IRPJ TRIMESTRAL HSERV CABREUVA  1º SEMESTRE DE 2025"/>
    <n v="-8011.38"/>
    <x v="1"/>
    <s v="IMPOSTO"/>
  </r>
  <r>
    <x v="6"/>
    <s v="OUTUBRO"/>
    <s v="HSERV CABREUVA"/>
    <s v="PATRICIA LOMBARDI-PROC 1002854-81.2023.5.02.0221 TANIA MARIANO DOS SANTOS PARCELA 5/6"/>
    <n v="-2500"/>
    <x v="1"/>
    <s v="ACORDO TRABALHISTA"/>
  </r>
  <r>
    <x v="4"/>
    <s v="NOVEMBRO"/>
    <s v="HSERV CABREUVA"/>
    <s v="PATRICIA LOMBARDI-PROC 1002854-81.2023.5.02.0221 TANIA MARIANO DOS SANTOS PARCELA 6/6"/>
    <n v="-2500"/>
    <x v="1"/>
    <s v="ACORDO TRABALHISTA"/>
  </r>
  <r>
    <x v="8"/>
    <s v="NOVEMBRO"/>
    <s v="HSERV  LIMPEZA"/>
    <s v="BRASIL MEDICINA E SAUDE VENCIDA 10/09/2025- VALOR SOFRERÁ AJUSTE DEVIDO A JUROS E MULTA"/>
    <n v="-585.46"/>
    <x v="1"/>
    <s v="SINDICATO"/>
  </r>
  <r>
    <x v="8"/>
    <s v="NOVEMBRO"/>
    <s v="H SERV CLEAN "/>
    <s v="BRASIL MEDICINA E SAUDE VENCIDA 10/09/2025- VALOR SOFRERÁ AJUSTE DEVIDO A JUROS E MULTA"/>
    <n v="-936.63"/>
    <x v="1"/>
    <s v="SINDICATO"/>
  </r>
  <r>
    <x v="8"/>
    <s v="NOVEMBRO"/>
    <s v="VITOR  DUARTE "/>
    <s v="BRASIL MEDICINA E SAUDE VENCIDA 10/09/2025- VALOR SOFRERÁ AJUSTE DEVIDO A JUROS E MULTA"/>
    <n v="-1092.78"/>
    <x v="1"/>
    <s v="SINDICATO"/>
  </r>
  <r>
    <x v="8"/>
    <s v="NOVEMBRO"/>
    <s v="HSERV TECNOLOGIA"/>
    <s v="BRASIL MEDICINA E SAUDE VENCIDA 10/09/2025- VALOR SOFRERÁ AJUSTE DEVIDO A JUROS E MULTA"/>
    <n v="-1756.25"/>
    <x v="1"/>
    <s v="SINDICATO"/>
  </r>
  <r>
    <x v="8"/>
    <s v="NOVEMBRO"/>
    <s v="HSERV COMBINADOS "/>
    <s v="BRASIL MEDICINA E SAUDE VENCIDA 10/09/2025- VALOR SOFRERÁ AJUSTE DEVIDO A JUROS E MULTA"/>
    <n v="-1951.41"/>
    <x v="1"/>
    <s v="SINDICATO"/>
  </r>
  <r>
    <x v="8"/>
    <s v="NOVEMBRO"/>
    <s v="HSERV  REPRESENTACOES"/>
    <s v="BRASIL MEDICINA E SAUDE VENCIDA 10/09/2025- VALOR SOFRERÁ AJUSTE DEVIDO A JUROS E MULTA"/>
    <n v="-897.62"/>
    <x v="1"/>
    <s v="SINDICATO"/>
  </r>
  <r>
    <x v="8"/>
    <s v="NOVEMBRO"/>
    <s v="HSERV CABREUVA"/>
    <s v="BRASIL MEDICINA E SAUDE VENCIDA 10/09/2025- VALOR SOFRERÁ AJUSTE DEVIDO A JUROS E MULTA"/>
    <n v="-897.62"/>
    <x v="1"/>
    <s v="SINDICATO"/>
  </r>
  <r>
    <x v="8"/>
    <s v="NOVEMBRO"/>
    <s v="HENRIQUE DUARTE"/>
    <s v="BRASIL MEDICINA E SAUDE VENCIDA 10/09/2025- VALOR SOFRERÁ AJUSTE DEVIDO A JUROS E MULTA"/>
    <n v="-390.31"/>
    <x v="1"/>
    <s v="SINDICATO"/>
  </r>
  <r>
    <x v="8"/>
    <s v="NOVEMBRO"/>
    <s v="HSERV TERCEIRIZADOS"/>
    <s v="BRASIL MEDICINA E SAUDE VENCIDA 10/09/2025- VALOR SOFRERÁ AJUSTE DEVIDO A JUROS E MULTA"/>
    <n v="-1014.77"/>
    <x v="1"/>
    <s v="SINDICATO"/>
  </r>
  <r>
    <x v="22"/>
    <s v="NOVEMBRO"/>
    <s v="HSERV COMBINADOS "/>
    <s v="JAIR RÉ-COMISSÃO DE VENDAS DE SERVIÇOS "/>
    <n v="-2719.09"/>
    <x v="1"/>
    <s v="COMISSOES"/>
  </r>
  <r>
    <x v="23"/>
    <s v="OUTUBRO"/>
    <s v="HSERV COMBINADOS "/>
    <s v="JAIR RÉ-COMISSÃO DE VENDAS DE SERVIÇOS "/>
    <n v="-1146.27"/>
    <x v="1"/>
    <s v="COMISSOES"/>
  </r>
  <r>
    <x v="8"/>
    <s v="NOVEMBRO"/>
    <s v="HSERV CLEAN"/>
    <s v="SIMPLES NACIONAL MENSAL - HSERV CLEAN-07.20.25247.2693681-9-VENCIDO 20/09/2025-VALOR SOFRERÁ AJUSTE DEVIDO MULTA E JUROS"/>
    <n v="-4492.67"/>
    <x v="1"/>
    <s v="IMPOSTO"/>
  </r>
  <r>
    <x v="8"/>
    <s v="NOVEMBRO"/>
    <s v="HSERV COMBINADOS"/>
    <s v="SIMPLES NACIONAL MENSAL - HSERV COMBINADOS-07.20.25248.3910154-2 VENCIDO 20/09/2025-VALOR SOFRERÁ AJUSTE DEVIDO MULTA E JUROS"/>
    <n v="-1105.31"/>
    <x v="1"/>
    <s v="IMPOSTO"/>
  </r>
  <r>
    <x v="8"/>
    <s v="NOVEMBRO"/>
    <s v="HENRIQUE JEAN"/>
    <s v="SIMPLES NACIONAL MENSAL - HENRIQUE JEAN - 07.20.25247.2707569-8 VENCIDO 20/09/2025-VALOR SOFRERÁ AJUSTE DEVIDO MULTA E JUROS"/>
    <n v="-1375.8"/>
    <x v="1"/>
    <s v="IMPOSTO"/>
  </r>
  <r>
    <x v="8"/>
    <s v="NOVEMBRO"/>
    <s v="HSERV TECNOLOGIA"/>
    <s v="SIMPLES NACIONAL MENSAL - HSERV TECNOLOGIA-07.20.25255.9466159-0 VENCIDO 20/09/2025-VALOR SOFRERÁ AJUSTE DEVIDO MULTA E JUROS"/>
    <n v="-1418.32"/>
    <x v="1"/>
    <s v="IMPOSTO"/>
  </r>
  <r>
    <x v="8"/>
    <s v="NOVEMBRO"/>
    <s v="HSERV LIMPEZA"/>
    <s v="SIMPLES NACIONAL MENSAL - HSERV LIMPEZA-07.20.25248.3984353-0 VENCIDO 20/09/2025-VALOR SOFRERÁ AJUSTE DEVIDO MULTA E JUROS"/>
    <n v="-5040.0600000000004"/>
    <x v="1"/>
    <s v="IMPOSTO"/>
  </r>
  <r>
    <x v="8"/>
    <s v="NOVEMBRO"/>
    <s v="HSERV REPRESENTAÇÃO"/>
    <s v="SIMPLES NACIONAL MENSAL - HSERV REPRESENTAÇÃO - 07.20.25248.3924133-6 VENCIDO 20/09/2025-VALOR SOFRERÁ AJUSTE DEVIDO MULTA E JUROS"/>
    <n v="-5232.74"/>
    <x v="1"/>
    <s v="IMPOSTO"/>
  </r>
  <r>
    <x v="8"/>
    <s v="NOVEMBRO"/>
    <s v="HSERV TERCERIZADOS"/>
    <s v="SIMPLES NACIONAL MENSAL - HSERV TERCERIZADOS - 07.20.25248.3944995-6 VENCIDO 20/09/2025-VALOR SOFRERÁ AJUSTE DEVIDO MULTA E JUROS"/>
    <n v="-884.67"/>
    <x v="1"/>
    <s v="IMPOSTO"/>
  </r>
  <r>
    <x v="8"/>
    <s v="NOVEMBRO"/>
    <s v="VITOR DUARTE"/>
    <s v="ISS- LUCRO REAL EMPRESA VITOR VENCIDO 20/09/2025-VALOR SOFRERÁ AJUSTE DEVIDO MULTA E JUROS"/>
    <n v="-13668.57"/>
    <x v="1"/>
    <s v="IMPOSTO"/>
  </r>
  <r>
    <x v="20"/>
    <s v="OUTUBRO"/>
    <s v="HSERV LIMPEZA"/>
    <s v="DARF INSS MENSAL  HSERV LIMPEZA VENCIDA 19/09/2025"/>
    <n v="-2272.84"/>
    <x v="1"/>
    <s v="IMPOSTO"/>
  </r>
  <r>
    <x v="24"/>
    <s v="OUTUBRO"/>
    <s v="HSERV CLEAN"/>
    <s v="INTER "/>
    <n v="19000"/>
    <x v="0"/>
    <s v="EMPRESTIMO "/>
  </r>
  <r>
    <x v="25"/>
    <s v="OUTUBRO"/>
    <s v="HSERV TERCEIRIZADOS"/>
    <s v="DARF INSS MENSAL  HSERV TERCEIRIZADOS-VENCIDA 19/09/2025-Bell Art"/>
    <n v="-3190.4"/>
    <x v="1"/>
    <s v="IMPOSTO"/>
  </r>
  <r>
    <x v="20"/>
    <s v="OUTUBRO"/>
    <s v="HSERV TERCEIRIZADOS"/>
    <s v="EXXPRESS TECNOLOGIA E SISTEMAS LTDA-FRETE CRACHÁ "/>
    <n v="-33"/>
    <x v="1"/>
    <s v="FRETE"/>
  </r>
  <r>
    <x v="20"/>
    <s v="OUTUBRO"/>
    <s v="HSERV CABREUVA"/>
    <s v="OPEN IT GROUP ESCRITORIO "/>
    <n v="-154.9"/>
    <x v="1"/>
    <s v="INTERNET"/>
  </r>
  <r>
    <x v="20"/>
    <s v="OUTUBRO"/>
    <s v="HSERV CABREUVA"/>
    <s v="OPEN IT GROUP ESCRITORIO E LOJA CLEAN"/>
    <n v="-139.9"/>
    <x v="1"/>
    <s v="INTERNET"/>
  </r>
  <r>
    <x v="23"/>
    <s v="OUTUBRO"/>
    <s v="HENRIQUE JEAN "/>
    <s v="PARCELAMENTO PREFEITURA DE CABREUVA Nº  4012/2025 HENRIQUE JEAN  PARCELA  2 E 3/5"/>
    <n v="-229.03"/>
    <x v="1"/>
    <s v="IMPOSTO"/>
  </r>
  <r>
    <x v="23"/>
    <s v="OUTUBRO"/>
    <s v="HERV TECNOLOGIA"/>
    <s v="PARCELAMENTO PREFEITURA DE CABREUVA Nº  4014/2025 HSERV TECNOLOGIA  PARCELA 2 E 3/5"/>
    <n v="-229.03"/>
    <x v="1"/>
    <s v="IMPOSTO"/>
  </r>
  <r>
    <x v="23"/>
    <s v="OUTUBRO"/>
    <s v="HSERV LIMPEZA "/>
    <s v="PARCELAMENTO PREFEITURA DE CABREUVA Nº  4015/2025 HSERV LIMPEZA PARCELA 2 E 3/5"/>
    <n v="-229.03"/>
    <x v="1"/>
    <s v="IMPOSTO"/>
  </r>
  <r>
    <x v="23"/>
    <s v="OUTUBRO"/>
    <s v="HSERV CLEAN"/>
    <s v="PARCELAMENTO PREFEITURA DE CABREUVA Nº  4017/2025 HSERV CLEAN  PARCELA  2 E 3/5"/>
    <n v="-240.44"/>
    <x v="1"/>
    <s v="IMPOSTO"/>
  </r>
  <r>
    <x v="23"/>
    <s v="OUTUBRO"/>
    <s v="HSERV CABREUVA"/>
    <s v="PARCELAMENTO PREFEITURA DE CABREUVA Nº  4017/2025 HSERV CLEAN  PARCELA  2 E 3/5"/>
    <n v="-229.1"/>
    <x v="1"/>
    <s v="IMPOSTO"/>
  </r>
  <r>
    <x v="23"/>
    <s v="OUTUBRO"/>
    <s v="VITOR DUARTE ND"/>
    <s v="CHEQUES DR DUARTE"/>
    <n v="-13251.8"/>
    <x v="1"/>
    <s v="PROLABORE"/>
  </r>
  <r>
    <x v="8"/>
    <s v="NOVEMBRO"/>
    <s v="HSERV CABREUVA"/>
    <s v="SIMPLES NACIONAL-PARCELAMENTO VENCIDO 30/09/2025-VALOR SOFRERÁ AJUSTE DEVIDO MULTA E JUROS"/>
    <n v="-35000"/>
    <x v="1"/>
    <s v="IMPOSTO"/>
  </r>
  <r>
    <x v="26"/>
    <s v="OUTUBRO"/>
    <s v="HSERV CLEAN"/>
    <s v="J.E. COMERCIO E SOLUCOES LTDA"/>
    <n v="-390"/>
    <x v="1"/>
    <s v="MERCADORIAS PARA REVENDA"/>
  </r>
  <r>
    <x v="26"/>
    <s v="OUTUBRO"/>
    <s v="HSERV CLEAN"/>
    <s v="SPARTAN DO BRASIL PRODUTOS QUIMICOS LTDA"/>
    <n v="-4484.68"/>
    <x v="1"/>
    <s v="MERCADORIAS PARA REVENDA"/>
  </r>
  <r>
    <x v="26"/>
    <s v="OUTUBRO"/>
    <s v="HSERV CLEAN"/>
    <s v="CSRF VEPAKUM COMPETÊNCIA 08/2024-  IMPOSTO RETROATIVO REFERENTE AO FATURAMENTO "/>
    <n v="-3198.35"/>
    <x v="1"/>
    <s v="IMPOSTO"/>
  </r>
  <r>
    <x v="26"/>
    <s v="OUTUBRO"/>
    <s v="HSERV CLEAN"/>
    <s v="IRRF- VEPAKUM COMPETÊNCIA 08/2024-  IMPOSTO RETROATIVO REFERENTE AO FATURAMENTO "/>
    <n v="-687.81"/>
    <x v="1"/>
    <s v="IMPOSTO"/>
  </r>
  <r>
    <x v="26"/>
    <s v="OUTUBRO"/>
    <s v="HSERV CLEAN"/>
    <s v="J.E. COMERCIO E SOLUCOES LTDA"/>
    <n v="-1456"/>
    <x v="1"/>
    <s v="MERCADORIAS PARA REVENDA"/>
  </r>
  <r>
    <x v="26"/>
    <s v="OUTUBRO"/>
    <s v="HENRIQUE JEAN"/>
    <s v="ANA PAULA DE SOUZA FREIRE"/>
    <n v="-2152.61"/>
    <x v="1"/>
    <s v="FÉRIAS"/>
  </r>
  <r>
    <x v="26"/>
    <s v="OUTUBRO"/>
    <s v="HSERV CABREUVA"/>
    <s v="KEVYN TAWAN BERTONHA FERREIRA"/>
    <n v="-2666.08"/>
    <x v="1"/>
    <s v="FÉRIAS"/>
  </r>
  <r>
    <x v="26"/>
    <s v="OUTUBRO"/>
    <s v="HSERV CABREUVA"/>
    <s v="ALEXANDRA SILVA DE LIMA"/>
    <n v="-2675.88"/>
    <x v="1"/>
    <s v="FÉRIAS"/>
  </r>
  <r>
    <x v="26"/>
    <s v="OUTUBRO"/>
    <s v="HSERV CABREUVA"/>
    <s v="GRACE ADRIANA DE ANDRADE"/>
    <n v="-1885.2"/>
    <x v="1"/>
    <s v="FÉRIAS"/>
  </r>
  <r>
    <x v="26"/>
    <s v="OUTUBRO"/>
    <s v="HSERV CABREUVA"/>
    <s v="GABRIEL DO NASCIMENTO NEVES"/>
    <n v="-2173.63"/>
    <x v="1"/>
    <s v="FÉRIAS"/>
  </r>
  <r>
    <x v="26"/>
    <s v="OUTUBRO"/>
    <s v="HSERV COMBINADOS"/>
    <s v="MARIA RAIMUNDA DE OLIVEIRA"/>
    <n v="-2187.38"/>
    <x v="1"/>
    <s v="FÉRIAS"/>
  </r>
  <r>
    <x v="26"/>
    <s v="OUTUBRO"/>
    <s v="HSERV COMBINADOS"/>
    <s v="CICERA MARIA DA SILVA ANDRADE"/>
    <n v="-2643.56"/>
    <x v="1"/>
    <s v="FÉRIAS"/>
  </r>
  <r>
    <x v="26"/>
    <s v="OUTUBRO"/>
    <s v="HSERV LIMPEZA"/>
    <s v="JOSUE MARIO GOMES DA SILVA"/>
    <n v="-2754.27"/>
    <x v="1"/>
    <s v="FÉRIAS"/>
  </r>
  <r>
    <x v="26"/>
    <s v="OUTUBRO"/>
    <s v="HSERV LIMPEZA"/>
    <s v="ADRIANA INACIA BENTO DE ASSIS"/>
    <n v="-2684.2"/>
    <x v="1"/>
    <s v="FÉRIAS"/>
  </r>
  <r>
    <x v="26"/>
    <s v="OUTUBRO"/>
    <s v="HSERV REPRESENTACOES"/>
    <s v="MARIA ELIZA CARNEIRO DIAS"/>
    <n v="-2117.89"/>
    <x v="1"/>
    <s v="FÉRIAS"/>
  </r>
  <r>
    <x v="26"/>
    <s v="OUTUBRO"/>
    <s v="HSERV REPRESENTACOES"/>
    <s v="JOSE RODRIGUES DA SILVA"/>
    <n v="-2720.59"/>
    <x v="1"/>
    <s v="FÉRIAS"/>
  </r>
  <r>
    <x v="26"/>
    <s v="OUTUBRO"/>
    <s v="HSERV TECNOLOGIA"/>
    <s v="FRANCISCO FERMINO RODRIGUES FILHO"/>
    <n v="-2221.88"/>
    <x v="1"/>
    <s v="FÉRIAS"/>
  </r>
  <r>
    <x v="26"/>
    <s v="OUTUBRO"/>
    <s v="HSERV TERCEIRIZADOS"/>
    <s v="WEVERTON GABRIEL DE JESUS OLIVEIRA"/>
    <n v="-2969.85"/>
    <x v="1"/>
    <s v="FÉRIAS"/>
  </r>
  <r>
    <x v="26"/>
    <s v="OUTUBRO"/>
    <s v="HSERV TERCEIRIZADOS"/>
    <s v="WAGNER BIONDO"/>
    <n v="-2570.3200000000002"/>
    <x v="1"/>
    <s v="FÉRIAS"/>
  </r>
  <r>
    <x v="26"/>
    <s v="OUTUBRO"/>
    <s v="HENRIQUE JEAN"/>
    <s v="ROSALINA NOGUEIRA PEREIRA"/>
    <n v="-1927.82"/>
    <x v="1"/>
    <s v="FÉRIAS"/>
  </r>
  <r>
    <x v="8"/>
    <s v="NOVEMBRO"/>
    <s v="VITOR DUARTE"/>
    <s v="GUIA DE PARCELAMENTO INSS VITOR JULHO A NOV 2024 VENCIDO 20/09/2025-VALOR SOFRERÁ AJUSTE DEVIDO MULTA E JUROS"/>
    <n v="-5988.61"/>
    <x v="1"/>
    <s v="IMPOSTO"/>
  </r>
  <r>
    <x v="8"/>
    <s v="NOVEMBRO"/>
    <s v="VITOR DUARTE"/>
    <s v="GUIA DE PARCELAMENTO INSS VITOR DEZEMBRO A JANEIRO 2025 VENCIDO 20/09/2025-VALOR SOFRERÁ AJUSTE DEVIDO MULTA E JUROS"/>
    <n v="-4434.6099999999997"/>
    <x v="1"/>
    <s v="IMPOSTO"/>
  </r>
  <r>
    <x v="27"/>
    <s v="OUTUBRO"/>
    <s v="TERCEIRIZADOS"/>
    <s v="BANCO INTER"/>
    <n v="40000"/>
    <x v="0"/>
    <s v="EMPRESTIMO "/>
  </r>
  <r>
    <x v="27"/>
    <s v="OUTUBRO"/>
    <s v="CABREUVA"/>
    <s v="BOA R$ 872.126,10- R$ 602.847,78 = R$ 269.278,32 - DEPOSITOU 29/09/2025 R$ 192.770,08 , DIA 03/10 DEPOSITOU"/>
    <n v="24278.21"/>
    <x v="0"/>
    <s v="VENDAS DE SERVIÇOS"/>
  </r>
  <r>
    <x v="11"/>
    <s v="OUTUBRO"/>
    <s v="HSERV CABREUVA"/>
    <s v="HSERV-GUIA INSS  0012166-65.2023.5.15.0018 Jadison Souza Fontes"/>
    <n v="-764.82"/>
    <x v="1"/>
    <s v="ACORDO TRABALHISTA"/>
  </r>
  <r>
    <x v="28"/>
    <s v="DEZEMBRO"/>
    <s v="HSERV CLEAN"/>
    <s v="JOSE JONAS DE ARAUJO SILVA- PROCESSO 0010137-76.2022.5.15.0018- MANOEL VICENTE  PARCELA 6/8"/>
    <n v="-3968.99"/>
    <x v="1"/>
    <s v="ACORDO TRABALHISTA"/>
  </r>
  <r>
    <x v="23"/>
    <s v="OUTUBRO"/>
    <s v="HSERV CLEAN"/>
    <s v="JOSE JONAS DE ARAUJO SILVA- PROCESSO 0010137-76.2022.5.15.0018- MANOEL VICENTE  PARCELA 4/8"/>
    <n v="-3968.99"/>
    <x v="1"/>
    <s v="ACORDO TRABALHISTA"/>
  </r>
  <r>
    <x v="29"/>
    <s v="OUTUBRO"/>
    <s v="HSERV CABREUVA"/>
    <s v=" MEI"/>
    <n v="-54024.37"/>
    <x v="1"/>
    <s v="SALARIOS"/>
  </r>
  <r>
    <x v="27"/>
    <s v="OUTUBRO"/>
    <s v="HSERV CABREUVA"/>
    <s v=" MEI  "/>
    <n v="-17753.55"/>
    <x v="1"/>
    <s v="SALARIOS"/>
  </r>
  <r>
    <x v="26"/>
    <s v="OUTUBRO"/>
    <s v="HSERV CLEAN"/>
    <s v="DAIANE CRISTINA FELIX"/>
    <n v="-1383.98"/>
    <x v="1"/>
    <s v="RESCISÕES"/>
  </r>
  <r>
    <x v="26"/>
    <s v="OUTUBRO"/>
    <s v="VITOR DUARTE"/>
    <s v="ALTOLIM COMERCIAL ASSIS EIRELI - ME"/>
    <n v="-107.14"/>
    <x v="1"/>
    <s v="MERCADORIAS PARA REVENDA"/>
  </r>
  <r>
    <x v="26"/>
    <s v="OUTUBRO"/>
    <s v="HSERV TERCEIRIZADOS"/>
    <s v="LOTUS CENTRAL DE DISTRIBUICAO DE HIGIENICOS LTDA"/>
    <n v="-827.13995"/>
    <x v="1"/>
    <s v="MERCADORIAS PARA REVENDA"/>
  </r>
  <r>
    <x v="27"/>
    <s v="OUTUBRO"/>
    <s v="HSERV CABREUVA"/>
    <s v="HSERV CABREUVA- GUIA INSS Samuel de Souza Câmara 1001012-96.2023.5.02.0211"/>
    <n v="-5048.21"/>
    <x v="1"/>
    <s v="ACORDO TRABALHISTA"/>
  </r>
  <r>
    <x v="26"/>
    <s v="OUTUBRO"/>
    <s v="HSERV CLEAN"/>
    <s v="BANCO SAFRA S A"/>
    <n v="-279"/>
    <x v="1"/>
    <s v="TARIFAS BANCARIAS"/>
  </r>
  <r>
    <x v="26"/>
    <s v="OUTUBRO"/>
    <s v="HSERV COMBINADOS"/>
    <s v="ALCIDES PEREIRA DE SOUZA"/>
    <n v="-349.5"/>
    <x v="1"/>
    <s v="VALE TRANSPORTE"/>
  </r>
  <r>
    <x v="26"/>
    <s v="OUTUBRO"/>
    <s v="HSERV COMBINADOS"/>
    <s v="ROSICLEI ALVES DE OLIVEIRA"/>
    <n v="-86.1"/>
    <x v="1"/>
    <s v="VALE TRANSPORTE"/>
  </r>
  <r>
    <x v="26"/>
    <s v="OUTUBRO"/>
    <s v="HSERV COMBINADOS"/>
    <s v="ROSANGELA CAMPOS PERROUD"/>
    <n v="-184.5"/>
    <x v="1"/>
    <s v="VALE TRANSPORTE"/>
  </r>
  <r>
    <x v="26"/>
    <s v="OUTUBRO"/>
    <s v="HSERV COMBINADOS"/>
    <s v="ROSEMEIRE VIEIRA BEZERRA"/>
    <n v="-184.5"/>
    <x v="1"/>
    <s v="VALE TRANSPORTE"/>
  </r>
  <r>
    <x v="26"/>
    <s v="OUTUBRO"/>
    <s v="HSERV TERCEIRIZADOS ND"/>
    <s v="_x0009_ENCARGOS LIMITE DE CRED- HSERV TERCERIZADOS BRADESCO "/>
    <n v="-403.48"/>
    <x v="1"/>
    <s v="ENCARGOS"/>
  </r>
  <r>
    <x v="3"/>
    <s v="OUTUBRO"/>
    <s v="VITOR DUARTE"/>
    <s v="54.055.078 MATHEUS PEIXOTO DE OLIVEIRA"/>
    <n v="-2000"/>
    <x v="1"/>
    <s v="TI"/>
  </r>
  <r>
    <x v="3"/>
    <s v="OUTUBRO"/>
    <s v="VITOR DUARTE"/>
    <s v="ADEMIR- IMPRESSÃO E IMPRESSORA"/>
    <n v="-150"/>
    <x v="1"/>
    <s v="TI"/>
  </r>
  <r>
    <x v="12"/>
    <s v="OUTUBRO"/>
    <s v="HSERV CABREUVA"/>
    <s v="ANJO AZUL ALARMES VENCIDA 31/10/2025"/>
    <n v="-1137.72"/>
    <x v="1"/>
    <s v="SISTEMA"/>
  </r>
  <r>
    <x v="30"/>
    <s v="OUTUBRO"/>
    <s v="VITOR DUARTE"/>
    <s v="APORTE VITOR "/>
    <n v="200000"/>
    <x v="0"/>
    <s v="APORTE"/>
  </r>
  <r>
    <x v="30"/>
    <s v="OUTUBRO"/>
    <s v="VITOR DUARTE"/>
    <s v="PLUXEE BENEFICIOS BRASIL S.A.-ASSIDUIDADE AVENIDA"/>
    <n v="-3600"/>
    <x v="1"/>
    <s v="ASSIDUIDADE"/>
  </r>
  <r>
    <x v="30"/>
    <s v="OUTUBRO"/>
    <s v="VITOR DUARTE"/>
    <s v="PLUXEE BENEFICIOS BRASIL S.A.-ASSIDUIDADE SETEMBRO BOA"/>
    <n v="-20100"/>
    <x v="1"/>
    <s v="ASSIDUIDADE"/>
  </r>
  <r>
    <x v="30"/>
    <s v="OUTUBRO"/>
    <s v="VITOR DUARTE"/>
    <s v="PLUXEE BENEFICIOS BRASIL S.A.-ASSIDUIDADE DE SETEMBRO EMPRESAS"/>
    <n v="-17100"/>
    <x v="1"/>
    <s v="ASSIDUIDADE"/>
  </r>
  <r>
    <x v="12"/>
    <s v="OUTUBRO"/>
    <s v="HSERV CABREUVA"/>
    <s v="ASOMETRA VENCIDO 20/09/2025"/>
    <n v="-4190.5600000000004"/>
    <x v="1"/>
    <s v="EXAMES MEDICOS"/>
  </r>
  <r>
    <x v="24"/>
    <s v="OUTUBRO"/>
    <s v="HSERV CLEAN"/>
    <s v="AUTO POSTO JARDIM DAS HORTENCI"/>
    <n v="-6318.09"/>
    <x v="1"/>
    <s v="COMBUSTIVEL E PEDAGIO"/>
  </r>
  <r>
    <x v="6"/>
    <s v="OUTUBRO"/>
    <s v="HSERV CABREUVA"/>
    <s v="AUTO POSTO JARDIM DAS HORTENCIA VENCIMENTO 25/10/2025"/>
    <n v="-6142.01"/>
    <x v="1"/>
    <s v="COMBUSTIVEL E PEDAGIO"/>
  </r>
  <r>
    <x v="23"/>
    <s v="OUTUBRO"/>
    <s v="VITOR DUARTE"/>
    <s v="AVENIDA "/>
    <n v="341420.9"/>
    <x v="0"/>
    <s v="VENDAS DE SERVIÇOS"/>
  </r>
  <r>
    <x v="27"/>
    <s v="OUTUBRO"/>
    <s v="HSERV CABREUVA"/>
    <s v="BANCO ITAUCARD S.A.- "/>
    <n v="-3809.98"/>
    <x v="1"/>
    <s v="FINANCIAMENTO"/>
  </r>
  <r>
    <x v="31"/>
    <s v="OUTUBRO"/>
    <s v="TERCEIRIZADOS"/>
    <s v="TEM ACO COMERCIO E MANUTENCAO LTDA"/>
    <n v="121.96"/>
    <x v="0"/>
    <s v="VENDAS DE SERVIÇOS"/>
  </r>
  <r>
    <x v="31"/>
    <s v="OUTUBRO"/>
    <s v="TERCEIRIZADOS"/>
    <s v="BELLART"/>
    <n v="1200"/>
    <x v="0"/>
    <s v="VENDAS DE SERVIÇOS"/>
  </r>
  <r>
    <x v="31"/>
    <s v="OUTUBRO"/>
    <s v="TERCEIRIZADOS"/>
    <s v="BELLART"/>
    <n v="17956.39"/>
    <x v="0"/>
    <s v="VENDAS DE SERVIÇOS"/>
  </r>
  <r>
    <x v="8"/>
    <s v="NOVEMBRO"/>
    <s v="HSERV CABREUVA"/>
    <s v="BENEFICIO SOCIAL VENCIDA 10/10/2025- VALOR SOFRERÁ AJUSTE DEVIDO MULTA E JUROS"/>
    <n v="-4500"/>
    <x v="1"/>
    <s v="SINDICATO"/>
  </r>
  <r>
    <x v="22"/>
    <s v="NOVEMBRO"/>
    <s v="CABREUVA"/>
    <s v="BOA R$ 816.717,89 , ANTECIPAÇÃO DIA 22/10/2025 R$ 697.844,37 (R$ 703.584,4), FALTA R$ 105.241,46, BOA PAGOU R$ 15.632,38 ONTEM, RESTA R$ 89.309,08 A NF 812 E 1906 IRÃO PAGAR DIA 07/11 SENDO ASSIM RESTA R$ 52.899,20 "/>
    <n v="72327.759999999995"/>
    <x v="0"/>
    <s v="VENDAS DE SERVIÇOS"/>
  </r>
  <r>
    <x v="16"/>
    <s v="OUTUBRO"/>
    <s v="HSERV COMBINADOS"/>
    <s v="HSERV  COMBINADOS DE FACILITIES-GUIA INSS   0011590-34.2021.5.15.0021 MARIA ANA ALVES DE OLIVEIRA"/>
    <n v="-2079.2399999999998"/>
    <x v="1"/>
    <s v="ACORDO TRABALHISTA"/>
  </r>
  <r>
    <x v="6"/>
    <s v="OUTUBRO"/>
    <s v="HSERV CABREUVA"/>
    <s v="BRADESCO VENCIMENTO 27/10/2025"/>
    <n v="-35714.57"/>
    <x v="1"/>
    <s v="EMPRESTIMO "/>
  </r>
  <r>
    <x v="8"/>
    <s v="NOVEMBRO"/>
    <s v="HSERV COMBINADOS "/>
    <s v="BRASIL MEDICINE - VENCIDO 10/10/2025 VALOR SOFRERÁ AJUSTE DEVIDO MULTA E JUROS"/>
    <n v="-8797.17"/>
    <x v="1"/>
    <s v="SINDICATO"/>
  </r>
  <r>
    <x v="26"/>
    <s v="OUTUBRO"/>
    <s v="HSERV TERCEIRIZADOS"/>
    <s v="LAPAMED CONSULTORIA EM SEGURANCA DO TRABALHO LTDA EXAME PERIODICO -  MARISA DE SOUSA SILVA"/>
    <n v="-242"/>
    <x v="1"/>
    <s v="EXAMES MEDICOS"/>
  </r>
  <r>
    <x v="26"/>
    <s v="OUTUBRO"/>
    <s v="HSERV COMBINADOS"/>
    <s v="CONFIMED MEDICINA OCUPACIONAL LTDA-EXAME RETORNO AO TRABALHO - ANA CLAUDIA XAVIER"/>
    <n v="-40"/>
    <x v="1"/>
    <s v="EXAMES MEDICOS"/>
  </r>
  <r>
    <x v="26"/>
    <s v="OUTUBRO"/>
    <s v="VITOR DUARTE"/>
    <s v="FOCO CENTRO MEDICO PEDREIRA LTDA-EXAME ADMISSIONAL - Antonio Divino Donato Bartholomeu"/>
    <n v="-130"/>
    <x v="1"/>
    <s v="EXAMES MEDICOS"/>
  </r>
  <r>
    <x v="19"/>
    <s v="OUTUBRO"/>
    <s v="HSERV COMBINADOS "/>
    <s v="CAIXINHA OPERACIONAL "/>
    <n v="-1500"/>
    <x v="1"/>
    <s v="CAIXINHA"/>
  </r>
  <r>
    <x v="12"/>
    <s v="OUTUBRO"/>
    <s v="HSERV LTDA"/>
    <s v="COBLI"/>
    <n v="-341.92"/>
    <x v="1"/>
    <s v="FRETE"/>
  </r>
  <r>
    <x v="12"/>
    <s v="OUTUBRO"/>
    <s v="HSERV COMBINADOS "/>
    <s v="CAIXINHA OPERACIONAL - OSSIRES"/>
    <n v="-1500"/>
    <x v="1"/>
    <s v="CAIXINHA"/>
  </r>
  <r>
    <x v="12"/>
    <s v="OUTUBRO"/>
    <s v="HENRIQUE JEAN"/>
    <s v="CARTÃO DE CREDITO-PODERA SOFRER AJUSTE "/>
    <n v="-2298.0300000000002"/>
    <x v="1"/>
    <s v="CARTÃO DE CREDITO"/>
  </r>
  <r>
    <x v="12"/>
    <s v="OUTUBRO"/>
    <s v="HSERV COMBINADOS"/>
    <s v="CARTÃO DE CREDITO-PODERA SOFRER AJUSTE "/>
    <n v="-1286.52"/>
    <x v="1"/>
    <s v="CARTÃO DE CREDITO"/>
  </r>
  <r>
    <x v="12"/>
    <s v="OUTUBRO"/>
    <s v="VITOR DUARTE"/>
    <s v="CARTÃO DE CREDITO-PODERA SOFRER AJUSTE "/>
    <n v="-13578.66"/>
    <x v="1"/>
    <s v="CARTÃO DE CREDITO"/>
  </r>
  <r>
    <x v="24"/>
    <s v="OUTUBRO"/>
    <s v="HSERV TERCERIZADOS ND"/>
    <s v="CARTÃO DE CREDITO -PESSOAL  VITOR"/>
    <n v="-1917.95"/>
    <x v="1"/>
    <s v="PROLABORE"/>
  </r>
  <r>
    <x v="6"/>
    <s v="OUTUBRO"/>
    <s v="VITOR DUARTE"/>
    <s v="RESOLVE ALIMENTACAO LTDA"/>
    <n v="-728"/>
    <x v="1"/>
    <s v="VALE ALIMENTAÇAO "/>
  </r>
  <r>
    <x v="7"/>
    <s v="OUTUBRO"/>
    <s v="HSERV LTDA"/>
    <s v="CASA AVENIDA COMERCIO E IMPORTACAO S.A"/>
    <n v="3600"/>
    <x v="0"/>
    <s v="VENDAS DE SERVIÇOS"/>
  </r>
  <r>
    <x v="7"/>
    <s v="OUTUBRO"/>
    <s v="HSERV COMBINADOS"/>
    <s v="CEF MATRIZ-EMPRESTIMO HSERV COMBINADOS VENCIDO-AGOSTO"/>
    <n v="-6715.21"/>
    <x v="1"/>
    <s v="EMPRESTIMO "/>
  </r>
  <r>
    <x v="7"/>
    <s v="OUTUBRO"/>
    <s v="HENRIQUE JEAN"/>
    <s v="CEF MATRIZ--EMPRESTIMO HENRIQUE IEAN VENCIDO AGOSTO"/>
    <n v="-6620.78"/>
    <x v="1"/>
    <s v="EMPRESTIMO "/>
  </r>
  <r>
    <x v="6"/>
    <s v="OUTUBRO"/>
    <s v="VITOR DUARTE"/>
    <s v="CHEQUES DR DUARTE"/>
    <n v="-9980"/>
    <x v="1"/>
    <s v="PROLABORE"/>
  </r>
  <r>
    <x v="6"/>
    <s v="OUTUBRO"/>
    <s v="VITOR DUARTE"/>
    <s v="CHEQUES DR DUARTE"/>
    <n v="-9980"/>
    <x v="1"/>
    <s v="PROLABORE"/>
  </r>
  <r>
    <x v="3"/>
    <s v="OUTUBRO"/>
    <s v="VITOR DUARTE"/>
    <s v="CHEQUES DR DUARTE"/>
    <n v="-15097.31"/>
    <x v="1"/>
    <s v="PROLABORE"/>
  </r>
  <r>
    <x v="13"/>
    <s v="OUTUBRO"/>
    <s v="VITOR DUARTE"/>
    <s v="FTS - 20/10"/>
    <n v="-2270"/>
    <x v="1"/>
    <s v="FT"/>
  </r>
  <r>
    <x v="7"/>
    <s v="OUTUBRO"/>
    <s v="HSERV COMBINADOS "/>
    <s v="FTS - 20/10"/>
    <n v="-894.4"/>
    <x v="1"/>
    <s v="FT"/>
  </r>
  <r>
    <x v="21"/>
    <s v="NOVEMBRO"/>
    <s v="HSERV COMBINADOS "/>
    <s v="FTS - 20/10"/>
    <n v="-1605.6"/>
    <x v="1"/>
    <s v="FT"/>
  </r>
  <r>
    <x v="32"/>
    <s v="OUTUBRO"/>
    <s v="HSERV COMBINADOS "/>
    <s v="FTS - 20/10"/>
    <n v="-1646"/>
    <x v="1"/>
    <s v="FT"/>
  </r>
  <r>
    <x v="0"/>
    <s v="OUTUBRO"/>
    <s v="HSERV CLEAN"/>
    <s v="COSINOX CENTRO DE SERVICOS DE ACOS LTDA"/>
    <n v="102.34"/>
    <x v="0"/>
    <s v="VENDAS DE PRODUTOS"/>
  </r>
  <r>
    <x v="0"/>
    <s v="OUTUBRO"/>
    <s v="HSERV CLEAN"/>
    <s v="TRAMAR INDUSTRIAL LTDA"/>
    <n v="1266.3"/>
    <x v="0"/>
    <s v="VENDAS DE PRODUTOS"/>
  </r>
  <r>
    <x v="13"/>
    <s v="OUTUBRO"/>
    <s v="HSERV CLEAN"/>
    <s v="SPARTAN DO BRASIL PRODUTOS QUIMICOS LTDA NF 264.023"/>
    <n v="-4057.4"/>
    <x v="1"/>
    <s v="MERCADORIAS PARA REVENDA"/>
  </r>
  <r>
    <x v="12"/>
    <s v="OUTUBRO"/>
    <s v="HSERV TERCEIRIZADOS"/>
    <s v="STAR CLEAN PRO INDUSTRIA E COMERCIO DE EQUIPAMENTOS DE LIMPE VENCIDA 22/10/2025"/>
    <n v="-680.24"/>
    <x v="1"/>
    <s v="MERCADORIAS PARA REVENDA"/>
  </r>
  <r>
    <x v="12"/>
    <s v="OUTUBRO"/>
    <s v="HSERV TERCEIRIZADOS"/>
    <s v="LOTUS CENTRAL DE DISTRIBUICAO DE HIGIENICOS LTDA VENCIDA 22/10/2025"/>
    <n v="-1423.33"/>
    <x v="1"/>
    <s v="MERCADORIAS PARA REVENDA"/>
  </r>
  <r>
    <x v="12"/>
    <s v="OUTUBRO"/>
    <s v="VITOR DUARTE"/>
    <s v="ALTOLIM COMERCIAL ASSIS EIRELI - ME VENCIDO 22/10/2025"/>
    <n v="-66.64"/>
    <x v="1"/>
    <s v="MERCADORIAS PARA REVENDA"/>
  </r>
  <r>
    <x v="12"/>
    <s v="OUTUBRO"/>
    <s v="HSERV TERCEIRIZADOS"/>
    <s v="RFP MATERIAIS PARA CONSTRUCAO LTDA VENCIDA 22/10/2025"/>
    <n v="-440.27"/>
    <x v="1"/>
    <s v="MANUTENÇAO"/>
  </r>
  <r>
    <x v="12"/>
    <s v="OUTUBRO"/>
    <s v="VITOR DUARTE"/>
    <s v="CLARO S/A VENCIDA 22/10/2025-PODE SOFRER AJUSTE DE JUROS E MULTA"/>
    <n v="-1560.68"/>
    <x v="1"/>
    <s v="TELEFONE"/>
  </r>
  <r>
    <x v="16"/>
    <s v="OUTUBRO"/>
    <s v="HSERV LIMPEZA"/>
    <s v="INTERBRILHO HIGIENE E LIMPEZA LTDA"/>
    <n v="900"/>
    <x v="0"/>
    <s v="VENDAS DE SERVIÇOS"/>
  </r>
  <r>
    <x v="16"/>
    <s v="OUTUBRO"/>
    <s v="CABREUVA"/>
    <s v="CONDOMINIO PALAZZO VENEZA"/>
    <n v="300"/>
    <x v="0"/>
    <s v="VENDAS DE SERVIÇOS"/>
  </r>
  <r>
    <x v="16"/>
    <s v="OUTUBRO"/>
    <s v="CABREUVA"/>
    <s v="CONDOMINIO PALAZZO VENEZA"/>
    <n v="4880.1400000000003"/>
    <x v="0"/>
    <s v="VENDAS DE SERVIÇOS"/>
  </r>
  <r>
    <x v="8"/>
    <s v="NOVEMBRO"/>
    <s v="VITOR DUARTE"/>
    <s v="DARF DE COFINS, PIS- LUCRO  PRESUMIDO HSERV CABREUVA VENCIDA 20/10/2025 -VALOR SOFRERÁ AJUSTE DE JUROS E MULTA"/>
    <n v="-613.86"/>
    <x v="1"/>
    <s v="IMPOSTO"/>
  </r>
  <r>
    <x v="8"/>
    <s v="NOVEMBRO"/>
    <s v="VITOR DUARTE"/>
    <s v="ISS MENSAL EMPRESA HSERV LTDA -VENCIDO 20/10/2025 --VALOR SOFRERÁ AJUSTE DE JUROS E MULTA"/>
    <n v="-13870.6"/>
    <x v="1"/>
    <s v="IMPOSTO"/>
  </r>
  <r>
    <x v="8"/>
    <s v="NOVEMBRO"/>
    <s v="CABREUVA"/>
    <s v="BOA R$ 816.717,89 , ANTECIPAÇÃO DIA 22/10/2025 R$ 697.844,37 (R$ 703.584,4),-- FALTA NF 812 E 1906 R$ 36.409,88"/>
    <n v="36409.879999999997"/>
    <x v="0"/>
    <s v="VENDAS DE SERVIÇOS"/>
  </r>
  <r>
    <x v="3"/>
    <s v="OUTUBRO"/>
    <s v="VITOR"/>
    <s v="DEPOSITO SANTA CATARINA LTDA"/>
    <n v="257.81"/>
    <x v="0"/>
    <s v="VENDAS DE SERVIÇOS"/>
  </r>
  <r>
    <x v="8"/>
    <s v="NOVEMBRO"/>
    <s v="VITOR DUARTE"/>
    <s v="DEVOLUÇÃO APORTE VITOR - APORTE  2024"/>
    <n v="-56900"/>
    <x v="1"/>
    <s v="APORTE"/>
  </r>
  <r>
    <x v="4"/>
    <s v="NOVEMBRO"/>
    <s v="VITOR DUARTE"/>
    <s v="DEVOLUÇÃO APORTE VITOR - APORTE "/>
    <n v="-56900"/>
    <x v="1"/>
    <s v="APORTE"/>
  </r>
  <r>
    <x v="23"/>
    <s v="OUTUBRO"/>
    <s v="LIMPEZA"/>
    <s v="EDMAR APARECIDO MARTINEZ"/>
    <n v="1200"/>
    <x v="0"/>
    <s v="VENDAS DE SERVIÇOS"/>
  </r>
  <r>
    <x v="23"/>
    <s v="OUTUBRO"/>
    <s v="LIMPEZA"/>
    <s v="EDMAR APARECIDO MARTINEZ"/>
    <n v="799.2"/>
    <x v="0"/>
    <s v="VENDAS DE SERVIÇOS"/>
  </r>
  <r>
    <x v="23"/>
    <s v="OUTUBRO"/>
    <s v="LIMPEZA"/>
    <s v="EDMAR APARECIDO MARTINEZ"/>
    <n v="18532.8"/>
    <x v="0"/>
    <s v="VENDAS DE SERVIÇOS"/>
  </r>
  <r>
    <x v="23"/>
    <s v="OUTUBRO"/>
    <s v="HSERV CABREUVA"/>
    <s v="ELEKTRO LOJA CLEAN"/>
    <n v="-202.51"/>
    <x v="1"/>
    <s v="ENERGIA ELETRICA"/>
  </r>
  <r>
    <x v="23"/>
    <s v="OUTUBRO"/>
    <s v="HSERV CABREUVA"/>
    <s v="ELEKTRO SALA 16"/>
    <n v="-437.54"/>
    <x v="1"/>
    <s v="ENERGIA ELETRICA"/>
  </r>
  <r>
    <x v="23"/>
    <s v="OUTUBRO"/>
    <s v="HSERV CABREUVA"/>
    <s v="ELEKTRO SALA 17"/>
    <n v="-284.22000000000003"/>
    <x v="1"/>
    <s v="ENERGIA ELETRICA"/>
  </r>
  <r>
    <x v="23"/>
    <s v="OUTUBRO"/>
    <s v="HSERV CABREUVA"/>
    <s v="ELEKTRO SALA 18"/>
    <n v="-138.03"/>
    <x v="1"/>
    <s v="ENERGIA ELETRICA"/>
  </r>
  <r>
    <x v="6"/>
    <s v="OUTUBRO"/>
    <s v="HSERV LTDA"/>
    <s v="EMPORIO MEGA 1 C ALIMENTOS S A VENCIMENTO 16/10/2025"/>
    <n v="-648.94000000000005"/>
    <x v="1"/>
    <s v="CESTA BASICA"/>
  </r>
  <r>
    <x v="6"/>
    <s v="OUTUBRO"/>
    <s v="HSERV CABREUVA"/>
    <s v="EMPORIO MEGA 1 C ALIMENTOS S A VENCIMENTO 16/10/2025"/>
    <n v="-1681.59"/>
    <x v="1"/>
    <s v="CESTA BASICA"/>
  </r>
  <r>
    <x v="6"/>
    <s v="OUTUBRO"/>
    <s v="H SERV CLEAN "/>
    <s v="EMPORIO MEGA 1 C ALIMENTOS S A VENCIMENTO 16/10/2025"/>
    <n v="-1201.1199999999999"/>
    <x v="1"/>
    <s v="CESTA BASICA"/>
  </r>
  <r>
    <x v="6"/>
    <s v="OUTUBRO"/>
    <s v="HSERV  COMBINADOS"/>
    <s v="EMPORIO MEGA 1 C ALIMENTOS S A VENCIMENTO 16/10/2024"/>
    <n v="-3683.57"/>
    <x v="1"/>
    <s v="CESTA BASICA"/>
  </r>
  <r>
    <x v="6"/>
    <s v="OUTUBRO"/>
    <s v="HSERV TERCEIRIZADOS"/>
    <s v="EMPORIO MEGA 1 C ALIMENTOS S A VENCIMENTO 16/10/2024"/>
    <n v="-1441.41"/>
    <x v="1"/>
    <s v="CESTA BASICA"/>
  </r>
  <r>
    <x v="6"/>
    <s v="OUTUBRO"/>
    <s v="HSERV TECNOLOGIA"/>
    <s v="EMPORIO MEGA 1 C ALIMENTOS S A VENCIMENTO 16/10/2024"/>
    <n v="-2562.54"/>
    <x v="1"/>
    <s v="CESTA BASICA"/>
  </r>
  <r>
    <x v="6"/>
    <s v="OUTUBRO"/>
    <s v="HSERV LIMPEZA "/>
    <s v="EMPORIO MEGA 1 C ALIMENTOS S A VENCIMENTO 20/10/2025"/>
    <n v="-960.94"/>
    <x v="1"/>
    <s v="CESTA BASICA"/>
  </r>
  <r>
    <x v="6"/>
    <s v="OUTUBRO"/>
    <s v="H SERV CLEAN "/>
    <s v="EMPORIO MEGA 1 C ALIMENTOS S A VENCIMENTO 16/10/2025"/>
    <n v="-3203.1"/>
    <x v="1"/>
    <s v="CESTA BASICA"/>
  </r>
  <r>
    <x v="6"/>
    <s v="OUTUBRO"/>
    <s v="HENRIQUE JEAN "/>
    <s v="EMPORIO MEGA 1 C ALIMENTOS S A VENCIMENTO 16/10/2024"/>
    <n v="-1281.22"/>
    <x v="1"/>
    <s v="CESTA BASICA"/>
  </r>
  <r>
    <x v="6"/>
    <s v="OUTUBRO"/>
    <s v="HSERV  REPRESENTACOES"/>
    <s v="EMPORIO MEGA 1 C ALIMENTOS S A-VENCIMENTO 16/10/2025"/>
    <n v="-720.65"/>
    <x v="1"/>
    <s v="CESTA BASICA"/>
  </r>
  <r>
    <x v="6"/>
    <s v="OUTUBRO"/>
    <s v="HSERV  COMBINADOS"/>
    <s v="EMPORIO MEGA 1 C ALIMENTOS S A VENCIMENTO 20/10/2025"/>
    <n v="-2962.92"/>
    <x v="1"/>
    <s v="CESTA BASICA"/>
  </r>
  <r>
    <x v="6"/>
    <s v="OUTUBRO"/>
    <s v="HSERV LIMPEZA"/>
    <s v="EMPORIO MEGA 1 C ALIMENTOS S A VENCIMENTO 20/10/2025"/>
    <n v="-960.94"/>
    <x v="1"/>
    <s v="CESTA BASICA"/>
  </r>
  <r>
    <x v="6"/>
    <s v="OUTUBRO"/>
    <s v="HENRIQUE JEAN"/>
    <s v="EMPORIO MEGA 1 C ALIMENTOS S A VENCIMENTO 20/10/2025"/>
    <n v="-640.66"/>
    <x v="1"/>
    <s v="CESTA BASICA"/>
  </r>
  <r>
    <x v="6"/>
    <s v="OUTUBRO"/>
    <s v="HSERV  TERCEIRIZADOS "/>
    <s v="EMPORIO MEGA 1 C ALIMENTOS S A VENCIMENTO 20/10/2025"/>
    <n v="-1281.22"/>
    <x v="1"/>
    <s v="CESTA BASICA"/>
  </r>
  <r>
    <x v="6"/>
    <s v="OUTUBRO"/>
    <s v="HSERV TECNOLOGIA"/>
    <s v="EMPORIO MEGA 1 C ALIMENTOS S A VENCIMENTO 20/10/2025"/>
    <n v="-2162.0700000000002"/>
    <x v="1"/>
    <s v="CESTA BASICA"/>
  </r>
  <r>
    <x v="6"/>
    <s v="OUTUBRO"/>
    <s v="HSERV LTDA"/>
    <s v="EMPORIO MEGA 1 C ALIMENTOS S A VENCIMENTO 20/10/2025"/>
    <n v="-1521.51"/>
    <x v="1"/>
    <s v="CESTA BASICA"/>
  </r>
  <r>
    <x v="6"/>
    <s v="OUTUBRO"/>
    <s v="H SERV CLEAN "/>
    <s v="EMPORIO MEGA 1 C ALIMENTOS S A VENCIMENTO 20/10/2025"/>
    <n v="-1041.04"/>
    <x v="1"/>
    <s v="CESTA BASICA"/>
  </r>
  <r>
    <x v="6"/>
    <s v="OUTUBRO"/>
    <s v="H SERV CLEAN "/>
    <s v="EMPORIO MEGA 1 C ALIMENTOS S A VENCIMENTO 20/10/2025"/>
    <n v="-3043.01"/>
    <x v="1"/>
    <s v="CESTA BASICA"/>
  </r>
  <r>
    <x v="6"/>
    <s v="OUTUBRO"/>
    <s v="HSERV  REPRESENTACOES"/>
    <s v="EMPORIO MEGA 1 C ALIMENTOS S A VENCIMENTO 20/10/2025"/>
    <n v="-880.85"/>
    <x v="1"/>
    <s v="CESTA BASICA"/>
  </r>
  <r>
    <x v="6"/>
    <s v="OUTUBRO"/>
    <s v="HSERV CABREUVA"/>
    <s v="EMPORIO MEGA 1 C ALIMENTOS S A- VENCIMENTO 20/10/2025"/>
    <n v="-1601.6"/>
    <x v="1"/>
    <s v="CESTA BASICA"/>
  </r>
  <r>
    <x v="12"/>
    <s v="OUTUBRO"/>
    <s v="HSERV CLEAN"/>
    <s v="EMPRESTIMO HSERV CLEAN BRADESCO -PARCELA MENSAL VENCIDA 14/10/2025"/>
    <n v="-5974.17"/>
    <x v="1"/>
    <s v="EMPRESTIMO "/>
  </r>
  <r>
    <x v="29"/>
    <s v="OUTUBRO"/>
    <s v="HSERV COMBINADOS "/>
    <s v="ESTER CARDOZO"/>
    <n v="-1375"/>
    <x v="1"/>
    <s v="SALARIOS"/>
  </r>
  <r>
    <x v="27"/>
    <s v="OUTUBRO"/>
    <s v="HSERV CABREUVA"/>
    <s v="ESTER CARDOZO DE LIMA "/>
    <n v="-500"/>
    <x v="1"/>
    <s v="SALARIOS"/>
  </r>
  <r>
    <x v="6"/>
    <s v="OUTUBRO"/>
    <s v="HSERV COMBINADOS"/>
    <s v="HENRIQUE JEAN -RESTANTE DO VALOR ACORDADO REFERENTE AO PROLABORE DAS EMPRESAS "/>
    <n v="-3996.89"/>
    <x v="1"/>
    <s v="SALARIOS"/>
  </r>
  <r>
    <x v="8"/>
    <s v="NOVEMBRO"/>
    <s v="HENRIQUE JEAN"/>
    <s v="FGTS MENSAL - HENRIQUE JEAN COMPETENCIA 09/2025 VENCIMENTO 20/10/2025- VALOR SOFRERÁ AJUSTE DE JUROS E MULTA"/>
    <n v="-11742.92"/>
    <x v="1"/>
    <s v="IMPOSTO"/>
  </r>
  <r>
    <x v="8"/>
    <s v="NOVEMBRO"/>
    <s v="HSERV CABREUVA"/>
    <s v="FGTS MENSAL - HSERV CABREUVA  COMPETENCIA 09/2025 VENCIMENTO 20/10/2025  VALOR SOFRERÁ AJUSTE DE JUROS E MULTA"/>
    <n v="-3210.17"/>
    <x v="1"/>
    <s v="IMPOSTO"/>
  </r>
  <r>
    <x v="13"/>
    <s v="OUTUBRO"/>
    <s v="HSERV CLEAN"/>
    <s v="FGTS MENSAL - HSERV CLEAN  COMPETENCIA 09/2025 VENCIMENTO 20/10/2025- DOCUMENTAÇÃO VEPAKUM "/>
    <n v="-3624.43"/>
    <x v="1"/>
    <s v="IMPOSTO"/>
  </r>
  <r>
    <x v="8"/>
    <s v="NOVEMBRO"/>
    <s v="HSERV COMBINADOS"/>
    <s v="FGTS MENSAL - HSERV COMBINADOS  COMPETENCIA 09/2025 VENCIMENTO- VALOR SOFRERÁ AJUSTE DE JUROS E MULTA"/>
    <n v="-8540.8700000000008"/>
    <x v="1"/>
    <s v="IMPOSTO"/>
  </r>
  <r>
    <x v="8"/>
    <s v="NOVEMBRO"/>
    <s v="HSERV LIMPEZA"/>
    <s v="FGTS MENSAL - HSERV LIMPEZA COMPETENCIA 09/2025 VENCIMENTO 20/10/2025- VALOR SOFRERÁ AJUSTE DE JUROS E MULTA"/>
    <n v="-3673.63"/>
    <x v="1"/>
    <s v="IMPOSTO"/>
  </r>
  <r>
    <x v="13"/>
    <s v="OUTUBRO"/>
    <s v="HSERV REPRESENTACOES"/>
    <s v="FGTS MENSAL - HSERV REPRESENTAÇÃO COMPETENCIA 09/2025 VENCIMENTO 20/10/2025 - DOCUMENTAÇÃO VETTOR"/>
    <n v="-3268.65"/>
    <x v="1"/>
    <s v="IMPOSTO"/>
  </r>
  <r>
    <x v="8"/>
    <s v="NOVEMBRO"/>
    <s v="HSERV TECNOLOGIA"/>
    <s v="FGTS MENSAL - HSERV TECNOLOGIA  COMPETENCIA 09/2025 VENCIMENTO 20/10/2025- VALOR SOFRERÁ AJUSTE DE JUROS E MULTA"/>
    <n v="-9364.3799999999992"/>
    <x v="1"/>
    <s v="IMPOSTO"/>
  </r>
  <r>
    <x v="25"/>
    <s v="OUTUBRO"/>
    <s v="HSERV TERCEIRIZADOS"/>
    <s v="FGTS MENSAL - HSERV TERCERIZADOS  COMPETENCIA 09/2025 VENCIMENTO-Bell Art"/>
    <n v="-4179.75"/>
    <x v="1"/>
    <s v="IMPOSTO"/>
  </r>
  <r>
    <x v="8"/>
    <s v="NOVEMBRO"/>
    <s v="VITOR DUARTE"/>
    <s v="FGTS MENSAL - HSERV LTDA COMPETENCIA 09/2025 VENCIMENTO- VALOR SOFRERÁ AJUSTE DE JUROS E MULTA"/>
    <n v="-2728.01"/>
    <x v="1"/>
    <s v="IMPOSTO"/>
  </r>
  <r>
    <x v="8"/>
    <s v="NOVEMBRO"/>
    <s v="HENRIQUE JEAN"/>
    <s v="DARF INSS MENSAL HENRIQUE JEAN DUARTE LTDA COMPETENCIA 09/2025 VENCIMENTO 20/10/2025- VALOR SOFRERÁ AJUSTE DE JUROS E MULTA"/>
    <n v="-8066.66"/>
    <x v="1"/>
    <s v="IMPOSTO"/>
  </r>
  <r>
    <x v="8"/>
    <s v="NOVEMBRO"/>
    <s v="HSERV CABREUVA"/>
    <s v="DARF INSS MENSAL HSERV CABREUVA  LTDA COMPETENCIA 09/2025 VENCIMENTO 20/10/2025- VALOR SOFRERÁ AJUSTE DE JUROS E MULTA"/>
    <n v="-19801.12"/>
    <x v="1"/>
    <s v="IMPOSTO"/>
  </r>
  <r>
    <x v="13"/>
    <s v="OUTUBRO"/>
    <s v="HSERV CLEAN"/>
    <s v="DARF INSS MENSAL HSERV CLEAN  COMPETENCIA 09/2025 VENCIMENTO 20/10/2025 DOCUMENTAÇÃO VEPAKUM "/>
    <n v="-3714.04"/>
    <x v="1"/>
    <s v="IMPOSTO"/>
  </r>
  <r>
    <x v="8"/>
    <s v="NOVEMBRO"/>
    <s v="HSERV COMBINADOS"/>
    <s v="DARF INSS MENSAL HSERV COMBINADOS COMPETENCIA 09/2025 VENCIMENTO 20/10/2025- VALOR SOFRERÁ AJUSTE DE JUROS E MULTA"/>
    <n v="-6269.78"/>
    <x v="1"/>
    <s v="IMPOSTO"/>
  </r>
  <r>
    <x v="8"/>
    <s v="NOVEMBRO"/>
    <s v="HSERV LIMPEZA"/>
    <s v="DARF INSS MENSAL  HSERV LIMPEZA  COMPETENCIA 09/2025 VENCIMENTO 20/10/2025- VALOR SOFRERÁ AJUSTE DE JUROS E MULTA"/>
    <n v="-1783.89"/>
    <x v="1"/>
    <s v="IMPOSTO"/>
  </r>
  <r>
    <x v="13"/>
    <s v="OUTUBRO"/>
    <s v="HSERV REPRESENTACOES"/>
    <s v="DARF INSS MENSAL HSERV REPRESENTAÇÃO  COMPETENCIA 09/2025 VENCIMENTO 20/10/2025  - DOCUMENTAÇÃO VETTOR"/>
    <n v="-111.42"/>
    <x v="1"/>
    <s v="IMPOSTO"/>
  </r>
  <r>
    <x v="8"/>
    <s v="NOVEMBRO"/>
    <s v="HSERV TECNOLOGIA"/>
    <s v="DARF INSS MENSAL HSERV TECNOLOGIA  COMPETENCIA 09/2025 VENCIMENTO 20/10/2025- VALOR SOFRERÁ AJUSTE DE JUROS E MULTA"/>
    <n v="-8953.81"/>
    <x v="1"/>
    <s v="IMPOSTO"/>
  </r>
  <r>
    <x v="25"/>
    <s v="OUTUBRO"/>
    <s v="HSERV TERCEIRIZADOS"/>
    <s v="DARF INSS MENSAL HSERV TERCERIZADOS  COMPETENCIA 09/2025 VENCIMENTO 20/10/2025- Bell Art"/>
    <n v="-2113.61"/>
    <x v="1"/>
    <s v="IMPOSTO"/>
  </r>
  <r>
    <x v="8"/>
    <s v="NOVEMBRO"/>
    <s v="VITOR DUARTE"/>
    <s v="DARF INSS MENSAL HSERV LTDA  COMPETENCIA 09/2025 VENCIMENTO 20/10/2025- VALOR SOFRERÁ AJUSTE DE JUROS E MULTA"/>
    <n v="-14328.98"/>
    <x v="1"/>
    <s v="IMPOSTO"/>
  </r>
  <r>
    <x v="29"/>
    <s v="OUTUBRO"/>
    <s v="HENRIQUE JEAN ND"/>
    <s v="FIT ADM (VIDA NOVA) "/>
    <n v="-495.03"/>
    <x v="1"/>
    <s v="RESERVA"/>
  </r>
  <r>
    <x v="14"/>
    <s v="OUTUBRO"/>
    <s v="HSERV CABREUVA"/>
    <s v="APORTE VITOR "/>
    <n v="60100"/>
    <x v="0"/>
    <s v="APORTE"/>
  </r>
  <r>
    <x v="13"/>
    <s v="OUTUBRO"/>
    <s v="HSERV CABREUVA"/>
    <s v="APORTE VITOR - JEAN TRANSFERIU 20K NA COMBINADOS ND E 4K NA COMBINADOS OFC FITBANK"/>
    <n v="24000"/>
    <x v="0"/>
    <s v="APORTE"/>
  </r>
  <r>
    <x v="33"/>
    <s v="OUTUBRO"/>
    <s v="HSERV CLEAN"/>
    <s v="VENDAS CLEAN"/>
    <n v="1028.77"/>
    <x v="0"/>
    <s v="VENDAS DE PRODUTOS"/>
  </r>
  <r>
    <x v="13"/>
    <s v="OUTUBRO"/>
    <s v="TERCERIZADOS"/>
    <s v="LIMITE TERCERIZADO ND-BRADESCO"/>
    <n v="7000"/>
    <x v="0"/>
    <s v="LIMITE"/>
  </r>
  <r>
    <x v="13"/>
    <s v="OUTUBRO"/>
    <s v="HSERV CLEAN"/>
    <s v="VENDAS DE PRODUTOS ITAU-MAQUININHA"/>
    <n v="231.74"/>
    <x v="0"/>
    <s v="VENDAS DE PRODUTOS"/>
  </r>
  <r>
    <x v="13"/>
    <s v="OUTUBRO"/>
    <s v="HSERV CLEAN"/>
    <s v="VENDAS DE PRODUTOS OMIE CASH"/>
    <n v="219.95"/>
    <x v="0"/>
    <s v="VENDAS DE PRODUTOS"/>
  </r>
  <r>
    <x v="12"/>
    <s v="OUTUBRO"/>
    <s v="HSERV CABREUVA"/>
    <s v="IRMÃOS BOAS"/>
    <n v="698018.08"/>
    <x v="0"/>
    <s v="VENDAS DE SERVIÇOS"/>
  </r>
  <r>
    <x v="14"/>
    <s v="OUTUBRO"/>
    <s v="HSERV CABREUVA"/>
    <s v="TRANSFERENCIA VITOR- VITOR ENVIOU 18.000 E  SOLICITOU QUE PAGASSE UM BOLETO DE 36 MIL "/>
    <n v="18500"/>
    <x v="0"/>
    <s v="VITOR"/>
  </r>
  <r>
    <x v="14"/>
    <s v="OUTUBRO"/>
    <s v="HSERV CABREUVA"/>
    <s v="FT 1 QUINZENA E PACOTES, RT"/>
    <n v="-55067.37"/>
    <x v="1"/>
    <s v="FT"/>
  </r>
  <r>
    <x v="24"/>
    <s v="OUTUBRO"/>
    <s v="HSERV COMBINADOS "/>
    <s v="FT 2 QUINZENA"/>
    <n v="-33617.18"/>
    <x v="1"/>
    <s v="FT"/>
  </r>
  <r>
    <x v="19"/>
    <s v="OUTUBRO"/>
    <s v="HSERV COMBINADOS "/>
    <s v="JOAO VITOR RODRIGUES DA SILVA -APOIO EXTRA REFORMA PRUDENTE -LOJA 18"/>
    <n v="-1700"/>
    <x v="1"/>
    <s v="FT"/>
  </r>
  <r>
    <x v="19"/>
    <s v="OUTUBRO"/>
    <s v="HSERV COMBINADOS "/>
    <s v="RAISSA CAROLINA DE OLIVEIRA - COBRINDO FÉRIAS  DA ANA CLAUDIA FIGUEIREDO ASSIS - LOJA 04"/>
    <n v="-589"/>
    <x v="1"/>
    <s v="FT"/>
  </r>
  <r>
    <x v="19"/>
    <s v="OUTUBRO"/>
    <s v="HSERV COMBINADOS "/>
    <s v="DENISE CASTRO DA SILVA  COBRINDO FÉRIAS ANA CLAUDIA FIGUEIREDO-ASSIS - LOJA 04"/>
    <n v="-630"/>
    <x v="1"/>
    <s v="FT"/>
  </r>
  <r>
    <x v="19"/>
    <s v="OUTUBRO"/>
    <s v="HSERV COMBINADOS "/>
    <s v="DAIANA CRISTINA FERREIRA   COBRINDO FÉRIAS  JANAINE DOSSANTOS SILVA  PIRATININGA LOJA 37"/>
    <n v="-1750"/>
    <x v="1"/>
    <s v="FT"/>
  </r>
  <r>
    <x v="19"/>
    <s v="OUTUBRO"/>
    <s v="HSERV COMBINADOS "/>
    <s v="SUELY DE OLIVEIRA SANTOS - COBRINDO FÉRIAS  DAYANE CRISTINA SILVA SANTOS -PRES. VENCESLAU - LOJA 41"/>
    <n v="-1700"/>
    <x v="1"/>
    <s v="FT"/>
  </r>
  <r>
    <x v="19"/>
    <s v="OUTUBRO"/>
    <s v="HSERV COMBINADOS "/>
    <s v="CELIA CAUM DE ANDRADE-COBRINDO AFASTAMENTO JUSCELENE CORREIA DE PAULA PARAGUAÇU - LOJA 10"/>
    <n v="-1140"/>
    <x v="1"/>
    <s v="FT"/>
  </r>
  <r>
    <x v="19"/>
    <s v="OUTUBRO"/>
    <s v="HSERV COMBINADOS "/>
    <s v="FT ASSIS E REGIÃO- "/>
    <n v="-6270"/>
    <x v="1"/>
    <s v="FT"/>
  </r>
  <r>
    <x v="25"/>
    <s v="OUTUBRO"/>
    <s v="HSERV COMBINADOS "/>
    <s v="FT REDE AVENIDA  ASSIS E REGIÃO-"/>
    <n v="-1080"/>
    <x v="1"/>
    <s v="FT"/>
  </r>
  <r>
    <x v="12"/>
    <s v="OUTUBRO"/>
    <s v="HSERV COMBINADOS "/>
    <s v="FT REDE AVENIDA  ASSIS E REGIÃO-"/>
    <n v="-5395"/>
    <x v="1"/>
    <s v="FT"/>
  </r>
  <r>
    <x v="7"/>
    <s v="OUTUBRO"/>
    <s v="HSERV COMBINADOS"/>
    <s v="CONDOMINIO DE CONSTRUCAO DO EDIFICIO COMERCIAL CBM TOWER"/>
    <n v="-2522.12"/>
    <x v="1"/>
    <s v="APORTE"/>
  </r>
  <r>
    <x v="34"/>
    <s v="NOVEMBRO"/>
    <s v="HSERV TERCEIRIZADOS"/>
    <s v="FLORA DISTRIB PROD DE HIGIENE E LIMPEZA LTDA"/>
    <n v="-1483.64"/>
    <x v="1"/>
    <s v="MERCADORIAS PARA REVENDA"/>
  </r>
  <r>
    <x v="34"/>
    <s v="NOVEMBRO"/>
    <s v="HSERV COMBINADOS"/>
    <s v="CONDOMINIO DE CONSTRUCAO DO EDIFICIO COMERCIAL CBM TOWER"/>
    <n v="-2517.84"/>
    <x v="1"/>
    <s v="APORTE"/>
  </r>
  <r>
    <x v="35"/>
    <s v="DEZEMBRO"/>
    <s v="HSERV COMBINADOS"/>
    <s v="CONDOMINIO DE CONSTRUCAO DO EDIFICIO COMERCIAL CBM TOWER"/>
    <n v="-2517.84"/>
    <x v="1"/>
    <s v="APORTE"/>
  </r>
  <r>
    <x v="7"/>
    <s v="OUTUBRO"/>
    <s v="HSERV COMBINADOS"/>
    <s v="CONDOMINIO DE CONSTRUCAO DO EDIFICIO COMERCIAL CBM TOWER"/>
    <n v="-355.6"/>
    <x v="1"/>
    <s v="APORTE"/>
  </r>
  <r>
    <x v="34"/>
    <s v="NOVEMBRO"/>
    <s v="HSERV COMBINADOS"/>
    <s v="CONDOMINIO DE CONSTRUCAO DO EDIFICIO COMERCIAL CBM TOWER"/>
    <n v="-355"/>
    <x v="1"/>
    <s v="APORTE"/>
  </r>
  <r>
    <x v="35"/>
    <s v="DEZEMBRO"/>
    <s v="HSERV COMBINADOS"/>
    <s v="CONDOMINIO DE CONSTRUCAO DO EDIFICIO COMERCIAL CBM TOWER"/>
    <n v="-355"/>
    <x v="1"/>
    <s v="APORTE"/>
  </r>
  <r>
    <x v="6"/>
    <s v="OUTUBRO"/>
    <s v="HSERV CLEAN"/>
    <s v="SPARTAN DO BRASIL PRODUTOS QUIMICOS LTDA VENCIMENTO 29/10/2025"/>
    <n v="-4070.92"/>
    <x v="1"/>
    <s v="MERCADORIA PARA REVENDA"/>
  </r>
  <r>
    <x v="8"/>
    <s v="NOVEMBRO"/>
    <s v="HSERV TERCEIRIZADOS"/>
    <s v="STAR CLEAN PRO INDUSTRIA E COMERCIO DE EQUIPAMENTOS DE LIMPEZA VENCIMENTO 29/10/2025"/>
    <n v="-643.77007900000001"/>
    <x v="1"/>
    <s v="MERCADORIA PARA REVENDA"/>
  </r>
  <r>
    <x v="7"/>
    <s v="OUTUBRO"/>
    <s v="HSERV COMBINADOS"/>
    <s v="MARCIA COSME DA SILVA"/>
    <n v="-321"/>
    <x v="1"/>
    <s v="VALE TRANSPORTE"/>
  </r>
  <r>
    <x v="7"/>
    <s v="OUTUBRO"/>
    <s v="HSERV COMBINADOS"/>
    <s v="ILAIDE JOSE RODRIGUES"/>
    <n v="-177"/>
    <x v="1"/>
    <s v="VALE TRANSPORTE"/>
  </r>
  <r>
    <x v="7"/>
    <s v="OUTUBRO"/>
    <s v="HSERV COMBINADOS"/>
    <s v="FRANCINE LAURIANE DE ABREU"/>
    <n v="-177"/>
    <x v="1"/>
    <s v="VALE TRANSPORTE"/>
  </r>
  <r>
    <x v="7"/>
    <s v="OUTUBRO"/>
    <s v="HSERV LTDA"/>
    <s v="PLUXEE INSTITUICAO DE PAGAMENTO BRASIL S.A."/>
    <n v="-2826.2"/>
    <x v="1"/>
    <s v="VALE TRANSPORTE"/>
  </r>
  <r>
    <x v="7"/>
    <s v="OUTUBRO"/>
    <s v="HSERV COMBINADOS"/>
    <s v="EDNA JOSE DE SOUZA COSTA"/>
    <n v="-240"/>
    <x v="1"/>
    <s v="VALE TRANSPORTE"/>
  </r>
  <r>
    <x v="7"/>
    <s v="OUTUBRO"/>
    <s v="HENRIQUE JEAN"/>
    <s v="PAULO CEZAR FERREIRA DOS SANTOS PROC 0012427-44.2024.5.15.0002   AUTOR: MARIA NAZARE DA SILV- PARCELA 3/10"/>
    <n v="-1500"/>
    <x v="1"/>
    <s v="ACORDO TRABALHISTA"/>
  </r>
  <r>
    <x v="4"/>
    <s v="NOVEMBRO"/>
    <s v="HENRIQUE JEAN"/>
    <s v="PAULO CEZAR FERREIRA DOS SANTOS PROC 0012427-44.2024.5.15.0002   AUTOR: MARIA NAZARE DA SILV- PARCELA 4/10"/>
    <n v="-1500"/>
    <x v="1"/>
    <s v="ACORDO TRABALHISTA"/>
  </r>
  <r>
    <x v="35"/>
    <s v="DEZEMBRO"/>
    <s v="HENRIQUE JEAN"/>
    <s v="PAULO CEZAR FERREIRA DOS SANTOS PROC 0012427-44.2024.5.15.0002   AUTOR: MARIA NAZARE DA SILV- PARCELA 5/10"/>
    <n v="-1500"/>
    <x v="1"/>
    <s v="ACORDO TRABALHISTA"/>
  </r>
  <r>
    <x v="7"/>
    <s v="OUTUBRO"/>
    <s v="HENRIQUE JEAN"/>
    <s v="FABIANA DE SOUZA CULBERT SOCIEDADE INDIVIDUAL DE ADVOCACIA-PROC 0010360-81.2025.5.15.0096  AUTOR: PAULO EDVAN HAHNE  PARCELA 3/6"/>
    <n v="-1000"/>
    <x v="1"/>
    <s v="ACORDO TRABALHISTA"/>
  </r>
  <r>
    <x v="4"/>
    <s v="NOVEMBRO"/>
    <s v="HENRIQUE JEAN"/>
    <s v="FABIANA DE SOUZA CULBERT SOCIEDADE INDIVIDUAL DE ADVOCACIA-PROC 0010360-81.2025.5.15.0096  AUTOR: PAULO EDVAN HAHNE  PARCELA 3/6"/>
    <n v="-1000"/>
    <x v="1"/>
    <s v="ACORDO TRABALHISTA"/>
  </r>
  <r>
    <x v="35"/>
    <s v="DEZEMBRO"/>
    <s v="HENRIQUE JEAN"/>
    <s v="FABIANA DE SOUZA CULBERT SOCIEDADE INDIVIDUAL DE ADVOCACIA-PROC 0010360-81.2025.5.15.0096  AUTOR: PAULO EDVAN HAHNE  PARCELA 3/6"/>
    <n v="-1000"/>
    <x v="1"/>
    <s v="ACORDO TRABALHISTA"/>
  </r>
  <r>
    <x v="7"/>
    <s v="OUTUBRO"/>
    <s v="HSERV CABREUVA"/>
    <s v="AUREA MOSCATINI PROC 0012313-20.2024.5.15.0095   AUTOR: GABRIEL BARBOSA DOS SANTOS-PARCELA 3/5"/>
    <n v="-1000"/>
    <x v="1"/>
    <s v="ACORDO TRABALHISTA"/>
  </r>
  <r>
    <x v="4"/>
    <s v="NOVEMBRO"/>
    <s v="HSERV CABREUVA"/>
    <s v="AUREA MOSCATINI PROC 0012313-20.2024.5.15.0095   AUTOR: GABRIEL BARBOSA DOS SANTOS-PARCELA 3/5"/>
    <n v="-1000"/>
    <x v="1"/>
    <s v="ACORDO TRABALHISTA"/>
  </r>
  <r>
    <x v="35"/>
    <s v="DEZEMBRO"/>
    <s v="HSERV CABREUVA"/>
    <s v="AUREA MOSCATINI PROC 0012313-20.2024.5.15.0095   AUTOR: GABRIEL BARBOSA DOS SANTOS-PARCELA 3/5"/>
    <n v="-1000"/>
    <x v="1"/>
    <s v="ACORDO TRABALHISTA"/>
  </r>
  <r>
    <x v="7"/>
    <s v="OUTUBRO"/>
    <s v="HSERV CLEAN"/>
    <s v="SANTOS SEPULVEDA SOCIEDADE INDIVIDUAL DE ADVOCACIAPRoc 0011475-02.2023.5.15.0002 RECLAMANTE: ANA CAROLINA DOS SANTOS PARCELA 3/10"/>
    <n v="-3800"/>
    <x v="1"/>
    <s v="ACORDO TRABALHISTA"/>
  </r>
  <r>
    <x v="4"/>
    <s v="NOVEMBRO"/>
    <s v="HSERV CLEAN"/>
    <s v="SANTOS SEPULVEDA SOCIEDADE INDIVIDUAL DE ADVOCACIAPRoc 0011475-02.2023.5.15.0002 RECLAMANTE: ANA CAROLINA DOS SANTOS PARCELA 4/10"/>
    <n v="-3800"/>
    <x v="1"/>
    <s v="ACORDO TRABALHISTA"/>
  </r>
  <r>
    <x v="35"/>
    <s v="DEZEMBRO"/>
    <s v="HSERV CLEAN"/>
    <s v="SANTOS SEPULVEDA SOCIEDADE INDIVIDUAL DE ADVOCACIAPRoc 0011475-02.2023.5.15.0002 RECLAMANTE: ANA CAROLINA DOS SANTOS PARCELA 5/10"/>
    <n v="-3800"/>
    <x v="1"/>
    <s v="ACORDO TRABALHISTA"/>
  </r>
  <r>
    <x v="3"/>
    <s v="OUTUBRO"/>
    <s v="HSERV COMBINADOS "/>
    <s v="GABRIEL DOS SANTOS NOVÃESCLOUD-TELEFONIA VENCIMENTO 29/10/2025"/>
    <n v="-535.1"/>
    <x v="1"/>
    <s v="SISTEMA"/>
  </r>
  <r>
    <x v="6"/>
    <s v="OUTUBRO"/>
    <s v="VITOR DUARTE"/>
    <s v="GADE CORPORATIVA VENCIMENTO 25/10/2025"/>
    <n v="-144.91999999999999"/>
    <x v="1"/>
    <s v="SISTEMA"/>
  </r>
  <r>
    <x v="24"/>
    <s v="OUTUBRO"/>
    <s v="VITOR"/>
    <s v="GIFEL"/>
    <n v="680.03"/>
    <x v="0"/>
    <s v="VENDAS DE SERVIÇOS"/>
  </r>
  <r>
    <x v="6"/>
    <s v="OUTUBRO"/>
    <s v="VITOR DUARTE ND "/>
    <s v="PARCELAMENTO PREFEITURA DE CABREUVA VITOR AUGUSTO DUARTE-DESCONTAR DO PROLABORE DR DUARTE PARCELA 5"/>
    <n v="-99.49"/>
    <x v="1"/>
    <s v="PROLABORE"/>
  </r>
  <r>
    <x v="4"/>
    <s v="NOVEMBRO"/>
    <s v="VITOR DUARTE ND "/>
    <s v="PARCELAMENTO PREFEITURA DE CABREUVA VITOR AUGUSTO DUARTE-DESCONTAR DO PROLABORE DR DUARTE"/>
    <n v="-99.49"/>
    <x v="1"/>
    <s v="PROLABORE"/>
  </r>
  <r>
    <x v="35"/>
    <s v="DEZEMBRO"/>
    <s v="VITOR DUARTE ND "/>
    <s v="PARCELAMENTO PREFEITURA DE CABREUVA VITOR AUGUSTO DUARTE-DESCONTAR DO PROLABORE DR DUARTE"/>
    <n v="-99.49"/>
    <x v="1"/>
    <s v="PROLABORE"/>
  </r>
  <r>
    <x v="6"/>
    <s v="OUTUBRO"/>
    <s v="HENRIQUE JEAN"/>
    <s v="PARCELAMENTO PREFEITURA DE CABREUVA HENRIQUE JEAN DUARTE PARCELA 5/5 "/>
    <n v="-106.54"/>
    <x v="1"/>
    <s v="IMPOSTO"/>
  </r>
  <r>
    <x v="6"/>
    <s v="OUTUBRO"/>
    <s v="HSERV CLEAN"/>
    <s v="PARCELAMENTO PREFEITURA DE CABREUVA HSERV CLEAN COMERCIO DE PRODUTOS DE LIMPEZA LTDA-PARCELA 5/5"/>
    <n v="-111.85"/>
    <x v="1"/>
    <s v="IMPOSTO"/>
  </r>
  <r>
    <x v="6"/>
    <s v="OUTUBRO"/>
    <s v="HSERV LIMPEZA"/>
    <s v="PARCELAMENTO PREFEITURA DE CABREUVA HSERV LIMPEZA PARCELA 5/5"/>
    <n v="-106.55"/>
    <x v="1"/>
    <s v="IMPOSTO"/>
  </r>
  <r>
    <x v="6"/>
    <s v="OUTUBRO"/>
    <s v="HSERV TECNOLOGIA"/>
    <s v="PARCELAMENTO PREFEITURA DE CABREUVA HSERV TECNOLOGIA PARCELA 5/5"/>
    <n v="-106.54"/>
    <x v="1"/>
    <s v="IMPOSTO"/>
  </r>
  <r>
    <x v="6"/>
    <s v="OUTUBRO"/>
    <s v="HSERV CABREUVA"/>
    <s v="PARCELAMENTO PREFEITURA DE CABREUVA HSERV CABREUVA 5/13"/>
    <n v="-106.58"/>
    <x v="1"/>
    <s v="IMPOSTO"/>
  </r>
  <r>
    <x v="4"/>
    <s v="NOVEMBRO"/>
    <s v="HSERV CABREUVA"/>
    <s v="PARCELAMENTO PREFEITURA DE CABREUVA HSERV 6/13"/>
    <n v="-106.58"/>
    <x v="1"/>
    <s v="IMPOSTO"/>
  </r>
  <r>
    <x v="35"/>
    <s v="DEZEMBRO"/>
    <s v="HSERV CABREUVA"/>
    <s v="PARCELAMENTO PREFEITURA DE CABREUVA HSERV 7/13"/>
    <n v="-106.58"/>
    <x v="1"/>
    <s v="IMPOSTO"/>
  </r>
  <r>
    <x v="22"/>
    <s v="NOVEMBRO"/>
    <s v="HSERV CLEAN"/>
    <s v="CSRF  DE IMPOSTO VEPAKUM RETROATIVO SETEMBRO 2024"/>
    <n v="-3832.07"/>
    <x v="1"/>
    <s v="IMPOSTO"/>
  </r>
  <r>
    <x v="22"/>
    <s v="NOVEMBRO"/>
    <s v="HSERV CLEAN"/>
    <s v="IRRF-GUIA DE IMPOSTO VEPAKUM RETROATIVO SETEMBRO 2024"/>
    <n v="-824.09"/>
    <x v="1"/>
    <s v="IMPOSTO"/>
  </r>
  <r>
    <x v="8"/>
    <s v="NOVEMBRO"/>
    <s v="VITOR DUARTE"/>
    <s v="GUIA DE PARCELAMENTO INSS VITOR JULHO A NOV 2024-VENCIMENTO 31/10/2025"/>
    <n v="-6698.26"/>
    <x v="1"/>
    <s v="IMPOSTO"/>
  </r>
  <r>
    <x v="8"/>
    <s v="NOVEMBRO"/>
    <s v="VITOR DUARTE"/>
    <s v="GUIA DE PARCELAMENTO INSS HSERV LTDA DEZEMBRO A FEV 2025-VENCIMENTO 31/10/2025"/>
    <n v="-4486.37"/>
    <x v="1"/>
    <s v="IMPOSTO"/>
  </r>
  <r>
    <x v="3"/>
    <s v="OUTUBRO"/>
    <s v="HSERV CABREUVA"/>
    <s v="IF EMPRESARIAL-VENCIDA 20/10/2025 PRORROGADA SEM JUROS OU MULTA"/>
    <n v="-15864"/>
    <x v="1"/>
    <s v="CONTABILIDADE"/>
  </r>
  <r>
    <x v="25"/>
    <s v="OUTUBRO"/>
    <s v="HENRIQUE JEAN ND"/>
    <s v="IMOVEL NEX ONE -VENCIMENTO 22/10/2025"/>
    <n v="-9000"/>
    <x v="1"/>
    <s v="RESERVA"/>
  </r>
  <r>
    <x v="31"/>
    <s v="OUTUBRO"/>
    <s v="LIMPEZA"/>
    <s v="IMPROVEMENT FIT ACADEMIA LTDA"/>
    <n v="918.89"/>
    <x v="0"/>
    <s v="VENDAS DE SERVIÇOS"/>
  </r>
  <r>
    <x v="31"/>
    <s v="OUTUBRO"/>
    <s v="LIMPEZA"/>
    <s v="IMPROVEMENT FIT ACADEMIA LTDA"/>
    <n v="8014.84"/>
    <x v="0"/>
    <s v="VENDAS DE SERVIÇOS"/>
  </r>
  <r>
    <x v="23"/>
    <s v="OUTUBRO"/>
    <s v="TECNOLOGIA"/>
    <s v="INTERBRILHO HIGIENE E LIMPEZA LTDA"/>
    <n v="23638.67"/>
    <x v="0"/>
    <s v="VENDAS DE SERVIÇOS"/>
  </r>
  <r>
    <x v="24"/>
    <s v="OUTUBRO"/>
    <s v="HSERV CLEAN"/>
    <s v="INTERMEDICA"/>
    <n v="-6536.85"/>
    <x v="1"/>
    <s v="CONVENIO MEDICO"/>
  </r>
  <r>
    <x v="12"/>
    <s v="OUTUBRO"/>
    <s v="VITOR DUARTE"/>
    <s v="JONESO EMPREENDIMENTOS VENCIDO 17/10/2025"/>
    <n v="-6006"/>
    <x v="1"/>
    <s v="ALUGUEL DE IMOVEIS"/>
  </r>
  <r>
    <x v="36"/>
    <s v="NOVEMBRO"/>
    <s v="VITOR DUARTE"/>
    <s v="LOCALIZA - VENCIDA 30/09/2025 KM EXCEDENTE"/>
    <n v="-2769.41"/>
    <x v="1"/>
    <s v="ALUGUEL DE VEICULOS"/>
  </r>
  <r>
    <x v="3"/>
    <s v="OUTUBRO"/>
    <s v="VITOR DUARTE"/>
    <s v="LOCALIZA - VENCIDA 30/09/2025"/>
    <n v="-6464.98"/>
    <x v="1"/>
    <s v="ALUGUEL DE VEICULOS"/>
  </r>
  <r>
    <x v="3"/>
    <s v="OUTUBRO"/>
    <s v="HSERV COMBINADOS "/>
    <s v="LOCALIZA - VENCIDA 30/09/2025"/>
    <n v="-4295.7700000000004"/>
    <x v="1"/>
    <s v="ALUGUEL DE VEICULOS"/>
  </r>
  <r>
    <x v="8"/>
    <s v="NOVEMBRO"/>
    <s v="HSERV CLEAN"/>
    <s v="J.E. COMERCIO E SOLUCOES LTDA-VENCIMENTO 27/10/2025"/>
    <n v="-165"/>
    <x v="1"/>
    <s v="MERCADORIA PARA REVENDA"/>
  </r>
  <r>
    <x v="8"/>
    <s v="NOVEMBRO"/>
    <s v="HSERV CLEAN"/>
    <s v="J.E. COMERCIO E SOLUCOES LTDA-VENCIMENTO 27/10/2025"/>
    <n v="-420"/>
    <x v="1"/>
    <s v="MERCADORIA PARA REVENDA"/>
  </r>
  <r>
    <x v="8"/>
    <s v="NOVEMBRO"/>
    <s v="HSERV CLEAN"/>
    <s v="J.E. COMERCIO E SOLUCOES LTDA-VENCIMENTO 27/10/2025"/>
    <n v="-1127.5"/>
    <x v="1"/>
    <s v="MERCADORIA PARA REVENDA"/>
  </r>
  <r>
    <x v="12"/>
    <s v="OUTUBRO"/>
    <s v="HSERV COMBINADOS"/>
    <s v="MAC LUCER - MAITA (MENSAL)"/>
    <n v="-3072.61"/>
    <x v="1"/>
    <s v="APORTE"/>
  </r>
  <r>
    <x v="6"/>
    <s v="OUTUBRO"/>
    <s v="VITOR DUARTE"/>
    <s v="ALTOLIM COMERCIAL ASSIS EIRELI -VENCIMENTO 28/10/2025"/>
    <n v="-58.78"/>
    <x v="1"/>
    <s v="MERCADORIA PARA REVENDA"/>
  </r>
  <r>
    <x v="32"/>
    <s v="OUTUBRO"/>
    <s v="HSERV COMBINADOS"/>
    <s v="MAC LUCER - VINEA (MENSAL) -VENCIMENTO 25/10/2025"/>
    <n v="-2001.54"/>
    <x v="1"/>
    <s v="APORTE"/>
  </r>
  <r>
    <x v="24"/>
    <s v="OUTUBRO"/>
    <s v="VITOR DUARTE"/>
    <s v="MARCASA-SEGURANÇA VEPAKUM"/>
    <n v="-10500"/>
    <x v="1"/>
    <s v="SEGURANÇAS"/>
  </r>
  <r>
    <x v="12"/>
    <s v="OUTUBRO"/>
    <s v="HSERV CABREUVA"/>
    <s v="MAXIWEB INTERNET PROVIDER LTDA"/>
    <n v="-40.630000000000003"/>
    <x v="1"/>
    <s v="SISTEMA"/>
  </r>
  <r>
    <x v="14"/>
    <s v="OUTUBRO"/>
    <s v="LIMPEZA"/>
    <s v="MIPAL INDUSTRIA DE EVAPORADORES LTDA"/>
    <n v="686.4"/>
    <x v="0"/>
    <s v="VENDAS DE SERVIÇOS"/>
  </r>
  <r>
    <x v="14"/>
    <s v="OUTUBRO"/>
    <s v="LIMPEZA"/>
    <s v="MIPAL INDUSTRIA DE EVAPORADORES LTDA"/>
    <n v="750"/>
    <x v="0"/>
    <s v="VENDAS DE SERVIÇOS"/>
  </r>
  <r>
    <x v="14"/>
    <s v="OUTUBRO"/>
    <s v="LIMPEZA"/>
    <s v="MIPAL INDUSTRIA DE EVAPORADORES LTDA"/>
    <n v="4717.4399999999996"/>
    <x v="0"/>
    <s v="VENDAS DE SERVIÇOS"/>
  </r>
  <r>
    <x v="14"/>
    <s v="OUTUBRO"/>
    <s v="LIMPEZA"/>
    <s v="MIPAL INDUSTRIA DE EVAPORADORES LTDA"/>
    <n v="9938.39"/>
    <x v="0"/>
    <s v="VENDAS DE SERVIÇOS"/>
  </r>
  <r>
    <x v="14"/>
    <s v="OUTUBRO"/>
    <s v="LIMPEZA"/>
    <s v="MIPAL INDUSTRIA DE EVAPORADORES LTDA"/>
    <n v="22139.98"/>
    <x v="0"/>
    <s v="VENDAS DE SERVIÇOS"/>
  </r>
  <r>
    <x v="37"/>
    <s v="OUTUBRO"/>
    <s v="VITOR DUARTE"/>
    <s v="VITOR AUGUSTO DUARTE "/>
    <n v="-16203.5"/>
    <x v="1"/>
    <s v="PROLABORE"/>
  </r>
  <r>
    <x v="37"/>
    <s v="OUTUBRO"/>
    <s v="HSERV CLEAN"/>
    <s v="SPARTAN DO BRASIL PRODUTOS QUIMICOS LTDA VENCIDA 13/10"/>
    <n v="-2846.25"/>
    <x v="1"/>
    <s v="MERCADORIA PARA REVENDA"/>
  </r>
  <r>
    <x v="38"/>
    <s v="NOVEMBRO"/>
    <s v="HSERV TERCEIRIZADOS"/>
    <s v="MOVIDA PARTICIPACOES S.A. "/>
    <n v="-10.130000000000001"/>
    <x v="1"/>
    <s v="ALUGUEL DE VEICULOS"/>
  </r>
  <r>
    <x v="16"/>
    <s v="OUTUBRO"/>
    <s v="VITOR DUARTE"/>
    <s v="LOCALIZA FLEET S.A. MULTA PLACA  RVN7E51 -TRANSITAR EM VELOCIDADE SUPERIOR A MAXIMA PERMITIDA EM ATE 20%"/>
    <n v="-129.13"/>
    <x v="1"/>
    <s v="ALUGUEL DE VEICULOS"/>
  </r>
  <r>
    <x v="37"/>
    <s v="OUTUBRO"/>
    <s v="HSERV CLEAN"/>
    <s v="SOFT WORKS EPI CALCADOS LTDA Vencimento 13/10/2025"/>
    <n v="-835.72"/>
    <x v="1"/>
    <s v="UNIFORMES "/>
  </r>
  <r>
    <x v="22"/>
    <s v="NOVEMBRO"/>
    <s v="HSERV TERCEIRIZADOS"/>
    <s v="MOVIDA PARTICIPACOES -VENCIDA SETEMBRO 7038032"/>
    <n v="-4375.75"/>
    <x v="1"/>
    <s v="ALUGUEL DE VEICULOS"/>
  </r>
  <r>
    <x v="33"/>
    <s v="OUTUBRO"/>
    <s v="HSERV TERCEIRIZADOS"/>
    <s v="MOVIDA PARTICIPACOES- FATURA 07261552 VENCIDA SETEMBRO 24/09/2025 - Placa: SVQ7D60 02/08/2025 A 01/09/2025"/>
    <n v="-3405.66"/>
    <x v="1"/>
    <s v="ALUGUEL DE VEICULOS"/>
  </r>
  <r>
    <x v="6"/>
    <s v="OUTUBRO"/>
    <s v="VITOR DUARTE"/>
    <s v="NEXTI DESENVOLVIMENTO DE SISTEMAS S.A.-VENCIMENTO 30/10/2025"/>
    <n v="-1615.39"/>
    <x v="1"/>
    <s v="SISTEMA"/>
  </r>
  <r>
    <x v="6"/>
    <s v="OUTUBRO"/>
    <s v="VITOR DUARTE"/>
    <s v="NEXTI DESENVOLVIMENTO DE SISTEMAS S.A.-VENCIMENTO 30/10/2025"/>
    <n v="-3002.16"/>
    <x v="1"/>
    <s v="SISTEMA"/>
  </r>
  <r>
    <x v="29"/>
    <s v="OUTUBRO"/>
    <s v="HSERV TECNOLOGIA"/>
    <s v="OMIEXPERIENCE LTDA."/>
    <n v="-261.68"/>
    <x v="1"/>
    <s v="SISTEMA"/>
  </r>
  <r>
    <x v="29"/>
    <s v="OUTUBRO"/>
    <s v="HSERV REPRESENTACOES"/>
    <s v="OMIEXPERIENCE LTDA."/>
    <n v="-300"/>
    <x v="1"/>
    <s v="SISTEMA"/>
  </r>
  <r>
    <x v="29"/>
    <s v="OUTUBRO"/>
    <s v="HSERV CABREUVA "/>
    <s v="OMIEXPERIENCE LTDA."/>
    <n v="-300"/>
    <x v="1"/>
    <s v="SISTEMA"/>
  </r>
  <r>
    <x v="29"/>
    <s v="OUTUBRO"/>
    <s v="HSERV  COMBINADOS"/>
    <s v="OMIEXPERIENCE LTDA."/>
    <n v="-300"/>
    <x v="1"/>
    <s v="SISTEMA"/>
  </r>
  <r>
    <x v="29"/>
    <s v="OUTUBRO"/>
    <s v="HENRIQUE JEAN DUARTE "/>
    <s v="OMIEXPERIENCE LTDA."/>
    <n v="-294.92099999999999"/>
    <x v="1"/>
    <s v="SISTEMA"/>
  </r>
  <r>
    <x v="29"/>
    <s v="OUTUBRO"/>
    <s v="HSERV TERCEIRIZADOS"/>
    <s v="OMIEXPERIENCE LTDA."/>
    <n v="-300"/>
    <x v="1"/>
    <s v="SISTEMA"/>
  </r>
  <r>
    <x v="29"/>
    <s v="OUTUBRO"/>
    <s v="HSERV  LIMPEZA "/>
    <s v="OMIEXPERIENCE LTDA."/>
    <n v="-300"/>
    <x v="1"/>
    <s v="SISTEMA"/>
  </r>
  <r>
    <x v="29"/>
    <s v="OUTUBRO"/>
    <s v="VITOR  DUARTE "/>
    <s v="OMIEXPERIENCE LTDA."/>
    <n v="-350"/>
    <x v="1"/>
    <s v="SISTEMA"/>
  </r>
  <r>
    <x v="29"/>
    <s v="OUTUBRO"/>
    <s v="HSER CLEAN"/>
    <s v="OMIEXPERIENCE LTDA."/>
    <n v="-373.51"/>
    <x v="1"/>
    <s v="SISTEMA"/>
  </r>
  <r>
    <x v="33"/>
    <s v="OUTUBRO"/>
    <s v="HSERV CLEAN"/>
    <s v="ROSANGELA CARDOSO LIRA DE OLIVEIRA PRoc 0010002-93.2024.5.15.0018 AUTOR: JOSE GERLIANO DA SILVA LIMA"/>
    <n v="-250"/>
    <x v="1"/>
    <s v="ACORDO TRABALHISTA"/>
  </r>
  <r>
    <x v="33"/>
    <s v="OUTUBRO"/>
    <s v="HSERV COMBINADOS"/>
    <s v="SIDNEI FEITOSA GOMES"/>
    <n v="-59.2"/>
    <x v="1"/>
    <s v="VALE TRANSPORTE"/>
  </r>
  <r>
    <x v="32"/>
    <s v="OUTUBRO"/>
    <s v="HSERV COMBINADOS"/>
    <s v="DENILSON APARECIDO PEDROSO DE ALMEIDA"/>
    <n v="-268.8"/>
    <x v="1"/>
    <s v="VALE TRANSPORTE"/>
  </r>
  <r>
    <x v="32"/>
    <s v="OUTUBRO"/>
    <s v="HSERV COMBINADOS"/>
    <s v="DENIS CARLOS DA ROCHA"/>
    <n v="-177"/>
    <x v="1"/>
    <s v="VALE TRANSPORTE"/>
  </r>
  <r>
    <x v="32"/>
    <s v="OUTUBRO"/>
    <s v="HSERV COMBINADOS"/>
    <s v="SONIA APARECIDA MELO DOS SANTOS"/>
    <n v="-75"/>
    <x v="1"/>
    <s v="VALE TRANSPORTE"/>
  </r>
  <r>
    <x v="32"/>
    <s v="OUTUBRO"/>
    <s v="HSERV COMBINADOS"/>
    <s v="MARLY DA SILVA"/>
    <n v="-209.1"/>
    <x v="1"/>
    <s v="VALE TRANSPORTE"/>
  </r>
  <r>
    <x v="32"/>
    <s v="OUTUBRO"/>
    <s v="HSERV TERCEIRIZADOS"/>
    <s v="OZEIAS ROBERTO DA SILVEIRA"/>
    <n v="-162.28"/>
    <x v="1"/>
    <s v="RESCISÕES"/>
  </r>
  <r>
    <x v="32"/>
    <s v="OUTUBRO"/>
    <s v="HSERV TERCEIRIZADOS"/>
    <s v="OZEIAS ROBERTO DA SILVEIRA"/>
    <n v="-2210.5500000000002"/>
    <x v="1"/>
    <s v="RESCISÕES"/>
  </r>
  <r>
    <x v="32"/>
    <s v="OUTUBRO"/>
    <s v="HSERV COMBINADOS"/>
    <s v="OSMAR NUNES DA SILVA"/>
    <n v="-1095.07"/>
    <x v="1"/>
    <s v="RESCISÕES"/>
  </r>
  <r>
    <x v="33"/>
    <s v="OUTUBRO"/>
    <s v="VITOR"/>
    <s v="OPEN IT GROUP"/>
    <n v="-139.9"/>
    <x v="1"/>
    <s v="INTERNET"/>
  </r>
  <r>
    <x v="6"/>
    <s v="OUTUBRO"/>
    <s v="HSERV COMBINADOS"/>
    <s v="AGUAS- GALÃO BASE"/>
    <n v="-325"/>
    <x v="1"/>
    <s v="AGUA"/>
  </r>
  <r>
    <x v="6"/>
    <s v="OUTUBRO"/>
    <s v="HSERV COMBINADOS"/>
    <s v="BRUNA STEFANI DE CASTRO POSTO VAGO VIVIANE RODRIGUES DA SILVA -PIRATININGA LOJA 37- FTS FALTANTE REDE AVENIDA"/>
    <n v="-400.68"/>
    <x v="1"/>
    <s v="FT"/>
  </r>
  <r>
    <x v="6"/>
    <s v="OUTUBRO"/>
    <s v="HSERV COMBINADOS"/>
    <s v="JANDIRA PEREIRA DELGADO COBRINDO ATESTADO MARIA DAS DORES CONCEIÇÃO ASSIS - ESCRITORIO CENTRAL- FTS FALTANTE REDE AVENIDA"/>
    <n v="-270"/>
    <x v="1"/>
    <s v="FT"/>
  </r>
  <r>
    <x v="33"/>
    <s v="OUTUBRO"/>
    <s v="VITOR"/>
    <s v="OPEN IT GROUP"/>
    <n v="-154.9"/>
    <x v="1"/>
    <s v="INTERNET"/>
  </r>
  <r>
    <x v="33"/>
    <s v="OUTUBRO"/>
    <s v="HENRIQUE JEAN"/>
    <s v="LIMITE HENRIQUE JEAN - ITAU "/>
    <n v="-449.24"/>
    <x v="1"/>
    <s v="LIMITE"/>
  </r>
  <r>
    <x v="33"/>
    <s v="OUTUBRO"/>
    <s v="VITOR"/>
    <s v="LIMITE HSERV TERCERIZADOS-BRADESCO"/>
    <n v="-14181.1"/>
    <x v="1"/>
    <s v="LIMITE"/>
  </r>
  <r>
    <x v="24"/>
    <s v="OUTUBRO"/>
    <s v="HSERV TECNOLOGIA"/>
    <s v="PAPEL E CIA"/>
    <n v="-2383.04"/>
    <x v="1"/>
    <s v="MATERIAL DE ESCRITÓRIO"/>
  </r>
  <r>
    <x v="6"/>
    <s v="OUTUBRO"/>
    <s v="HSERV CLEAN"/>
    <s v="PARCELA CREDITO PESSOAL CONTR 016721926 PARC"/>
    <n v="-1719.53"/>
    <x v="1"/>
    <s v="CARTÃO DE CREDITO"/>
  </r>
  <r>
    <x v="6"/>
    <s v="OUTUBRO"/>
    <s v="HSERV CABREUVA"/>
    <s v="PARCELA CREDITO PESSOAL CONTR 016721926 PARC"/>
    <n v="-1392.65"/>
    <x v="1"/>
    <s v="CARTÃO DE CREDITO"/>
  </r>
  <r>
    <x v="3"/>
    <s v="NOVEMBRO"/>
    <s v="CABREUVA"/>
    <s v="SUPERMERCADOS TREIXED  - BOA R$ 872.126,10- R$ 602.847,78 = R$ 269.278,32 - DEPOSITOU 29/09/2025 R$ 192.770,08 , depositou R$ 24.278,21  DIA 07/10 E NO DIA 09/10 DEPOSITOU MAIS R$ 18.100,00= RESTA 34.130,00- REFERENTE A SETEMBRO "/>
    <n v="34130.03"/>
    <x v="0"/>
    <s v="VENDAS DE SERVIÇOS"/>
  </r>
  <r>
    <x v="3"/>
    <s v="NOVEMBRO"/>
    <s v="CABREUVA"/>
    <s v="SUPERMERCADOS TREIXED 30/10 BOA - PORTUGA NF 819,821 E 1911- RSTANTE DO FATURAMENTO DO DIA 01/10/2025"/>
    <n v="15632.38"/>
    <x v="0"/>
    <s v="VENDAS DE SERVIÇOS"/>
  </r>
  <r>
    <x v="3"/>
    <s v="OUTUBRO"/>
    <s v="CLEAN"/>
    <s v="PLASTY COMERCIAL DE PLASTICOS LTDA"/>
    <n v="2373.31"/>
    <x v="0"/>
    <s v="VENDAS DE SERVIÇOS"/>
  </r>
  <r>
    <x v="3"/>
    <s v="OUTUBRO"/>
    <s v="CLEAN"/>
    <s v="PLASTY COMERCIAL DE PLASTICOS LTDA"/>
    <n v="5823.82"/>
    <x v="0"/>
    <s v="VENDAS DE SERVIÇOS"/>
  </r>
  <r>
    <x v="3"/>
    <s v="OUTUBRO"/>
    <s v="CLEAN"/>
    <s v="PLASTY COMERCIAL DE PLASTICOS LTDA"/>
    <n v="7526.95"/>
    <x v="0"/>
    <s v="VENDAS DE SERVIÇOS"/>
  </r>
  <r>
    <x v="3"/>
    <s v="OUTUBRO"/>
    <s v="CLEAN"/>
    <s v="PLASTY COMERCIAL DE PLASTICOS LTDA"/>
    <n v="1500"/>
    <x v="0"/>
    <s v="VENDAS DE SERVIÇOS"/>
  </r>
  <r>
    <x v="3"/>
    <s v="OUTUBRO"/>
    <s v="CLEAN"/>
    <s v="PLASTY COMERCIAL DE PLASTICOS LTDA"/>
    <n v="25756.63"/>
    <x v="0"/>
    <s v="VENDAS DE SERVIÇOS"/>
  </r>
  <r>
    <x v="16"/>
    <s v="OUTUBRO"/>
    <s v="HSERV CABREUVA"/>
    <s v="RICARDO BARBOSA DA SILVA"/>
    <n v="-82"/>
    <x v="1"/>
    <s v="VALE TRANSPORTE"/>
  </r>
  <r>
    <x v="16"/>
    <s v="OUTUBRO"/>
    <s v="HSERV CABREUVA"/>
    <s v="MARCELO EVANGELISTA SANTOS"/>
    <n v="-82"/>
    <x v="1"/>
    <s v="VALE TRANSPORTE"/>
  </r>
  <r>
    <x v="16"/>
    <s v="OUTUBRO"/>
    <s v="HSERV CABREUVA"/>
    <s v="WENDRES BRAZ RODRIGUES"/>
    <n v="-82"/>
    <x v="1"/>
    <s v="VALE TRANSPORTE"/>
  </r>
  <r>
    <x v="16"/>
    <s v="OUTUBRO"/>
    <s v="HSERV CABREUVA"/>
    <s v="PATRICIA CRISTINA HAHNE"/>
    <n v="-82"/>
    <x v="1"/>
    <s v="VALE TRANSPORTE"/>
  </r>
  <r>
    <x v="16"/>
    <s v="OUTUBRO"/>
    <s v="HSERV COMBINADOS"/>
    <s v="ELIZABETE ROZE DE PAULA"/>
    <n v="-188.8"/>
    <x v="1"/>
    <s v="VALE TRANSPORTE"/>
  </r>
  <r>
    <x v="16"/>
    <s v="OUTUBRO"/>
    <s v="HENRIQUE JEAN"/>
    <s v="PROLABORE SOCIOS CRISTIANE-MARIA JOSE, GUTHIERRI"/>
    <n v="-3000"/>
    <x v="1"/>
    <s v="PROLABORE"/>
  </r>
  <r>
    <x v="3"/>
    <s v="OUTUBRO"/>
    <s v="VITOR DUARTE"/>
    <s v="ALTOLIM COMERCIAL ASSIS EIRELI - ME-VENCIMENTO 31/10/2025"/>
    <n v="-76.56"/>
    <x v="1"/>
    <s v="MERCADORIA PARA REVENDA"/>
  </r>
  <r>
    <x v="3"/>
    <s v="OUTUBRO"/>
    <s v="VITOR DUARTE"/>
    <s v="L. A. DE SOUZA - EQUIPAMENTOS DE SEGURANCA LTDA-VENCIMENTO 31/10/2025"/>
    <n v="-150"/>
    <x v="1"/>
    <s v="UNIFORMES "/>
  </r>
  <r>
    <x v="3"/>
    <s v="OUTUBRO"/>
    <s v="HSERV CLEAN"/>
    <s v="RSC COM. MAT.P/ CONSTRUCAO LTDA.-VENCIMENTO 31/10/2025"/>
    <n v="-58.94"/>
    <x v="1"/>
    <s v="MERCADORIA PARA REVENDA"/>
  </r>
  <r>
    <x v="16"/>
    <s v="OUTUBRO"/>
    <s v="CLEAN"/>
    <s v="RICARO"/>
    <n v="2284.4499999999998"/>
    <x v="0"/>
    <s v="VENDAS DE SERVIÇOS"/>
  </r>
  <r>
    <x v="16"/>
    <s v="OUTUBRO"/>
    <s v="CLEAN"/>
    <s v="RICARO"/>
    <n v="11513.81"/>
    <x v="0"/>
    <s v="VENDAS DE SERVIÇOS"/>
  </r>
  <r>
    <x v="16"/>
    <s v="OUTUBRO"/>
    <s v="CLEAN"/>
    <s v="RICARO"/>
    <n v="797.59"/>
    <x v="0"/>
    <s v="VENDAS DE SERVIÇOS"/>
  </r>
  <r>
    <x v="16"/>
    <s v="OUTUBRO"/>
    <s v="CLEAN"/>
    <s v="RICARO"/>
    <n v="24988.71"/>
    <x v="0"/>
    <s v="VENDAS DE SERVIÇOS"/>
  </r>
  <r>
    <x v="16"/>
    <s v="OUTUBRO"/>
    <s v="CLEAN"/>
    <s v="RICARO"/>
    <n v="16834.330000000002"/>
    <x v="0"/>
    <s v="VENDAS DE SERVIÇOS"/>
  </r>
  <r>
    <x v="16"/>
    <s v="OUTUBRO"/>
    <s v="CLEAN"/>
    <s v="RICARO"/>
    <n v="268.13"/>
    <x v="0"/>
    <s v="VENDAS DE SERVIÇOS"/>
  </r>
  <r>
    <x v="24"/>
    <s v="OUTUBRO"/>
    <s v="VITOR  DUARTE"/>
    <s v="RONDAWEB CONEXOES LTDA"/>
    <n v="-395.73"/>
    <x v="1"/>
    <s v="SISTEMA"/>
  </r>
  <r>
    <x v="6"/>
    <s v="OUTUBRO"/>
    <s v="HSERV CABREUVA"/>
    <s v="SABESP CLEAN VENCIDA 16/10/2025"/>
    <n v="-138.5"/>
    <x v="1"/>
    <s v="AGUA"/>
  </r>
  <r>
    <x v="6"/>
    <s v="OUTUBRO"/>
    <s v="HSERV CABREUVA"/>
    <s v="SABESP SALA 16 VENCIDA 16/10/2025"/>
    <n v="-141.52000000000001"/>
    <x v="1"/>
    <s v="AGUA"/>
  </r>
  <r>
    <x v="6"/>
    <s v="OUTUBRO"/>
    <s v="HSERV CABREUVA"/>
    <s v="SABESP SALA 16 VENCIDA 16/10/2025"/>
    <n v="-141.52000000000001"/>
    <x v="1"/>
    <s v="AGUA"/>
  </r>
  <r>
    <x v="6"/>
    <s v="OUTUBRO"/>
    <s v="HSERV CABREUVA"/>
    <s v="SABESP SALA 16 VENCIDA 16/10/2025"/>
    <n v="-141.52000000000001"/>
    <x v="1"/>
    <s v="AGUA"/>
  </r>
  <r>
    <x v="27"/>
    <s v="OUTUBRO"/>
    <s v="HSERV CABREUVA"/>
    <s v="SALARIO CLT, PENSÃO ALIMENTICIA, BONUS-"/>
    <n v="-452122.85"/>
    <x v="1"/>
    <s v="SALARIOS"/>
  </r>
  <r>
    <x v="29"/>
    <s v="OUTUBRO"/>
    <s v="HSERV CABREUVA"/>
    <s v="SEM PARAR"/>
    <n v="-8138.32"/>
    <x v="1"/>
    <s v="COMBUSTIVEL E PEDAGIO"/>
  </r>
  <r>
    <x v="24"/>
    <s v="OUTUBRO"/>
    <s v="HSERV CABREUVA"/>
    <s v="SERGIO LUIZ BERTOLO"/>
    <n v="-342.9"/>
    <x v="1"/>
    <s v="ALUGUEL DE IMOVEIS"/>
  </r>
  <r>
    <x v="29"/>
    <s v="OUTUBRO"/>
    <s v="HSERV CABREUVA"/>
    <s v="SICOOB HSERV CABREUVA NEGOCIAÇÃO CHEQUE ESPECIAL "/>
    <n v="-2012.45"/>
    <x v="1"/>
    <s v="EMPRESTIMO "/>
  </r>
  <r>
    <x v="13"/>
    <s v="OUTUBRO"/>
    <s v="HSERV TECNOLOGIA"/>
    <s v="ANTONIO LUIZ FELIX DE ALMEIDA-AJUDA DE CUSTO DO DIA 10/10 AO DIA 31/10 ANTONIO SUPERVISOR NOITE"/>
    <n v="-493.2"/>
    <x v="1"/>
    <s v="VALE TRANSPORTE"/>
  </r>
  <r>
    <x v="13"/>
    <s v="OUTUBRO"/>
    <s v="HSERV TECNOLOGIA"/>
    <s v="ANTONIO LUIZ FELIX DE ALMEIDA-VALE ALIMENTAÇÃO"/>
    <n v="-83.68"/>
    <x v="1"/>
    <s v="VALE ALIMENTAÇAO"/>
  </r>
  <r>
    <x v="14"/>
    <s v="OUTUBRO"/>
    <s v="VITOR DUARTE"/>
    <s v="ARGENTON E QUEIROZ ADVOGADOS ASSOCIADOS Proc 0012026-51.2024.5.15.0097 Reclamante: SIMONE DA SILVA CORREIA  PARCELA 5/6"/>
    <n v="-313.77"/>
    <x v="1"/>
    <s v="ACORDO TRABALHISTA"/>
  </r>
  <r>
    <x v="14"/>
    <s v="OUTUBRO"/>
    <s v="HENRIQUE JEAN"/>
    <s v="JONATHAN DINIZ WESFALROC 1001448-72.2024.5.02.0291 AUTOR: LUCIANA APARECIDA MARQUES DA SILVA  -PARCELA 3/10"/>
    <n v="-1240"/>
    <x v="1"/>
    <s v="ACORDO TRABALHISTA"/>
  </r>
  <r>
    <x v="8"/>
    <s v="NOVEMBRO"/>
    <s v="HSERV CABREUVA"/>
    <s v="SIMPLES NACIONAL MENSAL  VENCIMENTO 20/10/2025--VALOR SOFRERÁ AJUSTE DE JUROS E MULTA"/>
    <n v="-20000"/>
    <x v="1"/>
    <s v="IMPOSTO"/>
  </r>
  <r>
    <x v="8"/>
    <s v="NOVEMBRO"/>
    <s v="HSERV CABREUVA"/>
    <s v="SIMPLES NACIONAL-PARCELAMENTO"/>
    <n v="-35000"/>
    <x v="1"/>
    <s v="IMPOSTO"/>
  </r>
  <r>
    <x v="12"/>
    <s v="OUTUBRO"/>
    <s v="HSERV COMBINADOS "/>
    <s v="JANAINA DE FATIMA FRAGA  APOIO EXTRA REFORMA STA CRUZ LOJA 26"/>
    <n v="-500"/>
    <x v="1"/>
    <s v="FT"/>
  </r>
  <r>
    <x v="12"/>
    <s v="OUTUBRO"/>
    <s v="HSERV COMBINADOS "/>
    <s v="ANA PAULA CAMARGO COBRINDO FÉRIAS  DA ROSALINA NOGUEIRA PEREIRA  STA CRUZ LOJA 26"/>
    <n v="-500"/>
    <x v="1"/>
    <s v="FT"/>
  </r>
  <r>
    <x v="12"/>
    <s v="OUTUBRO"/>
    <s v="HSERV COMBINADOS "/>
    <s v="DENISE CASTRO DA SILVA  COBRINDO FÉRIAS  ANA PAULA DE SOUZA FREIRE  ASSIS - LOJA 04"/>
    <n v="-720"/>
    <x v="1"/>
    <s v="FT"/>
  </r>
  <r>
    <x v="12"/>
    <s v="OUTUBRO"/>
    <s v="HSERV COMBINADOS "/>
    <s v="LILIANE APARECIDA BATISTA  COBRINDO AFASTAMENTO CARMELITA ATANAZIO LINS - LOJA 28"/>
    <n v="-1120"/>
    <x v="1"/>
    <s v="FT"/>
  </r>
  <r>
    <x v="12"/>
    <s v="OUTUBRO"/>
    <s v="HSERV COMBINADOS"/>
    <s v="EVERTON DOMINGOS LUIZ"/>
    <n v="-1484.05"/>
    <x v="1"/>
    <s v="RESCISÕES"/>
  </r>
  <r>
    <x v="12"/>
    <s v="OUTUBRO"/>
    <s v="HSERV LTDA"/>
    <s v="PLUXEE BENEFICIOS BRASIL S.A.REGINA TECNIPLAS"/>
    <n v="-300"/>
    <x v="1"/>
    <s v="ASSIDUIDADE"/>
  </r>
  <r>
    <x v="12"/>
    <s v="OUTUBRO"/>
    <s v="HENRIQUE JEAN"/>
    <s v="CENTRO DE SEGURANCA OCUPACIONAL LTDA-MARIA LAURA GODOI PALMA ALVES - ADMISSIONAL - FALTANTE"/>
    <n v="-50"/>
    <x v="1"/>
    <s v="EXAMES MEDICOS"/>
  </r>
  <r>
    <x v="12"/>
    <s v="OUTUBRO"/>
    <s v="HSERV LTDA"/>
    <s v="PLUXEE BENEFICIOS BRASIL S.A. VALE ALIMENTAÇÃO AVENIDA JUSCELENE"/>
    <n v="-519"/>
    <x v="1"/>
    <s v="VALE ALIMENTAÇÃO"/>
  </r>
  <r>
    <x v="8"/>
    <s v="NOVEMBRO"/>
    <s v="HSERV CABREUVA"/>
    <s v="SINDICATO DOS EMPREGADOS - VENCIDA 10/09/2025 - BOLETO RECALCULADO ARA O DIA 23/10/2025- SOFRERÁ AJUSTE DEVIDO MULTA E JUROS"/>
    <n v="-10513.26"/>
    <x v="1"/>
    <s v="SINDICATO"/>
  </r>
  <r>
    <x v="30"/>
    <s v="OUTUBRO"/>
    <s v="VITOR DUARTE"/>
    <s v="OKUYAMA &amp; ALVES SOCIEDADE DE ADVOGADOS-Processo: 0010780-86.2025.5.15.0096 Reclamante: PATRICIA VIOTTI NOGUEIRA      parcela 1/4"/>
    <n v="-1000"/>
    <x v="1"/>
    <s v="ACORDO TRABALHISTA"/>
  </r>
  <r>
    <x v="30"/>
    <s v="OUTUBRO"/>
    <s v="HENRIQUE JEAN"/>
    <s v="CENTRO DE SEGURANCA OCUPACIONAL LTDA-EXAME ADMISSIONAL - MARIA LAURA - ASSIS"/>
    <n v="-100"/>
    <x v="1"/>
    <s v="EXAMES MEDICOS"/>
  </r>
  <r>
    <x v="3"/>
    <s v="OUTUBRO"/>
    <s v="HSERV CLEAN"/>
    <s v="BANCO SAFRA S A-EMPRESTIMO HSERV CLEAN MENSAL"/>
    <n v="-930.49"/>
    <x v="1"/>
    <s v="EMPRESTIMO "/>
  </r>
  <r>
    <x v="12"/>
    <s v="OUTUBRO"/>
    <s v="VITOR DUARTE"/>
    <s v="L. A. DE SOUZA - EQUIPAMENTOS DE SEGURANCA LTDA NF 12.054 VENCIMENTO 16/10/2025"/>
    <n v="-474"/>
    <x v="1"/>
    <s v="UNIFORMES "/>
  </r>
  <r>
    <x v="30"/>
    <s v="OUTUBRO"/>
    <s v="HSERV CLEAN"/>
    <s v="BRAN ENGENHARIA LTDA "/>
    <n v="-675"/>
    <x v="1"/>
    <s v="MANUTENÇÃO "/>
  </r>
  <r>
    <x v="12"/>
    <s v="OUTUBRO"/>
    <s v="HSERV CLEAN"/>
    <s v="J.E. COMERCIO E SOLUCOES LTDA VENCIMENTO 16/10/2025"/>
    <n v="-1695.95"/>
    <x v="1"/>
    <s v="MERCADORIA PARA REVENDA"/>
  </r>
  <r>
    <x v="33"/>
    <s v="OUTUBRO"/>
    <s v="VITOR DUARTE"/>
    <s v="DEVOLUÇÃO DA ANTECIPAÇÃO DE VALORES REALIZADA PELO VITOR DUARTE EM RAZÃO DO BOA TER ATRASADO O PROCESSO DE ANTECIPAÇÃO MENSAL - TOTAL DA DEVOLUÇÃO R$ 235.423,46"/>
    <n v="-87452.75"/>
    <x v="1"/>
    <s v="ANTECIPAÇÃO"/>
  </r>
  <r>
    <x v="12"/>
    <s v="OUTUBRO"/>
    <s v="HSERV TERCEIRIZADOS"/>
    <s v="FLORA DISTRIB PROD DE HIGIENE E LIMPEZA LTDA NF 1.092.112 - VENCIMENTO 16/10/2025 "/>
    <n v="-477.4"/>
    <x v="1"/>
    <s v="MERCADORIA PARA REVENDA"/>
  </r>
  <r>
    <x v="13"/>
    <s v="OUTUBRO"/>
    <s v="HSERV TERCEIRIZADOS"/>
    <s v="LOTUS CENTRAL DE DISTRIBUICAO DE HIGIENICOS LTDA- NF 238.695 VENCIMENTO 16/10/2025"/>
    <n v="-835.35"/>
    <x v="1"/>
    <s v="MERCADORIA PARA REVENDA"/>
  </r>
  <r>
    <x v="12"/>
    <s v="OUTUBRO"/>
    <s v="VITOR DUARTE"/>
    <s v="ALTOLIM COMERCIAL ASSIS EIRELI - ME VENCIMENTO 17/10/2025"/>
    <n v="-113.4"/>
    <x v="1"/>
    <s v="MERCADORIA PARA REVENDA"/>
  </r>
  <r>
    <x v="37"/>
    <s v="OUTUBRO"/>
    <s v="HSERV COMBINADOS"/>
    <s v="GRRF MICHEL CRHISTIAN CARVALHO"/>
    <n v="-230.79"/>
    <x v="1"/>
    <s v="RESCISÕES"/>
  </r>
  <r>
    <x v="37"/>
    <s v="OUTUBRO"/>
    <s v="HSERV COMBINADOS"/>
    <s v="MICHEL CRHISTIAN CARVALHO"/>
    <n v="-605.48"/>
    <x v="1"/>
    <s v="RESCISÕES"/>
  </r>
  <r>
    <x v="37"/>
    <s v="OUTUBRO"/>
    <s v="HSERV TECNOLOGIA"/>
    <s v="ROSILEIDE FIRMINO DA SILVA"/>
    <n v="-2812.52"/>
    <x v="1"/>
    <s v="RESCISÕES"/>
  </r>
  <r>
    <x v="37"/>
    <s v="OUTUBRO"/>
    <s v="HENRIQUE JEAN"/>
    <s v="SOUZA SAFETY EQUIPAMENTOS DE PROTECAO LTDA-EXAME IBITINGA AVENIDA  - MARIA CAROLINA DO NASCIMENTO"/>
    <n v="-181"/>
    <x v="1"/>
    <s v="EXAMES MEDICOS"/>
  </r>
  <r>
    <x v="0"/>
    <s v="OUTUBRO"/>
    <s v="HSERV COMBINADOS"/>
    <s v="CAIXINHA OPERACIONAL -MARCOS COUTO"/>
    <n v="-1000"/>
    <x v="1"/>
    <s v="CAIXINHA"/>
  </r>
  <r>
    <x v="12"/>
    <s v="OUTUBRO"/>
    <s v="HSERV CLEAN"/>
    <s v="HM MAQ COMERCIO E ASSISTENCIA TECNICA INDUSTRIAL-VENCIMENTO 17/10/2025"/>
    <n v="-1685.66"/>
    <x v="1"/>
    <s v="MANUTENÇÃO "/>
  </r>
  <r>
    <x v="37"/>
    <s v="OUTUBRO"/>
    <s v="HSERV COMBINADOS"/>
    <s v="CONDOMINIO DE CONSTRUCAO DO EDIFICIO COMERCIAL CBM TOWER"/>
    <n v="-200"/>
    <x v="1"/>
    <s v="APORTE"/>
  </r>
  <r>
    <x v="12"/>
    <s v="OUTUBRO"/>
    <s v="VITOR DUARTE"/>
    <s v="L. A. DE SOUZA - EQUIPAMENTOS DE SEGURANCA LTDA VENCIMENTO 17/10/2025"/>
    <n v="-189"/>
    <x v="1"/>
    <s v="UNIFORMES "/>
  </r>
  <r>
    <x v="14"/>
    <s v="OUTUBRO"/>
    <s v="HSERV CABREUVA"/>
    <s v="HSERV-Proc 0011289-67.2024.5.15.0026 AUTOR: ELAINE JAQUES LOURENCONI"/>
    <n v="-159.80000000000001"/>
    <x v="1"/>
    <s v="ACORDO TRABALHISTA"/>
  </r>
  <r>
    <x v="37"/>
    <s v="OUTUBRO"/>
    <s v="HSERV COMBINADOS"/>
    <s v="ROSEMEIRE VIEIRA BEZERRA"/>
    <n v="-123"/>
    <x v="1"/>
    <s v="VALE TRANSPORTE"/>
  </r>
  <r>
    <x v="37"/>
    <s v="OUTUBRO"/>
    <s v="HSERV COMBINADOS"/>
    <s v="ALCIDES PEREIRA DE SOUZA"/>
    <n v="-233"/>
    <x v="1"/>
    <s v="VALE TRANSPORTE"/>
  </r>
  <r>
    <x v="37"/>
    <s v="OUTUBRO"/>
    <s v="HSERV COMBINADOS"/>
    <s v="MARIA LUCIA BENTO"/>
    <n v="-135.30000000000001"/>
    <x v="1"/>
    <s v="VALE TRANSPORTE"/>
  </r>
  <r>
    <x v="37"/>
    <s v="OUTUBRO"/>
    <s v="HSERV COMBINADOS "/>
    <s v="SOFISA ACORDO- PROCESSO EXECUÇÃO PARCELA 21/24"/>
    <n v="-4956.07"/>
    <x v="1"/>
    <s v="EMPRESTIMO "/>
  </r>
  <r>
    <x v="31"/>
    <s v="OUTUBRO"/>
    <s v="HSERV COMBINADOS"/>
    <s v="SINDICATO DOS EMP.EM TURISMO E HOPITALIDADE DE SOROCABA-BENEFICIO SAUDE"/>
    <n v="-459.29"/>
    <x v="1"/>
    <s v="SINDICATO"/>
  </r>
  <r>
    <x v="31"/>
    <s v="OUTUBRO"/>
    <s v="HSERV TECNOLOGIA"/>
    <s v="SINDICATO DOS EMP.EM TURISMO E HOPITALIDADE DE SOROCABA-BENEFICIO SAUDE"/>
    <n v="-105.99"/>
    <x v="1"/>
    <s v="SINDICATO"/>
  </r>
  <r>
    <x v="31"/>
    <s v="OUTUBRO"/>
    <s v="VITOR DUARTE"/>
    <s v="SINDICATO DOS EMP.EM TURISMO E HOPITALIDADE DE SOROCABA"/>
    <n v="-105.99"/>
    <x v="1"/>
    <s v="SINDICATO"/>
  </r>
  <r>
    <x v="31"/>
    <s v="OUTUBRO"/>
    <s v="HSERV COMBINADOS"/>
    <s v="LUANA VITORIA MARQUES LIMA"/>
    <n v="-165"/>
    <x v="1"/>
    <s v="VALE TRANSPORTE"/>
  </r>
  <r>
    <x v="31"/>
    <s v="OUTUBRO"/>
    <s v="HSERV COMBINADOS"/>
    <s v="JOAO VICTOR DOS SANTOS PANUTTO"/>
    <n v="-187.5"/>
    <x v="1"/>
    <s v="VALE TRANSPORTE"/>
  </r>
  <r>
    <x v="31"/>
    <s v="OUTUBRO"/>
    <s v="VITOR DUARTE"/>
    <s v="LAURA SAFI FREIRE"/>
    <n v="-184.5"/>
    <x v="1"/>
    <s v="VALE TRANSPORTE"/>
  </r>
  <r>
    <x v="31"/>
    <s v="OUTUBRO"/>
    <s v="VITOR DUARTE"/>
    <s v="NILTON LEPORES"/>
    <n v="-184.5"/>
    <x v="1"/>
    <s v="VALE TRANSPORTE"/>
  </r>
  <r>
    <x v="31"/>
    <s v="OUTUBRO"/>
    <s v="VITOR DUARTE"/>
    <s v="MARIA CRISTINA DE SOUSA GONZAGA"/>
    <n v="-184.5"/>
    <x v="1"/>
    <s v="VALE TRANSPORTE"/>
  </r>
  <r>
    <x v="26"/>
    <s v="OUTUBRO"/>
    <s v="HSERV TECNOLOGIA"/>
    <s v="TAR PLANO ADAPT 3 05/24"/>
    <n v="-389"/>
    <x v="1"/>
    <s v="TARIFA BANCARIA"/>
  </r>
  <r>
    <x v="26"/>
    <s v="OUTUBRO"/>
    <s v="HSERV LIMPEZA"/>
    <s v="TAR PLANO ADAPT 3 05/24"/>
    <n v="-389"/>
    <x v="1"/>
    <s v="TARIFA BANCARIA"/>
  </r>
  <r>
    <x v="12"/>
    <s v="OUTUBRO"/>
    <s v="HSERV CABREUVA"/>
    <s v="WENDRES BRAZ RODRIGUES"/>
    <n v="-44"/>
    <x v="1"/>
    <s v="VALE TRANSPORTE"/>
  </r>
  <r>
    <x v="12"/>
    <s v="OUTUBRO"/>
    <s v="HSERV CABREUVA"/>
    <s v="RICARDO BARBOSA DA SILVA"/>
    <n v="-44"/>
    <x v="1"/>
    <s v="VALE TRANSPORTE"/>
  </r>
  <r>
    <x v="12"/>
    <s v="OUTUBRO"/>
    <s v="HSERV CABREUVA"/>
    <s v="PATRICIA CRISTINA HAHNE"/>
    <n v="-44"/>
    <x v="1"/>
    <s v="VALE TRANSPORTE"/>
  </r>
  <r>
    <x v="12"/>
    <s v="OUTUBRO"/>
    <s v="HSERV CABREUVA"/>
    <s v="MARCELO EVANGELISTA SANTOS"/>
    <n v="-44"/>
    <x v="1"/>
    <s v="VALE TRANSPORTE"/>
  </r>
  <r>
    <x v="12"/>
    <s v="OUTUBRO"/>
    <s v="HSERV COMBINADOS"/>
    <s v="ANGELO TELES SILVA"/>
    <n v="-181.6"/>
    <x v="1"/>
    <s v="VALE TRANSPORTE"/>
  </r>
  <r>
    <x v="12"/>
    <s v="OUTUBRO"/>
    <s v="HSERV COMBINADOS"/>
    <s v="THAIS DE SA NATAL"/>
    <n v="-123"/>
    <x v="1"/>
    <s v="VALE TRANSPORTE"/>
  </r>
  <r>
    <x v="12"/>
    <s v="OUTUBRO"/>
    <s v="HSERV COMBINADOS"/>
    <s v="TATIANE PAULA MARTINS"/>
    <n v="-123"/>
    <x v="1"/>
    <s v="VALE TRANSPORTE"/>
  </r>
  <r>
    <x v="12"/>
    <s v="OUTUBRO"/>
    <s v="HSERV CABREUVA"/>
    <s v="TARIFA MAX EMPRESARIAL"/>
    <n v="-177.05"/>
    <x v="1"/>
    <s v="TARIFA BANCARIA"/>
  </r>
  <r>
    <x v="12"/>
    <s v="OUTUBRO"/>
    <s v="HSERV CLEAN"/>
    <s v="TARIFA MAX EMPRESARIAL"/>
    <n v="-177.05"/>
    <x v="1"/>
    <s v="TARIFA BANCARIA"/>
  </r>
  <r>
    <x v="12"/>
    <s v="OUTUBRO"/>
    <s v="HSERV COMBINADOS "/>
    <s v="TARIFA MAX EMPRESARIAL"/>
    <n v="-177.05"/>
    <x v="1"/>
    <s v="TARIFA BANCARIA"/>
  </r>
  <r>
    <x v="12"/>
    <s v="OUTUBRO"/>
    <s v="HSERV COMBINADOS  ND"/>
    <s v="TARIFA MAX EMPRESARIAL"/>
    <n v="-177.05"/>
    <x v="1"/>
    <s v="TARIFA BANCARIA"/>
  </r>
  <r>
    <x v="12"/>
    <s v="OUTUBRO"/>
    <s v="HENRIQUE JEAN"/>
    <s v="TARIFA MAX EMPRESARIAL"/>
    <n v="-177.05"/>
    <x v="1"/>
    <s v="TARIFA BANCARIA"/>
  </r>
  <r>
    <x v="12"/>
    <s v="OUTUBRO"/>
    <s v="HENRIQUE JEAN ND"/>
    <s v="TARIFA MAX EMPRESARIAL"/>
    <n v="-177.05"/>
    <x v="1"/>
    <s v="TARIFA BANCARIA"/>
  </r>
  <r>
    <x v="12"/>
    <s v="OUTUBRO"/>
    <s v="VITOR DUARTE"/>
    <s v="TARIFA MAX EMPRESARIAL"/>
    <n v="-177.05"/>
    <x v="1"/>
    <s v="TARIFA BANCARIA"/>
  </r>
  <r>
    <x v="12"/>
    <s v="OUTUBRO"/>
    <s v="VITOR DUARTE ND"/>
    <s v="TARIFA MAX EMPRESARIAL"/>
    <n v="-177.05"/>
    <x v="1"/>
    <s v="TARIFA BANCARIA"/>
  </r>
  <r>
    <x v="14"/>
    <s v="OUTUBRO"/>
    <s v="HSERV TERCERIZADOS"/>
    <s v="TARIFA MAX EMPRESARIAL"/>
    <n v="-177.05"/>
    <x v="1"/>
    <s v="TARIFA BANCARIA"/>
  </r>
  <r>
    <x v="14"/>
    <s v="OUTUBRO"/>
    <s v="HSERV LIMPEZA"/>
    <s v="CAPONUS "/>
    <n v="-36835.56"/>
    <x v="1"/>
    <s v="APORTE"/>
  </r>
  <r>
    <x v="12"/>
    <s v="OUTUBRO"/>
    <s v="HSERV TERCERIZADOS ND"/>
    <s v="TARIFA MAX EMPRESARIAL"/>
    <n v="-177.05"/>
    <x v="1"/>
    <s v="TARIFA BANCARIA"/>
  </r>
  <r>
    <x v="12"/>
    <s v="OUTUBRO"/>
    <s v="HSERV LIMPEZA"/>
    <s v="TARIFA MAX EMPRESARIAL"/>
    <n v="-177.05"/>
    <x v="1"/>
    <s v="TARIFA BANCARIA"/>
  </r>
  <r>
    <x v="12"/>
    <s v="OUTUBRO"/>
    <s v="HSERV TECNOLOGIA"/>
    <s v="TARIFA MAX EMPRESARIAL"/>
    <n v="-177.05"/>
    <x v="1"/>
    <s v="TARIFA BANCARIA"/>
  </r>
  <r>
    <x v="12"/>
    <s v="OUTUBRO"/>
    <s v="HSERV REPRESENTAÇÃO"/>
    <s v="TARIFA MAX EMPRESARIAL"/>
    <n v="-177.05"/>
    <x v="1"/>
    <s v="TARIFA BANCARIA"/>
  </r>
  <r>
    <x v="23"/>
    <s v="OUTUBRO"/>
    <s v="HSERV CLEAN"/>
    <s v="RICARO IMPORTACAO INDUSTRIA E COMERCIO DE EMBALAGENS E INSUM"/>
    <n v="300"/>
    <x v="0"/>
    <s v="VENDAS DE SERVIÇOS"/>
  </r>
  <r>
    <x v="25"/>
    <s v="OUTUBRO"/>
    <s v="COMBINADOS"/>
    <s v="TECNIPLAS EQUIPAMENTOS EM COMPOSITOS - VENCIDA 30/09/2025. FALTA A OUTRA METADE DO VALOR "/>
    <n v="11225.95"/>
    <x v="0"/>
    <s v="VENDAS DE SERVIÇOS"/>
  </r>
  <r>
    <x v="25"/>
    <s v="OUTUBRO"/>
    <s v="CLEAN"/>
    <s v="VENDAS DE PRODUTOS  CLEAN OMIE CASH"/>
    <n v="433.37"/>
    <x v="0"/>
    <s v="VENDAS DE PRODUTOS"/>
  </r>
  <r>
    <x v="39"/>
    <s v="NOVEMBRO"/>
    <s v="COMBINADOS"/>
    <s v="TECNIPLAS EQUIPAMENTOS EM COMPOSITOS - VENCIDA 30/09/202, PAGOU R$ 11.225,96 DIA 23/10 E  FALTA A OUTRA METADE DO VALOR "/>
    <n v="11225.96"/>
    <x v="0"/>
    <s v="VENDAS DE SERVIÇOS"/>
  </r>
  <r>
    <x v="33"/>
    <s v="OUTUBRO"/>
    <s v="HSERV CLEAN"/>
    <s v="RICARO IMPORTACAO INDUSTRIA-OMIE CASH"/>
    <n v="797.58"/>
    <x v="0"/>
    <s v="VENDAS DE PRODUTOS"/>
  </r>
  <r>
    <x v="33"/>
    <s v="OUTUBRO"/>
    <s v="HSERV CLEAN"/>
    <s v="44.166.252 HUDSON ROLDMAN TEIXEIRA"/>
    <n v="6"/>
    <x v="0"/>
    <s v="VENDAS DE PRODUTOS"/>
  </r>
  <r>
    <x v="32"/>
    <s v="OUTUBRO"/>
    <s v="HSERV CLEAN"/>
    <s v="TEM ACO COMERCIO E MANUTENCAO LTDA"/>
    <n v="180.06"/>
    <x v="0"/>
    <s v="VENDAS DE PRODUTOS"/>
  </r>
  <r>
    <x v="39"/>
    <s v="NOVEMBRO"/>
    <s v="CABREUVA"/>
    <s v="TED 422.0115.KYN C V A L"/>
    <n v="11000"/>
    <x v="0"/>
    <s v="VENDAS DE SERVIÇOS"/>
  </r>
  <r>
    <x v="16"/>
    <s v="OUTUBRO"/>
    <s v="REPRESENTAÇÃO"/>
    <s v="TTB INDUSTRIA E COMERCIO DE PRODUTOS MET"/>
    <n v="300"/>
    <x v="0"/>
    <s v="VENDAS DE SERVIÇOS"/>
  </r>
  <r>
    <x v="16"/>
    <s v="OUTUBRO"/>
    <s v="REPRESENTAÇÃO"/>
    <s v="TTB INDUSTRIA E COMERCIO DE PRODUTOS MET"/>
    <n v="603.26"/>
    <x v="0"/>
    <s v="VENDAS DE SERVIÇOS"/>
  </r>
  <r>
    <x v="16"/>
    <s v="OUTUBRO"/>
    <s v="REPRESENTAÇÃO"/>
    <s v="TTB INDUSTRIA E COMERCIO DE PRODUTOS MET"/>
    <n v="1106.1400000000001"/>
    <x v="0"/>
    <s v="VENDAS DE SERVIÇOS"/>
  </r>
  <r>
    <x v="16"/>
    <s v="OUTUBRO"/>
    <s v="REPRESENTAÇÃO"/>
    <s v="TTB INDUSTRIA E COMERCIO DE PRODUTOS MET"/>
    <n v="9631"/>
    <x v="0"/>
    <s v="VENDAS DE SERVIÇOS"/>
  </r>
  <r>
    <x v="29"/>
    <s v="OUTUBRO"/>
    <s v="HSERV COMBINADOS"/>
    <s v="JHONY WALLACE GOMES DE OLIVEIRA"/>
    <n v="-1139.25"/>
    <x v="1"/>
    <s v="BONIFICAÇÕES"/>
  </r>
  <r>
    <x v="30"/>
    <s v="OUTUBRO"/>
    <s v="HSERV CLEAN"/>
    <s v="JOAO ORLANDO GASPARETO"/>
    <n v="-477.48"/>
    <x v="1"/>
    <s v="VALE ALIMENTAÇÃO"/>
  </r>
  <r>
    <x v="30"/>
    <s v="OUTUBRO"/>
    <s v="HSERV COMBINADOS"/>
    <s v="TAMIRES DA SILVA CAPUCHINHO"/>
    <n v="-456.72"/>
    <x v="1"/>
    <s v="VALE ALIMENTAÇÃO"/>
  </r>
  <r>
    <x v="30"/>
    <s v="OUTUBRO"/>
    <s v="VITOR DUARTE"/>
    <s v="JHONY WALLACE GOMES DE OLIVEIRA"/>
    <n v="-477.48"/>
    <x v="1"/>
    <s v="VALE ALIMENTAÇÃO"/>
  </r>
  <r>
    <x v="30"/>
    <s v="OUTUBRO"/>
    <s v="VITOR DUARTE"/>
    <s v="GISELE RODRIGUES DOS SANTOS"/>
    <n v="-477.48"/>
    <x v="1"/>
    <s v="VALE ALIMENTAÇÃO"/>
  </r>
  <r>
    <x v="30"/>
    <s v="OUTUBRO"/>
    <s v="VITOR DUARTE"/>
    <s v="PLUXEE BENEFICIOS BRASIL S.A."/>
    <n v="-37249.019999999997"/>
    <x v="1"/>
    <s v="VALE ALIMENTAÇÃO"/>
  </r>
  <r>
    <x v="30"/>
    <s v="OUTUBRO"/>
    <s v="VITOR DUARTE"/>
    <s v="PLUXEE BENEFICIOS BRASIL S.A."/>
    <n v="-46403.64"/>
    <x v="1"/>
    <s v="VALE ALIMENTAÇÃO"/>
  </r>
  <r>
    <x v="3"/>
    <s v="OUTUBRO"/>
    <s v="HSERV LTDA"/>
    <s v="IFOOD.COM AGENCIA DE RESTAURANTES ONLINE S.A.-VALE COMBUSTIVEL COLABORADORES .- 1º SEMESTRE DE NOVEMBRO 2025"/>
    <n v="-1641.7"/>
    <x v="1"/>
    <s v="VALE COMBUSTIVEL"/>
  </r>
  <r>
    <x v="3"/>
    <s v="OUTUBRO"/>
    <s v="HSERV LTDA"/>
    <s v="PLUXEE BENEFICIOS BRASIL S.A. VALE COMBUSTIVEL COLABORADORES .- 1º SEMESTRE DE NOVEMBRO 2025"/>
    <n v="-7829.5"/>
    <x v="1"/>
    <s v="VALE COMBUSTIVEL"/>
  </r>
  <r>
    <x v="30"/>
    <s v="OUTUBRO"/>
    <s v="VITOR DUARTE"/>
    <s v="IFOOD.COM AGENCIA DE RESTAURANTES ONLINE S.A."/>
    <n v="-9009.58"/>
    <x v="1"/>
    <s v="VALE ALIMENTAÇÃO"/>
  </r>
  <r>
    <x v="30"/>
    <s v="OUTUBRO"/>
    <s v="VITOR DUARTE"/>
    <s v="PLUXEE BENEFICIOS BRASIL S.A.-BONUS COLABORADORES DE VALINHOS"/>
    <n v="-800"/>
    <x v="1"/>
    <s v="BONIFICAÇÕES"/>
  </r>
  <r>
    <x v="30"/>
    <s v="OUTUBRO"/>
    <s v="HSERV TERCEIRIZADOS"/>
    <s v="RODNEI APARECIDO PACCINI DE LIMA"/>
    <n v="-12.39"/>
    <x v="1"/>
    <s v="RESCISÕES"/>
  </r>
  <r>
    <x v="30"/>
    <s v="OUTUBRO"/>
    <s v="HSERV COMBINADOS"/>
    <s v="SANDRA RIBEIRO DA SILVA"/>
    <n v="-369"/>
    <x v="1"/>
    <s v="VALE TRANSPORTE"/>
  </r>
  <r>
    <x v="30"/>
    <s v="OUTUBRO"/>
    <s v="HSERV TECNOLOGIA"/>
    <s v="JULIA LOURENCIO FRANCO"/>
    <n v="-315.10000000000002"/>
    <x v="1"/>
    <s v="VALE TRANSPORTE"/>
  </r>
  <r>
    <x v="30"/>
    <s v="OUTUBRO"/>
    <s v="HSERV COMBINADOS"/>
    <s v="DENILSON APARECIDO PEDROSO DE ALMEIDA"/>
    <n v="-67.2"/>
    <x v="1"/>
    <s v="VALE TRANSPORTE"/>
  </r>
  <r>
    <x v="30"/>
    <s v="OUTUBRO"/>
    <s v="HSERV LIMPEZA"/>
    <s v="YAN SOARES DOS SANTOS"/>
    <n v="-72"/>
    <x v="1"/>
    <s v="VALE TRANSPORTE"/>
  </r>
  <r>
    <x v="30"/>
    <s v="OUTUBRO"/>
    <s v="VITOR DUARTE"/>
    <s v="CATIA GUIMARAES DE SOUZA"/>
    <n v="-433.55"/>
    <x v="1"/>
    <s v="VALE TRANSPORTE"/>
  </r>
  <r>
    <x v="30"/>
    <s v="OUTUBRO"/>
    <s v="VITOR DUARTE"/>
    <s v="ROBERLEI DA SILVA PINTO"/>
    <n v="-383.6"/>
    <x v="1"/>
    <s v="VALE TRANSPORTE"/>
  </r>
  <r>
    <x v="30"/>
    <s v="OUTUBRO"/>
    <s v="VITOR DUARTE"/>
    <s v="TIAGO AUGUSTO BOLLA"/>
    <n v="-161.19999999999999"/>
    <x v="1"/>
    <s v="VALE TRANSPORTE"/>
  </r>
  <r>
    <x v="30"/>
    <s v="OUTUBRO"/>
    <s v="VITOR DUARTE"/>
    <s v="DARF INSS MENSAL  HSERV LTDA  VENCIDO 20/09/2025"/>
    <n v="-18291.02"/>
    <x v="1"/>
    <s v="IMPOSTO"/>
  </r>
  <r>
    <x v="30"/>
    <s v="OUTUBRO"/>
    <s v="HENRIQUE JEAN"/>
    <s v="DARF INSS MENSAL - HENRIQUE JEAN DUARTE  VENCIDO 20/09/2025"/>
    <n v="-7910.69"/>
    <x v="1"/>
    <s v="IMPOSTO"/>
  </r>
  <r>
    <x v="30"/>
    <s v="OUTUBRO"/>
    <s v="HSERV CABREUVA"/>
    <s v="DARF INSS MENSAL  HSERV CABREUVA  VENCIDO 20/09/2025"/>
    <n v="-13221.22"/>
    <x v="1"/>
    <s v="IMPOSTO"/>
  </r>
  <r>
    <x v="30"/>
    <s v="OUTUBRO"/>
    <s v="HSERV TECNOLOGIA"/>
    <s v="DARF INSS MENSAL  HSERV TECNOLOGIA VENCIDO 20/09/2025"/>
    <n v="-8302.85"/>
    <x v="1"/>
    <s v="IMPOSTO"/>
  </r>
  <r>
    <x v="30"/>
    <s v="OUTUBRO"/>
    <s v="HSERV COMBINADOS "/>
    <s v="JULIANA DE CASSIA MARIANA   APOIO EXTRA  LIMPEZA FABRICA PANETONE ASSIS- ESCRITORIO CENTRAL "/>
    <n v="-120"/>
    <x v="1"/>
    <s v="FT"/>
  </r>
  <r>
    <x v="30"/>
    <s v="OUTUBRO"/>
    <s v="HSERV COMBINADOS "/>
    <s v="ALESSANDRA LEITE FELIX   APOIO EXTRA  LIMPEZA FABRICA PANETONE ASSIS- ESCRITORIO CENTRAL "/>
    <n v="-120"/>
    <x v="1"/>
    <s v="FT"/>
  </r>
  <r>
    <x v="30"/>
    <s v="OUTUBRO"/>
    <s v="HSERV COMBINADOS "/>
    <s v="ERIKA DE PAULA SERAFIM -APOIO EXTRA  LIMPEZA FABRICA PANETONE ASSIS- ESCRITORIO CENTRAL "/>
    <n v="-120"/>
    <x v="1"/>
    <s v="FT"/>
  </r>
  <r>
    <x v="30"/>
    <s v="OUTUBRO"/>
    <s v="HSERV LTDA"/>
    <s v="IFOOD.COM AGENCIA DE RESTAURANTES ONLINE S.A."/>
    <n v="-1275"/>
    <x v="1"/>
    <s v="VALE COMBUSTIVEL"/>
  </r>
  <r>
    <x v="30"/>
    <s v="OUTUBRO"/>
    <s v="HSERV LTDA"/>
    <s v="PLUXEE BENEFICIOS BRASIL S.A."/>
    <n v="-5707.41"/>
    <x v="1"/>
    <s v="VALE COMBUSTIVEL"/>
  </r>
  <r>
    <x v="27"/>
    <s v="OUTUBRO"/>
    <s v="HSERV CLEAN"/>
    <s v="J.E. COMERCIO E SOLUCOES LTDA"/>
    <n v="-2510.44"/>
    <x v="1"/>
    <s v="MERCADORIAS PARA REVENDA"/>
  </r>
  <r>
    <x v="27"/>
    <s v="OUTUBRO"/>
    <s v="HSERV TERCEIRIZADOS"/>
    <s v="FLORA DISTRIB PROD DE HIGIENE E LIMPEZA LTDA"/>
    <n v="-725.7"/>
    <x v="1"/>
    <s v="MERCADORIAS PARA REVENDA"/>
  </r>
  <r>
    <x v="27"/>
    <s v="OUTUBRO"/>
    <s v="HSERV TERCEIRIZADOS"/>
    <s v="STAR CLEAN PRO INDUSTRIA E COMERCIO DE EQUIPAMENTOS DE LIMPE"/>
    <n v="-1101.8399999999999"/>
    <x v="1"/>
    <s v="MERCADORIAS PARA REVENDA"/>
  </r>
  <r>
    <x v="27"/>
    <s v="OUTUBRO"/>
    <s v="VITOR DUARTE"/>
    <s v="ALTOLIM COMERCIAL ASSIS EIRELI - ME"/>
    <n v="-59.35"/>
    <x v="1"/>
    <s v="MERCADORIAS PARA REVENDA"/>
  </r>
  <r>
    <x v="27"/>
    <s v="OUTUBRO"/>
    <s v="VITOR DUARTE"/>
    <s v="ELIANE ULITZKA DOS SANTOS"/>
    <n v="-2207.67"/>
    <x v="1"/>
    <s v="RESCISÕES"/>
  </r>
  <r>
    <x v="27"/>
    <s v="OUTUBRO"/>
    <s v="HSERV TECNOLOGIA"/>
    <s v="WELLINTON ABREU DE JESUS"/>
    <n v="-2561.04"/>
    <x v="1"/>
    <s v="RESCISÕES"/>
  </r>
  <r>
    <x v="19"/>
    <s v="OUTUBRO"/>
    <s v="HSERV COMBINADOS"/>
    <s v="VERA LUCIA MORAES DA CRUZ"/>
    <n v="-231"/>
    <x v="1"/>
    <s v="VALE TRANSPORTE"/>
  </r>
  <r>
    <x v="19"/>
    <s v="OUTUBRO"/>
    <s v="HSERV COMBINADOS"/>
    <s v="JOSE FERNANDO CAVALCANTE DE ALBUQUERQUE"/>
    <n v="-205"/>
    <x v="1"/>
    <s v="VALE TRANSPORTE"/>
  </r>
  <r>
    <x v="19"/>
    <s v="OUTUBRO"/>
    <s v="HSERV COMBINADOS"/>
    <s v="MARCIA COSME DA SILVA"/>
    <n v="-163.1"/>
    <x v="1"/>
    <s v="VALE TRANSPORTE"/>
  </r>
  <r>
    <x v="19"/>
    <s v="OUTUBRO"/>
    <s v="HSERV TECNOLOGIA"/>
    <s v="WELLINTON ABREU DE JESUS"/>
    <n v="-211.3"/>
    <x v="1"/>
    <s v="VALE TRANSPORTE"/>
  </r>
  <r>
    <x v="19"/>
    <s v="OUTUBRO"/>
    <s v="HSERV TECNOLOGIA"/>
    <s v="BEATRIZ APARECIDA DE SILVA"/>
    <n v="-509.14"/>
    <x v="1"/>
    <s v="PENSÃO ALIMENTICIA"/>
  </r>
  <r>
    <x v="27"/>
    <s v="OUTUBRO"/>
    <s v="HSERV CABREUVA"/>
    <s v="ROSANGELA CARDOSO LIRA DE OLIVEIRA-CALCULOS  ANGELICA MOREIRA  reclamada  HSERV CABREUVA"/>
    <n v="-250"/>
    <x v="1"/>
    <s v="ACORDO TRABALHISTA"/>
  </r>
  <r>
    <x v="27"/>
    <s v="OUTUBRO"/>
    <s v="HSERV COMBINADOS"/>
    <s v="EDILANE NOVAIS SOUZA MENDES"/>
    <n v="-220"/>
    <x v="1"/>
    <s v="VALE TRANSPORTE"/>
  </r>
  <r>
    <x v="27"/>
    <s v="OUTUBRO"/>
    <s v="HSERV COMBINADOS"/>
    <s v="NEUZA APARECIDA MURICY"/>
    <n v="-220"/>
    <x v="1"/>
    <s v="VALE TRANSPORTE"/>
  </r>
  <r>
    <x v="27"/>
    <s v="OUTUBRO"/>
    <s v="HSERV COMBINADOS"/>
    <s v="NALANDA DE SOUZA MATOS"/>
    <n v="-220"/>
    <x v="1"/>
    <s v="VALE TRANSPORTE"/>
  </r>
  <r>
    <x v="27"/>
    <s v="OUTUBRO"/>
    <s v="VITOR DUARTE"/>
    <s v="VERA LUCIA MORAES DA CRUZ"/>
    <n v="-165"/>
    <x v="1"/>
    <s v="VALE TRANSPORTE"/>
  </r>
  <r>
    <x v="27"/>
    <s v="OUTUBRO"/>
    <s v="VITOR DUARTE"/>
    <s v="CRISTIANA APARECIDA PEREIRA LIMA"/>
    <n v="-396"/>
    <x v="1"/>
    <s v="VALE TRANSPORTE"/>
  </r>
  <r>
    <x v="20"/>
    <s v="OUTUBRO"/>
    <s v="HSERV TECNOLOGIA"/>
    <s v="BENEFICIO SOCIAL SINDICAL VENCIDA 10/09/2025"/>
    <n v="-785.34"/>
    <x v="1"/>
    <s v="SINDICATO"/>
  </r>
  <r>
    <x v="20"/>
    <s v="OUTUBRO"/>
    <s v="HSERV  LIMPEZA "/>
    <s v="BENEFICIO SOCIAL SINDICAL VENCIDA 10/09/2025"/>
    <n v="-267.54000000000002"/>
    <x v="1"/>
    <s v="SINDICATO"/>
  </r>
  <r>
    <x v="20"/>
    <s v="OUTUBRO"/>
    <s v="HSERV  TERCEIRIZADOS"/>
    <s v="BENEFICIO SOCIAL SINDICAL VENCIDA 10/09/2025"/>
    <n v="-428.34"/>
    <x v="1"/>
    <s v="SINDICATO"/>
  </r>
  <r>
    <x v="20"/>
    <s v="OUTUBRO"/>
    <s v="HSERV  REPRESENTACOES"/>
    <s v="BENEFICIO SOCIAL SINDICAL VENCIDA 10/09/2025"/>
    <n v="-321.32"/>
    <x v="1"/>
    <s v="SINDICATO"/>
  </r>
  <r>
    <x v="20"/>
    <s v="OUTUBRO"/>
    <s v="HSERV  COMBINADOS "/>
    <s v="BENEFICIO SOCIAL SINDICAL VENCIDA 10/09/2025"/>
    <n v="-892.64"/>
    <x v="1"/>
    <s v="SINDICATO"/>
  </r>
  <r>
    <x v="20"/>
    <s v="OUTUBRO"/>
    <s v="HENRIQUE DUARTE "/>
    <s v="BENEFICIO SOCIAL SINDICAL VENCIDA 10/09/2025"/>
    <n v="-178.36"/>
    <x v="1"/>
    <s v="SINDICATO"/>
  </r>
  <r>
    <x v="20"/>
    <s v="OUTUBRO"/>
    <s v="H SERV CLEAN"/>
    <s v="BENEFICIO SOCIAL SINDICAL VENCIDA 10/09/2025"/>
    <n v="-428.34"/>
    <x v="1"/>
    <s v="SINDICATO"/>
  </r>
  <r>
    <x v="20"/>
    <s v="OUTUBRO"/>
    <s v="VITOR DUARTE"/>
    <s v="BENEFICIO SOCIAL SINDICAL VENCIDA 10/09/2025"/>
    <n v="-499.68"/>
    <x v="1"/>
    <s v="SINDICATO"/>
  </r>
  <r>
    <x v="20"/>
    <s v="OUTUBRO"/>
    <s v="HSERV CABREUVA "/>
    <s v="BENEFICIO SOCIAL SINDICAL VENCIDA 10/09/2025"/>
    <n v="-410.5"/>
    <x v="1"/>
    <s v="SINDICATO"/>
  </r>
  <r>
    <x v="20"/>
    <s v="OUTUBRO"/>
    <s v="HENRIQUE JEAN"/>
    <s v="HENRIQUE JEAN DUARTE LTDA-CUSTAS 0010287-43.2024.5.15.0097  SHEILA PASSALINE FERRAZ"/>
    <n v="-100"/>
    <x v="1"/>
    <s v="ACORDO TRABALHISTA"/>
  </r>
  <r>
    <x v="3"/>
    <s v="OUTUBRO"/>
    <s v=" HSERV CABREUVA"/>
    <s v="VALE TRANSPORTE BASE"/>
    <n v="-10716.7"/>
    <x v="1"/>
    <s v="VALE TRANSPORTE"/>
  </r>
  <r>
    <x v="12"/>
    <s v="OUTUBRO"/>
    <s v="HSERV CABREUVA"/>
    <s v="PLUXEE BENEFICIOS BRASIL S.A.- VALE TRANSPORTE MENSAL VIAÇÕES"/>
    <n v="-33674.620000000003"/>
    <x v="1"/>
    <s v="VALE TRANSPORTE"/>
  </r>
  <r>
    <x v="12"/>
    <s v="OUTUBRO"/>
    <s v="HSERV COMBINADOS ND"/>
    <s v="CAPONUS- SOLICITAÇÃO VITOR ADM"/>
    <n v="-35750"/>
    <x v="1"/>
    <s v="APORTE"/>
  </r>
  <r>
    <x v="23"/>
    <s v="OUTUBRO"/>
    <s v="REPRESENTAÇÃO"/>
    <s v="VETTOR TORRES DE RESFRIAMENTO LTDA"/>
    <n v="1500"/>
    <x v="0"/>
    <s v="VENDAS DE SERVIÇOS"/>
  </r>
  <r>
    <x v="23"/>
    <s v="OUTUBRO"/>
    <s v="REPRESENTAÇÃO"/>
    <s v="VETTOR TORRES DE RESFRIAMENTO LTDA"/>
    <n v="1200"/>
    <x v="0"/>
    <s v="VENDAS DE SERVIÇOS"/>
  </r>
  <r>
    <x v="23"/>
    <s v="OUTUBRO"/>
    <s v="REPRESENTAÇÃO"/>
    <s v="VETTOR TORRES DE RESFRIAMENTO LTDA"/>
    <n v="14482.07"/>
    <x v="0"/>
    <s v="VENDAS DE SERVIÇOS"/>
  </r>
  <r>
    <x v="23"/>
    <s v="OUTUBRO"/>
    <s v="REPRESENTAÇÃO"/>
    <s v="VETTOR TORRES DE RESFRIAMENTO LTDA"/>
    <n v="23943.3"/>
    <x v="0"/>
    <s v="VENDAS DE SERVIÇOS"/>
  </r>
  <r>
    <x v="23"/>
    <s v="OUTUBRO"/>
    <s v="REPRESENTAÇÃO"/>
    <s v="VETTOR TORRES DE RESFRIAMENTO LTDA"/>
    <n v="21852.37"/>
    <x v="0"/>
    <s v="VENDAS DE SERVIÇOS"/>
  </r>
  <r>
    <x v="23"/>
    <s v="OUTUBRO"/>
    <s v="REPRESENTAÇÃO"/>
    <s v="VETTOR TORRES DE RESFRIAMENTO LTDA"/>
    <n v="4983"/>
    <x v="0"/>
    <s v="VENDAS DE SERVIÇOS"/>
  </r>
  <r>
    <x v="11"/>
    <s v="OUTUBRO"/>
    <s v="HSERV CLEAN"/>
    <s v="SPARTAN DO BRASIL PRODUTOS QUIMICOS LTDA NF 262.409"/>
    <n v="-2045.3"/>
    <x v="1"/>
    <s v="MERCADORIAS PARA REVENDA"/>
  </r>
  <r>
    <x v="11"/>
    <s v="OUTUBRO"/>
    <s v="VITOR DUARTE"/>
    <s v="INFOJOBS BRASIL ATIVIDADES DE INTERNET LTDA."/>
    <n v="-1846.33"/>
    <x v="1"/>
    <s v="RECRUTAMENTO E SELEÇÃO"/>
  </r>
  <r>
    <x v="11"/>
    <s v="OUTUBRO"/>
    <s v="HSERV CABREUVA"/>
    <s v="ALINE CAMOLEZ SOARES ISCARO-RENAN GUSTAVO DA COSTA MOTA - Proc 0011848-82.2023.5.15.0018  PARCELA 1/9"/>
    <n v="-2000"/>
    <x v="1"/>
    <s v="ACORDO TRABALHISTA"/>
  </r>
  <r>
    <x v="23"/>
    <s v="OUTUBRO"/>
    <s v="REPRESENTAÇÃO"/>
    <s v="VETTOR TORRES DE RESFRIAMENTO LTDA"/>
    <n v="196"/>
    <x v="0"/>
    <s v="VENDAS DE SERVIÇOS"/>
  </r>
  <r>
    <x v="11"/>
    <s v="OUTUBRO"/>
    <s v="HENRIQUE JEAN"/>
    <s v="FGTS EM ATRASO 11/2023 FELIPE NUNES MACHADO"/>
    <n v="-184.76"/>
    <x v="1"/>
    <s v="IMPOSTO"/>
  </r>
  <r>
    <x v="11"/>
    <s v="OUTUBRO"/>
    <s v="HENRIQUE JEAN"/>
    <s v="FGTS EM ATRASO 04/2023 FELIPE NUNES MACHADO"/>
    <n v="-192.15"/>
    <x v="1"/>
    <s v="IMPOSTO"/>
  </r>
  <r>
    <x v="11"/>
    <s v="OUTUBRO"/>
    <s v="HENRIQUE JEAN"/>
    <s v="FGTS EM ATRASO 12/2023 FELIPE NUNES MACHADO"/>
    <n v="-183.87"/>
    <x v="1"/>
    <s v="IMPOSTO"/>
  </r>
  <r>
    <x v="11"/>
    <s v="OUTUBRO"/>
    <s v="HENRIQUE JEAN"/>
    <s v="FGTS EM ATRASO 09/2024 E 13° 2024  FELIPE NUNES MACHADO"/>
    <n v="-301.2"/>
    <x v="1"/>
    <s v="IMPOSTO"/>
  </r>
  <r>
    <x v="11"/>
    <s v="OUTUBRO"/>
    <s v="HENRIQUE JEAN"/>
    <s v="FGTS EM ATRASO 02/2023 FELIPE NUNES MACHADO"/>
    <n v="-194.32"/>
    <x v="1"/>
    <s v="IMPOSTO"/>
  </r>
  <r>
    <x v="11"/>
    <s v="OUTUBRO"/>
    <s v="HENRIQUE JEAN"/>
    <s v="FGTS EM ATRASO 10/2023 FELIPE NUNES MACHADO"/>
    <n v="-185.68"/>
    <x v="1"/>
    <s v="IMPOSTO"/>
  </r>
  <r>
    <x v="11"/>
    <s v="OUTUBRO"/>
    <s v="HENRIQUE JEAN"/>
    <s v="FGTS EM ATRASO 07/2023 FELIPE NUNES MACHADO"/>
    <n v="-188.8"/>
    <x v="1"/>
    <s v="IMPOSTO"/>
  </r>
  <r>
    <x v="11"/>
    <s v="OUTUBRO"/>
    <s v="HENRIQUE JEAN"/>
    <s v="FGTS EM ATRASO 11/2022 FELIPE NUNES MACHADO"/>
    <n v="-197.63"/>
    <x v="1"/>
    <s v="IMPOSTO"/>
  </r>
  <r>
    <x v="11"/>
    <s v="OUTUBRO"/>
    <s v="HENRIQUE JEAN"/>
    <s v="FGTS EM ATRASO 12/2022 FELIPE NUNES MACHADO"/>
    <n v="-196.45"/>
    <x v="1"/>
    <s v="IMPOSTO"/>
  </r>
  <r>
    <x v="11"/>
    <s v="OUTUBRO"/>
    <s v="HENRIQUE JEAN"/>
    <s v="FGTS EM ATRASO 01/2023 FELIPE NUNES MACHADO"/>
    <n v="-195.28"/>
    <x v="1"/>
    <s v="IMPOSTO"/>
  </r>
  <r>
    <x v="11"/>
    <s v="OUTUBRO"/>
    <s v="HENRIQUE JEAN"/>
    <s v="FGTS EM ATRASO 03/2023 FELIPE NUNES MACHADO"/>
    <n v="-193.08"/>
    <x v="1"/>
    <s v="IMPOSTO"/>
  </r>
  <r>
    <x v="11"/>
    <s v="OUTUBRO"/>
    <s v="HENRIQUE JEAN"/>
    <s v="FGTS EM ATRASO 08/2023 FELIPE NUNES MACHADO"/>
    <n v="-187.63"/>
    <x v="1"/>
    <s v="IMPOSTO"/>
  </r>
  <r>
    <x v="11"/>
    <s v="OUTUBRO"/>
    <s v="HENRIQUE JEAN"/>
    <s v="FGTS EM ATRASO 09/2023 FELIPE NUNES MACHADO"/>
    <n v="-186.63"/>
    <x v="1"/>
    <s v="IMPOSTO"/>
  </r>
  <r>
    <x v="11"/>
    <s v="OUTUBRO"/>
    <s v="HSERV TECNOLOGIA"/>
    <s v="FELIPE NUNES MACHADO"/>
    <n v="-7022.51"/>
    <x v="1"/>
    <s v="RESCISÕES"/>
  </r>
  <r>
    <x v="11"/>
    <s v="OUTUBRO"/>
    <s v="VITOR DUARTE"/>
    <s v="SUELEN DOS REIS FOSTINO FELIX"/>
    <n v="-329.28"/>
    <x v="1"/>
    <s v="RESCISÕES"/>
  </r>
  <r>
    <x v="11"/>
    <s v="OUTUBRO"/>
    <s v="VITOR DUARTE"/>
    <s v="SUELEN DOS REIS FOSTINO FELIX"/>
    <n v="-89.27"/>
    <x v="1"/>
    <s v="RESCISÕES"/>
  </r>
  <r>
    <x v="11"/>
    <s v="OUTUBRO"/>
    <s v="HSERV TECNOLOGIA"/>
    <s v="ELAINE CRISTINA LOPES"/>
    <n v="-1213.26"/>
    <x v="1"/>
    <s v="RESCISÕES"/>
  </r>
  <r>
    <x v="11"/>
    <s v="OUTUBRO"/>
    <s v="HENRIQUE JEAN"/>
    <s v="KATIA CRISTINA DOLORES DOS SANTOS-VALE ALIMENTAÇÃO ASSIS  ADMISSÃO DIA 23/09"/>
    <n v="-145.32"/>
    <x v="1"/>
    <s v="VALE ALIMENTAÇÃO"/>
  </r>
  <r>
    <x v="11"/>
    <s v="OUTUBRO"/>
    <s v="HSERV CABREUVA"/>
    <s v="GABRIEL DO NASCIMENTO NEVES"/>
    <n v="-529"/>
    <x v="1"/>
    <s v="VALE TRANSPORTE"/>
  </r>
  <r>
    <x v="11"/>
    <s v="OUTUBRO"/>
    <s v="HSERV COMBINADOS"/>
    <s v="ALTAMIRO LOPES SIQUEIRA"/>
    <n v="-319.8"/>
    <x v="1"/>
    <s v="VALE TRANSPORTE"/>
  </r>
  <r>
    <x v="11"/>
    <s v="OUTUBRO"/>
    <s v="HSERV COMBINADOS"/>
    <s v="MARIA LUCIA BENTO"/>
    <n v="-184.5"/>
    <x v="1"/>
    <s v="VALE TRANSPORTE"/>
  </r>
  <r>
    <x v="11"/>
    <s v="OUTUBRO"/>
    <s v="HSERV TECNOLOGIA"/>
    <s v="SIMONE DE OLIVEIRA SALLES"/>
    <n v="-147.6"/>
    <x v="1"/>
    <s v="VALE TRANSPORTE"/>
  </r>
  <r>
    <x v="11"/>
    <s v="OUTUBRO"/>
    <s v="HSERV TECNOLOGIA"/>
    <s v="CLAUDETE DO PRADO LOPES PEREIRA"/>
    <n v="-89.6"/>
    <x v="1"/>
    <s v="VALE TRANSPORTE"/>
  </r>
  <r>
    <x v="11"/>
    <s v="OUTUBRO"/>
    <s v="HSERV TERCEIRIZADOS"/>
    <s v="RAFAEL DA SILVA RIBEIRO"/>
    <n v="-140"/>
    <x v="1"/>
    <s v="VALE TRANSPORTE"/>
  </r>
  <r>
    <x v="11"/>
    <s v="OUTUBRO"/>
    <s v="VITOR DUARTE"/>
    <s v="NILTON LEPORES"/>
    <n v="-86.1"/>
    <x v="1"/>
    <s v="VALE TRANSPORTE"/>
  </r>
  <r>
    <x v="11"/>
    <s v="OUTUBRO"/>
    <s v="VITOR DUARTE"/>
    <s v="ANDRE LUIZ DA SILVA ALVES"/>
    <n v="-120"/>
    <x v="1"/>
    <s v="VALE TRANSPORTE"/>
  </r>
  <r>
    <x v="11"/>
    <s v="OUTUBRO"/>
    <s v="VITOR DUARTE"/>
    <s v="ROSALINA CRISTIANE JUSTINO"/>
    <n v="-307.5"/>
    <x v="1"/>
    <s v="VALE TRANSPORTE"/>
  </r>
  <r>
    <x v="11"/>
    <s v="OUTUBRO"/>
    <s v="HSERV COMBINADOS"/>
    <s v="PABLO-FT"/>
    <n v="-600"/>
    <x v="1"/>
    <s v="FT"/>
  </r>
  <r>
    <x v="11"/>
    <s v="OUTUBRO"/>
    <s v="VITOR DUARTE"/>
    <s v="VIVA FOOD R E LTDA"/>
    <n v="-17235"/>
    <x v="1"/>
    <s v="VALE ALIMENTAÇÃO"/>
  </r>
  <r>
    <x v="24"/>
    <s v="OUTUBRO"/>
    <s v="HSERV COMBINADOS"/>
    <s v="WELLINGTON DE SOUZA FONCECA"/>
    <n v="-6102.07"/>
    <x v="1"/>
    <s v="RESCISÕES"/>
  </r>
  <r>
    <x v="16"/>
    <s v="OUTUBRO"/>
    <s v="HSERV COMBINADOS"/>
    <s v="GRRF WELLINGTON DE SOUZA FONCECA"/>
    <n v="-3598.97"/>
    <x v="1"/>
    <s v="RESCISÕES"/>
  </r>
  <r>
    <x v="24"/>
    <s v="OUTUBRO"/>
    <s v="HENRIQUE JEAN"/>
    <s v="GUIA FGTS EM ATRASO 12/2023 WELLINGTON DE SOUZA FONCECA"/>
    <n v="-166.21"/>
    <x v="1"/>
    <s v="IMPOSTO"/>
  </r>
  <r>
    <x v="24"/>
    <s v="OUTUBRO"/>
    <s v="HENRIQUE JEAN"/>
    <s v="GUIA FGTS EM ATRASO 11/2023 WELLINGTON DE SOUZA FONCECA"/>
    <n v="-167.01"/>
    <x v="1"/>
    <s v="IMPOSTO"/>
  </r>
  <r>
    <x v="24"/>
    <s v="OUTUBRO"/>
    <s v="HENRIQUE JEAN"/>
    <s v="GUIA FGTS EM ATRASO 07/2023 WELLINGTON DE SOUZA FONCECA"/>
    <n v="-170.66"/>
    <x v="1"/>
    <s v="IMPOSTO"/>
  </r>
  <r>
    <x v="24"/>
    <s v="OUTUBRO"/>
    <s v="HENRIQUE JEAN"/>
    <s v="GUIA FGTS EM ATRASO 01/2023 WELLINGTON DE SOUZA FONCECA"/>
    <n v="-176.52"/>
    <x v="1"/>
    <s v="IMPOSTO"/>
  </r>
  <r>
    <x v="24"/>
    <s v="OUTUBRO"/>
    <s v="HENRIQUE JEAN"/>
    <s v="GUIA FGTS EM ATRASO 04/2023 WELLINGTON DE SOUZA FONCECA"/>
    <n v="-173.69"/>
    <x v="1"/>
    <s v="IMPOSTO"/>
  </r>
  <r>
    <x v="24"/>
    <s v="OUTUBRO"/>
    <s v="HENRIQUE JEAN"/>
    <s v="GUIA FGTS EM ATRASO 10/2023 WELLINGTON DE SOUZA FONCECA"/>
    <n v="-167.84"/>
    <x v="1"/>
    <s v="IMPOSTO"/>
  </r>
  <r>
    <x v="24"/>
    <s v="OUTUBRO"/>
    <s v="HENRIQUE JEAN"/>
    <s v="GUIA FGTS EM ATRASO 03/2023 WELLINGTON DE SOUZA FONCECA"/>
    <n v="-174.53"/>
    <x v="1"/>
    <s v="IMPOSTO"/>
  </r>
  <r>
    <x v="24"/>
    <s v="OUTUBRO"/>
    <s v="HENRIQUE JEAN"/>
    <s v="GUIA FGTS EM ATRASO 02/2023 WELLINGTON DE SOUZA FONCECA"/>
    <n v="-175.65"/>
    <x v="1"/>
    <s v="IMPOSTO"/>
  </r>
  <r>
    <x v="24"/>
    <s v="OUTUBRO"/>
    <s v="HENRIQUE JEAN"/>
    <s v="GUIA FGTS EM ATRASO 09/2023 WELLINGTON DE SOUZA FONCECA"/>
    <n v="-168.71"/>
    <x v="1"/>
    <s v="IMPOSTO"/>
  </r>
  <r>
    <x v="24"/>
    <s v="OUTUBRO"/>
    <s v="HENRIQUE JEAN"/>
    <s v="GUIA FGTS EM ATRASO 11/2022 WELLINGTON DE SOUZA FONCECA"/>
    <n v="-178.65"/>
    <x v="1"/>
    <s v="IMPOSTO"/>
  </r>
  <r>
    <x v="24"/>
    <s v="OUTUBRO"/>
    <s v="HENRIQUE JEAN"/>
    <s v="GUIA FGTS EM ATRASO 08/2023 WELLINGTON DE SOUZA FONCECA"/>
    <n v="-169.6"/>
    <x v="1"/>
    <s v="IMPOSTO"/>
  </r>
  <r>
    <x v="24"/>
    <s v="OUTUBRO"/>
    <s v="HENRIQUE JEAN"/>
    <s v="GUIA FGTS EM ATRASO 12/2022 WELLINGTON DE SOUZA FONCECA"/>
    <n v="-177.57"/>
    <x v="1"/>
    <s v="IMPOSTO"/>
  </r>
  <r>
    <x v="24"/>
    <s v="OUTUBRO"/>
    <s v="HSERV TECNOLOGIA"/>
    <s v="LUCIANO FERREIRA DOS SANTOS"/>
    <n v="-5068.3500000000004"/>
    <x v="1"/>
    <s v="RESCISÕES"/>
  </r>
  <r>
    <x v="24"/>
    <s v="OUTUBRO"/>
    <s v="HSERV TECNOLOGIA"/>
    <s v="GRRF LUCIANO FERREIRA DOS SANTOS"/>
    <n v="-1571.65"/>
    <x v="1"/>
    <s v="RESCISÕES"/>
  </r>
  <r>
    <x v="24"/>
    <s v="OUTUBRO"/>
    <s v="HSERV TERCEIRIZADOS"/>
    <s v="MARISA DE SOUSA SILVA"/>
    <n v="-5118.76"/>
    <x v="1"/>
    <s v="RESCISÕES"/>
  </r>
  <r>
    <x v="16"/>
    <s v="OUTUBRO"/>
    <s v="HSERV TERCEIRIZADOS"/>
    <s v="GRRF MARISA DE SOUSA SILVA"/>
    <n v="-1820.76"/>
    <x v="1"/>
    <s v="RESCISÕES"/>
  </r>
  <r>
    <x v="24"/>
    <s v="OUTUBRO"/>
    <s v="VITOR DUARTE"/>
    <s v="ELIANE ULITZKA DOS SANTOS"/>
    <n v="-149.74"/>
    <x v="1"/>
    <s v="RESCISÕES"/>
  </r>
  <r>
    <x v="16"/>
    <s v="OUTUBRO"/>
    <s v="HENRIQUE JEAN"/>
    <s v="MARCIO CARAZI SOARES-EXAME ADMISSIONAL - Liliane Aparecida Batista"/>
    <n v="-144.44999999999999"/>
    <x v="1"/>
    <s v="EXAMES MEDICOS"/>
  </r>
  <r>
    <x v="16"/>
    <s v="OUTUBRO"/>
    <s v="HENRIQUE JEAN"/>
    <s v="SEGMAR SAUDE OCUPACIONAL LTDA-EXMAE ADMISSIONAL - Kelly Priscila dos Santos"/>
    <n v="-165"/>
    <x v="1"/>
    <s v="EXAMES MEDICOS"/>
  </r>
  <r>
    <x v="16"/>
    <s v="OUTUBRO"/>
    <s v="HENRIQUE JEAN"/>
    <s v="QUALITY SEG SEGURANCA -EXAMES ADMISSIONAIS - Luciana Gomes de Oliveira da Cunha  Alesxandra de Oliveira da Conceição"/>
    <n v="-190"/>
    <x v="1"/>
    <s v="EXAMES MEDICOS"/>
  </r>
  <r>
    <x v="31"/>
    <s v="OUTUBRO"/>
    <s v="HENRIQUE JEAN"/>
    <s v="GRRF VIVIANE RODRIGUES"/>
    <n v="-190.02"/>
    <x v="1"/>
    <s v="RESCISÕES"/>
  </r>
  <r>
    <x v="16"/>
    <s v="OUTUBRO"/>
    <s v="VITOR DUARTE"/>
    <s v="GRRF JOAO CAETANO GUEDES"/>
    <n v="-80.040000000000006"/>
    <x v="1"/>
    <s v="RESCISÕES"/>
  </r>
  <r>
    <x v="16"/>
    <s v="OUTUBRO"/>
    <s v="HENRIQUE JEAN"/>
    <s v="VIVIANE RODRIGUES"/>
    <n v="-1154.1500000000001"/>
    <x v="1"/>
    <s v="RESCISÕES"/>
  </r>
  <r>
    <x v="24"/>
    <s v="OUTUBRO"/>
    <s v="VITOR DUARTE"/>
    <s v="JOAO CAETANO GUEDES"/>
    <n v="-127.89"/>
    <x v="1"/>
    <s v="RESCISÕES"/>
  </r>
  <r>
    <x v="31"/>
    <s v="OUTUBRO"/>
    <s v="VITOR DUARTE"/>
    <s v="GRRF BRUNA MAIARA DA SILVA PIRES"/>
    <n v="-302.82"/>
    <x v="1"/>
    <s v="RESCISÕES"/>
  </r>
  <r>
    <x v="16"/>
    <s v="OUTUBRO"/>
    <s v="VITOR DUARTE"/>
    <s v="BRUNA MAIARA DA SILVA PIRES"/>
    <n v="-1863.75"/>
    <x v="1"/>
    <s v="RESCISÕES"/>
  </r>
  <r>
    <x v="24"/>
    <s v="OUTUBRO"/>
    <s v="VITOR DUARTE"/>
    <s v="ALTOLIM COMERCIAL ASSIS EIRELI - ME"/>
    <n v="-97.33"/>
    <x v="1"/>
    <s v="UNIFORMES "/>
  </r>
  <r>
    <x v="24"/>
    <s v="OUTUBRO"/>
    <s v="HSERV COMBINADOS"/>
    <s v="RITA SABINO DE MIRANDA MOURA-FT REALIZADA NOS DIAS 16/09 ATE 25/09 - PLURIX"/>
    <n v="-900"/>
    <x v="1"/>
    <s v="FT"/>
  </r>
  <r>
    <x v="24"/>
    <s v="OUTUBRO"/>
    <s v="HSERV COMBINADOS"/>
    <s v="ANTONIO LUIZ FELIX DE ALMEIDA"/>
    <n v="-3750"/>
    <x v="1"/>
    <s v="FT"/>
  </r>
  <r>
    <x v="24"/>
    <s v="OUTUBRO"/>
    <s v="VITOR DUARTE"/>
    <s v="VIVA FOOD R E LTDA"/>
    <n v="-17971"/>
    <x v="1"/>
    <s v="VALE ALIMENTAÇÃO"/>
  </r>
  <r>
    <x v="37"/>
    <s v="OUTUBRO"/>
    <s v="VITOR DUARTE"/>
    <s v="VIVA FOOD R E LTDA"/>
    <n v="-17235"/>
    <x v="1"/>
    <s v="VALE ALIMENTAÇÃO"/>
  </r>
  <r>
    <x v="25"/>
    <s v="OUTUBRO"/>
    <s v="HENRIQUE JEAN"/>
    <s v="THIAGO CARREIRA SILVA CLINICA MEDICA EXAME ADMISSIONAL - PRESIDENTE PRUDENTE - RITA DO CARMO RODRIGUES"/>
    <n v="-105"/>
    <x v="1"/>
    <s v="EXAMES MEDICOS"/>
  </r>
  <r>
    <x v="25"/>
    <s v="OUTUBRO"/>
    <s v="HSERV LTDA"/>
    <s v="GSSO GESTAO EM SAUDE E SEGURANCA OCUPACIONAL LTDA-EXAME ADMISSIONAL - MARCO ANTONIO - PAULINIA"/>
    <n v="-107"/>
    <x v="1"/>
    <s v="EXAMES MEDICOS"/>
  </r>
  <r>
    <x v="32"/>
    <s v="OUTUBRO"/>
    <s v="HSERV COMBINADOS"/>
    <s v="CONDOMINIO DE CONSTRUCAO DO EDIFICIO COMERCIAL CBM TOWER PARCELA 48/48"/>
    <n v="-1501.45"/>
    <x v="1"/>
    <s v="APORTE"/>
  </r>
  <r>
    <x v="38"/>
    <s v="NOVEMBRO"/>
    <s v="HSERV TERCEIRIZADOS"/>
    <s v="MOVIDA PARTICIPACOES S.A."/>
    <n v="-195.23"/>
    <x v="1"/>
    <s v="ALUGUEL DE VEICULOS"/>
  </r>
  <r>
    <x v="4"/>
    <s v="NOVEMBRO"/>
    <s v="HSERV TERCEIRIZADOS"/>
    <s v="ESCOBRAS INDUSTRIA E COMERCIO DE MAQUINAS LTDA-MAQUINA M03-LOCAÇÃO BOA PAULINIA"/>
    <n v="-1400"/>
    <x v="1"/>
    <s v="MANUTENÇÃO "/>
  </r>
  <r>
    <x v="6"/>
    <s v="OUTUBRO"/>
    <s v="HSERV TERCEIRIZADOS"/>
    <s v="ESCOBRAS INDUSTRIA E COMERCIO DE MAQUINAS LTDA-MAQUINA M03-LOCAÇÃO BOA PAULINIA"/>
    <n v="-1400"/>
    <x v="1"/>
    <s v="MANUTENÇÃO "/>
  </r>
  <r>
    <x v="8"/>
    <s v="NOVEMBRO"/>
    <s v="HSERV TERCEIRIZADOS"/>
    <s v="LOTUS CENTRAL DE DISTRIBUICAO DE HIGIENICOS LTDA-VENCIMENTO 24/10/2025"/>
    <n v="-457.16"/>
    <x v="1"/>
    <s v="MERCADORIA PARA REVENDA"/>
  </r>
  <r>
    <x v="6"/>
    <s v="OUTUBRO"/>
    <s v="HSERV COMBINADOS ND"/>
    <s v="PROLABORE VITOR AUGUSTO DUARTE - REFERENTE A SETEMBRO "/>
    <n v="-7381.7"/>
    <x v="1"/>
    <s v="PROLABORE"/>
  </r>
  <r>
    <x v="32"/>
    <s v="OUTUBRO"/>
    <s v="VITOR DUARTE"/>
    <s v="DEVOLUÇÃO DA ANTECIPAÇÃO DE VALORES REALIZADA PELO VITOR DUARTE EM RAZÃO DO BOA TER ATRASADO O PROCESSO DE ANTECIPAÇÃO MENSAL "/>
    <n v="-87452.75"/>
    <x v="1"/>
    <s v="ANTECIPAÇÃO"/>
  </r>
  <r>
    <x v="3"/>
    <s v="OUTUBRO"/>
    <s v="VITOR DUARTE"/>
    <s v="JAIR RÉ - DEVOLUÇÃO DA ANTECIPAÇÃO DE VALORES REALIZADA PELO VITOR DUARTE EM RAZÃO DO BOA TER ATRASADO O PROCESSO DE ANTECIPAÇÃO MENSAL -ACORDO "/>
    <n v="-20000"/>
    <x v="1"/>
    <s v="ANTECIPAÇÃO"/>
  </r>
  <r>
    <x v="3"/>
    <s v="OUTUBRO"/>
    <s v="VITOR DUARTE"/>
    <s v="CHEQUE DR DUARTE - DEVOLUÇÃO DA ANTECIPAÇÃO DE VALORES REALIZADA PELO VITOR DUARTE EM RAZÃO DO BOA TER ATRASADO O PROCESSO DE ANTECIPAÇÃO MENSAL "/>
    <n v="-40517.96"/>
    <x v="1"/>
    <s v="ANTECIPAÇÃO"/>
  </r>
  <r>
    <x v="32"/>
    <s v="OUTUBRO"/>
    <s v="HSERV LIMPEZA"/>
    <s v="GUIA PROCESSO 003125-58.2023.8.26.0161- POLIPRIME"/>
    <n v="-111.06"/>
    <x v="1"/>
    <s v="JURIDICO"/>
  </r>
  <r>
    <x v="32"/>
    <s v="OUTUBRO"/>
    <s v="VITOR DUARTE"/>
    <s v="VIVA FOOD R E LTDA"/>
    <n v="-13041.15"/>
    <x v="1"/>
    <s v="VALE ALIMENTAÇÃO"/>
  </r>
  <r>
    <x v="3"/>
    <s v="OUTUBRO"/>
    <s v="HSERV CLEAN"/>
    <s v="JOSE JONAS DE ARAUJO SILVA"/>
    <n v="-3968.99"/>
    <x v="1"/>
    <s v="ACORDO TRABALHISTA"/>
  </r>
  <r>
    <x v="3"/>
    <s v="OUTUBRO"/>
    <s v="VITOR DUARTE"/>
    <s v="CARLOS EDUARDO DE OLIVEIRA SOCIEDADE INDIVIDUAL DE ADVOCACIA  PRoc 0011980-02.2023.5.15.0096 RECLAMANTE: LAZINHO CANDIDO PARCELA 2/18- "/>
    <n v="-2570.75"/>
    <x v="1"/>
    <s v="ACORDO TRABALHISTA"/>
  </r>
  <r>
    <x v="28"/>
    <s v="DEZEMBRO"/>
    <s v="VITOR DUARTE"/>
    <s v="CARLOS EDUARDO DE OLIVEIRA SOCIEDADE INDIVIDUAL DE ADVOCACIA  PRoc 0011980-02.2023.5.15.0096 RECLAMANTE: LAZINHO CANDIDO PARCELA 3/18"/>
    <n v="-2570.75"/>
    <x v="1"/>
    <s v="ACORDO TRABALHISTA"/>
  </r>
  <r>
    <x v="40"/>
    <s v="DEZEMBRO"/>
    <s v="VITOR DUARTE"/>
    <s v="CARLOS EDUARDO DE OLIVEIRA SOCIEDADE INDIVIDUAL DE ADVOCACIA  PRoc 0011980-02.2023.5.15.0096 RECLAMANTE: LAZINHO CANDIDO PARCELA 4/18"/>
    <n v="-2570.75"/>
    <x v="1"/>
    <s v="ACORDO TRABALHISTA"/>
  </r>
  <r>
    <x v="3"/>
    <s v="OUTUBRO"/>
    <s v="HSERV COMBINADOS"/>
    <s v="LUCILENE TORRES GALINDO"/>
    <n v="-167.82"/>
    <x v="1"/>
    <s v="RESCISÕES"/>
  </r>
  <r>
    <x v="3"/>
    <s v="OUTUBRO"/>
    <s v="HSERV COMBINADOS"/>
    <s v="JANIEL DOS SANTOS"/>
    <n v="-286.27999999999997"/>
    <x v="1"/>
    <s v="RESCISÕES"/>
  </r>
  <r>
    <x v="3"/>
    <s v="OUTUBRO"/>
    <s v="HSERV COMBINADOS"/>
    <s v="SANDRA REGINA BATISTA"/>
    <n v="-380.1"/>
    <x v="1"/>
    <s v="RESCISÕES"/>
  </r>
  <r>
    <x v="3"/>
    <s v="OUTUBRO"/>
    <s v="HSERV CABREUVA"/>
    <s v="KEVYN TAWAN BERTONHA FERREIRA"/>
    <n v="-3069.44"/>
    <x v="1"/>
    <s v="RESCISÕES"/>
  </r>
  <r>
    <x v="3"/>
    <s v="OUTUBRO"/>
    <s v="HSERV TERCEIRIZADOS"/>
    <s v="LOTUS CENTRAL DE DISTRIBUICAO DE HIGIENICOS LTDA-VENCIMENTO 24/10/2025"/>
    <n v="-462.41"/>
    <x v="1"/>
    <s v="MERCADORIA PARA REVENDA"/>
  </r>
  <r>
    <x v="3"/>
    <s v="OUTUBRO"/>
    <s v="HSERV TECNOLOGIA"/>
    <s v="CLAUDETE DO PRADO LOPES PEREIRA"/>
    <n v="-715.58"/>
    <x v="1"/>
    <s v="RESCISÕES"/>
  </r>
  <r>
    <x v="22"/>
    <s v="NOVEMBRO"/>
    <s v="VITOR DUARTE"/>
    <s v="VIVA FOOD R E LTDA-boleto estava sem registro"/>
    <n v="-13041.15"/>
    <x v="1"/>
    <s v="VALE ALIMENTAÇÃO"/>
  </r>
  <r>
    <x v="3"/>
    <s v="OUTUBRO"/>
    <s v="LIMPEZA"/>
    <s v="EDMAR APARECIDO MARTINEZ"/>
    <n v="799.2"/>
    <x v="0"/>
    <s v="VENDAS DE SERVIÇOS"/>
  </r>
  <r>
    <x v="3"/>
    <s v="OUTUBRO"/>
    <s v="LIMPEZA"/>
    <s v="EDMAR APARECIDO MARTINEZ"/>
    <n v="18532.8"/>
    <x v="0"/>
    <s v="VENDAS DE SERVIÇOS"/>
  </r>
  <r>
    <x v="3"/>
    <s v="OUTUBRO"/>
    <s v="TECNOLOGIA"/>
    <s v="INTERBRILHO HIGIENE E LIMPEZA LTDA"/>
    <n v="23638.67"/>
    <x v="0"/>
    <s v="VENDAS DE SERVIÇOS"/>
  </r>
  <r>
    <x v="3"/>
    <s v="OUTUBRO"/>
    <s v="CLEAN"/>
    <s v="MIPAL INDUSTRIA DE EVAPORADORES LTDA"/>
    <n v="1248.68"/>
    <x v="0"/>
    <s v="VENDAS DE SERVIÇOS"/>
  </r>
  <r>
    <x v="3"/>
    <s v="OUTUBRO"/>
    <s v="VITOR DUARTE"/>
    <s v="CLINICA WISSENCE LTDA"/>
    <n v="8705.7000000000007"/>
    <x v="0"/>
    <s v="VENDAS DE SERVIÇOS"/>
  </r>
  <r>
    <x v="39"/>
    <s v="NOVEMBRO"/>
    <s v="COMBINADOS"/>
    <s v="TECNIPLAS EQUIPAMENTOS EM COMPOSITOS EIR"/>
    <n v="22451.91"/>
    <x v="0"/>
    <s v="VENDAS DE SERVIÇOS"/>
  </r>
  <r>
    <x v="3"/>
    <s v="OUTUBRO"/>
    <s v="REPRESENTAÇÃO"/>
    <s v="VETTOR TORRES DE RESFRIAMENTO LTDA"/>
    <n v="14482.07"/>
    <x v="0"/>
    <s v="VENDAS DE SERVIÇOS"/>
  </r>
  <r>
    <x v="3"/>
    <s v="OUTUBRO"/>
    <s v="REPRESENTAÇÃO"/>
    <s v="VETTOR TORRES DE RESFRIAMENTO LTDA"/>
    <n v="23943.3"/>
    <x v="0"/>
    <s v="VENDAS DE SERVIÇOS"/>
  </r>
  <r>
    <x v="3"/>
    <s v="OUTUBRO"/>
    <s v="REPRESENTAÇÃO"/>
    <s v="VETTOR TORRES DE RESFRIAMENTO LTDA"/>
    <n v="21852.37"/>
    <x v="0"/>
    <s v="VENDAS DE SERVIÇOS"/>
  </r>
  <r>
    <x v="3"/>
    <s v="OUTUBRO"/>
    <s v="REPRESENTAÇÃO"/>
    <s v="VETTOR TORRES DE RESFRIAMENTO LTDA"/>
    <n v="4983"/>
    <x v="0"/>
    <s v="VENDAS DE SERVIÇOS"/>
  </r>
  <r>
    <x v="3"/>
    <s v="OUTUBRO"/>
    <s v="REPRESENTAÇÃO"/>
    <s v="VETTOR TORRES DE RESFRIAMENTO LTDA"/>
    <n v="1200"/>
    <x v="0"/>
    <s v="VENDAS DE SERVIÇOS"/>
  </r>
  <r>
    <x v="3"/>
    <s v="OUTUBRO"/>
    <s v="REPRESENTAÇÃO"/>
    <s v="VETTOR TORRES DE RESFRIAMENTO LTDA"/>
    <n v="1500"/>
    <x v="0"/>
    <s v="VENDAS DE SERVIÇOS"/>
  </r>
  <r>
    <x v="3"/>
    <s v="OUTUBRO"/>
    <s v="REPRESENTAÇÃO"/>
    <s v="VETTOR TORRES DE RESFRIAMENTO LTDA"/>
    <n v="196"/>
    <x v="0"/>
    <s v="VENDAS DE SERVIÇOS"/>
  </r>
  <r>
    <x v="24"/>
    <s v="OUTUBRO"/>
    <s v="HSERV COMBINADOS"/>
    <s v="SINDICATO DOS EMP.EM TURISMO E HOPITALIDADE DE SOROCABA SINETUR SOROCABA"/>
    <n v="-471.72"/>
    <x v="1"/>
    <s v="SINDICATO"/>
  </r>
  <r>
    <x v="24"/>
    <s v="OUTUBRO"/>
    <s v="HSERV COMBINADOS"/>
    <s v="SINDICATO DOS EMPREGADOS E TRABALHADORES -SINDITERCERIZADOS"/>
    <n v="-30"/>
    <x v="1"/>
    <s v="SINDICATO"/>
  </r>
  <r>
    <x v="24"/>
    <s v="OUTUBRO"/>
    <s v="HENRIQUE JEAN"/>
    <s v="SINDICATO DOS EMPREGADOS EM EMPRESAS DE LIMPEZA PUBLICA LIMP-SINDICATO MES 09/2025  - ROSIMEIRE DA SILVA NAGAMATU"/>
    <n v="-10"/>
    <x v="1"/>
    <s v="SINDICATO"/>
  </r>
  <r>
    <x v="24"/>
    <s v="OUTUBRO"/>
    <s v="HSERV LTDA"/>
    <s v="SINDICATO DOS EMP.EM TURISMO E HOPITALIDADE DE SOROCABA-SINDICATO SOROCABA"/>
    <n v="-115.18"/>
    <x v="1"/>
    <s v="SINDICATO"/>
  </r>
  <r>
    <x v="24"/>
    <s v="OUTUBRO"/>
    <s v="HENRIQUE JEAN"/>
    <s v="SINDICATO DOS EMP.E.AS.E C.E TRAB.L.URB.P.PE E REGIAO-SIEMACO LINS HENRIQUE "/>
    <n v="-103.02"/>
    <x v="1"/>
    <s v="SINDICATO"/>
  </r>
  <r>
    <x v="24"/>
    <s v="OUTUBRO"/>
    <s v="HENRIQUE JEAN"/>
    <s v="SIND DAS EMP DE PREST DE SER T C A M O T T NO E DE SP-SINDIPRESTEM "/>
    <n v="-96"/>
    <x v="1"/>
    <s v="SINDICATO"/>
  </r>
  <r>
    <x v="24"/>
    <s v="OUTUBRO"/>
    <s v="HSERV LIMPEZA"/>
    <s v="SINDICATO DOS EMP.E.AS.E C.E TRAB.L.URB.P.PE E REGIAO"/>
    <n v="-34.340000000000003"/>
    <x v="1"/>
    <s v="SINDICATO"/>
  </r>
  <r>
    <x v="24"/>
    <s v="OUTUBRO"/>
    <s v="HSERV COMBINADOS"/>
    <s v="FLAVIA KELI DE OLIVEIRA FELIX"/>
    <n v="-295.2"/>
    <x v="1"/>
    <s v="VALE TRANSPORTE"/>
  </r>
  <r>
    <x v="24"/>
    <s v="OUTUBRO"/>
    <s v="VITOR DUARTE"/>
    <s v="WESLEY ALEXANDRE DA CRUZ"/>
    <n v="-233.7"/>
    <x v="1"/>
    <s v="VALE TRANSPORTE"/>
  </r>
  <r>
    <x v="24"/>
    <s v="OUTUBRO"/>
    <s v="VITOR DUARTE"/>
    <s v="LAURITA ALVES PEREIRA"/>
    <n v="-233.7"/>
    <x v="1"/>
    <s v="VALE TRANSPORTE"/>
  </r>
  <r>
    <x v="24"/>
    <s v="OUTUBRO"/>
    <s v="HSERV TECNOLOGIA"/>
    <s v="SINDICATO DOS EMP.EM TURISMO E HOPITALIDADE DE SOROCABA-SINDICATO SOROCABA"/>
    <n v="-148.34"/>
    <x v="1"/>
    <s v="SINDICATO"/>
  </r>
  <r>
    <x v="24"/>
    <s v="OUTUBRO"/>
    <s v="HSERV TECNOLOGIA"/>
    <s v="A.D.F ASSESSORIA EM MEDICINA E SEGURANCA DO TRABALHO LTDA-EXAME MEDICO ADMISSIONAL - TIAGO AUGUSTO BOLLA"/>
    <n v="-150"/>
    <x v="1"/>
    <s v="EXAMES MEDICOS"/>
  </r>
  <r>
    <x v="24"/>
    <s v="OUTUBRO"/>
    <s v="HENRIQUE JEAN"/>
    <s v="PATRICIA TORRICELLI SOARES DIAS PRoc 0011282-22.2025.5.15.0097 RECLAMANTE: LUCINEIDE DIAS DA SILVA PARCELA 1/15"/>
    <n v="-1133.3399999999999"/>
    <x v="1"/>
    <s v="ACORDO TRABALHISTA"/>
  </r>
  <r>
    <x v="24"/>
    <s v="OUTUBRO"/>
    <s v="HENRIQUE JEAN"/>
    <s v="SANTOS SEPULVEDA SOCIEDADE INDIVIDUAL DE ADVOCACIA- - PROC 0010895-75.2023.5.15.009-AMANDA BRITO SANTOS PARCELA 6/16"/>
    <n v="-1000"/>
    <x v="1"/>
    <s v="ACORDO TRABALHISTA"/>
  </r>
  <r>
    <x v="29"/>
    <s v="OUTUBRO"/>
    <s v="VITOR DUARTE"/>
    <s v="FABIOLA FARIAS FELIX"/>
    <n v="-5127.8599999999997"/>
    <x v="1"/>
    <s v="RESCISÕES"/>
  </r>
  <r>
    <x v="29"/>
    <s v="OUTUBRO"/>
    <s v="HSERV CABREUVA"/>
    <s v="LOCAWEB- RENOVAÇÃO ANUAL"/>
    <n v="-1154.57"/>
    <x v="1"/>
    <s v="SISTEMA"/>
  </r>
  <r>
    <x v="29"/>
    <s v="OUTUBRO"/>
    <s v="VITOR DUARTE"/>
    <s v="GSSO GESTAO EM SAUDE E SEGURANCA OCUPACIONAL LTDA-EXAME ADMISSIONAL - PATRICIA DANIELA SANT ANA - PAULINIA"/>
    <n v="-107"/>
    <x v="1"/>
    <s v="EXAMES MEDICOS"/>
  </r>
  <r>
    <x v="29"/>
    <s v="OUTUBRO"/>
    <s v="HSERV CLEAN"/>
    <s v="TIAGO PAULO -VEPAKUM"/>
    <n v="-130"/>
    <x v="1"/>
    <s v="VALE TRANSPORTE"/>
  </r>
  <r>
    <x v="29"/>
    <s v="OUTUBRO"/>
    <s v="HSERV COMBINADOS"/>
    <s v="TAMIRES DA SILVA CAPUCHINHO"/>
    <n v="-287.7"/>
    <x v="1"/>
    <s v="VALE TRANSPORTE"/>
  </r>
  <r>
    <x v="29"/>
    <s v="OUTUBRO"/>
    <s v="HSERV TECNOLOGIA"/>
    <s v="QUEILA JESUS BERNARDES DE OLIVEIRA"/>
    <n v="-55"/>
    <x v="1"/>
    <s v="VALE TRANSPORTE"/>
  </r>
  <r>
    <x v="29"/>
    <s v="OUTUBRO"/>
    <s v="HSERV TERCEIRIZADOS"/>
    <s v="ESTER CARDOZO DE LIMA"/>
    <n v="-85"/>
    <x v="1"/>
    <s v="VALE TRANSPORTE"/>
  </r>
  <r>
    <x v="29"/>
    <s v="OUTUBRO"/>
    <s v="VITOR DUARTE"/>
    <s v="JHONY WALLACE GOMES DE OLIVEIRA"/>
    <n v="-115"/>
    <x v="1"/>
    <s v="VALE TRANSPORTE"/>
  </r>
  <r>
    <x v="29"/>
    <s v="OUTUBRO"/>
    <s v="HSERV TERCEIRIZADOS"/>
    <s v="ESCOBRAS INDUSTRIA E COMERCIO DE MAQUINAS LTDA"/>
    <n v="-900"/>
    <x v="1"/>
    <s v="MANUTENÇÃO "/>
  </r>
  <r>
    <x v="25"/>
    <s v="OUTUBRO"/>
    <s v="HSERV LTDA"/>
    <s v="ANTONIA BATISTA DO NASCIMENTO"/>
    <n v="-524.16"/>
    <x v="1"/>
    <s v="RESCISÕES"/>
  </r>
  <r>
    <x v="25"/>
    <s v="OUTUBRO"/>
    <s v="HSERV TERCEIRIZADOS"/>
    <s v="CAIO HENRIQUE ARRUDA DA SILVEIRA"/>
    <n v="-1221.99"/>
    <x v="1"/>
    <s v="RESCISÕES"/>
  </r>
  <r>
    <x v="25"/>
    <s v="OUTUBRO"/>
    <s v="HSERV COMBINADOS"/>
    <s v="WILSON ZANON"/>
    <n v="-1078.6600000000001"/>
    <x v="1"/>
    <s v="RESCISÕES"/>
  </r>
  <r>
    <x v="25"/>
    <s v="OUTUBRO"/>
    <s v="HSERV LTDA"/>
    <s v="PATRICIA DANIELA SANT ANA"/>
    <n v="-18"/>
    <x v="1"/>
    <s v="VALE TRANSPORTE"/>
  </r>
  <r>
    <x v="25"/>
    <s v="OUTUBRO"/>
    <s v="HSERV LTDA"/>
    <s v="PLUXEE BENEFICIOS BRASIL S.A."/>
    <n v="-456.72"/>
    <x v="1"/>
    <s v="VALE ALIMENTAÇÃO"/>
  </r>
  <r>
    <x v="25"/>
    <s v="OUTUBRO"/>
    <s v="HSERV LTDA"/>
    <s v="ROBERLEI DA SILVA PINTO"/>
    <n v="-290.64"/>
    <x v="1"/>
    <s v="VALE ALIMENTAÇÃO"/>
  </r>
  <r>
    <x v="25"/>
    <s v="OUTUBRO"/>
    <s v="HSERV COMBINADOS"/>
    <s v="TATIANE SEIXAS CASTALDO PERICIA Proc 0011252-29.2021.5.15.0096 AUTOR: DANILO MIGUEL DA SILVA MARIANO"/>
    <n v="-1500"/>
    <x v="1"/>
    <s v="ACORDO TRABALHISTA"/>
  </r>
  <r>
    <x v="25"/>
    <s v="OUTUBRO"/>
    <s v="HSERV COMBINADOS"/>
    <s v="GUIA INSS Proc 0011252-29.2021.5.15.0096 AUTOR: DANILO MIGUEL DA SILVA MARIANO"/>
    <n v="-1005.8"/>
    <x v="1"/>
    <s v="ACORDO TRABALHISTA"/>
  </r>
  <r>
    <x v="25"/>
    <s v="OUTUBRO"/>
    <s v="HSERV COMBINADOS"/>
    <s v="GRU CUSTA FINAIS  Proc 0011252-29.2021.5.15.0096 AUTOR: DANILO MIGUEL DA SILVA MARIANO"/>
    <n v="-200"/>
    <x v="1"/>
    <s v="ACORDO TRABALHISTA"/>
  </r>
  <r>
    <x v="25"/>
    <s v="OUTUBRO"/>
    <s v="HSERV COMBINADOS"/>
    <s v="HSERV-PERICIA Proc 0011252-29.2021.5.15.0096 AUTOR: DANILO MIGUEL DA SILVA MARIANO"/>
    <n v="-3000"/>
    <x v="1"/>
    <s v="ACORDO TRABALHISTA"/>
  </r>
  <r>
    <x v="29"/>
    <s v="OUTUBRO"/>
    <s v="HSERV CABREUVA"/>
    <s v="ZAMBONI, SOUSA, CARVALHO &amp; MARIANO --PROC 0012075-66.2022.5.15.0096 -CLAUDIA ARAUJO DOS SANTOS-PARCELA 5/6"/>
    <n v="-10000"/>
    <x v="1"/>
    <s v="ACORDO TRABALHISTA"/>
  </r>
  <r>
    <x v="6"/>
    <s v="OUTUBRO"/>
    <s v="HSERV CABREUVA"/>
    <s v="GABRIEL PEREIRA LAVAR- LAVAGEM DE CARRO-PROVISÃO"/>
    <n v="-2220"/>
    <x v="1"/>
    <s v="MANUTENÇÃO "/>
  </r>
  <r>
    <x v="6"/>
    <s v="OUTUBRO"/>
    <s v="HSERV CABREUVA"/>
    <s v="TIAGO JOSE DE FREITAS OLIVEIRA"/>
    <n v="-3200"/>
    <x v="1"/>
    <s v="ACORDO TRABALHISTA"/>
  </r>
  <r>
    <x v="6"/>
    <s v="OUTUBRO"/>
    <s v="HSERV CABREUVA"/>
    <s v="LUCAS LEONARDO MARQUES DE OLIVEIRA"/>
    <n v="-2000"/>
    <x v="1"/>
    <s v="ACORDO TRABALHISTA"/>
  </r>
  <r>
    <x v="6"/>
    <s v="OUTUBRO"/>
    <s v="HSERV CABREUVA"/>
    <s v="ARAUJO E RIOS ADVOGADOS ASSOCIADOS"/>
    <n v="-3836.54"/>
    <x v="1"/>
    <s v="ACORDO TRABALHISTA"/>
  </r>
  <r>
    <x v="6"/>
    <s v="OUTUBRO"/>
    <s v="HSERV CLEAN"/>
    <s v="ANA PAULA HERKES MARTINS"/>
    <n v="-2500"/>
    <x v="1"/>
    <s v="ACORDO TRABALHISTA"/>
  </r>
  <r>
    <x v="6"/>
    <s v="OUTUBRO"/>
    <s v="HSERV LIMPEZA"/>
    <s v="JUAN PHILIPY STEPHANO AMARO SOCIEDADE INDIVIDUAL DE ADVOCACI"/>
    <n v="-1000"/>
    <x v="1"/>
    <s v="ACORDO TRABALHISTA"/>
  </r>
  <r>
    <x v="6"/>
    <s v="OUTUBRO"/>
    <s v="VITOR DUARTE"/>
    <s v="VALERIA GEOVANNA DOS SANTOS"/>
    <n v="-1916.67"/>
    <x v="1"/>
    <s v="ACORDO TRABALHISTA"/>
  </r>
  <r>
    <x v="6"/>
    <s v="OUTUBRO"/>
    <s v="VITOR DUARTE"/>
    <s v="IVAN MARQUES DOS SANTOS"/>
    <n v="-2907.7"/>
    <x v="1"/>
    <s v="ACORDO TRABALHISTA"/>
  </r>
  <r>
    <x v="6"/>
    <s v="OUTUBRO"/>
    <s v="VITOR DUARTE"/>
    <s v="JURANDIR BAVOSO JUNIOR Proc 0010814-86.2024.5.15.0002 RECLAMANTE: JUAN ERICK REIS DOS SANTOS PARCEL 4/12"/>
    <n v="-2000"/>
    <x v="1"/>
    <s v="ACORDO TRABALHISTA"/>
  </r>
  <r>
    <x v="4"/>
    <s v="NOVEMBRO"/>
    <s v="VITOR DUARTE"/>
    <s v="JURANDIR BAVOSO JUNIOR Proc 0010814-86.2024.5.15.0002 RECLAMANTE: JUAN ERICK REIS DOS SANTOS PARCEL 5/12"/>
    <n v="-2000"/>
    <x v="1"/>
    <s v="ACORDO TRABALHISTA"/>
  </r>
  <r>
    <x v="5"/>
    <s v="DEZEMBRO"/>
    <s v="VITOR DUARTE"/>
    <s v="JURANDIR BAVOSO JUNIOR Proc 0010814-86.2024.5.15.0002 RECLAMANTE: JUAN ERICK REIS DOS SANTOS PARCEL 6/12"/>
    <n v="-2000"/>
    <x v="1"/>
    <s v="ACORDO TRABALHISTA"/>
  </r>
  <r>
    <x v="6"/>
    <s v="OUTUBRO"/>
    <s v="VITOR DUARTE"/>
    <s v="SCHWARTZ E KEDE SOCIEDADE DE ADVOGADOS PROC 0010117-02.2023.5.15.0002  AUTOR: DAIANE OLIVEIRA DIAS DO PRADO  PARCELA 2/16"/>
    <n v="-3933.34"/>
    <x v="1"/>
    <s v="ACORDO TRABALHISTA"/>
  </r>
  <r>
    <x v="4"/>
    <s v="NOVEMBRO"/>
    <s v="VITOR DUARTE"/>
    <s v="SCHWARTZ E KEDE SOCIEDADE DE ADVOGADOS PROC 0010117-02.2023.5.15.0002  AUTOR: DAIANE OLIVEIRA DIAS DO PRADO  PARCELA 3/16"/>
    <n v="-3933.34"/>
    <x v="1"/>
    <s v="ACORDO TRABALHISTA"/>
  </r>
  <r>
    <x v="5"/>
    <s v="DEZEMBRO"/>
    <s v="VITOR DUARTE"/>
    <s v="SCHWARTZ E KEDE SOCIEDADE DE ADVOGADOS PROC 0010117-02.2023.5.15.0002  AUTOR: DAIANE OLIVEIRA DIAS DO PRADO  PARCELA 4/16"/>
    <n v="-3933.34"/>
    <x v="1"/>
    <s v="ACORDO TRABALHISTA"/>
  </r>
  <r>
    <x v="6"/>
    <s v="OUTUBRO"/>
    <s v="HSERV REPRESENTACOES"/>
    <s v="HENRIQUE JOSE APELDORN-Proc 0010836-87.2024.5.15.0021 RECLAMANTE: INGRYD BIANCA OLIVEIRA"/>
    <n v="-1000"/>
    <x v="1"/>
    <s v="ACORDO TRABALHISTA"/>
  </r>
  <r>
    <x v="6"/>
    <s v="OUTUBRO"/>
    <s v="HSERV CABREUVA"/>
    <s v="FERNANDO APARECIDO DOS SANTOS Proc 0013031-54.2024.5.15.0018 RECLAMANTE: MANOEL ROBERTO DE SOUSA  PARCELA 4/17"/>
    <n v="-3000"/>
    <x v="1"/>
    <s v="ACORDO TRABALHISTA"/>
  </r>
  <r>
    <x v="4"/>
    <s v="NOVEMBRO"/>
    <s v="HSERV CABREUVA"/>
    <s v="FERNANDO APARECIDO DOS SANTOS Proc 0013031-54.2024.5.15.0018 RECLAMANTE: MANOEL ROBERTO DE SOUSA  PARCELA 5/17"/>
    <n v="-3000"/>
    <x v="1"/>
    <s v="ACORDO TRABALHISTA"/>
  </r>
  <r>
    <x v="5"/>
    <s v="DEZEMBRO"/>
    <s v="HSERV CABREUVA"/>
    <s v="FERNANDO APARECIDO DOS SANTOS Proc 0013031-54.2024.5.15.0018 RECLAMANTE: MANOEL ROBERTO DE SOUSA  PARCELA 6/17"/>
    <n v="-3000"/>
    <x v="1"/>
    <s v="ACORDO TRABALHISTA"/>
  </r>
  <r>
    <x v="8"/>
    <s v="NOVEMBRO"/>
    <s v="HSERV CLEAN"/>
    <s v="J.E. COMERCIO E SOLUCOES LTDA-VENCIMENTO 30/10/2025"/>
    <n v="-278"/>
    <x v="1"/>
    <s v="MERCADORIA PARA REVENDA"/>
  </r>
  <r>
    <x v="6"/>
    <s v="OUTUBRO"/>
    <s v="VITOR DUARTE"/>
    <s v="ALTOLIM COMERCIAL ASSIS EIRELI - -VENCIMENTO 30/10/2025"/>
    <n v="-107.14"/>
    <x v="1"/>
    <s v="MERCADORIA PARA REVENDA"/>
  </r>
  <r>
    <x v="8"/>
    <s v="NOVEMBRO"/>
    <s v="HENRIQUE JEAN"/>
    <s v="SIND DAS EMP DE PREST DE SER T C A M O T T NO E DE SP"/>
    <n v="-630"/>
    <x v="1"/>
    <s v="SINDICATO"/>
  </r>
  <r>
    <x v="6"/>
    <s v="OUTUBRO"/>
    <s v="VITOR DUARTE"/>
    <s v="QUEILA JESUS BERNARDES DE OLIVEIRA- FÉRIAS"/>
    <n v="-2625"/>
    <x v="1"/>
    <s v="FÉRIAS"/>
  </r>
  <r>
    <x v="6"/>
    <s v="OUTUBRO"/>
    <s v="HENRIQUE JEAN"/>
    <s v="PATRICIA TORRICELLI SOARES DIASRoc 0011282-22.2025.5.15.0097 RECLAMANTE: LUCINEIDE DIAS DA SILVA PARCELA 2/15"/>
    <n v="-1133.3399999999999"/>
    <x v="1"/>
    <s v="ACORDO TRABALHISTA"/>
  </r>
  <r>
    <x v="6"/>
    <s v="OUTUBRO"/>
    <s v="VITOR DUARTE"/>
    <s v="LUAN VIEIRA BARRETO"/>
    <n v="-1400"/>
    <x v="1"/>
    <s v="ACORDO TRABALHISTA"/>
  </r>
  <r>
    <x v="24"/>
    <s v="OUTUBRO"/>
    <s v="HSERV CLEAN"/>
    <s v="SPARTAN DO BRASIL PRODUTOS QUIMICOS LTDA"/>
    <n v="-4499.6400000000003"/>
    <x v="1"/>
    <s v="MERCADORIAS PARA REVENDA"/>
  </r>
  <r>
    <x v="24"/>
    <s v="OUTUBRO"/>
    <s v="HSERV CLEAN"/>
    <s v="RSC COM. MAT.P/ CONSTRUCAO LTDA."/>
    <n v="-142.46"/>
    <x v="1"/>
    <s v="MANUTENÇÃO "/>
  </r>
  <r>
    <x v="24"/>
    <s v="OUTUBRO"/>
    <s v="HSERV TERCEIRIZADOS"/>
    <s v="LOTUS CENTRAL DE DISTRIBUICAO DE HIGIENICOS LTDA"/>
    <n v="-828.5"/>
    <x v="1"/>
    <s v="MERCADORIAS PARA REVENDA"/>
  </r>
  <r>
    <x v="24"/>
    <s v="OUTUBRO"/>
    <s v="VITOR DUARTE"/>
    <s v="RESOLVE ALIMENTACAO LTDA"/>
    <n v="-712.59"/>
    <x v="1"/>
    <s v="VALE ALIMENTAÇAO"/>
  </r>
  <r>
    <x v="24"/>
    <s v="OUTUBRO"/>
    <s v="HSERV TERCEIRIZADOS"/>
    <s v="WIG COMERCIO DE BATERIAS COMPONENTES LTDA"/>
    <n v="-905.8"/>
    <x v="1"/>
    <s v="MANUTENÇÃO "/>
  </r>
  <r>
    <x v="41"/>
    <s v="OUTUBRO"/>
    <s v="HSERV TECNOLOGIA"/>
    <s v="A.D.F ASSESSORIA EM MEDICINA E SEGURANCA DO TRABALHO LTDA"/>
    <n v="-150"/>
    <x v="1"/>
    <s v="EXAMES MEDICOS"/>
  </r>
  <r>
    <x v="24"/>
    <s v="OUTUBRO"/>
    <s v="VITOR DUARTE"/>
    <s v="L. A. DE SOUZA - EQUIPAMENTOS DE SEGURANCA LTDA"/>
    <n v="-384.4"/>
    <x v="1"/>
    <s v="UNIFORMES "/>
  </r>
  <r>
    <x v="41"/>
    <s v="OUTUBRO"/>
    <s v="HSERV COMBINADOS"/>
    <s v="SIDNEI FEITOSA GOMES"/>
    <n v="-140.6"/>
    <x v="1"/>
    <s v="VALE TRANSPORTE"/>
  </r>
  <r>
    <x v="41"/>
    <s v="OUTUBRO"/>
    <s v="VITOR DUARTE"/>
    <s v="IFOOD.COM AGENCIA DE RESTAURANTES ONLINE S.A.VALE COMBUSTIVEL GUSTAVO LOJA 12"/>
    <n v="-224.2"/>
    <x v="1"/>
    <s v="VALE COMBUSTIVEL"/>
  </r>
  <r>
    <x v="41"/>
    <s v="OUTUBRO"/>
    <s v="VITOR DUARTE"/>
    <s v="IFOOD.COM AGENCIA DE RESTAURANTES ONLINE S.A.-DONA AIDE PREFEITURA"/>
    <n v="-185"/>
    <x v="1"/>
    <s v="VALE COMBUSTIVEL"/>
  </r>
  <r>
    <x v="6"/>
    <s v="OUTUBRO"/>
    <s v="HSERV COMBINADOS"/>
    <s v="CLAUDIO DEL DUCA- REEMBOLSO DE DESPESAS-ALMOÇO BOA, KM VISITA PREFEITURA E VETTOR, ESTACIONAMENTO DIA 01/10, ASSINTURA BRITIX E  E DIARIAS DO DIA 08,16,22 E 29/09"/>
    <n v="-1866.46"/>
    <x v="1"/>
    <s v="REEMBOLSO DE DESPESAS"/>
  </r>
  <r>
    <x v="41"/>
    <s v="OUTUBRO"/>
    <s v="HSERV REPRESENTACOES"/>
    <s v="OKUYAMA &amp; ALVES SOCIEDADE DE ADVOGADOSS - PROC 0012457-65.2023.5.15.0018 -JESSICA BARROS DOS SANTO PARCELA 6/8"/>
    <n v="-2000"/>
    <x v="1"/>
    <s v="ACORDO TRABALHISTA"/>
  </r>
  <r>
    <x v="29"/>
    <s v="OUTUBRO"/>
    <s v="HSERV REPRESENTACOES"/>
    <s v="OKUYAMA &amp; ALVES SOCIEDADE DE ADVOGADOS- PROC 0012465-42.2023.5.15.0018-PROC GENILDA MARIA DA SILVA PARCELA 6/8"/>
    <n v="-2000"/>
    <x v="1"/>
    <s v="ACORDO TRABALHISTA"/>
  </r>
  <r>
    <x v="23"/>
    <s v="OUTUBRO"/>
    <s v="HSERV COMBINADOS"/>
    <s v="DAMIAO BERNARDO DA SILVA"/>
    <n v="-469.2"/>
    <x v="1"/>
    <s v="VALE TRANSPORTE"/>
  </r>
  <r>
    <x v="23"/>
    <s v="OUTUBRO"/>
    <s v="HSERV COMBINADOS"/>
    <s v="MARIA ISABELE CELESTE DUARTE"/>
    <n v="-306.8"/>
    <x v="1"/>
    <s v="VALE TRANSPORTE"/>
  </r>
  <r>
    <x v="23"/>
    <s v="OUTUBRO"/>
    <s v="HSERV COMBINADOS"/>
    <s v="ROSANGELA MARIA CALO"/>
    <n v="-306.8"/>
    <x v="1"/>
    <s v="VALE TRANSPORTE"/>
  </r>
  <r>
    <x v="23"/>
    <s v="OUTUBRO"/>
    <s v="VITOR DUARTE"/>
    <s v="CATIA GUIMARAES DE SOUZA-VALE ALIMENTAÇÃO DO DIA 26/09 AO DIA 30/09 R$20,76  POR DIA"/>
    <n v="-62.28"/>
    <x v="1"/>
    <s v="VALE ALIMENTAÇAO"/>
  </r>
  <r>
    <x v="23"/>
    <s v="OUTUBRO"/>
    <s v="HSERV CLEAN"/>
    <s v="JOAO ORLANDO GASPARETO"/>
    <n v="-100"/>
    <x v="1"/>
    <s v="VALE TRANSPORTE"/>
  </r>
  <r>
    <x v="23"/>
    <s v="OUTUBRO"/>
    <s v="HSERV COMBINADOS"/>
    <s v="PRISCILA DE JESUS RIBEIRO"/>
    <n v="-116.4"/>
    <x v="1"/>
    <s v="VALE TRANSPORTE"/>
  </r>
  <r>
    <x v="23"/>
    <s v="OUTUBRO"/>
    <s v="HSERV CABREUVA"/>
    <s v="RAPIDO LUXO CAMPINAS LTDA"/>
    <n v="-337.84"/>
    <x v="1"/>
    <s v="VALE TRANSPORTE"/>
  </r>
  <r>
    <x v="23"/>
    <s v="OUTUBRO"/>
    <s v="HENRIQUE JEAN"/>
    <s v="MARIA DELAIDE DA SILVA OLIVEIRA"/>
    <n v="-1263.33"/>
    <x v="1"/>
    <s v="RESCISÕES"/>
  </r>
  <r>
    <x v="23"/>
    <s v="OUTUBRO"/>
    <s v="HSERV TECNOLOGIA"/>
    <s v="ROSANGELA FREIRE DE MATOS ARAUJO"/>
    <n v="-593.25"/>
    <x v="1"/>
    <s v="RESCISÕES"/>
  </r>
  <r>
    <x v="23"/>
    <s v="OUTUBRO"/>
    <s v="VITOR DUARTE"/>
    <s v="ROGERIO MAZZA TROISE -Proc 0011590-34.2021.5.15.0021 AUTOR: MARIA ANA ALVES DE OLIVEIRA "/>
    <n v="-1848.63"/>
    <x v="1"/>
    <s v="ACORDO TRABALHISTA"/>
  </r>
  <r>
    <x v="23"/>
    <s v="OUTUBRO"/>
    <s v="HSERV TERCEIRIZADOS"/>
    <s v="LOTUS CENTRAL DE DISTRIBUICAO DE HIGIENICOS LTDA - NF 217.959"/>
    <n v="-985.45"/>
    <x v="1"/>
    <s v="MERCADORIA PARA REVENDA"/>
  </r>
  <r>
    <x v="23"/>
    <s v="OUTUBRO"/>
    <s v="VITOR DUARTE"/>
    <s v="TADIM NEVES SOCIEDADE INDIVIDUAL DE ADVOCACIA -PROC  - 0012114-44.2023.5.15.0188-ADILIO SANTOS SOUZA PARCELA 8/8"/>
    <n v="-1848.63"/>
    <x v="1"/>
    <s v="ACORDO TRABALHISTA"/>
  </r>
  <r>
    <x v="22"/>
    <s v="NOVEMBRO"/>
    <s v="HENRIQUE JEAN"/>
    <s v="ADRIANA ALVES"/>
    <n v="-2187.31"/>
    <x v="1"/>
    <s v="FÉRIAS"/>
  </r>
  <r>
    <x v="22"/>
    <s v="NOVEMBRO"/>
    <s v="HENRIQUE JEAN"/>
    <s v="KEMELLY THAIS TERTULIANO DE OLIVEIRA"/>
    <n v="-2222.06"/>
    <x v="1"/>
    <s v="FÉRIAS"/>
  </r>
  <r>
    <x v="22"/>
    <s v="NOVEMBRO"/>
    <s v="HENRIQUE JEAN"/>
    <s v="ROSANGELA DA SILVA"/>
    <n v="-2198.9"/>
    <x v="1"/>
    <s v="FÉRIAS"/>
  </r>
  <r>
    <x v="22"/>
    <s v="NOVEMBRO"/>
    <s v="HENRIQUE JEAN"/>
    <s v="CASSIA REGINA MARTINS AMARAL"/>
    <n v="-2164.1799999999998"/>
    <x v="1"/>
    <s v="FÉRIAS"/>
  </r>
  <r>
    <x v="22"/>
    <s v="NOVEMBRO"/>
    <s v="HENRIQUE JEAN"/>
    <s v="MARIA DAS DORES DA CONCEICAO"/>
    <n v="-1708.12"/>
    <x v="1"/>
    <s v="FÉRIAS"/>
  </r>
  <r>
    <x v="22"/>
    <s v="NOVEMBRO"/>
    <s v="HSERV CABREUVA"/>
    <s v="WENDRES BRAZ RODRIGUES"/>
    <n v="-2616.37"/>
    <x v="1"/>
    <s v="FÉRIAS"/>
  </r>
  <r>
    <x v="22"/>
    <s v="NOVEMBRO"/>
    <s v="HSERV CABREUVA"/>
    <s v="FLAVIA PATRICIA SILVA DE LIMA"/>
    <n v="-2358.9499999999998"/>
    <x v="1"/>
    <s v="FÉRIAS"/>
  </r>
  <r>
    <x v="22"/>
    <s v="NOVEMBRO"/>
    <s v="HSERV COMBINADOS"/>
    <s v="FRANCISCA AQUINO MARCOS DOS SANTOS"/>
    <n v="-2186.06"/>
    <x v="1"/>
    <s v="FÉRIAS"/>
  </r>
  <r>
    <x v="22"/>
    <s v="NOVEMBRO"/>
    <s v="HSERV LIMPEZA"/>
    <s v="MARCOS DA SILVA"/>
    <n v="-2137.1799999999998"/>
    <x v="1"/>
    <s v="FÉRIAS"/>
  </r>
  <r>
    <x v="22"/>
    <s v="NOVEMBRO"/>
    <s v="HSERV LIMPEZA"/>
    <s v="JULIANA LEME DO PRADO"/>
    <n v="-712.39"/>
    <x v="1"/>
    <s v="FÉRIAS"/>
  </r>
  <r>
    <x v="22"/>
    <s v="NOVEMBRO"/>
    <s v="HSERV REPRESENTACOES"/>
    <s v="THALYTA ALONSO DA COSTA"/>
    <n v="-2548.35"/>
    <x v="1"/>
    <s v="FÉRIAS"/>
  </r>
  <r>
    <x v="22"/>
    <s v="NOVEMBRO"/>
    <s v="HSERV TECNOLOGIA"/>
    <s v="MARIA ISABEL FERNANDES DE SOUZA"/>
    <n v="-2197.1799999999998"/>
    <x v="1"/>
    <s v="FÉRIAS"/>
  </r>
  <r>
    <x v="22"/>
    <s v="NOVEMBRO"/>
    <s v="HSERV TECNOLOGIA"/>
    <s v="LUCELIA APARECIDA RODRIGUES"/>
    <n v="-2175.73"/>
    <x v="1"/>
    <s v="FÉRIAS"/>
  </r>
  <r>
    <x v="22"/>
    <s v="NOVEMBRO"/>
    <s v="HSERV TECNOLOGIA"/>
    <s v="LUCIENE DA SILVA"/>
    <n v="-2198.89"/>
    <x v="1"/>
    <s v="FÉRIAS"/>
  </r>
  <r>
    <x v="22"/>
    <s v="NOVEMBRO"/>
    <s v="HSERV TECNOLOGIA"/>
    <s v="ROZANGELA LEITE SILVA"/>
    <n v="-1890.19"/>
    <x v="1"/>
    <s v="FÉRIAS"/>
  </r>
  <r>
    <x v="22"/>
    <s v="NOVEMBRO"/>
    <s v="HSERV TERCEIRIZADOS"/>
    <s v="AIDE ZORAIDE RONDAO"/>
    <n v="-2106.31"/>
    <x v="1"/>
    <s v="FÉRIAS"/>
  </r>
  <r>
    <x v="22"/>
    <s v="NOVEMBRO"/>
    <s v="HSERV TERCEIRIZADOS"/>
    <s v="ESTER CARDOZO DE LIMA"/>
    <n v="-3245.39"/>
    <x v="1"/>
    <s v="FÉRIAS"/>
  </r>
  <r>
    <x v="22"/>
    <s v="NOVEMBRO"/>
    <s v="HSERV CABREUVA"/>
    <s v="ELEKTRO SALA 16"/>
    <n v="-315.63"/>
    <x v="1"/>
    <s v="ENERGIA ELETRICA"/>
  </r>
  <r>
    <x v="22"/>
    <s v="NOVEMBRO"/>
    <s v="HSERV CABREUVA"/>
    <s v="ELEKTRO SALA 17"/>
    <n v="-240.76"/>
    <x v="1"/>
    <s v="ENERGIA ELETRICA"/>
  </r>
  <r>
    <x v="22"/>
    <s v="NOVEMBRO"/>
    <s v="HSERV CABREUVA"/>
    <s v="ELEKTRO SALA 18"/>
    <n v="-186.6"/>
    <x v="1"/>
    <s v="ENERGIA ELETRICA"/>
  </r>
  <r>
    <x v="22"/>
    <s v="NOVEMBRO"/>
    <s v="HSERV CABREUVA"/>
    <s v="ELEKTRO LOJA CLEAN"/>
    <n v="-210.81"/>
    <x v="1"/>
    <s v="ENERGIA ELETRICA"/>
  </r>
  <r>
    <x v="8"/>
    <s v="NOVEMBRO"/>
    <s v="HSERV COMBINADOS "/>
    <s v="CAIXINHA OPERACIONAL - OSSIRES"/>
    <n v="-2000"/>
    <x v="1"/>
    <s v="CAIXINHA"/>
  </r>
  <r>
    <x v="8"/>
    <s v="NOVEMBRO"/>
    <s v="HSERV COMBINADOS "/>
    <s v="CAIXINHA OPERACIONAL "/>
    <n v="-5000"/>
    <x v="1"/>
    <s v="CAIXINHA"/>
  </r>
  <r>
    <x v="8"/>
    <s v="NOVEMBRO"/>
    <s v="VITOR DUARTE"/>
    <s v="VIVA FOOD R E LTDA"/>
    <n v="-13041.15"/>
    <x v="1"/>
    <s v="VALE ALIMENTAÇÃO"/>
  </r>
  <r>
    <x v="39"/>
    <s v="NOVEMBRO"/>
    <s v="HSERV COMBINADOS"/>
    <s v="LOCALIZA FLEET S.A. PRORROGADA PARA O DIA 24/11/2025-AVARIAS"/>
    <n v="-8680.1200000000008"/>
    <x v="1"/>
    <s v="ALUGUEL DE VEICULOS"/>
  </r>
  <r>
    <x v="22"/>
    <s v="NOVEMBRO"/>
    <s v="HSERV TERCEIRIZADOS"/>
    <s v="MOVIDA PARTICIPACOES S.A. FATURA  07422879 -Placa: SVQ7D60 "/>
    <n v="-293.45999999999998"/>
    <x v="1"/>
    <s v="ALUGUEL DE VEICULOS"/>
  </r>
  <r>
    <x v="22"/>
    <s v="NOVEMBRO"/>
    <s v="HSERV TERCEIRIZADOS"/>
    <s v="MOVIDA PARTICIPACOES S.A - FATURA 07422878 -Placa: SVQ7D60 -  "/>
    <n v="-195.23"/>
    <x v="1"/>
    <s v="ALUGUEL DE VEICULOS"/>
  </r>
  <r>
    <x v="22"/>
    <s v="NOVEMBRO"/>
    <s v="HENRIQUE JEAN"/>
    <s v="PASSOS SAUDE OCUPACIONAL LTDA-EXAMES MEDICOS - SIMONE APARECIDA DOS SANTOS - OURINHOS "/>
    <n v="-115"/>
    <x v="1"/>
    <s v="EXAMES MEDICOS"/>
  </r>
  <r>
    <x v="22"/>
    <s v="NOVEMBRO"/>
    <s v="HSERV CABREUVA"/>
    <s v="ALINE CAMOLEZ SOARES ISCARO-RENAN GUSTAVO DA COSTA MOTA - Proc 0011848-82.2023.5.15.0018  HSERV CABREUVA - SERVIÇOS E COMÉRCIO LTDA PARCELA 2/9"/>
    <n v="-2000"/>
    <x v="1"/>
    <s v="ACORDO TRABALHISTA"/>
  </r>
  <r>
    <x v="42"/>
    <s v="DEZEMBRO"/>
    <s v="HSERV CABREUVA"/>
    <s v="ALINE CAMOLEZ SOARES ISCARO-RENAN GUSTAVO DA COSTA MOTA - Proc 0011848-82.2023.5.15.0018  HSERV CABREUVA - SERVIÇOS E COMÉRCIO LTDA PARCELA 3/9"/>
    <n v="-2000"/>
    <x v="1"/>
    <s v="ACORDO TRABALHISTA"/>
  </r>
  <r>
    <x v="42"/>
    <s v="DEZEMBRO"/>
    <s v="HSERV CLEAN"/>
    <s v="BANCO SAFRA S A-TARIFA BANCARIA"/>
    <n v="-279"/>
    <x v="1"/>
    <s v="TARIFA BANCARIA"/>
  </r>
  <r>
    <x v="22"/>
    <s v="NOVEMBRO"/>
    <s v="HSERV COMBINADOS"/>
    <s v="SANDRA REGINA BATISTA"/>
    <n v="-16.13"/>
    <x v="1"/>
    <s v="RESCISÕES"/>
  </r>
  <r>
    <x v="22"/>
    <s v="NOVEMBRO"/>
    <s v="HSERV COMBINADOS"/>
    <s v="LUCILENE TORRES GALINDO"/>
    <n v="-4.57"/>
    <x v="1"/>
    <s v="RESCISÕES"/>
  </r>
  <r>
    <x v="22"/>
    <s v="NOVEMBRO"/>
    <s v="HSERV CABREUVA"/>
    <s v="ALEXANDRA SILVA DE LIMA"/>
    <n v="-275"/>
    <x v="1"/>
    <s v="VALE TRANSPORTE"/>
  </r>
  <r>
    <x v="22"/>
    <s v="NOVEMBRO"/>
    <s v="HSERV COMBINADOS"/>
    <s v="ELIZABETE ROZE DE PAULA"/>
    <n v="-295"/>
    <x v="1"/>
    <s v="VALE TRANSPORTE"/>
  </r>
  <r>
    <x v="22"/>
    <s v="NOVEMBRO"/>
    <s v="HSERV COMBINADOS"/>
    <s v="ANGELO TELES SILVA"/>
    <n v="-113.5"/>
    <x v="1"/>
    <s v="VALE TRANSPORTE"/>
  </r>
  <r>
    <x v="22"/>
    <s v="NOVEMBRO"/>
    <s v="HSERV COMBINADOS"/>
    <s v="NALANDA DE SOUZA MATOS"/>
    <n v="-200"/>
    <x v="1"/>
    <s v="VALE TRANSPORTE"/>
  </r>
  <r>
    <x v="22"/>
    <s v="NOVEMBRO"/>
    <s v="HSERV LTDA"/>
    <s v="LAURA SAFI FREIRE"/>
    <n v="-171.5"/>
    <x v="1"/>
    <s v="VALE TRANSPORTE"/>
  </r>
  <r>
    <x v="22"/>
    <s v="NOVEMBRO"/>
    <s v="HSERV LTDA"/>
    <s v="NILTON LEPORES"/>
    <n v="-61.5"/>
    <x v="1"/>
    <s v="VALE TRANSPORTE"/>
  </r>
  <r>
    <x v="22"/>
    <s v="NOVEMBRO"/>
    <s v="HSERV TECNOLOGIA"/>
    <s v="ANDREA FARIAS RIBEIRO PEREIRA"/>
    <n v="-420"/>
    <x v="1"/>
    <s v="VALE TRANSPORTE"/>
  </r>
  <r>
    <x v="22"/>
    <s v="NOVEMBRO"/>
    <s v="HENRIQUE JEAN"/>
    <s v="FGTS EM ATRASO 02/2023 - MICHAEL NOVAES DE FRANCA"/>
    <n v="-185.64"/>
    <x v="1"/>
    <s v="IMPOSTO"/>
  </r>
  <r>
    <x v="22"/>
    <s v="NOVEMBRO"/>
    <s v="HENRIQUE JEAN"/>
    <s v="FGTS EM ATRASO 12/2022 - MICHAEL NOVAES DE FRANCA"/>
    <n v="-187.66"/>
    <x v="1"/>
    <s v="IMPOSTO"/>
  </r>
  <r>
    <x v="22"/>
    <s v="NOVEMBRO"/>
    <s v="HENRIQUE JEAN"/>
    <s v="FGTS EM ATRASO 07/2025 - MICHAEL NOVAES DE FRANCA"/>
    <n v="-180.38"/>
    <x v="1"/>
    <s v="IMPOSTO"/>
  </r>
  <r>
    <x v="22"/>
    <s v="NOVEMBRO"/>
    <s v="HENRIQUE JEAN"/>
    <s v="FGTS EM ATRASO 10/2023 - MICHAEL NOVAES DE FRANCA"/>
    <n v="-177.41"/>
    <x v="1"/>
    <s v="IMPOSTO"/>
  </r>
  <r>
    <x v="22"/>
    <s v="NOVEMBRO"/>
    <s v="HENRIQUE JEAN"/>
    <s v="FGTS EM ATRASO 11/2022 - MICHAEL NOVAES DE FRANCA"/>
    <n v="-188.8"/>
    <x v="1"/>
    <s v="IMPOSTO"/>
  </r>
  <r>
    <x v="22"/>
    <s v="NOVEMBRO"/>
    <s v="HENRIQUE JEAN"/>
    <s v="FGTS EM ATRASO 08/2023 - MICHAEL NOVAES DE FRANCA"/>
    <n v="-179.26"/>
    <x v="1"/>
    <s v="IMPOSTO"/>
  </r>
  <r>
    <x v="22"/>
    <s v="NOVEMBRO"/>
    <s v="HENRIQUE JEAN"/>
    <s v="FGTS EM ATRASO 09/2023 - MICHAEL NOVAES DE FRANCA"/>
    <n v="-178.32"/>
    <x v="1"/>
    <s v="IMPOSTO"/>
  </r>
  <r>
    <x v="22"/>
    <s v="NOVEMBRO"/>
    <s v="HENRIQUE JEAN"/>
    <s v="FGTS EM ATRASO 12/2023 - MICHAEL NOVAES DE FRANCA"/>
    <n v="-175.69"/>
    <x v="1"/>
    <s v="IMPOSTO"/>
  </r>
  <r>
    <x v="22"/>
    <s v="NOVEMBRO"/>
    <s v="HENRIQUE JEAN"/>
    <s v="FGTS EM ATRASO 04/2023- MICHAEL NOVAES DE FRANCA"/>
    <n v="-183.57"/>
    <x v="1"/>
    <s v="IMPOSTO"/>
  </r>
  <r>
    <x v="22"/>
    <s v="NOVEMBRO"/>
    <s v="HENRIQUE JEAN"/>
    <s v="FGTS EM ATRASO 11/2023- MICHAEL NOVAES DE FRANCA"/>
    <n v="-176.53"/>
    <x v="1"/>
    <s v="IMPOSTO"/>
  </r>
  <r>
    <x v="22"/>
    <s v="NOVEMBRO"/>
    <s v="HSERV LTDA"/>
    <s v="INFOJOBS BRASIL ATIVIDADES DE INTERNET LTDA."/>
    <n v="-1846.33"/>
    <x v="1"/>
    <s v="RECRUTAMENTO E SELEÇÃO"/>
  </r>
  <r>
    <x v="42"/>
    <s v="DEZEMBRO"/>
    <s v="VITOR DUARTE"/>
    <s v="INFOJOBS BRASIL ATIVIDADES DE INTERNET LTDA."/>
    <n v="-1846.33"/>
    <x v="1"/>
    <s v="RECRUTAMENTO E SELEÇÃO"/>
  </r>
  <r>
    <x v="22"/>
    <s v="NOVEMBRO"/>
    <s v="HSERV TERCEIRIZADOS ND"/>
    <s v="_x0009_ENCARGOS LIMITE DE CRED- HSERV TERCERIZADOS BRADESCO "/>
    <n v="-971.84"/>
    <x v="1"/>
    <s v="ENCARGOS"/>
  </r>
  <r>
    <x v="38"/>
    <s v="NOVEMBRO"/>
    <s v="HSERV CABREUVA"/>
    <s v="BANCO ITAUCARD S.A.- "/>
    <n v="-3809.98"/>
    <x v="1"/>
    <s v="FINANCIAMENTO"/>
  </r>
  <r>
    <x v="21"/>
    <s v="NOVEMBRO"/>
    <s v="HSERV TERCEIRIZADOS"/>
    <s v="LOTUS CENTRAL DE DISTRIBUICAO DE HIGIENICOS LTDA"/>
    <n v="-834.01"/>
    <x v="1"/>
    <s v="MERCADORIAS PARA REVENDA"/>
  </r>
  <r>
    <x v="38"/>
    <s v="NOVEMBRO"/>
    <s v="HSERV COMBINADOS"/>
    <s v="LEONE PEREIRA BOSCATTI"/>
    <n v="-186"/>
    <x v="1"/>
    <s v="VALE TRANSPORTE"/>
  </r>
  <r>
    <x v="38"/>
    <s v="NOVEMBRO"/>
    <s v="HSERV COMBINADOS"/>
    <s v="ADENILZA MENDONCA DOS SANTOS"/>
    <n v="-184.5"/>
    <x v="1"/>
    <s v="VALE TRANSPORTE"/>
  </r>
  <r>
    <x v="38"/>
    <s v="NOVEMBRO"/>
    <s v="HSERV COMBINADOS"/>
    <s v="MARIA SILVIA SANTOS DA PAIXAO SOUZA"/>
    <n v="-349.5"/>
    <x v="1"/>
    <s v="VALE TRANSPORTE"/>
  </r>
  <r>
    <x v="38"/>
    <s v="NOVEMBRO"/>
    <s v="HSERV COMBINADOS"/>
    <s v="OSMIRA DOMINGOS MASSA"/>
    <n v="-90.3"/>
    <x v="1"/>
    <s v="VALE TRANSPORTE"/>
  </r>
  <r>
    <x v="38"/>
    <s v="NOVEMBRO"/>
    <s v="HSERV TERCEIRIZADOS"/>
    <s v="LOTUS CENTRAL DE DISTRIBUICAO DE HIGIENICOS LTDA"/>
    <n v="-2367.3597629999999"/>
    <x v="1"/>
    <s v="MERCADORIAS PARA REVENDA"/>
  </r>
  <r>
    <x v="38"/>
    <s v="NOVEMBRO"/>
    <s v="HSERV CABREUVA"/>
    <s v="TAR PLANO ADAPT 3"/>
    <n v="-349"/>
    <x v="1"/>
    <s v="TARIFA BANCARIA"/>
  </r>
  <r>
    <x v="38"/>
    <s v="NOVEMBRO"/>
    <s v="HSERV TERCERIZADOS"/>
    <s v="TAR PLANO ADAPT 3"/>
    <n v="-389"/>
    <x v="1"/>
    <s v="TARIFA BANCARIA"/>
  </r>
  <r>
    <x v="38"/>
    <s v="NOVEMBRO"/>
    <s v="HSERV COMBINADOS"/>
    <s v="TAR PLANO ADAPT 3"/>
    <n v="-349"/>
    <x v="1"/>
    <s v="TARIFA BANCARIA"/>
  </r>
  <r>
    <x v="38"/>
    <s v="NOVEMBRO"/>
    <s v="HENRIQUE JEAN"/>
    <s v="TAR PLANO ADAPT 3"/>
    <n v="-349"/>
    <x v="1"/>
    <s v="TARIFA BANCARIA"/>
  </r>
  <r>
    <x v="36"/>
    <s v="NOVEMBRO"/>
    <s v="VITOR DUARTE"/>
    <s v="ALTOLIM COMERCIAL ASSIS EIRELI - ME"/>
    <n v="-11.459645999999999"/>
    <x v="1"/>
    <s v="MERCADORIA PARA REVENDA"/>
  </r>
  <r>
    <x v="36"/>
    <s v="NOVEMBRO"/>
    <s v="VITOR DUARTE"/>
    <s v="ALTOLIM COMERCIAL ASSIS EIRELI - ME"/>
    <n v="-91.450354000000004"/>
    <x v="1"/>
    <s v="MERCADORIA PARA REVENDA"/>
  </r>
  <r>
    <x v="38"/>
    <s v="NOVEMBRO"/>
    <s v="HSERV LIMPEZA"/>
    <s v="TAR PLANO ADAPT 3"/>
    <n v="-389"/>
    <x v="1"/>
    <s v="TARIFA BANCARIA"/>
  </r>
  <r>
    <x v="38"/>
    <s v="NOVEMBRO"/>
    <s v="HSERV REPRESENTAÇÃO"/>
    <s v="TAR PLANO ADAPT 3"/>
    <n v="-389"/>
    <x v="1"/>
    <s v="TARIFA BANCARIA"/>
  </r>
  <r>
    <x v="21"/>
    <s v="NOVEMBRO"/>
    <s v="HSERV CLEAN"/>
    <s v="SPARTAN DO BRASIL PRODUTOS QUIMICOS LTDA"/>
    <n v="-4057.41"/>
    <x v="1"/>
    <s v="MERCADORIAS PARA REVENDA"/>
  </r>
  <r>
    <x v="21"/>
    <s v="NOVEMBRO"/>
    <s v="HSERV COMBINADOS"/>
    <s v="ALFA CONSULTORIA ESPECIALIZADA LTDA-EXAMES MEDICOS - SOROCABA - MICHELE CRISTINA/ ROSEANE ROA/ THIAGO GLEISON/ GERLAINE DA SILVA/ DENILSON APARECIDO/ WILSON ZANON/"/>
    <n v="-45"/>
    <x v="1"/>
    <s v="EXAMES MEDICOS"/>
  </r>
  <r>
    <x v="21"/>
    <s v="NOVEMBRO"/>
    <s v="HSERV TERCEIRIZADOS"/>
    <s v="STAR CLEAN PRO INDUSTRIA E COMERCIO DE EQUIPAMENTOS DE LIMPE"/>
    <n v="-643.75984300000005"/>
    <x v="1"/>
    <s v="MERCADORIAS PARA REVENDA"/>
  </r>
  <r>
    <x v="21"/>
    <s v="NOVEMBRO"/>
    <s v="HSERV COMBINADOS"/>
    <s v="GIANE GOULARTE DE MORAES MACEDO"/>
    <n v="-118"/>
    <x v="1"/>
    <s v="VALE TRANSPORTE"/>
  </r>
  <r>
    <x v="21"/>
    <s v="NOVEMBRO"/>
    <s v="HSERV COMBINADOS"/>
    <s v="INGRID DAIANE DOS SANTOS"/>
    <n v="-118"/>
    <x v="1"/>
    <s v="VALE TRANSPORTE"/>
  </r>
  <r>
    <x v="21"/>
    <s v="NOVEMBRO"/>
    <s v="HSERV COMBINADOS"/>
    <s v="ANA CLAUDIA XAVIER DA SILVEIRA BATISTA"/>
    <n v="-118"/>
    <x v="1"/>
    <s v="VALE TRANSPORTE"/>
  </r>
  <r>
    <x v="21"/>
    <s v="NOVEMBRO"/>
    <s v="HSERV LTDA"/>
    <s v="GIRLENE DOS SANTOS OLIVEIRA"/>
    <n v="-86.1"/>
    <x v="1"/>
    <s v="VALE TRANSPORTE"/>
  </r>
  <r>
    <x v="21"/>
    <s v="NOVEMBRO"/>
    <s v="HSERV LTDA"/>
    <s v="SUZANA PAIVA GARCIA"/>
    <n v="-86.1"/>
    <x v="1"/>
    <s v="VALE TRANSPORTE"/>
  </r>
  <r>
    <x v="21"/>
    <s v="NOVEMBRO"/>
    <s v="HSERV LTDA"/>
    <s v="MARIA APARECIDA GRACIANO DA SILVA"/>
    <n v="-205.1"/>
    <x v="1"/>
    <s v="VALE TRANSPORTE"/>
  </r>
  <r>
    <x v="21"/>
    <s v="NOVEMBRO"/>
    <s v="HSERV TERCEIRIZADOS"/>
    <s v="PAROLAR DIST DE UTENSILIOS DOMESTICOS LTDA"/>
    <n v="-376.15"/>
    <x v="1"/>
    <s v="CONSIGNADO"/>
  </r>
  <r>
    <x v="36"/>
    <s v="NOVEMBRO"/>
    <s v="HSERV CABREUVA"/>
    <s v="SALARIO CLT, PENSÃO ALIMENTICIA, BONUS-PROVISÃ INFORMADA PELA DEPARTAMENTO PESSOAL"/>
    <n v="-471455.19"/>
    <x v="1"/>
    <s v="SALARIOS"/>
  </r>
  <r>
    <x v="36"/>
    <s v="NOVEMBRO"/>
    <s v="HSERV COMBINADOS"/>
    <s v="FRANCISCO GALILEU DA COSTA SILVA"/>
    <n v="-1934.06"/>
    <x v="1"/>
    <s v="RESCISÕES"/>
  </r>
  <r>
    <x v="36"/>
    <s v="NOVEMBRO"/>
    <s v="HSERV COMBINADOS"/>
    <s v="ROSANGELA MARIA CALO"/>
    <n v="-1829.89"/>
    <x v="1"/>
    <s v="RESCISÕES"/>
  </r>
  <r>
    <x v="36"/>
    <s v="NOVEMBRO"/>
    <s v="HENRIQUE JEAN"/>
    <s v="ALDA FRANCISCA DE MORAIS GABRIEL"/>
    <n v="-6022.53"/>
    <x v="1"/>
    <s v="RESCISÕES"/>
  </r>
  <r>
    <x v="36"/>
    <s v="NOVEMBRO"/>
    <s v="HSERV CABREUVA"/>
    <s v="ESTER CARDOZO DE LIMA "/>
    <n v="-500"/>
    <x v="1"/>
    <s v="SALARIOS"/>
  </r>
  <r>
    <x v="36"/>
    <s v="NOVEMBRO"/>
    <s v="HSERV LTDA"/>
    <s v="PLUXEE BENEFICIOS BRASIL S.A."/>
    <n v="-10"/>
    <x v="1"/>
    <s v="VALE ALIMENTAÇAO"/>
  </r>
  <r>
    <x v="36"/>
    <s v="NOVEMBRO"/>
    <s v="HSERV LTDA"/>
    <s v="PLUXEE BENEFICIOS BRASIL S.A."/>
    <n v="-10"/>
    <x v="1"/>
    <s v="VALE ALIMENTAÇAO"/>
  </r>
  <r>
    <x v="36"/>
    <s v="NOVEMBRO"/>
    <s v="HENRIQUE JEAN"/>
    <s v="RITA DO CARMO RODRIGUES DA SILVA"/>
    <n v="-250"/>
    <x v="1"/>
    <s v="VALE TRANSPORTE"/>
  </r>
  <r>
    <x v="36"/>
    <s v="NOVEMBRO"/>
    <s v="HSERV COMBINADOS"/>
    <s v="EZEQUIEL RODRIGUES DOS SANTOS"/>
    <n v="-118"/>
    <x v="1"/>
    <s v="VALE TRANSPORTE"/>
  </r>
  <r>
    <x v="36"/>
    <s v="NOVEMBRO"/>
    <s v="HSERV LTDA"/>
    <s v="ALENCAR DA SILVA INACIO DE OLIVEIRA"/>
    <n v="-168"/>
    <x v="1"/>
    <s v="VALE TRANSPORTE"/>
  </r>
  <r>
    <x v="36"/>
    <s v="NOVEMBRO"/>
    <s v="HENRIQUE JEAN"/>
    <s v="CENTRO DE SEGURANCA OCUPACIONAL LTDA"/>
    <n v="-150"/>
    <x v="1"/>
    <s v="EXAMES MEDICOS"/>
  </r>
  <r>
    <x v="36"/>
    <s v="NOVEMBRO"/>
    <s v="HSERV LTDA"/>
    <s v="A.D.F ASSESSORIA EM MEDICINA E SEGURANCA DO TRABALHO LTDA"/>
    <n v="-260"/>
    <x v="1"/>
    <s v="EXAMES MEDICOS"/>
  </r>
  <r>
    <x v="36"/>
    <s v="NOVEMBRO"/>
    <s v="HSERV LTDA"/>
    <s v="LAPAMED CONSULTORIA EM SEGURANCA DO TRABALHO LTDA"/>
    <n v="-242"/>
    <x v="1"/>
    <s v="EXAMES MEDICOS"/>
  </r>
  <r>
    <x v="21"/>
    <s v="NOVEMBRO"/>
    <s v="HSERV CABREUVA"/>
    <s v="MEI  "/>
    <n v="-15000"/>
    <x v="1"/>
    <s v="SALARIOS"/>
  </r>
  <r>
    <x v="43"/>
    <s v="NOVEMBRO"/>
    <s v="HSERV CLEAN"/>
    <s v="EMPRESTIMO HSERV CLEAN BRADESCO -PARCELA MENSAL"/>
    <n v="-5523.75"/>
    <x v="1"/>
    <s v="EMPRESTIMO "/>
  </r>
  <r>
    <x v="8"/>
    <s v="NOVEMBRO"/>
    <s v="HSERV COMBINADOS "/>
    <s v="FT ASSIS E REGIÃO-"/>
    <n v="-8000"/>
    <x v="1"/>
    <s v="FT"/>
  </r>
  <r>
    <x v="43"/>
    <s v="NOVEMBRO"/>
    <s v="VITOR DUARTE"/>
    <s v="VIVA FOOD R E LTDA"/>
    <n v="-13041.15"/>
    <x v="1"/>
    <s v="VALE ALIMENTAÇÃO"/>
  </r>
  <r>
    <x v="44"/>
    <s v="NOVEMBRO"/>
    <s v="HSERV TECNOLOGIA"/>
    <s v="PAPEL E CIA"/>
    <n v="-733.61"/>
    <x v="1"/>
    <s v="MATERIAL DE ESCRITÓRIO"/>
  </r>
  <r>
    <x v="44"/>
    <s v="NOVEMBRO"/>
    <s v="HSERV COMBINADOS "/>
    <s v="BRASIL MEDICINE "/>
    <n v="-8443.8700000000008"/>
    <x v="1"/>
    <s v="SINDICATO"/>
  </r>
  <r>
    <x v="44"/>
    <s v="NOVEMBRO"/>
    <s v="HSERV CABREUVA"/>
    <s v="SERGIO LUIZ BERTOLO"/>
    <n v="-278.13"/>
    <x v="1"/>
    <s v="ALUGUEL DE IMOVEIS"/>
  </r>
  <r>
    <x v="9"/>
    <s v="NOVEMBRO"/>
    <s v="HSERV COMBINADOS "/>
    <s v="JAIR RÉ"/>
    <n v="-1000"/>
    <x v="1"/>
    <s v="COMISSOES"/>
  </r>
  <r>
    <x v="44"/>
    <s v="NOVEMBRO"/>
    <s v="VITOR DUARTE"/>
    <s v="MARCASA-SEGURANÇA VEPAKUM"/>
    <n v="-10500"/>
    <x v="1"/>
    <s v="SEGURANÇAS"/>
  </r>
  <r>
    <x v="45"/>
    <s v="NOVEMBRO"/>
    <s v="HSERV COMBINADOS "/>
    <s v="JHONNY WALACE"/>
    <n v="-1000"/>
    <x v="1"/>
    <s v="COMISSOES"/>
  </r>
  <r>
    <x v="44"/>
    <s v="NOVEMBRO"/>
    <s v="HSERV CLEAN"/>
    <s v="INTERMEDICA"/>
    <n v="-7530.4"/>
    <x v="1"/>
    <s v="CONVENIO MEDICO"/>
  </r>
  <r>
    <x v="44"/>
    <s v="NOVEMBRO"/>
    <s v="HSERV CABREUVA"/>
    <s v="AUTO POSTO JARDIM DAS HORTENCIAS"/>
    <n v="-6551.88"/>
    <x v="1"/>
    <s v="COMBUSTIVEL E PEDAGIO"/>
  </r>
  <r>
    <x v="44"/>
    <s v="NOVEMBRO"/>
    <s v="HENRIQUE JEAN ND"/>
    <s v="FIT ADM (VIDA NOVA) 34-07"/>
    <n v="-432"/>
    <x v="1"/>
    <s v="RESERVA"/>
  </r>
  <r>
    <x v="44"/>
    <s v="NOVEMBRO"/>
    <s v="VITOR  DUARTE"/>
    <s v="RONDAWEB CONEXOES LTDA"/>
    <n v="-395.73"/>
    <x v="1"/>
    <s v="SISTEMA"/>
  </r>
  <r>
    <x v="45"/>
    <s v="NOVEMBRO"/>
    <s v="HSERV TERCEIRIZADOS"/>
    <s v="MOVIDA PARTICIPACOES S.A.-"/>
    <n v="-4375.75"/>
    <x v="1"/>
    <s v="ALUGUEL DE VEICULOS"/>
  </r>
  <r>
    <x v="45"/>
    <s v="NOVEMBRO"/>
    <s v="HSERV TERCEIRIZADOS"/>
    <s v="MOVIDA PARTICIPACOES S.A.-"/>
    <n v="-2173.96"/>
    <x v="1"/>
    <s v="ALUGUEL DE VEICULOS"/>
  </r>
  <r>
    <x v="45"/>
    <s v="NOVEMBRO"/>
    <s v="HSERV CABREUVA"/>
    <s v="MEI  "/>
    <n v="-55000"/>
    <x v="1"/>
    <s v="SALARIOS"/>
  </r>
  <r>
    <x v="45"/>
    <s v="NOVEMBRO"/>
    <s v="HSERV CABREUVA"/>
    <s v="ASSIDUIDADE"/>
    <n v="-45000"/>
    <x v="1"/>
    <s v="ASSIDUIDADE"/>
  </r>
  <r>
    <x v="45"/>
    <s v="NOVEMBRO"/>
    <s v="HSERV CABREUVA"/>
    <s v="VALE ALIMENTAÇÃO MENSAL "/>
    <n v="-95000"/>
    <x v="1"/>
    <s v="VALE ALIMENTAÇÃO"/>
  </r>
  <r>
    <x v="45"/>
    <s v="NOVEMBRO"/>
    <s v=" HSERV CABREUVA"/>
    <s v="VALE TRANSPORTE BASE"/>
    <n v="-10000"/>
    <x v="1"/>
    <s v="VALE TRANSPORTE"/>
  </r>
  <r>
    <x v="45"/>
    <s v="NOVEMBRO"/>
    <s v="VITOR DUARTE"/>
    <s v="BOLETO OTAVIO"/>
    <n v="-20000"/>
    <x v="1"/>
    <s v="PROLABORE"/>
  </r>
  <r>
    <x v="45"/>
    <s v="NOVEMBRO"/>
    <s v="VITOR DUARTE"/>
    <s v="MARISA DE SOUSA SILVA"/>
    <n v="-145"/>
    <x v="1"/>
    <s v="CESTA BASICA"/>
  </r>
  <r>
    <x v="45"/>
    <s v="NOVEMBRO"/>
    <s v="HSERV COMBINADOS "/>
    <s v="ESTER CARDOZO"/>
    <n v="-1375"/>
    <x v="1"/>
    <s v="SALARIOS"/>
  </r>
  <r>
    <x v="45"/>
    <s v="NOVEMBRO"/>
    <s v="HSERV CABREUVA"/>
    <s v="SEM PARAR- "/>
    <n v="-6500"/>
    <x v="1"/>
    <s v="COMBUSTIVEL E PEDAGIO"/>
  </r>
  <r>
    <x v="45"/>
    <s v="NOVEMBRO"/>
    <s v="VITOR DUARTE"/>
    <s v="CARTAO DE CRÉDITO- VITOR"/>
    <n v="-12000"/>
    <x v="1"/>
    <s v="CARTÃO DE CREDITO"/>
  </r>
  <r>
    <x v="45"/>
    <s v="NOVEMBRO"/>
    <s v="HENRIQUE JEAN"/>
    <s v="CARTÃO DE CREDITO"/>
    <n v="-2302.0500000000002"/>
    <x v="1"/>
    <s v="CARTÃO DE CREDITO"/>
  </r>
  <r>
    <x v="45"/>
    <s v="NOVEMBRO"/>
    <s v="HSERV COMBINADOS"/>
    <s v="CARTÃO DE CREDITO"/>
    <n v="-1248.99"/>
    <x v="1"/>
    <s v="CARTÃO DE CREDITO"/>
  </r>
  <r>
    <x v="46"/>
    <s v="NOVEMBRO"/>
    <s v="HSERV LTDA"/>
    <s v="L. A. DE SOUZA - EQUIPAMENTOS DE SEGURANCA LTDA"/>
    <n v="-324"/>
    <x v="1"/>
    <s v="UNIFORMES "/>
  </r>
  <r>
    <x v="46"/>
    <s v="NOVEMBRO"/>
    <s v="HSERV CABREUVA"/>
    <s v="SICOOB HSERV CABREUVA NEGOCIAÇÃO CHEQUE ESPECIAL "/>
    <n v="-2012.45"/>
    <x v="1"/>
    <s v="EMPRESTIMO "/>
  </r>
  <r>
    <x v="45"/>
    <s v="NOVEMBRO"/>
    <s v="HSERV CABREUVA"/>
    <s v="TARIFA MAX EMPRESARIAL"/>
    <n v="-171.1"/>
    <x v="1"/>
    <s v="TARIFA BANCARIA"/>
  </r>
  <r>
    <x v="45"/>
    <s v="NOVEMBRO"/>
    <s v="HSERV CLEAN"/>
    <s v="TARIFA MAX EMPRESARIAL"/>
    <n v="-171.1"/>
    <x v="1"/>
    <s v="TARIFA BANCARIA"/>
  </r>
  <r>
    <x v="45"/>
    <s v="NOVEMBRO"/>
    <s v="HSERV COMBINADOS "/>
    <s v="TARIFA MAX EMPRESARIAL"/>
    <n v="-171.1"/>
    <x v="1"/>
    <s v="TARIFA BANCARIA"/>
  </r>
  <r>
    <x v="45"/>
    <s v="NOVEMBRO"/>
    <s v="HSERV COMBINADOS  ND"/>
    <s v="TARIFA MAX EMPRESARIAL"/>
    <n v="-171.1"/>
    <x v="1"/>
    <s v="TARIFA BANCARIA"/>
  </r>
  <r>
    <x v="45"/>
    <s v="NOVEMBRO"/>
    <s v="HENRIQUE JEAN"/>
    <s v="TARIFA MAX EMPRESARIAL"/>
    <n v="-171.1"/>
    <x v="1"/>
    <s v="TARIFA BANCARIA"/>
  </r>
  <r>
    <x v="45"/>
    <s v="NOVEMBRO"/>
    <s v="HENRIQUE JEAN ND"/>
    <s v="TARIFA MAX EMPRESARIAL"/>
    <n v="-171.1"/>
    <x v="1"/>
    <s v="TARIFA BANCARIA"/>
  </r>
  <r>
    <x v="45"/>
    <s v="NOVEMBRO"/>
    <s v="VITOR DUARTE ND"/>
    <s v="TARIFA MAX EMPRESARIAL"/>
    <n v="-171.1"/>
    <x v="1"/>
    <s v="TARIFA BANCARIA"/>
  </r>
  <r>
    <x v="45"/>
    <s v="NOVEMBRO"/>
    <s v="VITOR DUARTE"/>
    <s v="TARIFA MAX EMPRESARIAL"/>
    <n v="-171.1"/>
    <x v="1"/>
    <s v="TARIFA BANCARIA"/>
  </r>
  <r>
    <x v="45"/>
    <s v="NOVEMBRO"/>
    <s v="HSERV TERCERIZADOS"/>
    <s v="TARIFA MAX EMPRESARIAL"/>
    <n v="-171.1"/>
    <x v="1"/>
    <s v="TARIFA BANCARIA"/>
  </r>
  <r>
    <x v="45"/>
    <s v="NOVEMBRO"/>
    <s v="HSERV TERCERIZADOS ND"/>
    <s v="TARIFA MAX EMPRESARIAL"/>
    <n v="-171.1"/>
    <x v="1"/>
    <s v="TARIFA BANCARIA"/>
  </r>
  <r>
    <x v="45"/>
    <s v="NOVEMBRO"/>
    <s v="HSERV LIMPEZA"/>
    <s v="TARIFA MAX EMPRESARIAL"/>
    <n v="-171.1"/>
    <x v="1"/>
    <s v="TARIFA BANCARIA"/>
  </r>
  <r>
    <x v="45"/>
    <s v="NOVEMBRO"/>
    <s v="HSERV LIMPEZA ND"/>
    <s v="TARIFA MAX EMPRESARIAL"/>
    <n v="-171.1"/>
    <x v="1"/>
    <s v="TARIFA BANCARIA"/>
  </r>
  <r>
    <x v="45"/>
    <s v="NOVEMBRO"/>
    <s v="HSERV TECNOLOGIA"/>
    <s v="TARIFA MAX EMPRESARIAL"/>
    <n v="-171.1"/>
    <x v="1"/>
    <s v="TARIFA BANCARIA"/>
  </r>
  <r>
    <x v="45"/>
    <s v="NOVEMBRO"/>
    <s v="HSERV REPRESENTAÇÃO"/>
    <s v="TARIFA MAX EMPRESARIAL"/>
    <n v="-171.1"/>
    <x v="1"/>
    <s v="TARIFA BANCARIA"/>
  </r>
  <r>
    <x v="45"/>
    <s v="NOVEMBRO"/>
    <s v="HSERV CABREUVA"/>
    <s v="VALE COMBUSTIVEL-2 QUINZENA "/>
    <n v="-8000"/>
    <x v="1"/>
    <s v="VALE COMBUSTIVEL"/>
  </r>
  <r>
    <x v="45"/>
    <s v="NOVEMBRO"/>
    <s v="HSERV CABREUVA"/>
    <s v="SABESP SALA 16"/>
    <n v="-141.69999999999999"/>
    <x v="1"/>
    <s v="AGUA"/>
  </r>
  <r>
    <x v="45"/>
    <s v="NOVEMBRO"/>
    <s v="HSERV CABREUVA"/>
    <s v="SABESP SALA 17"/>
    <n v="-141.69999999999999"/>
    <x v="1"/>
    <s v="AGUA"/>
  </r>
  <r>
    <x v="45"/>
    <s v="NOVEMBRO"/>
    <s v="HSERV CABREUVA"/>
    <s v="SABESP SALA 18"/>
    <n v="-141.69999999999999"/>
    <x v="1"/>
    <s v="AGUA"/>
  </r>
  <r>
    <x v="45"/>
    <s v="NOVEMBRO"/>
    <s v="HSERV CABREUVA"/>
    <s v="SABESP CLEAN"/>
    <n v="-139.25"/>
    <x v="1"/>
    <s v="AGUA"/>
  </r>
  <r>
    <x v="45"/>
    <s v="NOVEMBRO"/>
    <s v="HSERV TECNOLOGIA"/>
    <s v="OMIEXPERIENCE LTDA."/>
    <n v="-261.68"/>
    <x v="1"/>
    <s v="SISTEMA"/>
  </r>
  <r>
    <x v="45"/>
    <s v="NOVEMBRO"/>
    <s v="HSERV REPRESENTACOES"/>
    <s v="OMIEXPERIENCE LTDA."/>
    <n v="-300"/>
    <x v="1"/>
    <s v="SISTEMA"/>
  </r>
  <r>
    <x v="45"/>
    <s v="NOVEMBRO"/>
    <s v="HSERV CABREUVA "/>
    <s v="OMIEXPERIENCE LTDA."/>
    <n v="-300"/>
    <x v="1"/>
    <s v="SISTEMA"/>
  </r>
  <r>
    <x v="45"/>
    <s v="NOVEMBRO"/>
    <s v="HSERV  COMBINADOS"/>
    <s v="OMIEXPERIENCE LTDA."/>
    <n v="-300"/>
    <x v="1"/>
    <s v="SISTEMA"/>
  </r>
  <r>
    <x v="45"/>
    <s v="NOVEMBRO"/>
    <s v="HENRIQUE JEAN DUARTE "/>
    <s v="OMIEXPERIENCE LTDA."/>
    <n v="-294.32"/>
    <x v="1"/>
    <s v="SISTEMA"/>
  </r>
  <r>
    <x v="45"/>
    <s v="NOVEMBRO"/>
    <s v="HSERV TERCEIRIZADOS"/>
    <s v="OMIEXPERIENCE LTDA."/>
    <n v="-300"/>
    <x v="1"/>
    <s v="SISTEMA"/>
  </r>
  <r>
    <x v="45"/>
    <s v="NOVEMBRO"/>
    <s v="HSERV  LIMPEZA "/>
    <s v="OMIEXPERIENCE LTDA."/>
    <n v="-300"/>
    <x v="1"/>
    <s v="SISTEMA"/>
  </r>
  <r>
    <x v="45"/>
    <s v="NOVEMBRO"/>
    <s v="VITOR  DUARTE "/>
    <s v="OMIEXPERIENCE LTDA."/>
    <n v="-350"/>
    <x v="1"/>
    <s v="SISTEMA"/>
  </r>
  <r>
    <x v="45"/>
    <s v="NOVEMBRO"/>
    <s v="HSER CLEAN"/>
    <s v="OMIEXPERIENCE LTDA."/>
    <n v="-373.51"/>
    <x v="1"/>
    <s v="SISTEMA"/>
  </r>
  <r>
    <x v="45"/>
    <s v="NOVEMBRO"/>
    <s v="HENRIQUE JEAN"/>
    <s v="EMPORIO MEGA 100 COMERCIO DE ALIMENTOS S.A."/>
    <n v="-852.44"/>
    <x v="1"/>
    <s v="CESTA BASICA"/>
  </r>
  <r>
    <x v="45"/>
    <s v="NOVEMBRO"/>
    <s v="HSERV CABREUVA"/>
    <s v="EMPORIO MEGA 100 COMERCIO DE ALIMENTOS S.A."/>
    <n v="-1549.9"/>
    <x v="1"/>
    <s v="CESTA BASICA"/>
  </r>
  <r>
    <x v="45"/>
    <s v="NOVEMBRO"/>
    <s v="HSERV CLEAN"/>
    <s v="EMPORIO MEGA 100 COMERCIO DE ALIMENTOS S.A."/>
    <n v="-1007.43"/>
    <x v="1"/>
    <s v="CESTA BASICA"/>
  </r>
  <r>
    <x v="45"/>
    <s v="NOVEMBRO"/>
    <s v="HSERV CLEAN"/>
    <s v="EMPORIO MEGA 100 COMERCIO DE ALIMENTOS S.A."/>
    <n v="-4882.18"/>
    <x v="1"/>
    <s v="CESTA BASICA"/>
  </r>
  <r>
    <x v="45"/>
    <s v="NOVEMBRO"/>
    <s v="HSERV COMBINADOS"/>
    <s v="EMPORIO MEGA 100 COMERCIO DE ALIMENTOS S.A."/>
    <n v="-2557.33"/>
    <x v="1"/>
    <s v="CESTA BASICA"/>
  </r>
  <r>
    <x v="45"/>
    <s v="NOVEMBRO"/>
    <s v="HSERV LIMPEZA"/>
    <s v="EMPORIO MEGA 100 COMERCIO DE ALIMENTOS S.A."/>
    <n v="-852.44"/>
    <x v="1"/>
    <s v="CESTA BASICA"/>
  </r>
  <r>
    <x v="45"/>
    <s v="NOVEMBRO"/>
    <s v="HSERV LTDA"/>
    <s v="EMPORIO MEGA 100 COMERCIO DE ALIMENTOS S.A."/>
    <n v="-309.98"/>
    <x v="1"/>
    <s v="CESTA BASICA"/>
  </r>
  <r>
    <x v="45"/>
    <s v="NOVEMBRO"/>
    <s v="HSERV REPRESENTACOES"/>
    <s v="EMPORIO MEGA 100 COMERCIO DE ALIMENTOS S.A."/>
    <n v="-697.45"/>
    <x v="1"/>
    <s v="CESTA BASICA"/>
  </r>
  <r>
    <x v="45"/>
    <s v="NOVEMBRO"/>
    <s v="HSERV TECNOLOGIA"/>
    <s v="EMPORIO MEGA 100 COMERCIO DE ALIMENTOS S.A."/>
    <n v="-2092.36"/>
    <x v="1"/>
    <s v="CESTA BASICA"/>
  </r>
  <r>
    <x v="45"/>
    <s v="NOVEMBRO"/>
    <s v="HSERV TERCEIRIZADOS"/>
    <s v="EMPORIO MEGA 100 COMERCIO DE ALIMENTOS S.A."/>
    <n v="-1084.93"/>
    <x v="1"/>
    <s v="CESTA BASICA"/>
  </r>
  <r>
    <x v="45"/>
    <s v="NOVEMBRO"/>
    <s v="HSERV CLEAN"/>
    <s v="BANCO SAFRA S A-EMPRESTIMO BANCO SAFRA HSERV CLEAN"/>
    <n v="-930.49"/>
    <x v="1"/>
    <s v="EMPRESTIMO"/>
  </r>
  <r>
    <x v="45"/>
    <s v="NOVEMBRO"/>
    <s v="VITOR DUARTE"/>
    <s v="LOCALIZA - VENCIDA 30/08/2025 -LOCAÇÃO "/>
    <n v="-4344.07"/>
    <x v="1"/>
    <s v="ALUGUEL DE VEICULOS"/>
  </r>
  <r>
    <x v="45"/>
    <s v="NOVEMBRO"/>
    <s v="VITOR DUARTE"/>
    <s v="LOCALIZA - VENCIDA 30/10/2025-LOCAÇÃO "/>
    <n v="-6410.64"/>
    <x v="1"/>
    <s v="ALUGUEL DE VEICULOS"/>
  </r>
  <r>
    <x v="45"/>
    <s v="NOVEMBRO"/>
    <s v="HSERV COMBINADOS "/>
    <s v="LOCALIZA - VENCIDA 30/10/2025-LOCAÇÃO "/>
    <n v="-4368.78"/>
    <x v="1"/>
    <s v="ALUGUEL DE VEICULOS"/>
  </r>
  <r>
    <x v="1"/>
    <s v="NOVEMBRO"/>
    <s v="VITOR DUARTE"/>
    <s v="VIVA FOOD R E LTDA"/>
    <n v="-13041.15"/>
    <x v="1"/>
    <s v="VALE ALIMENTAÇÃO"/>
  </r>
  <r>
    <x v="45"/>
    <s v="NOVEMBRO"/>
    <s v="HSERV CABREUVA"/>
    <s v="ASOMETRA"/>
    <n v="-4500"/>
    <x v="1"/>
    <s v="EXAMES MEDICOS"/>
  </r>
  <r>
    <x v="47"/>
    <s v="NOVEMBRO"/>
    <s v="HSERV CABREUVA"/>
    <s v="BRADESCO "/>
    <n v="-35714.57"/>
    <x v="1"/>
    <s v="EMPRESTIMO "/>
  </r>
  <r>
    <x v="45"/>
    <s v="NOVEMBRO"/>
    <s v="HSERV CABREUVA"/>
    <s v="SINDICATO DOS EMPREGADOS - VENCIDA "/>
    <n v="-10000"/>
    <x v="1"/>
    <s v="SINDICATO"/>
  </r>
  <r>
    <x v="45"/>
    <s v="NOVEMBRO"/>
    <s v="HSERV TERCEIRIZADOS"/>
    <s v="PAROLAR DIST DE UTENSILIOS DOMESTICOS LTDA"/>
    <n v="-376.15"/>
    <x v="1"/>
    <s v="MERCADORIAS PARA REVENDA"/>
  </r>
  <r>
    <x v="45"/>
    <s v="NOVEMBRO"/>
    <s v="HSERV CABREUVA"/>
    <s v="BENEFICIO SOCIAL VENCIDA"/>
    <n v="-4500"/>
    <x v="1"/>
    <s v="SINDICATO"/>
  </r>
  <r>
    <x v="45"/>
    <s v="NOVEMBRO"/>
    <s v="HSERV CLEAN"/>
    <s v="SOFT WORKS EPI CALCADOS LTDA"/>
    <n v="-538"/>
    <x v="1"/>
    <s v="UNIFORMES"/>
  </r>
  <r>
    <x v="45"/>
    <s v="NOVEMBRO"/>
    <s v="HENRIQUE JEAN"/>
    <s v="PATRICIA TORRICELLI SOARES DIAS PRoc 0011282-22.2025.5.15.0097 RECLAMANTE: LUCINEIDE DIAS DA PARCELA 3/15"/>
    <n v="-1133.3399999999999"/>
    <x v="1"/>
    <s v="ACORDO TRABALHISTA"/>
  </r>
  <r>
    <x v="48"/>
    <s v="DEZEMBRO"/>
    <s v="HENRIQUE JEAN"/>
    <s v="PATRICIA TORRICELLI SOARES DIAS PRoc 0011282-22.2025.5.15.0097 RECLAMANTE: LUCINEIDE DIAS DA PARCELA 4/15"/>
    <n v="-1133.3399999999999"/>
    <x v="1"/>
    <s v="ACORDO TRABALHISTA"/>
  </r>
  <r>
    <x v="45"/>
    <s v="NOVEMBRO"/>
    <s v="VITOR DUARTE"/>
    <s v="JONESO EMPREENDIMENTOS"/>
    <n v="-5460"/>
    <x v="1"/>
    <s v="ALUGUEL DE IMOVEIS"/>
  </r>
  <r>
    <x v="49"/>
    <s v="NOVEMBRO"/>
    <s v="VITOR DUARTE"/>
    <s v="ALTOLIM COMERCIAL ASSIS EIRELI - ME"/>
    <n v="-9.8528009999999995"/>
    <x v="1"/>
    <s v="MERCADORIA PARA REVENDA"/>
  </r>
  <r>
    <x v="49"/>
    <s v="NOVEMBRO"/>
    <s v="VITOR DUARTE"/>
    <s v="ALTOLIM COMERCIAL ASSIS EIRELI - ME"/>
    <n v="-55.277199000000003"/>
    <x v="1"/>
    <s v="MERCADORIA PARA REVENDA"/>
  </r>
  <r>
    <x v="49"/>
    <s v="NOVEMBRO"/>
    <s v="HSERV LTDA"/>
    <s v="ANTONIO DIVINO DONATO BARTHOLOMEU"/>
    <n v="-1425.23"/>
    <x v="1"/>
    <s v="RESCISÕES"/>
  </r>
  <r>
    <x v="49"/>
    <s v="NOVEMBRO"/>
    <s v="HSERV LTDA"/>
    <s v="GRRF ANTONIO DIVINO DONATO BARTHOLOMEU"/>
    <n v="-259.23"/>
    <x v="1"/>
    <s v="RESCISÕES"/>
  </r>
  <r>
    <x v="49"/>
    <s v="NOVEMBRO"/>
    <s v="HSERV LTDA"/>
    <s v="KARINA DE SOUSA MELO"/>
    <n v="-1201.23"/>
    <x v="1"/>
    <s v="RESCISÕES"/>
  </r>
  <r>
    <x v="49"/>
    <s v="NOVEMBRO"/>
    <s v="HSERV LTDA"/>
    <s v="CRISTIANA APARECIDA PEREIRA LIMA"/>
    <n v="-1535.76"/>
    <x v="1"/>
    <s v="RESCISÕES"/>
  </r>
  <r>
    <x v="49"/>
    <s v="NOVEMBRO"/>
    <s v="HSERV LTDA"/>
    <s v="GRRF CRISTIANA APARECIDA PEREIRA LIMA"/>
    <n v="-240"/>
    <x v="1"/>
    <s v="RESCISÕES"/>
  </r>
  <r>
    <x v="49"/>
    <s v="NOVEMBRO"/>
    <s v="HSERV LTDA"/>
    <s v="GRRF KARINA DE SOUSA MELO"/>
    <n v="-205.23"/>
    <x v="1"/>
    <s v="RESCISÕES"/>
  </r>
  <r>
    <x v="49"/>
    <s v="NOVEMBRO"/>
    <s v="HSERV TERCEIRIZADOS"/>
    <s v="LOTUS CENTRAL DE DISTRIBUICAO DE HIGIENICOS LTDA"/>
    <n v="-834.01"/>
    <x v="1"/>
    <s v="MERCADORIA PARA REVENDA"/>
  </r>
  <r>
    <x v="49"/>
    <s v="NOVEMBRO"/>
    <s v="HSERV TERCEIRIZADOS"/>
    <s v="ESCOBRAS INDUSTRIA E COMERCIO DE MAQUINAS LTDA"/>
    <n v="-987.07"/>
    <x v="1"/>
    <s v="MERCADORIA PARA REVENDA"/>
  </r>
  <r>
    <x v="49"/>
    <s v="NOVEMBRO"/>
    <s v="HSERV TERCEIRIZADOS"/>
    <s v="LOTUS CENTRAL DE DISTRIBUICAO DE HIGIENICOS LTDA"/>
    <n v="-2367.3604730000002"/>
    <x v="1"/>
    <s v="MERCADORIA PARA REVENDA"/>
  </r>
  <r>
    <x v="49"/>
    <s v="NOVEMBRO"/>
    <s v="HSERV COMBINADOS "/>
    <s v="SOFISA ACORDO- PROCESSO EXECUÇÃO"/>
    <n v="-5996.67"/>
    <x v="1"/>
    <s v="EMPRESTIMO "/>
  </r>
  <r>
    <x v="50"/>
    <s v="NOVEMBRO"/>
    <s v="HSERV CABREUVA"/>
    <s v="IF EMPRESARIAL"/>
    <n v="-15086.65"/>
    <x v="1"/>
    <s v="CONTABILIDADE"/>
  </r>
  <r>
    <x v="50"/>
    <s v="NOVEMBRO"/>
    <s v="HSERV CABREUVA"/>
    <s v="RESOLVE ALIMENTAÇÃO "/>
    <n v="-600"/>
    <x v="1"/>
    <s v="VALE ALIMENTAÇÃO"/>
  </r>
  <r>
    <x v="50"/>
    <s v="NOVEMBRO"/>
    <s v="HSERV CABREUVA"/>
    <s v="ANJO AZUL ALARMES"/>
    <n v="-1114.33"/>
    <x v="1"/>
    <s v="SISTEMA"/>
  </r>
  <r>
    <x v="50"/>
    <s v="NOVEMBRO"/>
    <s v="HSERV CABREUVA"/>
    <s v="MAXIWEB INTERNET PROVIDER LTDA"/>
    <n v="-39.799999999999997"/>
    <x v="1"/>
    <s v="SISTEMA"/>
  </r>
  <r>
    <x v="50"/>
    <s v="NOVEMBRO"/>
    <s v="HSERV CABREUVA"/>
    <s v="SIMPLES NACIONAL MENSAL "/>
    <n v="-20000"/>
    <x v="1"/>
    <s v="IMPOSTO"/>
  </r>
  <r>
    <x v="50"/>
    <s v="NOVEMBRO"/>
    <s v="VITOR DUARTE"/>
    <s v="ISS-LUCRO REAL EMPRESA VITOR"/>
    <n v="-15000"/>
    <x v="1"/>
    <s v="IMPOSTO"/>
  </r>
  <r>
    <x v="50"/>
    <s v="NOVEMBRO"/>
    <s v="VITOR DUARTE"/>
    <s v="DARF DE COFINS, PIS- LUCRO  PRESUMIDO HSERV CABREUVA"/>
    <n v="-3000"/>
    <x v="1"/>
    <s v="IMPOSTO"/>
  </r>
  <r>
    <x v="50"/>
    <s v="NOVEMBRO"/>
    <s v="HSERV CABREUVA"/>
    <s v="FGTS MENSAL"/>
    <n v="-55000"/>
    <x v="1"/>
    <s v="IMPOSTO"/>
  </r>
  <r>
    <x v="50"/>
    <s v="NOVEMBRO"/>
    <s v="HSERV CABREUVA"/>
    <s v="DARF INSS-TODAS EMPRESAS"/>
    <n v="-50000"/>
    <x v="1"/>
    <s v="IMPOSTO"/>
  </r>
  <r>
    <x v="50"/>
    <s v="NOVEMBRO"/>
    <s v="HSERV CABREUVA"/>
    <s v="FT 1 QUINZENA E PACOTES, RT"/>
    <n v="-110000"/>
    <x v="1"/>
    <s v="FT"/>
  </r>
  <r>
    <x v="50"/>
    <s v="NOVEMBRO"/>
    <s v="HSERV CABREUVA"/>
    <s v="VALE TRANSPORTE MENSAL VIAÇÕES"/>
    <n v="-41000"/>
    <x v="1"/>
    <s v="VALE TRANSPORTE"/>
  </r>
  <r>
    <x v="50"/>
    <s v="NOVEMBRO"/>
    <s v="HENRIQUE JEAN"/>
    <s v="EMPORIO MEGA 100 COMERCIO DE ALIMENTOS S.A."/>
    <n v="-464.97"/>
    <x v="1"/>
    <s v="CESTA BASICA"/>
  </r>
  <r>
    <x v="50"/>
    <s v="NOVEMBRO"/>
    <s v="HSERV CABREUVA"/>
    <s v="EMPORIO MEGA 100 COMERCIO DE ALIMENTOS S.A."/>
    <n v="-1239.92"/>
    <x v="1"/>
    <s v="CESTA BASICA"/>
  </r>
  <r>
    <x v="50"/>
    <s v="NOVEMBRO"/>
    <s v="HSERV CLEAN"/>
    <s v="EMPORIO MEGA 100 COMERCIO DE ALIMENTOS S.A."/>
    <n v="-3099.8"/>
    <x v="1"/>
    <s v="CESTA BASICA"/>
  </r>
  <r>
    <x v="50"/>
    <s v="NOVEMBRO"/>
    <s v="HSERV CLEAN"/>
    <s v="EMPORIO MEGA 100 COMERCIO DE ALIMENTOS S.A."/>
    <n v="-1007.44"/>
    <x v="1"/>
    <s v="CESTA BASICA"/>
  </r>
  <r>
    <x v="50"/>
    <s v="NOVEMBRO"/>
    <s v="HSERV COMBINADOS"/>
    <s v="EMPORIO MEGA 100 COMERCIO DE ALIMENTOS S.A."/>
    <n v="-2944.81"/>
    <x v="1"/>
    <s v="CESTA BASICA"/>
  </r>
  <r>
    <x v="50"/>
    <s v="NOVEMBRO"/>
    <s v="HSERV LIMPEZA"/>
    <s v="EMPORIO MEGA 100 COMERCIO DE ALIMENTOS S.A."/>
    <n v="-929.94"/>
    <x v="1"/>
    <s v="CESTA BASICA"/>
  </r>
  <r>
    <x v="50"/>
    <s v="NOVEMBRO"/>
    <s v="HSERV LTDA"/>
    <s v="EMPORIO MEGA 100 COMERCIO DE ALIMENTOS S.A."/>
    <n v="-774.95"/>
    <x v="1"/>
    <s v="CESTA BASICA"/>
  </r>
  <r>
    <x v="50"/>
    <s v="NOVEMBRO"/>
    <s v="HSERV REPRESENTACOES"/>
    <s v="EMPORIO MEGA 100 COMERCIO DE ALIMENTOS S.A."/>
    <n v="-1084.93"/>
    <x v="1"/>
    <s v="CESTA BASICA"/>
  </r>
  <r>
    <x v="50"/>
    <s v="NOVEMBRO"/>
    <s v="HSERV TECNOLOGIA"/>
    <s v="EMPORIO MEGA 100 COMERCIO DE ALIMENTOS S.A."/>
    <n v="-2479.84"/>
    <x v="1"/>
    <s v="CESTA BASICA"/>
  </r>
  <r>
    <x v="50"/>
    <s v="NOVEMBRO"/>
    <s v="HSERV TERCEIRIZADOS"/>
    <s v="EMPORIO MEGA 100 COMERCIO DE ALIMENTOS S.A."/>
    <n v="-1317.42"/>
    <x v="1"/>
    <s v="CESTA BASICA"/>
  </r>
  <r>
    <x v="50"/>
    <s v="NOVEMBRO"/>
    <s v="HSERV CLEAN"/>
    <s v="RSC COM. MAT.P/ CONSTRUCAO LTDA."/>
    <n v="-81.599999999999994"/>
    <x v="1"/>
    <s v="MERCADORIA PARA REVENDA"/>
  </r>
  <r>
    <x v="50"/>
    <s v="NOVEMBRO"/>
    <s v="HSERV CABREUVA"/>
    <s v="LM SUPER TROCA DE OLEO"/>
    <n v="-225"/>
    <x v="1"/>
    <s v="MANUTENÇÃO"/>
  </r>
  <r>
    <x v="50"/>
    <s v="NOVEMBRO"/>
    <s v="HENRIQUE JEAN"/>
    <s v="JONATHAN DINIZ WESFAL PROC 1001448-72.2024.5.02.0291 AUTOR: LUCIANA APARECIDA MARQUES DA SILVA PARCELA 4/10"/>
    <n v="-1240"/>
    <x v="1"/>
    <s v="ACORDO TRABALHISTA"/>
  </r>
  <r>
    <x v="2"/>
    <s v="DEZEMBRO"/>
    <s v="HENRIQUE JEAN"/>
    <s v="JONATHAN DINIZ WESFAL PROC 1001448-72.2024.5.02.0291 AUTOR: LUCIANA APARECIDA MARQUES DA SILVA PARCELA 5/10"/>
    <n v="-1240"/>
    <x v="1"/>
    <s v="ACORDO TRABALHISTA"/>
  </r>
  <r>
    <x v="50"/>
    <s v="NOVEMBRO"/>
    <s v="HSERV CABREUVA"/>
    <s v="FT ASSIS E REGIÃO- "/>
    <n v="-8000"/>
    <x v="1"/>
    <s v="FT"/>
  </r>
  <r>
    <x v="50"/>
    <s v="NOVEMBRO"/>
    <s v="HSERV COMBINADOS"/>
    <s v="MAC LUCER - VINEA (MENSAL)"/>
    <n v="-3005"/>
    <x v="1"/>
    <s v="APORTE"/>
  </r>
  <r>
    <x v="39"/>
    <s v="NOVEMBRO"/>
    <s v="HSERV CLEAN"/>
    <s v="J.E. COMERCIO E SOLUCOES LTDA"/>
    <n v="-5576.15"/>
    <x v="1"/>
    <s v="MERCADORIAS PARA REVENDA"/>
  </r>
  <r>
    <x v="39"/>
    <s v="NOVEMBRO"/>
    <s v="HSERV CLEAN"/>
    <s v="HM MAQ COMERCIO E ASSISTENCIA TECNICA INDUSTRIAL"/>
    <n v="-1249.47"/>
    <x v="1"/>
    <s v="MANUTENÇAO"/>
  </r>
  <r>
    <x v="39"/>
    <s v="NOVEMBRO"/>
    <s v="VITOR DUARTE"/>
    <s v="CLARO S/A"/>
    <n v="-1560"/>
    <x v="1"/>
    <s v="TELEFONE"/>
  </r>
  <r>
    <x v="50"/>
    <s v="NOVEMBRO"/>
    <s v="HENRIQUE JEAN ND"/>
    <s v="IMOVEL NEX ONE "/>
    <n v="-8937.32"/>
    <x v="1"/>
    <s v="RESERVA"/>
  </r>
  <r>
    <x v="4"/>
    <s v="NOVEMBRO"/>
    <s v="VITOR DUARTE"/>
    <s v="VIVA FOOD R E LTDA"/>
    <n v="-13041.15"/>
    <x v="1"/>
    <s v="VALE ALIMENTAÇÃO"/>
  </r>
  <r>
    <x v="9"/>
    <s v="NOVEMBRO"/>
    <s v="HSERV CABREUVA"/>
    <s v="LM SUPER TROCA DE OLEO"/>
    <n v="-225"/>
    <x v="1"/>
    <s v="MANUTENÇÃO"/>
  </r>
  <r>
    <x v="9"/>
    <s v="NOVEMBRO"/>
    <s v="HSERV CLEAN"/>
    <s v="SPARTAN DO BRASIL PRODUTOS QUIMICOS LTDA"/>
    <n v="-11785.16"/>
    <x v="1"/>
    <s v="MERCADORIA PARA REVENDA"/>
  </r>
  <r>
    <x v="9"/>
    <s v="NOVEMBRO"/>
    <s v="HENRIQUE JEAN"/>
    <s v="SABIANA VITORIA DE SOUZA"/>
    <n v="-4387.83"/>
    <x v="1"/>
    <s v="RESCISÕES"/>
  </r>
  <r>
    <x v="9"/>
    <s v="NOVEMBRO"/>
    <s v="HENRIQUE JEAN"/>
    <s v="SABIANA VITORIA DE SOUZA"/>
    <n v="-654.9"/>
    <x v="1"/>
    <s v="RESCISÕES"/>
  </r>
  <r>
    <x v="9"/>
    <s v="NOVEMBRO"/>
    <s v="HSERV CABREUVA"/>
    <s v="AUTO POSTO JARDIM DAS HORTENCI"/>
    <n v="-9000"/>
    <x v="1"/>
    <s v="COMBUSTIVEL E PEDAGIO"/>
  </r>
  <r>
    <x v="9"/>
    <s v="NOVEMBRO"/>
    <s v="VITOR DUARTE"/>
    <s v="GADE CORPORATIVA"/>
    <n v="-500"/>
    <x v="1"/>
    <s v="SISTEMA"/>
  </r>
  <r>
    <x v="9"/>
    <s v="NOVEMBRO"/>
    <s v="HSERV CABREUVA"/>
    <s v="OPEN IT GROUP"/>
    <n v="-294.8"/>
    <x v="1"/>
    <s v="INTERNET"/>
  </r>
  <r>
    <x v="9"/>
    <s v="NOVEMBRO"/>
    <s v="VITOR DUARTE"/>
    <s v="ALTOLIM COMERCIAL ASSIS EIRELI - ME"/>
    <n v="-57.259995000000004"/>
    <x v="1"/>
    <s v="MERCADORIA PARA REVENDA"/>
  </r>
  <r>
    <x v="9"/>
    <s v="NOVEMBRO"/>
    <s v="HSERV COMBINADOS"/>
    <s v="MAC LUCER - VINEA (MENSAL) "/>
    <n v="-1957"/>
    <x v="1"/>
    <s v="APORTE"/>
  </r>
  <r>
    <x v="43"/>
    <s v="NOVEMBRO"/>
    <s v="VITOR DUARTE"/>
    <s v="CHEQUES DR DUARTE"/>
    <n v="-9980"/>
    <x v="1"/>
    <s v="PROLABORE"/>
  </r>
  <r>
    <x v="4"/>
    <s v="NOVEMBRO"/>
    <s v="HSERV COMBINADOS "/>
    <s v="GABRIEL DOS SANTOS NOVÃESCLOUD-TELEFONIA"/>
    <n v="-500"/>
    <x v="1"/>
    <s v="SISTEMA"/>
  </r>
  <r>
    <x v="25"/>
    <s v="OUTUBRO"/>
    <s v="HENRIQUE JEAN ND"/>
    <s v="CELIO ROBERTO"/>
    <n v="-762.15"/>
    <x v="1"/>
    <s v="RESERVA"/>
  </r>
  <r>
    <x v="7"/>
    <s v="OUTUBRO"/>
    <s v="HENRIQUE JEAN ND"/>
    <s v="CELIO ROBERTO"/>
    <n v="-2801.62"/>
    <x v="1"/>
    <s v="RESERVA"/>
  </r>
  <r>
    <x v="4"/>
    <s v="NOVEMBRO"/>
    <s v="VITOR DUARTE"/>
    <s v="NEXTI DESENVOLVIMENTO DE SISTEMAS S.A."/>
    <n v="-2530.4299999999998"/>
    <x v="1"/>
    <s v="SISTEMA"/>
  </r>
  <r>
    <x v="4"/>
    <s v="NOVEMBRO"/>
    <s v="VITOR DUARTE"/>
    <s v="NEXTI DESENVOLVIMENTO DE SISTEMAS S.A."/>
    <n v="-1339.5"/>
    <x v="1"/>
    <s v="SISTEMA"/>
  </r>
  <r>
    <x v="4"/>
    <s v="NOVEMBRO"/>
    <s v=" HSERV CABREUVA"/>
    <s v="VALE TRANSPORTE BASE"/>
    <n v="-15000"/>
    <x v="1"/>
    <s v="VALE TRANSPORTE"/>
  </r>
  <r>
    <x v="1"/>
    <s v="NOVEMBRO"/>
    <s v="VITOR DUARTE"/>
    <s v="CHEQUES DR DUARTE"/>
    <n v="-9980"/>
    <x v="1"/>
    <s v="PROLABORE"/>
  </r>
  <r>
    <x v="4"/>
    <s v="NOVEMBRO"/>
    <s v="VITOR DUARTE"/>
    <s v="CHEQUES DR DUARTE"/>
    <n v="-23498.18"/>
    <x v="1"/>
    <s v="PROLABORE"/>
  </r>
  <r>
    <x v="4"/>
    <s v="NOVEMBRO"/>
    <s v="HSERV CABREUVA"/>
    <s v="SIMPLES NACIONAL-PARCELAMENTO"/>
    <n v="-35000"/>
    <x v="1"/>
    <s v="IMPOSTO"/>
  </r>
  <r>
    <x v="4"/>
    <s v="NOVEMBRO"/>
    <s v="HSERV CABREUVA"/>
    <s v="VALE COMBUSTIVEL 1 QUINZENA "/>
    <n v="-7000"/>
    <x v="1"/>
    <s v="VALE COMBUSTIVEL"/>
  </r>
  <r>
    <x v="5"/>
    <s v="DEZEMBRO"/>
    <s v="VITOR DUARTE"/>
    <s v="54.055.078 MATHEUS PEIXOTO DE OLIVEIRA"/>
    <n v="-2000"/>
    <x v="1"/>
    <s v="TI"/>
  </r>
  <r>
    <x v="4"/>
    <s v="NOVEMBRO"/>
    <s v="VITOR DUARTE"/>
    <s v="54.055.078 MATHEUS PEIXOTO DE OLIVEIRA"/>
    <n v="-2000"/>
    <x v="1"/>
    <s v="TI"/>
  </r>
  <r>
    <x v="4"/>
    <s v="NOVEMBRO"/>
    <s v="VITOR DUARTE"/>
    <s v="ADEMIR- IMPRESSÃO E IMPRESSORA"/>
    <n v="-50"/>
    <x v="1"/>
    <s v="TI"/>
  </r>
  <r>
    <x v="4"/>
    <s v="NOVEMBRO"/>
    <s v="HSERV COMBINADOS "/>
    <s v="REEMBOLSOS"/>
    <n v="-800"/>
    <x v="1"/>
    <s v="REEMBOLSO"/>
  </r>
  <r>
    <x v="4"/>
    <s v="NOVEMBRO"/>
    <s v="VITOR DUARTE"/>
    <s v="PAMELA GREICE MARINHO ROCHA"/>
    <n v="-8500"/>
    <x v="1"/>
    <s v="FÉRIAS"/>
  </r>
  <r>
    <x v="4"/>
    <s v="NOVEMBRO"/>
    <s v="HSERV LTDA"/>
    <s v="L. A. DE SOUZA - EQUIPAMENTOS DE SEGURANCA LTDA"/>
    <n v="-384"/>
    <x v="1"/>
    <s v="UNIFORMES"/>
  </r>
  <r>
    <x v="4"/>
    <s v="NOVEMBRO"/>
    <s v="HSERV COMBINADOS"/>
    <s v="LOCALIZA FLEET S.A."/>
    <n v="-584.62"/>
    <x v="1"/>
    <s v="ALUGUEL DE VEICULOS"/>
  </r>
  <r>
    <x v="4"/>
    <s v="NOVEMBRO"/>
    <s v="HSERV LTDA"/>
    <s v="ALTOLIM COMERCIAL ASSIS EIRELI - ME"/>
    <n v="-56.88"/>
    <x v="1"/>
    <s v="MERCADORIA PARA REVENDA"/>
  </r>
  <r>
    <x v="4"/>
    <s v="NOVEMBRO"/>
    <s v="HSERV CABREUVA"/>
    <s v="FÉRIAS-"/>
    <n v="-31500"/>
    <x v="1"/>
    <s v="FÉRIAS"/>
  </r>
  <r>
    <x v="4"/>
    <s v="NOVEMBRO"/>
    <s v="VITOR DUARTE"/>
    <s v="GUIA DE PARCELAMENTO INSS VITOR JULHO A NOV 2024"/>
    <n v="-7000"/>
    <x v="1"/>
    <s v="IMPOSTO"/>
  </r>
  <r>
    <x v="4"/>
    <s v="NOVEMBRO"/>
    <s v="HSERV CLEAN"/>
    <s v="GUIA DE PARELAMENTO DE DIVIDA ATIVA HSERV CLEAN"/>
    <n v="-600"/>
    <x v="1"/>
    <s v="IMPOSTO"/>
  </r>
  <r>
    <x v="4"/>
    <s v="NOVEMBRO"/>
    <s v="HSERV CLEAN"/>
    <s v="GUIA DE IMPOSTO VEPAKUM RETROATIVO 2024"/>
    <n v="-4000"/>
    <x v="1"/>
    <s v="IMPOSTO"/>
  </r>
  <r>
    <x v="4"/>
    <s v="NOVEMBRO"/>
    <s v=" HSERV CABREUVA"/>
    <s v="PARCELAMENTO DEBITOS PREVIDENCIARIOS"/>
    <n v="-9000"/>
    <x v="1"/>
    <s v="IMPOSTO"/>
  </r>
  <r>
    <x v="4"/>
    <s v="NOVEMBRO"/>
    <s v="HSERV CLEAN"/>
    <s v="PARCELA CREDITO PESSOAL CONTR 016721926 PARC"/>
    <n v="-1719.53"/>
    <x v="1"/>
    <s v="CARTÃO DE CREDITO"/>
  </r>
  <r>
    <x v="4"/>
    <s v="NOVEMBRO"/>
    <s v="HSERV CABREUVA"/>
    <s v="PARCELA CREDITO PESSOAL CONTR 016721926 PARC"/>
    <n v="-1392.65"/>
    <x v="1"/>
    <s v="CARTÃO DE CREDITO"/>
  </r>
  <r>
    <x v="44"/>
    <s v="NOVEMBRO"/>
    <s v="HSERV TECNOLOGIA"/>
    <s v="GRRF KAUE HENRIQUE DA SILVA OLIVEIRA"/>
    <n v="-1085.8699999999999"/>
    <x v="1"/>
    <s v="RESCISÕES"/>
  </r>
  <r>
    <x v="44"/>
    <s v="NOVEMBRO"/>
    <s v="HSERV TECNOLOGIA"/>
    <s v="KAUE HENRIQUE DA SILVA OLIVEIRA"/>
    <n v="-2860.6"/>
    <x v="1"/>
    <s v="RESCISÕES"/>
  </r>
  <r>
    <x v="44"/>
    <s v="NOVEMBRO"/>
    <s v="HSERV CLEAN"/>
    <s v="J.E. COMERCIO E SOLUCOES LTDA"/>
    <n v="-2339.06"/>
    <x v="1"/>
    <s v="MERCADORIAS PARA REVENDA"/>
  </r>
  <r>
    <x v="44"/>
    <s v="NOVEMBRO"/>
    <s v="HSERV COMBINADOS"/>
    <s v="CONFIMED MEDICINA-EXAMES MEDICOS - CLINICA CONFIMED SOROCABA - ELIZABETE ROZE DE PAULA R$ 93,00/ DENILSON APARECIDO PEDROSO DE ALMEIDA R$ 62,00"/>
    <n v="-155"/>
    <x v="1"/>
    <s v="EXAMES MEDICOS"/>
  </r>
  <r>
    <x v="44"/>
    <s v="NOVEMBRO"/>
    <s v="HSERV TERCEIRIZADOS"/>
    <s v="SENIR EMBALAGENS LTDA"/>
    <n v="-779.30998799999998"/>
    <x v="1"/>
    <s v="MERCADORIAS PARA REVENDA"/>
  </r>
  <r>
    <x v="44"/>
    <s v="NOVEMBRO"/>
    <s v="HSERV TERCEIRIZADOS"/>
    <s v="MOVIDA PARTICIPACOES S.A."/>
    <n v="-195.23"/>
    <x v="1"/>
    <s v="ALUGUEL DE VEICULOS"/>
  </r>
  <r>
    <x v="44"/>
    <s v="NOVEMBRO"/>
    <s v="VITOR DUARTE"/>
    <s v="LOCALIZA FLEET S.A."/>
    <n v="-494.56"/>
    <x v="1"/>
    <s v="ALUGUEL DE VEICULOS"/>
  </r>
  <r>
    <x v="44"/>
    <s v="NOVEMBRO"/>
    <s v="HSERV COMBINADOS "/>
    <s v="FT 2 QUINZENA "/>
    <n v="-50000"/>
    <x v="1"/>
    <s v="FT"/>
  </r>
  <r>
    <x v="17"/>
    <s v="NOVEMBRO"/>
    <s v="CABREUVA"/>
    <s v="CONDOMINIO PALAZZO VENEZA"/>
    <n v="4880.1400000000003"/>
    <x v="0"/>
    <s v="VENDAS DE SERVIÇOS"/>
  </r>
  <r>
    <x v="17"/>
    <s v="NOVEMBRO"/>
    <s v="REPRESENTAÇÃO"/>
    <s v="TTB INDUSTRIA E COMERCIO DE PRODUTOS MET"/>
    <n v="603.26"/>
    <x v="0"/>
    <s v="VENDAS DE SERVIÇOS"/>
  </r>
  <r>
    <x v="17"/>
    <s v="NOVEMBRO"/>
    <s v="REPRESENTAÇÃO"/>
    <s v="TTB INDUSTRIA E COMERCIO DE PRODUTOS MET"/>
    <n v="1106.1400000000001"/>
    <x v="0"/>
    <s v="VENDAS DE SERVIÇOS"/>
  </r>
  <r>
    <x v="17"/>
    <s v="NOVEMBRO"/>
    <s v="REPRESENTAÇÃO"/>
    <s v="TTB INDUSTRIA E COMERCIO DE PRODUTOS MET"/>
    <n v="9631"/>
    <x v="0"/>
    <s v="VENDAS DE SERVIÇOS"/>
  </r>
  <r>
    <x v="17"/>
    <s v="NOVEMBRO"/>
    <s v="VITOR"/>
    <s v="DEPOSITO SANTA CATARINA LTDA"/>
    <n v="257.81"/>
    <x v="0"/>
    <s v="VENDAS DE SERVIÇOS"/>
  </r>
  <r>
    <x v="17"/>
    <s v="NOVEMBRO"/>
    <s v="VITOR"/>
    <s v="GIFEL"/>
    <n v="680.03"/>
    <x v="0"/>
    <s v="VENDAS DE SERVIÇOS"/>
  </r>
  <r>
    <x v="17"/>
    <s v="NOVEMBRO"/>
    <s v="CLEAN"/>
    <s v="RICARO"/>
    <n v="24988.71"/>
    <x v="0"/>
    <s v="VENDAS DE SERVIÇOS"/>
  </r>
  <r>
    <x v="17"/>
    <s v="NOVEMBRO"/>
    <s v="CLEAN"/>
    <s v="RICARO"/>
    <n v="16834.330000000002"/>
    <x v="0"/>
    <s v="VENDAS DE SERVIÇOS"/>
  </r>
  <r>
    <x v="17"/>
    <s v="NOVEMBRO"/>
    <s v="CLEAN"/>
    <s v="RICARO"/>
    <n v="268.13"/>
    <x v="0"/>
    <s v="VENDAS DE SERVIÇOS"/>
  </r>
  <r>
    <x v="1"/>
    <s v="NOVEMBRO"/>
    <s v="CLEAN"/>
    <s v="RICARO"/>
    <n v="2284.4499999999998"/>
    <x v="0"/>
    <s v="VENDAS DE SERVIÇOS"/>
  </r>
  <r>
    <x v="17"/>
    <s v="NOVEMBRO"/>
    <s v="HSERV TERCEIRIZADOS"/>
    <s v="LOTUS CENTRAL DE DISTRIBUICAO DE HIGIENICOS LTDA"/>
    <n v="-834.01"/>
    <x v="1"/>
    <s v="MERCADORIAS PARA REVENDA"/>
  </r>
  <r>
    <x v="17"/>
    <s v="NOVEMBRO"/>
    <s v="HSERV TERCEIRIZADOS"/>
    <s v="LOTUS CENTRAL DE DISTRIBUICAO DE HIGIENICOS LTDA"/>
    <n v="-2367.3597629999999"/>
    <x v="1"/>
    <s v="MERCADORIAS PARA REVENDA"/>
  </r>
  <r>
    <x v="17"/>
    <s v="NOVEMBRO"/>
    <s v="VITOR DUARTE"/>
    <s v="GUIA INSS 0012114-44.2023.5.15.0188 ADILIO SANTOS SOUZA VITOR DUARTE"/>
    <n v="-88.44"/>
    <x v="1"/>
    <s v="ACORDO TRABALHISTA"/>
  </r>
  <r>
    <x v="17"/>
    <s v="NOVEMBRO"/>
    <s v="VITOR DUARTE"/>
    <s v="CUSTAS 0012114-44.2023.5.15.0188 ADILIO SANTOS SOUZA VITOR DUARTE"/>
    <n v="-260"/>
    <x v="1"/>
    <s v="ACORDO TRABALHISTA"/>
  </r>
  <r>
    <x v="17"/>
    <s v="NOVEMBRO"/>
    <s v="LIMPEZA"/>
    <s v="IMPROVEMENT FIT ACADEMIA LTDA"/>
    <n v="7850"/>
    <x v="0"/>
    <s v="VENDAS DE SERVIÇOS"/>
  </r>
  <r>
    <x v="3"/>
    <s v="OUTUBRO"/>
    <s v="VITOR DUARTE"/>
    <s v="AVENIDA "/>
    <n v="340539.96"/>
    <x v="0"/>
    <s v="VENDAS DE SERVIÇOS"/>
  </r>
  <r>
    <x v="49"/>
    <s v="NOVEMBRO"/>
    <s v="TERCEIRIZADOS"/>
    <s v="BELLART"/>
    <n v="17956.39"/>
    <x v="0"/>
    <s v="VENDAS DE SERVIÇOS"/>
  </r>
  <r>
    <x v="49"/>
    <s v="NOVEMBRO"/>
    <s v="LIMPEZA"/>
    <s v="MIPAL INDUSTRIA DE EVAPORADORES LTDA"/>
    <n v="4717.4399999999996"/>
    <x v="0"/>
    <s v="VENDAS DE SERVIÇOS"/>
  </r>
  <r>
    <x v="49"/>
    <s v="NOVEMBRO"/>
    <s v="LIMPEZA"/>
    <s v="MIPAL INDUSTRIA DE EVAPORADORES LTDA"/>
    <n v="9938.39"/>
    <x v="0"/>
    <s v="VENDAS DE SERVIÇOS"/>
  </r>
  <r>
    <x v="49"/>
    <s v="NOVEMBRO"/>
    <s v="LIMPEZA"/>
    <s v="MIPAL INDUSTRIA DE EVAPORADORES LTDA"/>
    <n v="22139.98"/>
    <x v="0"/>
    <s v="VENDAS DE SERVIÇOS"/>
  </r>
  <r>
    <x v="4"/>
    <s v="NOVEMBRO"/>
    <s v="CLEAN"/>
    <s v="PLASTY COMERCIAL DE PLASTICOS LTDA"/>
    <n v="2373.8200000000002"/>
    <x v="0"/>
    <s v="VENDAS DE SERVIÇOS"/>
  </r>
  <r>
    <x v="4"/>
    <s v="NOVEMBRO"/>
    <s v="CLEAN"/>
    <s v="PLASTY COMERCIAL DE PLASTICOS LTDA"/>
    <n v="5823.82"/>
    <x v="0"/>
    <s v="VENDAS DE SERVIÇOS"/>
  </r>
  <r>
    <x v="4"/>
    <s v="NOVEMBRO"/>
    <s v="CLEAN"/>
    <s v="PLASTY COMERCIAL DE PLASTICOS LTDA"/>
    <n v="7526.95"/>
    <x v="0"/>
    <s v="VENDAS DE SERVIÇOS"/>
  </r>
  <r>
    <x v="4"/>
    <s v="NOVEMBRO"/>
    <s v="CLEAN"/>
    <s v="PLASTY COMERCIAL DE PLASTICOS LTDA"/>
    <n v="25756.63"/>
    <x v="0"/>
    <s v="VENDAS DE SERVIÇOS"/>
  </r>
  <r>
    <x v="4"/>
    <s v="NOVEMBRO"/>
    <s v="CABREUVA"/>
    <s v="BOA"/>
    <n v="816717.89"/>
    <x v="0"/>
    <s v="VENDAS DE SERVIÇOS"/>
  </r>
  <r>
    <x v="39"/>
    <s v="NOVEMBRO"/>
    <s v="HENRIQUE JEAN"/>
    <s v="EDIMARA GISELE SILVA JOANI"/>
    <n v="-6007.83"/>
    <x v="1"/>
    <s v="RESCISÕES"/>
  </r>
  <r>
    <x v="39"/>
    <s v="NOVEMBRO"/>
    <s v="HENRIQUE JEAN"/>
    <s v="GRRF EDIMARA GISELE SILVA JOANI"/>
    <n v="-2125.88"/>
    <x v="1"/>
    <s v="RESCISÕES"/>
  </r>
  <r>
    <x v="39"/>
    <s v="NOVEMBRO"/>
    <s v="HSERV LTDA"/>
    <s v="KEVYN TAWAN BERTONHA FERREIRA-FGTS EM ATRASO"/>
    <n v="-1859.23"/>
    <x v="1"/>
    <s v="IMPOSTO"/>
  </r>
  <r>
    <x v="39"/>
    <s v="NOVEMBRO"/>
    <s v="HENRIQUE JEAN"/>
    <s v="CEF MATRIZ--EMPRESTIMO HENRIQUE IEAN VENCIDO "/>
    <n v="-7000"/>
    <x v="1"/>
    <s v="EMPRESTIMO "/>
  </r>
  <r>
    <x v="39"/>
    <s v="NOVEMBRO"/>
    <s v="HSERV COMBINADOS"/>
    <s v="CEF MATRIZ-EMPRESTIMO HSERV COMBINADOS VENCIDO"/>
    <n v="-7000"/>
    <x v="1"/>
    <s v="EMPRESTIMO "/>
  </r>
  <r>
    <x v="4"/>
    <s v="NOVEMBRO"/>
    <s v="HENRIQUE JEAN"/>
    <s v="SINDPRESTEM"/>
    <n v="-630"/>
    <x v="1"/>
    <s v="SINDICATO"/>
  </r>
  <r>
    <x v="4"/>
    <s v="NOVEMBRO"/>
    <s v="HSERV CABREUVA"/>
    <s v="DECIMO TERCEIRO SALARIOS"/>
    <n v="-261861.65"/>
    <x v="1"/>
    <s v="DECIMO TERCEIRO SALARIO"/>
  </r>
  <r>
    <x v="44"/>
    <s v="NOVEMBRO"/>
    <s v="HSERV LTDA"/>
    <s v="RESOLVE ALIMENTACAO LTDA"/>
    <n v="-718.12"/>
    <x v="1"/>
    <s v="VALE ALIMENTAÇÃO"/>
  </r>
  <r>
    <x v="44"/>
    <s v="NOVEMBRO"/>
    <s v="HENRIQUE JEAN"/>
    <s v="SANTOS SEPULVEDA SOCIEDADE INDIVIDUAL DE ADVOCACIA- - PROC 0010895-75.2023.5.15.009-AMANDA BRITO SANTOS PARCELA 7/16"/>
    <n v="-1000"/>
    <x v="1"/>
    <s v="ACORDO TRABALHISTA"/>
  </r>
  <r>
    <x v="43"/>
    <s v="NOVEMBRO"/>
    <s v="HSERV COMBINADOS"/>
    <s v="SIMONE PAIXAO VAIZ-FGTS EM ATRASO "/>
    <n v="-1800"/>
    <x v="1"/>
    <s v="IMPOSTO"/>
  </r>
  <r>
    <x v="43"/>
    <s v="NOVEMBRO"/>
    <s v="VITOR DUARTE"/>
    <s v="OKUYAMA &amp; ALVES SOCIEDADE DE ADVOGADOS Processo: 0010780-86.2025.5.15.0096 Reclamante: PATRICIA VIOTTI NOGUEIRA   PARCELA 2/4"/>
    <n v="-1000"/>
    <x v="1"/>
    <s v="ACORDO TRABALHISTA"/>
  </r>
  <r>
    <x v="51"/>
    <s v="DEZEMBRO"/>
    <s v="VITOR DUARTE"/>
    <s v="OKUYAMA &amp; ALVES SOCIEDADE DE ADVOGADOS Processo: 0010780-86.2025.5.15.0096 Reclamante: PATRICIA VIOTTI NOGUEIRA   PARCELA 3/4"/>
    <n v="-1000"/>
    <x v="1"/>
    <s v="ACORDO TRABALHISTA"/>
  </r>
  <r>
    <x v="43"/>
    <s v="NOVEMBRO"/>
    <s v="HSERV CABREUVA"/>
    <s v="ZAMBONI, SOUSA, CARVALHO &amp; MARIANO ADVOGADOS-PRoc 0012075-66.2022.5.15.0096  AUTOR: CLAUDIA ARAUJO DOS SANTOS PARCELA 6/6"/>
    <n v="-10000"/>
    <x v="1"/>
    <s v="ACORDO TRABALHISTA"/>
  </r>
  <r>
    <x v="8"/>
    <s v="NOVEMBRO"/>
    <s v="HSERV COMBINADOS"/>
    <s v="MARIA ISABELE CELESTE DUARTE"/>
    <n v="-1323.08"/>
    <x v="1"/>
    <s v="RESCISÕES"/>
  </r>
  <r>
    <x v="8"/>
    <s v="NOVEMBRO"/>
    <s v="HSERV COMBINADOS"/>
    <s v="FRANCISCO GALILEU DA COSTA SILVA"/>
    <n v="-170.46"/>
    <x v="1"/>
    <s v="RESCISÕES"/>
  </r>
  <r>
    <x v="8"/>
    <s v="NOVEMBRO"/>
    <s v="VITOR DUARTE"/>
    <s v="ALTOLIM COMERCIAL ASSIS EIRELI - ME"/>
    <n v="-97.34"/>
    <x v="1"/>
    <s v="MERCADORIA PARA REVENDA"/>
  </r>
  <r>
    <x v="8"/>
    <s v="NOVEMBRO"/>
    <s v="HSERV TERCEIRIZADOS"/>
    <s v="CAETANO BERNARDES NEUBAUER PARCELA -Proc 0010591-77.2025.5.15.0074 RECLAMANTE: SIMONE FERREIRA DA SILVA 3/6 "/>
    <n v="-1000"/>
    <x v="1"/>
    <s v="ACORDO TRABALHISTA"/>
  </r>
  <r>
    <x v="52"/>
    <s v="DEZEMBRO"/>
    <s v="HSERV TERCEIRIZADOS"/>
    <s v="CAETANO BERNARDES NEUBAUER PARCELA -Proc 0010591-77.2025.5.15.0074 RECLAMANTE: SIMONE FERREIRA DA SILVA 4/6 "/>
    <n v="-1000"/>
    <x v="1"/>
    <s v="ACORDO TRABALHISTA"/>
  </r>
  <r>
    <x v="8"/>
    <s v="NOVEMBRO"/>
    <s v="VITOR DUARTE"/>
    <s v="SCOLA &amp; FALCAO SOCIEDADE DE ADVOGADAS Processo: 0010503-86.2025.5.15.0026 Reclamante: NAIR DONIZETE TEODORO DE ANDRADE 3/5"/>
    <n v="-1000"/>
    <x v="1"/>
    <s v="ACORDO TRABALHISTA"/>
  </r>
  <r>
    <x v="52"/>
    <s v="DEZEMBRO"/>
    <s v="VITOR DUARTE"/>
    <s v="SCOLA &amp; FALCAO SOCIEDADE DE ADVOGADAS Processo: 0010503-86.2025.5.15.0026 Reclamante: NAIR DONIZETE TEODORO DE ANDRADE 4/5"/>
    <n v="-1000"/>
    <x v="1"/>
    <s v="ACORDO TRABALHISTA"/>
  </r>
  <r>
    <x v="8"/>
    <s v="NOVEMBRO"/>
    <s v="HSERV REPRESENTACOES"/>
    <s v="OKUYAMA &amp; ALVES SOCIEDADE DE ADVOGADOSS - PROC 0012457-65.2023.5.15.0018 -JESSICA BARROS DOS SANTO PARCELA 7/8"/>
    <n v="-2000"/>
    <x v="1"/>
    <s v="ACORDO TRABALHISTA"/>
  </r>
  <r>
    <x v="43"/>
    <s v="NOVEMBRO"/>
    <s v="HSERV REPRESENTACOES"/>
    <s v="OKUYAMA &amp; ALVES SOCIEDADE DE ADVOGADOS PARCELA 7/8"/>
    <n v="-2000"/>
    <x v="1"/>
    <s v="ACORDO TRABALHISTA"/>
  </r>
  <r>
    <x v="4"/>
    <s v="NOVEMBRO"/>
    <s v="HSERV CABREUVA"/>
    <s v="LUCAS LEONARDO MARQUES DE OLIVEIRA"/>
    <n v="-2000"/>
    <x v="1"/>
    <s v="ACORDO TRABALHISTA"/>
  </r>
  <r>
    <x v="4"/>
    <s v="NOVEMBRO"/>
    <s v="HSERV CABREUVA"/>
    <s v="ARAUJO E RIOS ADVOGADOS ASSOCIADOS"/>
    <n v="-3836.54"/>
    <x v="1"/>
    <s v="ACORDO TRABALHISTA"/>
  </r>
  <r>
    <x v="4"/>
    <s v="NOVEMBRO"/>
    <s v="HSERV CABREUVA"/>
    <s v="TIAGO JOSE DE FREITAS OLIVEIRA"/>
    <n v="-3200"/>
    <x v="1"/>
    <s v="ACORDO TRABALHISTA"/>
  </r>
  <r>
    <x v="4"/>
    <s v="NOVEMBRO"/>
    <s v="HSERV LIMPEZA"/>
    <s v="JUAN PHILIPY STEPHANO AMARO SOCIEDADE INDIVIDUAL DE ADVOCACI"/>
    <n v="-1000"/>
    <x v="1"/>
    <s v="ACORDO TRABALHISTA"/>
  </r>
  <r>
    <x v="4"/>
    <s v="NOVEMBRO"/>
    <s v="VITOR DUARTE"/>
    <s v="LUAN VIEIRA BARRETO"/>
    <n v="-1400"/>
    <x v="1"/>
    <s v="ACORDO TRABALHISTA"/>
  </r>
  <r>
    <x v="4"/>
    <s v="NOVEMBRO"/>
    <s v="VITOR DUARTE"/>
    <s v="VALERIA GEOVANNA DOS SANTOS"/>
    <n v="-1916.67"/>
    <x v="1"/>
    <s v="ACORDO TRABALHISTA"/>
  </r>
  <r>
    <x v="4"/>
    <s v="NOVEMBRO"/>
    <s v="VITOR DUARTE"/>
    <s v="IVAN MARQUES DOS SANTOS"/>
    <n v="-2864.92"/>
    <x v="1"/>
    <s v="ACORDO TRABALHISTA"/>
  </r>
  <r>
    <x v="28"/>
    <s v="DEZEMBRO"/>
    <s v="HSERV CABREUVA"/>
    <s v="ELEKTRO SALA 16"/>
    <n v="-650"/>
    <x v="1"/>
    <s v="ENERGIA ELETRICA"/>
  </r>
  <r>
    <x v="28"/>
    <s v="DEZEMBRO"/>
    <s v="HSERV CABREUVA"/>
    <s v="ELEKTRO SALA 17"/>
    <n v="-320"/>
    <x v="1"/>
    <s v="ENERGIA ELETRICA"/>
  </r>
  <r>
    <x v="28"/>
    <s v="DEZEMBRO"/>
    <s v="HSERV CABREUVA"/>
    <s v="ELEKTRO SALA 18"/>
    <n v="-350"/>
    <x v="1"/>
    <s v="ENERGIA ELETRICA"/>
  </r>
  <r>
    <x v="28"/>
    <s v="DEZEMBRO"/>
    <s v="HSERV CABREUVA"/>
    <s v="ELEKTRO LOJA CLEAN"/>
    <n v="-201"/>
    <x v="1"/>
    <s v="ENERGIA ELETRICA"/>
  </r>
  <r>
    <x v="28"/>
    <s v="DEZEMBRO"/>
    <s v="HSERV COMBINADOS "/>
    <s v="CAIXINHA OPERACIONAL - OSSIRES"/>
    <n v="-2000"/>
    <x v="1"/>
    <s v="CAIXINHA"/>
  </r>
  <r>
    <x v="28"/>
    <s v="DEZEMBRO"/>
    <s v="HSERV COMBINADOS "/>
    <s v="CAIXINHA OPERACIONAL "/>
    <n v="-5000"/>
    <x v="1"/>
    <s v="CAIXINHA"/>
  </r>
  <r>
    <x v="53"/>
    <s v="DEZEMBRO"/>
    <s v="VITOR DUARTE"/>
    <s v="VIVA FOOD R E LTDA"/>
    <n v="-13041.15"/>
    <x v="1"/>
    <s v="VALE ALIMENTAÇÃO"/>
  </r>
  <r>
    <x v="54"/>
    <s v="DEZEMBRO"/>
    <s v="HSERV CLEAN"/>
    <s v="J.E. COMERCIO E SOLUCOES LTDA"/>
    <n v="-1125.3"/>
    <x v="1"/>
    <s v="MERCADORIAS PARA REVENDA"/>
  </r>
  <r>
    <x v="54"/>
    <s v="DEZEMBRO"/>
    <s v="HSERV CLEAN"/>
    <s v="SPARTAN DO BRASIL PRODUTOS QUIMICOS LTDA"/>
    <n v="-11785.15"/>
    <x v="1"/>
    <s v="MERCADORIAS PARA REVENDA"/>
  </r>
  <r>
    <x v="54"/>
    <s v="DEZEMBRO"/>
    <s v="HSERV LTDA"/>
    <s v="L. A. DE SOUZA - EQUIPAMENTOS DE SEGURANCA LTDA"/>
    <n v="-180"/>
    <x v="1"/>
    <s v="UNIFORMES"/>
  </r>
  <r>
    <x v="54"/>
    <s v="DEZEMBRO"/>
    <s v="HSERV TERCEIRIZADOS ND"/>
    <s v="_x0009_ENCARGOS LIMITE DE CRED- HSERV TERCERIZADOS BRADESCO "/>
    <n v="-900"/>
    <x v="1"/>
    <s v="ENCARGOS"/>
  </r>
  <r>
    <x v="55"/>
    <s v="DEZEMBRO"/>
    <s v="HSERV CABREUVA"/>
    <s v="BANCO ITAUCARD S.A.- "/>
    <n v="-3809.98"/>
    <x v="1"/>
    <s v="FINANCIAMENTO"/>
  </r>
  <r>
    <x v="55"/>
    <s v="DEZEMBRO"/>
    <s v="HSERV COMBINADOS"/>
    <s v="LOCALIZA FLEET S.A."/>
    <n v="-573.54"/>
    <x v="1"/>
    <s v="ALUGUEL DE VEICULOS"/>
  </r>
  <r>
    <x v="55"/>
    <s v="DEZEMBRO"/>
    <s v="HSERV COMBINADOS"/>
    <s v="LOCALIZA FLEET S.A."/>
    <n v="-95.14"/>
    <x v="1"/>
    <s v="ALUGUEL DE VEICULOS"/>
  </r>
  <r>
    <x v="55"/>
    <s v="DEZEMBRO"/>
    <s v="HSERV COMBINADOS"/>
    <s v="LOCALIZA FLEET S.A."/>
    <n v="-233.26"/>
    <x v="1"/>
    <s v="ALUGUEL DE VEICULOS"/>
  </r>
  <r>
    <x v="55"/>
    <s v="DEZEMBRO"/>
    <s v="HSERV LTDA"/>
    <s v="ALTOLIM COMERCIAL ASSIS EIRELI - ME"/>
    <n v="-91.450354000000004"/>
    <x v="1"/>
    <s v="MERCADORIA PARA REVENDA"/>
  </r>
  <r>
    <x v="55"/>
    <s v="DEZEMBRO"/>
    <s v="HSERV TERCEIRIZADOS"/>
    <s v="ESCOBRAS INDUSTRIA E COMERCIO DE MAQUINAS LTDA"/>
    <n v="-987.07"/>
    <x v="1"/>
    <s v="MANUTENÇÃO"/>
  </r>
  <r>
    <x v="55"/>
    <s v="DEZEMBRO"/>
    <s v="HSERV CABREUVA"/>
    <s v="TAR PLANO ADAPT 3 05/24"/>
    <n v="-349"/>
    <x v="1"/>
    <s v="TARIFA BANCARIA"/>
  </r>
  <r>
    <x v="55"/>
    <s v="DEZEMBRO"/>
    <s v="HSERV TERCERIZADOS"/>
    <s v="TAR PLANO ADAPT 3 05/24"/>
    <n v="-389"/>
    <x v="1"/>
    <s v="TARIFA BANCARIA"/>
  </r>
  <r>
    <x v="55"/>
    <s v="DEZEMBRO"/>
    <s v="HSERV COMBINADOS"/>
    <s v="TAR PLANO ADAPT 3 05/24"/>
    <n v="-349"/>
    <x v="1"/>
    <s v="TARIFA BANCARIA"/>
  </r>
  <r>
    <x v="55"/>
    <s v="DEZEMBRO"/>
    <s v="HENRIQUE JEAN"/>
    <s v="TAR PLANO ADAPT 3 05/24"/>
    <n v="-349"/>
    <x v="1"/>
    <s v="TARIFA BANCARIA"/>
  </r>
  <r>
    <x v="55"/>
    <s v="DEZEMBRO"/>
    <s v="HSERV TECNOLOGIA"/>
    <s v="TAR PLANO ADAPT 3 05/24"/>
    <n v="-389"/>
    <x v="1"/>
    <s v="TARIFA BANCARIA"/>
  </r>
  <r>
    <x v="55"/>
    <s v="DEZEMBRO"/>
    <s v="HSERV LIMPEZA"/>
    <s v="TAR PLANO ADAPT 3 05/24"/>
    <n v="-389"/>
    <x v="1"/>
    <s v="TARIFA BANCARIA"/>
  </r>
  <r>
    <x v="55"/>
    <s v="DEZEMBRO"/>
    <s v="HSERV REPRESENTAÇÃO"/>
    <s v="TAR PLANO ADAPT 3 05/24"/>
    <n v="-389"/>
    <x v="1"/>
    <s v="TARIFA BANCARIA"/>
  </r>
  <r>
    <x v="53"/>
    <s v="DEZEMBRO"/>
    <s v="HSERV CABREUVA "/>
    <s v="CREDIFIT"/>
    <n v="-2000"/>
    <x v="1"/>
    <s v="CONSIGNADO"/>
  </r>
  <r>
    <x v="53"/>
    <s v="DEZEMBRO"/>
    <s v="HSERV CABREUVA"/>
    <s v="SALARIO CLT, PENSÃO ALIMENTICIA, BONUS-"/>
    <n v="-475000"/>
    <x v="1"/>
    <s v="SALARIOS"/>
  </r>
  <r>
    <x v="53"/>
    <s v="DEZEMBRO"/>
    <s v="HSERV CABREUVA"/>
    <s v="ESTER CARDOZO DE LIMA "/>
    <n v="-500"/>
    <x v="1"/>
    <s v="SALARIOS"/>
  </r>
  <r>
    <x v="53"/>
    <s v="DEZEMBRO"/>
    <s v="HSERV CABREUVA"/>
    <s v="MEI  "/>
    <n v="-15000"/>
    <x v="1"/>
    <s v="SALARIOS"/>
  </r>
  <r>
    <x v="56"/>
    <s v="DEZEMBRO"/>
    <s v="HSERV CLEAN"/>
    <s v="EMPRESTIMO HSERV CLEAN BRADESCO -PARCELA MENSAL"/>
    <n v="-5523.75"/>
    <x v="1"/>
    <s v="EMPRESTIMO "/>
  </r>
  <r>
    <x v="53"/>
    <s v="DEZEMBRO"/>
    <s v="VITOR DUARTE"/>
    <s v="TAXA DE FISCALIZAÇÃO- VTM NEGOCIOS IMOBILIARIOS- EMPRESA VITOR PESSOAL- LEMBRAR O VITOR DE REALIZAR O PAGAMENTO "/>
    <n v="-226.68"/>
    <x v="1"/>
    <s v="APORTE"/>
  </r>
  <r>
    <x v="53"/>
    <s v="DEZEMBRO"/>
    <s v="HSERV COMBINADOS "/>
    <s v="FT ASSIS E REGIÃO-"/>
    <n v="-7000"/>
    <x v="1"/>
    <s v="FT"/>
  </r>
  <r>
    <x v="57"/>
    <s v="DEZEMBRO"/>
    <s v="VITOR DUARTE"/>
    <s v="VIVA FOOD R E LTDA"/>
    <n v="-13041.15"/>
    <x v="1"/>
    <s v="VALE ALIMENTAÇÃO"/>
  </r>
  <r>
    <x v="58"/>
    <s v="DEZEMBRO"/>
    <s v="HSERV TECNOLOGIA"/>
    <s v="PAPEL E CIA"/>
    <n v="-700"/>
    <x v="1"/>
    <s v="MATERIAL DE ESCRITÓRIO"/>
  </r>
  <r>
    <x v="58"/>
    <s v="DEZEMBRO"/>
    <s v="HSERV COMBINADOS "/>
    <s v="BRASIL MEDICINE - PROVISÃO "/>
    <n v="-9000"/>
    <x v="1"/>
    <s v="SINDICATO"/>
  </r>
  <r>
    <x v="58"/>
    <s v="DEZEMBRO"/>
    <s v="HSERV CABREUVA"/>
    <s v="SERGIO LUIZ BERTOLO"/>
    <n v="-290"/>
    <x v="1"/>
    <s v="ALUGUEL DE IMOVEIS"/>
  </r>
  <r>
    <x v="58"/>
    <s v="DEZEMBRO"/>
    <s v="HSERV COMBINADOS "/>
    <s v="JAIR RÉ"/>
    <n v="-1000"/>
    <x v="1"/>
    <s v="COMISSOES"/>
  </r>
  <r>
    <x v="58"/>
    <s v="DEZEMBRO"/>
    <s v="VITOR DUARTE"/>
    <s v="MARCASA-SEGURANÇA VEPAKUM"/>
    <n v="-10500"/>
    <x v="1"/>
    <s v="SEGURANÇAS"/>
  </r>
  <r>
    <x v="58"/>
    <s v="DEZEMBRO"/>
    <s v="HSERV COMBINADOS "/>
    <s v="JHONNY WALACE"/>
    <n v="-1000"/>
    <x v="1"/>
    <s v="COMISSOES"/>
  </r>
  <r>
    <x v="58"/>
    <s v="DEZEMBRO"/>
    <s v="HSERV CLEAN"/>
    <s v="INTERMEDICA"/>
    <n v="-7530.4"/>
    <x v="1"/>
    <s v="CONVENIO MEDICO"/>
  </r>
  <r>
    <x v="58"/>
    <s v="DEZEMBRO"/>
    <s v="HSERV CABREUVA"/>
    <s v="AUTO POSTO JARDIM DAS HORTENCI"/>
    <n v="-8000"/>
    <x v="1"/>
    <s v="COMBUSTIVEL E PEDAGIO"/>
  </r>
  <r>
    <x v="58"/>
    <s v="DEZEMBRO"/>
    <s v="HENRIQUE JEAN ND"/>
    <s v="FIT ADM (VIDA NOVA) 34-07"/>
    <n v="-432"/>
    <x v="1"/>
    <s v="RESERVA"/>
  </r>
  <r>
    <x v="58"/>
    <s v="DEZEMBRO"/>
    <s v="VITOR  DUARTE"/>
    <s v="RONDAWEB CONEXOES LTDA"/>
    <n v="-553.25"/>
    <x v="1"/>
    <s v="SISTEMA"/>
  </r>
  <r>
    <x v="48"/>
    <s v="DEZEMBRO"/>
    <s v="HSERV TERCEIRIZADOS"/>
    <s v="MOVIDA PARTICIPACOES S.A.-"/>
    <n v="-4375.75"/>
    <x v="1"/>
    <s v="ALUGUEL DE VEICULOS"/>
  </r>
  <r>
    <x v="48"/>
    <s v="DEZEMBRO"/>
    <s v="HSERV TERCEIRIZADOS"/>
    <s v="MOVIDA PARTICIPACOES S.A.-"/>
    <n v="-2173.96"/>
    <x v="1"/>
    <s v="ALUGUEL DE VEICULOS"/>
  </r>
  <r>
    <x v="18"/>
    <s v="DEZEMBRO"/>
    <s v="HSERV CABREUVA"/>
    <s v="RESCISÕES"/>
    <n v="-40000"/>
    <x v="1"/>
    <s v="RESCISÕES"/>
  </r>
  <r>
    <x v="56"/>
    <s v="DEZEMBRO"/>
    <s v="HSERV CABREUVA"/>
    <s v="MEI  "/>
    <n v="-60000"/>
    <x v="1"/>
    <s v="SALARIOS"/>
  </r>
  <r>
    <x v="56"/>
    <s v="DEZEMBRO"/>
    <s v="HSERV CABREUVA"/>
    <s v="ASSIDUIDADE"/>
    <n v="-45000"/>
    <x v="1"/>
    <s v="ASSIDUIDADE"/>
  </r>
  <r>
    <x v="56"/>
    <s v="DEZEMBRO"/>
    <s v="HSERV CABREUVA"/>
    <s v="VALE ALIMENTAÇÃO MENSAL -"/>
    <n v="-95000"/>
    <x v="1"/>
    <s v="VALE ALIMENTAÇÃO"/>
  </r>
  <r>
    <x v="56"/>
    <s v="DEZEMBRO"/>
    <s v=" HSERV CABREUVA"/>
    <s v="VALE TRANSPORTE BASE"/>
    <n v="-10000"/>
    <x v="1"/>
    <s v="VALE TRANSPORTE"/>
  </r>
  <r>
    <x v="56"/>
    <s v="DEZEMBRO"/>
    <s v="VITOR DUARTE"/>
    <s v="BOLETO OTAVIO"/>
    <n v="-20000"/>
    <x v="1"/>
    <s v="PROLABORE"/>
  </r>
  <r>
    <x v="56"/>
    <s v="DEZEMBRO"/>
    <s v="HSERV COMBINADOS "/>
    <s v="ESTER CARDOZO"/>
    <n v="-1375"/>
    <x v="1"/>
    <s v="SALARIOS"/>
  </r>
  <r>
    <x v="56"/>
    <s v="DEZEMBRO"/>
    <s v="HSERV CABREUVA"/>
    <s v="SEM PARAR- "/>
    <n v="-6500"/>
    <x v="1"/>
    <s v="COMBUSTIVEL E PEDAGIO"/>
  </r>
  <r>
    <x v="56"/>
    <s v="DEZEMBRO"/>
    <s v="VITOR DUARTE"/>
    <s v="CARTAO DE CRÉDITO-"/>
    <n v="-12000"/>
    <x v="1"/>
    <s v="CARTÃO DE CREDITO"/>
  </r>
  <r>
    <x v="56"/>
    <s v="DEZEMBRO"/>
    <s v="HENRIQUE JEAN"/>
    <s v="CARTÃO DE CREDITO"/>
    <n v="-2302.0500000000002"/>
    <x v="1"/>
    <s v="CARTÃO DE CREDITO"/>
  </r>
  <r>
    <x v="56"/>
    <s v="DEZEMBRO"/>
    <s v="HSERV COMBINADOS"/>
    <s v="CARTÃO DE CREDITO"/>
    <n v="-1248.99"/>
    <x v="1"/>
    <s v="CARTÃO DE CREDITO"/>
  </r>
  <r>
    <x v="57"/>
    <s v="DEZEMBRO"/>
    <s v="HENRIQUE JEAN"/>
    <s v="CASSIA REGINA MARTINS AMARAL"/>
    <n v="-4378.37"/>
    <x v="1"/>
    <s v="RESCISÕES"/>
  </r>
  <r>
    <x v="57"/>
    <s v="DEZEMBRO"/>
    <s v="HENRIQUE JEAN"/>
    <s v="CASSIA REGINA MARTINS AMARAL"/>
    <n v="-1202.94"/>
    <x v="1"/>
    <s v="RESCISÕES"/>
  </r>
  <r>
    <x v="57"/>
    <s v="DEZEMBRO"/>
    <s v="HSERV REPRESENTACOES"/>
    <s v="THALYTA ALONSO DA COSTA"/>
    <n v="-1004.44"/>
    <x v="1"/>
    <s v="RESCISÕES"/>
  </r>
  <r>
    <x v="57"/>
    <s v="DEZEMBRO"/>
    <s v="HSERV REPRESENTACOES"/>
    <s v="THALYTA ALONSO DA COSTA"/>
    <n v="-4486.08"/>
    <x v="1"/>
    <s v="RESCISÕES"/>
  </r>
  <r>
    <x v="57"/>
    <s v="DEZEMBRO"/>
    <s v="HSERV CABREUVA"/>
    <s v="SICOOB HSERV CABREUVA NEGOCIAÇÃO CHEQUE ESPECIAL "/>
    <n v="-2012.45"/>
    <x v="1"/>
    <s v="EMPRESTIMO "/>
  </r>
  <r>
    <x v="56"/>
    <s v="DEZEMBRO"/>
    <s v="HSERV CABREUVA"/>
    <s v="TARIFA MAX EMPRESARIAL"/>
    <n v="-171.1"/>
    <x v="1"/>
    <s v="TARIFA BANCARIA"/>
  </r>
  <r>
    <x v="56"/>
    <s v="DEZEMBRO"/>
    <s v="HSERV CLEAN"/>
    <s v="TARIFA MAX EMPRESARIAL"/>
    <n v="-171.1"/>
    <x v="1"/>
    <s v="TARIFA BANCARIA"/>
  </r>
  <r>
    <x v="56"/>
    <s v="DEZEMBRO"/>
    <s v="HSERV COMBINADOS "/>
    <s v="TARIFA MAX EMPRESARIAL"/>
    <n v="-171.1"/>
    <x v="1"/>
    <s v="TARIFA BANCARIA"/>
  </r>
  <r>
    <x v="56"/>
    <s v="DEZEMBRO"/>
    <s v="HSERV COMBINADOS  ND "/>
    <s v="TARIFA MAX EMPRESARIAL"/>
    <n v="-171.1"/>
    <x v="1"/>
    <s v="TARIFA BANCARIA"/>
  </r>
  <r>
    <x v="56"/>
    <s v="DEZEMBRO"/>
    <s v="HENRIQUE JEAN"/>
    <s v="TARIFA MAX EMPRESARIAL"/>
    <n v="-171.1"/>
    <x v="1"/>
    <s v="TARIFA BANCARIA"/>
  </r>
  <r>
    <x v="56"/>
    <s v="DEZEMBRO"/>
    <s v="HENRIQUE JEAN ND"/>
    <s v="TARIFA MAX EMPRESARIAL"/>
    <n v="-171.1"/>
    <x v="1"/>
    <s v="TARIFA BANCARIA"/>
  </r>
  <r>
    <x v="56"/>
    <s v="DEZEMBRO"/>
    <s v="VITOR DUARTE"/>
    <s v="TARIFA MAX EMPRESARIAL"/>
    <n v="-171.1"/>
    <x v="1"/>
    <s v="TARIFA BANCARIA"/>
  </r>
  <r>
    <x v="56"/>
    <s v="DEZEMBRO"/>
    <s v="VITOR DUARTE ND"/>
    <s v="TARIFA MAX EMPRESARIAL"/>
    <n v="-171.1"/>
    <x v="1"/>
    <s v="TARIFA BANCARIA"/>
  </r>
  <r>
    <x v="56"/>
    <s v="DEZEMBRO"/>
    <s v="HSERV TERCERIZADOS"/>
    <s v="TARIFA MAX EMPRESARIAL"/>
    <n v="-171.1"/>
    <x v="1"/>
    <s v="TARIFA BANCARIA"/>
  </r>
  <r>
    <x v="56"/>
    <s v="DEZEMBRO"/>
    <s v="HSERV TERCERIZADOS ND"/>
    <s v="TARIFA MAX EMPRESARIAL"/>
    <n v="-171.1"/>
    <x v="1"/>
    <s v="TARIFA BANCARIA"/>
  </r>
  <r>
    <x v="56"/>
    <s v="DEZEMBRO"/>
    <s v="HSERV LIMPEZA"/>
    <s v="TARIFA MAX EMPRESARIAL"/>
    <n v="-171.1"/>
    <x v="1"/>
    <s v="TARIFA BANCARIA"/>
  </r>
  <r>
    <x v="56"/>
    <s v="DEZEMBRO"/>
    <s v="HSERV LIMPEZA ND"/>
    <s v="TARIFA MAX EMPRESARIAL"/>
    <n v="-171.1"/>
    <x v="1"/>
    <s v="TARIFA BANCARIA"/>
  </r>
  <r>
    <x v="56"/>
    <s v="DEZEMBRO"/>
    <s v="HSERV TECNOLOGIA"/>
    <s v="TARIFA MAX EMPRESARIAL"/>
    <n v="-171.1"/>
    <x v="1"/>
    <s v="TARIFA BANCARIA"/>
  </r>
  <r>
    <x v="56"/>
    <s v="DEZEMBRO"/>
    <s v="HSERV REPRESENTAÇÃO"/>
    <s v="TARIFA MAX EMPRESARIAL"/>
    <n v="-171.1"/>
    <x v="1"/>
    <s v="TARIFA BANCARIA"/>
  </r>
  <r>
    <x v="56"/>
    <s v="DEZEMBRO"/>
    <s v="HSERV CABREUVA"/>
    <s v="VALE COMBUSTIVEL-2 QUINZENA "/>
    <n v="-8000"/>
    <x v="1"/>
    <s v="VALE COMBUSTIVEL"/>
  </r>
  <r>
    <x v="48"/>
    <s v="DEZEMBRO"/>
    <s v="HSERV CABREUVA"/>
    <s v="SABESP SALA 16"/>
    <n v="-141.69999999999999"/>
    <x v="1"/>
    <s v="AGUA"/>
  </r>
  <r>
    <x v="48"/>
    <s v="DEZEMBRO"/>
    <s v="HSERV CABREUVA"/>
    <s v="SABESP SALA 17"/>
    <n v="-141.69999999999999"/>
    <x v="1"/>
    <s v="AGUA"/>
  </r>
  <r>
    <x v="48"/>
    <s v="DEZEMBRO"/>
    <s v="HSERV CABREUVA"/>
    <s v="SABESP SALA 18"/>
    <n v="-141.69999999999999"/>
    <x v="1"/>
    <s v="AGUA"/>
  </r>
  <r>
    <x v="48"/>
    <s v="DEZEMBRO"/>
    <s v="HSERV CABREUVA"/>
    <s v="SABESP CLEAN"/>
    <n v="-139.25"/>
    <x v="1"/>
    <s v="AGUA"/>
  </r>
  <r>
    <x v="56"/>
    <s v="DEZEMBRO"/>
    <s v="HSERV TECNOLOGIA"/>
    <s v="OMIEXPERIENCE LTDA."/>
    <n v="-244.5"/>
    <x v="1"/>
    <s v="SISTEMA"/>
  </r>
  <r>
    <x v="56"/>
    <s v="DEZEMBRO"/>
    <s v="HSERV REPRESENTACOES"/>
    <s v="OMIEXPERIENCE LTDA."/>
    <n v="-300"/>
    <x v="1"/>
    <s v="SISTEMA"/>
  </r>
  <r>
    <x v="56"/>
    <s v="DEZEMBRO"/>
    <s v="HSERV CABREUVA "/>
    <s v="OMIEXPERIENCE LTDA."/>
    <n v="-300"/>
    <x v="1"/>
    <s v="SISTEMA"/>
  </r>
  <r>
    <x v="56"/>
    <s v="DEZEMBRO"/>
    <s v="HSERV  COMBINADOS"/>
    <s v="OMIEXPERIENCE LTDA."/>
    <n v="-300"/>
    <x v="1"/>
    <s v="SISTEMA"/>
  </r>
  <r>
    <x v="56"/>
    <s v="DEZEMBRO"/>
    <s v="HENRIQUE JEAN DUARTE "/>
    <s v="OMIEXPERIENCE LTDA."/>
    <n v="-275"/>
    <x v="1"/>
    <s v="SISTEMA"/>
  </r>
  <r>
    <x v="56"/>
    <s v="DEZEMBRO"/>
    <s v="HSERV TERCEIRIZADOS"/>
    <s v="OMIEXPERIENCE LTDA."/>
    <n v="-300"/>
    <x v="1"/>
    <s v="SISTEMA"/>
  </r>
  <r>
    <x v="56"/>
    <s v="DEZEMBRO"/>
    <s v="HSERV  LIMPEZA "/>
    <s v="OMIEXPERIENCE LTDA."/>
    <n v="-300"/>
    <x v="1"/>
    <s v="SISTEMA"/>
  </r>
  <r>
    <x v="56"/>
    <s v="DEZEMBRO"/>
    <s v="VITOR  DUARTE "/>
    <s v="OMIEXPERIENCE LTDA."/>
    <n v="-350"/>
    <x v="1"/>
    <s v="SISTEMA"/>
  </r>
  <r>
    <x v="56"/>
    <s v="DEZEMBRO"/>
    <s v="HSER CLEAN"/>
    <s v="OMIEXPERIENCE LTDA."/>
    <n v="-373.51"/>
    <x v="1"/>
    <s v="SISTEMA"/>
  </r>
  <r>
    <x v="51"/>
    <s v="DEZEMBRO"/>
    <s v="HENRIQUE JEAN"/>
    <s v="EMPORIO MEGA 100 COMERCIO DE ALIMENTOS S.A."/>
    <n v="-3022.31"/>
    <x v="1"/>
    <s v="CESTA BASICA"/>
  </r>
  <r>
    <x v="51"/>
    <s v="DEZEMBRO"/>
    <s v="HSERV CABREUVA"/>
    <s v="EMPORIO MEGA 100 COMERCIO DE ALIMENTOS S.A."/>
    <n v="-3952.25"/>
    <x v="1"/>
    <s v="CESTA BASICA"/>
  </r>
  <r>
    <x v="51"/>
    <s v="DEZEMBRO"/>
    <s v="HSERV CLEAN"/>
    <s v="EMPORIO MEGA 100 COMERCIO DE ALIMENTOS S.A."/>
    <n v="-3409.78"/>
    <x v="1"/>
    <s v="CESTA BASICA"/>
  </r>
  <r>
    <x v="51"/>
    <s v="DEZEMBRO"/>
    <s v="HSERV CLEAN"/>
    <s v="EMPORIO MEGA 100 COMERCIO DE ALIMENTOS S.A."/>
    <n v="-852.45"/>
    <x v="1"/>
    <s v="CESTA BASICA"/>
  </r>
  <r>
    <x v="51"/>
    <s v="DEZEMBRO"/>
    <s v="HSERV COMBINADOS"/>
    <s v="EMPORIO MEGA 100 COMERCIO DE ALIMENTOS S.A."/>
    <n v="-2944.81"/>
    <x v="1"/>
    <s v="CESTA BASICA"/>
  </r>
  <r>
    <x v="51"/>
    <s v="DEZEMBRO"/>
    <s v="HSERV LIMPEZA"/>
    <s v="EMPORIO MEGA 100 COMERCIO DE ALIMENTOS S.A."/>
    <n v="-852.45"/>
    <x v="1"/>
    <s v="CESTA BASICA"/>
  </r>
  <r>
    <x v="51"/>
    <s v="DEZEMBRO"/>
    <s v="HSERV REPRESENTACOES"/>
    <s v="EMPORIO MEGA 100 COMERCIO DE ALIMENTOS S.A."/>
    <n v="-929.94"/>
    <x v="1"/>
    <s v="CESTA BASICA"/>
  </r>
  <r>
    <x v="51"/>
    <s v="DEZEMBRO"/>
    <s v="HSERV TECNOLOGIA"/>
    <s v="EMPORIO MEGA 100 COMERCIO DE ALIMENTOS S.A."/>
    <n v="-232.49"/>
    <x v="1"/>
    <s v="CESTA BASICA"/>
  </r>
  <r>
    <x v="51"/>
    <s v="DEZEMBRO"/>
    <s v="HSERV TERCEIRIZADOS"/>
    <s v="EMPORIO MEGA 100 COMERCIO DE ALIMENTOS S.A."/>
    <n v="-464.97"/>
    <x v="1"/>
    <s v="CESTA BASICA"/>
  </r>
  <r>
    <x v="51"/>
    <s v="DEZEMBRO"/>
    <s v="VITOR DUARTE"/>
    <s v="EMPORIO MEGA 100 COMERCIO DE ALIMENTOS S.A."/>
    <n v="-542.47"/>
    <x v="1"/>
    <s v="CESTA BASICA"/>
  </r>
  <r>
    <x v="48"/>
    <s v="DEZEMBRO"/>
    <s v="VITOR DUARTE"/>
    <s v="LOCALIZA - VENCIDA"/>
    <n v="-3760"/>
    <x v="1"/>
    <s v="ALUGUEL DE VEICULOS"/>
  </r>
  <r>
    <x v="48"/>
    <s v="DEZEMBRO"/>
    <s v="VITOR DUARTE"/>
    <s v="LOCALIZA - VENCIDA"/>
    <n v="-5800"/>
    <x v="1"/>
    <s v="ALUGUEL DE VEICULOS"/>
  </r>
  <r>
    <x v="48"/>
    <s v="DEZEMBRO"/>
    <s v="HSERV COMBINADOS "/>
    <s v="LOCALIZA - VENCIDA"/>
    <n v="-5460"/>
    <x v="1"/>
    <s v="ALUGUEL DE VEICULOS"/>
  </r>
  <r>
    <x v="2"/>
    <s v="DEZEMBRO"/>
    <s v="VITOR DUARTE"/>
    <s v="VIVA FOOD R E LTDA"/>
    <n v="-13041.15"/>
    <x v="1"/>
    <s v="VALE ALIMENTAÇÃO"/>
  </r>
  <r>
    <x v="48"/>
    <s v="DEZEMBRO"/>
    <s v="VITOR DUARTE"/>
    <s v="ALTOLIM COMERCIAL ASSIS EIRELI - ME"/>
    <n v="-55.285685999999998"/>
    <x v="1"/>
    <s v="MERCADORIA PARA REVENDA"/>
  </r>
  <r>
    <x v="48"/>
    <s v="DEZEMBRO"/>
    <s v="VITOR DUARTE"/>
    <s v="ALTOLIM COMERCIAL ASSIS EIRELI - ME"/>
    <n v="-9.8543140000000005"/>
    <x v="1"/>
    <s v="MERCADORIA PARA REVENDA"/>
  </r>
  <r>
    <x v="48"/>
    <s v="DEZEMBRO"/>
    <s v="HSERV CABREUVA"/>
    <s v="ASOMETRA- VENCIDA"/>
    <n v="-4500"/>
    <x v="1"/>
    <s v="EXAMES MEDICOS"/>
  </r>
  <r>
    <x v="10"/>
    <s v="DEZEMBRO"/>
    <s v="HSERV CABREUVA"/>
    <s v="BRADESCO "/>
    <n v="-35714.57"/>
    <x v="1"/>
    <s v="EMPRESTIMO "/>
  </r>
  <r>
    <x v="48"/>
    <s v="DEZEMBRO"/>
    <s v="HSERV CABREUVA"/>
    <s v="SINDICATO DOS EMPREGADOS - VENCIDA"/>
    <n v="-30"/>
    <x v="1"/>
    <s v="SINDICATO"/>
  </r>
  <r>
    <x v="48"/>
    <s v="DEZEMBRO"/>
    <s v="HSERV CABREUVA"/>
    <s v="SINDICATO DOS EMPREGADOS - VENCIDA "/>
    <n v="-10000"/>
    <x v="1"/>
    <s v="SINDICATO"/>
  </r>
  <r>
    <x v="48"/>
    <s v="DEZEMBRO"/>
    <s v="HSERV CABREUVA"/>
    <s v="BENEFICIO SOCIALVENCIDA"/>
    <n v="-4500"/>
    <x v="1"/>
    <s v="SINDICATO"/>
  </r>
  <r>
    <x v="48"/>
    <s v="DEZEMBRO"/>
    <s v="VITOR DUARTE"/>
    <s v="JONESO EMPREENDIMENTOS"/>
    <n v="-5460"/>
    <x v="1"/>
    <s v="ALUGUEL DE IMOVEIS"/>
  </r>
  <r>
    <x v="59"/>
    <s v="DEZEMBRO"/>
    <s v="HSERV COMBINADOS "/>
    <s v="SOFISA ACORDO- PROCESSO EXECUÇÃO"/>
    <n v="-5996.67"/>
    <x v="1"/>
    <s v="EMPRESTIMO "/>
  </r>
  <r>
    <x v="60"/>
    <s v="DEZEMBRO"/>
    <s v="HSERV CABREUVA"/>
    <s v="IF EMPRESARIAL"/>
    <n v="-15086.65"/>
    <x v="1"/>
    <s v="CONTABILIDADE"/>
  </r>
  <r>
    <x v="60"/>
    <s v="DEZEMBRO"/>
    <s v="HSERV CABREUVA"/>
    <s v="RESOLVE ALIMENTAÇÃO "/>
    <n v="-718"/>
    <x v="1"/>
    <s v="VALE ALIMENTAÇÃO"/>
  </r>
  <r>
    <x v="60"/>
    <s v="DEZEMBRO"/>
    <s v="HSERV CABREUVA"/>
    <s v="ANJO AZUL ALARMES"/>
    <n v="-1114"/>
    <x v="1"/>
    <s v="SISTEMA"/>
  </r>
  <r>
    <x v="60"/>
    <s v="DEZEMBRO"/>
    <s v="HSERV CABREUVA"/>
    <s v="MAXIWEB INTERNET PROVIDER LTDA"/>
    <n v="-39.799999999999997"/>
    <x v="1"/>
    <s v="SISTEMA"/>
  </r>
  <r>
    <x v="2"/>
    <s v="DEZEMBRO"/>
    <s v="HSERV CABREUVA"/>
    <s v="SIMPLES NACIONAL MENSAL "/>
    <n v="-20000"/>
    <x v="1"/>
    <s v="IMPOSTO"/>
  </r>
  <r>
    <x v="2"/>
    <s v="DEZEMBRO"/>
    <s v="VITOR DUARTE"/>
    <s v="ISS- LUCRO REAL EMPRESA VITOR"/>
    <n v="-15000"/>
    <x v="1"/>
    <s v="IMPOSTO"/>
  </r>
  <r>
    <x v="2"/>
    <s v="DEZEMBRO"/>
    <s v="VITOR DUARTE"/>
    <s v="DARF DE COFINS, PIS- LUCRO  PRESUMIDO HSERV CABREUVA"/>
    <n v="-3000"/>
    <x v="1"/>
    <s v="IMPOSTO"/>
  </r>
  <r>
    <x v="2"/>
    <s v="DEZEMBRO"/>
    <s v="HSERV CABREUVA"/>
    <s v="FGTS MENSAL"/>
    <n v="-55000"/>
    <x v="1"/>
    <s v="IMPOSTO"/>
  </r>
  <r>
    <x v="2"/>
    <s v="DEZEMBRO"/>
    <s v="HSERV CABREUVA"/>
    <s v="DARF INSS-TODAS EMPRESAS"/>
    <n v="-50000"/>
    <x v="1"/>
    <s v="IMPOSTO"/>
  </r>
  <r>
    <x v="60"/>
    <s v="DEZEMBRO"/>
    <s v="HSERV CABREUVA"/>
    <s v="FT 1 QUINZENA E PACOTES, RT"/>
    <n v="-110000"/>
    <x v="1"/>
    <s v="FT"/>
  </r>
  <r>
    <x v="2"/>
    <s v="DEZEMBRO"/>
    <s v="HSERV CABREUVA"/>
    <s v="VALE TRANSPORTE MENSAL VIAÇÕES"/>
    <n v="-41000"/>
    <x v="1"/>
    <s v="VALE TRANSPORTE"/>
  </r>
  <r>
    <x v="60"/>
    <s v="DEZEMBRO"/>
    <s v="HENRIQUE JEAN"/>
    <s v="EMPORIO MEGA 100 COMERCIO DE ALIMENTOS S.A."/>
    <n v="-464.97"/>
    <x v="1"/>
    <s v="CESTA BASICA"/>
  </r>
  <r>
    <x v="60"/>
    <s v="DEZEMBRO"/>
    <s v="HSERV CABREUVA"/>
    <s v="EMPORIO MEGA 100 COMERCIO DE ALIMENTOS S.A."/>
    <n v="-1239.92"/>
    <x v="1"/>
    <s v="CESTA BASICA"/>
  </r>
  <r>
    <x v="60"/>
    <s v="DEZEMBRO"/>
    <s v="HSERV CLEAN"/>
    <s v="EMPORIO MEGA 100 COMERCIO DE ALIMENTOS S.A."/>
    <n v="-1007.43"/>
    <x v="1"/>
    <s v="CESTA BASICA"/>
  </r>
  <r>
    <x v="60"/>
    <s v="DEZEMBRO"/>
    <s v="HSERV CLEAN"/>
    <s v="EMPORIO MEGA 100 COMERCIO DE ALIMENTOS S.A."/>
    <n v="-3099.8"/>
    <x v="1"/>
    <s v="CESTA BASICA"/>
  </r>
  <r>
    <x v="60"/>
    <s v="DEZEMBRO"/>
    <s v="HSERV COMBINADOS"/>
    <s v="EMPORIO MEGA 100 COMERCIO DE ALIMENTOS S.A."/>
    <n v="-2944.81"/>
    <x v="1"/>
    <s v="CESTA BASICA"/>
  </r>
  <r>
    <x v="60"/>
    <s v="DEZEMBRO"/>
    <s v="HSERV LIMPEZA"/>
    <s v="EMPORIO MEGA 100 COMERCIO DE ALIMENTOS S.A."/>
    <n v="-929.94"/>
    <x v="1"/>
    <s v="CESTA BASICA"/>
  </r>
  <r>
    <x v="60"/>
    <s v="DEZEMBRO"/>
    <s v="HSERV LTDA"/>
    <s v="EMPORIO MEGA 100 COMERCIO DE ALIMENTOS S.A."/>
    <n v="-774.95"/>
    <x v="1"/>
    <s v="CESTA BASICA"/>
  </r>
  <r>
    <x v="60"/>
    <s v="DEZEMBRO"/>
    <s v="HSERV REPRESENTACOES"/>
    <s v="EMPORIO MEGA 100 COMERCIO DE ALIMENTOS S.A."/>
    <n v="-1084.93"/>
    <x v="1"/>
    <s v="CESTA BASICA"/>
  </r>
  <r>
    <x v="60"/>
    <s v="DEZEMBRO"/>
    <s v="HSERV TECNOLOGIA"/>
    <s v="EMPORIO MEGA 100 COMERCIO DE ALIMENTOS S.A."/>
    <n v="-2479.84"/>
    <x v="1"/>
    <s v="CESTA BASICA"/>
  </r>
  <r>
    <x v="60"/>
    <s v="DEZEMBRO"/>
    <s v="HSERV TERCEIRIZADOS"/>
    <s v="EMPORIO MEGA 100 COMERCIO DE ALIMENTOS S.A."/>
    <n v="-1317.41"/>
    <x v="1"/>
    <s v="CESTA BASICA"/>
  </r>
  <r>
    <x v="60"/>
    <s v="DEZEMBRO"/>
    <s v="HSERV CABREUVA"/>
    <s v="FT ASSIS E REGIÃO- "/>
    <n v="-8000"/>
    <x v="1"/>
    <s v="FT"/>
  </r>
  <r>
    <x v="60"/>
    <s v="DEZEMBRO"/>
    <s v="HSERV COMBINADOS"/>
    <s v="MAC LUCER - VINEA (MENSAL)"/>
    <n v="-2756.99"/>
    <x v="1"/>
    <s v="APORTE"/>
  </r>
  <r>
    <x v="60"/>
    <s v="DEZEMBRO"/>
    <s v="VITOR DUARTE"/>
    <s v="CLARO S/A"/>
    <n v="-1700"/>
    <x v="1"/>
    <s v="TELEFONE"/>
  </r>
  <r>
    <x v="2"/>
    <s v="DEZEMBRO"/>
    <s v="HENRIQUE JEAN ND"/>
    <s v="IMOVEL NEX ONE "/>
    <n v="-8937.32"/>
    <x v="1"/>
    <s v="RESERVA"/>
  </r>
  <r>
    <x v="10"/>
    <s v="DEZEMBRO"/>
    <s v="VITOR DUARTE"/>
    <s v="VIVA FOOD R E LTDA"/>
    <n v="-13041.15"/>
    <x v="1"/>
    <s v="VALE ALIMENTAÇÃO"/>
  </r>
  <r>
    <x v="10"/>
    <s v="DEZEMBRO"/>
    <s v="HSERV CABREUVA"/>
    <s v="AUTO POSTO JARDIM DAS HORTENCI"/>
    <n v="-8000"/>
    <x v="1"/>
    <s v="COMBUSTIVEL E PEDAGIO"/>
  </r>
  <r>
    <x v="10"/>
    <s v="DEZEMBRO"/>
    <s v="VITOR DUARTE"/>
    <s v="GADE CORPORATIVA"/>
    <n v="-500"/>
    <x v="1"/>
    <s v="SISTEMA"/>
  </r>
  <r>
    <x v="10"/>
    <s v="DEZEMBRO"/>
    <s v="HSERV CABREUVA"/>
    <s v="OPEN IT GROUP"/>
    <n v="-294.8"/>
    <x v="1"/>
    <s v="INTERNET"/>
  </r>
  <r>
    <x v="10"/>
    <s v="DEZEMBRO"/>
    <s v="HSERV COMBINADOS"/>
    <s v="MAC LUCER - VINEA (MENSAL) "/>
    <n v="-1812.64"/>
    <x v="1"/>
    <s v="APORTE"/>
  </r>
  <r>
    <x v="2"/>
    <s v="DEZEMBRO"/>
    <s v="HSERV TERCEIRIZADOS"/>
    <s v="ESCOBRAS INDUSTRIA E COMERCIO DE MAQUINAS LTDA"/>
    <n v="-987.36"/>
    <x v="1"/>
    <s v="MERCADORIA PARA REVENDA"/>
  </r>
  <r>
    <x v="2"/>
    <s v="DEZEMBRO"/>
    <s v="HSERV CABREUVA"/>
    <s v="DECIMO TERCEIRO SALARIOS"/>
    <n v="-217558.83"/>
    <x v="1"/>
    <s v="DECIMO TERCEIRO SALARIO"/>
  </r>
  <r>
    <x v="2"/>
    <s v="DEZEMBRO"/>
    <s v="VITOR DUARTE"/>
    <s v="CHEQUES DR DUARTE"/>
    <n v="-9980"/>
    <x v="1"/>
    <s v="PROLABORE"/>
  </r>
  <r>
    <x v="35"/>
    <s v="DEZEMBRO"/>
    <s v="HSERV COMBINADOS "/>
    <s v="GABRIEL DOS SANTOS NOVÃESCLOUD-TELEFONIA"/>
    <n v="-500"/>
    <x v="1"/>
    <s v="SISTEMA"/>
  </r>
  <r>
    <x v="5"/>
    <s v="DEZEMBRO"/>
    <s v="VITOR DUARTE"/>
    <s v="NEXTI DESENVOLVIMENTO DE SISTEMAS S.A."/>
    <n v="-2530.4299999999998"/>
    <x v="1"/>
    <s v="SISTEMA"/>
  </r>
  <r>
    <x v="5"/>
    <s v="DEZEMBRO"/>
    <s v="VITOR DUARTE"/>
    <s v="NEXTI DESENVOLVIMENTO DE SISTEMAS S.A."/>
    <n v="-1339.5"/>
    <x v="1"/>
    <s v="SISTEMA"/>
  </r>
  <r>
    <x v="53"/>
    <s v="DEZEMBRO"/>
    <s v=" HSERV CABREUVA"/>
    <s v="VALE TRANSPORTE "/>
    <n v="-5000"/>
    <x v="1"/>
    <s v="VALE TRANSPORTE"/>
  </r>
  <r>
    <x v="5"/>
    <s v="DEZEMBRO"/>
    <s v=" HSERV CABREUVA"/>
    <s v="VALE TRANSPORTE BASE"/>
    <n v="-15000"/>
    <x v="1"/>
    <s v="VALE TRANSPORTE"/>
  </r>
  <r>
    <x v="10"/>
    <s v="DEZEMBRO"/>
    <s v="VITOR DUARTE"/>
    <s v="CHEQUES DR DUARTE"/>
    <n v="-9980"/>
    <x v="1"/>
    <s v="PROLABORE"/>
  </r>
  <r>
    <x v="5"/>
    <s v="DEZEMBRO"/>
    <s v="VITOR DUARTE"/>
    <s v="CHEQUES DR DUARTE"/>
    <n v="-23498.18"/>
    <x v="1"/>
    <s v="PROLABORE"/>
  </r>
  <r>
    <x v="5"/>
    <s v="DEZEMBRO"/>
    <s v="HSERV CABREUVA"/>
    <s v="SIMPLES NACIONAL-PARCELAMENTO"/>
    <n v="-35000"/>
    <x v="1"/>
    <s v="IMPOSTO"/>
  </r>
  <r>
    <x v="5"/>
    <s v="DEZEMBRO"/>
    <s v="HSERV CABREUVA"/>
    <s v="VALE COMBUSTIVEL "/>
    <n v="-7000"/>
    <x v="1"/>
    <s v="VALE COMBUSTIVEL"/>
  </r>
  <r>
    <x v="5"/>
    <s v="DEZEMBRO"/>
    <s v="VITOR DUARTE"/>
    <s v="ADEMIR- IMPRESSÃO E IMPRESSORA"/>
    <n v="-50"/>
    <x v="1"/>
    <s v="TI"/>
  </r>
  <r>
    <x v="5"/>
    <s v="DEZEMBRO"/>
    <s v="HSERV COMBINADOS "/>
    <s v="REEMBOLSOS"/>
    <n v="-800"/>
    <x v="1"/>
    <s v="REEMBOLSO"/>
  </r>
  <r>
    <x v="5"/>
    <s v="DEZEMBRO"/>
    <s v="VITOR DUARTE"/>
    <s v="GUIA DE PARCELAMENTO INSS VITOR JULHO A NOV 2024"/>
    <n v="-7000"/>
    <x v="1"/>
    <s v="IMPOSTO"/>
  </r>
  <r>
    <x v="5"/>
    <s v="DEZEMBRO"/>
    <s v="HSERV CLEAN"/>
    <s v="GUIA DE PARELAMENTO DE DIVIDA ATIVA HSERV CLEAN"/>
    <n v="-600"/>
    <x v="1"/>
    <s v="IMPOSTO"/>
  </r>
  <r>
    <x v="5"/>
    <s v="DEZEMBRO"/>
    <s v=" HSERV CABREUVA"/>
    <s v="GUIA DE PARCELAMENTO INSS VITOR DEZEMBRO  A JANEIRO 2025"/>
    <n v="-6000"/>
    <x v="1"/>
    <s v="IMPOSTO"/>
  </r>
  <r>
    <x v="5"/>
    <s v="DEZEMBRO"/>
    <s v="HSERV CLEAN"/>
    <s v="PARCELA CREDITO PESSOAL CONTR 016721926 PARC"/>
    <n v="-1719.53"/>
    <x v="1"/>
    <s v="CARTÃO DE CREDITO"/>
  </r>
  <r>
    <x v="5"/>
    <s v="DEZEMBRO"/>
    <s v="HSERV CABREUVA"/>
    <s v="PARCELA CREDITO PESSOAL CONTR 016721926 PARC"/>
    <n v="-1392.65"/>
    <x v="1"/>
    <s v="CARTÃO DE CREDITO"/>
  </r>
  <r>
    <x v="54"/>
    <s v="DEZEMBRO"/>
    <s v="TECNOLOGIA"/>
    <s v="INTERBRILHO HIGIENE E LIMPEZA LTDA"/>
    <n v="23638.67"/>
    <x v="0"/>
    <s v="VENDAS DE SERVIÇOS"/>
  </r>
  <r>
    <x v="54"/>
    <s v="DEZEMBRO"/>
    <s v="LIMPEZA"/>
    <s v="EDMAR APARECIDO MARTINEZ"/>
    <n v="799.2"/>
    <x v="0"/>
    <s v="VENDAS DE SERVIÇOS"/>
  </r>
  <r>
    <x v="54"/>
    <s v="DEZEMBRO"/>
    <s v="LIMPEZA"/>
    <s v="EDMAR APARECIDO MARTINEZ"/>
    <n v="18532.8"/>
    <x v="0"/>
    <s v="VENDAS DE SERVIÇOS"/>
  </r>
  <r>
    <x v="54"/>
    <s v="DEZEMBRO"/>
    <s v="COMBINADOS"/>
    <s v="TECNIPLAS EQUIPAMENTOS EM COMPOSITOS EIR"/>
    <n v="22451.91"/>
    <x v="0"/>
    <s v="VENDAS DE SERVIÇOS"/>
  </r>
  <r>
    <x v="54"/>
    <s v="DEZEMBRO"/>
    <s v="REPRESENTAÇÃO"/>
    <s v="VETTOR TORRES DE RESFRIAMENTO LTDA"/>
    <n v="14482.07"/>
    <x v="0"/>
    <s v="VENDAS DE SERVIÇOS"/>
  </r>
  <r>
    <x v="54"/>
    <s v="DEZEMBRO"/>
    <s v="REPRESENTAÇÃO"/>
    <s v="VETTOR TORRES DE RESFRIAMENTO LTDA"/>
    <n v="23943.3"/>
    <x v="0"/>
    <s v="VENDAS DE SERVIÇOS"/>
  </r>
  <r>
    <x v="54"/>
    <s v="DEZEMBRO"/>
    <s v="REPRESENTAÇÃO"/>
    <s v="VETTOR TORRES DE RESFRIAMENTO LTDA"/>
    <n v="21852.37"/>
    <x v="0"/>
    <s v="VENDAS DE SERVIÇOS"/>
  </r>
  <r>
    <x v="54"/>
    <s v="DEZEMBRO"/>
    <s v="REPRESENTAÇÃO"/>
    <s v="VETTOR TORRES DE RESFRIAMENTO LTDA"/>
    <n v="4683.53"/>
    <x v="0"/>
    <s v="VENDAS DE SERVIÇOS"/>
  </r>
  <r>
    <x v="54"/>
    <s v="DEZEMBRO"/>
    <s v="REPRESENTAÇÃO"/>
    <s v="VETTOR TORRES DE RESFRIAMENTO LTDA"/>
    <n v="196"/>
    <x v="0"/>
    <s v="VENDAS DE SERVIÇOS"/>
  </r>
  <r>
    <x v="58"/>
    <s v="DEZEMBRO"/>
    <s v="HSERV TERCEIRIZADOS"/>
    <s v="SENIR EMBALAGENS LTDA"/>
    <n v="-779.3"/>
    <x v="1"/>
    <s v="MERCADORIA PARA REVENDA"/>
  </r>
  <r>
    <x v="58"/>
    <s v="DEZEMBRO"/>
    <s v="HSERV COMBINADOS "/>
    <s v="FT 2 QUINZENA"/>
    <n v="-50000"/>
    <x v="1"/>
    <s v="FT"/>
  </r>
  <r>
    <x v="18"/>
    <s v="DEZEMBRO"/>
    <s v="CABREUVA"/>
    <s v="CONDOMINIO PALAZZO VENEZA"/>
    <n v="4880.1400000000003"/>
    <x v="0"/>
    <s v="VENDAS DE SERVIÇOS"/>
  </r>
  <r>
    <x v="18"/>
    <s v="DEZEMBRO"/>
    <s v="REPRESENTAÇÃO"/>
    <s v="TTB INDUSTRIA E COMERCIO DE PRODUTOS MET"/>
    <n v="603.26"/>
    <x v="0"/>
    <s v="VENDAS DE SERVIÇOS"/>
  </r>
  <r>
    <x v="18"/>
    <s v="DEZEMBRO"/>
    <s v="REPRESENTAÇÃO"/>
    <s v="TTB INDUSTRIA E COMERCIO DE PRODUTOS MET"/>
    <n v="1106.1400000000001"/>
    <x v="0"/>
    <s v="VENDAS DE SERVIÇOS"/>
  </r>
  <r>
    <x v="18"/>
    <s v="DEZEMBRO"/>
    <s v="REPRESENTAÇÃO"/>
    <s v="TTB INDUSTRIA E COMERCIO DE PRODUTOS MET"/>
    <n v="9631"/>
    <x v="0"/>
    <s v="VENDAS DE SERVIÇOS"/>
  </r>
  <r>
    <x v="18"/>
    <s v="DEZEMBRO"/>
    <s v="VITOR"/>
    <s v="DEPOSITO SANTA CATARINA LTDA"/>
    <n v="257.81"/>
    <x v="0"/>
    <s v="VENDAS DE SERVIÇOS"/>
  </r>
  <r>
    <x v="18"/>
    <s v="DEZEMBRO"/>
    <s v="VITOR"/>
    <s v="GIFEL"/>
    <n v="680.03"/>
    <x v="0"/>
    <s v="VENDAS DE SERVIÇOS"/>
  </r>
  <r>
    <x v="1"/>
    <s v="NOVEMBRO"/>
    <s v="CLEAN"/>
    <s v="RICARO"/>
    <n v="12459.61"/>
    <x v="0"/>
    <s v="VENDAS DE SERVIÇOS"/>
  </r>
  <r>
    <x v="18"/>
    <s v="DEZEMBRO"/>
    <s v="CLEAN"/>
    <s v="RICARO"/>
    <n v="24988.71"/>
    <x v="0"/>
    <s v="VENDAS DE SERVIÇOS"/>
  </r>
  <r>
    <x v="18"/>
    <s v="DEZEMBRO"/>
    <s v="CLEAN"/>
    <s v="RICARO"/>
    <n v="12459.61"/>
    <x v="0"/>
    <s v="VENDAS DE SERVIÇOS"/>
  </r>
  <r>
    <x v="18"/>
    <s v="DEZEMBRO"/>
    <s v="CLEAN"/>
    <s v="RICARO"/>
    <n v="16834.330000000002"/>
    <x v="0"/>
    <s v="VENDAS DE SERVIÇOS"/>
  </r>
  <r>
    <x v="18"/>
    <s v="DEZEMBRO"/>
    <s v="CLEAN"/>
    <s v="RICARO"/>
    <n v="268.13"/>
    <x v="0"/>
    <s v="VENDAS DE SERVIÇOS"/>
  </r>
  <r>
    <x v="61"/>
    <s v="DEZEMBRO"/>
    <s v="CLEAN"/>
    <s v="RICARO"/>
    <n v="2284.4499999999998"/>
    <x v="0"/>
    <s v="VENDAS DE SERVIÇOS"/>
  </r>
  <r>
    <x v="18"/>
    <s v="DEZEMBRO"/>
    <s v="LIMPEZA"/>
    <s v="IMPROVEMENT FIT ACADEMIA LTDA"/>
    <n v="7850"/>
    <x v="0"/>
    <s v="VENDAS DE SERVIÇOS"/>
  </r>
  <r>
    <x v="55"/>
    <s v="DEZEMBRO"/>
    <s v="VITOR DUARTE"/>
    <s v="AVENIDA "/>
    <n v="345280"/>
    <x v="0"/>
    <s v="VENDAS DE SERVIÇOS"/>
  </r>
  <r>
    <x v="51"/>
    <s v="DEZEMBRO"/>
    <s v="TERCEIRIZADOS"/>
    <s v="BELLART"/>
    <n v="17956.39"/>
    <x v="0"/>
    <s v="VENDAS DE SERVIÇOS"/>
  </r>
  <r>
    <x v="59"/>
    <s v="DEZEMBRO"/>
    <s v="LIMPEZA"/>
    <s v="MIPAL INDUSTRIA DE EVAPORADORES LTDA"/>
    <n v="4717.4399999999996"/>
    <x v="0"/>
    <s v="VENDAS DE SERVIÇOS"/>
  </r>
  <r>
    <x v="59"/>
    <s v="DEZEMBRO"/>
    <s v="LIMPEZA"/>
    <s v="MIPAL INDUSTRIA DE EVAPORADORES LTDA"/>
    <n v="9938.39"/>
    <x v="0"/>
    <s v="VENDAS DE SERVIÇOS"/>
  </r>
  <r>
    <x v="59"/>
    <s v="DEZEMBRO"/>
    <s v="LIMPEZA"/>
    <s v="MIPAL INDUSTRIA DE EVAPORADORES LTDA"/>
    <n v="22139.98"/>
    <x v="0"/>
    <s v="VENDAS DE SERVIÇOS"/>
  </r>
  <r>
    <x v="35"/>
    <s v="DEZEMBRO"/>
    <s v="CLEAN"/>
    <s v="PLASTY COMERCIAL DE PLASTICOS LTDA"/>
    <n v="2373.8200000000002"/>
    <x v="0"/>
    <s v="VENDAS DE SERVIÇOS"/>
  </r>
  <r>
    <x v="35"/>
    <s v="DEZEMBRO"/>
    <s v="CLEAN"/>
    <s v="PLASTY COMERCIAL DE PLASTICOS LTDA"/>
    <n v="5823.82"/>
    <x v="0"/>
    <s v="VENDAS DE SERVIÇOS"/>
  </r>
  <r>
    <x v="35"/>
    <s v="DEZEMBRO"/>
    <s v="CLEAN"/>
    <s v="PLASTY COMERCIAL DE PLASTICOS LTDA"/>
    <n v="7526.95"/>
    <x v="0"/>
    <s v="VENDAS DE SERVIÇOS"/>
  </r>
  <r>
    <x v="35"/>
    <s v="DEZEMBRO"/>
    <s v="CLEAN"/>
    <s v="PLASTY COMERCIAL DE PLASTICOS LTDA"/>
    <n v="25756.63"/>
    <x v="0"/>
    <s v="VENDAS DE SERVIÇOS"/>
  </r>
  <r>
    <x v="5"/>
    <s v="DEZEMBRO"/>
    <s v="CABREUVA"/>
    <s v="BOA"/>
    <n v="816717.89"/>
    <x v="0"/>
    <s v="VENDAS DE SERVIÇOS"/>
  </r>
  <r>
    <x v="61"/>
    <s v="DEZEMBRO"/>
    <s v="HENRIQUE JEAN"/>
    <s v="CEF MATRIZ--EMPRESTIMO HENRIQUE IEAN VENCIDO "/>
    <n v="-7000"/>
    <x v="1"/>
    <s v="EMPRESTIMO "/>
  </r>
  <r>
    <x v="61"/>
    <s v="DEZEMBRO"/>
    <s v="VITOR DUARTE"/>
    <s v="ALTOLIM COMERCIAL ASSIS EIRELI - ME"/>
    <n v="-57.280009999999997"/>
    <x v="1"/>
    <s v="MERCADORIA PARA REVENDA"/>
  </r>
  <r>
    <x v="61"/>
    <s v="DEZEMBRO"/>
    <s v="HSERV COMBINADOS"/>
    <s v="CEF MATRIZ-EMPRESTIMO HSERV COMBINADOS VENCIDO"/>
    <n v="-7000"/>
    <x v="1"/>
    <s v="EMPRESTIMO "/>
  </r>
  <r>
    <x v="48"/>
    <s v="DEZEMBRO"/>
    <s v="HENRIQUE JEAN"/>
    <s v="SINDPRESTEM"/>
    <n v="-630"/>
    <x v="1"/>
    <s v="SINDICATO"/>
  </r>
  <r>
    <x v="58"/>
    <s v="DEZEMBRO"/>
    <s v="HENRIQUE JEAN"/>
    <s v="SANTOS SEPULVEDA SOCIEDADE INDIVIDUAL DE ADVOCACIA- - PROC 0010895-75.2023.5.15.009-AMANDA BRITO SANTOS PARCELA 8/16"/>
    <n v="-1000"/>
    <x v="1"/>
    <s v="ACORDO TRABALHISTA"/>
  </r>
  <r>
    <x v="56"/>
    <s v="DEZEMBRO"/>
    <s v="HSERV CLEAN"/>
    <s v="SOFT WORKS EPI CALCADOS LTDA"/>
    <n v="-538"/>
    <x v="1"/>
    <s v="UNIFORMES"/>
  </r>
  <r>
    <x v="56"/>
    <s v="DEZEMBRO"/>
    <s v="HSERV CLEAN"/>
    <s v="BANCO SAFRA S A-EMPRESTIMO SAFRA HSERV CLEAN"/>
    <n v="-930.49"/>
    <x v="1"/>
    <s v="EMPRESTIMO"/>
  </r>
  <r>
    <x v="56"/>
    <s v="DEZEMBRO"/>
    <s v="HSERV REPRESENTACOES"/>
    <s v="OKUYAMA &amp; ALVES SOCIEDADE DE ADVOGADOS"/>
    <n v="-2000"/>
    <x v="1"/>
    <s v="ACORDO TRABALHISTA"/>
  </r>
  <r>
    <x v="15"/>
    <s v="DEZEMBRO"/>
    <s v="HSERV CLEAN"/>
    <s v="SPARTAN DO BRASIL PRODUTOS QUIMICOS LTDA"/>
    <n v="-11785.19"/>
    <x v="1"/>
    <s v="MERCADORIAS PARA REVENDA"/>
  </r>
  <r>
    <x v="15"/>
    <s v="DEZEMBRO"/>
    <s v="HSERV REPRESENTACOES"/>
    <s v="OKUYAMA &amp; ALVES SOCIEDADE DE ADVOGADOSS - PROC 0012457-65.2023.5.15.0018 -JESSICA BARROS DOS SANTO PARCELA 8/8"/>
    <n v="-2000"/>
    <x v="1"/>
    <s v="ACORDO TRABALHISTA"/>
  </r>
  <r>
    <x v="5"/>
    <s v="DEZEMBRO"/>
    <s v="HSERV CABREUVA"/>
    <s v="TIAGO JOSE DE FREITAS OLIVEIRA"/>
    <n v="-3200"/>
    <x v="1"/>
    <s v="ACORDO TRABALHISTA"/>
  </r>
  <r>
    <x v="5"/>
    <s v="DEZEMBRO"/>
    <s v="HSERV CABREUVA"/>
    <s v="LUCAS LEONARDO MARQUES DE OLIVEIRA"/>
    <n v="-2000"/>
    <x v="1"/>
    <s v="ACORDO TRABALHISTA"/>
  </r>
  <r>
    <x v="5"/>
    <s v="DEZEMBRO"/>
    <s v="HSERV CABREUVA"/>
    <s v="ARAUJO E RIOS ADVOGADOS ASSOCIADOS"/>
    <n v="-3836.54"/>
    <x v="1"/>
    <s v="ACORDO TRABALHISTA"/>
  </r>
  <r>
    <x v="5"/>
    <s v="DEZEMBRO"/>
    <s v="HSERV LIMPEZA"/>
    <s v="JUAN PHILIPY STEPHANO AMARO SOCIEDADE INDIVIDUAL DE ADVOCACI"/>
    <n v="-1000"/>
    <x v="1"/>
    <s v="ACORDO TRABALHISTA"/>
  </r>
  <r>
    <x v="5"/>
    <s v="DEZEMBRO"/>
    <s v="VITOR DUARTE"/>
    <s v="LUAN VIEIRA BARRETO"/>
    <n v="-1400"/>
    <x v="1"/>
    <s v="ACORDO TRABALHISTA"/>
  </r>
  <r>
    <x v="5"/>
    <s v="DEZEMBRO"/>
    <s v="VITOR DUARTE"/>
    <s v="VALERIA GEOVANNA DOS SANTOS"/>
    <n v="-1916.67"/>
    <x v="1"/>
    <s v="ACORDO TRABALHISTA"/>
  </r>
  <r>
    <x v="5"/>
    <s v="DEZEMBRO"/>
    <s v="VITOR DUARTE"/>
    <s v="IVAN MARQUES DOS SANTOS"/>
    <n v="-2864.92"/>
    <x v="1"/>
    <s v="ACORDO TRABALHISTA"/>
  </r>
  <r>
    <x v="5"/>
    <s v="DEZEMBRO"/>
    <s v="HSERV COMBINADOS"/>
    <s v="FT ANO NOVO"/>
    <n v="-10000"/>
    <x v="1"/>
    <s v="FT"/>
  </r>
  <r>
    <x v="62"/>
    <s v="DEZEMBRO"/>
    <s v="HSERV COMBINADOS"/>
    <s v="FT NATAL"/>
    <n v="-10000"/>
    <x v="1"/>
    <s v="F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5-10-22T00:00:00"/>
    <s v="OUTUBRO"/>
    <s v="VITOR DUARTE"/>
    <s v="ALTOLIM COMERCIAL ASSIS EIRELI - ME"/>
    <n v="-84.56"/>
    <s v="DESPESAS"/>
    <x v="0"/>
  </r>
  <r>
    <d v="2025-10-22T00:00:00"/>
    <s v="OUTUBRO"/>
    <s v="HSERV CABREUVA"/>
    <s v="JESAIAS ROMANHA -PROC 0010363-38.2022.5.15.0097 - ISABEL MACHADO PARCELA 5/8"/>
    <n v="-26700"/>
    <s v="DESPESAS"/>
    <x v="1"/>
  </r>
  <r>
    <d v="2025-10-22T00:00:00"/>
    <s v="OUTUBRO"/>
    <s v="HENRIQUE JEAN"/>
    <s v="MARICLEIDE IRACI DA SILVA VALE TRANSPORTE DE OUTUBRO  LOJA 29 PRESIDENTE PRUDENTE"/>
    <n v="-200"/>
    <s v="DESPESAS"/>
    <x v="2"/>
  </r>
  <r>
    <d v="2025-10-22T00:00:00"/>
    <s v="OUTUBRO"/>
    <s v="HSERV TECNOLOGIA"/>
    <s v="SIMONE DE OLIVEIRA SALLES"/>
    <n v="-221.4"/>
    <s v="DESPESAS"/>
    <x v="2"/>
  </r>
  <r>
    <d v="2025-10-22T00:00:00"/>
    <s v="OUTUBRO"/>
    <s v="VITOR DUARTE"/>
    <s v="LAURA SAFI FREIRE"/>
    <n v="-243"/>
    <s v="DESPESAS"/>
    <x v="2"/>
  </r>
  <r>
    <d v="2025-10-23T00:00:00"/>
    <s v="OUTUBRO"/>
    <s v="HSERV COMBINADOS "/>
    <s v="CAIXINHA OPERACIONAL - OSSIRES"/>
    <n v="-1500"/>
    <s v="DESPESAS"/>
    <x v="3"/>
  </r>
  <r>
    <d v="2025-10-22T00:00:00"/>
    <s v="OUTUBRO"/>
    <s v="VITOR DUARTE"/>
    <s v="FTS - 20/10"/>
    <n v="-6416"/>
    <s v="DESPESAS"/>
    <x v="4"/>
  </r>
  <r>
    <d v="2025-10-22T00:00:00"/>
    <s v="OUTUBRO"/>
    <s v="HSERV CLEAN"/>
    <s v="SPARTAN DO BRASIL PRODUTOS QUIMICOS LTDA"/>
    <n v="-4057.4"/>
    <s v="DESPESAS"/>
    <x v="5"/>
  </r>
  <r>
    <d v="2025-10-22T00:00:00"/>
    <s v="OUTUBRO"/>
    <s v="HSERV CLEAN"/>
    <s v="FGTS MENSAL - HSERV CLEAN  COMPETENCIA 09/2025 VENCIMENTO 20/10/2025- DOCUMENTAÇÃO VEPAKUM "/>
    <n v="-5473.11"/>
    <s v="DESPESAS"/>
    <x v="6"/>
  </r>
  <r>
    <d v="2025-10-22T00:00:00"/>
    <s v="OUTUBRO"/>
    <s v="HSERV REPRESENTACOES"/>
    <s v="FGTS MENSAL - HSERV REPRESENTAÇÃO COMPETENCIA 09/2025 VENCIMENTO 20/10/2025 - DOCUMENTAÇÃO VETTOR"/>
    <n v="-3097.97"/>
    <s v="DESPESAS"/>
    <x v="6"/>
  </r>
  <r>
    <d v="2025-10-22T00:00:00"/>
    <s v="OUTUBRO"/>
    <s v="HSERV CLEAN"/>
    <s v="DARF INSS MENSAL HSERV CLEAN  COMPETENCIA 09/2025 VENCIMENTO 20/10/2025 DOCUMENTAÇÃO VEPAKUM "/>
    <n v="-3689.71"/>
    <s v="DESPESAS"/>
    <x v="6"/>
  </r>
  <r>
    <d v="2025-10-22T00:00:00"/>
    <s v="OUTUBRO"/>
    <s v="HSERV REPRESENTACOES"/>
    <s v="DARF INSS MENSAL HSERV REPRESENTAÇÃO  COMPETENCIA 09/2025 VENCIMENTO 20/10/2025  - DOCUMENTAÇÃO VETTOR"/>
    <n v="-110.7"/>
    <s v="DESPESAS"/>
    <x v="6"/>
  </r>
  <r>
    <d v="2025-10-23T00:00:00"/>
    <s v="OUTUBRO"/>
    <s v="HSERV CABREUVA"/>
    <s v="FT ASSIS E REGIÃO-"/>
    <n v="-10000"/>
    <s v="DESPESAS"/>
    <x v="4"/>
  </r>
  <r>
    <d v="2025-10-29T00:00:00"/>
    <s v="OUTUBRO"/>
    <s v="HSERV COMBINADOS"/>
    <s v="CONDOMINIO DE CONSTRUCAO DO EDIFICIO COMERCIAL CBM TOWER"/>
    <n v="-2517.84"/>
    <s v="DESPESAS"/>
    <x v="7"/>
  </r>
  <r>
    <d v="2025-10-29T00:00:00"/>
    <s v="OUTUBRO"/>
    <s v="HSERV COMBINADOS"/>
    <s v="CONDOMINIO DE CONSTRUCAO DO EDIFICIO COMERCIAL CBM TOWER"/>
    <n v="-355"/>
    <s v="DESPESAS"/>
    <x v="7"/>
  </r>
  <r>
    <d v="2025-10-29T00:00:00"/>
    <s v="OUTUBRO"/>
    <s v="HENRIQUE JEAN"/>
    <s v="PAULO CEZAR FERREIRA DOS SANTOS PROC 0012427-44.2024.5.15.0002   AUTOR: MARIA NAZARE DA SILV- PARCELA 3/10"/>
    <n v="-1500"/>
    <s v="DESPESAS"/>
    <x v="1"/>
  </r>
  <r>
    <d v="2025-10-29T00:00:00"/>
    <s v="OUTUBRO"/>
    <s v="HENRIQUE JEAN"/>
    <s v="FABIANA DE SOUZA CULBERT SOCIEDADE INDIVIDUAL DE ADVOCACIA-PROC 0010360-81.2025.5.15.0096  AUTOR: PAULO EDVAN HAHNE  PARCELA 3/6"/>
    <n v="-1000"/>
    <s v="DESPESAS"/>
    <x v="1"/>
  </r>
  <r>
    <d v="2025-10-29T00:00:00"/>
    <s v="OUTUBRO"/>
    <s v="HSERV CABREUVA"/>
    <s v="AUREA MOSCATINI PROC 0012313-20.2024.5.15.0095   AUTOR: GABRIEL BARBOSA DOS SANTOS-PARCELA 3/5"/>
    <n v="-1000"/>
    <s v="DESPESAS"/>
    <x v="1"/>
  </r>
  <r>
    <d v="2025-10-29T00:00:00"/>
    <s v="OUTUBRO"/>
    <s v="HSERV CLEAN"/>
    <s v="SANTOS SEPULVEDA SOCIEDADE INDIVIDUAL DE ADVOCACIAPRoc 0011475-02.2023.5.15.0002 RECLAMANTE: ANA CAROLINA DOS SANTOS PARCELA 3/10"/>
    <n v="-3800"/>
    <s v="DESPESAS"/>
    <x v="1"/>
  </r>
  <r>
    <d v="2025-10-27T00:00:00"/>
    <s v="OUTUBRO"/>
    <s v="HSERV CABREUVA"/>
    <s v="OPEN IT GROUP"/>
    <n v="-294.8"/>
    <s v="DESPESAS"/>
    <x v="8"/>
  </r>
  <r>
    <d v="2025-10-22T00:00:00"/>
    <s v="OUTUBRO"/>
    <s v="HSERV TECNOLOGIA"/>
    <s v="ANTONIO LUIZ FELIX DE ALMEIDA-AJUDA DE CUSTO DO DIA 10/10 AO DIA 31/10 ANTONIO SUPERVISOR NOITE"/>
    <n v="-493.2"/>
    <s v="DESPESAS"/>
    <x v="2"/>
  </r>
  <r>
    <d v="2025-10-22T00:00:00"/>
    <s v="OUTUBRO"/>
    <s v="HSERV TECNOLOGIA"/>
    <s v="ANTONIO LUIZ FELIX DE ALMEIDA-VALE ALIMENTAÇÃO"/>
    <n v="-83.68"/>
    <s v="DESPESAS"/>
    <x v="9"/>
  </r>
  <r>
    <d v="2025-10-23T00:00:00"/>
    <s v="OUTUBRO"/>
    <s v="HSERV COMBINADOS"/>
    <s v="EVERTON DOMINGOS LUIZ"/>
    <n v="-1484.05"/>
    <s v="DESPESAS"/>
    <x v="10"/>
  </r>
  <r>
    <d v="2025-10-23T00:00:00"/>
    <s v="OUTUBRO"/>
    <s v="HSERV LTDA"/>
    <s v="PLUXEE BENEFICIOS BRASIL S.A.REGINA TECNIPLAS"/>
    <n v="-300"/>
    <s v="DESPESAS"/>
    <x v="11"/>
  </r>
  <r>
    <d v="2025-10-23T00:00:00"/>
    <s v="OUTUBRO"/>
    <s v="HENRIQUE JEAN"/>
    <s v="CENTRO DE SEGURANCA OCUPACIONAL LTDA-MARIA LAURA GODOI PALMA ALVES - ADMISSIONAL - FALTANTE"/>
    <n v="-50"/>
    <s v="DESPESAS"/>
    <x v="12"/>
  </r>
  <r>
    <d v="2025-10-23T00:00:00"/>
    <s v="OUTUBRO"/>
    <s v="HSERV LTDA"/>
    <s v="PLUXEE BENEFICIOS BRASIL S.A. VALE ALIMENTAÇÃO AVENIDA JUSCELENE"/>
    <n v="-519"/>
    <s v="DESPESAS"/>
    <x v="9"/>
  </r>
  <r>
    <d v="2025-10-23T00:00:00"/>
    <s v="OUTUBRO"/>
    <s v="HSERV CABREUVA"/>
    <s v="WENDRES BRAZ RODRIGUES"/>
    <n v="-44"/>
    <s v="DESPESAS"/>
    <x v="2"/>
  </r>
  <r>
    <d v="2025-10-23T00:00:00"/>
    <s v="OUTUBRO"/>
    <s v="HSERV CABREUVA"/>
    <s v="RICARDO BARBOSA DA SILVA"/>
    <n v="-44"/>
    <s v="DESPESAS"/>
    <x v="2"/>
  </r>
  <r>
    <d v="2025-10-23T00:00:00"/>
    <s v="OUTUBRO"/>
    <s v="HSERV CABREUVA"/>
    <s v="PATRICIA CRISTINA HAHNE"/>
    <n v="-44"/>
    <s v="DESPESAS"/>
    <x v="2"/>
  </r>
  <r>
    <d v="2025-10-23T00:00:00"/>
    <s v="OUTUBRO"/>
    <s v="HSERV CABREUVA"/>
    <s v="MARCELO EVANGELISTA SANTOS"/>
    <n v="-44"/>
    <s v="DESPESAS"/>
    <x v="2"/>
  </r>
  <r>
    <d v="2025-10-23T00:00:00"/>
    <s v="OUTUBRO"/>
    <s v="HSERV COMBINADOS"/>
    <s v="ANGELO TELES SILVA"/>
    <n v="-181.6"/>
    <s v="DESPESAS"/>
    <x v="2"/>
  </r>
  <r>
    <d v="2025-10-23T00:00:00"/>
    <s v="OUTUBRO"/>
    <s v="HSERV COMBINADOS"/>
    <s v="THAIS DE SA NATAL"/>
    <n v="-123"/>
    <s v="DESPESAS"/>
    <x v="2"/>
  </r>
  <r>
    <d v="2025-10-23T00:00:00"/>
    <s v="OUTUBRO"/>
    <s v="HSERV COMBINADOS"/>
    <s v="TATIANE PAULA MARTINS"/>
    <n v="-123"/>
    <s v="DESPESAS"/>
    <x v="2"/>
  </r>
  <r>
    <d v="2025-10-23T00:00:00"/>
    <s v="OUTUBRO"/>
    <s v="HSERV CABREUVA"/>
    <s v="VALE TRANSPORTE MENSAL VIAÇÕES"/>
    <n v="-41000"/>
    <s v="DESPESAS"/>
    <x v="2"/>
  </r>
  <r>
    <d v="2025-10-24T00:00:00"/>
    <s v="OUTUBRO"/>
    <s v="HSERV COMBINADOS"/>
    <s v="CONDOMINIO DE CONSTRUCAO DO EDIFICIO COMERCIAL CBM TOWER PARCELA 48/48"/>
    <n v="-1480.5"/>
    <s v="DESPESAS"/>
    <x v="7"/>
  </r>
  <r>
    <d v="2025-10-24T00:00:00"/>
    <s v="OUTUBRO"/>
    <s v="VITOR DUARTE"/>
    <s v="VIVA FOOD R E LTDA"/>
    <n v="-17235"/>
    <s v="DESPESAS"/>
    <x v="9"/>
  </r>
  <r>
    <d v="2025-10-24T00:00:00"/>
    <s v="OUTUBRO"/>
    <s v="HSERV LTDA"/>
    <s v="ANTONIA BATISTA DO NASCIMENTO"/>
    <n v="-524.16"/>
    <s v="DESPESAS"/>
    <x v="10"/>
  </r>
  <r>
    <d v="2025-10-24T00:00:00"/>
    <s v="OUTUBRO"/>
    <s v="HSERV TERCEIRIZADOS"/>
    <s v="CAIO HENRIQUE ARRUDA DA SILVEIRA"/>
    <n v="-1221.99"/>
    <s v="DESPESAS"/>
    <x v="10"/>
  </r>
  <r>
    <d v="2025-10-24T00:00:00"/>
    <s v="OUTUBRO"/>
    <s v="HSERV COMBINADOS"/>
    <s v="WILSON ZANON"/>
    <n v="-1078.6600000000001"/>
    <s v="DESPESAS"/>
    <x v="10"/>
  </r>
  <r>
    <d v="2025-10-24T00:00:00"/>
    <s v="OUTUBRO"/>
    <s v="HSERV COMBINADOS"/>
    <s v="TATIANE SEIXAS CASTALDO PERICIA Proc 0011252-29.2021.5.15.0096 AUTOR: DANILO MIGUEL DA SILVA MARIANO"/>
    <n v="-1500"/>
    <s v="DESPESAS"/>
    <x v="1"/>
  </r>
  <r>
    <d v="2025-10-24T00:00:00"/>
    <s v="OUTUBRO"/>
    <s v="HSERV COMBINADOS"/>
    <s v="HSERV GUIA INSS Proc 0011252-29.2021.5.15.0096 AUTOR: DANILO MIGUEL DA SILVA MARIANO"/>
    <n v="-675.37"/>
    <s v="DESPESAS"/>
    <x v="1"/>
  </r>
  <r>
    <d v="2025-10-24T00:00:00"/>
    <s v="OUTUBRO"/>
    <s v="HSERV COMBINADOS"/>
    <s v="HSERV-CUSTA Proc 0011252-29.2021.5.15.0096 AUTOR: DANILO MIGUEL DA SILVA MARIANO"/>
    <n v="-200"/>
    <s v="DESPESAS"/>
    <x v="1"/>
  </r>
  <r>
    <d v="2025-10-24T00:00:00"/>
    <s v="OUTUBRO"/>
    <s v="HSERV COMBINADOS"/>
    <s v="HSERV-PERICIA Proc 0011252-29.2021.5.15.0096 AUTOR: DANILO MIGUEL DA SILVA MARIANO"/>
    <n v="-3000"/>
    <s v="DESPESAS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9">
  <r>
    <x v="0"/>
    <s v="JULHO"/>
    <s v="HSERV CABREUVA"/>
    <s v="ELEKTRO SALA 16 07/2025- UNIDADE 42926742"/>
    <n v="-252.95"/>
    <x v="0"/>
    <s v="ENERGIA ELETRICA"/>
  </r>
  <r>
    <x v="0"/>
    <s v="JULHO"/>
    <s v="HSERV CABREUVA"/>
    <s v="ELEKTRO SALA 17- 07/2025-UNIDADE 42926823"/>
    <n v="-259.85000000000002"/>
    <x v="0"/>
    <s v="ENERGIA ELETRICA"/>
  </r>
  <r>
    <x v="0"/>
    <s v="JULHO"/>
    <s v="HSERV CABREUVA"/>
    <s v="ELEKTRO SALA 18 07/2025- UNIDADE 9584765"/>
    <n v="-83.43"/>
    <x v="0"/>
    <s v="ENERGIA ELETRICA"/>
  </r>
  <r>
    <x v="0"/>
    <s v="JULHO"/>
    <s v="HSERV CABREUVA"/>
    <s v="ELEKTRO SALA 18 07/2025- UNIDADE 9584765"/>
    <n v="-168.11"/>
    <x v="0"/>
    <s v="ENERGIA ELETRICA"/>
  </r>
  <r>
    <x v="1"/>
    <s v="JULHO"/>
    <s v="HSERV COMBINADOS "/>
    <s v="CAIXINHA OPERACIONAL - OSSIRES"/>
    <n v="-1500"/>
    <x v="0"/>
    <s v="CAIXINHA"/>
  </r>
  <r>
    <x v="2"/>
    <s v="JULHO"/>
    <s v="VITOR DUARTE"/>
    <s v="VIVA FOOD R E LTDA"/>
    <n v="-16869.599999999999"/>
    <x v="0"/>
    <s v="VALE ALIMENTAÇÃO"/>
  </r>
  <r>
    <x v="3"/>
    <s v="JULHO"/>
    <s v="VITOR DUARTE"/>
    <s v="IRMÃOS BOAS-RECEITAS DO DIA 30/06/2025-PAGAMENTO ATRASADO"/>
    <n v="5807.51"/>
    <x v="1"/>
    <s v="VENDAS DE SERVIÇOS"/>
  </r>
  <r>
    <x v="4"/>
    <s v="JULHO"/>
    <s v="VITOR DUARTE"/>
    <s v="IRMÃOS BOAS-RECEITAS DO DIA 30/06/2025-PAGAMENTO ATRASADO"/>
    <n v="291731.96000000002"/>
    <x v="1"/>
    <s v="VENDAS DE SERVIÇOS"/>
  </r>
  <r>
    <x v="4"/>
    <s v="JULHO"/>
    <s v="HSERV CLEAN"/>
    <s v="SPARTAN DO BRASIL PRODUTOS QUIMICOS LTDA VENCIDA 02/07/2025"/>
    <n v="-1709.15"/>
    <x v="0"/>
    <s v="MERCADORIAS PARA REVENDA"/>
  </r>
  <r>
    <x v="4"/>
    <s v="JULHO"/>
    <s v="HSERV TERCEIRIZADOS"/>
    <s v="WIG COMERCIO DE BATERIAS COMPONENTES LTDA NF 553- 02 BATERIAS - VENCIMENTO 02/07/2025 "/>
    <n v="-1330"/>
    <x v="0"/>
    <s v="MANUTENÇÃO"/>
  </r>
  <r>
    <x v="4"/>
    <s v="JULHO"/>
    <s v="HENRIQUE JEAN"/>
    <s v="PRISCILA JESUS DOS SANTOS"/>
    <n v="-282.07"/>
    <x v="0"/>
    <s v="RESCISÕES"/>
  </r>
  <r>
    <x v="4"/>
    <s v="JULHO"/>
    <s v="HSERV COMBINADOS"/>
    <s v="GRRF DANILO ENDRIGO GARAVELO"/>
    <n v="-21.33"/>
    <x v="0"/>
    <s v="RESCISÕES"/>
  </r>
  <r>
    <x v="4"/>
    <s v="JULHO"/>
    <s v="HSERV TERCEIRIZADOS"/>
    <s v="GLOVAN CABREUVA ALUGUEL DE EQUIPAMENTOS LTDA"/>
    <n v="-163"/>
    <x v="0"/>
    <s v="MANUTENÇÃO"/>
  </r>
  <r>
    <x v="4"/>
    <s v="JULHO"/>
    <s v="HSERV COMBINADOS"/>
    <s v="REBECCA ELONICE"/>
    <n v="-99"/>
    <x v="0"/>
    <s v="VALE TRANSPORTE"/>
  </r>
  <r>
    <x v="4"/>
    <s v="JULHO"/>
    <s v="HSERV COMBINADOS"/>
    <s v="GUSTAVO HENRIQUE DOS SANTOS"/>
    <n v="-377.6"/>
    <x v="0"/>
    <s v="VALE TRANSPORTE"/>
  </r>
  <r>
    <x v="4"/>
    <s v="JULHO"/>
    <s v="VITOR DUARTE"/>
    <s v="JOSE ADILSON LIMA BATISTA"/>
    <n v="-165"/>
    <x v="0"/>
    <s v="VALE TRANSPORTE"/>
  </r>
  <r>
    <x v="2"/>
    <s v="JULHO"/>
    <s v="HSERV CABREUVA"/>
    <s v="BANCO ITAUCARD S.A.- "/>
    <n v="-3809.98"/>
    <x v="0"/>
    <s v="FINANCIAMENTO"/>
  </r>
  <r>
    <x v="2"/>
    <s v="JULHO"/>
    <s v="HSERV COMBINADOS"/>
    <s v="TAR PLANO ADAPT 3 05/24"/>
    <n v="-389"/>
    <x v="0"/>
    <s v="TARIFA BANCARIA"/>
  </r>
  <r>
    <x v="2"/>
    <s v="JULHO"/>
    <s v="HSERV COMBINADOS"/>
    <s v="TAR PLANO ADAPT 3 06/24"/>
    <n v="-389"/>
    <x v="0"/>
    <s v="TARIFA BANCARIA"/>
  </r>
  <r>
    <x v="2"/>
    <s v="JULHO"/>
    <s v="HSERV LIMPEZA"/>
    <s v="TAR PLANO ADAPT 3 06/24"/>
    <n v="-389"/>
    <x v="0"/>
    <s v="TARIFA BANCARIA"/>
  </r>
  <r>
    <x v="5"/>
    <s v="JULHO"/>
    <s v="HENRIQUE JEAN"/>
    <s v="CONDOMINIO NEX ONE CONSOLAÇÃO BELAS ARTES- ROBOTTON"/>
    <n v="-613.47"/>
    <x v="0"/>
    <s v="RESERVA"/>
  </r>
  <r>
    <x v="2"/>
    <s v="JULHO"/>
    <s v="HSERV CABREUVA"/>
    <s v="SALARIO CLT, PENSÃO ALIMENTICIA, BONUS-"/>
    <n v="-460657.26"/>
    <x v="0"/>
    <s v="SALARIOS"/>
  </r>
  <r>
    <x v="2"/>
    <s v="JULHO"/>
    <s v="HSERV COMBINADOS ND"/>
    <s v="ESTER CARDOZO DE LIMA "/>
    <n v="-500"/>
    <x v="0"/>
    <s v="SALARIOS"/>
  </r>
  <r>
    <x v="2"/>
    <s v="JULHO"/>
    <s v="HSERV CABREUVA"/>
    <s v="MARIA SOCORRO DA SILVA PEREIRA- MEI"/>
    <n v="-1974.52"/>
    <x v="0"/>
    <s v="SALARIOS"/>
  </r>
  <r>
    <x v="6"/>
    <s v="JULHO"/>
    <s v="HSERV CLEAN"/>
    <s v="HOSPITALSÃO ROQUE"/>
    <n v="2800.33"/>
    <x v="1"/>
    <s v="VENDAS DE SERVIÇOS"/>
  </r>
  <r>
    <x v="6"/>
    <s v="JULHO"/>
    <s v="HSERV CLEAN"/>
    <s v="SPARTAN DO BRASIL"/>
    <n v="1709.15"/>
    <x v="1"/>
    <s v="MERCADORIAS PARA REVENDA"/>
  </r>
  <r>
    <x v="4"/>
    <s v="JULHO"/>
    <s v="HSERV TERCERIZADOS"/>
    <s v="RAI INGREDIENTES INDUSTRIAL"/>
    <n v="6599.4"/>
    <x v="1"/>
    <s v="VENDAS DE SERVIÇOS"/>
  </r>
  <r>
    <x v="6"/>
    <s v="JULHO"/>
    <s v="HSERV TERCERIZADOS"/>
    <s v="RAI INGREDIENTES INDUSTRIAL"/>
    <n v="5040.2700000000004"/>
    <x v="1"/>
    <s v="VENDAS DE SERVIÇOS"/>
  </r>
  <r>
    <x v="6"/>
    <s v="JULHO"/>
    <s v="HSERV CLEAN"/>
    <s v="EMPRESTIMO HSERV CLEAN BRADESCO -PARCELA MENSAL"/>
    <n v="-5670.51"/>
    <x v="0"/>
    <s v="EMPRESTIMO "/>
  </r>
  <r>
    <x v="5"/>
    <s v="JULHO"/>
    <s v="HSERV COMBINADOS "/>
    <s v="FT REDE AVENIDA -ASSIS E REGIÃO- "/>
    <n v="-2980"/>
    <x v="0"/>
    <s v="FT"/>
  </r>
  <r>
    <x v="7"/>
    <s v="JULHO"/>
    <s v="VITOR DUARTE"/>
    <s v="VIVA FOOD R E LTDA"/>
    <n v="-16200"/>
    <x v="0"/>
    <s v="VALE ALIMENTAÇÃO"/>
  </r>
  <r>
    <x v="8"/>
    <s v="JULHO"/>
    <s v="HENRIQUE JEAN"/>
    <s v="BRASIL MEDICINA E SAUDE PREVENTIVA ORGANIZACAO,-VENCIMENTO 10/07/2025"/>
    <n v="-494.62"/>
    <x v="0"/>
    <s v="SINDICATO"/>
  </r>
  <r>
    <x v="8"/>
    <s v="JULHO"/>
    <s v="HSERV CABREUVA"/>
    <s v="BRASIL MEDICINA E SAUDE PREVENTIVA ORGANIZACAO,-VENCIMENTO 10/07/2025"/>
    <n v="-883.25"/>
    <x v="0"/>
    <s v="SINDICATO"/>
  </r>
  <r>
    <x v="8"/>
    <s v="JULHO"/>
    <s v="HSERV CLEAN"/>
    <s v="BRASIL MEDICINA E SAUDE PREVENTIVA ORGANIZACAO,-VENCIMENTO 10/07/2025"/>
    <n v="-847.92"/>
    <x v="0"/>
    <s v="SINDICATO"/>
  </r>
  <r>
    <x v="8"/>
    <s v="JULHO"/>
    <s v="HSERV COMBINADOS"/>
    <s v="BRASIL MEDICINA E SAUDE PREVENTIVA ORGANIZACAO,-VENCIMENTO 10/07/2025"/>
    <n v="-2084.4699999999998"/>
    <x v="0"/>
    <s v="SINDICATO"/>
  </r>
  <r>
    <x v="8"/>
    <s v="JULHO"/>
    <s v="HSERV LIMPEZA"/>
    <s v="BRASIL MEDICINA E SAUDE PREVENTIVA ORGANIZACAO,-VENCIMENTO 10/07/2025"/>
    <n v="-600.61"/>
    <x v="0"/>
    <s v="SINDICATO"/>
  </r>
  <r>
    <x v="8"/>
    <s v="JULHO"/>
    <s v="HSERV REPRESENTACOES"/>
    <s v="BRASIL MEDICINA E SAUDE PREVENTIVA ORGANIZACAO,-VENCIMENTO 10/07/2025"/>
    <n v="-635.94000000000005"/>
    <x v="0"/>
    <s v="SINDICATO"/>
  </r>
  <r>
    <x v="8"/>
    <s v="JULHO"/>
    <s v="HSERV TECNOLOGIA"/>
    <s v="BRASIL MEDICINA E SAUDE PREVENTIVA ORGANIZACAO,-VENCIMENTO 10/07/2025"/>
    <n v="-1342.54"/>
    <x v="0"/>
    <s v="SINDICATO"/>
  </r>
  <r>
    <x v="8"/>
    <s v="JULHO"/>
    <s v="HSERV TERCEIRIZADOS"/>
    <s v="BRASIL MEDICINA E SAUDE PREVENTIVA ORGANIZACAO,-VENCIMENTO 10/07/2025"/>
    <n v="-777.26"/>
    <x v="0"/>
    <s v="SINDICATO"/>
  </r>
  <r>
    <x v="8"/>
    <s v="JULHO"/>
    <s v="VITOR DUARTE"/>
    <s v="BRASIL MEDICINA E SAUDE PREVENTIVA ORGANIZACAO,-VENCIMENTO 10/07/2025"/>
    <n v="-459.29"/>
    <x v="0"/>
    <s v="SINDICATO"/>
  </r>
  <r>
    <x v="8"/>
    <s v="JULHO"/>
    <s v="HSERV CABREUVA"/>
    <s v="SERGIO LUIZ BERTOLO"/>
    <n v="-421.26"/>
    <x v="0"/>
    <s v="ALUGUEL DE IMOVEIS"/>
  </r>
  <r>
    <x v="8"/>
    <s v="JULHO"/>
    <s v="VITOR DUARTE"/>
    <s v="MARCASA-SEGURANÇA VEPAKUM"/>
    <n v="-10500"/>
    <x v="0"/>
    <s v="SEGURANÇAS"/>
  </r>
  <r>
    <x v="9"/>
    <s v="JULHO"/>
    <s v="HSERV COMBINADOS "/>
    <s v="JHONNY WALACE REEMBOLSO"/>
    <n v="-40"/>
    <x v="0"/>
    <s v="COMISSOES"/>
  </r>
  <r>
    <x v="8"/>
    <s v="JULHO"/>
    <s v="HENRIQUE JEAN"/>
    <s v="PROLABORE SOCIOS -MARIA JOSE-THAIS MACEDO"/>
    <n v="-1000"/>
    <x v="0"/>
    <s v="PROLABORE"/>
  </r>
  <r>
    <x v="10"/>
    <s v="JULHO"/>
    <s v="HENRIQUE JEAN"/>
    <s v="PROLABORE SOCIOS -CRISTIANE-E GUTHIERRI- BLOQUEADO ATE SOCIOS COMPARECER NA BASE"/>
    <n v="-2000"/>
    <x v="0"/>
    <s v="PROLABORE"/>
  </r>
  <r>
    <x v="8"/>
    <s v="JULHO"/>
    <s v="HSERV TERCERIZADOS ND"/>
    <s v="CARTÃO VITOR"/>
    <n v="-5590.46"/>
    <x v="0"/>
    <s v="PROLABORE"/>
  </r>
  <r>
    <x v="8"/>
    <s v="JULHO"/>
    <s v="HSERV CLEAN"/>
    <s v="INTERMEDICA"/>
    <n v="-9146.82"/>
    <x v="0"/>
    <s v="CONVENIO MEDICO"/>
  </r>
  <r>
    <x v="8"/>
    <s v="JULHO"/>
    <s v="HSERV CABREUVA"/>
    <s v="AUTO POSTO JARDIM DAS HORTENCI"/>
    <n v="-5896.35"/>
    <x v="0"/>
    <s v="COMBUSTIVEL E PEDAGIO"/>
  </r>
  <r>
    <x v="8"/>
    <s v="JULHO"/>
    <s v="HENRIQUE JEAN ND"/>
    <s v="FIT ADM (VIDA NOVA) 43-02"/>
    <n v="-441.64"/>
    <x v="0"/>
    <s v="RESERVA"/>
  </r>
  <r>
    <x v="8"/>
    <s v="JULHO"/>
    <s v="VITOR  DUARTE"/>
    <s v="RONDAWEB CONEXOES LTDA"/>
    <n v="-553.25"/>
    <x v="0"/>
    <s v="SISTEMA"/>
  </r>
  <r>
    <x v="8"/>
    <s v="JULHO"/>
    <s v="HSERV CABREUVA"/>
    <s v="BRADESCO SEGUROS - QUY9F13- DEBITO AUTOMATICO HSERV CABREUVA BRADESCO"/>
    <n v="-545.78"/>
    <x v="0"/>
    <s v="SEGUROS EM GERAL"/>
  </r>
  <r>
    <x v="11"/>
    <s v="JULHO"/>
    <s v="HSERV CABREUVA"/>
    <s v="SALARIOS MEI"/>
    <n v="-82400.03"/>
    <x v="0"/>
    <s v="SALARIOS"/>
  </r>
  <r>
    <x v="10"/>
    <s v="JULHO"/>
    <s v="VITOR DUARTE"/>
    <s v="IFOOD.COM AGENCIA DE RESTAURANTES-ASSIDUIDADE BOA"/>
    <n v="-18300"/>
    <x v="0"/>
    <s v="ASSIDUIDADE"/>
  </r>
  <r>
    <x v="10"/>
    <s v="JULHO"/>
    <s v="VITOR DUARTE"/>
    <s v="IFOOD.COM AGENCIA DE RESTAURANTES -ASSIDUIDADE AVENID."/>
    <n v="-3700"/>
    <x v="0"/>
    <s v="ASSIDUIDADE"/>
  </r>
  <r>
    <x v="10"/>
    <s v="JULHO"/>
    <s v="VITOR DUARTE"/>
    <s v="IFOOD.COM AGENCIA DE RESTAURANTES -ASSIDUIDADE RICOY JUNHO"/>
    <n v="-900"/>
    <x v="0"/>
    <s v="ASSIDUIDADE"/>
  </r>
  <r>
    <x v="10"/>
    <s v="JULHO"/>
    <s v="VITOR DUARTE"/>
    <s v="IFOOD.COM AGENCIA DE RESTAURANTES -ASSIDUIDADE EMPRESAS"/>
    <n v="-12600"/>
    <x v="0"/>
    <s v="ASSIDUIDADE"/>
  </r>
  <r>
    <x v="10"/>
    <s v="JULHO"/>
    <s v="HSERV CABREUVA"/>
    <s v="VALE ALIMENTAÇÃO MENSAL DE JULHO"/>
    <n v="-88560.88"/>
    <x v="0"/>
    <s v="VALE ALIMENTAÇÃO"/>
  </r>
  <r>
    <x v="11"/>
    <s v="JULHO"/>
    <s v="HSERV COMBINADOS"/>
    <s v="TAMIRES DA SILVA CAPUCHINHO"/>
    <n v="-456.72"/>
    <x v="0"/>
    <s v="VALE ALIMENTAÇÃO"/>
  </r>
  <r>
    <x v="11"/>
    <s v="JULHO"/>
    <s v="VITOR DUARTE"/>
    <s v="FABIOLA FARIAS FELIX"/>
    <n v="-456.72"/>
    <x v="0"/>
    <s v="VALE ALIMENTAÇÃO"/>
  </r>
  <r>
    <x v="11"/>
    <s v="JULHO"/>
    <s v="VITOR DUARTE"/>
    <s v="JHONY WALLACE GOMES DE OLIVEIRA"/>
    <n v="-456.72"/>
    <x v="0"/>
    <s v="VALE ALIMENTAÇÃO"/>
  </r>
  <r>
    <x v="11"/>
    <s v="JULHO"/>
    <s v="VITOR DUARTE"/>
    <s v="QUEILA JESUS BERNARDES DE OLIVEIRA"/>
    <n v="-415.2"/>
    <x v="0"/>
    <s v="VALE ALIMENTAÇÃO"/>
  </r>
  <r>
    <x v="11"/>
    <s v="JULHO"/>
    <s v="VITOR DUARTE"/>
    <s v="THIAGO ALMEIDA SANTANA"/>
    <n v="-373.68"/>
    <x v="0"/>
    <s v="VALE ALIMENTAÇÃO"/>
  </r>
  <r>
    <x v="11"/>
    <s v="JULHO"/>
    <s v="VITOR DUARTE"/>
    <s v="LARAH MELYSSA ALVES DE SOUSA"/>
    <n v="-456.72"/>
    <x v="0"/>
    <s v="VALE ALIMENTAÇÃO"/>
  </r>
  <r>
    <x v="11"/>
    <s v="JULHO"/>
    <s v="VITOR DUARTE"/>
    <s v="GISELE RODRIGUES DOS SANTOS"/>
    <n v="-456.72"/>
    <x v="0"/>
    <s v="VALE ALIMENTAÇÃO"/>
  </r>
  <r>
    <x v="11"/>
    <s v="JULHO"/>
    <s v="HSERV CABREUVA"/>
    <s v="ELAINE BARBOSA DE SOUSA"/>
    <n v="-267"/>
    <x v="0"/>
    <s v="VALE TRANSPORTE"/>
  </r>
  <r>
    <x v="11"/>
    <s v="JULHO"/>
    <s v="HSERV TECNOLOGIA"/>
    <s v="ROSALINA CRISTIANE JUSTINO"/>
    <n v="-196.8"/>
    <x v="0"/>
    <s v="VALE TRANSPORTE"/>
  </r>
  <r>
    <x v="11"/>
    <s v="JULHO"/>
    <s v="HSERV COMBINADOS"/>
    <s v="ILAIDE JOSE RODRIGUES"/>
    <n v="-177"/>
    <x v="0"/>
    <s v="VALE TRANSPORTE"/>
  </r>
  <r>
    <x v="11"/>
    <s v="JULHO"/>
    <s v="HSERV COMBINADOS"/>
    <s v="MARINALDA ALMEIDA PEREIRA"/>
    <n v="-165.2"/>
    <x v="0"/>
    <s v="VALE TRANSPORTE"/>
  </r>
  <r>
    <x v="11"/>
    <s v="JULHO"/>
    <s v="HSERV COMBINADOS"/>
    <s v="MARCIA VALERIA DA SILVA"/>
    <n v="-346.5"/>
    <x v="0"/>
    <s v="VALE TRANSPORTE"/>
  </r>
  <r>
    <x v="11"/>
    <s v="JULHO"/>
    <s v="HSERV COMBINADOS"/>
    <s v="TAMIRES DA SILVA CAPUCHINHO"/>
    <n v="-304"/>
    <x v="0"/>
    <s v="VALE TRANSPORTE"/>
  </r>
  <r>
    <x v="11"/>
    <s v="JULHO"/>
    <s v="HSERV COMBINADOS"/>
    <s v="GABRIEL DO NASCIMENTO NEVES"/>
    <n v="-271"/>
    <x v="0"/>
    <s v="VALE TRANSPORTE"/>
  </r>
  <r>
    <x v="11"/>
    <s v="JULHO"/>
    <s v="HSERV TERCEIRIZADOS"/>
    <s v="ESTER CARDOZO DE LIMA"/>
    <n v="-110"/>
    <x v="0"/>
    <s v="VALE TRANSPORTE"/>
  </r>
  <r>
    <x v="11"/>
    <s v="JULHO"/>
    <s v="VITOR DUARTE"/>
    <s v="PAMELA GREICE MARINHO ROCHA"/>
    <n v="-261.8"/>
    <x v="0"/>
    <s v="VALE TRANSPORTE"/>
  </r>
  <r>
    <x v="11"/>
    <s v="JULHO"/>
    <s v="VITOR DUARTE"/>
    <s v="ELIANE ULITZKA DOS SANTOS"/>
    <n v="-342"/>
    <x v="0"/>
    <s v="VALE TRANSPORTE"/>
  </r>
  <r>
    <x v="11"/>
    <s v="JULHO"/>
    <s v="VITOR DUARTE"/>
    <s v="FABIOLA FARIAS FELIX"/>
    <n v="-300"/>
    <x v="0"/>
    <s v="VALE TRANSPORTE"/>
  </r>
  <r>
    <x v="11"/>
    <s v="JULHO"/>
    <s v="VITOR DUARTE"/>
    <s v="THIAGO ALMEIDA SANTANA"/>
    <n v="-90"/>
    <x v="0"/>
    <s v="VALE TRANSPORTE"/>
  </r>
  <r>
    <x v="11"/>
    <s v="JULHO"/>
    <s v="VITOR DUARTE"/>
    <s v="GISELE RODRIGUES DOS SANTOS"/>
    <n v="-32.549999999999997"/>
    <x v="0"/>
    <s v="VALE TRANSPORTE"/>
  </r>
  <r>
    <x v="11"/>
    <s v="JULHO"/>
    <s v="VITOR DUARTE"/>
    <s v="JAIR APARECIDO RE"/>
    <n v="-275"/>
    <x v="0"/>
    <s v="VALE TRANSPORTE"/>
  </r>
  <r>
    <x v="11"/>
    <s v="JULHO"/>
    <s v="VITOR DUARTE"/>
    <s v="LARAH MELYSSA ALVES DE SOUSA"/>
    <n v="-110"/>
    <x v="0"/>
    <s v="VALE TRANSPORTE"/>
  </r>
  <r>
    <x v="11"/>
    <s v="JULHO"/>
    <s v="VITOR DUARTE"/>
    <s v="JHONY WALLACE GOMES DE OLIVEIRA"/>
    <n v="-110"/>
    <x v="0"/>
    <s v="VALE TRANSPORTE"/>
  </r>
  <r>
    <x v="11"/>
    <s v="JULHO"/>
    <s v="VITOR DUARTE"/>
    <s v="QUEILA JESUS BERNARDES DE OLIVEIRA"/>
    <n v="-90"/>
    <x v="0"/>
    <s v="VALE TRANSPORTE"/>
  </r>
  <r>
    <x v="11"/>
    <s v="JULHO"/>
    <s v="VITOR DUARTE"/>
    <s v="CARLOS HENRIQUE CONCEICAO"/>
    <n v="-140"/>
    <x v="0"/>
    <s v="VALE TRANSPORTE"/>
  </r>
  <r>
    <x v="11"/>
    <s v="JULHO"/>
    <s v="VITOR DUARTE"/>
    <s v="GABRIEL GATTI DA SILVA"/>
    <n v="-222"/>
    <x v="0"/>
    <s v="VALE TRANSPORTE"/>
  </r>
  <r>
    <x v="11"/>
    <s v="JULHO"/>
    <s v="VITOR DUARTE"/>
    <s v="BOLETO OTAVIO"/>
    <n v="-20498.98"/>
    <x v="0"/>
    <s v="PROLABORE"/>
  </r>
  <r>
    <x v="11"/>
    <s v="JULHO"/>
    <s v="VITOR DUARTE"/>
    <s v="FABIOLA FARIAS FELIX"/>
    <n v="-144.68"/>
    <x v="0"/>
    <s v="CESTA BASICA"/>
  </r>
  <r>
    <x v="11"/>
    <s v="JULHO"/>
    <s v="HSERV COMBINADOS "/>
    <s v="ESTER CARDOZO- SALARIO"/>
    <n v="-1375"/>
    <x v="0"/>
    <s v="SALARIOS"/>
  </r>
  <r>
    <x v="11"/>
    <s v="JULHO"/>
    <s v="HSERV  COMBINADOS "/>
    <s v="PAMELA ROCHA MARINHO-SALARIO "/>
    <n v="-2281.6999999999998"/>
    <x v="0"/>
    <s v="SALARIOS"/>
  </r>
  <r>
    <x v="11"/>
    <s v="JULHO"/>
    <s v="HSERV CABREUVA"/>
    <s v="SEM PARAR- "/>
    <n v="-6276.28"/>
    <x v="0"/>
    <s v="COMBUSTIVEL E PEDAGIO"/>
  </r>
  <r>
    <x v="11"/>
    <s v="JULHO"/>
    <s v="VITOR DUARTE"/>
    <s v="CARTAO DE CRÉDITO-EMPRESA VITOR DUARTE"/>
    <n v="-10605.99"/>
    <x v="0"/>
    <s v="CARTÃO DE CREDITO"/>
  </r>
  <r>
    <x v="11"/>
    <s v="JULHO"/>
    <s v="HENRIQUE JEAN"/>
    <s v="CARTÃO DE CREDITO-PARCELAMENTO"/>
    <n v="-2225.21"/>
    <x v="0"/>
    <s v="CARTÃO DE CREDITO"/>
  </r>
  <r>
    <x v="11"/>
    <s v="JULHO"/>
    <s v="HSERV COMBINADOS"/>
    <s v="CARTÃO DE CREDITO-PARCELAMENTO"/>
    <n v="-1248.99"/>
    <x v="0"/>
    <s v="CARTÃO DE CREDITO"/>
  </r>
  <r>
    <x v="9"/>
    <s v="JULHO"/>
    <s v="HENRIQUE JEAN"/>
    <s v="BENEFICIOS SOCIAIS LTDA- VENCIMENTO 10/04/2025"/>
    <n v="-928.72"/>
    <x v="0"/>
    <s v="SINDICATO"/>
  </r>
  <r>
    <x v="9"/>
    <s v="JULHO"/>
    <s v="HSERV CABREUVA"/>
    <s v="BENEFICIOS SOCIAIS LTDA- VENCIMENTO 10/04/2025"/>
    <n v="-517.94000000000005"/>
    <x v="0"/>
    <s v="SINDICATO"/>
  </r>
  <r>
    <x v="9"/>
    <s v="JULHO"/>
    <s v="HSERV CLEAN"/>
    <s v="BENEFICIOS SOCIAIS LTDA- VENCIMENTO 10/04/2025"/>
    <n v="-339.33"/>
    <x v="0"/>
    <s v="SINDICATO"/>
  </r>
  <r>
    <x v="9"/>
    <s v="JULHO"/>
    <s v="HSERV COMBINADOS"/>
    <s v="BENEFICIOS SOCIAIS LTDA- VENCIMENTO 10/04/2025"/>
    <n v="-910.87"/>
    <x v="0"/>
    <s v="SINDICATO"/>
  </r>
  <r>
    <x v="9"/>
    <s v="JULHO"/>
    <s v="HSERV LIMPEZA"/>
    <s v="BENEFICIOS SOCIAIS LTDA- VENCIMENTO 10/04/2025"/>
    <n v="-232.18"/>
    <x v="0"/>
    <s v="SINDICATO"/>
  </r>
  <r>
    <x v="9"/>
    <s v="JULHO"/>
    <s v="HSERV REPRESENTACOES"/>
    <s v="BENEFICIOS SOCIAIS LTDA- VENCIMENTO 10/04/2025"/>
    <n v="-232.18"/>
    <x v="0"/>
    <s v="SINDICATO"/>
  </r>
  <r>
    <x v="9"/>
    <s v="JULHO"/>
    <s v="HSERV TECNOLOGIA"/>
    <s v="BENEFICIOS SOCIAIS LTDA- VENCIMENTO 10/04/2025"/>
    <n v="-71.430000000000007"/>
    <x v="0"/>
    <s v="SINDICATO"/>
  </r>
  <r>
    <x v="9"/>
    <s v="JULHO"/>
    <s v="HSERV TERCEIRIZADOS"/>
    <s v="BENEFICIOS SOCIAIS LTDA- VENCIMENTO 10/04/2025"/>
    <n v="-125.01"/>
    <x v="0"/>
    <s v="SINDICATO"/>
  </r>
  <r>
    <x v="7"/>
    <s v="JULHO"/>
    <s v="HSERV TERCEIRIZADOS"/>
    <s v="RODRIGO GUIMARÃES - FT MOTORISTA"/>
    <n v="-1200"/>
    <x v="0"/>
    <s v="FT"/>
  </r>
  <r>
    <x v="9"/>
    <s v="JULHO"/>
    <s v="VITOR DUARTE"/>
    <s v="BENEFICIOS SOCIAIS LTDA- VENCIMENTO 10/04/2025"/>
    <n v="-357.2"/>
    <x v="0"/>
    <s v="SINDICATO"/>
  </r>
  <r>
    <x v="7"/>
    <s v="JULHO"/>
    <s v="VITOR DUARTE"/>
    <s v="GABRIEL DOS SANTOS NOVÃESCLOUD-TELEFONIA-VENCIDO 30/06/2025"/>
    <n v="-535.1"/>
    <x v="0"/>
    <s v="SISTEMA"/>
  </r>
  <r>
    <x v="11"/>
    <s v="JULHO"/>
    <s v="HSERV CABREUVA"/>
    <s v="SICOOB HSERV CABREUVA NEGOCIAÇÃO CHEQUE ESPECIAL "/>
    <n v="-2012.45"/>
    <x v="0"/>
    <s v="EMPRESTIMO "/>
  </r>
  <r>
    <x v="11"/>
    <s v="JULHO"/>
    <s v="HSERV CABREUVA"/>
    <s v="TARIFA MAX EMPRESARIAL"/>
    <n v="-171.1"/>
    <x v="0"/>
    <s v="TARIFA BANCARIA"/>
  </r>
  <r>
    <x v="11"/>
    <s v="JULHO"/>
    <s v="HSERV CLEAN"/>
    <s v="TARIFA MAX EMPRESARIAL"/>
    <n v="-171.1"/>
    <x v="0"/>
    <s v="TARIFA BANCARIA"/>
  </r>
  <r>
    <x v="11"/>
    <s v="JULHO"/>
    <s v="HSERV COMBINADOS "/>
    <s v="TARIFA MAX EMPRESARIAL"/>
    <n v="-171.1"/>
    <x v="0"/>
    <s v="TARIFA BANCARIA"/>
  </r>
  <r>
    <x v="11"/>
    <s v="JULHO"/>
    <s v="HSERV COMBINADOS  ND"/>
    <s v="TARIFA MAX EMPRESARIAL"/>
    <n v="-171.1"/>
    <x v="0"/>
    <s v="TARIFA BANCARIA"/>
  </r>
  <r>
    <x v="11"/>
    <s v="JULHO"/>
    <s v="HENRIQUE JEAN"/>
    <s v="TARIFA MAX EMPRESARIAL"/>
    <n v="-171.1"/>
    <x v="0"/>
    <s v="TARIFA BANCARIA"/>
  </r>
  <r>
    <x v="11"/>
    <s v="JULHO"/>
    <s v="HENRIQUE JEAN ND"/>
    <s v="TARIFA MAX EMPRESARIAL"/>
    <n v="-171.1"/>
    <x v="0"/>
    <s v="TARIFA BANCARIA"/>
  </r>
  <r>
    <x v="11"/>
    <s v="JULHO"/>
    <s v="VITOR DUARTE"/>
    <s v="TARIFA MAX EMPRESARIAL"/>
    <n v="-171.1"/>
    <x v="0"/>
    <s v="TARIFA BANCARIA"/>
  </r>
  <r>
    <x v="11"/>
    <s v="JULHO"/>
    <s v="VITOR DUARTE ND"/>
    <s v="TARIFA MAX EMPRESARIAL"/>
    <n v="-171.1"/>
    <x v="0"/>
    <s v="TARIFA BANCARIA"/>
  </r>
  <r>
    <x v="11"/>
    <s v="JULHO"/>
    <s v="HSERV TERCERIZADOS"/>
    <s v="TARIFA MAX EMPRESARIAL"/>
    <n v="-171.1"/>
    <x v="0"/>
    <s v="TARIFA BANCARIA"/>
  </r>
  <r>
    <x v="11"/>
    <s v="JULHO"/>
    <s v="HSERV TERCERIZADOS ND"/>
    <s v="TARIFA MAX EMPRESARIAL"/>
    <n v="-171.1"/>
    <x v="0"/>
    <s v="TARIFA BANCARIA"/>
  </r>
  <r>
    <x v="11"/>
    <s v="JULHO"/>
    <s v="HSERV LIMPEZA"/>
    <s v="TARIFA MAX EMPRESARIAL"/>
    <n v="-171.1"/>
    <x v="0"/>
    <s v="TARIFA BANCARIA"/>
  </r>
  <r>
    <x v="11"/>
    <s v="JULHO"/>
    <s v="HSERV LIMPEZA ND"/>
    <s v="TARIFA MAX EMPRESARIAL"/>
    <n v="-171.1"/>
    <x v="0"/>
    <s v="TARIFA BANCARIA"/>
  </r>
  <r>
    <x v="11"/>
    <s v="JULHO"/>
    <s v="HSERV TECNOLOGIA"/>
    <s v="TARIFA MAX EMPRESARIAL"/>
    <n v="-171.1"/>
    <x v="0"/>
    <s v="TARIFA BANCARIA"/>
  </r>
  <r>
    <x v="11"/>
    <s v="JULHO"/>
    <s v="HSERV REPRESENTAÇÃO"/>
    <s v="TARIFA MAX EMPRESARIAL"/>
    <n v="-171.1"/>
    <x v="0"/>
    <s v="TARIFA BANCARIA"/>
  </r>
  <r>
    <x v="12"/>
    <s v="JULHO"/>
    <s v="HENRIQUE JEAN ND"/>
    <s v="CELIO ROBERTO"/>
    <n v="-768.94"/>
    <x v="0"/>
    <s v="RESERVA"/>
  </r>
  <r>
    <x v="10"/>
    <s v="JULHO"/>
    <s v="HSERV CABREUVA"/>
    <s v="IFOOD.COM AGENCIA DE RESTAURANTES- VALE COMBUSTIVEL-2º QUINZENA DE JULHO"/>
    <n v="-6748.2"/>
    <x v="0"/>
    <s v="VALE COMBUSTIVEL"/>
  </r>
  <r>
    <x v="12"/>
    <s v="JULHO"/>
    <s v="HSERV COMBINADOS"/>
    <s v="JAIR APARECIDO RÉ -COMISSÃO MAIO/JUNHO"/>
    <n v="-553.59"/>
    <x v="0"/>
    <s v="COMISSOES"/>
  </r>
  <r>
    <x v="12"/>
    <s v="JULHO"/>
    <s v="HSERV COMBINADOS"/>
    <s v="OSSIRES DONAGELO-RREMBOLSO DE DESPESAS"/>
    <n v="-916.89"/>
    <x v="0"/>
    <s v="REEMBOLSO"/>
  </r>
  <r>
    <x v="13"/>
    <s v="JULHO"/>
    <s v="HSERV CABREUVA"/>
    <s v="SABESP SALA 16"/>
    <n v="-138.56"/>
    <x v="0"/>
    <s v="AGUA"/>
  </r>
  <r>
    <x v="13"/>
    <s v="JULHO"/>
    <s v="HSERV CABREUVA"/>
    <s v="SABESP SALA 17"/>
    <n v="-138.56"/>
    <x v="0"/>
    <s v="AGUA"/>
  </r>
  <r>
    <x v="13"/>
    <s v="JULHO"/>
    <s v="HSERV CABREUVA"/>
    <s v="SABESP SALA 18"/>
    <n v="-138.56"/>
    <x v="0"/>
    <s v="AGUA"/>
  </r>
  <r>
    <x v="13"/>
    <s v="JULHO"/>
    <s v="HSERV CABREUVA"/>
    <s v="SABESP CLEAN"/>
    <n v="-138.56"/>
    <x v="0"/>
    <s v="AGUA"/>
  </r>
  <r>
    <x v="11"/>
    <s v="JULHO"/>
    <s v="HSERV TECNOLOGIA"/>
    <s v="OMIEXPERIENCE LTDA."/>
    <n v="-261.68"/>
    <x v="0"/>
    <s v="SISTEMA"/>
  </r>
  <r>
    <x v="11"/>
    <s v="JULHO"/>
    <s v="HSERV REPRESENTACOES"/>
    <s v="OMIEXPERIENCE LTDA."/>
    <n v="-300"/>
    <x v="0"/>
    <s v="SISTEMA"/>
  </r>
  <r>
    <x v="11"/>
    <s v="JULHO"/>
    <s v="HSERV CABREUVA "/>
    <s v="OMIEXPERIENCE LTDA."/>
    <n v="-300"/>
    <x v="0"/>
    <s v="SISTEMA"/>
  </r>
  <r>
    <x v="11"/>
    <s v="JULHO"/>
    <s v="HSERV  COMBINADOS"/>
    <s v="OMIEXPERIENCE LTDA."/>
    <n v="-300"/>
    <x v="0"/>
    <s v="SISTEMA"/>
  </r>
  <r>
    <x v="11"/>
    <s v="JULHO"/>
    <s v="HENRIQUE JEAN DUARTE "/>
    <s v="OMIEXPERIENCE LTDA."/>
    <n v="-294.32"/>
    <x v="0"/>
    <s v="SISTEMA"/>
  </r>
  <r>
    <x v="11"/>
    <s v="JULHO"/>
    <s v="HSERV TERCEIRIZADOS"/>
    <s v="OMIEXPERIENCE LTDA."/>
    <n v="-300"/>
    <x v="0"/>
    <s v="SISTEMA"/>
  </r>
  <r>
    <x v="11"/>
    <s v="JULHO"/>
    <s v="HSERV  LIMPEZA "/>
    <s v="OMIEXPERIENCE LTDA."/>
    <n v="-300"/>
    <x v="0"/>
    <s v="SISTEMA"/>
  </r>
  <r>
    <x v="11"/>
    <s v="JULHO"/>
    <s v="VITOR  DUARTE "/>
    <s v="OMIEXPERIENCE LTDA."/>
    <n v="-350"/>
    <x v="0"/>
    <s v="SISTEMA"/>
  </r>
  <r>
    <x v="11"/>
    <s v="JULHO"/>
    <s v="HSER CLEAN"/>
    <s v="OMIEXPERIENCE LTDA."/>
    <n v="-373.51"/>
    <x v="0"/>
    <s v="SISTEMA"/>
  </r>
  <r>
    <x v="13"/>
    <s v="JULHO"/>
    <s v="HSERV COMBINADOS "/>
    <s v="LOCALIZA - VENCIDA 30/04/2025- AFMTZ 2273080"/>
    <n v="-4169.6000000000004"/>
    <x v="0"/>
    <s v="ALUGUEL DE VEICULOS"/>
  </r>
  <r>
    <x v="13"/>
    <s v="JULHO"/>
    <s v="HSERV COMBINADOS "/>
    <s v="LOCALIZA - VENCIDA 30/05/2025-AFMTZ 2347763"/>
    <n v="-4169.6000000000004"/>
    <x v="0"/>
    <s v="ALUGUEL DE VEICULOS"/>
  </r>
  <r>
    <x v="13"/>
    <s v="JULHO"/>
    <s v="HSERV COMBINADOS "/>
    <s v="LOCALIZA - VENCIDA 30/06/2025 -AFMTZ 2417828"/>
    <n v="-4276.45"/>
    <x v="0"/>
    <s v="ALUGUEL DE VEICULOS"/>
  </r>
  <r>
    <x v="14"/>
    <s v="JULHO"/>
    <s v="VITOR DUARTE"/>
    <s v="VIVA FOOD R E LTDA"/>
    <n v="-16200"/>
    <x v="0"/>
    <s v="VALE ALIMENTAÇÃO"/>
  </r>
  <r>
    <x v="13"/>
    <s v="JULHO"/>
    <s v="VITOR DUARTE"/>
    <s v="LOCALIZA - VENCIDA 30/06/2025 -AFMTZ 2417828"/>
    <n v="-6435.72"/>
    <x v="0"/>
    <s v="ALUGUEL DE VEICULOS"/>
  </r>
  <r>
    <x v="13"/>
    <s v="JULHO"/>
    <s v="H SERV CLEAN "/>
    <s v="ASOMETRA ENGENHARIA DE SEGURANÇA- VENCIMENTO 20/06/2025"/>
    <n v="-223.28"/>
    <x v="0"/>
    <s v="EXAMES MEDICOS"/>
  </r>
  <r>
    <x v="13"/>
    <s v="JULHO"/>
    <s v="HENRIQUE JEAN DUARTE"/>
    <s v="ASOMETRA ENGENHARIA DE SEGURANÇA- VENCIMENTO 20/06/2025"/>
    <n v="-714.08"/>
    <x v="0"/>
    <s v="EXAMES MEDICOS"/>
  </r>
  <r>
    <x v="13"/>
    <s v="JULHO"/>
    <s v="HSERV CABREUVA "/>
    <s v="ASOMETRA ENGENHARIA DE SEGURANÇA- VENCIMENTO 20/06/2025"/>
    <n v="-247.03"/>
    <x v="0"/>
    <s v="EXAMES MEDICOS"/>
  </r>
  <r>
    <x v="13"/>
    <s v="JULHO"/>
    <s v="HSERV  COMBINADOS "/>
    <s v="ASOMETRA ENGENHARIA DE SEGURANÇA- VENCIMENTO 20/06/2025"/>
    <n v="-853.8"/>
    <x v="0"/>
    <s v="EXAMES MEDICOS"/>
  </r>
  <r>
    <x v="13"/>
    <s v="JULHO"/>
    <s v="HSERV  REPRESENTACOES"/>
    <s v="ASOMETRA ENGENHARIA DE SEGURANÇA- VENCIMENTO 20/06/2025"/>
    <n v="-731.98"/>
    <x v="0"/>
    <s v="EXAMES MEDICOS"/>
  </r>
  <r>
    <x v="13"/>
    <s v="JULHO"/>
    <s v="HSERV LIMPEZA"/>
    <s v="ASOMETRA ENGENHARIA DE SEGURANÇA- VENCIMENTO 20/06/2025"/>
    <n v="-405.11"/>
    <x v="0"/>
    <s v="EXAMES MEDICOS"/>
  </r>
  <r>
    <x v="13"/>
    <s v="JULHO"/>
    <s v="HSERV TERCEIRIZADOS"/>
    <s v="ASOMETRA ENGENHARIA DE SEGURANÇA- VENCIMENTO 20/06/2025"/>
    <n v="-455.06"/>
    <x v="0"/>
    <s v="EXAMES MEDICOS"/>
  </r>
  <r>
    <x v="13"/>
    <s v="JULHO"/>
    <s v="HSERV TECNOLOGIA "/>
    <s v="ASOMETRA ENGENHARIA DE SEGURANÇA- VENCIMENTO 20/06/2025"/>
    <n v="-505"/>
    <x v="0"/>
    <s v="EXAMES MEDICOS"/>
  </r>
  <r>
    <x v="13"/>
    <s v="JULHO"/>
    <s v="VITOR  DUARTE "/>
    <s v="ASOMETRA ENGENHARIA DE SEGURANÇA- VENCIMENTO 20/06/2025"/>
    <n v="-47.48"/>
    <x v="0"/>
    <s v="EXAMES MEDICOS"/>
  </r>
  <r>
    <x v="15"/>
    <s v="JULHO"/>
    <s v="HSERV CABREUVA"/>
    <s v="BRADESCO "/>
    <n v="-35714.57"/>
    <x v="0"/>
    <s v="EMPRESTIMO "/>
  </r>
  <r>
    <x v="13"/>
    <s v="JULHO"/>
    <s v="HSERV CABREUVA"/>
    <s v="SINDICATO DOS EMPREGADOS - VENCIDA "/>
    <n v="-11371.26"/>
    <x v="0"/>
    <s v="SINDICATO"/>
  </r>
  <r>
    <x v="16"/>
    <s v="JULHO"/>
    <s v="H SERV CLEAN "/>
    <s v="BENEFICIO SOCIAL SINDICAL-VENCIMENTO 10/05/2025"/>
    <n v="-403.79"/>
    <x v="0"/>
    <s v="SINDICATO"/>
  </r>
  <r>
    <x v="16"/>
    <s v="JULHO"/>
    <s v="HENRIQUE JEAN DUARTE LTDA"/>
    <s v="BENEFICIO SOCIAL SINDICAL-VENCIMENTO 10/05/2025"/>
    <n v="-930.47"/>
    <x v="0"/>
    <s v="SINDICATO"/>
  </r>
  <r>
    <x v="16"/>
    <s v="JULHO"/>
    <s v="HSERV  REPRESENTACOES"/>
    <s v="BENEFICIO SOCIAL SINDICAL-VENCIMENTO 10/05/2025"/>
    <n v="-333.56"/>
    <x v="0"/>
    <s v="SINDICATO"/>
  </r>
  <r>
    <x v="16"/>
    <s v="JULHO"/>
    <s v="VITOR  DUARTE"/>
    <s v="BENEFICIO SOCIAL SINDICAL-VENCIMENTO 10/05/2025"/>
    <n v="-158"/>
    <x v="0"/>
    <s v="SINDICATO"/>
  </r>
  <r>
    <x v="16"/>
    <s v="JULHO"/>
    <s v="HSERVTERCEIRIZADOS "/>
    <s v="BENEFICIO SOCIAL SINDICAL-VENCIMENTO 10/05/2025"/>
    <n v="-105.34"/>
    <x v="0"/>
    <s v="SINDICATO"/>
  </r>
  <r>
    <x v="16"/>
    <s v="JULHO"/>
    <s v="HSERV CABREUVA"/>
    <s v="BENEFICIO SOCIAL SINDICAL-VENCIMENTO 10/05/2025"/>
    <n v="-509.12"/>
    <x v="0"/>
    <s v="SINDICATO"/>
  </r>
  <r>
    <x v="16"/>
    <s v="JULHO"/>
    <s v="HSERV COMBINADOS "/>
    <s v="BENEFICIO SOCIAL SINDICAL-VENCIMENTO 10/05/2025"/>
    <n v="-1053.3599999999999"/>
    <x v="0"/>
    <s v="SINDICATO"/>
  </r>
  <r>
    <x v="16"/>
    <s v="JULHO"/>
    <s v="HSERV TECNOLOGIA "/>
    <s v="BENEFICIO SOCIAL SINDICAL-VENCIMENTO 10/05/2025"/>
    <n v="-70.22"/>
    <x v="0"/>
    <s v="SINDICATO"/>
  </r>
  <r>
    <x v="16"/>
    <s v="JULHO"/>
    <s v="HSERV  LIMPEZA "/>
    <s v="BENEFICIO SOCIAL SINDICAL-VENCIMENTO 10/05/2025"/>
    <n v="-245.78"/>
    <x v="0"/>
    <s v="SINDICATO"/>
  </r>
  <r>
    <x v="13"/>
    <s v="JULHO"/>
    <s v="VITOR DUARTE"/>
    <s v="JONESO EMPREENDIMENTOS"/>
    <n v="-5300"/>
    <x v="0"/>
    <s v="ALUGUEL DE IMOVEIS"/>
  </r>
  <r>
    <x v="12"/>
    <s v="JULHO"/>
    <s v="HSERV COMBINADOS "/>
    <s v="SOFISA ACORDO - HONORARIOS ADVICATICIOS-PARCELA 18/18"/>
    <n v="-660.75"/>
    <x v="0"/>
    <s v="EMPRESTIMO "/>
  </r>
  <r>
    <x v="12"/>
    <s v="JULHO"/>
    <s v="HSERV COMBINADOS "/>
    <s v="SOFISA ACORDO- PROCESSO EXECUÇÃO-PARCELA 18/24"/>
    <n v="-5173.13"/>
    <x v="0"/>
    <s v="EMPRESTIMO "/>
  </r>
  <r>
    <x v="14"/>
    <s v="JULHO"/>
    <s v="HSERV CABREUVA"/>
    <s v="IF EMPRESARIAL-CONTABILIDADE, JURIDICO E DEPARTAMENTO PESSOAL"/>
    <n v="-15860.65"/>
    <x v="0"/>
    <s v="CONTABILIDADE"/>
  </r>
  <r>
    <x v="16"/>
    <s v="JULHO"/>
    <s v="VITOR DUARTE"/>
    <s v="RESOLVE ALIMENTAÇÃO "/>
    <n v="-711.2"/>
    <x v="0"/>
    <s v="VALE ALIMENTAÇÃO"/>
  </r>
  <r>
    <x v="14"/>
    <s v="JULHO"/>
    <s v="VITOR DUARTE"/>
    <s v="ANJO AZUL ALARMES"/>
    <n v="-1046.6400000000001"/>
    <x v="0"/>
    <s v="SISTEMA"/>
  </r>
  <r>
    <x v="14"/>
    <s v="JULHO"/>
    <s v="HSERV CABREUVA"/>
    <s v="MAXIWEB INTERNET PROVIDER LTDA"/>
    <n v="-39.799999999999997"/>
    <x v="0"/>
    <s v="SISTEMA"/>
  </r>
  <r>
    <x v="12"/>
    <s v="JULHO"/>
    <s v="HSERV CABREUVA"/>
    <s v="SIMPLES NACIONAL MENSAL "/>
    <n v="-17301.96"/>
    <x v="0"/>
    <s v="IMPOSTO"/>
  </r>
  <r>
    <x v="12"/>
    <s v="JULHO"/>
    <s v="VITOR DUARTE"/>
    <s v="DARF ISS MENSAL- EMPRESA VITOR"/>
    <n v="-13903.62"/>
    <x v="0"/>
    <s v="IMPOSTO"/>
  </r>
  <r>
    <x v="12"/>
    <s v="JULHO"/>
    <s v="HSERV CABREUVA"/>
    <s v="DARF UNIFICADA DE IMPOSTO; COFINS,PIS - HSERV CABREUVA"/>
    <n v="-1773.62"/>
    <x v="0"/>
    <s v="IMPOSTO"/>
  </r>
  <r>
    <x v="12"/>
    <s v="JULHO"/>
    <s v="HENRIQUE JEAN"/>
    <s v="FGTS MENSAL HENRIQUE JEAN"/>
    <n v="-10844.25"/>
    <x v="0"/>
    <s v="IMPOSTO"/>
  </r>
  <r>
    <x v="12"/>
    <s v="JULHO"/>
    <s v="HSERV CABREUVA"/>
    <s v="FGTS MENSAL HSERV CABREUVA"/>
    <n v="-3612.96"/>
    <x v="0"/>
    <s v="IMPOSTO"/>
  </r>
  <r>
    <x v="12"/>
    <s v="JULHO"/>
    <s v="HSERV CLEAN"/>
    <s v="FGTS MENSAL HSERV CLEAN "/>
    <n v="-4669.5600000000004"/>
    <x v="0"/>
    <s v="IMPOSTO"/>
  </r>
  <r>
    <x v="12"/>
    <s v="JULHO"/>
    <s v="HSERV COMBINADOS"/>
    <s v="FGTS MENSAL HSERV COMBINADOS"/>
    <n v="-9585.3799999999992"/>
    <x v="0"/>
    <s v="IMPOSTO"/>
  </r>
  <r>
    <x v="12"/>
    <s v="JULHO"/>
    <s v="HSERV LIMPEZA"/>
    <s v="FGTS MENSAL HSERV LIMPEZA"/>
    <n v="-5389.73"/>
    <x v="0"/>
    <s v="IMPOSTO"/>
  </r>
  <r>
    <x v="12"/>
    <s v="JULHO"/>
    <s v="HSERV REPRESENTACOES"/>
    <s v="FGTS MENSAL HSERV CABREUVA REPRESENTACOES"/>
    <n v="-2822.7"/>
    <x v="0"/>
    <s v="IMPOSTO"/>
  </r>
  <r>
    <x v="12"/>
    <s v="JULHO"/>
    <s v="HSERV TECNOLOGIA"/>
    <s v="FGTS MENSAL HSERV TECNOLOGIA"/>
    <n v="-9747.2900000000009"/>
    <x v="0"/>
    <s v="IMPOSTO"/>
  </r>
  <r>
    <x v="12"/>
    <s v="JULHO"/>
    <s v="HSERV TERCEIRIZADOS"/>
    <s v="FGTS MENSAL HSERV  TERCEIRIZADOS"/>
    <n v="-3316.36"/>
    <x v="0"/>
    <s v="IMPOSTO"/>
  </r>
  <r>
    <x v="12"/>
    <s v="JULHO"/>
    <s v="VITOR DUARTE"/>
    <s v="FGTS MENSAL VITOR DUARTE"/>
    <n v="-1814.02"/>
    <x v="0"/>
    <s v="IMPOSTO"/>
  </r>
  <r>
    <x v="12"/>
    <s v="JULHO"/>
    <s v="HENRIQUE JEAN"/>
    <s v="DARF INSS MENSAL HENRIQUE JEAN DUARTE"/>
    <n v="-9471.3700000000008"/>
    <x v="0"/>
    <s v="IMPOSTO"/>
  </r>
  <r>
    <x v="12"/>
    <s v="JULHO"/>
    <s v="HSERV CABREUVA"/>
    <s v="DARF INSS MENSAL HSERV CABREUVA"/>
    <n v="-10100.56"/>
    <x v="0"/>
    <s v="IMPOSTO"/>
  </r>
  <r>
    <x v="12"/>
    <s v="JULHO"/>
    <s v="HSERV CLEAN"/>
    <s v="DARF INSS MENSAL HSERV CLEAN "/>
    <n v="-4196.1499999999996"/>
    <x v="0"/>
    <s v="IMPOSTO"/>
  </r>
  <r>
    <x v="12"/>
    <s v="JULHO"/>
    <s v="HSERV COMBINADOS"/>
    <s v="DARF INSS MENSAL HSERV  COMBINADOS "/>
    <n v="-7126.8"/>
    <x v="0"/>
    <s v="IMPOSTO"/>
  </r>
  <r>
    <x v="12"/>
    <s v="JULHO"/>
    <s v="HSERV LIMPEZA"/>
    <s v="DARF INSS MENSAL HSERV  LIMPEZA "/>
    <n v="-2239.33"/>
    <x v="0"/>
    <s v="IMPOSTO"/>
  </r>
  <r>
    <x v="12"/>
    <s v="JULHO"/>
    <s v="HSERV TECNOLOGIA"/>
    <s v="DARF INSS MENSAL HSERV TECNOLOGIA "/>
    <n v="-7005.46"/>
    <x v="0"/>
    <s v="IMPOSTO"/>
  </r>
  <r>
    <x v="12"/>
    <s v="JULHO"/>
    <s v="HSERV TERCEIRIZADOS"/>
    <s v="DARF INSS MENSAL HSERVTERCEIRIZADOS"/>
    <n v="-2104.9"/>
    <x v="0"/>
    <s v="IMPOSTO"/>
  </r>
  <r>
    <x v="12"/>
    <s v="JULHO"/>
    <s v="VITOR DUARTE"/>
    <s v="DARF INSS MNSAL VITOR DUARTE"/>
    <n v="-7440.24"/>
    <x v="0"/>
    <s v="IMPOSTO"/>
  </r>
  <r>
    <x v="14"/>
    <s v="JULHO"/>
    <s v="HSERV CABREUVA"/>
    <s v="FT 1 QUINZENA DE JUNHO E PACOTES, RT"/>
    <n v="-76710"/>
    <x v="0"/>
    <s v="FT"/>
  </r>
  <r>
    <x v="0"/>
    <s v="JULHO"/>
    <s v="HSERV CABREUVA"/>
    <s v="FT ASSIS E REGIÃO- REDE AVENIDA"/>
    <n v="-4720"/>
    <x v="0"/>
    <s v="FT"/>
  </r>
  <r>
    <x v="14"/>
    <s v="JULHO"/>
    <s v="HSERV COMBINADOS"/>
    <s v="MAC LUCER - MAITA (MENSAL) -20/07/2025 -RESIDENCIAL MAITÁ APTO 073 (contrato-170) PARCELA 16/27"/>
    <n v="-2955.36"/>
    <x v="0"/>
    <s v="APORTE"/>
  </r>
  <r>
    <x v="0"/>
    <s v="JULHO"/>
    <s v="HSERV CLEAN"/>
    <s v="J.E. COMERCIO E SOLUCOES LTDA NF 10.676"/>
    <n v="-879.16"/>
    <x v="0"/>
    <s v="MERCADORIAS PARA REVENDA"/>
  </r>
  <r>
    <x v="0"/>
    <s v="JULHO"/>
    <s v="HSERV CLEAN"/>
    <s v="J.E. COMERCIO E SOLUCOES LTDA- NF 10.679"/>
    <n v="-1093.9000000000001"/>
    <x v="0"/>
    <s v="MERCADORIAS PARA REVENDA"/>
  </r>
  <r>
    <x v="14"/>
    <s v="JULHO"/>
    <s v="HSERV CABREUVA"/>
    <s v="JESAIAS ROMANHA -PROC 0010363-38.2022.5.15.0097 - ISABEL MACHADO PARCELA 2/8"/>
    <n v="-50000"/>
    <x v="0"/>
    <s v="ACORDO TRABALHISTA"/>
  </r>
  <r>
    <x v="0"/>
    <s v="JULHO"/>
    <s v="HSERV TERCEIRIZADOS"/>
    <s v="RAFAEL MOREIRA ANDRELINO"/>
    <n v="-194.79"/>
    <x v="0"/>
    <s v="RESCISÕES"/>
  </r>
  <r>
    <x v="0"/>
    <s v="JULHO"/>
    <s v="HSERV TERCEIRIZADOS"/>
    <s v="LOTUS CENTRAL DE DISTRIBUICAO DE HIGIENICOS LTDA NF 138.143"/>
    <n v="-1800.31"/>
    <x v="0"/>
    <s v="MERCADORIAS PARA REVENDA"/>
  </r>
  <r>
    <x v="0"/>
    <s v="JULHO"/>
    <s v="HSERV CABREUVA"/>
    <s v="CAIXA CARTOES PRE-PAGOS S.A.- VALE TRANSPORTE COLABORADORES -VIAÇÕES"/>
    <n v="-11132.93"/>
    <x v="0"/>
    <s v="VALE TRANSPORTE"/>
  </r>
  <r>
    <x v="0"/>
    <s v="JULHO"/>
    <s v="HSERV CLEAN"/>
    <s v="CAIXA CARTOES PRE-PAGOS S.A.- VALE TRANSPORTE COLABORADORES -VIAÇÕES"/>
    <n v="-2223.9"/>
    <x v="0"/>
    <s v="VALE TRANSPORTE"/>
  </r>
  <r>
    <x v="0"/>
    <s v="JULHO"/>
    <s v="HSERV LIMPEZA"/>
    <s v="CAIXA CARTOES PRE-PAGOS S.A.- VALE TRANSPORTE COLABORADORES -VIAÇÕES"/>
    <n v="-217.38"/>
    <x v="0"/>
    <s v="VALE TRANSPORTE"/>
  </r>
  <r>
    <x v="0"/>
    <s v="JULHO"/>
    <s v="HSERV REPRESENTACOES"/>
    <s v="CAIXA CARTOES PRE-PAGOS S.A.- VALE TRANSPORTE COLABORADORES -VIAÇÕES"/>
    <n v="-1076.56"/>
    <x v="0"/>
    <s v="VALE TRANSPORTE"/>
  </r>
  <r>
    <x v="0"/>
    <s v="JULHO"/>
    <s v="HSERV TECNOLOGIA"/>
    <s v="CAIXA CARTOES PRE-PAGOS S.A.- VALE TRANSPORTE COLABORADORES -VIAÇÕES"/>
    <n v="-5876.56"/>
    <x v="0"/>
    <s v="VALE TRANSPORTE"/>
  </r>
  <r>
    <x v="0"/>
    <s v="JULHO"/>
    <s v="HSERV TERCEIRIZADOS"/>
    <s v="CAIXA CARTOES PRE-PAGOS S.A.- VALE TRANSPORTE COLABORADORES -VIAÇÕES"/>
    <n v="-1627.95"/>
    <x v="0"/>
    <s v="VALE TRANSPORTE"/>
  </r>
  <r>
    <x v="0"/>
    <s v="JULHO"/>
    <s v="VITOR DUARTE"/>
    <s v="CAIXA CARTOES PRE-PAGOS S.A.- VALE TRANSPORTE COLABORADORES -VIAÇÕES"/>
    <n v="-22056.55"/>
    <x v="0"/>
    <s v="VALE TRANSPORTE"/>
  </r>
  <r>
    <x v="9"/>
    <s v="JULHO"/>
    <s v="VITOR DUARTE"/>
    <s v="CLARO S/A-LINHAS TELEFONICAS"/>
    <n v="-1560.68"/>
    <x v="0"/>
    <s v="TELEFONE"/>
  </r>
  <r>
    <x v="17"/>
    <s v="AGOSTO"/>
    <s v="HSERV CABREUVA"/>
    <s v="JESAIAS ROMANHA -PROC 0010363-38.2022.5.15.0097 - ISABEL MACHADO PARCELA 3/8"/>
    <n v="-50000"/>
    <x v="0"/>
    <s v="ACORDO TRABALHISTA"/>
  </r>
  <r>
    <x v="18"/>
    <s v="SETEMBRO"/>
    <s v="HSERV CABREUVA"/>
    <s v="JESAIAS ROMANHA -PROC 0010363-38.2022.5.15.0097 - ISABEL MACHADO PARCELA 4/8"/>
    <n v="-50000"/>
    <x v="0"/>
    <s v="ACORDO TRABALHISTA"/>
  </r>
  <r>
    <x v="19"/>
    <s v="OUTUBRO"/>
    <s v="HSERV CABREUVA"/>
    <s v="JESAIAS ROMANHA -PROC 0010363-38.2022.5.15.0097 - ISABEL MACHADO PARCELA 5/8"/>
    <n v="-50000"/>
    <x v="0"/>
    <s v="ACORDO TRABALHISTA"/>
  </r>
  <r>
    <x v="20"/>
    <s v="NOVEMBRO"/>
    <s v="HSERV CABREUVA"/>
    <s v="JESAIAS ROMANHA -PROC 0010363-38.2022.5.15.0097 - ISABEL MACHADO PARCELA 6/8"/>
    <n v="-50000"/>
    <x v="0"/>
    <s v="ACORDO TRABALHISTA"/>
  </r>
  <r>
    <x v="21"/>
    <s v="DEZEMBRO"/>
    <s v="HSERV CABREUVA"/>
    <s v="JESAIAS ROMANHA ACORDO TRABALHISTA - ISABEL MACHADO PARCELA 6/6"/>
    <n v="-65000"/>
    <x v="0"/>
    <s v="ACORDO TRABALHISTA"/>
  </r>
  <r>
    <x v="14"/>
    <s v="JULHO"/>
    <s v="VITOR DUARTE"/>
    <s v="ARGENTON E QUEIROZ ADVOGADOS ASSOCIADOS- Proc 0012026-51.2024.5.15.0097 Reclamante: SIMONE DA SILVA CORREIA PARCELA 2/6"/>
    <n v="-268.92"/>
    <x v="0"/>
    <s v="ACORDO TRABALHISTA"/>
  </r>
  <r>
    <x v="14"/>
    <s v="JULHO"/>
    <s v="HENRIQUE JEAN ND"/>
    <s v="IMOVEL NEX ONE "/>
    <n v="-8937.32"/>
    <x v="0"/>
    <s v="RESERVA"/>
  </r>
  <r>
    <x v="22"/>
    <s v="JULHO"/>
    <s v="VITOR DUARTE"/>
    <s v="VIVA FOOD R E LTDA"/>
    <n v="-17235"/>
    <x v="0"/>
    <s v="VALE ALIMENTAÇÃO"/>
  </r>
  <r>
    <x v="22"/>
    <s v="JULHO"/>
    <s v="HSERV CLEAN"/>
    <s v="AUTO POSTO JARDIM DAS HORTENCIAS NF 869"/>
    <n v="-4943.53"/>
    <x v="0"/>
    <s v="COMBUSTIVEL E PEDAGIO"/>
  </r>
  <r>
    <x v="15"/>
    <s v="JULHO"/>
    <s v="H SERV CLEAN"/>
    <s v="BENEFICIO SOCIAL SINDICAL- VENCIMENTO 10/06/2025"/>
    <n v="-367.08"/>
    <x v="0"/>
    <s v="SINDICATO"/>
  </r>
  <r>
    <x v="15"/>
    <s v="JULHO"/>
    <s v="HSERV REPRESENTACOES"/>
    <s v="BENEFICIO SOCIAL SINDICAL- VENCIMENTO 10/06/2025"/>
    <n v="-303.24"/>
    <x v="0"/>
    <s v="SINDICATO"/>
  </r>
  <r>
    <x v="15"/>
    <s v="JULHO"/>
    <s v="HENRIQUE  DUARTE"/>
    <s v="BENEFICIO SOCIAL SINDICAL- VENCIMENTO 10/06/2025"/>
    <n v="-845.88"/>
    <x v="0"/>
    <s v="SINDICATO"/>
  </r>
  <r>
    <x v="15"/>
    <s v="JULHO"/>
    <s v="VITOR DUARTE "/>
    <s v="BENEFICIO SOCIAL SINDICAL- VENCIMENTO 10/06/2025"/>
    <n v="-143.63999999999999"/>
    <x v="0"/>
    <s v="SINDICATO"/>
  </r>
  <r>
    <x v="15"/>
    <s v="JULHO"/>
    <s v="HSERV CABREUVA"/>
    <s v="BENEFICIO SOCIAL SINDICAL- VENCIMENTO 10/06/2025"/>
    <n v="-63.84"/>
    <x v="0"/>
    <s v="SINDICATO"/>
  </r>
  <r>
    <x v="15"/>
    <s v="JULHO"/>
    <s v="HSERV TERCEIRIZADOS "/>
    <s v="BENEFICIO SOCIAL SINDICAL- VENCIMENTO 10/06/2025"/>
    <n v="-95.76"/>
    <x v="0"/>
    <s v="SINDICATO"/>
  </r>
  <r>
    <x v="15"/>
    <s v="JULHO"/>
    <s v="HSERV COMBINADOS "/>
    <s v="BENEFICIO SOCIAL SINDICAL- VENCIMENTO 10/06/2025"/>
    <n v="-957.6"/>
    <x v="0"/>
    <s v="SINDICATO"/>
  </r>
  <r>
    <x v="15"/>
    <s v="JULHO"/>
    <s v="HSERV TECNOLOGIA "/>
    <s v="BENEFICIO SOCIAL SINDICAL- VENCIMENTO 10/06/2025"/>
    <n v="-63.84"/>
    <x v="0"/>
    <s v="SINDICATO"/>
  </r>
  <r>
    <x v="15"/>
    <s v="JULHO"/>
    <s v="HSERV LIMPEZA "/>
    <s v="BENEFICIO SOCIAL SINDICAL- VENCIMENTO 10/06/2025"/>
    <n v="-223.44"/>
    <x v="0"/>
    <s v="SINDICATO"/>
  </r>
  <r>
    <x v="16"/>
    <s v="JULHO"/>
    <s v="HENRIQUE JEAN"/>
    <s v="VERA LUCIA FELIX DE OLIVEIRA"/>
    <n v="-1262.8699999999999"/>
    <x v="0"/>
    <s v="RESCISÕES"/>
  </r>
  <r>
    <x v="16"/>
    <s v="JULHO"/>
    <s v="VITOR DUARTE"/>
    <s v="VANDERLEI APARECIDO SOARES DOS SANTOS"/>
    <n v="-1580.18"/>
    <x v="0"/>
    <s v="RESCISÕES"/>
  </r>
  <r>
    <x v="16"/>
    <s v="JULHO"/>
    <s v="VITOR DUARTE"/>
    <s v="ADRIANA APARECIDA DA SILVA"/>
    <n v="-8.42"/>
    <x v="0"/>
    <s v="RESCISÕES"/>
  </r>
  <r>
    <x v="16"/>
    <s v="JULHO"/>
    <s v="HSERV TERCEIRIZADOS"/>
    <s v="LOTUS CENTRAL DE DISTRIBUICAO DE HIGIENICOS LTDA NF 140.263"/>
    <n v="-357.72"/>
    <x v="0"/>
    <s v="MERCADORIAS PARA REVENDA"/>
  </r>
  <r>
    <x v="22"/>
    <s v="JULHO"/>
    <s v="VITOR DUARTE"/>
    <s v="GADE CORPORATIVA"/>
    <n v="-545.28"/>
    <x v="0"/>
    <s v="SISTEMA"/>
  </r>
  <r>
    <x v="22"/>
    <s v="JULHO"/>
    <s v="VITOR DUARTE"/>
    <s v="OPEN IT GROUP- ESCRITORIO"/>
    <n v="-154.9"/>
    <x v="0"/>
    <s v="INTERNET"/>
  </r>
  <r>
    <x v="22"/>
    <s v="JULHO"/>
    <s v="VITOR DUARTE"/>
    <s v="OPEN IT GROUP-LOJA CLEAN "/>
    <n v="-139.9"/>
    <x v="0"/>
    <s v="INTERNET"/>
  </r>
  <r>
    <x v="23"/>
    <s v="AGOSTO"/>
    <s v="HSERV CABREUVA"/>
    <s v="JAIR RÉ-COMISSAO MARÇO "/>
    <n v="-810.56"/>
    <x v="0"/>
    <s v="COMISSOES"/>
  </r>
  <r>
    <x v="23"/>
    <s v="AGOSTO"/>
    <s v="HSERV CABREUVA"/>
    <s v="JAIR RÉ-COMISSAO JULHO"/>
    <n v="-2014.2"/>
    <x v="0"/>
    <s v="COMISSOES"/>
  </r>
  <r>
    <x v="22"/>
    <s v="JULHO"/>
    <s v="HSERV COMBINADOS"/>
    <s v="MAC LUCER - VINEA (MENSAL) PARCELA 13- VINEA -Apto 004 (contrato-95)"/>
    <n v="-1925.16"/>
    <x v="0"/>
    <s v="APORTE"/>
  </r>
  <r>
    <x v="12"/>
    <s v="JULHO"/>
    <s v="HSERV COMBINADOS"/>
    <s v="MARIA DE JESUS SANTOS"/>
    <n v="-291"/>
    <x v="0"/>
    <s v="VALE TRANSPORTE"/>
  </r>
  <r>
    <x v="12"/>
    <s v="JULHO"/>
    <s v="HSERV COMBINADOS"/>
    <s v="PALOMA CARVALHO PINHEIRO"/>
    <n v="-108"/>
    <x v="0"/>
    <s v="VALE TRANSPORTE"/>
  </r>
  <r>
    <x v="12"/>
    <s v="JULHO"/>
    <s v="HSERV COMBINADOS"/>
    <s v="FABIO NOGUEIRA DA SILVA LOPES"/>
    <n v="-110.7"/>
    <x v="0"/>
    <s v="VALE TRANSPORTE"/>
  </r>
  <r>
    <x v="12"/>
    <s v="JULHO"/>
    <s v="VITOR DUARTE"/>
    <s v="DANIELE VIEIRA DA SILVA"/>
    <n v="-160"/>
    <x v="0"/>
    <s v="VALE TRANSPORTE"/>
  </r>
  <r>
    <x v="0"/>
    <s v="JULHO"/>
    <s v="VITOR DUARTE"/>
    <s v="CHEQUES DR DUARTE"/>
    <n v="-9980"/>
    <x v="0"/>
    <s v="PROLABORE"/>
  </r>
  <r>
    <x v="24"/>
    <s v="JULHO"/>
    <s v="HENRIQUE JEAN"/>
    <s v="SIND DAS EMP DE PREST DE SER T C A M O T T NO E DE SP"/>
    <n v="-630"/>
    <x v="0"/>
    <s v="SINDICATO"/>
  </r>
  <r>
    <x v="25"/>
    <s v="JULHO"/>
    <s v="VITOR DUARTE"/>
    <s v="NEXTI DESENVOLVIMENTO DE SISTEMAS S.A."/>
    <n v="-1689.04"/>
    <x v="0"/>
    <s v="SISTEMA"/>
  </r>
  <r>
    <x v="25"/>
    <s v="JULHO"/>
    <s v="VITOR DUARTE"/>
    <s v="NEXTI DESENVOLVIMENTO DE SISTEMAS S.A."/>
    <n v="-2644.76"/>
    <x v="0"/>
    <s v="SISTEMA"/>
  </r>
  <r>
    <x v="15"/>
    <s v="JULHO"/>
    <s v="VITOR DUARTE"/>
    <s v="CHEQUES DR DUARTE"/>
    <n v="-9980"/>
    <x v="0"/>
    <s v="PROLABORE"/>
  </r>
  <r>
    <x v="26"/>
    <s v="AGOSTO"/>
    <s v="HSERV CLEAN"/>
    <s v="SPARTAN DO BRASIL PRODUTOS QUIMICOS LTDA- NF 258.675"/>
    <n v="-9520.2900000000009"/>
    <x v="0"/>
    <s v="MERCADORIAS PARA REVENDA"/>
  </r>
  <r>
    <x v="27"/>
    <s v="SETEMBRO"/>
    <s v="COMBINADOS"/>
    <s v="EMPRESTIMO INTER HSERV CLEAN "/>
    <n v="51000"/>
    <x v="1"/>
    <s v="INTER"/>
  </r>
  <r>
    <x v="28"/>
    <s v="SETEMBRO"/>
    <s v="COMBINADOS"/>
    <s v="CBM TOWER -RATEIO MENSAL"/>
    <n v="-1480.5"/>
    <x v="0"/>
    <s v="APORTE"/>
  </r>
  <r>
    <x v="18"/>
    <s v="SETEMBRO"/>
    <s v="COMBINADOS"/>
    <s v="CBM TOWER -TAXA DE CONDOMINIO"/>
    <n v="-200"/>
    <x v="0"/>
    <s v="APORTE"/>
  </r>
  <r>
    <x v="29"/>
    <s v="OUTUBRO"/>
    <s v="COMBINADOS"/>
    <s v="CBM TOWER -RATEIO MENSAL"/>
    <n v="-1500"/>
    <x v="0"/>
    <s v="APORTE"/>
  </r>
  <r>
    <x v="29"/>
    <s v="OUTUBRO"/>
    <s v="COMBINADOS"/>
    <s v="CBM TOWER -TAXA DE CONDOMINIO"/>
    <n v="-200"/>
    <x v="0"/>
    <s v="APORTE"/>
  </r>
  <r>
    <x v="30"/>
    <s v="AGOSTO"/>
    <s v="HSERV COMBINADOS"/>
    <s v="PAMELA GREICE MARINHO ROCHA-UBER FISCAL DAVI DO RIO ACIMA E DANIEL DA VARZEA PAULISTA  - JUNDIAI  LOJA 08 -APOIO EXTRA-  CAIXINHA PARA CONDUÇÃO DE APOIOS EXTRAS LOJA 08"/>
    <n v="-111.89"/>
    <x v="0"/>
    <s v="REEMBOLSO DE DESPESAS"/>
  </r>
  <r>
    <x v="24"/>
    <s v="JULHO"/>
    <s v="HENRIQUE JEAN"/>
    <s v="NILDA FERREIRA SOBRINHO"/>
    <n v="-2198.9"/>
    <x v="0"/>
    <s v="FÉRIAS"/>
  </r>
  <r>
    <x v="24"/>
    <s v="JULHO"/>
    <s v="HENRIQUE JEAN"/>
    <s v="MAURA VILELA PINTO"/>
    <n v="-2926.15"/>
    <x v="0"/>
    <s v="FÉRIAS"/>
  </r>
  <r>
    <x v="24"/>
    <s v="JULHO"/>
    <s v="HSERV CABREUVA"/>
    <s v="MARIA INES VERDEIRO"/>
    <n v="-2484.92"/>
    <x v="0"/>
    <s v="FÉRIAS"/>
  </r>
  <r>
    <x v="24"/>
    <s v="JULHO"/>
    <s v="HSERV CLEAN"/>
    <s v="WILLIAN KIOSHI NEVES SAKAI"/>
    <n v="-3034.93"/>
    <x v="0"/>
    <s v="FÉRIAS"/>
  </r>
  <r>
    <x v="24"/>
    <s v="JULHO"/>
    <s v="HSERV CLEAN"/>
    <s v="JOSE DAVI DOS SANTOS MEDEIROS"/>
    <n v="-2902.63"/>
    <x v="0"/>
    <s v="FÉRIAS"/>
  </r>
  <r>
    <x v="24"/>
    <s v="JULHO"/>
    <s v="HSERV COMBINADOS"/>
    <s v="GUSTAVO AMARANTE DA SILVA"/>
    <n v="-3185.1"/>
    <x v="0"/>
    <s v="FÉRIAS"/>
  </r>
  <r>
    <x v="24"/>
    <s v="JULHO"/>
    <s v="HSERV COMBINADOS"/>
    <s v="REGINA DE SOUZA"/>
    <n v="-2701.72"/>
    <x v="0"/>
    <s v="FÉRIAS"/>
  </r>
  <r>
    <x v="24"/>
    <s v="JULHO"/>
    <s v="HSERV COMBINADOS"/>
    <s v="CICERA MATOS DA SILVA"/>
    <n v="-2634.1"/>
    <x v="0"/>
    <s v="FÉRIAS"/>
  </r>
  <r>
    <x v="24"/>
    <s v="JULHO"/>
    <s v="HSERV COMBINADOS"/>
    <s v="VANDERLEIA BISPO DE SOUZA"/>
    <n v="-2117.89"/>
    <x v="0"/>
    <s v="FÉRIAS"/>
  </r>
  <r>
    <x v="24"/>
    <s v="JULHO"/>
    <s v="HSERV LIMPEZA"/>
    <s v="Lucineia de Souza Megueiro"/>
    <n v="-2703.07"/>
    <x v="0"/>
    <s v="FÉRIAS"/>
  </r>
  <r>
    <x v="24"/>
    <s v="JULHO"/>
    <s v="HSERV REPRESENTACOES"/>
    <s v="SANDRO HELENO DE OLIVEIRA"/>
    <n v="-2931.59"/>
    <x v="0"/>
    <s v="FÉRIAS"/>
  </r>
  <r>
    <x v="24"/>
    <s v="JULHO"/>
    <s v="HSERV TECNOLOGIA"/>
    <s v="PATRICIA PEREIRA DOS SANTOS"/>
    <n v="-2958.07"/>
    <x v="0"/>
    <s v="FÉRIAS"/>
  </r>
  <r>
    <x v="24"/>
    <s v="JULHO"/>
    <s v="HSERV TERCEIRIZADOS"/>
    <s v="MANOEL FREIRE SANTOS"/>
    <n v="-2106.31"/>
    <x v="0"/>
    <s v="FÉRIAS"/>
  </r>
  <r>
    <x v="24"/>
    <s v="JULHO"/>
    <s v="VITOR DUARTE"/>
    <s v="FABIOLA FARIAS FELIX"/>
    <n v="-4725"/>
    <x v="0"/>
    <s v="FÉRIAS"/>
  </r>
  <r>
    <x v="24"/>
    <s v="JULHO"/>
    <s v="VITOR DUARTE"/>
    <s v="IFOOD.COM AGENCIA DE RESTAURANTES ONLINE S.A.-VALDILMA,GILBERTO,LAURINDA E FABIA"/>
    <n v="-726.6"/>
    <x v="0"/>
    <s v="VALE ALIMENTAÇAO"/>
  </r>
  <r>
    <x v="24"/>
    <s v="JULHO"/>
    <s v="HSERV COMBINADOS"/>
    <s v="GRRF MARIA LUCIA SOUSA SANTOS"/>
    <n v="-141.81"/>
    <x v="0"/>
    <s v="RESCISÕES"/>
  </r>
  <r>
    <x v="24"/>
    <s v="JULHO"/>
    <s v="HSERV COMBINADOS"/>
    <s v="MARIA APARECIDA DOS SANTOS ROCHA"/>
    <n v="-952.95"/>
    <x v="0"/>
    <s v="RESCISÕES"/>
  </r>
  <r>
    <x v="24"/>
    <s v="JULHO"/>
    <s v="HSERV TECNOLOGIA"/>
    <s v="ELENILZA PATRICIA ALMEIDA DUARTE"/>
    <n v="-1987.42"/>
    <x v="0"/>
    <s v="RESCISÕES"/>
  </r>
  <r>
    <x v="30"/>
    <s v="AGOSTO"/>
    <s v="HSERV COMBINADOS"/>
    <s v="PAMELA GREICE MARINHO ROCHA- JONATHAN PRECISAVA IR PARA VALINHOS, O POSTO DE GASOLINA FECHOU- UBER DO BOA VALINHOS PARA VILA NAMBI  FISCAL FABIO E ASG FLAVIA KELLY"/>
    <n v="-214.13"/>
    <x v="0"/>
    <s v="REEMBOLSO DE DESPESAS"/>
  </r>
  <r>
    <x v="31"/>
    <s v="AGOSTO"/>
    <s v="VITOR DUARTE"/>
    <s v="CLAUDIO JESUS DE ALMEIDA ADVOGADOS ASSOCIADOS-Proc 0011865-05.2024.5.15.0109- ADRILENE PEREIRA DA SILVA-PARCELA 2/6"/>
    <n v="-1500"/>
    <x v="0"/>
    <s v="ACORDO TRABALHISTA"/>
  </r>
  <r>
    <x v="32"/>
    <s v="SETEMBRO"/>
    <s v="VITOR DUARTE"/>
    <s v="CLAUDIO JESUS DE ALMEIDA ADVOGADOS ASSOCIADOS-Proc 0011865-05.2024.5.15.0109- ADRILENE PEREIRA DA SILVA-PARCELA 3/6"/>
    <n v="-1500"/>
    <x v="0"/>
    <s v="ACORDO TRABALHISTA"/>
  </r>
  <r>
    <x v="29"/>
    <s v="OUTUBRO"/>
    <s v="VITOR DUARTE"/>
    <s v="CLAUDIO JESUS DE ALMEIDA ADVOGADOS ASSOCIADOS-Proc 0011865-05.2024.5.15.0109- ADRILENE PEREIRA DA SILVA-PARCELA 4/6"/>
    <n v="-1500"/>
    <x v="0"/>
    <s v="ACORDO TRABALHISTA"/>
  </r>
  <r>
    <x v="33"/>
    <s v="NOVEMBRO"/>
    <s v="VITOR DUARTE"/>
    <s v="CLAUDIO JESUS DE ALMEIDA ADVOGADOS ASSOCIADOS-Proc 0011865-05.2024.5.15.0109- ADRILENE PEREIRA DA SILVA-PARCELA 5/6"/>
    <n v="-1500"/>
    <x v="0"/>
    <s v="ACORDO TRABALHISTA"/>
  </r>
  <r>
    <x v="34"/>
    <s v="DEZEMBRO"/>
    <s v="VITOR DUARTE"/>
    <s v="CLAUDIO JESUS DE ALMEIDA ADVOGADOS ASSOCIADOS-Proc 0011865-05.2024.5.15.0109- ADRILENE PEREIRA DA SILVA-PARCELA 6/6"/>
    <n v="-1500"/>
    <x v="0"/>
    <s v="ACORDO TRABALHISTA"/>
  </r>
  <r>
    <x v="24"/>
    <s v="JULHO"/>
    <s v="VITOR DUARTE"/>
    <s v="CLAUDIO JESUS DE ALMEIDA ADVOGADOS ASSOCIADOS-Proc 0011865-05.2024.5.15.0109- ADRILENE PEREIRA DA SILVA-PARCELA 1/6"/>
    <n v="-1500"/>
    <x v="0"/>
    <s v="ACORDO TRABALHISTA"/>
  </r>
  <r>
    <x v="24"/>
    <s v="JULHO"/>
    <s v="HSERV CABREUVA"/>
    <s v="OKUYAMA &amp; ALVES SOCIEDADE DE ADVOGADOS-PROC 0012360-22.2024.5.15.0021 ADRIANA TEIXEIRA DE OLIVEIRA PARCELA 1/8"/>
    <n v="-2000"/>
    <x v="0"/>
    <s v="ACORDO TRABALHISTA"/>
  </r>
  <r>
    <x v="31"/>
    <s v="AGOSTO"/>
    <s v="HSERV CABREUVA"/>
    <s v="OKUYAMA &amp; ALVES SOCIEDADE DE ADVOGADOS-PROC 0012360-22.2024.5.15.0021 ADRIANA TEIXEIRA DE OLIVEIRA PARCELA 2/8"/>
    <n v="-2000"/>
    <x v="0"/>
    <s v="ACORDO TRABALHISTA"/>
  </r>
  <r>
    <x v="32"/>
    <s v="SETEMBRO"/>
    <s v="HSERV CABREUVA"/>
    <s v="OKUYAMA &amp; ALVES SOCIEDADE DE ADVOGADOS-PROC 0012360-22.2024.5.15.0021 ADRIANA TEIXEIRA DE OLIVEIRA PARCELA 3/8"/>
    <n v="-2000"/>
    <x v="0"/>
    <s v="ACORDO TRABALHISTA"/>
  </r>
  <r>
    <x v="29"/>
    <s v="OUTUBRO"/>
    <s v="HSERV CABREUVA"/>
    <s v="OKUYAMA &amp; ALVES SOCIEDADE DE ADVOGADOS-PROC 0012360-22.2024.5.15.0021 ADRIANA TEIXEIRA DE OLIVEIRA PARCELA 4/8"/>
    <n v="-2000"/>
    <x v="0"/>
    <s v="ACORDO TRABALHISTA"/>
  </r>
  <r>
    <x v="33"/>
    <s v="NOVEMBRO"/>
    <s v="HSERV CABREUVA"/>
    <s v="OKUYAMA &amp; ALVES SOCIEDADE DE ADVOGADOS-PROC 0012360-22.2024.5.15.0021 ADRIANA TEIXEIRA DE OLIVEIRA PARCELA 5/8"/>
    <n v="-2000"/>
    <x v="0"/>
    <s v="ACORDO TRABALHISTA"/>
  </r>
  <r>
    <x v="34"/>
    <s v="DEZEMBRO"/>
    <s v="HSERV CABREUVA"/>
    <s v="OKUYAMA &amp; ALVES SOCIEDADE DE ADVOGADOS-PROC 0012360-22.2024.5.15.0021 ADRIANA TEIXEIRA DE OLIVEIRA PARCELA 6/8"/>
    <n v="-2000"/>
    <x v="0"/>
    <s v="ACORDO TRABALHISTA"/>
  </r>
  <r>
    <x v="24"/>
    <s v="JULHO"/>
    <s v="HSERV CLEAN"/>
    <s v="HM MAQ COMERCIO E ASSISTENCIA TECNICA INDUSTRIAL"/>
    <n v="-875.98"/>
    <x v="0"/>
    <s v="MANUTENÇÃO"/>
  </r>
  <r>
    <x v="24"/>
    <s v="JULHO"/>
    <s v="VITOR DUARTE"/>
    <s v="CHEQUES DR DUARTE"/>
    <n v="-12331.74"/>
    <x v="0"/>
    <s v="PROLABORE"/>
  </r>
  <r>
    <x v="24"/>
    <s v="JULHO"/>
    <s v="HSERV CABREUVA"/>
    <s v="SIMPLES NACIONAL-PARCELAMENTO"/>
    <n v="-32356.7"/>
    <x v="0"/>
    <s v="IMPOSTO"/>
  </r>
  <r>
    <x v="24"/>
    <s v="JULHO"/>
    <s v="HSERV CABREUVA"/>
    <s v="IFOOD BENEFICIOS - VALE COMBUSTIVEL 1 QUINZENA DE AGOSTO"/>
    <n v="-6924.55"/>
    <x v="0"/>
    <s v="VALE COMBUSTIVEL"/>
  </r>
  <r>
    <x v="25"/>
    <s v="JULHO"/>
    <s v="VITOR DUARTE"/>
    <s v="54.055.078 MATHEUS PEIXOTO DE OLIVEIRA"/>
    <n v="-1500"/>
    <x v="0"/>
    <s v="TI"/>
  </r>
  <r>
    <x v="30"/>
    <s v="AGOSTO"/>
    <s v="VITOR DUARTE"/>
    <s v="ADEMIR- IMPRESSÃO E IMPRESSORA-ALUGUEL IMPRESSORA"/>
    <n v="-100"/>
    <x v="0"/>
    <s v="IMPRESSORA"/>
  </r>
  <r>
    <x v="25"/>
    <s v="JULHO"/>
    <s v="HSERV TERCEIRIZADOS"/>
    <s v="RFP MATERIAIS PARA CONSTRUCAO LTDA NF 138143-MERCADORIA PARA REVENDA"/>
    <n v="-387.74"/>
    <x v="0"/>
    <s v="MANUTENÇÃO"/>
  </r>
  <r>
    <x v="25"/>
    <s v="JULHO"/>
    <s v="HSERV TERCEIRIZADOS"/>
    <s v="WIG COMERCIO DE BATERIAS E COMP. LTDA NF 553 BATERIAS PARA B70"/>
    <n v="-1330"/>
    <x v="0"/>
    <s v="MANUTENÇÃO"/>
  </r>
  <r>
    <x v="32"/>
    <s v="SETEMBRO"/>
    <s v="VITOR DUARTE"/>
    <s v="OTAVIO AUGUSTO FERREIRA-APORTE VITOR"/>
    <n v="-5000"/>
    <x v="0"/>
    <s v="APORTE"/>
  </r>
  <r>
    <x v="24"/>
    <s v="JULHO"/>
    <s v="VITOR DUARTE"/>
    <s v="PARCELAMENTO - VITOR DUARTE  DEBITO PREVIDENCIARIO-GPS JULHO A NOVEMBRO DE 2024- VENCIMENTO 30/07/2025"/>
    <n v="-6479.07"/>
    <x v="0"/>
    <s v="IMPOSTO"/>
  </r>
  <r>
    <x v="24"/>
    <s v="JULHO"/>
    <s v="HSERV CLEAN"/>
    <s v="GUIA DE PARCELAMENTO DE DIVIDA ATIVA HSERV CLEAN"/>
    <n v="-547.91999999999996"/>
    <x v="0"/>
    <s v="IMPOSTO"/>
  </r>
  <r>
    <x v="16"/>
    <s v="JULHO"/>
    <s v="HSERV CABREUVA"/>
    <s v="MARIA INES VERDEIRO fazer 4 dias  R$49,20 R$12,30 POR DIA  vencedor"/>
    <n v="-49.2"/>
    <x v="0"/>
    <s v="VALE TRANSPORTE"/>
  </r>
  <r>
    <x v="16"/>
    <s v="JULHO"/>
    <s v="HSERV COMBINADOS"/>
    <s v="LINDIMAR FERREIRA DOS SANTOS-VALE TRANSPORTE PARA FINALIZAR O MES  R$11,80 POR DIA  CAMPO LIMPO"/>
    <n v="-118"/>
    <x v="0"/>
    <s v="VALE TRANSPORTE"/>
  </r>
  <r>
    <x v="16"/>
    <s v="JULHO"/>
    <s v="VITOR DUARTE"/>
    <s v="JOSE ADILSON LIMA BATISTA -VALE TRANSPORTE DO DIA 24/07 AO DIA 31/07 R$12,30 POR D"/>
    <n v="-86.1"/>
    <x v="0"/>
    <s v="VALE TRANSPORTE"/>
  </r>
  <r>
    <x v="24"/>
    <s v="JULHO"/>
    <s v="HSERV CLEAN"/>
    <s v="GUIA DE IRRF_1708_07.2024 - HSERV CLEAN- VEPAKUM"/>
    <n v="-896.2"/>
    <x v="0"/>
    <s v="IMPOSTO"/>
  </r>
  <r>
    <x v="24"/>
    <s v="JULHO"/>
    <s v="HSERV CLEAN"/>
    <s v="GUIA DE CSRF_1708_07.2024 - HSERV CLEAN- VEPAKUM"/>
    <n v="-4167.3599999999997"/>
    <x v="0"/>
    <s v="IMPOSTO"/>
  </r>
  <r>
    <x v="24"/>
    <s v="JULHO"/>
    <s v="HSERV CABREUVA"/>
    <s v="GUIA DE PARCELAMENTO- ENTRADA PARC_SIMPLES NACIONAL_DIVIDA ATIVA  HSERV CABREUVA"/>
    <n v="-1584.61"/>
    <x v="0"/>
    <s v="IMPOSTO"/>
  </r>
  <r>
    <x v="24"/>
    <s v="JULHO"/>
    <s v="HSERV COMBINADOS "/>
    <s v="GUIA DE PARCELAMENTO- ENTRADA PARC_SIMPLES NACIONAL_DIVIDA ATIVA HSERV COMBINADOS"/>
    <n v="-744.15"/>
    <x v="0"/>
    <s v="IMPOSTO"/>
  </r>
  <r>
    <x v="24"/>
    <s v="JULHO"/>
    <s v="HENRIQUE JEAN"/>
    <s v="PARCELAMENTO SIMPLICADO- HENRIQUE JEAN DEBITO PREVIDENCIARIO  VENCIMENTO 30/07/2025"/>
    <n v="-527.71"/>
    <x v="0"/>
    <s v="IMPOSTO"/>
  </r>
  <r>
    <x v="24"/>
    <s v="JULHO"/>
    <s v="HSERV COMBINADOS"/>
    <s v="PARCELAMENTO SIMPLICADO- HSERV COMBINADOS  DEBITO PREVIDENCIARIO - VENCIMENTO 30/07/2025"/>
    <n v="-511.22"/>
    <x v="0"/>
    <s v="IMPOSTO"/>
  </r>
  <r>
    <x v="24"/>
    <s v="JULHO"/>
    <s v="VITOR DUARTE"/>
    <s v="PARCELAMENTO - VITOR DUARTE  DEBITO PREVIDENCIARIO-GPS DEZEMBRO A FEVEREIRO DE 2025- VENCIMENTO 30/07/2025"/>
    <n v="-4331.1099999999997"/>
    <x v="0"/>
    <s v="IMPOSTO"/>
  </r>
  <r>
    <x v="24"/>
    <s v="JULHO"/>
    <s v="HSERV REPRESENTAÇÃO "/>
    <s v="PARCELAMENTO SIMPLICADO- HSERV REPRESENTAÇÃO  DEBITO PREVIDENCIARIO  - VENCIMENTO 30/07/2025"/>
    <n v="-521.20000000000005"/>
    <x v="0"/>
    <s v="IMPOSTO"/>
  </r>
  <r>
    <x v="24"/>
    <s v="JULHO"/>
    <s v="HSERV LIMPEZA"/>
    <s v="PARCELAMENTO SIMPLICADO- HSERV LIMPEZA - DEBITO PREVIDENCIARIO  - VENCIMENTO 30/07/2025"/>
    <n v="-525.48"/>
    <x v="0"/>
    <s v="IMPOSTO"/>
  </r>
  <r>
    <x v="25"/>
    <s v="JULHO"/>
    <s v="HSERV CLEAN"/>
    <s v="PARCELA CREDITO PESSOAL CONTR 016721926 PARC"/>
    <n v="-1719.53"/>
    <x v="0"/>
    <s v="CARTÃO DE CREDITO"/>
  </r>
  <r>
    <x v="25"/>
    <s v="JULHO"/>
    <s v="HSERV CABREUVA"/>
    <s v="PARCELA CREDITO PESSOAL CONTR 016721926 PARC"/>
    <n v="-1392.65"/>
    <x v="0"/>
    <s v="CARTÃO DE CREDITO"/>
  </r>
  <r>
    <x v="1"/>
    <s v="JULHO"/>
    <s v="TECNOLOGIA"/>
    <s v="INTERBRILHO HIGIENE E LIMPEZA LTDA"/>
    <n v="900"/>
    <x v="1"/>
    <s v="VENDAS DE SERVIÇOS"/>
  </r>
  <r>
    <x v="1"/>
    <s v="JULHO"/>
    <s v="TECNOLOGIA"/>
    <s v="INTERBRILHO HIGIENE E LIMPEZA LTDA"/>
    <n v="23638.67"/>
    <x v="1"/>
    <s v="VENDAS DE SERVIÇOS"/>
  </r>
  <r>
    <x v="1"/>
    <s v="JULHO"/>
    <s v="TECNOLOGIA"/>
    <s v="INTERBRILHO HIGIENE E LIMPEZA LTDA"/>
    <n v="2700"/>
    <x v="1"/>
    <s v="VENDAS DE SERVIÇOS"/>
  </r>
  <r>
    <x v="1"/>
    <s v="JULHO"/>
    <s v="LIMPEZA"/>
    <s v="EDMAR APARECIDO MARTINEZ"/>
    <n v="18532.8"/>
    <x v="1"/>
    <s v="VENDAS DE SERVIÇOS"/>
  </r>
  <r>
    <x v="1"/>
    <s v="JULHO"/>
    <s v="LIMPEZA"/>
    <s v="EDMAR APARECIDO MARTINEZ"/>
    <n v="799.2"/>
    <x v="1"/>
    <s v="VENDAS DE SERVIÇOS"/>
  </r>
  <r>
    <x v="1"/>
    <s v="JULHO"/>
    <s v="LIMPEZA"/>
    <s v="EDMAR APARECIDO MARTINEZ"/>
    <n v="1200"/>
    <x v="1"/>
    <s v="VENDAS DE SERVIÇOS"/>
  </r>
  <r>
    <x v="1"/>
    <s v="JULHO"/>
    <s v="COMBINADOS"/>
    <s v="TECNIPLAS EQUIPAMENTOS EM COMPOSITOS EIR"/>
    <n v="22451.91"/>
    <x v="1"/>
    <s v="VENDAS DE SERVIÇOS"/>
  </r>
  <r>
    <x v="1"/>
    <s v="JULHO"/>
    <s v="REPRESENTAÇÃO"/>
    <s v="VETTOR TORRES DE RESFRIAMENTO LTDA"/>
    <n v="196"/>
    <x v="1"/>
    <s v="VENDAS DE SERVIÇOS"/>
  </r>
  <r>
    <x v="1"/>
    <s v="JULHO"/>
    <s v="REPRESENTAÇÃO"/>
    <s v="VETTOR TORRES DE RESFRIAMENTO LTDA"/>
    <n v="1500"/>
    <x v="1"/>
    <s v="VENDAS DE SERVIÇOS"/>
  </r>
  <r>
    <x v="1"/>
    <s v="JULHO"/>
    <s v="REPRESENTAÇÃO"/>
    <s v="VETTOR PECAS E TUBOS INDUSTRIA E COMERCIO LTDA."/>
    <n v="1200"/>
    <x v="1"/>
    <s v="VENDAS DE SERVIÇOS"/>
  </r>
  <r>
    <x v="1"/>
    <s v="JULHO"/>
    <s v="REPRESENTAÇÃO"/>
    <s v="VETTOR PECAS E TUBOS INDUSTRIA E COMERCIO LTDA."/>
    <n v="21852.37"/>
    <x v="1"/>
    <s v="VENDAS DE SERVIÇOS"/>
  </r>
  <r>
    <x v="1"/>
    <s v="JULHO"/>
    <s v="REPRESENTAÇÃO"/>
    <s v="VETTOR PECAS E TUBOS INDUSTRIA E COMERCIO LTDA."/>
    <n v="4683.53"/>
    <x v="1"/>
    <s v="VENDAS DE SERVIÇOS"/>
  </r>
  <r>
    <x v="1"/>
    <s v="JULHO"/>
    <s v="REPRESENTAÇÃO"/>
    <s v="VETTOR TORRES DE RESFRIAMENTO LTDA"/>
    <n v="23943.3"/>
    <x v="1"/>
    <s v="VENDAS DE SERVIÇOS"/>
  </r>
  <r>
    <x v="1"/>
    <s v="JULHO"/>
    <s v="REPRESENTAÇÃO"/>
    <s v="VETTOR TORRES DE RESFRIAMENTO LTDA"/>
    <n v="14482.07"/>
    <x v="1"/>
    <s v="VENDAS DE SERVIÇOS"/>
  </r>
  <r>
    <x v="8"/>
    <s v="JULHO"/>
    <s v="HSERV COMBINADOS "/>
    <s v="FT 2 QUINZENA DE FEVEREIRO"/>
    <n v="-25275.45"/>
    <x v="0"/>
    <s v="FT"/>
  </r>
  <r>
    <x v="8"/>
    <s v="JULHO"/>
    <s v="HSERV TERCEIRIZADOS"/>
    <s v="FLORA DISTRIB PROD DE HIGIENE E LIMPEZA LTDA"/>
    <n v="-968.52"/>
    <x v="0"/>
    <s v="MERCADORIAS PARA REVENDA"/>
  </r>
  <r>
    <x v="8"/>
    <s v="JULHO"/>
    <s v="CABREUVA"/>
    <s v="TED 422.0115.KYN C V A L"/>
    <n v="40231.050000000003"/>
    <x v="1"/>
    <s v="VENDAS DE SERVIÇOS"/>
  </r>
  <r>
    <x v="35"/>
    <s v="JULHO"/>
    <s v="CABREUVA"/>
    <s v="CONDOMINIO PALAZZO VENEZA"/>
    <n v="4880.1400000000003"/>
    <x v="1"/>
    <s v="VENDAS DE SERVIÇOS"/>
  </r>
  <r>
    <x v="7"/>
    <s v="JULHO"/>
    <s v="REPRESENTAÇÃO"/>
    <s v="TTB INDUSTRIA E COMERCIO DE PRODUTOS MET"/>
    <n v="1106.1400000000001"/>
    <x v="1"/>
    <s v="VENDAS DE SERVIÇOS"/>
  </r>
  <r>
    <x v="7"/>
    <s v="JULHO"/>
    <s v="REPRESENTAÇÃO"/>
    <s v="TTB INDUSTRIA E COMERCIO DE PRODUTOS MET"/>
    <n v="603.26"/>
    <x v="1"/>
    <s v="VENDAS DE SERVIÇOS"/>
  </r>
  <r>
    <x v="7"/>
    <s v="JULHO"/>
    <s v="REPRESENTAÇÃO"/>
    <s v="TTB INDUSTRIA E COMERCIO DE PRODUTOS MET"/>
    <n v="9631"/>
    <x v="1"/>
    <s v="VENDAS DE SERVIÇOS"/>
  </r>
  <r>
    <x v="7"/>
    <s v="JULHO"/>
    <s v="VITOR"/>
    <s v="DEPOSITO SANTA CATARINA LTDA"/>
    <n v="257.81"/>
    <x v="1"/>
    <s v="VENDAS DE SERVIÇOS"/>
  </r>
  <r>
    <x v="7"/>
    <s v="JULHO"/>
    <s v="VITOR"/>
    <s v="GIFEL"/>
    <n v="680.03"/>
    <x v="1"/>
    <s v="VENDAS DE SERVIÇOS"/>
  </r>
  <r>
    <x v="7"/>
    <s v="JULHO"/>
    <s v="HENRIQUE JEAN"/>
    <s v="SANTA CASA DE MISERICORDIA DE CABREUVA"/>
    <n v="2800.33"/>
    <x v="1"/>
    <s v="VENDAS DE SERVIÇOS"/>
  </r>
  <r>
    <x v="7"/>
    <s v="JULHO"/>
    <s v="HENRIQUE JEAN"/>
    <s v="SANTA CASA DE MISERICORDIA DE CABREUVA"/>
    <n v="22930"/>
    <x v="1"/>
    <s v="VENDAS DE SERVIÇOS"/>
  </r>
  <r>
    <x v="7"/>
    <s v="JULHO"/>
    <s v="CLEAN"/>
    <s v="IMPROVEMENT FIT ACADEMIA LTDA"/>
    <n v="496.96"/>
    <x v="1"/>
    <s v="VENDAS DE PRODUTOS"/>
  </r>
  <r>
    <x v="7"/>
    <s v="JULHO"/>
    <s v="HSERV COMBINADOS"/>
    <s v="IMPROVEMENT FIT ACADEMIA LTDA"/>
    <n v="7850"/>
    <x v="1"/>
    <s v="VENDAS DE SERVIÇOS"/>
  </r>
  <r>
    <x v="7"/>
    <s v="JULHO"/>
    <s v="HSERV LIMPEZA"/>
    <s v="NEW PARK TENIS"/>
    <n v="42961.04"/>
    <x v="1"/>
    <s v="VENDAS DE PRODUTOS"/>
  </r>
  <r>
    <x v="7"/>
    <s v="JULHO"/>
    <s v="CLEAN"/>
    <s v="RICARO"/>
    <n v="24988.71"/>
    <x v="1"/>
    <s v="VENDAS DE SERVIÇOS"/>
  </r>
  <r>
    <x v="7"/>
    <s v="JULHO"/>
    <s v="CLEAN"/>
    <s v="RICARO"/>
    <n v="16834.330000000002"/>
    <x v="1"/>
    <s v="VENDAS DE SERVIÇOS"/>
  </r>
  <r>
    <x v="7"/>
    <s v="JULHO"/>
    <s v="CLEAN"/>
    <s v="RICARO"/>
    <n v="12459.61"/>
    <x v="1"/>
    <s v="VENDAS DE SERVIÇOS"/>
  </r>
  <r>
    <x v="3"/>
    <s v="JULHO"/>
    <s v="CLEAN"/>
    <s v="RICARO"/>
    <n v="2284.4499999999998"/>
    <x v="1"/>
    <s v="VENDAS DE SERVIÇOS"/>
  </r>
  <r>
    <x v="11"/>
    <s v="JULHO"/>
    <s v="CLEAN"/>
    <s v="RICARO"/>
    <n v="268.13"/>
    <x v="1"/>
    <s v="VENDAS DE SERVIÇOS"/>
  </r>
  <r>
    <x v="11"/>
    <s v="JULHO"/>
    <s v="CLEAN"/>
    <s v="RICARO"/>
    <n v="386"/>
    <x v="1"/>
    <s v="VENDAS DE SERVIÇOS"/>
  </r>
  <r>
    <x v="11"/>
    <s v="JULHO"/>
    <s v="CLEAN"/>
    <s v="RICARO"/>
    <n v="386"/>
    <x v="1"/>
    <s v="VENDAS DE SERVIÇOS"/>
  </r>
  <r>
    <x v="7"/>
    <s v="JULHO"/>
    <s v="CLEAN"/>
    <s v="RICARO"/>
    <n v="2284.4499999999998"/>
    <x v="1"/>
    <s v="VENDAS DE SERVIÇOS"/>
  </r>
  <r>
    <x v="4"/>
    <s v="JULHO"/>
    <s v="VITOR DUARTE"/>
    <s v="AVENIDA -ANTECIPADO DIA 02/07- VENCIMENTO 15/07"/>
    <n v="352449.65"/>
    <x v="1"/>
    <s v="VENDAS DE SERVIÇOS"/>
  </r>
  <r>
    <x v="10"/>
    <s v="JULHO"/>
    <s v="TERCEIRIZADOS"/>
    <s v="BELLART"/>
    <n v="1200"/>
    <x v="1"/>
    <s v="VENDAS DE SERVIÇOS"/>
  </r>
  <r>
    <x v="10"/>
    <s v="JULHO"/>
    <s v="TERCEIRIZADOS"/>
    <s v="NEWPARK TENIS"/>
    <n v="1200"/>
    <x v="1"/>
    <s v="VENDAS DE SERVIÇOS"/>
  </r>
  <r>
    <x v="10"/>
    <s v="JULHO"/>
    <s v="TERCEIRIZADOS"/>
    <s v="BELLART"/>
    <n v="17956.39"/>
    <x v="1"/>
    <s v="VENDAS DE SERVIÇOS"/>
  </r>
  <r>
    <x v="36"/>
    <s v="AGOSTO"/>
    <s v="LIMPEZA"/>
    <s v="MIPAL INDUSTRIA DE EVAPORADORES LTDA"/>
    <n v="36639.58"/>
    <x v="1"/>
    <s v="VENDAS DE SERVIÇOS"/>
  </r>
  <r>
    <x v="30"/>
    <s v="AGOSTO"/>
    <s v="CLEAN"/>
    <s v="PLASTY COMERCIAL DE PLASTICOS LTDA"/>
    <n v="2373.8200000000002"/>
    <x v="1"/>
    <s v="VENDAS DE SERVIÇOS"/>
  </r>
  <r>
    <x v="30"/>
    <s v="AGOSTO"/>
    <s v="CLEAN"/>
    <s v="PLASTY COMERCIAL DE PLASTICOS LTDA"/>
    <n v="5823.82"/>
    <x v="1"/>
    <s v="VENDAS DE SERVIÇOS"/>
  </r>
  <r>
    <x v="30"/>
    <s v="AGOSTO"/>
    <s v="CLEAN"/>
    <s v="PLASTY COMERCIAL DE PLASTICOS LTDA"/>
    <n v="7526.95"/>
    <x v="1"/>
    <s v="VENDAS DE SERVIÇOS"/>
  </r>
  <r>
    <x v="30"/>
    <s v="AGOSTO"/>
    <s v="CLEAN"/>
    <s v="PLASTY COMERCIAL DE PLASTICOS LTDA"/>
    <n v="25756.63"/>
    <x v="1"/>
    <s v="VENDAS DE SERVIÇOS"/>
  </r>
  <r>
    <x v="11"/>
    <s v="JULHO"/>
    <s v="CABREUVA"/>
    <s v="IRMÃOS BOA-ANTECIPAÇÃO"/>
    <n v="908006.92"/>
    <x v="1"/>
    <s v="VENDAS DE SERVIÇOS"/>
  </r>
  <r>
    <x v="8"/>
    <s v="JULHO"/>
    <s v="HSERV CABREUVA"/>
    <s v="PAPEL E CIA"/>
    <n v="-232.71"/>
    <x v="0"/>
    <s v="MATERIAL DE ESCRITÓRIO"/>
  </r>
  <r>
    <x v="8"/>
    <s v="JULHO"/>
    <s v="HENRIQUE JEAN"/>
    <s v="MARCIO FERREIRA TOLLER SILVA- 0012057-42.2022.5.15.0097-FELIPE ANGELO DE OLIVEIRA PARCELA 3/3"/>
    <n v="-2333"/>
    <x v="0"/>
    <s v="ACORDO TRABALHISTA"/>
  </r>
  <r>
    <x v="8"/>
    <s v="JULHO"/>
    <s v="HENRIQUE JEAN"/>
    <s v="SANTOS SEPULVEDA SOCIEDADE - PROC 0010895-75.2023.5.15.009 AMANDA BRITO SANTOS PARCELA 3/17"/>
    <n v="-1000"/>
    <x v="0"/>
    <s v="ACORDO TRABALHISTA"/>
  </r>
  <r>
    <x v="11"/>
    <s v="JULHO"/>
    <s v="HENRIQUE JEAN"/>
    <s v="SAMANTHA PATRICIA MACHADO DE GOUVEIA -PROC  nº 0010287-43.2024.5.15.0097-SHEILA PASSALINE FERRAZ- PARCELA 2/4"/>
    <n v="-1000"/>
    <x v="0"/>
    <s v="ACORDO TRABALHISTA"/>
  </r>
  <r>
    <x v="25"/>
    <s v="JULHO"/>
    <s v="HSERV TERCEIRIZADOS"/>
    <s v="LOTUS CENTRAL DE DISTRIBUICAO DE HIGIENICOS LTDA NF 138143-MERCADORIA PARA REVENDAS"/>
    <n v="-1800.31"/>
    <x v="0"/>
    <s v="MERCADORIAS PARA REVENDA"/>
  </r>
  <r>
    <x v="25"/>
    <s v="JULHO"/>
    <s v="HSERV TECNOLOGIA"/>
    <s v="ALEX APARECIDO DE MORAIS"/>
    <n v="-141"/>
    <x v="0"/>
    <s v="VALE TRANSPORTE"/>
  </r>
  <r>
    <x v="24"/>
    <s v="JULHO"/>
    <s v="VITOR DUARTE"/>
    <s v="EDIMARA GISELE SILVA JOANI-VALE TRANSPORTE AGOSTO"/>
    <n v="-260"/>
    <x v="0"/>
    <s v="VALE TRANSPORTE"/>
  </r>
  <r>
    <x v="24"/>
    <s v="JULHO"/>
    <s v="VITOR DUARTE"/>
    <s v="KEMELLY THAIS TERTULIANO DE OLIVEIRA-VALE TRANSPORTE AGOSTO"/>
    <n v="-250"/>
    <x v="0"/>
    <s v="VALE TRANSPORTE"/>
  </r>
  <r>
    <x v="24"/>
    <s v="JULHO"/>
    <s v="VITOR DUARTE"/>
    <s v="ROSANGELA DA SILVA-VALE TRANSPORTE AGOSTO"/>
    <n v="-180"/>
    <x v="0"/>
    <s v="VALE TRANSPORTE"/>
  </r>
  <r>
    <x v="24"/>
    <s v="JULHO"/>
    <s v="VITOR DUARTE"/>
    <s v="TATIANE CRISTINA BARBOSA-VALE TRANSPORTE AGOSTO AVENIDA"/>
    <n v="-240"/>
    <x v="0"/>
    <s v="VALE TRANSPORTE"/>
  </r>
  <r>
    <x v="24"/>
    <s v="JULHO"/>
    <s v="VITOR DUARTE"/>
    <s v="MARIA INES CHAGAS-VALE TRANSPORTE AGOSTO"/>
    <n v="-180"/>
    <x v="0"/>
    <s v="VALE TRANSPORTE"/>
  </r>
  <r>
    <x v="24"/>
    <s v="JULHO"/>
    <s v="VITOR DUARTE"/>
    <s v="ELUSA ROSALVA DA ROCHA PEREIRA-VALE TRANSPORTE R$14,40 POR DIA  ASSIS"/>
    <n v="-316.8"/>
    <x v="0"/>
    <s v="VALE TRANSPORTE"/>
  </r>
  <r>
    <x v="24"/>
    <s v="JULHO"/>
    <s v="VITOR DUARTE"/>
    <s v="JULIANA TOMAZ FERREIRA-VALE TRANSPORTE AGOSTO"/>
    <n v="-264"/>
    <x v="0"/>
    <s v="VALE TRANSPORTE"/>
  </r>
  <r>
    <x v="24"/>
    <s v="JULHO"/>
    <s v="VITOR DUARTE"/>
    <s v="THAYANE TERTULIANO DOMINGOS DA SILVA-VALE TRANSPORTE AGOSTO"/>
    <n v="-180"/>
    <x v="0"/>
    <s v="VALE TRANSPORTE"/>
  </r>
  <r>
    <x v="24"/>
    <s v="JULHO"/>
    <s v="VITOR DUARTE"/>
    <s v="JULIANA SANTANA CARAVANTE MENDES-VALE TRANSPORTE AGOSTO"/>
    <n v="-190"/>
    <x v="0"/>
    <s v="VALE TRANSPORTE"/>
  </r>
  <r>
    <x v="24"/>
    <s v="JULHO"/>
    <s v="VITOR DUARTE"/>
    <s v="TATIANI LOPES-VALE TRANSPORTE DE AGOSTO  R$16,00 POR DIA"/>
    <n v="-250"/>
    <x v="0"/>
    <s v="VALE TRANSPORTE"/>
  </r>
  <r>
    <x v="24"/>
    <s v="JULHO"/>
    <s v="VITOR DUARTE"/>
    <s v="NATALINA SILVA NIZIO-AVENIDA VALE TRANSPORTE AGOSTO"/>
    <n v="-152.32"/>
    <x v="0"/>
    <s v="VALE TRANSPORTE"/>
  </r>
  <r>
    <x v="25"/>
    <s v="JULHO"/>
    <s v="HSERV CABREUVA"/>
    <s v="BRADESCO AUTO/RE COMPANHIA DE SEGUROS"/>
    <n v="-178.79"/>
    <x v="0"/>
    <s v="SEGUROS EM GERAL"/>
  </r>
  <r>
    <x v="25"/>
    <s v="JULHO"/>
    <s v="HSERV CLEAN"/>
    <s v="SOFT WORKS EPI CALCADOS LTDA"/>
    <n v="-535.99999700000001"/>
    <x v="0"/>
    <s v="UNIFORMES"/>
  </r>
  <r>
    <x v="25"/>
    <s v="JULHO"/>
    <s v="HSERV REPRESENTACOES"/>
    <s v="JURANDIR LUCAS BEZERRA"/>
    <n v="-1659.89"/>
    <x v="0"/>
    <s v="RESCISÕES"/>
  </r>
  <r>
    <x v="25"/>
    <s v="JULHO"/>
    <s v="HSERV COMBINADOS"/>
    <s v="MARIA LUCIA SOUSA SANTOS"/>
    <n v="-2131.3000000000002"/>
    <x v="0"/>
    <s v="RESCISÕES"/>
  </r>
  <r>
    <x v="25"/>
    <s v="JULHO"/>
    <s v="HSERV CABREUVA"/>
    <s v="EGLE SIQUEIRA SOCIEDADE INDIVIDUAL-PROC 1001012-96.2023.5.02.0211 SAMUEL DE SOUZA CAMARA - PARCELA 4/4"/>
    <n v="-6298.6"/>
    <x v="0"/>
    <s v="ACORDO TRABALHISTA"/>
  </r>
  <r>
    <x v="11"/>
    <s v="JULHO"/>
    <s v="HSERV CABREUVA"/>
    <s v="ZAMBONI, SOUSA, CARVALHO &amp; MARIANO --PROC 0012075-66.2022.5.15.0096 -CLAUDIA ARAUJO DOS SANTOS-PARCELA 2/6"/>
    <n v="-10000"/>
    <x v="0"/>
    <s v="ACORDO TRABALHISTA"/>
  </r>
  <r>
    <x v="5"/>
    <s v="JULHO"/>
    <s v="HSERV COMBINADOS "/>
    <s v="CRISTIANA DOS SANTOS -COBRINDO AFASTAMENTO  REGIVANIA PEREIRA DA SILVA  RANCHARIA LOJA 12"/>
    <n v="-1700"/>
    <x v="0"/>
    <s v="FT"/>
  </r>
  <r>
    <x v="5"/>
    <s v="JULHO"/>
    <s v="HSERV COMBINADOS "/>
    <s v="PATRICIA MARTON ZANINI DAMASCO-COBRINDO AFASTAMENTO  GISLAINE FERNANDA DA SILVA BARBOSA DRACENA LOJA 44"/>
    <n v="-1000"/>
    <x v="0"/>
    <s v="FT"/>
  </r>
  <r>
    <x v="5"/>
    <s v="JULHO"/>
    <s v="HSERV COMBINADOS "/>
    <s v="LIVIA MARIA TAVARES-COBRINDO FÉRIA DIVA CORREA PADILHA DINIZ SANTA CRUZ - LOJA 26"/>
    <n v="-600"/>
    <x v="0"/>
    <s v="FT"/>
  </r>
  <r>
    <x v="5"/>
    <s v="JULHO"/>
    <s v="HSERV COMBINADOS "/>
    <s v="EDILMA SILVA SANTOS-COBRINDO FÉRIAS DIVA CORREA PADILHA DINIZ-SANTA CRUZ - LOJA 26"/>
    <n v="-900"/>
    <x v="0"/>
    <s v="FT"/>
  </r>
  <r>
    <x v="5"/>
    <s v="JULHO"/>
    <s v="HSERV COMBINADOS "/>
    <s v="FABIULA AP. CAIRES MASCALHUSK- COBRINDO FÉRIAS ADRIANA SOARES DE LIMA TARUMA LOJA 33 "/>
    <n v="-900"/>
    <x v="0"/>
    <s v="FT"/>
  </r>
  <r>
    <x v="5"/>
    <s v="JULHO"/>
    <s v="HSERV COMBINADOS "/>
    <s v="ERIKA DE PAULA SERAFIM -COBRINDO FÉRIAS  FATIMA APARECIDA RIBEIRO CANDIDO MOTA CD"/>
    <n v="-1000"/>
    <x v="0"/>
    <s v="FT"/>
  </r>
  <r>
    <x v="37"/>
    <s v="JULHO"/>
    <s v="HSERV COMBINADOS "/>
    <s v="GLEYCE JAQUELINE DOS REIS OLIVEIRA -REFORMA MERCADO-APOIO EXTRA ASSIS - LOJA 13 PREMIUM"/>
    <n v="-1020"/>
    <x v="0"/>
    <s v="FT"/>
  </r>
  <r>
    <x v="5"/>
    <s v="JULHO"/>
    <s v="VITOR DUARTE"/>
    <s v="_x0009_ENCARGOS DESCOBERTO CC"/>
    <n v="-159.4"/>
    <x v="0"/>
    <s v="ENCARGOS"/>
  </r>
  <r>
    <x v="5"/>
    <s v="JULHO"/>
    <s v="VITOR DUARTE"/>
    <s v="RESOLVE ALIMENTACAO LTDA"/>
    <n v="-708.24"/>
    <x v="0"/>
    <s v="VALE ALIMENTAÇÃO"/>
  </r>
  <r>
    <x v="8"/>
    <s v="JULHO"/>
    <s v="HENRIQUE JEAN"/>
    <s v="CREDIFIT SOCIEDADE DE CREDITO DIRETO S.A."/>
    <n v="-295.72000000000003"/>
    <x v="0"/>
    <s v="CONSIGNADO"/>
  </r>
  <r>
    <x v="8"/>
    <s v="JULHO"/>
    <s v="HSERV CLEAN"/>
    <s v="CREDIFIT SOCIEDADE DE CREDITO DIRETO S.A."/>
    <n v="-215.21"/>
    <x v="0"/>
    <s v="CONSIGNADO"/>
  </r>
  <r>
    <x v="8"/>
    <s v="JULHO"/>
    <s v="HSERV COMBINADOS"/>
    <s v="CREDIFIT SOCIEDADE DE CREDITO DIRETO S.A."/>
    <n v="-364.95"/>
    <x v="0"/>
    <s v="CONSIGNADO"/>
  </r>
  <r>
    <x v="8"/>
    <s v="JULHO"/>
    <s v="HSERV LIMPEZA"/>
    <s v="CREDIFIT SOCIEDADE DE CREDITO DIRETO S.A."/>
    <n v="-395.23"/>
    <x v="0"/>
    <s v="CONSIGNADO"/>
  </r>
  <r>
    <x v="8"/>
    <s v="JULHO"/>
    <s v="HSERV REPRESENTACOES"/>
    <s v="CREDIFIT SOCIEDADE DE CREDITO DIRETO S.A."/>
    <n v="-376.91"/>
    <x v="0"/>
    <s v="CONSIGNADO"/>
  </r>
  <r>
    <x v="8"/>
    <s v="JULHO"/>
    <s v="VITOR DUARTE"/>
    <s v="CREDIFIT SOCIEDADE DE CREDITO DIRETO S.A."/>
    <n v="-360.09"/>
    <x v="0"/>
    <s v="CONSIGNADO"/>
  </r>
  <r>
    <x v="5"/>
    <s v="JULHO"/>
    <s v="HSERV COMBINADOS"/>
    <s v="ADRIANA APARECIDA DA SILVA"/>
    <n v="-448"/>
    <x v="0"/>
    <s v="VALE TRANSPORTE"/>
  </r>
  <r>
    <x v="5"/>
    <s v="JULHO"/>
    <s v="HSERV COMBINADOS"/>
    <s v="ILAIDE JOSE RODRIGUES"/>
    <n v="-177"/>
    <x v="0"/>
    <s v="VALE TRANSPORTE"/>
  </r>
  <r>
    <x v="5"/>
    <s v="JULHO"/>
    <s v="HSERV COMBINADOS"/>
    <s v="RODRIGO CESAR DOS SANTOS"/>
    <n v="-412.5"/>
    <x v="0"/>
    <s v="VALE TRANSPORTE"/>
  </r>
  <r>
    <x v="5"/>
    <s v="JULHO"/>
    <s v="HSERV COMBINADOS"/>
    <s v="MARIA DE JESUS SANTOS"/>
    <n v="-278"/>
    <x v="0"/>
    <s v="VALE TRANSPORTE"/>
  </r>
  <r>
    <x v="5"/>
    <s v="JULHO"/>
    <s v="HSERV CABREUVA"/>
    <s v="CRISTIANI COSIM DE OLIVEIRA VILELA"/>
    <n v="-1000"/>
    <x v="0"/>
    <s v="ACORDO TRABALHISTA"/>
  </r>
  <r>
    <x v="11"/>
    <s v="JULHO"/>
    <s v="HSERV CABREUVA"/>
    <s v="ZAMBONI, SOUSA, CARVALHO &amp; MARIANO-PROC 0012594-41.2022.5.15.0096 -CLAUDIA ARAUJO DOS SANTOS-PARCELA 2/2"/>
    <n v="-2644"/>
    <x v="0"/>
    <s v="ACORDO TRABALHISTA"/>
  </r>
  <r>
    <x v="9"/>
    <s v="JULHO"/>
    <s v="HSERV CABREUVA"/>
    <s v="MARCIO FERREIRA TOLLER SILVA-  PROC 1001220-97.2024.5.02.0291-NORTON DO NASCIMENTO GONÇALVES BUENO-PARCELA 4/4"/>
    <n v="-960"/>
    <x v="0"/>
    <s v="ACORDO TRABALHISTA"/>
  </r>
  <r>
    <x v="15"/>
    <s v="JULHO"/>
    <s v="HSERV CABREUVA"/>
    <s v="ALINE CAMOLEZ SOARES ISCARO-PROC: 0012233-68.2024.5.15.0188 - GISLAINE CRISTINA FERNANDES PEREIRA PARCELA 5/5"/>
    <n v="-2000"/>
    <x v="0"/>
    <s v="ACORDO TRABALHISTA"/>
  </r>
  <r>
    <x v="10"/>
    <s v="JULHO"/>
    <s v="VITOR DUARTE"/>
    <s v="L. A. DE SOUZA - EQUIPAMENTOS DE SEGURANCA LTDA"/>
    <n v="-192"/>
    <x v="0"/>
    <s v="UNIFORMES"/>
  </r>
  <r>
    <x v="13"/>
    <s v="JULHO"/>
    <s v="HSERV CLEAN"/>
    <s v="SPARTAN DO BRASIL PRODUTOS QUIMICOS LTDA NF 254.458 PARCELA 2/3"/>
    <n v="-1709.15"/>
    <x v="0"/>
    <s v="MERCADORIAS PARA REVENDA"/>
  </r>
  <r>
    <x v="10"/>
    <s v="JULHO"/>
    <s v="HSERV CLEAN"/>
    <s v="SPARTAN DO BRASIL PRODUTOS QUIMICOS LTDA NF 254.458 PARCELA 3/3"/>
    <n v="-1709.15"/>
    <x v="0"/>
    <s v="MERCADORIAS PARA REVENDA"/>
  </r>
  <r>
    <x v="10"/>
    <s v="JULHO"/>
    <s v="HSERV TERCEIRIZADOS"/>
    <s v="LOTUS CENTRAL DE DISTRIBUICAO DE HIGIENICOS LTDA- NF 138.143"/>
    <n v="-1800.33"/>
    <x v="0"/>
    <s v="MERCADORIAS PARA REVENDA"/>
  </r>
  <r>
    <x v="10"/>
    <s v="JULHO"/>
    <s v="HSERV CABREUVA"/>
    <s v="SAMANTHA PATRICIA MACHADO DE GOUVEIA- PROC 0011413-05.2022.5.15.0096-ANDERSON RAIMUNDO DUARTE -PARCELA 2/2"/>
    <n v="-1551.29"/>
    <x v="0"/>
    <s v="ACORDO TRABALHISTA"/>
  </r>
  <r>
    <x v="25"/>
    <s v="JULHO"/>
    <s v="HSERV CABREUVA"/>
    <s v="DALMAZO SOCIEDADE INDIVIDUAL-PROC 0011504-24.2024.5.15.0097 -ANDRE DE ARAUJO LEITE FILHO PARCELA 1/3"/>
    <n v="-1000"/>
    <x v="0"/>
    <s v="ACORDO TRABALHISTA"/>
  </r>
  <r>
    <x v="25"/>
    <s v="JULHO"/>
    <s v="HSERV CABREUVA"/>
    <s v="LETICIA FERNANDA DO NASCIMENTO - PROC - 0012166-65.2023.5.15.0018- JADISON SOUZA FONTES PARCELA 4/5"/>
    <n v="-501.54"/>
    <x v="0"/>
    <s v="ACORDO TRABALHISTA"/>
  </r>
  <r>
    <x v="25"/>
    <s v="JULHO"/>
    <s v="HSERV CLEAN"/>
    <s v="ANA PAULA HERKES MARTINS-  PROC 0011455-60.2023.5.15.0018-MARIA DE JESUS MARQUES GINO FERREIRA PARCELA 4/7"/>
    <n v="-2500"/>
    <x v="0"/>
    <s v="ACORDO TRABALHISTA"/>
  </r>
  <r>
    <x v="11"/>
    <s v="JULHO"/>
    <s v="HSERV REPRESENTACOES"/>
    <s v="OKUYAMA &amp; ALVES SOCIEDADE DE ADVOGADOS- PROC 0012465-42.2023.5.15.0018-PROC GENILDA MARIA DA SILVA PARCELA 3/8"/>
    <n v="-2000"/>
    <x v="0"/>
    <s v="ACORDO TRABALHISTA"/>
  </r>
  <r>
    <x v="8"/>
    <s v="JULHO"/>
    <s v="HSERV TERCEIRIZADOS"/>
    <s v="LOTUS CENTRAL DE DISTRIBUICAO DE HIGIENICOS LTDA"/>
    <n v="-1925"/>
    <x v="0"/>
    <s v="MERCADORIAS PARA REVENDA"/>
  </r>
  <r>
    <x v="8"/>
    <s v="JULHO"/>
    <s v="HSERV CLEAN"/>
    <s v="SPARTAN DO BRASIL PRODUTOS QUIMICOS LTDA"/>
    <n v="-1709.15"/>
    <x v="0"/>
    <s v="MERCADORIAS PARA REVENDA"/>
  </r>
  <r>
    <x v="37"/>
    <s v="JULHO"/>
    <s v="HSERV REPRESENTACOES"/>
    <s v="OKUYAMA &amp; ALVES SOCIEDADE DE ADVOGADOS- - 0012457-65.2023.5.15.0018 JESSICA BARROS DOS SANTOS "/>
    <n v="-2000"/>
    <x v="0"/>
    <s v="ACORDO TRABALHISTA"/>
  </r>
  <r>
    <x v="25"/>
    <s v="JULHO"/>
    <s v="VITOR DUARTE"/>
    <s v="VALERIA GEOVANNA DOS SANTOS-- PROC 1001103-06.2024.5.02.0292 -ELIENE ALVES LISBOA PARCELA 3/12"/>
    <n v="-1916.67"/>
    <x v="0"/>
    <s v="ACORDO TRABALHISTA"/>
  </r>
  <r>
    <x v="25"/>
    <s v="JULHO"/>
    <s v="HSERV CABREUVA"/>
    <s v="MARIA APARECIDA ALVES DE MELO ATSum 0010327-82.2025.5.15.0002 RECLAMANTE: CRISTIANE DE SOUSA PARCELA 2/3"/>
    <n v="-2200"/>
    <x v="0"/>
    <s v="ACORDO TRABALHISTA"/>
  </r>
  <r>
    <x v="25"/>
    <s v="JULHO"/>
    <s v="HSERV CABREUVA"/>
    <s v="ARAUJO E RIOS ADVOGADOS ASSOCIADOS PRoc 0010784-37.2023.5.15.0018 -: FABIO LUIZ ALVES -PARCELA 2/7"/>
    <n v="-3836.54"/>
    <x v="0"/>
    <s v="ACORDO TRABALHISTA"/>
  </r>
  <r>
    <x v="25"/>
    <s v="JULHO"/>
    <s v="HSERV CABREUVA"/>
    <s v="TIAGO JOSE DE FREITAS OLIVEIRA-Proc 0012190-87.2022.5.15.0096 Reclamante: KASSIA VITAL FERREIRA PARCELA 2/10"/>
    <n v="-3200"/>
    <x v="0"/>
    <s v="ACORDO TRABALHISTA"/>
  </r>
  <r>
    <x v="25"/>
    <s v="JULHO"/>
    <s v="HSERV CABREUVA"/>
    <s v="LUCAS LEONARDO MARQUES DE OLIVEIRA-PROC 1000130-70.2024.5.02.0221-GILVAN ANTONIO DOS SANTOS SILVA  PARCELA 3/12"/>
    <n v="-2000"/>
    <x v="0"/>
    <s v="ACORDO TRABALHISTA"/>
  </r>
  <r>
    <x v="25"/>
    <s v="JULHO"/>
    <s v="VITOR DUARTE"/>
    <s v="IVAN MARQUES DOS SANTOS Proc  0010898-64.2022.5.15.0097 AUTOR: FRANCISCA NEUDA FRANCALINO DE SOUZA PARCELA 2/9"/>
    <n v="-2872.37"/>
    <x v="0"/>
    <s v="ACORDO TRABALHISTA"/>
  </r>
  <r>
    <x v="25"/>
    <s v="JULHO"/>
    <s v="HSERV CABREUVA"/>
    <s v="PATRICIA LOMBARDI PROC 1002854-81.2023.5.02.0221 TANIA MARIANO DOS SANTOS- PARCELA 2/6"/>
    <n v="-2500"/>
    <x v="0"/>
    <s v="ACORDO TRABALHISTA"/>
  </r>
  <r>
    <x v="25"/>
    <s v="JULHO"/>
    <s v="HSERV LIMPEZA"/>
    <s v="JUAN PHILIPY STEPHANO AMARO SOCIEDADE IPROC 0011148-23.2024.5.15.0002- ANTONIA MILENA SOARES DE SOUZA PARCELA 1/10"/>
    <n v="-1000"/>
    <x v="0"/>
    <s v="ACORDO TRABALHISTA"/>
  </r>
  <r>
    <x v="25"/>
    <s v="JULHO"/>
    <s v="VITOR DUARTE"/>
    <s v="VITOR DUARTE- Proc 0011845-30.2023.5.15.0018 RECLAMANTE: ALINE MARTINS DE ASSIS RECLAMADO"/>
    <n v="-10.64"/>
    <x v="0"/>
    <s v="ACORDO TRABALHISTA"/>
  </r>
  <r>
    <x v="25"/>
    <s v="JULHO"/>
    <s v="VITOR DUARTE"/>
    <s v="ALTEVYR SILVA GONCALVES -PROC-nº 0010321-03.2025.5.15.0026  IZILDA APARECIDA SABINO PARCELA 1/5"/>
    <n v="-880"/>
    <x v="0"/>
    <s v="ACORDO TRABALHISTA"/>
  </r>
  <r>
    <x v="31"/>
    <s v="AGOSTO"/>
    <s v="VITOR DUARTE"/>
    <s v="ALTEVYR SILVA GONCALVES -PROC-nº 0010321-03.2025.5.15.0026  IZILDA APARECIDA SABINO PARCELA 2/5"/>
    <n v="-880"/>
    <x v="0"/>
    <s v="ACORDO TRABALHISTA"/>
  </r>
  <r>
    <x v="32"/>
    <s v="SETEMBRO"/>
    <s v="VITOR DUARTE"/>
    <s v="ALTEVYR SILVA GONCALVES -PROC-nº 0010321-03.2025.5.15.0026  IZILDA APARECIDA SABINO PARCELA 3/5"/>
    <n v="-880"/>
    <x v="0"/>
    <s v="ACORDO TRABALHISTA"/>
  </r>
  <r>
    <x v="38"/>
    <s v="OUTUBRO"/>
    <s v="VITOR DUARTE"/>
    <s v="ALTEVYR SILVA GONCALVES -PROC-nº 0010321-03.2025.5.15.0026  IZILDA APARECIDA SABINO PARCELA 4/5"/>
    <n v="-880"/>
    <x v="0"/>
    <s v="ACORDO TRABALHISTA"/>
  </r>
  <r>
    <x v="33"/>
    <s v="NOVEMBRO"/>
    <s v="VITOR DUARTE"/>
    <s v="ALTEVYR SILVA GONCALVES -PROC-nº 0010321-03.2025.5.15.0026  IZILDA APARECIDA SABINO PARCELA 5/5"/>
    <n v="-880"/>
    <x v="0"/>
    <s v="ACORDO TRABALHISTA"/>
  </r>
  <r>
    <x v="25"/>
    <s v="JULHO"/>
    <s v="VITOR DUARTE"/>
    <s v="LUAN VIEIRA BARRETO - PROC 0012216-57.2024.5.15.0018-ANGELO JOSE ARANTES -PARCELA 3/10"/>
    <n v="-1400"/>
    <x v="0"/>
    <s v="ACORDO TRABALHISTA"/>
  </r>
  <r>
    <x v="1"/>
    <s v="JULHO"/>
    <s v="VITOR DUARTE"/>
    <s v="TADIM NEVES SOCIEDADE INDIVIDUAL DE ADVOCACIA"/>
    <n v="-1848.63"/>
    <x v="0"/>
    <s v="ACORDO TRABALHISTA"/>
  </r>
  <r>
    <x v="0"/>
    <s v="JULHO"/>
    <s v="VITOR DUARTE"/>
    <s v="IFOOD.COM AGENCIA DE RESTAURANTES ONLINE S.A.-VALE ALIMENTAÇÃO  AVENIDA SANDRA PATRICIA MARTON"/>
    <n v="-560.52"/>
    <x v="0"/>
    <s v="VALE ALIMENTAÇÃO"/>
  </r>
  <r>
    <x v="0"/>
    <s v="JULHO"/>
    <s v="VITOR DUARTE"/>
    <s v="IFOOD.COM AGENCIA DE RESTAURANTES ONLINE S.A.-VALE COMBUSTIVEL RICARDO VAIZ TERMINAR O MÊS"/>
    <n v="-107.69"/>
    <x v="0"/>
    <s v="VALE COMBUSTIVEL"/>
  </r>
  <r>
    <x v="0"/>
    <s v="JULHO"/>
    <s v="VITOR DUARTE"/>
    <s v="MATUSALEM NOGUEIRA-VALE TRANSPORTE DO DIA 23/07 AO DIA 03/08 R$12,80 POR DIA  LOJA 17"/>
    <n v="-123"/>
    <x v="0"/>
    <s v="VALE COMBUSTIVEL"/>
  </r>
  <r>
    <x v="0"/>
    <s v="JULHO"/>
    <s v="HSERV COMBINADOS"/>
    <s v="RONALDO SILVA MARQUES-VALE TRANSPORTE DO DIA 23/07 AO DIA 03/08 R$11,80 POR DIA  LOJA 12"/>
    <n v="-118"/>
    <x v="0"/>
    <s v="VALE TRANSPORTE"/>
  </r>
  <r>
    <x v="0"/>
    <s v="JULHO"/>
    <s v="VITOR DUARTE"/>
    <s v="KATIA HELENA DA SILVA-VALE TRANSPORTE DO DIA 23/07 AO DIA 03/08 R$12,40 POR DIA  VALINHOS"/>
    <n v="-124"/>
    <x v="0"/>
    <s v="VALE TRANSPORTE"/>
  </r>
  <r>
    <x v="0"/>
    <s v="JULHO"/>
    <s v="HSERV TERCEIRIZADOS"/>
    <s v="CRISTIANA DOS SANTOS COBRINDO AFASTAMENTO REGIVANIA PEREIRA DA SILVA RANCHARIA LOJA 12"/>
    <n v="-500"/>
    <x v="0"/>
    <s v="FT"/>
  </r>
  <r>
    <x v="0"/>
    <s v="JULHO"/>
    <s v="HSERV TERCEIRIZADOS"/>
    <s v="PATRICIA MARTON ZANINI DAMASCENO COBRINDO AFASTAMENTO GISLAINE FERNANDA DA SILVA BARBOSA DRACENA LOJA 44"/>
    <n v="-290"/>
    <x v="0"/>
    <s v="FT"/>
  </r>
  <r>
    <x v="0"/>
    <s v="JULHO"/>
    <s v="HSERV TERCEIRIZADOS"/>
    <s v="HIABÁ DE OLIVEIRA COBRINDO FÉRIAS DA PATRICIA XAVIER  MARTINOPOLIS - LOJA 38"/>
    <n v="-700"/>
    <x v="0"/>
    <s v="FT"/>
  </r>
  <r>
    <x v="0"/>
    <s v="JULHO"/>
    <s v="HSERV TERCEIRIZADOS"/>
    <s v="ANDRESSA DA SILVA CASSALHO COBRINDO FÉRIAS MISLENE LANZA ECHAPORÃ - LOJA 08 "/>
    <n v="-450"/>
    <x v="0"/>
    <s v="FT"/>
  </r>
  <r>
    <x v="0"/>
    <s v="JULHO"/>
    <s v="HSERV TERCEIRIZADOS"/>
    <s v="RITA CARNEIRO  COBRINDO FÉRIAS MISLENE LANZA ECHAPORÃ - LOJA 08 "/>
    <n v="-900"/>
    <x v="0"/>
    <s v="FT"/>
  </r>
  <r>
    <x v="0"/>
    <s v="JULHO"/>
    <s v="HSERV TERCEIRIZADOS"/>
    <s v="GLEYCE JAQUELINE DOS REIS OLIVEIRA  COBRINDO AFASTAMENTO BRUNA MAIARA DA SILVA TEODORO ASSIS - LOJA 20 MAX "/>
    <n v="-500"/>
    <x v="0"/>
    <s v="FT"/>
  </r>
  <r>
    <x v="0"/>
    <s v="JULHO"/>
    <s v="HSERV TERCEIRIZADOS"/>
    <s v="IZABEL APARECIDA BARBOSA -COBRINDO AFASTAMENTO DA ALESSANDRA MOREIRA LEITE  LENÇOIS - LOJA 34"/>
    <n v="-340"/>
    <x v="0"/>
    <s v="FT"/>
  </r>
  <r>
    <x v="16"/>
    <s v="JULHO"/>
    <s v="HSERV TERCEIRIZADOS"/>
    <s v="SELMA VIEIRA DOS SANTOS VALE TRANSPORTE PARA COBERTURA DA LOJA 06-  PERIODO MANHÃ DIA 25/07/2025"/>
    <n v="-12.3"/>
    <x v="0"/>
    <s v="VALE TRANSPORTE"/>
  </r>
  <r>
    <x v="16"/>
    <s v="JULHO"/>
    <s v="HSERV TERCEIRIZADOS"/>
    <s v="ADENILZA MENDONÇA  VALE TRANSPORTE COBERTURA LOJA 14-VILA ARENS PERIODO TARDE DIA 24/07/2025"/>
    <n v="-12.3"/>
    <x v="0"/>
    <s v="VALE TRANSPORTE"/>
  </r>
  <r>
    <x v="16"/>
    <s v="JULHO"/>
    <s v="HSERV TERCEIRIZADOS"/>
    <s v="MOVIDA PARTICIPACOES S A VENCIDO 12/06/2025 FATURA -06834107- PLACA TJL4F14/10"/>
    <n v="-187.42"/>
    <x v="0"/>
    <s v="ALUGUEL DE VEICULOS"/>
  </r>
  <r>
    <x v="16"/>
    <s v="JULHO"/>
    <s v="HSERV TERCEIRIZADOS"/>
    <s v="MOVIDA PARTICIPACOES S A VENCIDO 13/06/2025-FATURA 06770206-LOCAÇÃO PLACAS:TJL4F14 E QMY1E00"/>
    <n v="-4375.75"/>
    <x v="0"/>
    <s v="ALUGUEL DE VEICULOS"/>
  </r>
  <r>
    <x v="9"/>
    <s v="JULHO"/>
    <s v="HSERV TERCEIRIZADOS"/>
    <s v="MOVIDA PARTICIPACOES S A VENCIDO 17/06/2025- FATURA 6830253-CONTRATO 25884412/03/000-PLACA: SHU-1C88"/>
    <n v="-4831.93"/>
    <x v="0"/>
    <s v="ALUGUEL DE VEICULOS"/>
  </r>
  <r>
    <x v="16"/>
    <s v="JULHO"/>
    <s v="HSERV TERCEIRIZADOS"/>
    <s v="MOVIDA PARTICIPACOES S A VENCIDO 29/05/2025 -FATURA 06770134-MULTA - PLACAS: TJL4F14 E QMY1E00"/>
    <n v="-468.58"/>
    <x v="0"/>
    <s v="ALUGUEL DE VEICULOS"/>
  </r>
  <r>
    <x v="16"/>
    <s v="JULHO"/>
    <s v="HSERV TERCEIRIZADOS"/>
    <s v="MOVIDA PARTICIPACOES S A VENCIDO 28/06/2025-06902382- MULTA E/OU INFR.TRÂNSITO-PLACA : TJL4F14"/>
    <n v="-1408.66"/>
    <x v="0"/>
    <s v="ALUGUEL DE VEICULOS"/>
  </r>
  <r>
    <x v="12"/>
    <s v="JULHO"/>
    <s v="HSERV TERCEIRIZADOS"/>
    <s v="MOVIDA PARTICIPACOES S.A.- FATURA 6962199 -CONTRATO -25884412 -PLACA: SHU1C88"/>
    <n v="-130.16"/>
    <x v="0"/>
    <s v="ALUGUEL DE VEICULOS"/>
  </r>
  <r>
    <x v="10"/>
    <s v="JULHO"/>
    <s v="HSERV COMBINADOS"/>
    <s v="MARIA ROSEANE DA SILVA"/>
    <n v="-250.4"/>
    <x v="0"/>
    <s v="VALE TRANSPORTE"/>
  </r>
  <r>
    <x v="10"/>
    <s v="JULHO"/>
    <s v="HSERV COMBINADOS"/>
    <s v="FLAVIA KELI DE OLIVEIRA FELIX"/>
    <n v="-319.8"/>
    <x v="0"/>
    <s v="VALE TRANSPORTE"/>
  </r>
  <r>
    <x v="13"/>
    <s v="JULHO"/>
    <s v="HSERV COMBINADOS"/>
    <s v="EZEQUIEL RODRIGUES DOS SANTOS"/>
    <n v="-153.4"/>
    <x v="0"/>
    <s v="VALE TRANSPORTE"/>
  </r>
  <r>
    <x v="13"/>
    <s v="JULHO"/>
    <s v="HSERV COMBINADOS"/>
    <s v="MARIA SOCORRO DA SILVA PEREIRA"/>
    <n v="-110"/>
    <x v="0"/>
    <s v="VALE TRANSPORTE"/>
  </r>
  <r>
    <x v="13"/>
    <s v="JULHO"/>
    <s v="HSERV COMBINADOS"/>
    <s v="ALTAMIRO LOPES SIQUEIRA"/>
    <n v="-159.9"/>
    <x v="0"/>
    <s v="VALE TRANSPORTE"/>
  </r>
  <r>
    <x v="13"/>
    <s v="JULHO"/>
    <s v="H SERV CLEAN "/>
    <s v="GISELE RODRIGUES- CAIXINHA"/>
    <n v="-1500"/>
    <x v="0"/>
    <s v="CAIXINHA"/>
  </r>
  <r>
    <x v="13"/>
    <s v="JULHO"/>
    <s v="HSERV COMBINADOS"/>
    <s v="TAXA DE DESARQUIVAMENTO - PROCESSO 1012583-14.2021.8.26.0309"/>
    <n v="-44.87"/>
    <x v="0"/>
    <s v="JURIDICO"/>
  </r>
  <r>
    <x v="14"/>
    <s v="JULHO"/>
    <s v="HSERV COMBINADOS"/>
    <s v="JOSÉ SANTOS DE PAULA- JARDINEIRO PALAZZO VENEZA- "/>
    <n v="-150"/>
    <x v="0"/>
    <s v="FT"/>
  </r>
  <r>
    <x v="24"/>
    <s v="JULHO"/>
    <s v="HSERV CABREUVA"/>
    <s v="GABRIEL DO NASCIMENTO NEVES"/>
    <n v="-310.5"/>
    <x v="0"/>
    <s v="VALE TRANSPORTE"/>
  </r>
  <r>
    <x v="24"/>
    <s v="JULHO"/>
    <s v="HSERV COMBINADOS"/>
    <s v="ADRIANA SIMONE MARINHO GOULART-VALE TRANSPORTE DE AGOSTO"/>
    <n v="-210"/>
    <x v="0"/>
    <s v="VALE TRANSPORTE"/>
  </r>
  <r>
    <x v="24"/>
    <s v="JULHO"/>
    <s v="HSERV COMBINADOS"/>
    <s v="MARIA SOCORRO DA SILVA PEREIRA-VALE TRANSPORTE DO DIA 01/08 AO DIA 15/08 R$10,00 POR DIA"/>
    <n v="-110"/>
    <x v="0"/>
    <s v="VALE TRANSPORTE"/>
  </r>
  <r>
    <x v="24"/>
    <s v="JULHO"/>
    <s v="HSERV COMBINADOS"/>
    <s v="SIMONE PAIXAO VAIZ-VALE TRANSPORTE DE AGOSTO R$14,50 POR DIA"/>
    <n v="-319"/>
    <x v="0"/>
    <s v="VALE TRANSPORTE"/>
  </r>
  <r>
    <x v="24"/>
    <s v="JULHO"/>
    <s v="HSERV COMBINADOS"/>
    <s v="TAMIRES DA SILVA CAPUCHINHO-VTE AGOSTO DESCONTANDO OS DIAS 15/07,16/07,17/07 E 18/07e 28/07  QUE TRABALHOU HOMEOFICCE"/>
    <n v="-219.2"/>
    <x v="0"/>
    <s v="VALE TRANSPORTE"/>
  </r>
  <r>
    <x v="24"/>
    <s v="JULHO"/>
    <s v="VITOR DUARTE"/>
    <s v="GISELE RODRIGUES DOS SANTOS-VALE TRANSPORTE DE AGOSTO"/>
    <n v="-575.4"/>
    <x v="0"/>
    <s v="VALE TRANSPORTE"/>
  </r>
  <r>
    <x v="24"/>
    <s v="JULHO"/>
    <s v="VITOR DUARTE"/>
    <s v="QUEILA JESUS BERNARDES DE OLIVEIRA-VALE TRANSPORTE DO DIA 01/08 AO DIA 15/08 R$10,00"/>
    <n v="-100"/>
    <x v="0"/>
    <s v="VALE TRANSPORTE"/>
  </r>
  <r>
    <x v="24"/>
    <s v="JULHO"/>
    <s v="VITOR DUARTE"/>
    <s v="JAIR APARECIDO RE -AJUDA DE CUSTO DO DIA 01/08 AO DIA 15/08"/>
    <n v="-275"/>
    <x v="0"/>
    <s v="VALE TRANSPORTE"/>
  </r>
  <r>
    <x v="24"/>
    <s v="JULHO"/>
    <s v="VITOR DUARTE"/>
    <s v="JHONY WALLACE GOMES DE OLIVEIRA-VALE TRANSPORTE DO DIA 01/08 AO DIA 15/08 R$10,00 POR DIA"/>
    <n v="-110"/>
    <x v="0"/>
    <s v="VALE TRANSPORTE"/>
  </r>
  <r>
    <x v="24"/>
    <s v="JULHO"/>
    <s v="HSERV COMBINADOS"/>
    <s v="ANDERSON NASCIMENTO SANTOS"/>
    <n v="-304"/>
    <x v="0"/>
    <s v="VALE TRANSPORTE"/>
  </r>
  <r>
    <x v="24"/>
    <s v="JULHO"/>
    <s v="HSERV COMBINADOS"/>
    <s v="PALOMA CARVALHO PINHEIRO"/>
    <n v="-192"/>
    <x v="0"/>
    <s v="VALE TRANSPORTE"/>
  </r>
  <r>
    <x v="24"/>
    <s v="JULHO"/>
    <s v="HSERV COMBINADOS"/>
    <s v="WAGNER BIONDO"/>
    <n v="-150.4"/>
    <x v="0"/>
    <s v="VALE TRANSPORTE"/>
  </r>
  <r>
    <x v="24"/>
    <s v="JULHO"/>
    <s v="HSERV TERCEIRIZADOS"/>
    <s v="ESTER CARDOZO DE LIMA"/>
    <n v="-110"/>
    <x v="0"/>
    <s v="VALE TRANSPORTE"/>
  </r>
  <r>
    <x v="24"/>
    <s v="JULHO"/>
    <s v="HSERV TERCEIRIZADOS"/>
    <s v="MARISA DE SOUSA SILVA"/>
    <n v="-231"/>
    <x v="0"/>
    <s v="VALE TRANSPORTE"/>
  </r>
  <r>
    <x v="24"/>
    <s v="JULHO"/>
    <s v="VITOR DUARTE"/>
    <s v="GABRIEL GATTI DA SILVA"/>
    <n v="-236.8"/>
    <x v="0"/>
    <s v="VALE TRANSPORTE"/>
  </r>
  <r>
    <x v="24"/>
    <s v="JULHO"/>
    <s v="VITOR DUARTE"/>
    <s v="LUCAS VITOR NUNES"/>
    <n v="-196.8"/>
    <x v="0"/>
    <s v="VALE TRANSPORTE"/>
  </r>
  <r>
    <x v="24"/>
    <s v="JULHO"/>
    <s v="HSERV COMBINADOS"/>
    <s v="MARIA DE JESUS SANTOS"/>
    <n v="-203.7"/>
    <x v="0"/>
    <s v="VALE TRANSPORTE"/>
  </r>
  <r>
    <x v="10"/>
    <s v="JULHO"/>
    <s v="HSERV TECNOLOGIA"/>
    <s v="GRRF MATHEUS SANT ANNA"/>
    <n v="-319.27"/>
    <x v="0"/>
    <s v="RESCISÕES"/>
  </r>
  <r>
    <x v="10"/>
    <s v="JULHO"/>
    <s v="HSERV CABREUVA"/>
    <s v="GP REFEIÇÕES- MARMITAS PESSOAL UPA"/>
    <n v="-1302"/>
    <x v="0"/>
    <s v="VALE ALIMENTAÇÃO"/>
  </r>
  <r>
    <x v="10"/>
    <s v="JULHO"/>
    <s v="HSERV CABREUVA"/>
    <s v="SUFEX COMERCIO -JALECOS-COMPRA DE 150 UNIDADES"/>
    <n v="-2350"/>
    <x v="0"/>
    <s v="UNIFORMES"/>
  </r>
  <r>
    <x v="10"/>
    <s v="JULHO"/>
    <s v="HSERV CABREUVA"/>
    <s v="SUFEX COMERCIO -CALÇAS ASG- COMPRA DE 100 CALÇAS ASG "/>
    <n v="-3200"/>
    <x v="0"/>
    <s v="UNIFORMES"/>
  </r>
  <r>
    <x v="10"/>
    <s v="JULHO"/>
    <s v="HSERV TERCEIRIZADOS"/>
    <s v="ARIANE VITORIA SOUSA SANTOS -FT UPA CABREUVA"/>
    <n v="-600"/>
    <x v="0"/>
    <s v="FT"/>
  </r>
  <r>
    <x v="10"/>
    <s v="JULHO"/>
    <s v="HSERV TERCEIRIZADOS"/>
    <s v="CELI MARIA DOS SANTOS DA SILVA- FT UPA CABREUVA"/>
    <n v="-800"/>
    <x v="0"/>
    <s v="FT"/>
  </r>
  <r>
    <x v="10"/>
    <s v="JULHO"/>
    <s v="HSERV TERCEIRIZADOS"/>
    <s v="DIOGO HENRIQUE BARBOSA BERNARDINO- FT UPA CABREUVA"/>
    <n v="-200"/>
    <x v="0"/>
    <s v="FT"/>
  </r>
  <r>
    <x v="10"/>
    <s v="JULHO"/>
    <s v="HSERV TERCEIRIZADOS"/>
    <s v="ISTERFANY MATIAS PORTO - FT UPA CABREUVA"/>
    <n v="-1250"/>
    <x v="0"/>
    <s v="FT"/>
  </r>
  <r>
    <x v="10"/>
    <s v="JULHO"/>
    <s v="HSERV TERCEIRIZADOS"/>
    <s v="VALERIA CRISTINA RAIEL- FT UPA CABREUVA"/>
    <n v="-1400"/>
    <x v="0"/>
    <s v="FT"/>
  </r>
  <r>
    <x v="10"/>
    <s v="JULHO"/>
    <s v="HSERV COMBINADOS"/>
    <s v="DEPOSITO GAS E AGUA CABREUVA-AGUA GALÕES DE AGUA  PARA BASE 1 SEMESTRE"/>
    <n v="-840"/>
    <x v="0"/>
    <s v="AGUA"/>
  </r>
  <r>
    <x v="10"/>
    <s v="JULHO"/>
    <s v="HENRIQUE JEAN"/>
    <s v="EMPORIO MEGA 100 COMERCIO DE ALIMENTOS S.A. NF 982.497"/>
    <n v="-2247.35"/>
    <x v="0"/>
    <s v="CESTA BASICA"/>
  </r>
  <r>
    <x v="14"/>
    <s v="JULHO"/>
    <s v="HSERV CABREUVA"/>
    <s v="LM SUPER TROCA DE OLEO NF 1.020"/>
    <n v="-220"/>
    <x v="0"/>
    <s v="MANUTENÇÃO"/>
  </r>
  <r>
    <x v="14"/>
    <s v="JULHO"/>
    <s v="HSERV TERCEIRIZADOS"/>
    <s v="LOTUS CENTRAL DE DISTRIBUICAO DE HIGIENICOS LTDA-NF 143.048 "/>
    <n v="-1292.570109"/>
    <x v="0"/>
    <s v="MERCADORIAS PARA REVENDA"/>
  </r>
  <r>
    <x v="14"/>
    <s v="JULHO"/>
    <s v="HSERV CABREUVA"/>
    <s v="NOVITA VEST CONFECCOES LTDA-SETTE UNIFORMES NF 6.111"/>
    <n v="-3619.3394859999999"/>
    <x v="0"/>
    <s v="UNIFORMES"/>
  </r>
  <r>
    <x v="14"/>
    <s v="JULHO"/>
    <s v="HSERV TERCEIRIZADOS"/>
    <s v="LOTUS CENTRAL DE DISTRIBUICAO DE HIGIENICOS LTDA- NF 135.334"/>
    <n v="-1718.37"/>
    <x v="0"/>
    <s v="MERCADORIAS PARA REVENDA"/>
  </r>
  <r>
    <x v="14"/>
    <s v="JULHO"/>
    <s v="HSERV CLEAN"/>
    <s v="RSC COM. MAT.P/ CONSTRUCAO LTDA. NF 106.601"/>
    <n v="-235.4"/>
    <x v="0"/>
    <s v="MANUTENÇÃO"/>
  </r>
  <r>
    <x v="14"/>
    <s v="JULHO"/>
    <s v="HSERV COMBINADOS"/>
    <s v="ALCIDES PEREIRA DE SOUZA"/>
    <n v="-330"/>
    <x v="0"/>
    <s v="VALE TRANSPORTE"/>
  </r>
  <r>
    <x v="14"/>
    <s v="JULHO"/>
    <s v="HSERV COMBINADOS"/>
    <s v="JOSELITA DA SILVA"/>
    <n v="-100"/>
    <x v="0"/>
    <s v="VALE TRANSPORTE"/>
  </r>
  <r>
    <x v="14"/>
    <s v="JULHO"/>
    <s v="HSERV COMBINADOS"/>
    <s v="SANDRA RIBEIRO DA SILVA"/>
    <n v="-205"/>
    <x v="0"/>
    <s v="VALE TRANSPORTE"/>
  </r>
  <r>
    <x v="14"/>
    <s v="JULHO"/>
    <s v="HSERV COMBINADOS"/>
    <s v="ORVANDA MARIA VITALINO FIGUEROA"/>
    <n v="-128"/>
    <x v="0"/>
    <s v="VALE TRANSPORTE"/>
  </r>
  <r>
    <x v="14"/>
    <s v="JULHO"/>
    <s v="HSERV COMBINADOS"/>
    <s v="ROSEMEIRE VIEIRA BEZERRA"/>
    <n v="-123"/>
    <x v="0"/>
    <s v="VALE TRANSPORTE"/>
  </r>
  <r>
    <x v="14"/>
    <s v="JULHO"/>
    <s v="HENRIQUE JEAN"/>
    <s v="BRASIL MEDICINA E SAUDE PREVENTIVA ORGANIZACAO- ABRIL "/>
    <n v="-1729.66"/>
    <x v="0"/>
    <s v="SINDICATO"/>
  </r>
  <r>
    <x v="14"/>
    <s v="JULHO"/>
    <s v="HSERV CABREUVA"/>
    <s v="BRASIL MEDICINA E SAUDE PREVENTIVA ORGANIZACAO- ABRIL "/>
    <n v="-1061.3800000000001"/>
    <x v="0"/>
    <s v="SINDICATO"/>
  </r>
  <r>
    <x v="14"/>
    <s v="JULHO"/>
    <s v="HSERV CLEAN"/>
    <s v="BRASIL MEDICINA E SAUDE PREVENTIVA ORGANIZACAO- ABRIL "/>
    <n v="-786.92"/>
    <x v="0"/>
    <s v="SINDICATO"/>
  </r>
  <r>
    <x v="14"/>
    <s v="JULHO"/>
    <s v="HSERV COMBINADOS"/>
    <s v="BRASIL MEDICINA E SAUDE PREVENTIVA ORGANIZACAO- ABRIL "/>
    <n v="-2319.3200000000002"/>
    <x v="0"/>
    <s v="SINDICATO"/>
  </r>
  <r>
    <x v="14"/>
    <s v="JULHO"/>
    <s v="HSERV LIMPEZA"/>
    <s v="BRASIL MEDICINA E SAUDE PREVENTIVA ORGANIZACAO- ABRIL "/>
    <n v="-791.16"/>
    <x v="0"/>
    <s v="SINDICATO"/>
  </r>
  <r>
    <x v="14"/>
    <s v="JULHO"/>
    <s v="HSERV REPRESENTACOES"/>
    <s v="BRASIL MEDICINA E SAUDE PREVENTIVA ORGANIZACAO- ABRIL "/>
    <n v="-590.19000000000005"/>
    <x v="0"/>
    <s v="SINDICATO"/>
  </r>
  <r>
    <x v="14"/>
    <s v="JULHO"/>
    <s v="HSERV TECNOLOGIA"/>
    <s v="BRASIL MEDICINA E SAUDE PREVENTIVA ORGANIZACAO- ABRIL "/>
    <n v="-157.38"/>
    <x v="0"/>
    <s v="SINDICATO"/>
  </r>
  <r>
    <x v="14"/>
    <s v="JULHO"/>
    <s v="HSERV TERCEIRIZADOS"/>
    <s v="BRASIL MEDICINA E SAUDE PREVENTIVA ORGANIZACAO- ABRIL "/>
    <n v="-629.54"/>
    <x v="0"/>
    <s v="SINDICATO"/>
  </r>
  <r>
    <x v="14"/>
    <s v="JULHO"/>
    <s v="HENRIQUE JEAN"/>
    <s v="EMPORIO MEGA 100 COMERCIO DE ALIMENTOS S.A."/>
    <n v="-3177.3"/>
    <x v="0"/>
    <s v="CESTA BASICA"/>
  </r>
  <r>
    <x v="10"/>
    <s v="JULHO"/>
    <s v="HSERV CABREUVA"/>
    <s v="EMPORIO MEGA 100 COMERCIO DE ALIMENTOS S.A. NF 982.488"/>
    <n v="-3022.31"/>
    <x v="0"/>
    <s v="CESTA BASICA"/>
  </r>
  <r>
    <x v="14"/>
    <s v="JULHO"/>
    <s v="HSERV CABREUVA"/>
    <s v="EMPORIO MEGA 100 COMERCIO DE ALIMENTOS S.A."/>
    <n v="-2247.36"/>
    <x v="0"/>
    <s v="CESTA BASICA"/>
  </r>
  <r>
    <x v="14"/>
    <s v="JULHO"/>
    <s v="HSERV CLEAN"/>
    <s v="EMPORIO MEGA 100 COMERCIO DE ALIMENTOS S.A."/>
    <n v="-3409.78"/>
    <x v="0"/>
    <s v="CESTA BASICA"/>
  </r>
  <r>
    <x v="14"/>
    <s v="JULHO"/>
    <s v="HSERV CLEAN"/>
    <s v="EMPORIO MEGA 100 COMERCIO DE ALIMENTOS S.A."/>
    <n v="-1239.92"/>
    <x v="0"/>
    <s v="CESTA BASICA"/>
  </r>
  <r>
    <x v="10"/>
    <s v="JULHO"/>
    <s v="HSERV CLEAN"/>
    <s v="EMPORIO MEGA 100 COMERCIO DE ALIMENTOS S.A. NF982.489"/>
    <n v="-774.95"/>
    <x v="0"/>
    <s v="CESTA BASICA"/>
  </r>
  <r>
    <x v="10"/>
    <s v="JULHO"/>
    <s v="HSERV CLEAN"/>
    <s v="EMPORIO MEGA 100 COMERCIO DE ALIMENTOS S.A. NF 982.496"/>
    <n v="-3487.27"/>
    <x v="0"/>
    <s v="CESTA BASICA"/>
  </r>
  <r>
    <x v="10"/>
    <s v="JULHO"/>
    <s v="HSERV COMBINADOS"/>
    <s v="EMPORIO MEGA 100 COMERCIO DE ALIMENTOS S.A. NF 982.492"/>
    <n v="-3177.29"/>
    <x v="0"/>
    <s v="CESTA BASICA"/>
  </r>
  <r>
    <x v="14"/>
    <s v="JULHO"/>
    <s v="HSERV COMBINADOS"/>
    <s v="EMPORIO MEGA 100 COMERCIO DE ALIMENTOS S.A."/>
    <n v="-3332.28"/>
    <x v="0"/>
    <s v="CESTA BASICA"/>
  </r>
  <r>
    <x v="14"/>
    <s v="JULHO"/>
    <s v="HSERV LIMPEZA"/>
    <s v="EMPORIO MEGA 100 COMERCIO DE ALIMENTOS S.A."/>
    <n v="-929.94"/>
    <x v="0"/>
    <s v="CESTA BASICA"/>
  </r>
  <r>
    <x v="10"/>
    <s v="JULHO"/>
    <s v="HSERV LIMPEZA"/>
    <s v="EMPORIO MEGA 100 COMERCIO DE ALIMENTOS S.A. NF 982.495"/>
    <n v="-852.45"/>
    <x v="0"/>
    <s v="CESTA BASICA"/>
  </r>
  <r>
    <x v="10"/>
    <s v="JULHO"/>
    <s v="HSERV REPRESENTACOES"/>
    <s v="EMPORIO MEGA 100 COMERCIO DE ALIMENTOS S.A. NF 982.490"/>
    <n v="-619.96"/>
    <x v="0"/>
    <s v="CESTA BASICA"/>
  </r>
  <r>
    <x v="14"/>
    <s v="JULHO"/>
    <s v="HSERV REPRESENTACOES"/>
    <s v="EMPORIO MEGA 100 COMERCIO DE ALIMENTOS S.A."/>
    <n v="-929.94"/>
    <x v="0"/>
    <s v="CESTA BASICA"/>
  </r>
  <r>
    <x v="14"/>
    <s v="JULHO"/>
    <s v="HSERV TECNOLOGIA"/>
    <s v="EMPORIO MEGA 100 COMERCIO DE ALIMENTOS S.A."/>
    <n v="-232.48"/>
    <x v="0"/>
    <s v="CESTA BASICA"/>
  </r>
  <r>
    <x v="10"/>
    <s v="JULHO"/>
    <s v="HSERV TECNOLOGIA"/>
    <s v="EMPORIO MEGA 100 COMERCIO DE ALIMENTOS S.A. NF 982.494"/>
    <n v="-232.49"/>
    <x v="0"/>
    <s v="CESTA BASICA"/>
  </r>
  <r>
    <x v="14"/>
    <s v="JULHO"/>
    <s v="HSERV TERCEIRIZADOS"/>
    <s v="EMPORIO MEGA 100 COMERCIO DE ALIMENTOS S.A."/>
    <n v="-1084.93"/>
    <x v="0"/>
    <s v="CESTA BASICA"/>
  </r>
  <r>
    <x v="10"/>
    <s v="JULHO"/>
    <s v="HSERV TERCEIRIZADOS"/>
    <s v="EMPORIO MEGA 100 COMERCIO DE ALIMENTOS S.A. NF 982.493"/>
    <n v="-464.97"/>
    <x v="0"/>
    <s v="CESTA BASICA"/>
  </r>
  <r>
    <x v="14"/>
    <s v="JULHO"/>
    <s v="VITOR DUARTE"/>
    <s v="EMPORIO MEGA 100 COMERCIO DE ALIMENTOS S.A."/>
    <n v="-154.99"/>
    <x v="0"/>
    <s v="CESTA BASICA"/>
  </r>
  <r>
    <x v="14"/>
    <s v="JULHO"/>
    <s v="HSERV TERCEIRIZADOS"/>
    <s v="NATHALIA THAIS- FT FALTANTE BELL ART"/>
    <n v="-2021.12"/>
    <x v="0"/>
    <s v="FT"/>
  </r>
  <r>
    <x v="14"/>
    <s v="JULHO"/>
    <s v="HENRIQUE JEAN"/>
    <s v="GUIA DE PAGAMENTO DO PROCESSO DA QUEBEC CATALOGOS - PROCESSO 0000704-93.2025.8.26.0080"/>
    <n v="-2073.1799999999998"/>
    <x v="0"/>
    <s v="JURIDICO"/>
  </r>
  <r>
    <x v="10"/>
    <s v="JULHO"/>
    <s v="VITOR DUARTE"/>
    <s v="EMPORIO MEGA 100 COMERCIO DE ALIMENTOS S.A. NF 982.491"/>
    <n v="-619.96"/>
    <x v="0"/>
    <s v="CESTA BASICA"/>
  </r>
  <r>
    <x v="22"/>
    <s v="JULHO"/>
    <s v="HSERV CLEAN"/>
    <s v="J.E. COMERCIO E SOLUCOES LTDA NF 10.734"/>
    <n v="-1840.8"/>
    <x v="0"/>
    <s v="MERCADORIAS PARA REVENDA"/>
  </r>
  <r>
    <x v="22"/>
    <s v="JULHO"/>
    <s v="HSERV CLEAN"/>
    <s v="SPARTAN DO BRASIL PRODUTOS QUIMICOS LTDA - NF 256.344"/>
    <n v="-10505.31"/>
    <x v="0"/>
    <s v="MERCADORIAS PARA REVENDA"/>
  </r>
  <r>
    <x v="22"/>
    <s v="JULHO"/>
    <s v="HSERV TERCEIRIZADOS"/>
    <s v="FMD FUNDO DE INVESTIMENTO EM DIREITOS CREDITORIOS NF 1.356"/>
    <n v="-1117.53"/>
    <x v="0"/>
    <s v="MERCADORIAS PARA REVENDA"/>
  </r>
  <r>
    <x v="22"/>
    <s v="JULHO"/>
    <s v="VITOR DUARTE"/>
    <s v="L. A. DE SOUZA - EQUIPAMENTOS DE SEGURANCA LTDA- NF"/>
    <n v="-180"/>
    <x v="0"/>
    <s v="UNIFORMES"/>
  </r>
  <r>
    <x v="23"/>
    <s v="AGOSTO"/>
    <s v="HSERV COMBINADOS "/>
    <s v="JAIR RÉ-COMISSÃO AGOSTO"/>
    <n v="-1000.43"/>
    <x v="0"/>
    <s v="COMISSOES"/>
  </r>
  <r>
    <x v="39"/>
    <s v="OUTUBRO"/>
    <s v="HSERV COMBINADOS "/>
    <s v="JAIR RÉ- REEMBOLSO DE KM VISITA A PREFEITURA"/>
    <n v="-15"/>
    <x v="0"/>
    <s v="REEMBOLSO"/>
  </r>
  <r>
    <x v="40"/>
    <s v="AGOSTO"/>
    <s v="HSERV COMBINADOS "/>
    <s v="FATIMA ANJO LUCIO - COMISSÃO "/>
    <n v="-235.25"/>
    <x v="0"/>
    <s v="COMISSOES"/>
  </r>
  <r>
    <x v="32"/>
    <s v="SETEMBRO"/>
    <s v="VITOR DUARTE"/>
    <s v="LUPE LOCACAO E COMERCIO DE EQUIPAMENTOS ELETRONICOS E SERVICO- LOCAÇÃO NOTEBOOK ELISANGELA APARECIDA VITOR"/>
    <n v="-430.22"/>
    <x v="0"/>
    <s v="ALUGUEL DE EQUIPAMENTOS"/>
  </r>
  <r>
    <x v="41"/>
    <s v="OUTUBRO"/>
    <s v="VITOR DUARTE"/>
    <s v="LUPE LOCACAO E COMERCIO DE EQUIPAMENTOS ELETRONICOS E SERVIC"/>
    <n v="-430.22"/>
    <x v="0"/>
    <s v="ALUGUEL DE EQUIPAMENTOS"/>
  </r>
  <r>
    <x v="42"/>
    <s v="NOVEMBRO"/>
    <s v="VITOR DUARTE"/>
    <s v="LUPE LOCACAO E COMERCIO DE EQUIPAMENTOS ELETRONICOS E SERVIC"/>
    <n v="-430.22"/>
    <x v="0"/>
    <s v="ALUGUEL DE EQUIPAMENTOS"/>
  </r>
  <r>
    <x v="43"/>
    <s v="DEZEMBRO"/>
    <s v="VITOR DUARTE"/>
    <s v="LUPE LOCACAO E COMERCIO DE EQUIPAMENTOS ELETRONICOS E SERVIC"/>
    <n v="-430.22"/>
    <x v="0"/>
    <s v="ALUGUEL DE EQUIPAMENTOS"/>
  </r>
  <r>
    <x v="22"/>
    <s v="JULHO"/>
    <s v="VITOR DUARTE"/>
    <s v="LUPE LOCACAO E COMERCIO DE EQUIPAMENTOS ELETRONICOS E SERVIC"/>
    <n v="-430.22"/>
    <x v="0"/>
    <s v="ALUGUEL DE EQUIPAMENTOS"/>
  </r>
  <r>
    <x v="22"/>
    <s v="JULHO"/>
    <s v="VITOR DUARTE"/>
    <s v="JONESO EMPREENDIMENTOS E ADMINISTRACAO LTDA"/>
    <n v="-440"/>
    <x v="0"/>
    <s v="ALUGUEL DE IMOVEIS"/>
  </r>
  <r>
    <x v="11"/>
    <s v="JULHO"/>
    <s v="HSERV CABREUVA"/>
    <s v="FABIANO SAMPAIO DAVILA- PROCESSO 0011969-47.2022.5.15.0018CLAUDINEIA SANTOS DA SILVA -PARCELA 8/9"/>
    <n v="-3500"/>
    <x v="0"/>
    <s v="ACORDO TRABALHISTA"/>
  </r>
  <r>
    <x v="11"/>
    <s v="JULHO"/>
    <s v="HSERV TERCEIRIZADOS"/>
    <s v="WIG COMERCIO DE BATERIAS COMPONENTES LTDA-BATERIA EXCELL FORCE TRACIONARIA EXT150 EXT150"/>
    <n v="-1330"/>
    <x v="0"/>
    <s v="MANUTENÇÃO"/>
  </r>
  <r>
    <x v="11"/>
    <s v="JULHO"/>
    <s v="HSERV COMBINADOS"/>
    <s v="INELTEC TECNOLOGIAS LTDA - EPP- COMPRA DE IBUTTONS"/>
    <n v="-430.4"/>
    <x v="0"/>
    <s v="SISTEMA"/>
  </r>
  <r>
    <x v="11"/>
    <s v="JULHO"/>
    <s v="HENRIQUE JEAN"/>
    <s v="GRRF GRACE KELLY CUSTODIO AURELIANO"/>
    <n v="-119.8"/>
    <x v="0"/>
    <s v="RESCISÕES"/>
  </r>
  <r>
    <x v="11"/>
    <s v="JULHO"/>
    <s v="HSERV COMBINADOS"/>
    <s v="GRRF FAGNER LOPES DA SILVA"/>
    <n v="-183.91"/>
    <x v="0"/>
    <s v="RESCISÕES"/>
  </r>
  <r>
    <x v="11"/>
    <s v="JULHO"/>
    <s v="HSERV TECNOLOGIA"/>
    <s v="GRRF MANOEL ALVES DE ANDRADE"/>
    <n v="-190.27"/>
    <x v="0"/>
    <s v="RESCISÕES"/>
  </r>
  <r>
    <x v="11"/>
    <s v="JULHO"/>
    <s v="HSERV TECNOLOGIA"/>
    <s v="GRRF MATHEUS SANT ANNA"/>
    <n v="-898.96"/>
    <x v="0"/>
    <s v="RESCISÕES"/>
  </r>
  <r>
    <x v="10"/>
    <s v="JULHO"/>
    <s v="HSERV CABREUVA "/>
    <s v="MARIELE DE LIMA CANDIDO- RESSARCIMENTO DE MERCADORIA QUE O CONTROLADOR PAULO SERGIO (PALAZO VENEZA) FORNECEU AO MORADOR ERRADO"/>
    <n v="-127.27"/>
    <x v="0"/>
    <s v="RESSARCIMENTO"/>
  </r>
  <r>
    <x v="11"/>
    <s v="JULHO"/>
    <s v="HSERV CLEAN"/>
    <s v="FEMACON CONSTRUCOES LTDA-CAMACON- MATERIAS PARA CALÇADA DA LOJA CLEAN"/>
    <n v="-1035.44"/>
    <x v="0"/>
    <s v="MANUTENÇÃO"/>
  </r>
  <r>
    <x v="12"/>
    <s v="JULHO"/>
    <s v="HSERV TERCEIRIZADOS"/>
    <s v="FMD FUNDO DE INVESTIMENTO EM DIREITOS CREDITORIOS-STAR CLEAN"/>
    <n v="-1146.52"/>
    <x v="0"/>
    <s v="MERCADORIAS PARA REVENDA"/>
  </r>
  <r>
    <x v="2"/>
    <s v="JULHO"/>
    <s v="HSERV TERCEIRIZADOS"/>
    <s v="FMD FUNDO DE INVESTIMENTO EM DIREITOS CREDITORIOS-STAR CLEAN"/>
    <n v="-1146.51"/>
    <x v="0"/>
    <s v="MERCADORIAS PARA REVENDA"/>
  </r>
  <r>
    <x v="7"/>
    <s v="JULHO"/>
    <s v="HSERV TERCEIRIZADOS"/>
    <s v="FMD FUNDO DE INVESTIMENTO EM DIREITOS CREDITORIOS-STAR CLEAN NF 1356"/>
    <n v="-1146.51"/>
    <x v="0"/>
    <s v="MERCADORIAS PARA REVENDA"/>
  </r>
  <r>
    <x v="3"/>
    <s v="JULHO"/>
    <s v="HSERV REPRESENTACOES"/>
    <s v="ASOMETRA ENGENHARIA VENCIDO 20/05/2025"/>
    <n v="-710.99"/>
    <x v="0"/>
    <s v="EXAMES MEDICOS"/>
  </r>
  <r>
    <x v="3"/>
    <s v="JULHO"/>
    <s v="HSERV LIMPEZA"/>
    <s v="ASOMETRA ENGENHARIA VENCIDO 20/05/2025"/>
    <n v="-408.28"/>
    <x v="0"/>
    <s v="EXAMES MEDICOS"/>
  </r>
  <r>
    <x v="3"/>
    <s v="JULHO"/>
    <s v="HSERV TERCERIZADOS"/>
    <s v="ASOMETRA ENGENHARIA VENCIDO 20/05/2025"/>
    <n v="-408.28"/>
    <x v="0"/>
    <s v="EXAMES MEDICOS"/>
  </r>
  <r>
    <x v="3"/>
    <s v="JULHO"/>
    <s v="HSERV TECNOLOGIA"/>
    <s v="ASOMETRA ENGENHARIA VENCIDO 20/05/2025"/>
    <n v="-408.28"/>
    <x v="0"/>
    <s v="EXAMES MEDICOS"/>
  </r>
  <r>
    <x v="3"/>
    <s v="JULHO"/>
    <s v="HSERV CLEAN"/>
    <s v="ASOMETRA ENGENHARIA VENCIDO 20/05/2025"/>
    <n v="-243.84"/>
    <x v="0"/>
    <s v="EXAMES MEDICOS"/>
  </r>
  <r>
    <x v="3"/>
    <s v="JULHO"/>
    <s v="HENRIQUE DUARTE "/>
    <s v="ASOMETRA ENGENHARIA VENCIDO 20/05/2025"/>
    <n v="-1224.42"/>
    <x v="0"/>
    <s v="EXAMES MEDICOS"/>
  </r>
  <r>
    <x v="8"/>
    <s v="JULHO"/>
    <s v="HSERV COMBINADOS"/>
    <s v="VIVIAN APARECIDA MENDES"/>
    <n v="-55"/>
    <x v="0"/>
    <s v="VALE TRANSPORTE"/>
  </r>
  <r>
    <x v="8"/>
    <s v="JULHO"/>
    <s v="HSERV COMBINADOS"/>
    <s v="ALTAMIRO LOPES SIQUEIRA"/>
    <n v="-55"/>
    <x v="0"/>
    <s v="VALE TRANSPORTE"/>
  </r>
  <r>
    <x v="8"/>
    <s v="JULHO"/>
    <s v="HSERV COMBINADOS"/>
    <s v="DAIANA INDIANARA DE PAULA SILVA"/>
    <n v="-224.2"/>
    <x v="0"/>
    <s v="VALE TRANSPORTE"/>
  </r>
  <r>
    <x v="8"/>
    <s v="JULHO"/>
    <s v="HSERV REPRESENTACOES"/>
    <s v="CELSO DE JESUS DANTAS"/>
    <n v="-110"/>
    <x v="0"/>
    <s v="VALE TRANSPORTE"/>
  </r>
  <r>
    <x v="8"/>
    <s v="JULHO"/>
    <s v="VITOR DUARTE"/>
    <s v="ANA CLAUDIA DE FIGUEIREDO"/>
    <n v="-180"/>
    <x v="0"/>
    <s v="VALE TRANSPORTE"/>
  </r>
  <r>
    <x v="8"/>
    <s v="JULHO"/>
    <s v="HSERV TECNOLOGIA"/>
    <s v="LUZIA DE CARVALHO"/>
    <n v="-171.85"/>
    <x v="0"/>
    <s v="RESCISÕES"/>
  </r>
  <r>
    <x v="3"/>
    <s v="JULHO"/>
    <s v="HERV COMBINADOS"/>
    <s v="ASOMETRA ENGENHARIA VENCIDO 20/05/2025"/>
    <n v="-1063.23"/>
    <x v="0"/>
    <s v="EXAMES MEDICOS"/>
  </r>
  <r>
    <x v="3"/>
    <s v="JULHO"/>
    <s v="VITOR DUARTE"/>
    <s v="ASOMETRA ENGENHARIA VENCIDO 20/05/2025"/>
    <n v="-41.59"/>
    <x v="0"/>
    <s v="EXAMES MEDICOS"/>
  </r>
  <r>
    <x v="3"/>
    <s v="JULHO"/>
    <s v="HENRIQUE JEAN"/>
    <s v="GRACE KELLY CUSTODIO AURELIANO"/>
    <n v="-200"/>
    <x v="0"/>
    <s v="VALE TRANSPORTE"/>
  </r>
  <r>
    <x v="3"/>
    <s v="JULHO"/>
    <s v="HSERV COMBINADOS"/>
    <s v="LINDIMAR FERREIRA DOS SANTOS"/>
    <n v="-177"/>
    <x v="0"/>
    <s v="VALE TRANSPORTE"/>
  </r>
  <r>
    <x v="3"/>
    <s v="JULHO"/>
    <s v="HSERV COMBINADOS"/>
    <s v="FABIO NOGUEIRA DA SILVA LOPES"/>
    <n v="-253"/>
    <x v="0"/>
    <s v="VALE TRANSPORTE"/>
  </r>
  <r>
    <x v="3"/>
    <s v="JULHO"/>
    <s v="HSERV COMBINADOS"/>
    <s v="LINDENALVA FARIAS RIBEIRO"/>
    <n v="-165"/>
    <x v="0"/>
    <s v="VALE TRANSPORTE"/>
  </r>
  <r>
    <x v="3"/>
    <s v="JULHO"/>
    <s v="HSERV COMBINADOS"/>
    <s v="RONALDO SILVA MARQUES"/>
    <n v="-177"/>
    <x v="0"/>
    <s v="VALE TRANSPORTE"/>
  </r>
  <r>
    <x v="3"/>
    <s v="JULHO"/>
    <s v="HSERV TECNOLOGIA"/>
    <s v="ROSANGELA FRANCO"/>
    <n v="-240"/>
    <x v="0"/>
    <s v="VALE TRANSPORTE"/>
  </r>
  <r>
    <x v="3"/>
    <s v="JULHO"/>
    <s v="VITOR DUARTE"/>
    <s v="IFOOD.COM AGENCIA DE RESTAURANTES ONLINE S.A."/>
    <n v="-130"/>
    <x v="0"/>
    <s v="VALE COMBUSTIVEL"/>
  </r>
  <r>
    <x v="3"/>
    <s v="JULHO"/>
    <s v="HSERV COMBINADOS"/>
    <s v="DIOGO HENRIQUE BARBOSA BERNARDINO-L  2 DIAS DE FT DESSE COLABORADOR NO UPA"/>
    <n v="-200"/>
    <x v="0"/>
    <s v="FT"/>
  </r>
  <r>
    <x v="4"/>
    <s v="JULHO"/>
    <s v="HSERV CLEAN"/>
    <s v="SOFT WORKS EPI CALCADOS LTDA- VENCIDO 30/06/2025"/>
    <n v="-1593.18"/>
    <x v="0"/>
    <s v="UNIFORMES"/>
  </r>
  <r>
    <x v="3"/>
    <s v="JULHO"/>
    <s v="VITOR DUARTE"/>
    <s v="L. A. DE SOUZA - EQUIPAMENTOS DE SEGURANCA LTDA"/>
    <n v="-60"/>
    <x v="0"/>
    <s v="UNIFORMES"/>
  </r>
  <r>
    <x v="3"/>
    <s v="JULHO"/>
    <s v="HSERV TERCERIZADOS"/>
    <s v="Antônio Cesar caffe benatti-FT FISCAIS DOM OLIVIO SOROCABA "/>
    <n v="-360"/>
    <x v="0"/>
    <s v="FT"/>
  </r>
  <r>
    <x v="3"/>
    <s v="JULHO"/>
    <s v="HSERV TERCERIZADOS"/>
    <s v="Welllington da Silva Araujoi-FT FISCAIS DOM OLIVIO SOROCABA "/>
    <n v="-440"/>
    <x v="0"/>
    <s v="FT"/>
  </r>
  <r>
    <x v="3"/>
    <s v="JULHO"/>
    <s v="HSERV TERCERIZADOS"/>
    <s v="Sidnei Silveira Rodrigues  -FT FISCAIS DOM OLIVIO SOROCABA "/>
    <n v="-360"/>
    <x v="0"/>
    <s v="FT"/>
  </r>
  <r>
    <x v="3"/>
    <s v="JULHO"/>
    <s v="HSERV TERCERIZADOS"/>
    <s v="Ezequiel Rodrigues dos Santos  -FT FISCAIS DOM OLIVIO SOROCABA "/>
    <n v="-120"/>
    <x v="0"/>
    <s v="FT"/>
  </r>
  <r>
    <x v="3"/>
    <s v="JULHO"/>
    <s v="HSERV TERCERIZADOS"/>
    <s v="Alexs Sandro lagos da Silva  -FT FISCAIS DOM OLIVIO SOROCABA "/>
    <n v="-360"/>
    <x v="0"/>
    <s v="FT"/>
  </r>
  <r>
    <x v="11"/>
    <s v="JULHO"/>
    <s v="HSERV TERCEIRIZADOS"/>
    <s v="WIG COMERCIO DE BATERIAS COMPONENTES LTDA"/>
    <n v="-1330"/>
    <x v="0"/>
    <s v="MANUTENÇÃO"/>
  </r>
  <r>
    <x v="1"/>
    <s v="JULHO"/>
    <s v="HSERV CLEAN"/>
    <s v="BOM FALCAO LOGISTICA E TRANSPORTE LTDA"/>
    <n v="-94.65"/>
    <x v="0"/>
    <s v="FRETE"/>
  </r>
  <r>
    <x v="1"/>
    <s v="JULHO"/>
    <s v="HSERV CLEAN"/>
    <s v="JOSE JONAS DE ARAUJO SILVA- PROCESSO 0010137-76.2022.5.15.0018- MANOEL VICENTE  HONORARIOS"/>
    <n v="-6069.71"/>
    <x v="0"/>
    <s v="ACORDO TRABALHISTA"/>
  </r>
  <r>
    <x v="1"/>
    <s v="JULHO"/>
    <s v="HSERV CLEAN"/>
    <s v="JOSE JONAS DE ARAUJO SILVA- PROCESSO 0010137-76.2022.5.15.0018- MANOEL VICENTE  PARCELA 1/8"/>
    <n v="-3968.99"/>
    <x v="0"/>
    <s v="ACORDO TRABALHISTA"/>
  </r>
  <r>
    <x v="1"/>
    <s v="JULHO"/>
    <s v="HSERV COMBINADOS"/>
    <s v="DANILO ENDRIGO GARAVELO"/>
    <n v="-82.93"/>
    <x v="0"/>
    <s v="RESCISÕES"/>
  </r>
  <r>
    <x v="4"/>
    <s v="JULHO"/>
    <s v="HSERV CLEAN"/>
    <s v="SPARTAN DO BRASIL PRODUTOS QUIMICOS LTDA-VENCIMENTO 01/07/2025"/>
    <n v="-3266.04"/>
    <x v="0"/>
    <s v="MERCADORIAS PARA REVENDA"/>
  </r>
  <r>
    <x v="37"/>
    <s v="JULHO"/>
    <s v="HSERV CLEAN"/>
    <s v="SPARTAN DO BRASIL PRODUTOS QUIMICOS LTDA NF 253783 PARC 3/3"/>
    <n v="-3255.2"/>
    <x v="0"/>
    <s v="MERCADORIAS PARA REVENDA"/>
  </r>
  <r>
    <x v="37"/>
    <s v="JULHO"/>
    <s v="VITOR DUARTE"/>
    <s v="L. A. DE SOUZA - EQUIPAMENTOS DE SEGURANCA LTDA NF 11620 - SAPATO ASG AVENIDA- OSSIRES"/>
    <n v="-90"/>
    <x v="0"/>
    <s v="UNIFORMES"/>
  </r>
  <r>
    <x v="37"/>
    <s v="JULHO"/>
    <s v="HSERV LIMPEZA"/>
    <s v="GRRF JESSICA NATALIA APARECIDA TEODORO"/>
    <n v="-105.31"/>
    <x v="0"/>
    <s v="RESCISÕES"/>
  </r>
  <r>
    <x v="37"/>
    <s v="JULHO"/>
    <s v="HSERV TERCEIRIZADOS"/>
    <s v="GRRF VALMIR DOS SANTOS"/>
    <n v="-252.74"/>
    <x v="0"/>
    <s v="RESCISÕES"/>
  </r>
  <r>
    <x v="37"/>
    <s v="JULHO"/>
    <s v="HSERV COMBINADOS"/>
    <s v="ANDRADE FREITAS SOCIEDADE DE ADVOGADOS"/>
    <n v="-5600"/>
    <x v="0"/>
    <s v="ACORDO TRABALHISTA"/>
  </r>
  <r>
    <x v="37"/>
    <s v="JULHO"/>
    <s v="HSERV TERCEIRIZADOS"/>
    <s v="PAROLAR DIST DE UTENSILIOS DOMESTICOS LTDA- NF 210.137"/>
    <n v="-352.25"/>
    <x v="0"/>
    <s v="MERCADORIAS PARA REVENDA"/>
  </r>
  <r>
    <x v="12"/>
    <s v="JULHO"/>
    <s v="HSERV CABREUVA"/>
    <s v="NOVITA VEST CONFECCOES LTDA-SETTE UNIFORMES "/>
    <n v="-2003.3397440000001"/>
    <x v="0"/>
    <s v="UNIFORMES"/>
  </r>
  <r>
    <x v="12"/>
    <s v="JULHO"/>
    <s v="HSERV CLEAN"/>
    <s v="J.E. COMERCIO E SOLUCOES LTDA"/>
    <n v="-955.7"/>
    <x v="0"/>
    <s v="MERCADORIAS PARA REVENDA"/>
  </r>
  <r>
    <x v="12"/>
    <s v="JULHO"/>
    <s v="HSERV CLEAN"/>
    <s v="J.E. COMERCIO E SOLUCOES LTDA"/>
    <n v="-372.75"/>
    <x v="0"/>
    <s v="MERCADORIAS PARA REVENDA"/>
  </r>
  <r>
    <x v="37"/>
    <s v="JULHO"/>
    <s v="HSERV COMBINADOS "/>
    <s v="LOCALIZA- AGMTZ 2561625-VENCIDA 03/07/2025  MULTA DE TRANSITO"/>
    <n v="-238.27"/>
    <x v="0"/>
    <s v="ALUGUEL DE VEICULOS"/>
  </r>
  <r>
    <x v="37"/>
    <s v="JULHO"/>
    <s v="HSERV COMBINADOS "/>
    <s v="LOCALIZA- AGMTZ 2561603-VENCIDA 03/07/2025 MULTA DE TRANSITO"/>
    <n v="-238.27"/>
    <x v="0"/>
    <s v="ALUGUEL DE VEICULOS"/>
  </r>
  <r>
    <x v="37"/>
    <s v="JULHO"/>
    <s v="HSERV COMBINADOS "/>
    <s v="LOCALIZA- AGMTZ 2561586-VENCIDA 03/07/2025 MULTA DE TRANSITO"/>
    <n v="-238.27"/>
    <x v="0"/>
    <s v="ALUGUEL DE VEICULOS"/>
  </r>
  <r>
    <x v="37"/>
    <s v="JULHO"/>
    <s v="HSERV COMBINADOS "/>
    <s v="LOCALIZA- AGMTZ 2561576-VENCIDA 03/07/2025 MULTA DE TRANSITO"/>
    <n v="-238.27"/>
    <x v="0"/>
    <s v="ALUGUEL DE VEICULOS"/>
  </r>
  <r>
    <x v="37"/>
    <s v="JULHO"/>
    <s v="HSERV COMBINADOS "/>
    <s v="LOCALIZA -AFMTZ 2350662-VENCIDA 30/05/2025 QUILÔMETROS EXCEDENTES"/>
    <n v="-327.58999999999997"/>
    <x v="0"/>
    <s v="ALUGUEL DE VEICULOS"/>
  </r>
  <r>
    <x v="37"/>
    <s v="JULHO"/>
    <s v="HSERV COMBINADOS "/>
    <s v="LOCALIZA- AGMTZ 2454658-VENCIDA 02/05/2025-PREFIXAÇÃO DE DANOS - AVARIAS"/>
    <n v="-492.61"/>
    <x v="0"/>
    <s v="ALUGUEL DE VEICULOS"/>
  </r>
  <r>
    <x v="37"/>
    <s v="JULHO"/>
    <s v="HSERV COMBINADOS "/>
    <s v="LOCALIZA-AGMTZ 2454656 VENCIDA 02/05/2025-REEMBOLSO DE CUSTOS REF. PNEUS EXCEDENTES / ATIVIDADES CORRELATAS"/>
    <n v="-635.09"/>
    <x v="0"/>
    <s v="ALUGUEL DE VEICULOS"/>
  </r>
  <r>
    <x v="37"/>
    <s v="JULHO"/>
    <s v="VITOR DUARTE"/>
    <s v="LOCALIZA AFMTZ 2356665  VENCIDA 30/05/2025 KM EXCEDENTE"/>
    <n v="-752.69"/>
    <x v="0"/>
    <s v="ALUGUEL DE VEICULOS"/>
  </r>
  <r>
    <x v="37"/>
    <s v="JULHO"/>
    <s v="VITOR DUARTE"/>
    <s v="LOCALIZA AFMTZ 2357800 -VENCIDA 30/05/2025 LOCAÇÃO 3 VTR "/>
    <n v="-6481.7"/>
    <x v="0"/>
    <s v="ALUGUEL DE VEICULOS"/>
  </r>
  <r>
    <x v="2"/>
    <s v="JULHO"/>
    <s v="VITOR DUARTE"/>
    <s v="54.055.078 MATHEUS PEIXOTO DE OLIVEIRA-VENCIDO 30/06/2025"/>
    <n v="-2000"/>
    <x v="0"/>
    <s v="TI"/>
  </r>
  <r>
    <x v="2"/>
    <s v="JULHO"/>
    <s v="HSERV COMBINADOS  ND "/>
    <s v="ADEMIR- IMPRESSÃO E IMPRESSORA VENCIDO 30/06/2025"/>
    <n v="-150"/>
    <x v="0"/>
    <s v="TI"/>
  </r>
  <r>
    <x v="44"/>
    <s v="SETEMBRO"/>
    <s v="VITOR DUARTE"/>
    <s v="IRMÃOS BOAS -ASSIDUIDADE"/>
    <n v="29400"/>
    <x v="1"/>
    <s v="ASSIDUIDADE"/>
  </r>
  <r>
    <x v="44"/>
    <s v="SETEMBRO"/>
    <s v="VITOR DUARTE"/>
    <s v="IRMÃOS BOAS "/>
    <n v="6759.38"/>
    <x v="1"/>
    <s v="VENDAS DE SERVIÇOS"/>
  </r>
  <r>
    <x v="45"/>
    <s v="SETEMBRO"/>
    <s v="HSERV TERCERIZADOS"/>
    <s v="PREFEITURA M DE CABREUVA-FALTAVA A ATRASADA DE AGOSTO E A DE SETEMBRO ( R$ 15.077,75 CADA ) DIA 29/09 PAGARAM  R$27.081,68"/>
    <n v="27081.68"/>
    <x v="1"/>
    <s v="VENDAS DE SERVIÇOS"/>
  </r>
  <r>
    <x v="38"/>
    <s v="OUTUBRO"/>
    <s v="HSERV TERCERIZADOS"/>
    <s v="PREFEITURA M DE CABR"/>
    <n v="15077.75"/>
    <x v="1"/>
    <s v="VENDAS DE SERVIÇOS"/>
  </r>
  <r>
    <x v="33"/>
    <s v="NOVEMBRO"/>
    <s v="HSERV TERCERIZADOS"/>
    <s v="PREFEITURA M DE CABR"/>
    <n v="15077.75"/>
    <x v="1"/>
    <s v="VENDAS DE SERVIÇOS"/>
  </r>
  <r>
    <x v="34"/>
    <s v="DEZEMBRO"/>
    <s v="HSERV TERCERIZADOS"/>
    <s v="PREFEITURA M DE CABR"/>
    <n v="15077.75"/>
    <x v="1"/>
    <s v="VENDAS DE SERVIÇOS"/>
  </r>
  <r>
    <x v="15"/>
    <s v="JULHO"/>
    <s v="HSERV TERCERIZADOS"/>
    <s v="INSTITUTO LOJAS RENNE "/>
    <n v="579.54999999999995"/>
    <x v="1"/>
    <s v="VENDAS DE SERVIÇOS"/>
  </r>
  <r>
    <x v="15"/>
    <s v="JULHO"/>
    <s v="HSERV TERCERIZADOS"/>
    <s v="PREFEITURA M DE CABR"/>
    <n v="15077.75"/>
    <x v="1"/>
    <s v="VENDAS DE SERVIÇOS"/>
  </r>
  <r>
    <x v="5"/>
    <s v="JULHO"/>
    <s v="HSERV TERCERIZADOS"/>
    <s v="PREFEITURA M DE CABR"/>
    <n v="15077.75"/>
    <x v="1"/>
    <s v="VENDAS DE SERVIÇOS"/>
  </r>
  <r>
    <x v="37"/>
    <s v="JULHO"/>
    <s v="HSERV CABREUVA"/>
    <s v="VALERIA BARBOSA LEITE"/>
    <n v="-257"/>
    <x v="0"/>
    <s v="VALE TRANSPORTE"/>
  </r>
  <r>
    <x v="37"/>
    <s v="JULHO"/>
    <s v="HSERV COMBINADOS"/>
    <s v="ANA CLAUDIA XAVIER DA SILVEIRA BATISTA"/>
    <n v="-195"/>
    <x v="0"/>
    <s v="VALE TRANSPORTE"/>
  </r>
  <r>
    <x v="37"/>
    <s v="JULHO"/>
    <s v="VITOR DUARTE"/>
    <s v="DANIELE VIEIRA DA SILVA"/>
    <n v="-160"/>
    <x v="0"/>
    <s v="VALE TRANSPORTE"/>
  </r>
  <r>
    <x v="37"/>
    <s v="JULHO"/>
    <s v="VITOR DUARTE"/>
    <s v="MAIKON CEZARIO DOS SANTOS COPINO"/>
    <n v="-684"/>
    <x v="0"/>
    <s v="VALE TRANSPORTE"/>
  </r>
  <r>
    <x v="37"/>
    <s v="JULHO"/>
    <s v="HSERV TERCEIRIZADOS"/>
    <s v="SAMARA DE JESUS VITOR 08/07- VT "/>
    <n v="-32.4"/>
    <x v="0"/>
    <s v="VALE TRANSPORTE"/>
  </r>
  <r>
    <x v="37"/>
    <s v="JULHO"/>
    <s v="HSERV TERCEIRIZADOS"/>
    <s v="vALCILENE DOS SANTOS 08/07- VT PARA COBRIR A LOJ 22- ASG-"/>
    <n v="-12"/>
    <x v="0"/>
    <s v="VALE TRANSPORTE"/>
  </r>
  <r>
    <x v="37"/>
    <s v="JULHO"/>
    <s v="HENRIQUE JEAN"/>
    <s v="SINDPRESTEM-VENCIDO 30/06/2025"/>
    <n v="-630.08000000000004"/>
    <x v="0"/>
    <s v="SINDICATO"/>
  </r>
  <r>
    <x v="37"/>
    <s v="JULHO"/>
    <s v="HENRIQUE JEAN"/>
    <s v="CELIO ROBERTO"/>
    <n v="-5000"/>
    <x v="0"/>
    <s v="RESERVA"/>
  </r>
  <r>
    <x v="37"/>
    <s v="JULHO"/>
    <s v="HSERV TERCEIRIZADOS"/>
    <s v="LOTUS CENTRAL DE DISTRIBUICAO DE HIGIENICOS LTDA- NF  111185 PARC 3/3"/>
    <n v="-900.68"/>
    <x v="0"/>
    <s v="MERCADORIAS PARA REVENDA"/>
  </r>
  <r>
    <x v="12"/>
    <s v="JULHO"/>
    <s v="HSERV COMBINADOS"/>
    <s v="THIAGO ALMEIDA- COMISSÃO DE PRODUTOS"/>
    <n v="-325.02999999999997"/>
    <x v="0"/>
    <s v="CONSIGNADO"/>
  </r>
  <r>
    <x v="12"/>
    <s v="JULHO"/>
    <s v="HSERV REPRESENTACOES"/>
    <s v="ILMA FERREIRA DE SOUZA"/>
    <n v="-2785.73"/>
    <x v="0"/>
    <s v="RESCISÕES"/>
  </r>
  <r>
    <x v="12"/>
    <s v="JULHO"/>
    <s v="HSERV COMBINADOS"/>
    <s v="FATIMA APARECIDA DOS ANJOS LUCIO-COMPLEMENTO DE SALARIOS"/>
    <n v="-1000"/>
    <x v="0"/>
    <s v="SALARIOS"/>
  </r>
  <r>
    <x v="12"/>
    <s v="JULHO"/>
    <s v="HSERV TERCEIRIZADOS"/>
    <s v="PAROLAR DIST DE UTENSILIOS DOMESTICOS LTDA"/>
    <n v="-352.25"/>
    <x v="0"/>
    <s v="MERCADORIAS PARA REVENDA"/>
  </r>
  <r>
    <x v="7"/>
    <s v="JULHO"/>
    <s v="HSERV TERCEIRIZADOS"/>
    <s v="GLOVAN CABREUVA ALUGUEL DE EQUIPAMENTOS LTDA"/>
    <n v="-40.86"/>
    <x v="0"/>
    <s v="MANUTENÇÃO"/>
  </r>
  <r>
    <x v="4"/>
    <s v="JULHO"/>
    <s v="HSERV COMBINADOS"/>
    <s v="_x0009_EVERTON DOMINGOS LUIZ - ANTEDCIPAÇÃO DE SALARIOS- COLABORADOR SOLICITOU PARA COMPRA DE GAS "/>
    <n v="-150"/>
    <x v="0"/>
    <s v="SALARIOS"/>
  </r>
  <r>
    <x v="4"/>
    <s v="JULHO"/>
    <s v="VITOR DUARTE"/>
    <s v="NEXTI DESENVOLVIMENTO DE SISTEMAS S.A. VENCIDO 30/06/2025"/>
    <n v="-2651.79"/>
    <x v="0"/>
    <s v="SISTEMA"/>
  </r>
  <r>
    <x v="4"/>
    <s v="JULHO"/>
    <s v="VITOR DUARTE"/>
    <s v="NEXTI DESENVOLVIMENTO DE SISTEMAS S.A. VENCIDO 30/06/2025"/>
    <n v="-1668.9"/>
    <x v="0"/>
    <s v="SISTEMA"/>
  </r>
  <r>
    <x v="12"/>
    <s v="JULHO"/>
    <s v="HSERV CABREUVA"/>
    <s v="SIMPLES NACIONAL-PARCELAMENTO VENCIDO 30/06/2025"/>
    <n v="-32600.85"/>
    <x v="0"/>
    <s v="IMPOSTO"/>
  </r>
  <r>
    <x v="12"/>
    <s v="JULHO"/>
    <s v="VITOR DUARTE"/>
    <s v="GUIA DE PARCELAMENTO INSS VITOR JULHO A NOV 2024- VENCIMENTO 30/06/2025"/>
    <n v="-6479.07"/>
    <x v="0"/>
    <s v="IMPOSTO"/>
  </r>
  <r>
    <x v="12"/>
    <s v="JULHO"/>
    <s v="HSERV CLEAN"/>
    <s v="_x0009_DA REC FED DARF C211000 GUIA DE PARELAMENTO DE DIVIDA ATIVA HSERV CLEAN-  VENCIMENTO 30/06/2025"/>
    <n v="-547.91999999999996"/>
    <x v="0"/>
    <s v="IMPOSTO"/>
  </r>
  <r>
    <x v="12"/>
    <s v="JULHO"/>
    <s v="HENRIQUE JEAN"/>
    <s v="PARCELAMENTO SIMPLICADO- HSERV CLEAN DEBITO PREVIDENCIARIO  VENCIMENTO 30/06/2025"/>
    <n v="-527.71"/>
    <x v="0"/>
    <s v="IMPOSTO"/>
  </r>
  <r>
    <x v="12"/>
    <s v="JULHO"/>
    <s v="HSERV COMBINADOS"/>
    <s v="PARCELAMENTO SIMPLICADO- HSERV COMBINADOS  DEBITO PREVIDENCIARIO - VENCIMENTO 30/06/2025"/>
    <n v="-511.22"/>
    <x v="0"/>
    <s v="IMPOSTO"/>
  </r>
  <r>
    <x v="12"/>
    <s v="JULHO"/>
    <s v="VITOR DUARTE"/>
    <s v="PARCELAMENTO SIMPLICADO- VITOR DUARTE  DEBITO PREVIDENCIARIO - VENCIMENTO 30/06/2025"/>
    <n v="-4331.1099999999997"/>
    <x v="0"/>
    <s v="IMPOSTO"/>
  </r>
  <r>
    <x v="12"/>
    <s v="JULHO"/>
    <s v="HSERV REPRESENTAÇÃO "/>
    <s v="PARCELAMENTO SIMPLICADO- HSERV REPRESENTAÇÃO  DEBITO PREVIDENCIARIO  - VENCIMENTO 30/06/2025"/>
    <n v="-521.20000000000005"/>
    <x v="0"/>
    <s v="IMPOSTO"/>
  </r>
  <r>
    <x v="12"/>
    <s v="JULHO"/>
    <s v="HSERV LIMPEZA"/>
    <s v="PARCELAMENTO SIMPLICADO- HSERV LIMPEZA - DEBITO PREVIDENCIARIO  - VENCIMENTO 30/06/2025"/>
    <n v="-525.48"/>
    <x v="0"/>
    <s v="IMPOSTO"/>
  </r>
  <r>
    <x v="8"/>
    <s v="JULHO"/>
    <s v="HSERV TERCEIRIZADOS"/>
    <s v="GISELE RODRIGUES- CAIXINHA"/>
    <n v="-1500"/>
    <x v="0"/>
    <s v="CAIXINHA"/>
  </r>
  <r>
    <x v="8"/>
    <s v="JULHO"/>
    <s v="HSERV CMBINAODS"/>
    <s v="SINDITERCERIZADOSASSOCIADA- CICERA MARIA VENCIMENTO 10/07/2025"/>
    <n v="-30"/>
    <x v="0"/>
    <s v="SINDICATO"/>
  </r>
  <r>
    <x v="8"/>
    <s v="JULHO"/>
    <s v="HSERV TERCEIRIZADOS"/>
    <s v="VINICIUS JOSE EUGENIO - ME"/>
    <n v="-33"/>
    <x v="0"/>
    <s v="FRETE"/>
  </r>
  <r>
    <x v="7"/>
    <s v="JULHO"/>
    <s v="VITOR DUARTE"/>
    <s v="EMPORIO MEGA 100 COMERCIO DE ALIMENTOS S.A.-CESTA NATALINA - VENCIMENTO 30/06/2025"/>
    <n v="-1408.84"/>
    <x v="0"/>
    <s v="CESTA NATALINA"/>
  </r>
  <r>
    <x v="7"/>
    <s v="JULHO"/>
    <s v="VITOR DUARTE"/>
    <s v="EMPORIO MEGA 100 COMERCIO DE ALIMENTOS S.A.-CESTA NATALINA - VENCIMENTO 30/06/2025"/>
    <n v="-3312.86"/>
    <x v="0"/>
    <s v="CESTA NATALINA"/>
  </r>
  <r>
    <x v="7"/>
    <s v="JULHO"/>
    <s v="HSERV COMBINADOS"/>
    <s v="DAVID DA SILVA PORFIRIO-DEVOÇÃO DE DESCONTO DE FALTA INDEVIDO NA FOLHA 06/2025"/>
    <n v="-336.85"/>
    <x v="0"/>
    <s v="SALARIOS"/>
  </r>
  <r>
    <x v="7"/>
    <s v="JULHO"/>
    <s v="HSERV COMBINADOS"/>
    <s v="KARINA APARECIDA DE BRITO DOS SANTOS"/>
    <n v="-165"/>
    <x v="0"/>
    <s v="VALE TRANSPORTE"/>
  </r>
  <r>
    <x v="7"/>
    <s v="JULHO"/>
    <s v="HSERV COMBINADOS"/>
    <s v="ELAINE BARBOSA DE SOUSA"/>
    <n v="-178"/>
    <x v="0"/>
    <s v="VALE TRANSPORTE"/>
  </r>
  <r>
    <x v="7"/>
    <s v="JULHO"/>
    <s v="HSERV CABREUVA"/>
    <s v="ASOMETRA ENGENHARIA DE SEGURANCA E MEDICINA DO TRABALHO LTDA"/>
    <n v="-238.27"/>
    <x v="0"/>
    <s v="EXAMES MEDICOS"/>
  </r>
  <r>
    <x v="7"/>
    <s v="JULHO"/>
    <s v="HENRIQUE JEAN"/>
    <s v="LEONARDO ANTONIO DO CARMO JUNIOR-.FGTS EM ATRASO 10/2023"/>
    <n v="-259.25"/>
    <x v="0"/>
    <s v="IMPOSTO"/>
  </r>
  <r>
    <x v="7"/>
    <s v="JULHO"/>
    <s v="HENRIQUE JEAN"/>
    <s v="LEONARDO ANTONIO DO CARMO JUNIOR-.FGTS EM ATRASO 02/2023"/>
    <n v="-132.47"/>
    <x v="0"/>
    <s v="IMPOSTO"/>
  </r>
  <r>
    <x v="7"/>
    <s v="JULHO"/>
    <s v="HENRIQUE JEAN"/>
    <s v="LEONARDO ANTONIO DO CARMO JUNIOR-.FGTS EM ATRASO 07/2023"/>
    <n v="-234.94"/>
    <x v="0"/>
    <s v="IMPOSTO"/>
  </r>
  <r>
    <x v="7"/>
    <s v="JULHO"/>
    <s v="HENRIQUE JEAN"/>
    <s v="LEONARDO ANTONIO DO CARMO JUNIOR-.FGTS EM ATRASO 09/2023"/>
    <n v="-265.04000000000002"/>
    <x v="0"/>
    <s v="IMPOSTO"/>
  </r>
  <r>
    <x v="7"/>
    <s v="JULHO"/>
    <s v="HENRIQUE JEAN"/>
    <s v="LEONARDO ANTONIO DO CARMO JUNIOR-.FGTS EM ATRASO 04/2023"/>
    <n v="-236.39"/>
    <x v="0"/>
    <s v="IMPOSTO"/>
  </r>
  <r>
    <x v="7"/>
    <s v="JULHO"/>
    <s v="HENRIQUE JEAN"/>
    <s v="LEONARDO ANTONIO DO CARMO JUNIOR-.FGTS EM ATRASO 03/2023"/>
    <n v="-179.49"/>
    <x v="0"/>
    <s v="IMPOSTO"/>
  </r>
  <r>
    <x v="7"/>
    <s v="JULHO"/>
    <s v="HENRIQUE JEAN"/>
    <s v="LEONARDO ANTONIO DO CARMO JUNIOR-.FGTS EM ATRASO 08/2023"/>
    <n v="-275.81"/>
    <x v="0"/>
    <s v="IMPOSTO"/>
  </r>
  <r>
    <x v="7"/>
    <s v="JULHO"/>
    <s v="HENRIQUE JEAN"/>
    <s v="LEONARDO ANTONIO DO CARMO JUNIOR-.FGTS EM ATRASO 11/2023"/>
    <n v="-348.05"/>
    <x v="0"/>
    <s v="IMPOSTO"/>
  </r>
  <r>
    <x v="7"/>
    <s v="JULHO"/>
    <s v="HENRIQUE JEAN"/>
    <s v="LEONARDO ANTONIO DO CARMO JUNIOR-.FGTS EM ATRASO 12/2023"/>
    <n v="-338.6"/>
    <x v="0"/>
    <s v="IMPOSTO"/>
  </r>
  <r>
    <x v="7"/>
    <s v="JULHO"/>
    <s v="VITOR DUARTE"/>
    <s v="LOCALIZA FLEET S.A.-AGMTZ-2577162"/>
    <n v="-120"/>
    <x v="0"/>
    <s v="ALUGUEL DE VEICULOS"/>
  </r>
  <r>
    <x v="7"/>
    <s v="JULHO"/>
    <s v="VITOR DUARTE"/>
    <s v="LOCALIZA FLEET S.A.- FATURA  AGMTZ-2577180- MULTA DE TRANSITO "/>
    <n v="-233.26"/>
    <x v="0"/>
    <s v="ALUGUEL DE VEICULOS"/>
  </r>
  <r>
    <x v="7"/>
    <s v="JULHO"/>
    <s v="VITOR DUARTE"/>
    <s v="LOCALIZA FLEET S.A. FATIRA AGMTZ-2577199-MULTA DE TRANSITO"/>
    <n v="-233.26"/>
    <x v="0"/>
    <s v="ALUGUEL DE VEICULOS"/>
  </r>
  <r>
    <x v="2"/>
    <s v="JULHO"/>
    <s v="HSERV TERCEIRIZADOS"/>
    <s v="MOVIDA PARTICIPACOES S.A."/>
    <n v="-293.45999999999998"/>
    <x v="0"/>
    <s v="ALUGUEL DE VEICULOS"/>
  </r>
  <r>
    <x v="2"/>
    <s v="JULHO"/>
    <s v="HSERV CABREUVA"/>
    <s v="LM SUPER TROCA DE OLEO"/>
    <n v="-180"/>
    <x v="0"/>
    <s v="MANUTENÇÃO"/>
  </r>
  <r>
    <x v="2"/>
    <s v="JULHO"/>
    <s v="HENRIQUE JEAN"/>
    <s v="DAIANI SILVA RODRIGUES"/>
    <n v="-1673.53"/>
    <x v="0"/>
    <s v="RESCISÕES"/>
  </r>
  <r>
    <x v="2"/>
    <s v="JULHO"/>
    <s v="HSERV TERCEIRIZADOS"/>
    <s v="VALMIR DOS SANTOS"/>
    <n v="-3012.37"/>
    <x v="0"/>
    <s v="RESCISÕES"/>
  </r>
  <r>
    <x v="2"/>
    <s v="JULHO"/>
    <s v="HSERV LIMPEZA"/>
    <s v="JESSICA NATALIA APARECIDA TEODORO"/>
    <n v="-1442.11"/>
    <x v="0"/>
    <s v="RESCISÕES"/>
  </r>
  <r>
    <x v="2"/>
    <s v="JULHO"/>
    <s v="HSERV TECNOLOGIA"/>
    <s v="LUZIA DE CARVALHO"/>
    <n v="-2146.87"/>
    <x v="0"/>
    <s v="RESCISÕES"/>
  </r>
  <r>
    <x v="2"/>
    <s v="JULHO"/>
    <s v="HSERV COMBINADOS"/>
    <s v="MARIA DE JESUS SANTOS"/>
    <n v="-194.6"/>
    <x v="0"/>
    <s v="VALE TRANSPORTE"/>
  </r>
  <r>
    <x v="2"/>
    <s v="JULHO"/>
    <s v="HSERV TECNOLOGIA"/>
    <s v="ALEX APARECIDO DE MORAES"/>
    <n v="-225.6"/>
    <x v="0"/>
    <s v="VALE TRANSPORTE"/>
  </r>
  <r>
    <x v="2"/>
    <s v="JULHO"/>
    <s v="HSERV COMBINADOS"/>
    <s v="WAGNER BIONDO"/>
    <n v="-225.6"/>
    <x v="0"/>
    <s v="VALE TRANSPORTE"/>
  </r>
  <r>
    <x v="2"/>
    <s v="JULHO"/>
    <s v="HSERV COMBINADOS"/>
    <s v="KELLY LOPES DA SILVA"/>
    <n v="-267"/>
    <x v="0"/>
    <s v="VALE TRANSPORTE"/>
  </r>
  <r>
    <x v="2"/>
    <s v="JULHO"/>
    <s v="VITOR DUARTE"/>
    <s v="IFOOD.COM AGENCIA DE RESTAURANTES ONLINE S.A."/>
    <n v="-225.6"/>
    <x v="0"/>
    <s v="VALE COMBUSTIVEL"/>
  </r>
  <r>
    <x v="2"/>
    <s v="JULHO"/>
    <s v="HSERV CLEAN"/>
    <s v="LARAH MELYSSA ALVES DE SOUSA  NO VALOR DE R$ 921,71 A DAIANE CRISTINA ANDRADE - BELLART"/>
    <n v="-368.68"/>
    <x v="0"/>
    <s v="SALARIOS"/>
  </r>
  <r>
    <x v="2"/>
    <s v="JULHO"/>
    <s v="HSERV COMBINADOS"/>
    <s v="TAMIRES DA SILVA CAPUCHINHO"/>
    <n v="-3675"/>
    <x v="0"/>
    <s v="FÉRIAS"/>
  </r>
  <r>
    <x v="2"/>
    <s v="JULHO"/>
    <s v="HSERV CABREUVA"/>
    <s v="BANCO SAFRA S A"/>
    <n v="-6441.1"/>
    <x v="0"/>
    <s v="EMPRESTIMO "/>
  </r>
  <r>
    <x v="2"/>
    <s v="JULHO"/>
    <s v="HSERV CABREUVA"/>
    <s v="PAPEL E CIA"/>
    <n v="-1163.28"/>
    <x v="0"/>
    <s v="MATERIAL DE ESCRITÓRIO"/>
  </r>
  <r>
    <x v="2"/>
    <s v="JULHO"/>
    <s v="HSERV CABREUVA"/>
    <s v="PAPEL E CIA"/>
    <n v="-196.43"/>
    <x v="0"/>
    <s v="MATERIAL DE ESCRITÓRIO"/>
  </r>
  <r>
    <x v="2"/>
    <s v="JULHO"/>
    <s v="HSERV CLEAN"/>
    <s v="J.E. COMERCIO E SOLUCOES LTDA"/>
    <n v="-845.1"/>
    <x v="0"/>
    <s v="MERCADORIAS PARA REVENDA"/>
  </r>
  <r>
    <x v="2"/>
    <s v="JULHO"/>
    <s v="HSERV CLEAN"/>
    <s v="J.E. COMERCIO E SOLUCOES LTDA"/>
    <n v="-3534.54"/>
    <x v="0"/>
    <s v="MERCADORIAS PARA REVENDA"/>
  </r>
  <r>
    <x v="1"/>
    <s v="JULHO"/>
    <s v="HSERV LIMPEZA"/>
    <s v="HIGOR HENRIQUE SANTOS"/>
    <n v="-62.28"/>
    <x v="0"/>
    <s v="VALE ALIMENTAÇÃO"/>
  </r>
  <r>
    <x v="1"/>
    <s v="JULHO"/>
    <s v="HSERV REPRESENTACOES"/>
    <s v="YAIKEL MARTINEZ LEON"/>
    <n v="-62.28"/>
    <x v="0"/>
    <s v="VALE ALIMENTAÇÃO"/>
  </r>
  <r>
    <x v="1"/>
    <s v="JULHO"/>
    <s v="HSERV TERCEIRIZADOS"/>
    <s v="RAFAEL MOREIRA ANDRELINO"/>
    <n v="-62.28"/>
    <x v="0"/>
    <s v="VALE ALIMENTAÇÃO"/>
  </r>
  <r>
    <x v="1"/>
    <s v="JULHO"/>
    <s v="HSERV CLEAN"/>
    <s v="FRANCINI MARQUES DA SILVA"/>
    <n v="-207.6"/>
    <x v="0"/>
    <s v="VALE ALIMENTAÇÃO"/>
  </r>
  <r>
    <x v="1"/>
    <s v="JULHO"/>
    <s v="HSERV CLEAN"/>
    <s v="MARIA JOSE CONCEICAO DA SILVA"/>
    <n v="-40"/>
    <x v="0"/>
    <s v="VALE TRANSPORTE"/>
  </r>
  <r>
    <x v="1"/>
    <s v="JULHO"/>
    <s v="HSERV LIMPEZA"/>
    <s v="HIGOR HENRIQUE SANTOS"/>
    <n v="-100"/>
    <x v="0"/>
    <s v="VALE TRANSPORTE"/>
  </r>
  <r>
    <x v="1"/>
    <s v="JULHO"/>
    <s v="HSERV REPRESENTACOES"/>
    <s v="MARIA JOSE DA SILVA SANTOS"/>
    <n v="-110"/>
    <x v="0"/>
    <s v="VALE TRANSPORTE"/>
  </r>
  <r>
    <x v="1"/>
    <s v="JULHO"/>
    <s v="HSERV TECNOLOGIA"/>
    <s v="MATHEUS SANT ANNA"/>
    <n v="-30"/>
    <x v="0"/>
    <s v="VALE TRANSPORTE"/>
  </r>
  <r>
    <x v="1"/>
    <s v="JULHO"/>
    <s v="HSERV COMBINADOS"/>
    <s v="JENIFFER ADRIELE SANTOS SERGIO"/>
    <n v="-40"/>
    <x v="0"/>
    <s v="FT"/>
  </r>
  <r>
    <x v="4"/>
    <s v="JULHO"/>
    <s v="HSERV TERCEIRIZADOS"/>
    <s v="LOTUS CENTRAL DE DISTRIBUICAO DE HIGIENICOS LTDA- NF  111185 -PARCELA 2/3 VENCIMENTO 01/07/2025"/>
    <n v="-902.17"/>
    <x v="0"/>
    <s v="MERCADORIAS PARA REVENDA"/>
  </r>
  <r>
    <x v="6"/>
    <s v="JULHO"/>
    <s v="HENRIQUE JEAN"/>
    <s v="GRACE KELLY CUSTODIO AURELIANO"/>
    <n v="-272.20999999999998"/>
    <x v="0"/>
    <s v="RESCISÕES"/>
  </r>
  <r>
    <x v="6"/>
    <s v="JULHO"/>
    <s v="HSERV COMBINADOS"/>
    <s v="FAGNER LOPES DA SILVA"/>
    <n v="-403.6"/>
    <x v="0"/>
    <s v="RESCISÕES"/>
  </r>
  <r>
    <x v="6"/>
    <s v="JULHO"/>
    <s v="HSERV TECNOLOGIA"/>
    <s v="MANOEL ALVES DE ANDRADE"/>
    <n v="-135.99"/>
    <x v="0"/>
    <s v="RESCISÕES"/>
  </r>
  <r>
    <x v="6"/>
    <s v="JULHO"/>
    <s v="HSERV CLEAN"/>
    <s v="SOFT WORKS EPI CALCADOS LTDA"/>
    <n v="-1723"/>
    <x v="0"/>
    <s v="UNIFORMES"/>
  </r>
  <r>
    <x v="15"/>
    <s v="JULHO"/>
    <s v="HSERV TERCEIRIZADOS"/>
    <s v="LOTUS CENTRAL DE DISTRIBUICAO DE HIGIENICOS LTDA-NF 143048"/>
    <n v="-1292.549945"/>
    <x v="0"/>
    <s v="MERCADORIAS PARA REVENDA"/>
  </r>
  <r>
    <x v="15"/>
    <s v="JULHO"/>
    <s v="VITOR DUARTE"/>
    <s v="ALTOLIM COMERCIAL ASSIS EIRELI - NF 40326"/>
    <n v="-110.4"/>
    <x v="0"/>
    <s v="MERCADORIAS PARA REVENDA"/>
  </r>
  <r>
    <x v="35"/>
    <s v="JULHO"/>
    <s v="HENRIQUE JEAN"/>
    <s v="DARE- HENRIQUE JEAN- PNº do protocolo: SPP2530984205"/>
    <n v="-211.01"/>
    <x v="0"/>
    <s v="IMPOSTO"/>
  </r>
  <r>
    <x v="35"/>
    <s v="JULHO"/>
    <s v="HSERV TERCEIRIZADOS"/>
    <s v="RFP MATERIAIS PARA CONSTRUCAO LTDA NF 3600"/>
    <n v="-318.43"/>
    <x v="0"/>
    <s v="MANUTENÇÃO"/>
  </r>
  <r>
    <x v="35"/>
    <s v="JULHO"/>
    <s v="HSERV COMBINADOS"/>
    <s v="MARIA DA CONCEICAO DE BARROS LOGERIO-VT 1 DIA - DEVIDO RECARGA NÃO TER ENTRADO"/>
    <n v="-12.3"/>
    <x v="0"/>
    <s v="VALE TRANSPORTE"/>
  </r>
  <r>
    <x v="35"/>
    <s v="JULHO"/>
    <s v="VITOR DUARTE"/>
    <s v="PRIMETEC TECNOLOGIA LTDA"/>
    <n v="-535.1"/>
    <x v="0"/>
    <s v="SISTEMA"/>
  </r>
  <r>
    <x v="15"/>
    <s v="JULHO"/>
    <s v="HSERV CLEAN"/>
    <s v="GILBERTO SILVA SANTOS-VALE TRANSPORTE DO DIA 28/07 AO DIA 07/08 R$10,00 POR DIA  JARDINEIRO ADMISSÃO"/>
    <n v="-90"/>
    <x v="0"/>
    <s v="VALE TRANSPORTE"/>
  </r>
  <r>
    <x v="15"/>
    <s v="JULHO"/>
    <s v="HSERV REPRESENTACOES"/>
    <s v="LAURINDA MARIA SANTOS NEVES-VALE TRANSPORTE DO DIA 28/07 AO DIA 07/08 R$10,00 POR DIA ADMISSÃO VETTOR"/>
    <n v="-90"/>
    <x v="0"/>
    <s v="VALE TRANSPORTE"/>
  </r>
  <r>
    <x v="15"/>
    <s v="JULHO"/>
    <s v="HSERV TERCEIRIZADOS"/>
    <s v="FABIA REGIANE AMARO CABRAL-vale transporte do dia 28/07 ao dia 07/08 R$10,00 POR DIA  ADMISSÃO RAI"/>
    <n v="-90"/>
    <x v="0"/>
    <s v="VALE TRANSPORTE"/>
  </r>
  <r>
    <x v="15"/>
    <s v="JULHO"/>
    <s v="HSERV CLEAN"/>
    <s v="SOFT WORKS EPI CALCADOS LTDA NF  216358"/>
    <n v="-1591.2"/>
    <x v="0"/>
    <s v="UNIFORMES"/>
  </r>
  <r>
    <x v="30"/>
    <s v="AGOSTO"/>
    <s v="HSERV CABREUVA"/>
    <s v="ELEKTRO SALA 16"/>
    <n v="-282.38"/>
    <x v="0"/>
    <s v="ENERGIA ELETRICA"/>
  </r>
  <r>
    <x v="30"/>
    <s v="AGOSTO"/>
    <s v="HSERV CABREUVA"/>
    <s v="ELEKTRO SALA 17"/>
    <n v="-254.71"/>
    <x v="0"/>
    <s v="ENERGIA ELETRICA"/>
  </r>
  <r>
    <x v="30"/>
    <s v="AGOSTO"/>
    <s v="HSERV CABREUVA"/>
    <s v="ELEKTRO SALA 18"/>
    <n v="-123.23"/>
    <x v="0"/>
    <s v="ENERGIA ELETRICA"/>
  </r>
  <r>
    <x v="30"/>
    <s v="AGOSTO"/>
    <s v="HSERV CABREUVA"/>
    <s v="ELEKTRO LOJA CLEAN"/>
    <n v="-177.95"/>
    <x v="0"/>
    <s v="ENERGIA ELETRICA"/>
  </r>
  <r>
    <x v="30"/>
    <s v="AGOSTO"/>
    <s v="VITOR DUARTE"/>
    <s v="VIVA FOOD R E LTDA"/>
    <n v="-17235"/>
    <x v="0"/>
    <s v="VALE ALIMENTAÇÃO"/>
  </r>
  <r>
    <x v="30"/>
    <s v="AGOSTO"/>
    <s v="HSERV CLEAN"/>
    <s v="SPARTAN DO BRASIL PRODUTOS QUIMICOS LTDA NF 256344"/>
    <n v="-10505.32"/>
    <x v="0"/>
    <s v="MERCADORIAS PARA REVENDA"/>
  </r>
  <r>
    <x v="30"/>
    <s v="AGOSTO"/>
    <s v="HSERV TERCEIRIZADOS"/>
    <s v="MOVIDA PARTICIPACOES S.A.- FATURA 07116307 -MULTA PLACA TJL4F14"/>
    <n v="-312.38"/>
    <x v="0"/>
    <s v="ALUGUEL DE VEICULOS"/>
  </r>
  <r>
    <x v="30"/>
    <s v="AGOSTO"/>
    <s v="HSERV COMBINADOS"/>
    <s v="LOCALIZA FLEET S.-VENCIMENTO 01/08"/>
    <n v="-233.26"/>
    <x v="0"/>
    <s v="ALUGUEL DE VEICULOS"/>
  </r>
  <r>
    <x v="30"/>
    <s v="AGOSTO"/>
    <s v="HSERV COMBINADOS"/>
    <s v="LOCALIZA FLEET S.-VENCIMENTO 01/08- FATURA AGMTZ-2605527-PLACA RVF1A42"/>
    <n v="-2668.69"/>
    <x v="0"/>
    <s v="ALUGUEL DE VEICULOS"/>
  </r>
  <r>
    <x v="30"/>
    <s v="AGOSTO"/>
    <s v="HSERV TERCEIRIZADOS"/>
    <s v="STAR CLEAN PRO INDUSTRIA E COMERCIO NF 10927"/>
    <n v="-1117.53"/>
    <x v="0"/>
    <s v="MERCADORIAS PARA REVENDA"/>
  </r>
  <r>
    <x v="30"/>
    <s v="AGOSTO"/>
    <s v="VITOR DUARTE"/>
    <s v="ALTOLIM COMERCIAL ASSIS EIRELI - NF 40442"/>
    <n v="-68.709999999999994"/>
    <x v="0"/>
    <s v="MERCADORIAS PARA REVENDA"/>
  </r>
  <r>
    <x v="46"/>
    <s v="AGOSTO"/>
    <s v="HSERV CABREUVA"/>
    <s v="BANCO ITAUCARD S.A.- "/>
    <n v="-3809.98"/>
    <x v="0"/>
    <s v="FINANCIAMENTO"/>
  </r>
  <r>
    <x v="46"/>
    <s v="AGOSTO"/>
    <s v="HSERV CLEAN"/>
    <s v="J.E. COMERCIO E SOLUCOES LTDA"/>
    <n v="-270"/>
    <x v="0"/>
    <s v="MERCADORIAS PARA REVENDA"/>
  </r>
  <r>
    <x v="46"/>
    <s v="AGOSTO"/>
    <s v="HSERV TERCEIRIZADOS"/>
    <s v="LOTUS CENTRAL DE DISTRIBUICAO DE HIGIENICOS LTDA- NF 155019"/>
    <n v="-800.37"/>
    <x v="0"/>
    <s v="MERCADORIAS PARA REVENDA"/>
  </r>
  <r>
    <x v="46"/>
    <s v="AGOSTO"/>
    <s v="HSERV TERCEIRIZADOS"/>
    <s v="LOTUS CENTRAL DE DISTRIBUICAO DE HIGIENICOS LTDA - NF 143048"/>
    <n v="-1292.55"/>
    <x v="0"/>
    <s v="MERCADORIAS PARA REVENDA"/>
  </r>
  <r>
    <x v="46"/>
    <s v="AGOSTO"/>
    <s v="HSERV COMBINADOS"/>
    <s v="WILSON ZANON-VALE TRANSPORTE DE AGOSTO  R$10,80 POR DIA  CAMPINAS"/>
    <n v="-151.19999999999999"/>
    <x v="0"/>
    <s v="VALE TRANSPORTE"/>
  </r>
  <r>
    <x v="46"/>
    <s v="AGOSTO"/>
    <s v="HSERV COMBINADOS"/>
    <s v="ANDRE VICENTE TAVARES-VALE TRANSPORTE DE AGOSTO  R$12,80 POR DIA  CAMPINAS"/>
    <n v="-179.2"/>
    <x v="0"/>
    <s v="VALE TRANSPORTE"/>
  </r>
  <r>
    <x v="46"/>
    <s v="AGOSTO"/>
    <s v="HSERV COMBINADOS"/>
    <s v="ORVANDA MARIA VITALINO FIGUEROA-VALE TRANSPORTE DO DIA 04/08 AO DIA  20/08 LOJA 16 R$12,,80 POR DIA"/>
    <n v="-192"/>
    <x v="0"/>
    <s v="VALE TRANSPORTE"/>
  </r>
  <r>
    <x v="46"/>
    <s v="AGOSTO"/>
    <s v="HSERV REPRESENTACOES"/>
    <s v="JOSELITA DA SILVA-vale transporte do dia 04/08 ao dia 13/08 vettor admissão dia 01/08"/>
    <n v="-80"/>
    <x v="0"/>
    <s v="VALE TRANSPORTE"/>
  </r>
  <r>
    <x v="46"/>
    <s v="AGOSTO"/>
    <s v="HENRIQUE JEAN"/>
    <s v="IOF"/>
    <n v="-1.42"/>
    <x v="0"/>
    <s v="ENCARGOS"/>
  </r>
  <r>
    <x v="47"/>
    <s v="AGOSTO"/>
    <s v="HSERV TERCERIZADOS"/>
    <s v="TAR PLANO ADAPT 3 05/24"/>
    <n v="-134.97999999999999"/>
    <x v="0"/>
    <s v="TARIFA BANCARIA"/>
  </r>
  <r>
    <x v="47"/>
    <s v="AGOSTO"/>
    <s v="HSERV LIMPEZA"/>
    <s v="TAR PLANO ADAPT 3 05/24"/>
    <n v="-389"/>
    <x v="0"/>
    <s v="TARIFA BANCARIA"/>
  </r>
  <r>
    <x v="47"/>
    <s v="AGOSTO"/>
    <s v="HSERV REPRESENTAÇÃO"/>
    <s v="TAR PLANO ADAPT 3 05/24"/>
    <n v="-159"/>
    <x v="0"/>
    <s v="TARIFA BANCARIA"/>
  </r>
  <r>
    <x v="36"/>
    <s v="AGOSTO"/>
    <s v="HENRIQUE JEAN"/>
    <s v="IOF "/>
    <n v="-1.42"/>
    <x v="0"/>
    <s v="ENCARGOS"/>
  </r>
  <r>
    <x v="48"/>
    <s v="AGOSTO"/>
    <s v="HSERV TERCEIRIZADOS"/>
    <s v="LOTUS CENTRAL DE DISTRIBUICAO DE HIGIENICOS LTDA NF 138.143"/>
    <n v="-1800.31"/>
    <x v="0"/>
    <s v="MERCADORIAS PARA REVENDA"/>
  </r>
  <r>
    <x v="48"/>
    <s v="AGOSTO"/>
    <s v="HSERV LIMPEZA"/>
    <s v="WELLINGTON OLIVEIRA BORIAN DA CRUZ"/>
    <n v="-323"/>
    <x v="0"/>
    <s v="VALE TRANSPORTE"/>
  </r>
  <r>
    <x v="36"/>
    <s v="AGOSTO"/>
    <s v="HSERV TERCERIZADOS"/>
    <s v="CRISTIANA DOS SANTOS  -COBRINDO AFASTAMENTO DA REGIVANIA PEREIRA DA SILVA -RANCHARIA LOJA 12"/>
    <n v="-1200"/>
    <x v="0"/>
    <s v="FT"/>
  </r>
  <r>
    <x v="36"/>
    <s v="AGOSTO"/>
    <s v="HSERV TERCERIZADOS"/>
    <s v="HIABÁ DE OLIVEIRA COBRINDO FÉRIAS DA PATRICIA XAVIER-MARTINOPOLIS - LOJA 38"/>
    <n v="-1000"/>
    <x v="0"/>
    <s v="FT"/>
  </r>
  <r>
    <x v="36"/>
    <s v="AGOSTO"/>
    <s v="HSERV TERCERIZADOS"/>
    <s v="VANESSA PEREIRA AMBROSIO-COBRINDO FÉRIAS DA JOICE CARREIRO ORTIZ-LOJA CANDIDO MOTA LOJA 11"/>
    <n v="-1700"/>
    <x v="0"/>
    <s v="FT"/>
  </r>
  <r>
    <x v="36"/>
    <s v="AGOSTO"/>
    <s v="HSERV TERCERIZADOS"/>
    <s v="GLEYCE JAQUELINE DOS REIS OLIVEIRA  -COBRINDO AFASTAMENTO DA BRUNA MAIARA DA SILVA TEODORO-ASSIS - LOJA 20 MAX "/>
    <n v="-1053"/>
    <x v="0"/>
    <s v="FT"/>
  </r>
  <r>
    <x v="36"/>
    <s v="AGOSTO"/>
    <s v="HSERV TERCERIZADOS"/>
    <s v="ERIKA DE PAULA SERAFIM  -APOIO EXTRA REFORMA -REFORMA DA LOJA CONFORME CONTRATO-C.MOTA LOJA 11"/>
    <n v="-900"/>
    <x v="0"/>
    <s v="FT"/>
  </r>
  <r>
    <x v="36"/>
    <s v="AGOSTO"/>
    <s v="HSERV TERCERIZADOS"/>
    <s v="ANAY VICTORIA DIAS NEIRA - APOIO EXTRA REFORMA -REFORMA DA LOJA CONFORME  CONTRATO-C.MOTA LOJA 09"/>
    <n v="-900"/>
    <x v="0"/>
    <s v="FT"/>
  </r>
  <r>
    <x v="36"/>
    <s v="AGOSTO"/>
    <s v="HENRIQUE JEAN"/>
    <s v="CONDOMINIO NEX ONE CONSOLAÇÃO BELAS ARTES- ROBOTTON"/>
    <n v="-700.05"/>
    <x v="0"/>
    <s v="RESERVA"/>
  </r>
  <r>
    <x v="48"/>
    <s v="AGOSTO"/>
    <s v="HSERV CABREUVA"/>
    <s v="SALARIO CLT, PENSÃO ALIMENTICIA, BONUS-"/>
    <n v="-471317.52"/>
    <x v="0"/>
    <s v="SALARIOS"/>
  </r>
  <r>
    <x v="48"/>
    <s v="AGOSTO"/>
    <s v="HSERV CABREUVA"/>
    <s v="ESTER CARDOZO DE LIMA "/>
    <n v="-500"/>
    <x v="0"/>
    <s v="SALARIOS"/>
  </r>
  <r>
    <x v="48"/>
    <s v="AGOSTO"/>
    <s v="HENRIQUE JEAN"/>
    <s v="PATRICIA MARTON"/>
    <n v="-444.35"/>
    <x v="0"/>
    <s v="RESCISÕES"/>
  </r>
  <r>
    <x v="48"/>
    <s v="AGOSTO"/>
    <s v="HSERV CABREUVA"/>
    <s v="SALARIOS MEI  "/>
    <n v="-1900.72"/>
    <x v="0"/>
    <s v="SALARIOS"/>
  </r>
  <r>
    <x v="49"/>
    <s v="AGOSTO"/>
    <s v="HSERV CLEAN"/>
    <s v="EMPRESTIMO HSERV CLEAN BRADESCO -PARCELA MENSAL- VENCIDO 14/08/2025"/>
    <n v="-5872.92"/>
    <x v="0"/>
    <s v="EMPRESTIMO "/>
  </r>
  <r>
    <x v="36"/>
    <s v="AGOSTO"/>
    <s v="HSERV COMBINADOS "/>
    <s v="FT ASSIS E REGIÃO-REDE AVENIDA"/>
    <n v="-5600"/>
    <x v="0"/>
    <s v="FT"/>
  </r>
  <r>
    <x v="50"/>
    <s v="AGOSTO"/>
    <s v="HSERV CLEAN"/>
    <s v="SPARTAN DO BRASIL PRODUTOS QUIMICOS LTDA NF 256.344"/>
    <n v="-10505.35"/>
    <x v="0"/>
    <s v="MERCADORIAS PARA REVENDA"/>
  </r>
  <r>
    <x v="50"/>
    <s v="AGOSTO"/>
    <s v="HSERV TERCEIRIZADOS"/>
    <s v="STAR CLEAN PRO INDUSTRIA E COMERCIO DE EQUIPAMENTOS DE LIMPEZA- NF 10927-PRODUTOS PARA REVENDA"/>
    <n v="-1117.52"/>
    <x v="0"/>
    <s v="MERCADORIAS PARA REVENDA"/>
  </r>
  <r>
    <x v="50"/>
    <s v="AGOSTO"/>
    <s v="VITOR DUARTE"/>
    <s v="VIVA FOOD R E LTDA"/>
    <n v="-17235"/>
    <x v="0"/>
    <s v="VALE ALIMENTAÇÃO"/>
  </r>
  <r>
    <x v="51"/>
    <s v="AGOSTO"/>
    <s v="HSERV TECNOLOGIA"/>
    <s v="PAPEL E CIA NF 20.362"/>
    <n v="-394.62"/>
    <x v="0"/>
    <s v="MATERIAL DE ESCRITÓRIO"/>
  </r>
  <r>
    <x v="51"/>
    <s v="AGOSTO"/>
    <s v="HENRIQUE JEAN"/>
    <s v="BRASIL MEDICINA E SAUDE PREVENTIVA ORGANIZACAO, GESTAO E CON"/>
    <n v="-494.62"/>
    <x v="0"/>
    <s v="SINDICATO"/>
  </r>
  <r>
    <x v="51"/>
    <s v="AGOSTO"/>
    <s v="HSERV CABREUVA"/>
    <s v="BRASIL MEDICINA E SAUDE PREVENTIVA ORGANIZACAO, GESTAO E CON"/>
    <n v="-883.25"/>
    <x v="0"/>
    <s v="SINDICATO"/>
  </r>
  <r>
    <x v="51"/>
    <s v="AGOSTO"/>
    <s v="HSERV CLEAN"/>
    <s v="BRASIL MEDICINA E SAUDE PREVENTIVA ORGANIZACAO, GESTAO E CON"/>
    <n v="-847.92"/>
    <x v="0"/>
    <s v="SINDICATO"/>
  </r>
  <r>
    <x v="51"/>
    <s v="AGOSTO"/>
    <s v="HSERV COMBINADOS"/>
    <s v="BRASIL MEDICINA E SAUDE PREVENTIVA ORGANIZACAO, GESTAO E CON"/>
    <n v="-1872.49"/>
    <x v="0"/>
    <s v="SINDICATO"/>
  </r>
  <r>
    <x v="51"/>
    <s v="AGOSTO"/>
    <s v="HSERV LIMPEZA"/>
    <s v="BRASIL MEDICINA E SAUDE PREVENTIVA ORGANIZACAO, GESTAO E CON"/>
    <n v="-600.61"/>
    <x v="0"/>
    <s v="SINDICATO"/>
  </r>
  <r>
    <x v="51"/>
    <s v="AGOSTO"/>
    <s v="HSERV REPRESENTACOES"/>
    <s v="BRASIL MEDICINA E SAUDE PREVENTIVA ORGANIZACAO, GESTAO E CON"/>
    <n v="-671.27"/>
    <x v="0"/>
    <s v="SINDICATO"/>
  </r>
  <r>
    <x v="51"/>
    <s v="AGOSTO"/>
    <s v="HSERV TECNOLOGIA"/>
    <s v="BRASIL MEDICINA E SAUDE PREVENTIVA ORGANIZACAO, GESTAO E CON"/>
    <n v="-1236.55"/>
    <x v="0"/>
    <s v="SINDICATO"/>
  </r>
  <r>
    <x v="51"/>
    <s v="AGOSTO"/>
    <s v="HSERV TERCEIRIZADOS"/>
    <s v="BRASIL MEDICINA E SAUDE PREVENTIVA ORGANIZACAO, GESTAO E CON"/>
    <n v="-812.59"/>
    <x v="0"/>
    <s v="SINDICATO"/>
  </r>
  <r>
    <x v="51"/>
    <s v="AGOSTO"/>
    <s v="VITOR DUARTE"/>
    <s v="BRASIL MEDICINA E SAUDE PREVENTIVA ORGANIZACAO, GESTAO E CON"/>
    <n v="-1059.9000000000001"/>
    <x v="0"/>
    <s v="SINDICATO"/>
  </r>
  <r>
    <x v="51"/>
    <s v="AGOSTO"/>
    <s v="HSERV CABREUVA"/>
    <s v="SERGIO LUIZ BERTOLO"/>
    <n v="-325.11"/>
    <x v="0"/>
    <s v="ALUGUEL DE IMOVEIS"/>
  </r>
  <r>
    <x v="51"/>
    <s v="AGOSTO"/>
    <s v="VITOR DUARTE"/>
    <s v="TAIRA SAITO LOPES -MARCASA-SEGURANÇA VEPAKUM"/>
    <n v="-10500"/>
    <x v="0"/>
    <s v="SEGURANÇAS"/>
  </r>
  <r>
    <x v="40"/>
    <s v="AGOSTO"/>
    <s v="HSERV COMBINADOS "/>
    <s v="JHONNY WALACE"/>
    <n v="-170.5"/>
    <x v="0"/>
    <s v="COMISSOES"/>
  </r>
  <r>
    <x v="52"/>
    <s v="AGOSTO"/>
    <s v="HENRIQUE JEAN"/>
    <s v="PROLABORE CRISTIANE"/>
    <n v="-1000"/>
    <x v="0"/>
    <s v="PROLABORE"/>
  </r>
  <r>
    <x v="52"/>
    <s v="AGOSTO"/>
    <s v="HENRIQUE JEAN"/>
    <s v="PROLABORE  GUTHIERRI"/>
    <n v="-1000"/>
    <x v="0"/>
    <s v="PROLABORE"/>
  </r>
  <r>
    <x v="51"/>
    <s v="AGOSTO"/>
    <s v="HENRIQUE JEAN"/>
    <s v="PROLABORE SOCIOS MARIA JOSE"/>
    <n v="-1000"/>
    <x v="0"/>
    <s v="PROLABORE"/>
  </r>
  <r>
    <x v="51"/>
    <s v="AGOSTO"/>
    <s v="HENRIQUE JEAN"/>
    <s v="CARTÃO VITOR"/>
    <n v="-9000"/>
    <x v="0"/>
    <s v="PROLABORE"/>
  </r>
  <r>
    <x v="51"/>
    <s v="AGOSTO"/>
    <s v="HSERV CLEAN"/>
    <s v="INTERMEDICA"/>
    <n v="-9146.82"/>
    <x v="0"/>
    <s v="CONVENIO MEDICO"/>
  </r>
  <r>
    <x v="51"/>
    <s v="AGOSTO"/>
    <s v="HSERV CABREUVA"/>
    <s v="AUTO POSTO JARDIM DAS HORTENCIA NF 908"/>
    <n v="-4812.22"/>
    <x v="0"/>
    <s v="COMBUSTIVEL E PEDAGIO"/>
  </r>
  <r>
    <x v="51"/>
    <s v="AGOSTO"/>
    <s v="HENRIQUE JEAN ND"/>
    <s v="FIT ADM (VIDA NOVA) 43-02"/>
    <n v="-441.64"/>
    <x v="0"/>
    <s v="RESERVA"/>
  </r>
  <r>
    <x v="51"/>
    <s v="AGOSTO"/>
    <s v="VITOR  DUARTE"/>
    <s v="RONDAWEB CONEXOES LTDA"/>
    <n v="-250.27"/>
    <x v="0"/>
    <s v="SISTEMA"/>
  </r>
  <r>
    <x v="53"/>
    <s v="SETEMBRO"/>
    <s v="VITOR DUARTE"/>
    <s v="CRISTIANA APARECIDA PEREIRA LIMA"/>
    <n v="-252"/>
    <x v="0"/>
    <s v="VALE TRANSPORTE"/>
  </r>
  <r>
    <x v="53"/>
    <s v="SETEMBRO"/>
    <s v="VITOR DUARTE"/>
    <s v="SUELEN DOS REIS FOSTINO FELIX"/>
    <n v="-252"/>
    <x v="0"/>
    <s v="VALE TRANSPORTE"/>
  </r>
  <r>
    <x v="53"/>
    <s v="SETEMBRO"/>
    <s v="HSERV COMBINADOS"/>
    <s v="REBECCA ELONICE"/>
    <n v="-123"/>
    <x v="0"/>
    <s v="VALE TRANSPORTE"/>
  </r>
  <r>
    <x v="53"/>
    <s v="SETEMBRO"/>
    <s v="HSERV TERCEIRIZADOS"/>
    <s v="RAFAEL DA SILVA RIBEIRO"/>
    <n v="-70"/>
    <x v="0"/>
    <s v="VALE TRANSPORTE"/>
  </r>
  <r>
    <x v="53"/>
    <s v="SETEMBRO"/>
    <s v="HSERV TERCEIRIZADOS"/>
    <s v="JOSIMARA LINO DOS SANTOS"/>
    <n v="-70"/>
    <x v="0"/>
    <s v="VALE TRANSPORTE"/>
  </r>
  <r>
    <x v="53"/>
    <s v="SETEMBRO"/>
    <s v="HSERV TERCEIRIZADOS"/>
    <s v="SARA ALMEIDA LOPES"/>
    <n v="-70"/>
    <x v="0"/>
    <s v="VALE TRANSPORTE"/>
  </r>
  <r>
    <x v="53"/>
    <s v="SETEMBRO"/>
    <s v="HSERV TERCEIRIZADOS"/>
    <s v="KEDLEI PATRICK FERREIRA"/>
    <n v="-70"/>
    <x v="0"/>
    <s v="VALE TRANSPORTE"/>
  </r>
  <r>
    <x v="54"/>
    <s v="OUTUBRO"/>
    <s v="HSERV TERCEIRIZADOS"/>
    <s v="MOVIDA PARTICIPACOES S.A. 18/08/2025"/>
    <n v="-2599.85"/>
    <x v="0"/>
    <s v="ALUGUEL DE VEICULOS"/>
  </r>
  <r>
    <x v="17"/>
    <s v="AGOSTO"/>
    <s v="VITOR DUARTE"/>
    <s v="LOCALIZA FLEET S.A.-VENCIMENTO 10/08/2025"/>
    <n v="-238.69"/>
    <x v="0"/>
    <s v="ALUGUEL DE VEICULOS"/>
  </r>
  <r>
    <x v="17"/>
    <s v="AGOSTO"/>
    <s v="VITOR DUARTE"/>
    <s v="LOCALIZA FLEET S.A.-VENCIMENTO 10/08/2025"/>
    <n v="-132.15"/>
    <x v="0"/>
    <s v="ALUGUEL DE VEICULOS"/>
  </r>
  <r>
    <x v="17"/>
    <s v="AGOSTO"/>
    <s v="VITOR DUARTE"/>
    <s v="LOCALIZA FLEET S.A.-VENCIMENTO 10/08/2025"/>
    <n v="-345.31"/>
    <x v="0"/>
    <s v="ALUGUEL DE VEICULOS"/>
  </r>
  <r>
    <x v="17"/>
    <s v="AGOSTO"/>
    <s v="VITOR DUARTE"/>
    <s v="LOCALIZA FLEET S.A.-VENCIMENTO 10/08/2025"/>
    <n v="-265.85000000000002"/>
    <x v="0"/>
    <s v="ALUGUEL DE VEICULOS"/>
  </r>
  <r>
    <x v="17"/>
    <s v="AGOSTO"/>
    <s v="VITOR DUARTE"/>
    <s v="LOCALIZA FLEET S.A.-VENCIMENTO 10/08/2025"/>
    <n v="-132.15"/>
    <x v="0"/>
    <s v="ALUGUEL DE VEICULOS"/>
  </r>
  <r>
    <x v="51"/>
    <s v="AGOSTO"/>
    <s v="VITOR DUARTE"/>
    <s v="ALTOLIM COMERCIAL ASSIS EIRELI - NF 40.577"/>
    <n v="-61.41"/>
    <x v="0"/>
    <s v="MERCADORIAS PARA REVENDA"/>
  </r>
  <r>
    <x v="51"/>
    <s v="AGOSTO"/>
    <s v="HSERV CLEAN"/>
    <s v="J.E. COMERCIO E SOLUCOES LTDA NF 10.991"/>
    <n v="-1538"/>
    <x v="0"/>
    <s v="MERCADORIAS PARA REVENDA"/>
  </r>
  <r>
    <x v="51"/>
    <s v="AGOSTO"/>
    <s v="HSERV TERCEIRIZADOS"/>
    <s v="LOTUS CENTRAL DE DISTRIBUICAO DE HIGIENICOS LTDA NF161.290"/>
    <n v="-1168.2"/>
    <x v="0"/>
    <s v="MERCADORIAS PARA REVENDA"/>
  </r>
  <r>
    <x v="51"/>
    <s v="AGOSTO"/>
    <s v="HSERV CABREUVA"/>
    <s v="FERNANDO APARECIDO DOS SANTOS Proc 0013031-54.2024.5.15.0018 RECLAMANTE: MANOEL ROBERTO DE SOUSA -PARCELA 1/17"/>
    <n v="-2500"/>
    <x v="0"/>
    <s v="ACORDO TRABALHISTA"/>
  </r>
  <r>
    <x v="51"/>
    <s v="AGOSTO"/>
    <s v="VITOR DUARTE"/>
    <s v="JURANDIR BAVOSO JUNIOR-Proc 0010814-86.2024.5.15.0002 RECLAMANTE: JUAN ERICK REIS DOS SANTOS PARCELA 1/12"/>
    <n v="-2500"/>
    <x v="0"/>
    <s v="ACORDO TRABALHISTA"/>
  </r>
  <r>
    <x v="51"/>
    <s v="AGOSTO"/>
    <s v="HSERV CLEAN"/>
    <s v="RSC COM. MAT.P/ CONSTRUCAO LTDA. NF 107.078"/>
    <n v="-46.64"/>
    <x v="0"/>
    <s v="MANUTENÇÃO"/>
  </r>
  <r>
    <x v="9"/>
    <s v="JULHO"/>
    <s v="HSERV TERCEIRIZADOS"/>
    <s v="MOVIDA PARTICIPACOES S A-VENCIMENTO 05/07/2025 FATURA 6908514-CONTRATO  25884412-PLACA: TJG6B82"/>
    <n v="-133.02000000000001"/>
    <x v="0"/>
    <s v="ALUGUEL DE VEICULOS"/>
  </r>
  <r>
    <x v="24"/>
    <s v="JULHO"/>
    <s v="HSERV TERCEIRIZADOS"/>
    <s v="OTAVIO AUGUSTO FERREIRA "/>
    <n v="-5000"/>
    <x v="0"/>
    <s v="APORTE"/>
  </r>
  <r>
    <x v="24"/>
    <s v="JULHO"/>
    <s v="HSERV TERCEIRIZADOS"/>
    <s v="MOVIDA PARTICIPACOES S A-VENCIMENTO 07/07/2025- FATURA 6915357 - CONTRATO -PLACA PLACA: STQ-7B01"/>
    <n v="-826.19"/>
    <x v="0"/>
    <s v="ALUGUEL DE VEICULOS"/>
  </r>
  <r>
    <x v="9"/>
    <s v="JULHO"/>
    <s v="HSERV TERCEIRIZADOS"/>
    <s v="MOVIDA PARTICIPACOES S A-VENCIMENTO 02/07/2025 FATURA 6897892- CONTRATO 25884412-PLACA: TJG6B82"/>
    <n v="-133.15"/>
    <x v="0"/>
    <s v="ALUGUEL DE VEICULOS"/>
  </r>
  <r>
    <x v="9"/>
    <s v="JULHO"/>
    <s v="VITOR DUARTE"/>
    <s v="DARE VITOR DUARTE- GUIA PARA ALTERAÇÃO SOCIETARIA "/>
    <n v="-211.01"/>
    <x v="0"/>
    <s v="IMPOSTO"/>
  </r>
  <r>
    <x v="55"/>
    <s v="AGOSTO"/>
    <s v="HSERV TERCEIRIZADOS"/>
    <s v="MOVIDA PARTICIPACOES S.A. VENCIMENTO 29/07/2025-PLACA SVQ7D60- PERIODO DE LOCAÇÃO 03/08 Á 03/07 CARRO HENRIQUE JEAN"/>
    <n v="-2628.37"/>
    <x v="0"/>
    <s v="ALUGUEL DE VEICULOS"/>
  </r>
  <r>
    <x v="55"/>
    <s v="AGOSTO"/>
    <s v="HSERV TERCEIRIZADOS"/>
    <s v="MOVIDA PARTICIPACOES S.A. VENCIMENTO 07/07/2025- PLACA: STQ7B01-PERIODO DE LOCAÇÃO 09/06 Á 13/06- CARRO OPERAÇAO"/>
    <n v="-826.19"/>
    <x v="0"/>
    <s v="ALUGUEL DE VEICULOS"/>
  </r>
  <r>
    <x v="26"/>
    <s v="AGOSTO"/>
    <s v="HSERV TERCEIRIZADOS"/>
    <s v="MOVIDA PARTICIPACOES S.A. VENCIMENTO 15/07/2025-PLACA TJGB82-PERIODO DE LOCAÇÃO 22/05 Á 21/06- CARRO DA OPERAÇÃO -FATURA  06913500 "/>
    <n v="-4875.8500000000004"/>
    <x v="0"/>
    <s v="ALUGUEL DE VEICULOS"/>
  </r>
  <r>
    <x v="55"/>
    <s v="AGOSTO"/>
    <s v="HSERV TERCEIRIZADOS"/>
    <s v="MOVIDA PARTICIPACOES S.A. VENCIMENTO 16/07/2025-PLACA QMYE00 (COORDENAÇÃO) E TJL4F14 (VITOR)-PERIODO DE LOCAÇÃO 31/05 Á 30/06"/>
    <n v="-4375.75"/>
    <x v="0"/>
    <s v="ALUGUEL DE VEICULOS"/>
  </r>
  <r>
    <x v="55"/>
    <s v="AGOSTO"/>
    <s v="HSERV TERCEIRIZADOS"/>
    <s v="MOVIDA PARTICIPACOES S.A. VENCIMENTO 19/07/2025- PLACA TJGB82-PERIODO DE LOCAÇÃO 22/06 Á 27/06- CARRO DA OPERAÇÃO "/>
    <n v="-1504.25"/>
    <x v="0"/>
    <s v="ALUGUEL DE VEICULOS"/>
  </r>
  <r>
    <x v="49"/>
    <s v="AGOSTO"/>
    <s v="HSERV TERCEIRIZADOS"/>
    <s v="LOTUS CENTRAL DE DISTRIBUICAO DE HIGIENICOS LTDA VENCIMENTO 14/08 - NF 167.899"/>
    <n v="-3209.14"/>
    <x v="0"/>
    <s v="MERCADORIAS PARA REVENDA"/>
  </r>
  <r>
    <x v="17"/>
    <s v="AGOSTO"/>
    <s v="HSERV CLEAN"/>
    <s v="HM MAQ COMERCIO E ASSISTENCIA TECNICA INDUSTRIAL-VENCIMENTO 14/08 NF 7.544"/>
    <n v="-849.17"/>
    <x v="0"/>
    <s v="MANUTENÇÃO"/>
  </r>
  <r>
    <x v="56"/>
    <s v="AGOSTO"/>
    <s v="HSERV COMBINADOS"/>
    <s v="EDNA JOSE DE SOUZA COSTA-VALE TRANSPORTE DO DIA 14/08 AO DIA 31/08 R$16,80 POR DIA  LOJA 0"/>
    <n v="-252"/>
    <x v="0"/>
    <s v="VALE TRANSPORTE"/>
  </r>
  <r>
    <x v="56"/>
    <s v="AGOSTO"/>
    <s v="HSERV COMBINADOS"/>
    <s v="LINDIMAR FERREIRA DOS SANTOS-VALE TRANSPORTE DO DIA 14/08 AO DIA 31/08 R$11,80 POR DIA  SOLICITADO PELA ELISANGELA"/>
    <n v="-177"/>
    <x v="0"/>
    <s v="VALE TRANSPORTE"/>
  </r>
  <r>
    <x v="56"/>
    <s v="AGOSTO"/>
    <s v="HSERV COMBINADOS"/>
    <s v="TAXA DE DESARQUIVAMENTO -PROCESSO SOFISA "/>
    <n v="-44.87"/>
    <x v="0"/>
    <s v="JURIDICO"/>
  </r>
  <r>
    <x v="56"/>
    <s v="AGOSTO"/>
    <s v="HSERV COMBINADOS"/>
    <s v="OSSIRES DONNANGELO-SUPERVISOR AVENIDA- CAIXINHA OSSIRES"/>
    <n v="-1500"/>
    <x v="0"/>
    <s v="CAIXINHA"/>
  </r>
  <r>
    <x v="56"/>
    <s v="AGOSTO"/>
    <s v="HENRIQUE JEAN"/>
    <s v="ANDREIA SOARES DE LIMA DA SILVA"/>
    <n v="-1118.22"/>
    <x v="0"/>
    <s v="RESCISÕES"/>
  </r>
  <r>
    <x v="56"/>
    <s v="AGOSTO"/>
    <s v="HSERV COMBINADOS"/>
    <s v="GRRF RONALDO SILVA MARQUES"/>
    <n v="-179.46"/>
    <x v="0"/>
    <s v="RESCISÕES"/>
  </r>
  <r>
    <x v="57"/>
    <s v="AGOSTO"/>
    <s v="TERCERIZADOS"/>
    <s v="LIMITE"/>
    <n v="15535.08"/>
    <x v="1"/>
    <s v="LIMITE"/>
  </r>
  <r>
    <x v="57"/>
    <s v="AGOSTO"/>
    <s v="HSERV CLEAN"/>
    <s v="SAFRA"/>
    <n v="-2161"/>
    <x v="0"/>
    <s v="EMPRESTIMO "/>
  </r>
  <r>
    <x v="57"/>
    <s v="AGOSTO"/>
    <s v="HSERV CABREUVA"/>
    <s v="SALARIOS MEI"/>
    <n v="-79740.91"/>
    <x v="0"/>
    <s v="SALARIOS"/>
  </r>
  <r>
    <x v="57"/>
    <s v="AGOSTO"/>
    <s v="HSERV CLEAN"/>
    <s v="DAIANE CRISTINA ANDRADE-DEVOLUÇÃO DESCONTO INDEVIDO FOLHA 04/2025"/>
    <n v="-363.81"/>
    <x v="0"/>
    <s v="SALARIOS"/>
  </r>
  <r>
    <x v="57"/>
    <s v="AGOSTO"/>
    <s v="VITOR DUARTE"/>
    <s v="IFOOD.COM AGENCIA DE RESTAURANTES ONLINE S.A. -ASSIDUIDADE REDE BOA"/>
    <n v="-20700"/>
    <x v="0"/>
    <s v="ASSIDUIDADE"/>
  </r>
  <r>
    <x v="57"/>
    <s v="AGOSTO"/>
    <s v="VITOR DUARTE"/>
    <s v="IFOOD.COM AGENCIA DE RESTAURANTES ONLINE S.A. -ASSIDUIDADE RICOY"/>
    <n v="-900"/>
    <x v="0"/>
    <s v="ASSIDUIDADE"/>
  </r>
  <r>
    <x v="57"/>
    <s v="AGOSTO"/>
    <s v="VITOR DUARTE"/>
    <s v="IFOOD.COM AGENCIA DE RESTAURANTES ONLINE S.A.-ASSIDUIDADE EMPRESAS"/>
    <n v="-14400"/>
    <x v="0"/>
    <s v="ASSIDUIDADE"/>
  </r>
  <r>
    <x v="57"/>
    <s v="AGOSTO"/>
    <s v="VITOR DUARTE"/>
    <s v="IFOOD.COM AGENCIA DE RESTAURANTES ONLINE S.A.-ASSIDUIDADE REDE AVENIDA"/>
    <n v="-3912"/>
    <x v="0"/>
    <s v="ASSIDUIDADE"/>
  </r>
  <r>
    <x v="58"/>
    <s v="AGOSTO"/>
    <s v="HSERV COMBINADOS"/>
    <s v="TAMIRES DA SILVA CAPUCHINHO"/>
    <n v="-435.96"/>
    <x v="0"/>
    <s v="VALE ALIMENTAÇÃO"/>
  </r>
  <r>
    <x v="58"/>
    <s v="AGOSTO"/>
    <s v="VITOR DUARTE"/>
    <s v="PABLO ITHALO SANTOS GUANDELINI"/>
    <n v="-435.96"/>
    <x v="0"/>
    <s v="VALE ALIMENTAÇÃO"/>
  </r>
  <r>
    <x v="58"/>
    <s v="AGOSTO"/>
    <s v="VITOR DUARTE"/>
    <s v="CAIXA CARTOES PRE-PAGOS S.A.-VALE ALIMENTAÇÃO "/>
    <n v="-24329.72"/>
    <x v="0"/>
    <s v="VALE ALIMENTAÇÃO"/>
  </r>
  <r>
    <x v="58"/>
    <s v="AGOSTO"/>
    <s v="VITOR DUARTE"/>
    <s v="IFOOD.COM AGENCIA DE RESTAURANTES ONLINE S.A."/>
    <n v="-61582.28"/>
    <x v="0"/>
    <s v="VALE ALIMENTAÇÃO"/>
  </r>
  <r>
    <x v="58"/>
    <s v="AGOSTO"/>
    <s v="VITOR DUARTE"/>
    <s v="FABIOLA FARIAS FELIX"/>
    <n v="-435.96"/>
    <x v="0"/>
    <s v="VALE ALIMENTAÇÃO"/>
  </r>
  <r>
    <x v="58"/>
    <s v="AGOSTO"/>
    <s v="VITOR DUARTE"/>
    <s v="GISELE RODRIGUES DOS SANTOS"/>
    <n v="-415.2"/>
    <x v="0"/>
    <s v="VALE ALIMENTAÇÃO"/>
  </r>
  <r>
    <x v="58"/>
    <s v="AGOSTO"/>
    <s v="VITOR DUARTE"/>
    <s v="JHONY WALLACE GOMES DE OLIVEIRA"/>
    <n v="-435.96"/>
    <x v="0"/>
    <s v="VALE ALIMENTAÇÃO"/>
  </r>
  <r>
    <x v="58"/>
    <s v="AGOSTO"/>
    <s v="VITOR DUARTE"/>
    <s v="QUEILA JESUS BERNARDES DE OLIVEIRA"/>
    <n v="-394.44"/>
    <x v="0"/>
    <s v="VALE ALIMENTAÇÃO"/>
  </r>
  <r>
    <x v="57"/>
    <s v="AGOSTO"/>
    <s v="HSERV CABREUVA"/>
    <s v="GABRIEL DO NASCIMENTO NEVES"/>
    <n v="-310.5"/>
    <x v="0"/>
    <s v="VALE TRANSPORTE"/>
  </r>
  <r>
    <x v="57"/>
    <s v="AGOSTO"/>
    <s v="HSERV COMBINADOS"/>
    <s v="ILAIDE JOSE RODRIGUES"/>
    <n v="-70.8"/>
    <x v="0"/>
    <s v="VALE TRANSPORTE"/>
  </r>
  <r>
    <x v="57"/>
    <s v="AGOSTO"/>
    <s v="HSERV COMBINADOS"/>
    <s v="TAMIRES DA SILVA CAPUCHINHO"/>
    <n v="-219.2"/>
    <x v="0"/>
    <s v="VALE TRANSPORTE"/>
  </r>
  <r>
    <x v="57"/>
    <s v="AGOSTO"/>
    <s v="HSERV COMBINADOS"/>
    <s v="MARIA SOCORRO DA SILVA PEREIRA"/>
    <n v="-100"/>
    <x v="0"/>
    <s v="VALE TRANSPORTE"/>
  </r>
  <r>
    <x v="57"/>
    <s v="AGOSTO"/>
    <s v="HSERV REPRESENTACOES"/>
    <s v="ELAINE BARBOSA DE SOUSA"/>
    <n v="-445"/>
    <x v="0"/>
    <s v="VALE TRANSPORTE"/>
  </r>
  <r>
    <x v="57"/>
    <s v="AGOSTO"/>
    <s v="HSERV REPRESENTACOES"/>
    <s v="JOSELITA DA SILVA"/>
    <n v="-110"/>
    <x v="0"/>
    <s v="VALE TRANSPORTE"/>
  </r>
  <r>
    <x v="57"/>
    <s v="AGOSTO"/>
    <s v="HSERV TERCEIRIZADOS"/>
    <s v="ESTER CARDOZO DE LIMA"/>
    <n v="-100"/>
    <x v="0"/>
    <s v="VALE TRANSPORTE"/>
  </r>
  <r>
    <x v="57"/>
    <s v="AGOSTO"/>
    <s v="HSERV TERCEIRIZADOS"/>
    <s v="MARISA DE SOUSA SILVA"/>
    <n v="-226.8"/>
    <x v="0"/>
    <s v="VALE TRANSPORTE"/>
  </r>
  <r>
    <x v="57"/>
    <s v="AGOSTO"/>
    <s v="VITOR DUARTE"/>
    <s v="JAIR APARECIDO RE"/>
    <n v="-275"/>
    <x v="0"/>
    <s v="VALE TRANSPORTE"/>
  </r>
  <r>
    <x v="57"/>
    <s v="AGOSTO"/>
    <s v="VITOR DUARTE"/>
    <s v="JHONY WALLACE GOMES DE OLIVEIRA"/>
    <n v="-100"/>
    <x v="0"/>
    <s v="VALE TRANSPORTE"/>
  </r>
  <r>
    <x v="57"/>
    <s v="AGOSTO"/>
    <s v="VITOR DUARTE"/>
    <s v="FABIOLA FARIAS FELIX"/>
    <n v="-300"/>
    <x v="0"/>
    <s v="VALE TRANSPORTE"/>
  </r>
  <r>
    <x v="57"/>
    <s v="AGOSTO"/>
    <s v="VITOR DUARTE"/>
    <s v="PAMELA GREICE MARINHO ROCHA"/>
    <n v="-249.9"/>
    <x v="0"/>
    <s v="VALE TRANSPORTE"/>
  </r>
  <r>
    <x v="57"/>
    <s v="AGOSTO"/>
    <s v="VITOR DUARTE"/>
    <s v="QUEILA JESUS BERNARDES DE OLIVEIRA"/>
    <n v="-90"/>
    <x v="0"/>
    <s v="VALE TRANSPORTE"/>
  </r>
  <r>
    <x v="57"/>
    <s v="AGOSTO"/>
    <s v="VITOR DUARTE"/>
    <s v="PABLO ITHALO SANTOS GUANDELINI"/>
    <n v="-210"/>
    <x v="0"/>
    <s v="VALE TRANSPORTE"/>
  </r>
  <r>
    <x v="57"/>
    <s v="AGOSTO"/>
    <s v="VITOR DUARTE"/>
    <s v="BOLETO OTAVIO"/>
    <n v="-20565.28"/>
    <x v="0"/>
    <s v="PROLABORE"/>
  </r>
  <r>
    <x v="58"/>
    <s v="AGOSTO"/>
    <s v="VITOR DUARTE"/>
    <s v="FABIOLA FARIAS FELIX"/>
    <n v="-144.86000000000001"/>
    <x v="0"/>
    <s v="CESTA BASICA"/>
  </r>
  <r>
    <x v="49"/>
    <s v="AGOSTO"/>
    <s v="HSERV COMBINADOS "/>
    <s v="ESTER CARDOZO-SALARIOS"/>
    <n v="-1375"/>
    <x v="0"/>
    <s v="SALARIOS"/>
  </r>
  <r>
    <x v="49"/>
    <s v="AGOSTO"/>
    <s v="HSERV  COMBINADOS "/>
    <s v="PAMELA ROCHA MARINHO-SALARIOS"/>
    <n v="-2281.6999999999998"/>
    <x v="0"/>
    <s v="SALARIOS"/>
  </r>
  <r>
    <x v="57"/>
    <s v="AGOSTO"/>
    <s v="HSERV CABREUVA"/>
    <s v="SEM PARAR"/>
    <n v="-5629.06"/>
    <x v="0"/>
    <s v="COMBUSTIVEL E PEDAGIO"/>
  </r>
  <r>
    <x v="49"/>
    <s v="AGOSTO"/>
    <s v="VITOR DUARTE"/>
    <s v="CARTAO DE CRÉDITO- VITOR-VENCIMENTO 15/08/2025"/>
    <n v="-10108.51"/>
    <x v="0"/>
    <s v="CARTÃO DE CREDITO"/>
  </r>
  <r>
    <x v="49"/>
    <s v="AGOSTO"/>
    <s v="HENRIQUE JEAN"/>
    <s v="CARTÃO DE CREDITO VENCIMENTO 15/08/2025"/>
    <n v="-2225.21"/>
    <x v="0"/>
    <s v="CARTÃO DE CREDITO"/>
  </r>
  <r>
    <x v="49"/>
    <s v="AGOSTO"/>
    <s v="HSERV COMBINADOS"/>
    <s v="CARTÃO DE CREDITO VENCIMENTO 15/08/2025"/>
    <n v="-1248.99"/>
    <x v="0"/>
    <s v="CARTÃO DE CREDITO"/>
  </r>
  <r>
    <x v="57"/>
    <s v="AGOSTO"/>
    <s v="HSERV CABREUVA"/>
    <s v="SICOOB HSERV CABREUVA NEGOCIAÇÃO CHEQUE ESPECIAL "/>
    <n v="-2012.45"/>
    <x v="0"/>
    <s v="EMPRESTIMO "/>
  </r>
  <r>
    <x v="57"/>
    <s v="AGOSTO"/>
    <s v="HSERV CABREUVA"/>
    <s v="TARIFA MAX EMPRESARIAL"/>
    <n v="-177.05"/>
    <x v="0"/>
    <s v="TARIFA BANCARIA"/>
  </r>
  <r>
    <x v="49"/>
    <s v="AGOSTO"/>
    <s v="HSERV CLEAN"/>
    <s v="TARIFA MAX EMPRESARIAL"/>
    <n v="-177.05"/>
    <x v="0"/>
    <s v="TARIFA BANCARIA"/>
  </r>
  <r>
    <x v="57"/>
    <s v="AGOSTO"/>
    <s v="HSERV COMBINADOS "/>
    <s v="TARIFA MAX EMPRESARIAL"/>
    <n v="-177.05"/>
    <x v="0"/>
    <s v="TARIFA BANCARIA"/>
  </r>
  <r>
    <x v="57"/>
    <s v="AGOSTO"/>
    <s v="HSERV COMBINADOS ND"/>
    <s v="TARIFA MAX EMPRESARIAL"/>
    <n v="-177.05"/>
    <x v="0"/>
    <s v="TARIFA BANCARIA"/>
  </r>
  <r>
    <x v="57"/>
    <s v="AGOSTO"/>
    <s v="HENRIQUE JEAN"/>
    <s v="TARIFA MAX EMPRESARIAL"/>
    <n v="-177.05"/>
    <x v="0"/>
    <s v="TARIFA BANCARIA"/>
  </r>
  <r>
    <x v="57"/>
    <s v="AGOSTO"/>
    <s v="HENRIQUE JEAN ND"/>
    <s v="TARIFA MAX EMPRESARIAL"/>
    <n v="-177.05"/>
    <x v="0"/>
    <s v="TARIFA BANCARIA"/>
  </r>
  <r>
    <x v="57"/>
    <s v="AGOSTO"/>
    <s v="VITOR DUARTE"/>
    <s v="TARIFA MAX EMPRESARIAL"/>
    <n v="-177.05"/>
    <x v="0"/>
    <s v="TARIFA BANCARIA"/>
  </r>
  <r>
    <x v="57"/>
    <s v="AGOSTO"/>
    <s v="VITOR DUARTE ND"/>
    <s v="TARIFA MAX EMPRESARIAL"/>
    <n v="-177.05"/>
    <x v="0"/>
    <s v="TARIFA BANCARIA"/>
  </r>
  <r>
    <x v="57"/>
    <s v="AGOSTO"/>
    <s v="HSERV TERCERIZADOS"/>
    <s v="TARIFA MAX EMPRESARIAL"/>
    <n v="-177.05"/>
    <x v="0"/>
    <s v="TARIFA BANCARIA"/>
  </r>
  <r>
    <x v="57"/>
    <s v="AGOSTO"/>
    <s v="HSERV TERCERIZADOS ND"/>
    <s v="TARIFA MAX EMPRESARIAL"/>
    <n v="-177.05"/>
    <x v="0"/>
    <s v="TARIFA BANCARIA"/>
  </r>
  <r>
    <x v="57"/>
    <s v="AGOSTO"/>
    <s v="HSERV LIMPEZA"/>
    <s v="TARIFA MAX EMPRESARIAL"/>
    <n v="-177.05"/>
    <x v="0"/>
    <s v="TARIFA BANCARIA"/>
  </r>
  <r>
    <x v="57"/>
    <s v="AGOSTO"/>
    <s v="HSERV LIMPEZA ND"/>
    <s v="TARIFA MAX EMPRESARIAL"/>
    <n v="-177.05"/>
    <x v="0"/>
    <s v="TARIFA BANCARIA"/>
  </r>
  <r>
    <x v="57"/>
    <s v="AGOSTO"/>
    <s v="HSERV TECNOLOGIA"/>
    <s v="TARIFA MAX EMPRESARIAL"/>
    <n v="-177.05"/>
    <x v="0"/>
    <s v="TARIFA BANCARIA"/>
  </r>
  <r>
    <x v="57"/>
    <s v="AGOSTO"/>
    <s v="HSERV REPRESENTAÇÃO"/>
    <s v="TARIFA MAX EMPRESARIAL"/>
    <n v="-177.05"/>
    <x v="0"/>
    <s v="TARIFA BANCARIA"/>
  </r>
  <r>
    <x v="58"/>
    <s v="AGOSTO"/>
    <s v="HENRIQUE JEAN ND"/>
    <s v="CELIO ROBERTO"/>
    <n v="-768.72"/>
    <x v="0"/>
    <s v="RESERVA"/>
  </r>
  <r>
    <x v="57"/>
    <s v="AGOSTO"/>
    <s v="VITOR DUARTE"/>
    <s v="IFOOD.COM AGENCIA DE RESTAURANTES ONLINE S.A. -VALE COMBUSTIVEL-2 QUINZENA DE AGOSTO"/>
    <n v="-7131.5"/>
    <x v="0"/>
    <s v="VALE COMBUSTIVEL"/>
  </r>
  <r>
    <x v="49"/>
    <s v="AGOSTO"/>
    <s v="HSERV COMBINADOS"/>
    <s v="DEPOSITO GAS E AGUA CABREUVA- GALÕES DE AGUA  ESCRITORIO"/>
    <n v="-75"/>
    <x v="0"/>
    <s v="AGUA"/>
  </r>
  <r>
    <x v="49"/>
    <s v="AGOSTO"/>
    <s v="VITOR DUARTE"/>
    <s v="ALTOLIM COMERCIAL ASSIS EIRELI  NF 40.720"/>
    <n v="-57.81"/>
    <x v="0"/>
    <s v="MERCADORIAS PARA REVENDA"/>
  </r>
  <r>
    <x v="49"/>
    <s v="AGOSTO"/>
    <s v="HSERV CABREUVA"/>
    <s v="SABESP SALA 16"/>
    <n v="-138.56"/>
    <x v="0"/>
    <s v="AGUA"/>
  </r>
  <r>
    <x v="49"/>
    <s v="AGOSTO"/>
    <s v="HSERV CABREUVA"/>
    <s v="SABESP SALA 17"/>
    <n v="-138.56"/>
    <x v="0"/>
    <s v="AGUA"/>
  </r>
  <r>
    <x v="49"/>
    <s v="AGOSTO"/>
    <s v="HSERV CABREUVA"/>
    <s v="SABESP SALA 18"/>
    <n v="-138.56"/>
    <x v="0"/>
    <s v="AGUA"/>
  </r>
  <r>
    <x v="49"/>
    <s v="AGOSTO"/>
    <s v="HSERV CABREUVA"/>
    <s v="SABESP CLEAN"/>
    <n v="-138.56"/>
    <x v="0"/>
    <s v="AGUA"/>
  </r>
  <r>
    <x v="58"/>
    <s v="AGOSTO"/>
    <s v="HSERV TECNOLOGIA"/>
    <s v="OMIEXPERIENCE LTDA."/>
    <n v="-261.68"/>
    <x v="0"/>
    <s v="SISTEMA"/>
  </r>
  <r>
    <x v="58"/>
    <s v="AGOSTO"/>
    <s v="HSERV REPRESENTACOES"/>
    <s v="OMIEXPERIENCE LTDA."/>
    <n v="-300"/>
    <x v="0"/>
    <s v="SISTEMA"/>
  </r>
  <r>
    <x v="58"/>
    <s v="AGOSTO"/>
    <s v="HSERV CABREUVA "/>
    <s v="OMIEXPERIENCE LTDA."/>
    <n v="-300"/>
    <x v="0"/>
    <s v="SISTEMA"/>
  </r>
  <r>
    <x v="58"/>
    <s v="AGOSTO"/>
    <s v="HSERV  COMBINADOS"/>
    <s v="OMIEXPERIENCE LTDA."/>
    <n v="-300"/>
    <x v="0"/>
    <s v="SISTEMA"/>
  </r>
  <r>
    <x v="58"/>
    <s v="AGOSTO"/>
    <s v="HENRIQUE JEAN DUARTE "/>
    <s v="OMIEXPERIENCE LTDA."/>
    <n v="-294.32"/>
    <x v="0"/>
    <s v="SISTEMA"/>
  </r>
  <r>
    <x v="58"/>
    <s v="AGOSTO"/>
    <s v="HSERV TERCEIRIZADOS"/>
    <s v="OMIEXPERIENCE LTDA."/>
    <n v="-300"/>
    <x v="0"/>
    <s v="SISTEMA"/>
  </r>
  <r>
    <x v="58"/>
    <s v="AGOSTO"/>
    <s v="HSERV  LIMPEZA "/>
    <s v="OMIEXPERIENCE LTDA."/>
    <n v="-300"/>
    <x v="0"/>
    <s v="SISTEMA"/>
  </r>
  <r>
    <x v="57"/>
    <s v="AGOSTO"/>
    <s v="VITOR  DUARTE "/>
    <s v="OMIEXPERIENCE LTDA."/>
    <n v="-350"/>
    <x v="0"/>
    <s v="SISTEMA"/>
  </r>
  <r>
    <x v="58"/>
    <s v="AGOSTO"/>
    <s v="HSER CLEAN"/>
    <s v="OMIEXPERIENCE LTDA."/>
    <n v="-373.51"/>
    <x v="0"/>
    <s v="SISTEMA"/>
  </r>
  <r>
    <x v="53"/>
    <s v="SETEMBRO"/>
    <s v="VITOR DUARTE"/>
    <s v="LOCALIZA - VENCIDA 30/07/2025 -PLACAS RVN7E49,RVN7E51  E RVN7E43 PERIODO 01/07/2025 Á 31/07/2025"/>
    <n v="-6274.7"/>
    <x v="0"/>
    <s v="ALUGUEL DE VEICULOS"/>
  </r>
  <r>
    <x v="53"/>
    <s v="SETEMBRO"/>
    <s v="VITOR DUARTE"/>
    <s v="LOCALIZA - VENCIDA 30/07/2025- KM EXCENDETE PLACA RVF743"/>
    <n v="-1959.76"/>
    <x v="0"/>
    <s v="ALUGUEL DE VEICULOS"/>
  </r>
  <r>
    <x v="53"/>
    <s v="SETEMBRO"/>
    <s v="HSERV COMBINADOS "/>
    <s v="LOCALIZA - VENCIDA 30/07/2025 PLACAS RVF1A42  e RVF1A39-PERIODO 01/07/2025 Á 31/07/2025"/>
    <n v="-4169.6000000000004"/>
    <x v="0"/>
    <s v="ALUGUEL DE VEICULOS"/>
  </r>
  <r>
    <x v="57"/>
    <s v="AGOSTO"/>
    <s v="VITOR DUARTE"/>
    <s v="VIVA FOOD R E LTDA"/>
    <n v="-17235"/>
    <x v="0"/>
    <s v="VALE ALIMENTAÇÃO"/>
  </r>
  <r>
    <x v="55"/>
    <s v="AGOSTO"/>
    <s v="HSERV REPRESENTACOES"/>
    <s v="ASOMETRA ENGENHARIA DE SEGURANÇA- VENCIMENTO 20/07/205"/>
    <n v="-581.89"/>
    <x v="0"/>
    <s v="EXAMES MEDICOS"/>
  </r>
  <r>
    <x v="55"/>
    <s v="AGOSTO"/>
    <s v="HSERV LIMPEZA "/>
    <s v="ASOMETRA ENGENHARIA DE SEGURANÇA- VENCIMENTO 20/07/205"/>
    <n v="-429.35"/>
    <x v="0"/>
    <s v="EXAMES MEDICOS"/>
  </r>
  <r>
    <x v="55"/>
    <s v="AGOSTO"/>
    <s v="HSERV TERCEIRIZADOS"/>
    <s v="ASOMETRA ENGENHARIA DE SEGURANÇA- VENCIMENTO 20/07/205"/>
    <n v="-463.25"/>
    <x v="0"/>
    <s v="EXAMES MEDICOS"/>
  </r>
  <r>
    <x v="55"/>
    <s v="AGOSTO"/>
    <s v="HSERV TECNOLOGIA"/>
    <s v="ASOMETRA ENGENHARIA DE SEGURANÇA- VENCIMENTO 20/07/205"/>
    <n v="-463.25"/>
    <x v="0"/>
    <s v="EXAMES MEDICOS"/>
  </r>
  <r>
    <x v="55"/>
    <s v="AGOSTO"/>
    <s v="H SERV CLEAN"/>
    <s v="ASOMETRA ENGENHARIA DE SEGURANÇA- VENCIMENTO 20/07/205"/>
    <n v="-202.29"/>
    <x v="0"/>
    <s v="EXAMES MEDICOS"/>
  </r>
  <r>
    <x v="55"/>
    <s v="AGOSTO"/>
    <s v="HENRIQUE JEAN "/>
    <s v="ASOMETRA ENGENHARIA DE SEGURANÇA- VENCIMENTO 20/07/205"/>
    <n v="-128.94"/>
    <x v="0"/>
    <s v="EXAMES MEDICOS"/>
  </r>
  <r>
    <x v="55"/>
    <s v="AGOSTO"/>
    <s v="HSERV CABREUVA"/>
    <s v="ASOMETRA ENGENHARIA DE SEGURANÇA- VENCIMENTO 20/07/205"/>
    <n v="-193.41"/>
    <x v="0"/>
    <s v="EXAMES MEDICOS"/>
  </r>
  <r>
    <x v="55"/>
    <s v="AGOSTO"/>
    <s v="HSERV  COMBINADOS "/>
    <s v="ASOMETRA ENGENHARIA DE SEGURANÇA- VENCIMENTO 20/07/205"/>
    <n v="-517.41"/>
    <x v="0"/>
    <s v="EXAMES MEDICOS"/>
  </r>
  <r>
    <x v="55"/>
    <s v="AGOSTO"/>
    <s v="VITOR  DUARTE"/>
    <s v="ASOMETRA ENGENHARIA DE SEGURANÇA- VENCIMENTO 20/07/205"/>
    <n v="-780.72"/>
    <x v="0"/>
    <s v="EXAMES MEDICOS"/>
  </r>
  <r>
    <x v="23"/>
    <s v="AGOSTO"/>
    <s v="HSERV TERCEIRIZADOS"/>
    <s v="LOTUS CENTRAL DE DISTRIBUICAO DE HIGIENICOS LTDA NF 189.843"/>
    <n v="-2592.66"/>
    <x v="0"/>
    <s v="MERCADORIAS PARA REVENDA"/>
  </r>
  <r>
    <x v="23"/>
    <s v="AGOSTO"/>
    <s v="HSERV TERCEIRIZADOS"/>
    <s v="LOTUS CENTRAL DE DISTRIBUICAO DE HIGIENICOS LTDA NF 179.434"/>
    <n v="-809.45"/>
    <x v="0"/>
    <s v="MERCADORIAS PARA REVENDA"/>
  </r>
  <r>
    <x v="59"/>
    <s v="AGOSTO"/>
    <s v="HSERV CABREUVA"/>
    <s v="BRADESCO "/>
    <n v="-35714.57"/>
    <x v="0"/>
    <s v="EMPRESTIMO "/>
  </r>
  <r>
    <x v="58"/>
    <s v="AGOSTO"/>
    <s v="HSERV REPRESENTACOES"/>
    <s v="ALEF MARTINS DE LIMA"/>
    <n v="-3224.16"/>
    <x v="0"/>
    <s v="RESCISÕES"/>
  </r>
  <r>
    <x v="49"/>
    <s v="AGOSTO"/>
    <s v="HSERV REPRESENTACOES"/>
    <s v="GRRF ALEF MARTINS DE LIMA"/>
    <n v="-4187"/>
    <x v="0"/>
    <s v="RESCISÕES"/>
  </r>
  <r>
    <x v="60"/>
    <s v="AGOSTO"/>
    <s v="VITOR DUARTE"/>
    <s v="VIVA FOOD PARCELA 1/3 - REAJUSTE REATROATIVO"/>
    <n v="-1752.88"/>
    <x v="0"/>
    <s v="VALE ALIMENTAÇÃO"/>
  </r>
  <r>
    <x v="61"/>
    <s v="SETEMBRO"/>
    <s v="VITOR DUARTE"/>
    <s v="VIVA FOOD PARCELA 1/3 - REAJUSTE REATROATIVO"/>
    <n v="-1752.88"/>
    <x v="0"/>
    <s v="VALE ALIMENTAÇÃO"/>
  </r>
  <r>
    <x v="44"/>
    <s v="SETEMBRO"/>
    <s v="VITOR DUARTE"/>
    <s v="VIVA FOOD PARCELA 1/3 - REAJUSTE REATROATIVO NF 3.039"/>
    <n v="-1752.88"/>
    <x v="0"/>
    <s v="VALE ALIMENTAÇÃO"/>
  </r>
  <r>
    <x v="49"/>
    <s v="AGOSTO"/>
    <s v="HSERV TERCEIRIZADOS"/>
    <s v="LOTUS CENTRAL DE DISTRIBUICAO DE HIGIENICOS LTDA  NF 179.434"/>
    <n v="-809.46"/>
    <x v="0"/>
    <s v="MERCADORIAS PARA REVENDA"/>
  </r>
  <r>
    <x v="31"/>
    <s v="AGOSTO"/>
    <s v="HSERV CABREUVA"/>
    <s v="NOVITA VEST CONFECCOES LTDA- VENCIMENTO 13/08/2025-PRORROGADO PARA O DIA 29/08"/>
    <n v="-2045"/>
    <x v="0"/>
    <s v="UNIFORMES"/>
  </r>
  <r>
    <x v="31"/>
    <s v="AGOSTO"/>
    <s v="HSERV CABREUVA"/>
    <s v="NOVITA VEST CONFECCOES LTDA- VENCIMENTO 19/08/2025-PRORROGADO PARA O DIA 29/08"/>
    <n v="-3619.3394859999999"/>
    <x v="0"/>
    <s v="UNIFORMES"/>
  </r>
  <r>
    <x v="49"/>
    <s v="AGOSTO"/>
    <s v="HENRIQUE JEAN"/>
    <s v="SINDICATO DOS EMPREGADOS E TRABALHADORES - VENCIMENTO 10/07/2025"/>
    <n v="-522.91999999999996"/>
    <x v="0"/>
    <s v="SINDICATO"/>
  </r>
  <r>
    <x v="49"/>
    <s v="AGOSTO"/>
    <s v="HSERV CABREUVA"/>
    <s v="SINDICATO DOS EMPREGADOS E TRABALHADORES - VENCIMENTO 10/07/2025"/>
    <n v="-840.87"/>
    <x v="0"/>
    <s v="SINDICATO"/>
  </r>
  <r>
    <x v="49"/>
    <s v="AGOSTO"/>
    <s v="HSERV CLEAN"/>
    <s v="SINDICATO DOS EMPREGADOS E TRABALHADORES - VENCIMENTO 10/07/2025"/>
    <n v="-863.94"/>
    <x v="0"/>
    <s v="SINDICATO"/>
  </r>
  <r>
    <x v="49"/>
    <s v="AGOSTO"/>
    <s v="HSERV COMBINADOS"/>
    <s v="SINDICATO DOS EMPREGADOS E TRABALHADORES - VENCIMENTO 10/07/2025"/>
    <n v="-2843.19"/>
    <x v="0"/>
    <s v="SINDICATO"/>
  </r>
  <r>
    <x v="49"/>
    <s v="AGOSTO"/>
    <s v="HSERV LIMPEZA"/>
    <s v="SINDICATO DOS EMPREGADOS E TRABALHADORES - VENCIMENTO 10/07/2025"/>
    <n v="-875.77"/>
    <x v="0"/>
    <s v="SINDICATO"/>
  </r>
  <r>
    <x v="49"/>
    <s v="AGOSTO"/>
    <s v="HSERV REPRESENTACOES"/>
    <s v="SINDICATO DOS EMPREGADOS E TRABALHADORES - VENCIMENTO 10/07/2025"/>
    <n v="-648.41999999999996"/>
    <x v="0"/>
    <s v="SINDICATO"/>
  </r>
  <r>
    <x v="49"/>
    <s v="AGOSTO"/>
    <s v="HSERV TECNOLOGIA"/>
    <s v="SINDICATO DOS EMPREGADOS E TRABALHADORES - VENCIMENTO 10/07/2025"/>
    <n v="-2362.3000000000002"/>
    <x v="0"/>
    <s v="SINDICATO"/>
  </r>
  <r>
    <x v="49"/>
    <s v="AGOSTO"/>
    <s v="HSERV TERCEIRIZADOS"/>
    <s v="SINDICATO DOS EMPREGADOS E TRABALHADORES - VENCIMENTO 10/07/2025"/>
    <n v="-852.9"/>
    <x v="0"/>
    <s v="SINDICATO"/>
  </r>
  <r>
    <x v="49"/>
    <s v="AGOSTO"/>
    <s v="VITOR DUARTE"/>
    <s v="SINDICATO DOS EMPREGADOS E TRABALHADORES - VENCIMENTO 10/07/2025"/>
    <n v="-721.22"/>
    <x v="0"/>
    <s v="SINDICATO"/>
  </r>
  <r>
    <x v="58"/>
    <s v="AGOSTO"/>
    <s v="VITOR DUARTE"/>
    <s v="GABRIEL GATTI DA SILVA"/>
    <n v="-110.45"/>
    <x v="0"/>
    <s v="RESCISÕES"/>
  </r>
  <r>
    <x v="62"/>
    <s v="AGOSTO"/>
    <s v="VITOR DUARTE"/>
    <s v="JONESO EMPREENDIMENTOS-VECIMENTO 17/08/2025-PRORROGADO SEM JUROS"/>
    <n v="-5460"/>
    <x v="0"/>
    <s v="ALUGUEL DE IMOVEIS"/>
  </r>
  <r>
    <x v="31"/>
    <s v="AGOSTO"/>
    <s v="HSERV CABREUVA"/>
    <s v="NOVITA VEST CONFECCOES LTDA- VENCIMENTO 18/08/2025-PRORROGADO PARA O DIA 29/08"/>
    <n v="-2003.33"/>
    <x v="0"/>
    <s v="UNIFORMES"/>
  </r>
  <r>
    <x v="58"/>
    <s v="AGOSTO"/>
    <s v="VITOR DUARTE"/>
    <s v="L. A. DE SOUZA - EQUIPAMENTOS DE SEGURANCA LTDA NF 11.793"/>
    <n v="-318"/>
    <x v="0"/>
    <s v="UNIFORMES"/>
  </r>
  <r>
    <x v="58"/>
    <s v="AGOSTO"/>
    <s v="HSERV REPRESENTACOES"/>
    <s v="JOSE SANTOS DE PAULA"/>
    <n v="-100"/>
    <x v="0"/>
    <s v="VALE TRANSPORTE"/>
  </r>
  <r>
    <x v="58"/>
    <s v="AGOSTO"/>
    <s v="HSERV COMBINADOS"/>
    <s v="FLAVIA KELI DE OLIVEIRA FELIX-VALE TRANSPORTE DO DIA 01/08 AO DIA 17/08 R$12,30 POR DIA  RT"/>
    <n v="-184.5"/>
    <x v="0"/>
    <s v="VALE TRANSPORTE"/>
  </r>
  <r>
    <x v="49"/>
    <s v="AGOSTO"/>
    <s v="HSERV COMBINADOS "/>
    <s v="SOFISA ACORDO- PROCESSO EXECUÇÃO PARCELA 19/24"/>
    <n v="-5072.57"/>
    <x v="0"/>
    <s v="EMPRESTIMO "/>
  </r>
  <r>
    <x v="62"/>
    <s v="AGOSTO"/>
    <s v="HENRIQUE JEAN"/>
    <s v="IF SAO PAULO SERVICOS DE APOIO A MICRO E PEQUENA EMPRESA LTD"/>
    <n v="-1689.3"/>
    <x v="0"/>
    <s v="CONTABILIDADE"/>
  </r>
  <r>
    <x v="62"/>
    <s v="AGOSTO"/>
    <s v="HSERV CABREUVA"/>
    <s v="IF SAO PAULO SERVICOS DE APOIO A MICRO E PEQUENA EMPRESA LTD"/>
    <n v="-1689.3"/>
    <x v="0"/>
    <s v="CONTABILIDADE"/>
  </r>
  <r>
    <x v="62"/>
    <s v="AGOSTO"/>
    <s v="HSERV CLEAN"/>
    <s v="IF SAO PAULO SERVICOS DE APOIO A MICRO E PEQUENA EMPRESA LTD"/>
    <n v="-1689.3"/>
    <x v="0"/>
    <s v="CONTABILIDADE"/>
  </r>
  <r>
    <x v="62"/>
    <s v="AGOSTO"/>
    <s v="HSERV COMBINADOS"/>
    <s v="IF SAO PAULO SERVICOS DE APOIO A MICRO E PEQUENA EMPRESA LTD"/>
    <n v="-1689.3"/>
    <x v="0"/>
    <s v="CONTABILIDADE"/>
  </r>
  <r>
    <x v="62"/>
    <s v="AGOSTO"/>
    <s v="HSERV LIMPEZA"/>
    <s v="IF SAO PAULO SERVICOS DE APOIO A MICRO E PEQUENA EMPRESA LTD"/>
    <n v="-1689.3"/>
    <x v="0"/>
    <s v="CONTABILIDADE"/>
  </r>
  <r>
    <x v="62"/>
    <s v="AGOSTO"/>
    <s v="HSERV REPRESENTACOES"/>
    <s v="IF SAO PAULO SERVICOS DE APOIO A MICRO E PEQUENA EMPRESA LTD"/>
    <n v="-1689.3"/>
    <x v="0"/>
    <s v="CONTABILIDADE"/>
  </r>
  <r>
    <x v="62"/>
    <s v="AGOSTO"/>
    <s v="HSERV TECNOLOGIA"/>
    <s v="IF SAO PAULO SERVICOS DE APOIO A MICRO E PEQUENA EMPRESA LTD"/>
    <n v="-1689.3"/>
    <x v="0"/>
    <s v="CONTABILIDADE"/>
  </r>
  <r>
    <x v="62"/>
    <s v="AGOSTO"/>
    <s v="HSERV TERCEIRIZADOS"/>
    <s v="IF SAO PAULO SERVICOS DE APOIO A MICRO E PEQUENA EMPRESA LTD"/>
    <n v="-1689.3"/>
    <x v="0"/>
    <s v="CONTABILIDADE"/>
  </r>
  <r>
    <x v="62"/>
    <s v="AGOSTO"/>
    <s v="VITOR DUARTE"/>
    <s v="IF SAO PAULO SERVICOS DE APOIO A MICRO E PEQUENA EMPRESA LTD"/>
    <n v="-2346.25"/>
    <x v="0"/>
    <s v="CONTABILIDADE"/>
  </r>
  <r>
    <x v="62"/>
    <s v="AGOSTO"/>
    <s v="VITOR DUARTE"/>
    <s v="ANJO AZUL ALARMES"/>
    <n v="-1046.6400000000001"/>
    <x v="0"/>
    <s v="SISTEMA"/>
  </r>
  <r>
    <x v="62"/>
    <s v="AGOSTO"/>
    <s v="HSERV CABREUVA"/>
    <s v="MAXIWEB INTERNET PROVIDER LTDA"/>
    <n v="-39.799999999999997"/>
    <x v="0"/>
    <s v="SISTEMA"/>
  </r>
  <r>
    <x v="62"/>
    <s v="AGOSTO"/>
    <s v="HSERV CLEAN"/>
    <s v="SIMPLES NACIONAL MENSAL -07.20.25217.7070891-0 "/>
    <n v="-4544.8500000000004"/>
    <x v="0"/>
    <s v="IMPOSTO"/>
  </r>
  <r>
    <x v="62"/>
    <s v="AGOSTO"/>
    <s v="HSERV COMBINADOS"/>
    <s v="SIMPLES NACIONAL MENSAL -07.20.25217.7214735-5"/>
    <n v="-1122.06"/>
    <x v="0"/>
    <s v="IMPOSTO"/>
  </r>
  <r>
    <x v="62"/>
    <s v="AGOSTO"/>
    <s v="HENRIQUE JEAN "/>
    <s v="SIMPLES NACIONAL MENSAL  07.20.25217.7160108-7"/>
    <n v="-1375.8"/>
    <x v="0"/>
    <s v="IMPOSTO"/>
  </r>
  <r>
    <x v="62"/>
    <s v="AGOSTO"/>
    <s v="HSERV TECNOLOGIA"/>
    <s v="SIMPLES NACIONAL MENSAL -07.20.25217.7804266-0"/>
    <n v="-1418.32"/>
    <x v="0"/>
    <s v="IMPOSTO"/>
  </r>
  <r>
    <x v="62"/>
    <s v="AGOSTO"/>
    <s v="HSERV LIMPEZA"/>
    <s v="SIMPLES NACIONAL MENSAL -07.20.25217.7740556-5"/>
    <n v="-4591.54"/>
    <x v="0"/>
    <s v="IMPOSTO"/>
  </r>
  <r>
    <x v="62"/>
    <s v="AGOSTO"/>
    <s v="HSERV REPRESENTAÇÃO"/>
    <s v="SIMPLES NACIONAL MENSAL -07.20.25217.7286546-0"/>
    <n v="-4774.17"/>
    <x v="0"/>
    <s v="IMPOSTO"/>
  </r>
  <r>
    <x v="62"/>
    <s v="AGOSTO"/>
    <s v="HSERV TERCERIZADOS"/>
    <s v="SIMPLES NACIONAL MENSAL -07.20.25217.7618506-5"/>
    <n v="-1309.9000000000001"/>
    <x v="0"/>
    <s v="IMPOSTO"/>
  </r>
  <r>
    <x v="62"/>
    <s v="AGOSTO"/>
    <s v="VITOR DUARTE"/>
    <s v="DARF ISS TOMADOS- NF -- VALDECI BERTOZZI DA SILVA - Serviço: 03.05- 44.505.123/0001-50 -"/>
    <n v="-29.5"/>
    <x v="0"/>
    <s v="IMPOSTO"/>
  </r>
  <r>
    <x v="62"/>
    <s v="AGOSTO"/>
    <s v="VITOR DUARTE"/>
    <s v="DARF ISS MENSAL- EMPRESA HSERV LTDA"/>
    <n v="-14264.18"/>
    <x v="0"/>
    <s v="IMPOSTO"/>
  </r>
  <r>
    <x v="40"/>
    <s v="AGOSTO"/>
    <s v="HSERV CABREUVA"/>
    <s v="DARF UNIFICADA DE IMPOSTO; COFINS,PIS - HSERV CABREUVA"/>
    <n v="-1773.62"/>
    <x v="0"/>
    <s v="IMPOSTO"/>
  </r>
  <r>
    <x v="62"/>
    <s v="AGOSTO"/>
    <s v="HENRIQUE JEAN"/>
    <s v="FGTS MENSAL HENRIQUE JEAN DUARTE LTDA"/>
    <n v="-12296.18"/>
    <x v="0"/>
    <s v="IMPOSTO"/>
  </r>
  <r>
    <x v="62"/>
    <s v="AGOSTO"/>
    <s v="HSERV CABREUVA"/>
    <s v="FGTS MENSAL HSERV CABREUVA"/>
    <n v="-4941.3100000000004"/>
    <x v="0"/>
    <s v="IMPOSTO"/>
  </r>
  <r>
    <x v="62"/>
    <s v="AGOSTO"/>
    <s v="HSERV CLEAN"/>
    <s v="FGTS MENSAL HSERV CLEAN "/>
    <n v="-5133.79"/>
    <x v="0"/>
    <s v="IMPOSTO"/>
  </r>
  <r>
    <x v="62"/>
    <s v="AGOSTO"/>
    <s v="HSERV COMBINADOS"/>
    <s v="FGTS MENSAL HSERV COMBINADOS "/>
    <n v="-9118.24"/>
    <x v="0"/>
    <s v="IMPOSTO"/>
  </r>
  <r>
    <x v="62"/>
    <s v="AGOSTO"/>
    <s v="HSERV LIMPEZA"/>
    <s v="FGTS MENSAL HSERV LIMPEZA "/>
    <n v="-5275.51"/>
    <x v="0"/>
    <s v="IMPOSTO"/>
  </r>
  <r>
    <x v="62"/>
    <s v="AGOSTO"/>
    <s v="HSERV REPRESENTACOES"/>
    <s v="FGTS MENSAL HSERV  REPRESENTACOES "/>
    <n v="-2899.38"/>
    <x v="0"/>
    <s v="IMPOSTO"/>
  </r>
  <r>
    <x v="62"/>
    <s v="AGOSTO"/>
    <s v="HSERV TECNOLOGIA"/>
    <s v="FGTS MENSAL HSERV TECNOLOGIA "/>
    <n v="-8629.2099999999991"/>
    <x v="0"/>
    <s v="IMPOSTO"/>
  </r>
  <r>
    <x v="62"/>
    <s v="AGOSTO"/>
    <s v="HSERV TERCEIRIZADOS"/>
    <s v="FGTS MENSAL HSERV TERCEIRIZADOS"/>
    <n v="-3577.26"/>
    <x v="0"/>
    <s v="IMPOSTO"/>
  </r>
  <r>
    <x v="62"/>
    <s v="AGOSTO"/>
    <s v="VITOR DUARTE"/>
    <s v="FGTS MENSAL VITOR DUARTE"/>
    <n v="-3017.28"/>
    <x v="0"/>
    <s v="IMPOSTO"/>
  </r>
  <r>
    <x v="62"/>
    <s v="AGOSTO"/>
    <s v="HENRIQUE JEAN"/>
    <s v="DARF INSS MENSAL HENRIQUE JEAN DUARTE LTDA"/>
    <n v="-9496.35"/>
    <x v="0"/>
    <s v="IMPOSTO"/>
  </r>
  <r>
    <x v="62"/>
    <s v="AGOSTO"/>
    <s v="HSERV CABREUVA"/>
    <s v="DARF INSS MENSAL HSERV CABREUVA"/>
    <n v="-10971.43"/>
    <x v="0"/>
    <s v="IMPOSTO"/>
  </r>
  <r>
    <x v="62"/>
    <s v="AGOSTO"/>
    <s v="HSERV CLEAN"/>
    <s v="DARF INSS MENSAL HSERV CLEAN"/>
    <n v="-3579.94"/>
    <x v="0"/>
    <s v="IMPOSTO"/>
  </r>
  <r>
    <x v="62"/>
    <s v="AGOSTO"/>
    <s v="HSERV COMBINADOS"/>
    <s v="DARF INSS HSERV COMBINADOS "/>
    <n v="-6549.14"/>
    <x v="0"/>
    <s v="IMPOSTO"/>
  </r>
  <r>
    <x v="62"/>
    <s v="AGOSTO"/>
    <s v="HSERV LIMPEZA"/>
    <s v="DARF INSS MENSAL HSERV LIMPEZA "/>
    <n v="-2091.98"/>
    <x v="0"/>
    <s v="IMPOSTO"/>
  </r>
  <r>
    <x v="62"/>
    <s v="AGOSTO"/>
    <s v="HSERV REPRESENTACOES"/>
    <s v="DARF INSS MENSAL HSERV REPRESENTACOES"/>
    <n v="-24.94"/>
    <x v="0"/>
    <s v="IMPOSTO"/>
  </r>
  <r>
    <x v="62"/>
    <s v="AGOSTO"/>
    <s v="HSERV TECNOLOGIA"/>
    <s v="DARF INSS MENSAL HSERV TECNOLOGIA "/>
    <n v="-7620.64"/>
    <x v="0"/>
    <s v="IMPOSTO"/>
  </r>
  <r>
    <x v="62"/>
    <s v="AGOSTO"/>
    <s v="HSERV TERCEIRIZADOS"/>
    <s v="DARF INSS MENSAL HSERV TERCEIRIZADOS"/>
    <n v="-1818.31"/>
    <x v="0"/>
    <s v="IMPOSTO"/>
  </r>
  <r>
    <x v="62"/>
    <s v="AGOSTO"/>
    <s v="VITOR DUARTE"/>
    <s v="DARF INSS MENSAL VITOR AUGUSTO DUARTE"/>
    <n v="-13894.59"/>
    <x v="0"/>
    <s v="IMPOSTO"/>
  </r>
  <r>
    <x v="62"/>
    <s v="AGOSTO"/>
    <s v="HSERV CABREUVA"/>
    <s v="FT 1 QUINZENA  DE JULHO -PACOTES  DE AGOSTO"/>
    <n v="-62065.88"/>
    <x v="0"/>
    <s v="FT"/>
  </r>
  <r>
    <x v="62"/>
    <s v="AGOSTO"/>
    <s v="HSERV CABREUVA"/>
    <s v="CAIXA CARTOES PRE-PAGOS S.A."/>
    <n v="-11383.86"/>
    <x v="0"/>
    <s v="VALE TRANSPORTE"/>
  </r>
  <r>
    <x v="62"/>
    <s v="AGOSTO"/>
    <s v="HSERV CLEAN"/>
    <s v="CAIXA CARTOES PRE-PAGOS S.A."/>
    <n v="-1904.57"/>
    <x v="0"/>
    <s v="VALE TRANSPORTE"/>
  </r>
  <r>
    <x v="62"/>
    <s v="AGOSTO"/>
    <s v="HSERV LIMPEZA"/>
    <s v="CAIXA CARTOES PRE-PAGOS S.A."/>
    <n v="-620.04999999999995"/>
    <x v="0"/>
    <s v="VALE TRANSPORTE"/>
  </r>
  <r>
    <x v="62"/>
    <s v="AGOSTO"/>
    <s v="HSERV REPRESENTACOES"/>
    <s v="CAIXA CARTOES PRE-PAGOS S.A."/>
    <n v="-993.74"/>
    <x v="0"/>
    <s v="VALE TRANSPORTE"/>
  </r>
  <r>
    <x v="62"/>
    <s v="AGOSTO"/>
    <s v="HSERV TECNOLOGIA"/>
    <s v="CAIXA CARTOES PRE-PAGOS S.A."/>
    <n v="-2385.4499999999998"/>
    <x v="0"/>
    <s v="VALE TRANSPORTE"/>
  </r>
  <r>
    <x v="62"/>
    <s v="AGOSTO"/>
    <s v="HSERV TERCEIRIZADOS"/>
    <s v="CAIXA CARTOES PRE-PAGOS S.A."/>
    <n v="-1548.2"/>
    <x v="0"/>
    <s v="VALE TRANSPORTE"/>
  </r>
  <r>
    <x v="62"/>
    <s v="AGOSTO"/>
    <s v="VITOR DUARTE"/>
    <s v="CAIXA CARTOES PRE-PAGOS S.A."/>
    <n v="-23731.68"/>
    <x v="0"/>
    <s v="VALE TRANSPORTE"/>
  </r>
  <r>
    <x v="55"/>
    <s v="AGOSTO"/>
    <s v="HSERV TERCERIZADOS"/>
    <s v="FT ASSIS E REGIÃO-REDE AVENIDA"/>
    <n v="-5890"/>
    <x v="0"/>
    <s v="FT"/>
  </r>
  <r>
    <x v="62"/>
    <s v="AGOSTO"/>
    <s v="HSERV COMBINADOS"/>
    <s v="MAC LUCER -MAITA (MENSAL) - -RESIDENCIAL MAITÁ APTO 073 (contrato-170"/>
    <n v="-2982.25"/>
    <x v="0"/>
    <s v="APORTE"/>
  </r>
  <r>
    <x v="17"/>
    <s v="AGOSTO"/>
    <s v="HSERV TERCEIRIZADOS"/>
    <s v="ESCOBRAS INDUSTRIA E COMERCIO DE MAQUINAS LTDA"/>
    <n v="-1400"/>
    <x v="0"/>
    <s v="MERCADORIAS PARA REVENDA"/>
  </r>
  <r>
    <x v="17"/>
    <s v="AGOSTO"/>
    <s v="VITOR DUARTE"/>
    <s v="RESOLVE ALIMENTACAO LTDA"/>
    <n v="-635.17999999999995"/>
    <x v="0"/>
    <s v="VALE ALIMENTAÇAO"/>
  </r>
  <r>
    <x v="17"/>
    <s v="AGOSTO"/>
    <s v="HSERV CLEAN"/>
    <s v="SPARTAN DO BRASIL PRODUTOS QUIMICOS LTDA"/>
    <n v="-9520.2999999999993"/>
    <x v="0"/>
    <s v="MERCADORIAS PARA REVENDA"/>
  </r>
  <r>
    <x v="62"/>
    <s v="AGOSTO"/>
    <s v="HENRIQUE JEAN"/>
    <s v="JONATHAN DINIZ WESFAL-PROC 1001448-72.2024.5.02.0291 AUTOR: LUCIANA APARECIDA MARQUES DA SILVA  PARCELA 1/10"/>
    <n v="-1240"/>
    <x v="0"/>
    <s v="ACORDO TRABALHISTA"/>
  </r>
  <r>
    <x v="62"/>
    <s v="AGOSTO"/>
    <s v="VITOR DUARTE"/>
    <s v="ARGENTON E QUEIROZ ADVOGADOS ASSOCIADOS-Proc 0012026-51.2024.5.15.0097-SIMONE DA SILVA CORREIA- PARCELA 3/6"/>
    <n v="-268.92"/>
    <x v="0"/>
    <s v="ACORDO TRABALHISTA"/>
  </r>
  <r>
    <x v="18"/>
    <s v="SETEMBRO"/>
    <s v="HENRIQUE JEAN"/>
    <s v="JONATHAN DINIZ WESFAL 0-PROC 1001448-72.2024.5.02.0291 AUTOR: LUCIANA APARECIDA MARQUES DA SILVA -PARCELA  1/10"/>
    <n v="-1240"/>
    <x v="0"/>
    <s v="ACORDO TRABALHISTA"/>
  </r>
  <r>
    <x v="18"/>
    <s v="SETEMBRO"/>
    <s v="VITOR DUARTE"/>
    <s v="ARGENTON E QUEIROZ ADVOGADOS ASSOCIADOS-Proc 0012026-51.2024.5.15.0097-SIMONE DA SILVA CORREIA- PARCELA 4/6"/>
    <n v="-268.92"/>
    <x v="0"/>
    <s v="ACORDO TRABALHISTA"/>
  </r>
  <r>
    <x v="19"/>
    <s v="OUTUBRO"/>
    <s v="VITOR DUARTE"/>
    <s v="ALTOLIM COMERCIAL ASSIS EIRELI - ME"/>
    <n v="-84.56"/>
    <x v="0"/>
    <s v="UNIFORMES"/>
  </r>
  <r>
    <x v="19"/>
    <s v="OUTUBRO"/>
    <s v="VITOR DUARTE"/>
    <s v="ARGENTON E QUEIROZ ADVOGADOS ASSOCIADOS-Proc 0012026-51.2024.5.15.0097-SIMONE DA SILVA CORREIA- PARCELA 5/6"/>
    <n v="-268.92"/>
    <x v="0"/>
    <s v="ACORDO TRABALHISTA"/>
  </r>
  <r>
    <x v="20"/>
    <s v="NOVEMBRO"/>
    <s v="VITOR DUARTE"/>
    <s v="ARGENTON E QUEIROZ ADVOGADOS ASSOCIADOS-Proc 0012026-51.2024.5.15.0097-SIMONE DA SILVA CORREIA- PARCELA 6/6"/>
    <n v="-268.92"/>
    <x v="0"/>
    <s v="ACORDO TRABALHISTA"/>
  </r>
  <r>
    <x v="55"/>
    <s v="AGOSTO"/>
    <s v="HSERV TERCERIZADOS"/>
    <s v="CRISTIANA DOS SANTOS  COBRINDO AFASTAMENTO REGIVANIA PEREIRA DA SILVA RANCHARIA LOJA 12 "/>
    <n v="-500"/>
    <x v="0"/>
    <s v="FT"/>
  </r>
  <r>
    <x v="55"/>
    <s v="AGOSTO"/>
    <s v="HSERV TERCERIZADOS"/>
    <s v="CAMILA FERREIRA DA SILVA  COBRINDO FÉRIAS MAURA VILELE VIANA  OURINHOS - LOJA 25"/>
    <n v="-500"/>
    <x v="0"/>
    <s v="FT"/>
  </r>
  <r>
    <x v="55"/>
    <s v="AGOSTO"/>
    <s v="HSERV TERCERIZADOS"/>
    <s v="AMANDA SILVA DE SOUZA COBRINDO FÉRIAS NILDA FERREIRA SOBRINHO PRES. VENCESLAU - LOJA 41"/>
    <n v="-700"/>
    <x v="0"/>
    <s v="FT"/>
  </r>
  <r>
    <x v="55"/>
    <s v="AGOSTO"/>
    <s v="HSERV TERCERIZADOS"/>
    <s v="GLEYCE JAQUELINE DOS REIS OLIVEIRA COBRINDO AFASTAMENTO BRUNA MAIARA DA SILVA ASSIS - LOJA 20 MAX "/>
    <n v="-390"/>
    <x v="0"/>
    <s v="FT"/>
  </r>
  <r>
    <x v="55"/>
    <s v="AGOSTO"/>
    <s v="HSERV TERCERIZADOS"/>
    <s v="JANAINA APARECIDA LOPES COBRINDO AFASTAMENTO DIVA CORREIA PADILHA SANTA CRUZ - LOJA-26 "/>
    <n v="-900"/>
    <x v="0"/>
    <s v="FT"/>
  </r>
  <r>
    <x v="55"/>
    <s v="AGOSTO"/>
    <s v="VITOR DUARTE"/>
    <s v="CLARO S/A-LINHAS TELEFONICAS"/>
    <n v="-1560.68"/>
    <x v="0"/>
    <s v="TELEFONE"/>
  </r>
  <r>
    <x v="62"/>
    <s v="AGOSTO"/>
    <s v="HENRIQUE JEAN"/>
    <s v="VERA LUCIA FELIX DE OLIVEIRA"/>
    <n v="-8.51"/>
    <x v="0"/>
    <s v="RESCISÕES"/>
  </r>
  <r>
    <x v="62"/>
    <s v="AGOSTO"/>
    <s v="HSERV TERCEIRIZADOS"/>
    <s v="SAMUEL ALEXANDER NARANJO RODRIGUEZ"/>
    <n v="-2013.06"/>
    <x v="0"/>
    <s v="RESCISÕES"/>
  </r>
  <r>
    <x v="17"/>
    <s v="AGOSTO"/>
    <s v="HENRIQUE JEAN ND"/>
    <s v="IMOVEL NEX ONE "/>
    <n v="-8937.32"/>
    <x v="0"/>
    <s v="RESERVA"/>
  </r>
  <r>
    <x v="55"/>
    <s v="AGOSTO"/>
    <s v="HSERV LIMPEZA"/>
    <s v="RONALDO DE OLIVEIRA HOLANDA"/>
    <n v="-5103.17"/>
    <x v="0"/>
    <s v="RESCISÕES"/>
  </r>
  <r>
    <x v="55"/>
    <s v="AGOSTO"/>
    <s v="HSERV LIMPEZA"/>
    <s v="GRRF RONALDO DE OLIVEIRA HOLANDA"/>
    <n v="-5625.82"/>
    <x v="0"/>
    <s v="RESCISÕES"/>
  </r>
  <r>
    <x v="55"/>
    <s v="AGOSTO"/>
    <s v="HSERV COMBINADOS"/>
    <s v="DAVID DA SILVA PORFIRIO"/>
    <n v="-90.73"/>
    <x v="0"/>
    <s v="RESCISÕES"/>
  </r>
  <r>
    <x v="55"/>
    <s v="AGOSTO"/>
    <s v="HSERV COMBINADOS"/>
    <s v="DAVID DA SILVA PORFIRIO"/>
    <n v="-1534.14"/>
    <x v="0"/>
    <s v="RESCISÕES"/>
  </r>
  <r>
    <x v="55"/>
    <s v="AGOSTO"/>
    <s v="HSERV COMBINADOS"/>
    <s v="MARIA SELMA DE JESUS SOUZA"/>
    <n v="-1110.55"/>
    <x v="0"/>
    <s v="RESCISÕES"/>
  </r>
  <r>
    <x v="55"/>
    <s v="AGOSTO"/>
    <s v="VITOR DUARTE"/>
    <s v="RODRIGO CESAR DOS SANTOS"/>
    <n v="-638.36"/>
    <x v="0"/>
    <s v="RESCISÕES"/>
  </r>
  <r>
    <x v="55"/>
    <s v="AGOSTO"/>
    <s v="VITOR DUARTE"/>
    <s v="GRRF RODRIGO CESAR DOS SANTOS"/>
    <n v="-73.13"/>
    <x v="0"/>
    <s v="RESCISÕES"/>
  </r>
  <r>
    <x v="55"/>
    <s v="AGOSTO"/>
    <s v="VITOR DUARTE"/>
    <s v="VIVA FOOD R E LTDA"/>
    <n v="-17235"/>
    <x v="0"/>
    <s v="VALE ALIMENTAÇÃO"/>
  </r>
  <r>
    <x v="40"/>
    <s v="AGOSTO"/>
    <s v="HSERV CLEAN"/>
    <s v="AUTO POSTO JARDIM DAS HORTENCIAS"/>
    <n v="-5003.51"/>
    <x v="0"/>
    <s v="COMBUSTIVEL E PEDAGIO"/>
  </r>
  <r>
    <x v="40"/>
    <s v="AGOSTO"/>
    <s v="VITOR DUARTE"/>
    <s v="GADE CORPORATIVA"/>
    <n v="-772.12"/>
    <x v="0"/>
    <s v="SISTEMA"/>
  </r>
  <r>
    <x v="40"/>
    <s v="AGOSTO"/>
    <s v="HSERV CABREUVA"/>
    <s v="OPEN IT GROUP- ESCRITORIO"/>
    <n v="-154.9"/>
    <x v="0"/>
    <s v="INTERNET"/>
  </r>
  <r>
    <x v="40"/>
    <s v="AGOSTO"/>
    <s v="HSERV CABREUVA"/>
    <s v="OPEN IT GROUP-LOJA CLEAN "/>
    <n v="-139.9"/>
    <x v="0"/>
    <s v="INTERNET"/>
  </r>
  <r>
    <x v="40"/>
    <s v="AGOSTO"/>
    <s v="HSERV CLEAN"/>
    <s v="J.E. COMERCIO E SOLUCOES LTDA NF 11.280"/>
    <n v="-1380.6"/>
    <x v="0"/>
    <s v="MERCADORIAS PARA REVENDA"/>
  </r>
  <r>
    <x v="40"/>
    <s v="AGOSTO"/>
    <s v="HSERV CLEAN"/>
    <s v="J.E. COMERCIO E SOLUCOES LTDA NF 11.279"/>
    <n v="-2669.2"/>
    <x v="0"/>
    <s v="MERCADORIAS PARA REVENDA"/>
  </r>
  <r>
    <x v="40"/>
    <s v="AGOSTO"/>
    <s v="HSERV TERCEIRIZADOS"/>
    <s v="FLORA DISTRIB PROD DE HIGIENE E LIMPEZA LTDA NF 1.063.702"/>
    <n v="-578.04"/>
    <x v="0"/>
    <s v="MERCADORIAS PARA REVENDA"/>
  </r>
  <r>
    <x v="40"/>
    <s v="AGOSTO"/>
    <s v="HSERV COMBINADOS"/>
    <s v="MAC LUCER - VINEA (MENSAL)   PARCELA 13- VINEA -Apto 004 (contrato-95)"/>
    <n v="-1942.68"/>
    <x v="0"/>
    <s v="APORTE"/>
  </r>
  <r>
    <x v="55"/>
    <s v="AGOSTO"/>
    <s v="HSERV COMBINADOS"/>
    <s v="SONIA REGINA DA SILVA SOUZA"/>
    <n v="-100"/>
    <x v="0"/>
    <s v="VALE TRANSPORTE"/>
  </r>
  <r>
    <x v="55"/>
    <s v="AGOSTO"/>
    <s v="VITOR DUARTE"/>
    <s v="IFOOD.COM AGENCIA DE RESTAURANTES ONLINE S.A."/>
    <n v="-99.04"/>
    <x v="0"/>
    <s v="VALE COMBUSTIVEL"/>
  </r>
  <r>
    <x v="55"/>
    <s v="AGOSTO"/>
    <s v="VITOR DUARTE"/>
    <s v="ROSALINA CRISTIANE JUSTINO"/>
    <n v="-307.5"/>
    <x v="0"/>
    <s v="VALE COMBUSTIVEL"/>
  </r>
  <r>
    <x v="31"/>
    <s v="AGOSTO"/>
    <s v="VITOR DUARTE"/>
    <s v="CHEQUES DR DUARTE"/>
    <n v="-19960"/>
    <x v="0"/>
    <s v="PROLABORE"/>
  </r>
  <r>
    <x v="31"/>
    <s v="AGOSTO"/>
    <s v="HSERV COMBINADOS "/>
    <s v="GABRIEL DOS SANTOS NOVÃESCLOUD-TELEFONIA"/>
    <n v="-500"/>
    <x v="0"/>
    <s v="SISTEMA"/>
  </r>
  <r>
    <x v="44"/>
    <s v="SETEMBRO"/>
    <s v="HENRIQUE JEAN ND"/>
    <s v="CELIO ROBERTO"/>
    <n v="-5000"/>
    <x v="0"/>
    <s v="RESERVA"/>
  </r>
  <r>
    <x v="31"/>
    <s v="AGOSTO"/>
    <s v="VITOR DUARTE"/>
    <s v="NEXTI DESENVOLVIMENTO DE SISTEMAS S.A."/>
    <n v="-2530.4299999999998"/>
    <x v="0"/>
    <s v="SISTEMA"/>
  </r>
  <r>
    <x v="31"/>
    <s v="AGOSTO"/>
    <s v="VITOR DUARTE"/>
    <s v="NEXTI DESENVOLVIMENTO DE SISTEMAS S.A."/>
    <n v="-1339.5"/>
    <x v="0"/>
    <s v="SISTEMA"/>
  </r>
  <r>
    <x v="47"/>
    <s v="AGOSTO"/>
    <s v="VITOR DUARTE"/>
    <s v="ALTOLIM COMERCIAL ASSIS EIRELI - ME NF 40.501"/>
    <n v="-110.34"/>
    <x v="0"/>
    <s v="MERCADORIAS PARA REVENDA"/>
  </r>
  <r>
    <x v="47"/>
    <s v="AGOSTO"/>
    <s v="HSERV CLEAN"/>
    <s v="CREDIFIT SOCIEDADE DE CREDITO DIRETO S.A."/>
    <n v="-215.21"/>
    <x v="0"/>
    <s v="CONSIGNADO"/>
  </r>
  <r>
    <x v="47"/>
    <s v="AGOSTO"/>
    <s v="HSERV REPRESENTACOES"/>
    <s v="CREDIFIT SOCIEDADE DE CREDITO DIRETO S.A."/>
    <n v="-376.91"/>
    <x v="0"/>
    <s v="CONSIGNADO"/>
  </r>
  <r>
    <x v="47"/>
    <s v="AGOSTO"/>
    <s v="VITOR DUARTE"/>
    <s v="CREDIFIT SOCIEDADE DE CREDITO DIRETO S.A."/>
    <n v="-360.09"/>
    <x v="0"/>
    <s v="CONSIGNADO"/>
  </r>
  <r>
    <x v="48"/>
    <s v="AGOSTO"/>
    <s v="HENRIQUE JEAN"/>
    <s v="SIND DAS EMP DE PREST DE SER T C A M O T T NO E DE SP- NEGOCIAL SINDEPRESTEN"/>
    <n v="-99.77"/>
    <x v="0"/>
    <s v="SINDICATO"/>
  </r>
  <r>
    <x v="47"/>
    <s v="AGOSTO"/>
    <s v="HENRIQUE JEAN"/>
    <s v="ILAIDE JOSE RODRIGUES-VALE TRANSPORTE DO DIA 01/08 ao dia 14/08  R$11,80  POR DIA"/>
    <n v="-141.6"/>
    <x v="0"/>
    <s v="VALE TRANSPORTE"/>
  </r>
  <r>
    <x v="47"/>
    <s v="AGOSTO"/>
    <s v="HSERV COMBINADOS"/>
    <s v="MARINALDA ALMEIDA PEREIRA-vale transporte do dia 05/08 ao dia 23/08"/>
    <n v="-188.8"/>
    <x v="0"/>
    <s v="VALE TRANSPORTE"/>
  </r>
  <r>
    <x v="47"/>
    <s v="AGOSTO"/>
    <s v="VITOR DUARTE"/>
    <s v="ANA CLAUDIA DE FIGUEIREDO-VALE TRANSPORTE AGOSTO"/>
    <n v="-200"/>
    <x v="0"/>
    <s v="VALE TRANSPORTE"/>
  </r>
  <r>
    <x v="47"/>
    <s v="AGOSTO"/>
    <s v="VITOR DUARTE"/>
    <s v="ELIANE ULITZKA DOS SANTOS-VALE TRANSPORTE DO DIA 01/08 ao dia 17/08 R$22,80 POR DIA  REGISTRADA DA LOJA 12"/>
    <n v="-342"/>
    <x v="0"/>
    <s v="VALE TRANSPORTE"/>
  </r>
  <r>
    <x v="47"/>
    <s v="AGOSTO"/>
    <s v="VITOR DUARTE"/>
    <s v="KATIA HELENA DA SILVA-VALE TRANSPORTE DO DIA 05/08 AO DIA 21/08 R$12,40 POR DIA  VALINHOS"/>
    <n v="-186"/>
    <x v="0"/>
    <s v="VALE TRANSPORTE"/>
  </r>
  <r>
    <x v="47"/>
    <s v="AGOSTO"/>
    <s v="VITOR DUARTE"/>
    <s v="LUCINEIA CANDIDA GONCALVES-VALE TRANSPORTE AGOSTO AVENIDA"/>
    <n v="-200"/>
    <x v="0"/>
    <s v="VALE TRANSPORTE"/>
  </r>
  <r>
    <x v="47"/>
    <s v="AGOSTO"/>
    <s v="VITOR DUARTE"/>
    <s v="MARIA DAS DORES DA CONCEICAO-VALE TRANSPORTE DE AGOSTO"/>
    <n v="-200"/>
    <x v="0"/>
    <s v="VALE TRANSPORTE"/>
  </r>
  <r>
    <x v="47"/>
    <s v="AGOSTO"/>
    <s v="VITOR DUARTE"/>
    <s v="GISELE RODRIGUES - CAIXINHA OPERACIONAL E RECRUTAMENTO"/>
    <n v="-1500"/>
    <x v="0"/>
    <s v="CAIXINHA"/>
  </r>
  <r>
    <x v="47"/>
    <s v="AGOSTO"/>
    <s v="HSERV TERCERIZADOS"/>
    <s v="KEILANE MACEDO DE OLIVEIRA- VT EMERGÊNCIA COBERTURA DA LOJA 01"/>
    <n v="-20"/>
    <x v="0"/>
    <s v="VALE TRANSPORTE"/>
  </r>
  <r>
    <x v="47"/>
    <s v="AGOSTO"/>
    <s v="HSERV TERCERIZADOS"/>
    <s v="NATALIA BRITO LIMA VT EMERGÊNCIA COBERTURA LOJA 22"/>
    <n v="-20"/>
    <x v="0"/>
    <s v="VALE TRANSPORTE"/>
  </r>
  <r>
    <x v="47"/>
    <s v="AGOSTO"/>
    <s v="HSERV TERCERIZADOS"/>
    <s v="VALDENICE LIMA DE OLIVEIRA- VT EMERGÊNCIA COBERTURA LOJA 11 "/>
    <n v="-6.5"/>
    <x v="0"/>
    <s v="VALE TRANSPORTE"/>
  </r>
  <r>
    <x v="47"/>
    <s v="AGOSTO"/>
    <s v="HSERV TERCERIZADOS"/>
    <s v="KATIA CRISTINA DE ALMEIDA - VT 4 DIAS LOJA 15 ( DIA 04/08 A 07/08)"/>
    <n v="-120.4"/>
    <x v="0"/>
    <s v="VALE TRANSPORTE"/>
  </r>
  <r>
    <x v="47"/>
    <s v="AGOSTO"/>
    <s v="VITOR DUARTE"/>
    <s v="CLAUDIO DEL DUCA"/>
    <n v="-12500"/>
    <x v="0"/>
    <s v="SALARIOS"/>
  </r>
  <r>
    <x v="31"/>
    <s v="AGOSTO"/>
    <s v=" HSERV CABREUVA"/>
    <s v="VALE TRANSPORTE BASE"/>
    <n v="-4968.66"/>
    <x v="0"/>
    <s v="VALE TRANSPORTE"/>
  </r>
  <r>
    <x v="31"/>
    <s v="AGOSTO"/>
    <s v="VITOR DUARTE"/>
    <s v="CHEQUES DR DUARTE"/>
    <n v="-10997.46"/>
    <x v="0"/>
    <s v="PROLABORE"/>
  </r>
  <r>
    <x v="31"/>
    <s v="AGOSTO"/>
    <s v="HSERV CABREUVA"/>
    <s v="SIMPLES NACIONAL-PARCELAMENTO"/>
    <n v="-29341.02"/>
    <x v="0"/>
    <s v="IMPOSTO"/>
  </r>
  <r>
    <x v="31"/>
    <s v="AGOSTO"/>
    <s v="VITOR DUARTE"/>
    <s v="IFOOD.COM AGENCIA DE RESTAURANTES ONLINE S.A.-COLABORADORES VALINHO"/>
    <n v="-1057.5999999999999"/>
    <x v="0"/>
    <s v="VALE COMBUSTIVEL"/>
  </r>
  <r>
    <x v="31"/>
    <s v="AGOSTO"/>
    <s v="VITOR DUARTE"/>
    <s v="IFOOD.COM AGENCIA DE RESTAURANTES ONLINE S.A. VALE COMBUSTIVEL 1º QUINZENA DE SETEMBRO"/>
    <n v="-7610.5"/>
    <x v="0"/>
    <s v="VALE COMBUSTIVEL"/>
  </r>
  <r>
    <x v="31"/>
    <s v="AGOSTO"/>
    <s v="VITOR DUARTE"/>
    <s v="54.055.078 MATHEUS PEIXOTO DE OLIVEIRA"/>
    <n v="-1500"/>
    <x v="0"/>
    <s v="TI"/>
  </r>
  <r>
    <x v="44"/>
    <s v="SETEMBRO"/>
    <s v="VITOR DUARTE"/>
    <s v="ADEMIR- IMPRESSÃO E IMPRESSORA"/>
    <n v="-100"/>
    <x v="0"/>
    <s v="TI"/>
  </r>
  <r>
    <x v="63"/>
    <s v="SETEMBRO"/>
    <s v="HSERV COMBINADOS "/>
    <s v="PAMELA ROCHA MARINHO -REEMBOLSOS DE DESPESAS"/>
    <n v="-111.89"/>
    <x v="0"/>
    <s v="REEMBOLSO"/>
  </r>
  <r>
    <x v="44"/>
    <s v="SETEMBRO"/>
    <s v="HSERV COMBINADOS "/>
    <s v="FABIOLA FELIX- REEMBOLSO DE VT COLABORADORES  DIANA ALVES (ASG loja 01), -DESLOCAMENTO PARA JUNDIAI"/>
    <n v="-16.399999999999999"/>
    <x v="0"/>
    <s v="REEMBOLSO"/>
  </r>
  <r>
    <x v="44"/>
    <s v="SETEMBRO"/>
    <s v="HSERV COMBINADOS "/>
    <s v="ANDERSON-CONSERTO DO PNEU VIATURA ARGOS"/>
    <n v="-130"/>
    <x v="0"/>
    <s v="REEMBOLSO"/>
  </r>
  <r>
    <x v="31"/>
    <s v="AGOSTO"/>
    <s v="HENRIQUE JEAN"/>
    <s v="JANAINE DOS SANTOS SILVA"/>
    <n v="-2210.4699999999998"/>
    <x v="0"/>
    <s v="FÉRIAS"/>
  </r>
  <r>
    <x v="31"/>
    <s v="AGOSTO"/>
    <s v="HENRIQUE JEAN"/>
    <s v="ANA PAULA DOS SANTOS"/>
    <n v="-2222.06"/>
    <x v="0"/>
    <s v="FÉRIAS"/>
  </r>
  <r>
    <x v="31"/>
    <s v="AGOSTO"/>
    <s v="HENRIQUE JEAN"/>
    <s v="ANA CLAUDIA DE FIGUEIREDO"/>
    <n v="-2187.31"/>
    <x v="0"/>
    <s v="FÉRIAS"/>
  </r>
  <r>
    <x v="31"/>
    <s v="AGOSTO"/>
    <s v="HENRIQUE JEAN"/>
    <s v="DAYANE CRISTINA SILVA SOUZA"/>
    <n v="-2175.75"/>
    <x v="0"/>
    <s v="FÉRIAS"/>
  </r>
  <r>
    <x v="31"/>
    <s v="AGOSTO"/>
    <s v="HSERV CABREUVA"/>
    <s v="PATRICIA CRISTINA HAHNE"/>
    <n v="-1891.45"/>
    <x v="0"/>
    <s v="FÉRIAS"/>
  </r>
  <r>
    <x v="31"/>
    <s v="AGOSTO"/>
    <s v="HSERV CABREUVA"/>
    <s v="RITA DE CASSIA GOMES DE OLIVEIRA HERRERA"/>
    <n v="-2548.5700000000002"/>
    <x v="0"/>
    <s v="FÉRIAS"/>
  </r>
  <r>
    <x v="31"/>
    <s v="AGOSTO"/>
    <s v="HSERV CABREUVA"/>
    <s v="MARISA GEREMIAS"/>
    <n v="-1745.15"/>
    <x v="0"/>
    <s v="FÉRIAS"/>
  </r>
  <r>
    <x v="31"/>
    <s v="AGOSTO"/>
    <s v="HSERV COMBINADOS"/>
    <s v="WELLINGTON DE SOUZA FONCECA"/>
    <n v="-2367.39"/>
    <x v="0"/>
    <s v="FÉRIAS"/>
  </r>
  <r>
    <x v="31"/>
    <s v="AGOSTO"/>
    <s v="HSERV COMBINADOS"/>
    <s v="ANTONIO PLACIDO NETO"/>
    <n v="-2931.59"/>
    <x v="0"/>
    <s v="FÉRIAS"/>
  </r>
  <r>
    <x v="31"/>
    <s v="AGOSTO"/>
    <s v="HSERV TECNOLOGIA"/>
    <s v="KELI CRISTINA SAMPAIO DE FARIA"/>
    <n v="-2229.48"/>
    <x v="0"/>
    <s v="FÉRIAS"/>
  </r>
  <r>
    <x v="31"/>
    <s v="AGOSTO"/>
    <s v="HSERV TECNOLOGIA"/>
    <s v="SIMONE DE FATIMA OLIVEIRA"/>
    <n v="-3398.37"/>
    <x v="0"/>
    <s v="FÉRIAS"/>
  </r>
  <r>
    <x v="31"/>
    <s v="AGOSTO"/>
    <s v="HSERV TECNOLOGIA"/>
    <s v="ANDREA FARIAS RIBEIRO PEREIRA"/>
    <n v="-2245.13"/>
    <x v="0"/>
    <s v="FÉRIAS"/>
  </r>
  <r>
    <x v="31"/>
    <s v="AGOSTO"/>
    <s v="HSERV TECNOLOGIA"/>
    <s v="KAUE HENRIQUE DA SILVA OLIVEIRA"/>
    <n v="-2796.76"/>
    <x v="0"/>
    <s v="FÉRIAS"/>
  </r>
  <r>
    <x v="31"/>
    <s v="AGOSTO"/>
    <s v="HSERV TERCEIRIZADOS"/>
    <s v="LOTUS CENTRAL DE DISTRIBUICAO DE HIGIENICOS LTDA"/>
    <n v="-2592.66"/>
    <x v="0"/>
    <s v="FÉRIAS"/>
  </r>
  <r>
    <x v="31"/>
    <s v="AGOSTO"/>
    <s v="HSERV TERCEIRIZADOS"/>
    <s v="MARISA DE SOUSA SILVA"/>
    <n v="-2156.87"/>
    <x v="0"/>
    <s v="FÉRIAS"/>
  </r>
  <r>
    <x v="31"/>
    <s v="AGOSTO"/>
    <s v="HSERV TECNOLOGIA"/>
    <s v="LUCIANO FERREIRA DOS SANTOS"/>
    <n v="-2565.6"/>
    <x v="0"/>
    <s v="FÉRIAS"/>
  </r>
  <r>
    <x v="31"/>
    <s v="AGOSTO"/>
    <s v="VITOR DUARTE"/>
    <s v="MAQUISSUEL DE SOUZA FREITAS"/>
    <n v="-6000"/>
    <x v="0"/>
    <s v="FÉRIAS"/>
  </r>
  <r>
    <x v="31"/>
    <s v="AGOSTO"/>
    <s v="VITOR DUARTE"/>
    <s v="GUIA DE PARCELAMENTO INSS VITOR  JULHO A NOV 2024"/>
    <n v="-6555.73"/>
    <x v="0"/>
    <s v="IMPOSTO"/>
  </r>
  <r>
    <x v="31"/>
    <s v="AGOSTO"/>
    <s v="VITOR DUARTE"/>
    <s v="PARCELAMENTO SIMPLICADO- VITOR DUARTE  DEBITO PREVIDENCIARIO - VENCIMENTO 30/08/2025-GPS NOVEMBRO,DEZEMBRO E JANEIRO 2025"/>
    <n v="-4331.1099999999997"/>
    <x v="0"/>
    <s v="IMPOSTO"/>
  </r>
  <r>
    <x v="31"/>
    <s v="AGOSTO"/>
    <s v="HENRIQUE JEAN"/>
    <s v="PARCELAMENTO SIMPLICADO- HENRIQUE JEAN DEBITO PREVIDENCIARIO  VENCIMENTO 30/08/2025"/>
    <n v="-534.32000000000005"/>
    <x v="0"/>
    <s v="IMPOSTO"/>
  </r>
  <r>
    <x v="31"/>
    <s v="AGOSTO"/>
    <s v="HSERV COMBINADOS"/>
    <s v="PARCELAMENTO SIMPLICADO- HSERV COMBINADOS  DEBITO PREVIDENCIARIO - VENCIMENTO 30/08/2025"/>
    <n v="-517.63"/>
    <x v="0"/>
    <s v="IMPOSTO"/>
  </r>
  <r>
    <x v="31"/>
    <s v="AGOSTO"/>
    <s v="HSERV REPRESENTAÇÃO "/>
    <s v="PARCELAMENTO SIMPLICADO- HSERV REPRESENTAÇÃO  DEBITO PREVIDENCIARIO  - VENCIMENTO 30/08/2025"/>
    <n v="-527.76"/>
    <x v="0"/>
    <s v="IMPOSTO"/>
  </r>
  <r>
    <x v="31"/>
    <s v="AGOSTO"/>
    <s v="HSERV LIMPEZA"/>
    <s v="PARCELAMENTO SIMPLICADO- HSERV LIMPEZA - DEBITO PREVIDENCIARIO  - VENCIMENTO 30/06/2025"/>
    <n v="-532.07000000000005"/>
    <x v="0"/>
    <s v="IMPOSTO"/>
  </r>
  <r>
    <x v="31"/>
    <s v="AGOSTO"/>
    <s v="HSERV CLEAN"/>
    <s v="PARCELAMENTO SIMPLICADO- HSERV CLEAN - DEBITO PREVIDENCIARIO  - VENCIMENTO 30/06/2025"/>
    <n v="-554.52"/>
    <x v="0"/>
    <s v="IMPOSTO"/>
  </r>
  <r>
    <x v="31"/>
    <s v="AGOSTO"/>
    <s v="HSERV CLEAN"/>
    <s v="PARCELA CREDITO PESSOAL CONTR 016721926 PARC"/>
    <n v="-1719.53"/>
    <x v="0"/>
    <s v="CARTÃO DE CREDITO"/>
  </r>
  <r>
    <x v="31"/>
    <s v="AGOSTO"/>
    <s v="HSERV CABREUVA"/>
    <s v="PARCELA CREDITO PESSOAL CONTR 016721926 PARC"/>
    <n v="-1392.65"/>
    <x v="0"/>
    <s v="CARTÃO DE CREDITO"/>
  </r>
  <r>
    <x v="51"/>
    <s v="AGOSTO"/>
    <s v="VITOR DUARTE"/>
    <s v="DIANA MARCIA DE CAMARGO BARBOSA-VALE TRANSPORTE DO DIA 12/08 AO DIA 22/08 R$12,30"/>
    <n v="-184.5"/>
    <x v="0"/>
    <s v="VALE TRANSPORTE"/>
  </r>
  <r>
    <x v="51"/>
    <s v="AGOSTO"/>
    <s v="VITOR DUARTE"/>
    <s v="KELLDRIE TALINE SILVA-VALE TRANSPORTE DO DIA 12/08 AO DIA 22/08 R$31,30 POR DIA LOJA 13"/>
    <n v="-313"/>
    <x v="0"/>
    <s v="VALE TRANSPORTE"/>
  </r>
  <r>
    <x v="51"/>
    <s v="AGOSTO"/>
    <s v="VITOR DUARTE"/>
    <s v="MILIANE TALITA DA SILVA ALVES-VALE TRANSPORTE DO DIA 12/08 AO DIA 22/08 R$7,40 POR DIA  VALINHOS"/>
    <n v="-74"/>
    <x v="0"/>
    <s v="VALE TRANSPORTE"/>
  </r>
  <r>
    <x v="51"/>
    <s v="AGOSTO"/>
    <s v="VITOR DUARTE"/>
    <s v="SANDRA BORGES-VALE TRANSPORTE DO DIA 12/08 AO DIA 22/08 R$19,00 POR DIA  DOM OLIVIO ADMISSAO"/>
    <n v="-190"/>
    <x v="0"/>
    <s v="VALE TRANSPORTE"/>
  </r>
  <r>
    <x v="51"/>
    <s v="AGOSTO"/>
    <s v="HENRIQUE JEAN"/>
    <s v="SIND DAS EMP DE PREST DE SER T C A M O T T NO E DE SP-TAXA NEGICOAL SINDICATO - 08/2025"/>
    <n v="-90"/>
    <x v="0"/>
    <s v="SINDICATO"/>
  </r>
  <r>
    <x v="51"/>
    <s v="AGOSTO"/>
    <s v="HSERV COMBINADOS"/>
    <s v="KACIA SILVANIA DANTAS GOMES-DIFERENÇA DE BONUS"/>
    <n v="-341.24"/>
    <x v="0"/>
    <s v="SALÁRIOS"/>
  </r>
  <r>
    <x v="51"/>
    <s v="AGOSTO"/>
    <s v="HSERV LIMPEZA"/>
    <s v="JOSE CLAUDINO MESSIAS FILHO-DIFERENÇA DE BONUS DE RONDA - FOLHA 07/2025"/>
    <n v="-195.38"/>
    <x v="0"/>
    <s v="SALÁRIOS"/>
  </r>
  <r>
    <x v="51"/>
    <s v="AGOSTO"/>
    <s v="HSERV TERCEIRIZADOS"/>
    <s v="FRANCIELLY XAVIER DA SILVA"/>
    <n v="-489.49"/>
    <x v="0"/>
    <s v="PENSÃO ALIMENTÍCIA"/>
  </r>
  <r>
    <x v="51"/>
    <s v="AGOSTO"/>
    <s v="VITOR DUARTE"/>
    <s v="VIVIAN APARECIDA MENDES"/>
    <n v="-89.28"/>
    <x v="0"/>
    <s v="RESCISÕES"/>
  </r>
  <r>
    <x v="51"/>
    <s v="AGOSTO"/>
    <s v="HSERV COMBINADOS "/>
    <s v="FT 2 QUINZENA DE JULHO"/>
    <n v="-30918.3"/>
    <x v="0"/>
    <s v="FT"/>
  </r>
  <r>
    <x v="24"/>
    <s v="JULHO"/>
    <s v="TECNOLOGIA"/>
    <s v="INTERBRILHO HIGIENE E LIMPEZA LTDA"/>
    <n v="23638.67"/>
    <x v="1"/>
    <s v="VENDAS DE SERVIÇOS"/>
  </r>
  <r>
    <x v="24"/>
    <s v="JULHO"/>
    <s v="LIMPEZA"/>
    <s v="EDMAR APARECIDO MARTINEZ"/>
    <n v="18532.8"/>
    <x v="1"/>
    <s v="VENDAS DE SERVIÇOS"/>
  </r>
  <r>
    <x v="24"/>
    <s v="JULHO"/>
    <s v="LIMPEZA"/>
    <s v="EDMAR APARECIDO MARTINEZ"/>
    <n v="799.2"/>
    <x v="1"/>
    <s v="VENDAS DE SERVIÇOS"/>
  </r>
  <r>
    <x v="24"/>
    <s v="JULHO"/>
    <s v="LIMPEZA"/>
    <s v="EDMAR APARECIDO MARTINEZ"/>
    <n v="1200"/>
    <x v="1"/>
    <s v="VENDAS DE SERVIÇOS"/>
  </r>
  <r>
    <x v="24"/>
    <s v="JULHO"/>
    <s v="HSERV CLEAN"/>
    <s v="RICARO IMPORTACAO INDUSTRIA E COMERCIO DE EMBALAGENS E INSUM"/>
    <n v="11675.22"/>
    <x v="1"/>
    <s v="VENDAS DE SERVIÇOS"/>
  </r>
  <r>
    <x v="24"/>
    <s v="JULHO"/>
    <s v="REPRESENTAÇÃO"/>
    <s v="TTB INDUSTRIA E COMERCIO DE PRODUTOS METALICOS"/>
    <n v="300"/>
    <x v="1"/>
    <s v="VENDAS DE SERVIÇOS"/>
  </r>
  <r>
    <x v="24"/>
    <s v="JULHO"/>
    <s v="COMBINADOS"/>
    <s v="TECNIPLAS EQUIPAMENTOS EM COMPOSITOS EIR"/>
    <n v="22451.91"/>
    <x v="1"/>
    <s v="VENDAS DE SERVIÇOS"/>
  </r>
  <r>
    <x v="24"/>
    <s v="JULHO"/>
    <s v="REPRESENTAÇÃO"/>
    <s v="VETTOR TORRES DE RESFRIAMENTO LTDA"/>
    <n v="196"/>
    <x v="1"/>
    <s v="VENDAS DE SERVIÇOS"/>
  </r>
  <r>
    <x v="24"/>
    <s v="JULHO"/>
    <s v="REPRESENTAÇÃO"/>
    <s v="VETTOR PECAS E TUBOS INDUSTRIA E COMERCIO LTDA."/>
    <n v="21852.37"/>
    <x v="1"/>
    <s v="VENDAS DE SERVIÇOS"/>
  </r>
  <r>
    <x v="24"/>
    <s v="JULHO"/>
    <s v="REPRESENTAÇÃO"/>
    <s v="VETTOR PECAS E TUBOS INDUSTRIA E COMERCIO LTDA."/>
    <n v="4983"/>
    <x v="1"/>
    <s v="VENDAS DE SERVIÇOS"/>
  </r>
  <r>
    <x v="24"/>
    <s v="JULHO"/>
    <s v="REPRESENTAÇÃO"/>
    <s v="VETTOR TORRES DE RESFRIAMENTO LTDA"/>
    <n v="23943.3"/>
    <x v="1"/>
    <s v="VENDAS DE SERVIÇOS"/>
  </r>
  <r>
    <x v="24"/>
    <s v="JULHO"/>
    <s v="REPRESENTAÇÃO"/>
    <s v="VETTOR TORRES DE RESFRIAMENTO LTDA"/>
    <n v="14482.07"/>
    <x v="1"/>
    <s v="VENDAS DE SERVIÇOS"/>
  </r>
  <r>
    <x v="54"/>
    <s v="OUTUBRO"/>
    <s v="HSERV TERCERIZADOS"/>
    <s v="RAI INDUSTRIAL"/>
    <n v="4935"/>
    <x v="1"/>
    <s v="VENDAS DE SERVIÇOS"/>
  </r>
  <r>
    <x v="64"/>
    <s v="OUTUBRO"/>
    <s v="HSERV TERCERIZADOS"/>
    <s v="RAI INDUSTRIAL"/>
    <n v="4935"/>
    <x v="1"/>
    <s v="VENDAS DE SERVIÇOS"/>
  </r>
  <r>
    <x v="65"/>
    <s v="NOVEMBRO"/>
    <s v="HSERV TERCERIZADOS"/>
    <s v="RAI INDUSTRIAL"/>
    <n v="4935"/>
    <x v="1"/>
    <s v="VENDAS DE SERVIÇOS"/>
  </r>
  <r>
    <x v="66"/>
    <s v="DEZEMBRO"/>
    <s v="HSERV TERCERIZADOS"/>
    <s v="RAI INDUSTRIAL"/>
    <n v="4935"/>
    <x v="1"/>
    <s v="VENDAS DE SERVIÇOS"/>
  </r>
  <r>
    <x v="51"/>
    <s v="AGOSTO"/>
    <s v="CABREUVA"/>
    <s v="TED 422.0115.KYN C V A L"/>
    <n v="40542.71"/>
    <x v="1"/>
    <s v="VENDAS DE SERVIÇOS"/>
  </r>
  <r>
    <x v="52"/>
    <s v="AGOSTO"/>
    <s v="CABREUVA"/>
    <s v="CONDOMINIO PALAZZO VENEZA"/>
    <n v="300"/>
    <x v="1"/>
    <s v="ASSIDUIDADE"/>
  </r>
  <r>
    <x v="52"/>
    <s v="AGOSTO"/>
    <s v="CABREUVA"/>
    <s v="CONDOMINIO PALAZZO VENEZA"/>
    <n v="5062.8"/>
    <x v="1"/>
    <s v="VENDAS DE SERVIÇOS"/>
  </r>
  <r>
    <x v="52"/>
    <s v="AGOSTO"/>
    <s v="REPRESENTAÇÃO"/>
    <s v="TTB INDUSTRIA E COMERCIO DE PRODUTOS MET"/>
    <n v="603.26"/>
    <x v="1"/>
    <s v="VENDAS DE SERVIÇOS"/>
  </r>
  <r>
    <x v="52"/>
    <s v="AGOSTO"/>
    <s v="REPRESENTAÇÃO"/>
    <s v="TTB INDUSTRIA E COMERCIO DE PRODUTOS MET"/>
    <n v="1106.1400000000001"/>
    <x v="1"/>
    <s v="VENDAS DE SERVIÇOS"/>
  </r>
  <r>
    <x v="52"/>
    <s v="AGOSTO"/>
    <s v="REPRESENTAÇÃO"/>
    <s v="TTB INDUSTRIA E COMERCIO DE PRODUTOS MET"/>
    <n v="9631"/>
    <x v="1"/>
    <s v="VENDAS DE SERVIÇOS"/>
  </r>
  <r>
    <x v="52"/>
    <s v="AGOSTO"/>
    <s v="VITOR"/>
    <s v="DEPOSITO SANTA CATARINA LTDA"/>
    <n v="257.81"/>
    <x v="1"/>
    <s v="VENDAS DE SERVIÇOS"/>
  </r>
  <r>
    <x v="52"/>
    <s v="AGOSTO"/>
    <s v="VITOR"/>
    <s v="GIFEL"/>
    <n v="680.03"/>
    <x v="1"/>
    <s v="VENDAS DE SERVIÇOS"/>
  </r>
  <r>
    <x v="52"/>
    <s v="AGOSTO"/>
    <s v="CLEAN"/>
    <s v="RICARO"/>
    <n v="24988.71"/>
    <x v="1"/>
    <s v="VENDAS DE SERVIÇOS"/>
  </r>
  <r>
    <x v="52"/>
    <s v="AGOSTO"/>
    <s v="CLEAN"/>
    <s v="RICARO"/>
    <n v="2284.4499999999998"/>
    <x v="1"/>
    <s v="VENDAS DE SERVIÇOS"/>
  </r>
  <r>
    <x v="52"/>
    <s v="AGOSTO"/>
    <s v="CLEAN"/>
    <s v="RICARO"/>
    <n v="16834.330000000002"/>
    <x v="1"/>
    <s v="VENDAS DE SERVIÇOS"/>
  </r>
  <r>
    <x v="52"/>
    <s v="AGOSTO"/>
    <s v="CLEAN"/>
    <s v="RICARO"/>
    <n v="268.13"/>
    <x v="1"/>
    <s v="VENDAS DE SERVIÇOS"/>
  </r>
  <r>
    <x v="52"/>
    <s v="AGOSTO"/>
    <s v="CLEAN"/>
    <s v="RICARO"/>
    <n v="12459.61"/>
    <x v="1"/>
    <s v="VENDAS DE SERVIÇOS"/>
  </r>
  <r>
    <x v="57"/>
    <s v="AGOSTO"/>
    <s v="HSERV LIMPEZA"/>
    <s v="NEW PARK TENIS"/>
    <n v="42921.04"/>
    <x v="1"/>
    <s v="VENDAS DE SERVIÇOS"/>
  </r>
  <r>
    <x v="67"/>
    <s v="SETEMBRO"/>
    <s v="HSERV LIMPEZA"/>
    <s v="NEW PARK TENIS"/>
    <n v="42921.04"/>
    <x v="1"/>
    <s v="VENDAS DE SERVIÇOS"/>
  </r>
  <r>
    <x v="68"/>
    <s v="OUTUBRO"/>
    <s v="HSERV LIMPEZA"/>
    <s v="NEW PARK TENIS"/>
    <n v="42921.04"/>
    <x v="1"/>
    <s v="VENDAS DE SERVIÇOS"/>
  </r>
  <r>
    <x v="69"/>
    <s v="NOVEMBRO"/>
    <s v="HSERV LIMPEZA"/>
    <s v="NEW PARK TENIS"/>
    <n v="42921.04"/>
    <x v="1"/>
    <s v="VENDAS DE SERVIÇOS"/>
  </r>
  <r>
    <x v="70"/>
    <s v="DEZEMBRO"/>
    <s v="HSERV LIMPEZA"/>
    <s v="NEW PARK TENIS"/>
    <n v="42921.04"/>
    <x v="1"/>
    <s v="VENDAS DE SERVIÇOS"/>
  </r>
  <r>
    <x v="71"/>
    <s v="AGOSTO"/>
    <s v="LIMPEZA"/>
    <s v="INTERBRILHO HIGIENE E LIMPEZA LTDA"/>
    <n v="900"/>
    <x v="1"/>
    <s v="ASSIDUIDADE"/>
  </r>
  <r>
    <x v="71"/>
    <s v="AGOSTO"/>
    <s v="LIMPEZA"/>
    <s v="IMPROVEMENT FIT ACADEMIA LTDA"/>
    <n v="7850"/>
    <x v="1"/>
    <s v="VENDAS DE SERVIÇOS"/>
  </r>
  <r>
    <x v="47"/>
    <s v="AGOSTO"/>
    <s v="VITOR DUARTE"/>
    <s v="AVENIDA "/>
    <n v="345280"/>
    <x v="1"/>
    <s v="VENDAS DE SERVIÇOS"/>
  </r>
  <r>
    <x v="59"/>
    <s v="AGOSTO"/>
    <s v="HSERV CLEAN"/>
    <s v="J.E. COMERCIO E SOLUCOES LTDA"/>
    <n v="-3135.73"/>
    <x v="0"/>
    <s v="MERCADORIAS PARA REVENDA"/>
  </r>
  <r>
    <x v="59"/>
    <s v="AGOSTO"/>
    <s v="HSERV TERCEIRIZADOS"/>
    <s v="STAR CLEAN PRO INDUSTRIA E COMERCIO DE EQUIPAMENTOS - NF 11.270"/>
    <n v="-1270.08"/>
    <x v="0"/>
    <s v="MERCADORIAS PARA REVENDA"/>
  </r>
  <r>
    <x v="59"/>
    <s v="AGOSTO"/>
    <s v="HSERV COMBINADOS"/>
    <s v="ROSANGELA MARIA CALO"/>
    <n v="-295"/>
    <x v="0"/>
    <s v="DESPESAS"/>
  </r>
  <r>
    <x v="59"/>
    <s v="AGOSTO"/>
    <s v="HSERV REPRESENTACOES"/>
    <s v="MARIA JOSE DA SILVA SANTOS"/>
    <n v="-100"/>
    <x v="0"/>
    <s v="DESPESAS"/>
  </r>
  <r>
    <x v="59"/>
    <s v="AGOSTO"/>
    <s v="VITOR DUARTE"/>
    <s v="SONIA REGINA DA SILVA SOUZA"/>
    <n v="-100"/>
    <x v="0"/>
    <s v="DESPESAS"/>
  </r>
  <r>
    <x v="59"/>
    <s v="AGOSTO"/>
    <s v="VITOR DUARTE"/>
    <s v="MICHELLE SILVA DE JESUS"/>
    <n v="-140"/>
    <x v="0"/>
    <s v="DESPESAS"/>
  </r>
  <r>
    <x v="59"/>
    <s v="AGOSTO"/>
    <s v="VITOR DUARTE"/>
    <s v="IFOOD.COM AGENCIA DE RESTAURANTES ONLINE S.A.-ALIMENTAÇÃO COLABORADORES UPA"/>
    <n v="-477.48"/>
    <x v="0"/>
    <s v="VALE ALIMENTAÇAO"/>
  </r>
  <r>
    <x v="59"/>
    <s v="AGOSTO"/>
    <s v="VITOR DUARTE"/>
    <s v="IFOOD.COM AGENCIA -VALE ALIMENTAÇÃO DE AGOSTO  ADMISSÃO DIA 22/08 SONIA REGINA NA LOJA 05"/>
    <n v="-186.84"/>
    <x v="0"/>
    <s v="VALE COMBUSTIVEL"/>
  </r>
  <r>
    <x v="26"/>
    <s v="AGOSTO"/>
    <s v="HSERV TERCEIRIZADOS"/>
    <s v="ELIZANGELA APARECIDA VITOR- ALIMENTAÇÃO LAVAÇÃO SP -PLURIX"/>
    <n v="-100"/>
    <x v="0"/>
    <s v="VALE ALIMENTAÇAO"/>
  </r>
  <r>
    <x v="26"/>
    <s v="AGOSTO"/>
    <s v="HSERV TERCEIRIZADOS"/>
    <s v="ELIZANGELA APARECIDA VITOR-  ALIMENTAÇÃO (JANTAR) DO DIA 24/08 Á 01/09"/>
    <n v="-103.8"/>
    <x v="0"/>
    <s v="VALE ALIMENTAÇAO"/>
  </r>
  <r>
    <x v="26"/>
    <s v="AGOSTO"/>
    <s v="HSERV TERCEIRIZADOS"/>
    <s v="ELIZANGELA APARECIDA VITOR- REEMBOLSO DE PEDAGIO"/>
    <n v="-193.9"/>
    <x v="0"/>
    <s v="PEDAGIO"/>
  </r>
  <r>
    <x v="26"/>
    <s v="AGOSTO"/>
    <s v="HSERV TERCEIRIZADOS"/>
    <s v="ROGERIO APARECIDA DE MOREIRA A- UBER QUE LEVOU FLAVIA KELLI DA POUSADA ATE A LOJA DO BOA EM PEDREIRA"/>
    <n v="-100"/>
    <x v="0"/>
    <s v="VALE ALIMENTAÇAO"/>
  </r>
  <r>
    <x v="59"/>
    <s v="AGOSTO"/>
    <s v="HSERV TERCEIRIZADOS"/>
    <s v="LOTUS CENTRAL DE DISTRIBUICAO DE HIGIENICOS LTDA NF 173.719"/>
    <n v="-1514.4703030000001"/>
    <x v="0"/>
    <s v="MERCADORIAS PARA REVENDA"/>
  </r>
  <r>
    <x v="57"/>
    <s v="AGOSTO"/>
    <s v="TERCEIRIZADOS"/>
    <s v="BELLART"/>
    <n v="4960.8"/>
    <x v="1"/>
    <s v="VENDAS DE SERVIÇOS"/>
  </r>
  <r>
    <x v="57"/>
    <s v="AGOSTO"/>
    <s v="TERCEIRIZADOS"/>
    <s v="BELLART"/>
    <n v="900"/>
    <x v="1"/>
    <s v="VENDAS DE SERVIÇOS"/>
  </r>
  <r>
    <x v="57"/>
    <s v="AGOSTO"/>
    <s v="TERCEIRIZADOS"/>
    <s v="BELLART"/>
    <n v="17956.39"/>
    <x v="1"/>
    <s v="VENDAS DE SERVIÇOS"/>
  </r>
  <r>
    <x v="49"/>
    <s v="AGOSTO"/>
    <s v="LIMPEZA"/>
    <s v="MIPAL INDUSTRIA DE EVAPORADORES LTDA"/>
    <n v="4717.4399999999996"/>
    <x v="1"/>
    <s v="VENDAS DE SERVIÇOS"/>
  </r>
  <r>
    <x v="49"/>
    <s v="AGOSTO"/>
    <s v="LIMPEZA"/>
    <s v="MIPAL INDUSTRIA DE EVAPORADORES LTDA"/>
    <n v="9938.39"/>
    <x v="1"/>
    <s v="VENDAS DE SERVIÇOS"/>
  </r>
  <r>
    <x v="49"/>
    <s v="AGOSTO"/>
    <s v="LIMPEZA"/>
    <s v="MIPAL INDUSTRIA DE EVAPORADORES LTDA"/>
    <n v="22139.98"/>
    <x v="1"/>
    <s v="VENDAS DE SERVIÇOS"/>
  </r>
  <r>
    <x v="72"/>
    <s v="SETEMBRO"/>
    <s v="CLEAN"/>
    <s v="SANTA CASA DE MISERICORDIA DE CABREUVA"/>
    <n v="22930"/>
    <x v="1"/>
    <s v="VENDAS DE SERVIÇOS"/>
  </r>
  <r>
    <x v="68"/>
    <s v="OUTUBRO"/>
    <s v="CLEAN"/>
    <s v="SANTA CASA DE MISERICORDIA DE CABREUVA"/>
    <n v="22930"/>
    <x v="1"/>
    <s v="VENDAS DE SERVIÇOS"/>
  </r>
  <r>
    <x v="69"/>
    <s v="NOVEMBRO"/>
    <s v="CLEAN"/>
    <s v="SANTA CASA DE MISERICORDIA DE CABREUVA"/>
    <n v="22930"/>
    <x v="1"/>
    <s v="VENDAS DE SERVIÇOS"/>
  </r>
  <r>
    <x v="70"/>
    <s v="DEZEMBRO"/>
    <s v="CLEAN"/>
    <s v="SANTA CASA DE MISERICORDIA DE CABREUVA"/>
    <n v="22930"/>
    <x v="1"/>
    <s v="VENDAS DE SERVIÇOS"/>
  </r>
  <r>
    <x v="52"/>
    <s v="AGOSTO"/>
    <s v="REPRESENTAÇÃO"/>
    <s v="VETTOR PECAS"/>
    <n v="1200"/>
    <x v="1"/>
    <s v="VENDAS DE SERVIÇOS"/>
  </r>
  <r>
    <x v="52"/>
    <s v="AGOSTO"/>
    <s v="REPRESENTAÇÃO"/>
    <s v="VETTOR TORRES DE RESFRIAMENTO LTDA"/>
    <n v="1500"/>
    <x v="1"/>
    <s v="VENDAS DE SERVIÇOS"/>
  </r>
  <r>
    <x v="52"/>
    <s v="AGOSTO"/>
    <s v="LIMPEZA"/>
    <s v="NEW PARK TENIS"/>
    <n v="600"/>
    <x v="1"/>
    <s v="ASSIDUIDADE"/>
  </r>
  <r>
    <x v="52"/>
    <s v="AGOSTO"/>
    <s v="CLEAN"/>
    <s v="SANTA CASA DE MISERICORDIA DE CABREUVA"/>
    <n v="1565.33"/>
    <x v="1"/>
    <s v="VENDAS DE SERVIÇOS"/>
  </r>
  <r>
    <x v="52"/>
    <s v="AGOSTO"/>
    <s v="CLEAN"/>
    <s v="SANTA CASA DE MISERICORDIA DE CABREUVA"/>
    <n v="22930"/>
    <x v="1"/>
    <s v="VENDAS DE SERVIÇOS"/>
  </r>
  <r>
    <x v="31"/>
    <s v="AGOSTO"/>
    <s v="CLEAN"/>
    <s v="PLASTY COMERCIAL DE PLASTICOS LTDA"/>
    <n v="1500"/>
    <x v="1"/>
    <s v="VENDAS DE SERVIÇOS"/>
  </r>
  <r>
    <x v="31"/>
    <s v="AGOSTO"/>
    <s v="CLEAN"/>
    <s v="PLASTY COMERCIAL DE PLASTICOS LTDA"/>
    <n v="2373.31"/>
    <x v="1"/>
    <s v="VENDAS DE SERVIÇOS"/>
  </r>
  <r>
    <x v="31"/>
    <s v="AGOSTO"/>
    <s v="CLEAN"/>
    <s v="PLASTY COMERCIAL DE PLASTICOS LTDA"/>
    <n v="5823.82"/>
    <x v="1"/>
    <s v="VENDAS DE SERVIÇOS"/>
  </r>
  <r>
    <x v="31"/>
    <s v="AGOSTO"/>
    <s v="CLEAN"/>
    <s v="PLASTY COMERCIAL DE PLASTICOS LTDA"/>
    <n v="7526.95"/>
    <x v="1"/>
    <s v="VENDAS DE SERVIÇOS"/>
  </r>
  <r>
    <x v="31"/>
    <s v="AGOSTO"/>
    <s v="CLEAN"/>
    <s v="PLASTY COMERCIAL DE PLASTICOS LTDA"/>
    <n v="25756.63"/>
    <x v="1"/>
    <s v="VENDAS DE SERVIÇOS"/>
  </r>
  <r>
    <x v="31"/>
    <s v="AGOSTO"/>
    <s v="CLEAN"/>
    <s v="ITW DO BRASIL"/>
    <n v="1073"/>
    <x v="1"/>
    <s v="VENDAS DE SERVIÇOS"/>
  </r>
  <r>
    <x v="45"/>
    <s v="SETEMBRO"/>
    <s v="CLEAN"/>
    <s v="RIOS DAS PEDRAS-SONIA MARIA MALZONI M"/>
    <n v="8400"/>
    <x v="1"/>
    <s v="VENDAS DE SERVIÇOS"/>
  </r>
  <r>
    <x v="38"/>
    <s v="OUTUBRO"/>
    <s v="HSERV COMBINADOS"/>
    <s v="RIOS DAS PEDRAS"/>
    <n v="7440"/>
    <x v="1"/>
    <s v="VENDAS DE SERVIÇOS"/>
  </r>
  <r>
    <x v="33"/>
    <s v="NOVEMBRO"/>
    <s v="HSERV COMBINADOS"/>
    <s v="RIOS DAS PEDRAS"/>
    <n v="7440"/>
    <x v="1"/>
    <s v="VENDAS DE SERVIÇOS"/>
  </r>
  <r>
    <x v="34"/>
    <s v="DEZEMBRO"/>
    <s v="HSERV COMBINADOS"/>
    <s v="RIOS DAS PEDRAS"/>
    <n v="7440"/>
    <x v="1"/>
    <s v="VENDAS DE SERVIÇOS"/>
  </r>
  <r>
    <x v="49"/>
    <s v="AGOSTO"/>
    <s v="CABREUVA"/>
    <s v="BOA"/>
    <n v="688060.88"/>
    <x v="1"/>
    <s v="VENDAS DE SERVIÇOS"/>
  </r>
  <r>
    <x v="26"/>
    <s v="AGOSTO"/>
    <s v="CABREUVA"/>
    <s v="BOA R$ 856.612,19 -- FALTAVA R$ 162.068,9"/>
    <n v="135668.9"/>
    <x v="1"/>
    <s v="VENDAS DE SERVIÇOS"/>
  </r>
  <r>
    <x v="40"/>
    <s v="AGOSTO"/>
    <s v="HSERV TERCEIRIZADOS"/>
    <s v="COBERTURA DE LIMITE-HSERV TERCERIZADOS ND"/>
    <n v="-1993.55"/>
    <x v="0"/>
    <s v="LIMITE"/>
  </r>
  <r>
    <x v="40"/>
    <s v="AGOSTO"/>
    <s v="HSERV CABREUVA"/>
    <s v="BORELA ADVOGADOS ASSOCIADOS-Proc 0010084-90.2025.5.15.0018 AUTOR: VANESSA ALESSANDRA NUNES DA COSTA-PARCELA 1/2"/>
    <n v="-2000"/>
    <x v="0"/>
    <s v="ACORDO TRABALHISTA"/>
  </r>
  <r>
    <x v="40"/>
    <s v="AGOSTO"/>
    <s v="HSERV CABREUVA"/>
    <s v="PEDRO LEOPOLDO BRUNELLI JUNIOR -Processo n. 0011252-29.2021.5.15.0096  AUTOR: DANILO MIGUEL DA SILVA  -PARCEL A 3/4"/>
    <n v="-2688.37"/>
    <x v="0"/>
    <s v="ACORDO TRABALHISTA"/>
  </r>
  <r>
    <x v="22"/>
    <s v="JULHO"/>
    <s v="HENRIQUE JEAN"/>
    <s v="VERA LUCIA FELIX DE OLIVEIRA"/>
    <n v="-87.32"/>
    <x v="0"/>
    <s v="RESCISÕES"/>
  </r>
  <r>
    <x v="22"/>
    <s v="JULHO"/>
    <s v="HENRIQUE JEAN"/>
    <s v="VERA LUCIA FELIX DE OLIVEIRA"/>
    <n v="-166.65"/>
    <x v="0"/>
    <s v="RESCISÕES"/>
  </r>
  <r>
    <x v="22"/>
    <s v="JULHO"/>
    <s v="VITOR DUARTE"/>
    <s v="VANDERLEI APARECIDO SOARES DOS SANTOS"/>
    <n v="-169.78"/>
    <x v="0"/>
    <s v="RESCISÕES"/>
  </r>
  <r>
    <x v="9"/>
    <s v="JULHO"/>
    <s v="HENRIQUE JEAN"/>
    <s v="CEF MATRIZ--EMPRESTIMO HENRIQUE IEAN VENCIDO "/>
    <n v="-6371.92"/>
    <x v="0"/>
    <s v="EMPRESTIMO "/>
  </r>
  <r>
    <x v="9"/>
    <s v="JULHO"/>
    <s v="HSERV COMBINADOS"/>
    <s v="CEF MATRIZ--EMPRESTIMO HSERV COMBINADOS VENCIDO "/>
    <n v="-6456.32"/>
    <x v="0"/>
    <s v="EMPRESTIMO "/>
  </r>
  <r>
    <x v="9"/>
    <s v="JULHO"/>
    <s v="HSERV COMBINADOS"/>
    <s v="DANIEL DE ARAUJO- FT REALIZADA DIA 18/07- "/>
    <n v="-120"/>
    <x v="0"/>
    <s v="FT"/>
  </r>
  <r>
    <x v="23"/>
    <s v="AGOSTO"/>
    <s v="HENRIQUE JEAN"/>
    <s v="CEF MATRIZ--EMPRESTIMO HENRIQUE IEAN VENCIDO EM JUNHO 2025"/>
    <n v="-6462.87"/>
    <x v="0"/>
    <s v="EMPRESTIMO "/>
  </r>
  <r>
    <x v="23"/>
    <s v="AGOSTO"/>
    <s v="HSERV COMBINADOS"/>
    <s v="CEF MATRIZ-EMPRESTIMO HSERV COMBINADOS VENCIDO EM JUNHO 2025"/>
    <n v="-6555.83"/>
    <x v="0"/>
    <s v="EMPRESTIMO "/>
  </r>
  <r>
    <x v="44"/>
    <s v="SETEMBRO"/>
    <s v="VITOR DUARTE"/>
    <s v="ALTOLIM COMERCIAL ASSIS EIRELI  NF 40.912"/>
    <n v="-136.43000599999999"/>
    <x v="0"/>
    <s v="UNIFORMES"/>
  </r>
  <r>
    <x v="26"/>
    <s v="AGOSTO"/>
    <s v="HSERV TERCEIRIZADOS"/>
    <s v="FABIA REGIANE AMARO CABRAL"/>
    <n v="-123.5"/>
    <x v="0"/>
    <s v="RESCISÕES"/>
  </r>
  <r>
    <x v="26"/>
    <s v="AGOSTO"/>
    <s v="VITOR DUARTE"/>
    <s v="SUELEN DOS REIS FOSTINO FELIX-VALE ALIMENTAÇÃO DO DIA 28/08 AO DIA 31/08  PEDREIRA"/>
    <n v="-83.04"/>
    <x v="0"/>
    <s v="VALE ALIMENTAÇAO"/>
  </r>
  <r>
    <x v="26"/>
    <s v="AGOSTO"/>
    <s v="VITOR DUARTE"/>
    <s v="JOAO CAETANO GUEDES-VALE ALIMENTAÇÃO DO DIA 28/08 AO DIA 31/08  PEDREIRA"/>
    <n v="-83.04"/>
    <x v="0"/>
    <s v="VALE ALIMENTAÇAO"/>
  </r>
  <r>
    <x v="26"/>
    <s v="AGOSTO"/>
    <s v="VITOR DUARTE"/>
    <s v="CRISTIANA APARECIDA PEREIRA LIMA-VALE ALIMENTAÇÃO DO DIA 28/08 AO DIA 31/08  PEDREIRA"/>
    <n v="-83.04"/>
    <x v="0"/>
    <s v="VALE ALIMENTAÇAO"/>
  </r>
  <r>
    <x v="26"/>
    <s v="AGOSTO"/>
    <s v="VITOR DUARTE"/>
    <s v="IFOOD.COM AGENCIA DE RESTAURANTES ONLINE S.A.-VALE COMBUSTIVEL GEDSON"/>
    <n v="-210"/>
    <x v="0"/>
    <s v="VALE COMBUSTIVEL"/>
  </r>
  <r>
    <x v="26"/>
    <s v="AGOSTO"/>
    <s v="HSERV COMBINADOS"/>
    <s v="TALITA SEABRA VEIGA"/>
    <n v="-86.1"/>
    <x v="0"/>
    <s v="VALE TRANSPORTE"/>
  </r>
  <r>
    <x v="26"/>
    <s v="AGOSTO"/>
    <s v="HSERV COMBINADOS"/>
    <s v="EUNICE ALMEIDA DOS SANTOS"/>
    <n v="-151.19999999999999"/>
    <x v="0"/>
    <s v="VALE TRANSPORTE"/>
  </r>
  <r>
    <x v="26"/>
    <s v="AGOSTO"/>
    <s v="VITOR DUARTE"/>
    <s v="JOAO CAETANO GUEDES"/>
    <n v="-270"/>
    <x v="0"/>
    <s v="VALE TRANSPORTE"/>
  </r>
  <r>
    <x v="26"/>
    <s v="AGOSTO"/>
    <s v="VITOR DUARTE"/>
    <s v="CRISTIANA APARECIDA PEREIRA LIMA"/>
    <n v="-270"/>
    <x v="0"/>
    <s v="VALE TRANSPORTE"/>
  </r>
  <r>
    <x v="26"/>
    <s v="AGOSTO"/>
    <s v="VITOR DUARTE"/>
    <s v="SUELEN DOS REIS FOSTINO FELIX"/>
    <n v="-270"/>
    <x v="0"/>
    <s v="VALE TRANSPORTE"/>
  </r>
  <r>
    <x v="26"/>
    <s v="AGOSTO"/>
    <s v="HSERV COMBINADOS"/>
    <s v="HENRIQUE JEAN - PROLABORE"/>
    <n v="-2000"/>
    <x v="0"/>
    <s v="PROLABORE"/>
  </r>
  <r>
    <x v="26"/>
    <s v="AGOSTO"/>
    <s v="HSERV COMBINADOS"/>
    <s v="NUCLEO- JC SOARES DE OLIVEIRA ESTAMPARIA-CAMISETAS PERSONALIZADAS ADMNISTRATIVO "/>
    <n v="-400"/>
    <x v="0"/>
    <s v="UNIFORMES"/>
  </r>
  <r>
    <x v="63"/>
    <s v="SETEMBRO"/>
    <s v="HSERV CABREUVA"/>
    <s v="SIEMACO-PRUDENTE SINDICATO AVENIDA, ASSIS E REGIÃO"/>
    <n v="-1905.5"/>
    <x v="0"/>
    <s v="SINDICATO"/>
  </r>
  <r>
    <x v="31"/>
    <s v="AGOSTO"/>
    <s v="HSERV CLEAN"/>
    <s v="SOFT WORKS EPI CALCADOS LTDA- VENCIMENTO 13/08/2025-PRORROGADO SEM JUROS PARA O DIA 29/08"/>
    <n v="-1722.8"/>
    <x v="0"/>
    <s v="UNIFORMES"/>
  </r>
  <r>
    <x v="31"/>
    <s v="AGOSTO"/>
    <s v="HSERV CLEAN"/>
    <s v="SOFT WORKS EPI CALCADOS LTDA- NF 220.732"/>
    <n v="-536"/>
    <x v="0"/>
    <s v="UNIFORMES"/>
  </r>
  <r>
    <x v="57"/>
    <s v="AGOSTO"/>
    <s v="HSERV LCLEAN"/>
    <s v="EMPRESTIMO INTER"/>
    <n v="110000"/>
    <x v="1"/>
    <s v="EMPRESTIMO "/>
  </r>
  <r>
    <x v="17"/>
    <s v="AGOSTO"/>
    <s v="HSERV TERCEIRIZADOS"/>
    <s v="SAMUEL ALEXANDER NARANJO RODRIGUEZ"/>
    <n v="-115"/>
    <x v="0"/>
    <s v="RESCISÕES"/>
  </r>
  <r>
    <x v="17"/>
    <s v="AGOSTO"/>
    <s v="HSERV COMBINADOS"/>
    <s v="FABIO NOGUEIRA DA SILVA LOPES"/>
    <n v="-135.30000000000001"/>
    <x v="0"/>
    <s v="VALE TRANSPORTE"/>
  </r>
  <r>
    <x v="55"/>
    <s v="AGOSTO"/>
    <s v="HSERV COMBINADOS"/>
    <s v="SONIA REGINA DA SILVA SOUZA"/>
    <n v="-100"/>
    <x v="0"/>
    <s v="VALE TRANSPORTE"/>
  </r>
  <r>
    <x v="55"/>
    <s v="AGOSTO"/>
    <s v="HSERV COMBINADOS"/>
    <s v="ROSANGELA CAMPOS PERROUD"/>
    <n v="-135.30000000000001"/>
    <x v="0"/>
    <s v="VALE TRANSPORTE"/>
  </r>
  <r>
    <x v="55"/>
    <s v="AGOSTO"/>
    <s v="HSERV COMBINADOS"/>
    <s v="LUANA VITORIA MARQUES LIMA"/>
    <n v="-325"/>
    <x v="0"/>
    <s v="VALE TRANSPORTE"/>
  </r>
  <r>
    <x v="17"/>
    <s v="AGOSTO"/>
    <s v="HSERV COMBINADOS"/>
    <s v="SANDRA RIBEIRO DA SILVA"/>
    <n v="-205"/>
    <x v="0"/>
    <s v="VALE TRANSPORTE"/>
  </r>
  <r>
    <x v="17"/>
    <s v="AGOSTO"/>
    <s v="HSERV COMBINADOS"/>
    <s v="WAGNER BIONDO"/>
    <n v="-103.4"/>
    <x v="0"/>
    <s v="VALE TRANSPORTE"/>
  </r>
  <r>
    <x v="17"/>
    <s v="AGOSTO"/>
    <s v="HSERV COMBINADOS"/>
    <s v="PALOMA CARVALHO PINHEIRO"/>
    <n v="-132"/>
    <x v="0"/>
    <s v="VALE TRANSPORTE"/>
  </r>
  <r>
    <x v="17"/>
    <s v="AGOSTO"/>
    <s v="HSERV COMBINADOS"/>
    <s v="ALCIDES PEREIRA DE SOUZA"/>
    <n v="-233"/>
    <x v="0"/>
    <s v="VALE TRANSPORTE"/>
  </r>
  <r>
    <x v="17"/>
    <s v="AGOSTO"/>
    <s v="HSERV COMBINADOS"/>
    <s v="MARCIA VALERIA DA SILVA"/>
    <n v="-220"/>
    <x v="0"/>
    <s v="VALE TRANSPORTE"/>
  </r>
  <r>
    <x v="17"/>
    <s v="AGOSTO"/>
    <s v="HSERV COMBINADOS"/>
    <s v="MARIA LUCIA BENTO"/>
    <n v="-123"/>
    <x v="0"/>
    <s v="VALE TRANSPORTE"/>
  </r>
  <r>
    <x v="17"/>
    <s v="AGOSTO"/>
    <s v="VITOR DUARTE"/>
    <s v="JULIA LOURENCIO FRANCO"/>
    <n v="-274"/>
    <x v="0"/>
    <s v="VALE TRANSPORTE"/>
  </r>
  <r>
    <x v="17"/>
    <s v="AGOSTO"/>
    <s v="VITOR DUARTE"/>
    <s v="MILIANE TALITA DA SILVA ALVES"/>
    <n v="-51.8"/>
    <x v="0"/>
    <s v="VALE TRANSPORTE"/>
  </r>
  <r>
    <x v="17"/>
    <s v="AGOSTO"/>
    <s v="VITOR DUARTE"/>
    <s v="JULIA LOURENCIO FRANCO"/>
    <n v="-228.36"/>
    <x v="0"/>
    <s v="VALE ALIMENTAÇAO"/>
  </r>
  <r>
    <x v="17"/>
    <s v="AGOSTO"/>
    <s v="VITOR DUARTE"/>
    <s v="IFOOD.COM AGENCIA DE RESTAURANTES ONLINE S.A."/>
    <n v="-604.55999999999995"/>
    <x v="0"/>
    <s v="VALE ALIMENTAÇAO"/>
  </r>
  <r>
    <x v="55"/>
    <s v="AGOSTO"/>
    <s v="VITOR DUARTE"/>
    <s v="JOAO CAETANO GUEDES-VALE TRANSPORTE DO DIA 18/08 AO DIA 27/08 PEDREIRA R$10,00"/>
    <n v="-162"/>
    <x v="0"/>
    <s v="VALE TRANSPORTE"/>
  </r>
  <r>
    <x v="55"/>
    <s v="AGOSTO"/>
    <s v="VITOR DUARTE"/>
    <s v="SUELEN DOS REIS FOSTINO FELIX VALE TRANSPORTE DO DIA 18/08 AO DIA 27/08 PEDREIRA R$10,00"/>
    <n v="-162"/>
    <x v="0"/>
    <s v="VALE TRANSPORTE"/>
  </r>
  <r>
    <x v="55"/>
    <s v="AGOSTO"/>
    <s v="VITOR DUARTE"/>
    <s v="CRISTIANA APARECIDA PEREIRA LIMA-VALE TRANSPORTE DO DIA 18/08 AO DIA 27/08"/>
    <n v="-126"/>
    <x v="0"/>
    <s v="VALE TRANSPORTE"/>
  </r>
  <r>
    <x v="55"/>
    <s v="AGOSTO"/>
    <s v="VITOR DUARTE"/>
    <s v="JOAO CAETANO GUEDES -VALE T ALIMENTAÇÃO DO DIA 20/08 AO DIA 27/08 "/>
    <n v="-145.32"/>
    <x v="0"/>
    <s v="VALE TRANSPORTE"/>
  </r>
  <r>
    <x v="55"/>
    <s v="AGOSTO"/>
    <s v="VITOR DUARTE"/>
    <s v="SUELEN DOS REIS FOSTINO FELIX-VALE ALIMENTAÇÃO DO DIA 18/08 AO DIA 27/08 "/>
    <n v="-145.32"/>
    <x v="0"/>
    <s v="VALE ALIMENTAÇAO"/>
  </r>
  <r>
    <x v="55"/>
    <s v="AGOSTO"/>
    <s v="VITOR DUARTE"/>
    <s v="CRISTIANA APARECIDA PEREIRA LIMA-VALE  ALIEMNTAÇAO DO DIA 18/08 AO DIA 27/08"/>
    <n v="-145.32"/>
    <x v="0"/>
    <s v="VALE ALIMENTAÇAO"/>
  </r>
  <r>
    <x v="55"/>
    <s v="AGOSTO"/>
    <s v="HSERV TERCERIZADOS"/>
    <s v="KELLY LOPES DA SILVA - FTS FALTANTE RICOY PERIODO DO DIA 03/7 A 16/07"/>
    <n v="-824.16"/>
    <x v="0"/>
    <s v="FT"/>
  </r>
  <r>
    <x v="55"/>
    <s v="AGOSTO"/>
    <s v="HENRIQUE JEAN"/>
    <s v="LUCINEIA CANDIDA GONCALVES-ADIANTAMENTO SALARIAL"/>
    <n v="-900"/>
    <x v="0"/>
    <s v="SALARIOS"/>
  </r>
  <r>
    <x v="40"/>
    <s v="AGOSTO"/>
    <s v="HENRIQUE JEAN"/>
    <s v="TARIFA MANUTENCAO CONTA- BANCO CAIXA"/>
    <n v="-69"/>
    <x v="0"/>
    <s v="TARIFAS BANCARIAS"/>
  </r>
  <r>
    <x v="40"/>
    <s v="AGOSTO"/>
    <s v="HSERV COMBINADOS"/>
    <s v="SONIA MARIA MALZONI M 22/08"/>
    <n v="8400"/>
    <x v="1"/>
    <s v="VENDAS DE SERVIÇOS"/>
  </r>
  <r>
    <x v="23"/>
    <s v="AGOSTO"/>
    <s v="HSERV COMBINADOS"/>
    <s v="MARIA DE JESUS SANTOS"/>
    <n v="-174.6"/>
    <x v="0"/>
    <s v="VALE TRANSPORTE"/>
  </r>
  <r>
    <x v="23"/>
    <s v="AGOSTO"/>
    <s v="HSERV TERCEIRIZADOS"/>
    <s v="JOSIMARA LINO DOS SANTOS"/>
    <n v="-100"/>
    <x v="0"/>
    <s v="VALE TRANSPORTE"/>
  </r>
  <r>
    <x v="23"/>
    <s v="AGOSTO"/>
    <s v="HSERV TERCEIRIZADOS"/>
    <s v="RODNEI APARECIDO PACCINI DE LIMA"/>
    <n v="-100"/>
    <x v="0"/>
    <s v="VALE TRANSPORTE"/>
  </r>
  <r>
    <x v="23"/>
    <s v="AGOSTO"/>
    <s v="HSERV TERCEIRIZADOS"/>
    <s v="SARA ALMEIDA LOPES"/>
    <n v="-100"/>
    <x v="0"/>
    <s v="VALE TRANSPORTE"/>
  </r>
  <r>
    <x v="23"/>
    <s v="AGOSTO"/>
    <s v="HSERV TERCEIRIZADOS"/>
    <s v="RAFAEL DA SILVA RIBEIRO"/>
    <n v="-100"/>
    <x v="0"/>
    <s v="VALE TRANSPORTE"/>
  </r>
  <r>
    <x v="23"/>
    <s v="AGOSTO"/>
    <s v="HSERV TERCEIRIZADOS"/>
    <s v="LUAN HENRIQUE COSTA RIBEIRO"/>
    <n v="-100"/>
    <x v="0"/>
    <s v="VALE TRANSPORTE"/>
  </r>
  <r>
    <x v="23"/>
    <s v="AGOSTO"/>
    <s v="HSERV TERCEIRIZADOS"/>
    <s v="KEDLEI PATRICK FERREIRA"/>
    <n v="-100"/>
    <x v="0"/>
    <s v="VALE TRANSPORTE"/>
  </r>
  <r>
    <x v="23"/>
    <s v="AGOSTO"/>
    <s v="VITOR DUARTE"/>
    <s v="TABATHA TUANY TAVARES"/>
    <n v="-61.5"/>
    <x v="0"/>
    <s v="VALE TRANSPORTE"/>
  </r>
  <r>
    <x v="23"/>
    <s v="AGOSTO"/>
    <s v="VITOR DUARTE"/>
    <s v="MAIKON CEZARIO DOS SANTOS COPINO"/>
    <n v="-162"/>
    <x v="0"/>
    <s v="VALE TRANSPORTE"/>
  </r>
  <r>
    <x v="39"/>
    <s v="OUTUBRO"/>
    <s v="HSERV CLEAN"/>
    <s v="DEVOLUÇÃO EMPRESTIMO INTER- RETIRADA DE R$ 110.000,00 DIA 15/08 E R$ 10.000,00 DIA 05/09"/>
    <n v="-171000"/>
    <x v="0"/>
    <s v="EMPRESTIMO "/>
  </r>
  <r>
    <x v="31"/>
    <s v="AGOSTO"/>
    <s v="HSERV COMBINADOS"/>
    <s v="THIAGO ALMEIDA SANTANA-VALE ALIMENTAÇÃO DO DIA  20/08 e 29/08  SOLICITADO PELA PAMELA VIA EMAIL"/>
    <n v="-41.52"/>
    <x v="0"/>
    <s v="VALE ALIMENTAÇÃO"/>
  </r>
  <r>
    <x v="31"/>
    <s v="AGOSTO"/>
    <s v="VITOR DUARTE"/>
    <s v="VIVA FOOD R E LTDA"/>
    <n v="-17235"/>
    <x v="0"/>
    <s v="VALE ALIMENTAÇÃO"/>
  </r>
  <r>
    <x v="49"/>
    <s v="AGOSTO"/>
    <s v="HSERV TERCEIRIZADOS"/>
    <s v="LOTUS CENTRAL DE DISTRIBUICAO DE HIGIENICOS LTDA NF169.062-VENCIMENTO 15/08/2025"/>
    <n v="-368.7"/>
    <x v="0"/>
    <s v="MERCADORIAS PARA REVENDA"/>
  </r>
  <r>
    <x v="57"/>
    <s v="AGOSTO"/>
    <s v="VITOR DUARTE"/>
    <s v="GABRIEL GATTI DA SILVA"/>
    <n v="-1091.77"/>
    <x v="0"/>
    <s v="RESCISÕES"/>
  </r>
  <r>
    <x v="57"/>
    <s v="AGOSTO"/>
    <s v="HSERV CLEAN"/>
    <s v="BRAN ENGENHARIA LTDA-0217/2025 CLCB (Certificado de licença do Corpo de Bombeiro) 021/2025 Equipamentos-LOJA CLEAN"/>
    <n v="-700"/>
    <x v="0"/>
    <s v="MANUTENÇÃO "/>
  </r>
  <r>
    <x v="57"/>
    <s v="AGOSTO"/>
    <s v="HSERV TERCEIRIZADOS"/>
    <s v="JOSELITA DA SILVA:    FT FALTANTES"/>
    <n v="-860"/>
    <x v="0"/>
    <s v="FT"/>
  </r>
  <r>
    <x v="57"/>
    <s v="AGOSTO"/>
    <s v="HSERV TERCEIRIZADOS"/>
    <s v="MARIA ROSEANE- FT FALTANTES"/>
    <n v="-1648.48"/>
    <x v="0"/>
    <s v="FT"/>
  </r>
  <r>
    <x v="49"/>
    <s v="AGOSTO"/>
    <s v="HSERV CLEAN"/>
    <s v="J.E. COMERCIO E SOLUCOES LTDA- NF 11.132 VENCIMENTO 15/08/2025-PRORROGADO"/>
    <n v="-1382.3"/>
    <x v="0"/>
    <s v="MERCADORIAS PARA REVENDA"/>
  </r>
  <r>
    <x v="57"/>
    <s v="AGOSTO"/>
    <s v="HSERV CABREUVA"/>
    <s v="CUSTAS FINAIS -Proc 0011413-05.2022.5.15.0096 RECLAMANTE: ANDERSON RAIMUNDO DUARTE"/>
    <n v="-163.12"/>
    <x v="0"/>
    <s v="ACORDO TRABALHISTA"/>
  </r>
  <r>
    <x v="57"/>
    <s v="AGOSTO"/>
    <s v="HSERV CABREUVA"/>
    <s v="Wellington Abreu de Jesus-Vale-Refeição e Vale transporte  R$ 20,76/dia × 4 dias"/>
    <n v="-177.04"/>
    <x v="0"/>
    <s v="VALE ALIMENTAÇÃO "/>
  </r>
  <r>
    <x v="57"/>
    <s v="AGOSTO"/>
    <s v="HSERV CABREUVA"/>
    <s v="FABIANO SAMPAIO DAVILA- PROCESSO 0011969-47.2022.5.15.0018CLAUDINEIA SANTOS DA SILVA -PARCELA 9/9"/>
    <n v="-3500"/>
    <x v="0"/>
    <s v="ACORDO TRABALHISTA"/>
  </r>
  <r>
    <x v="57"/>
    <s v="AGOSTO"/>
    <s v="HENRIQUE JEAN"/>
    <s v="SAMANTHA PATRICIA MACHADO DE GOUVEIA -PROC  nº 0010287-43.2024.5.15.0097-SHEILA PASSALINE FERRAZ- PARCELA 3/4"/>
    <n v="-1000"/>
    <x v="0"/>
    <s v="ACORDO TRABALHISTA"/>
  </r>
  <r>
    <x v="65"/>
    <s v="NOVEMBRO"/>
    <s v="HSERV COMBINADOS"/>
    <s v="ANDRADE FREITAS SOCIEDADE DE ADVOGADOS-Proc 0012259-82.2024.5.15.0021 ESTEVAO GOMES DE SOUZA PARCELA 5/5"/>
    <n v="-5600"/>
    <x v="0"/>
    <s v="ACORDO TRABALHISTA"/>
  </r>
  <r>
    <x v="64"/>
    <s v="OUTUBRO"/>
    <s v="HSERV TERCEIRIZADOS"/>
    <s v="LOTUS CENTRAL DE DISTRIBUICAO DE HIGIENICOS LTDA"/>
    <n v="-2141.69"/>
    <x v="0"/>
    <s v="MERCADORIAS PARA REVENDA"/>
  </r>
  <r>
    <x v="73"/>
    <s v="OUTUBRO"/>
    <s v="HSERV TERCEIRIZADOS"/>
    <s v="CAETANO BERNARDES NEUBAUER Proc 0010591-77.2025.5.15.0074 RECLAMANTE: SIMONE FERREIRA DA SILVA -PARCELA  2/6"/>
    <n v="-1000"/>
    <x v="0"/>
    <s v="ACORDO TRABALHISTA"/>
  </r>
  <r>
    <x v="73"/>
    <s v="OUTUBRO"/>
    <s v="VITOR DUARTE"/>
    <s v="SCOLA &amp; FALCAO SOCIEDADE DE ADVOGADAS Processo: 0010503-86.2025.5.15.0026 Reclamante: NAIR DONIZETE TEODORO DE ANDRADE PARCELA 2/5"/>
    <n v="-1000"/>
    <x v="0"/>
    <s v="ACORDO TRABALHISTA"/>
  </r>
  <r>
    <x v="73"/>
    <s v="OUTUBRO"/>
    <s v="HENRIQUE JEAN"/>
    <s v="SAMANTHA PATRICIA MACHADO DE GOUVEIA-Roc 0010968-81.2023.5.15.0021 AUTOR: ELIANA APARECIDA DOS SANTOS DA SILVA"/>
    <n v="-871.9"/>
    <x v="0"/>
    <s v="ACORDO TRABALHISTA"/>
  </r>
  <r>
    <x v="73"/>
    <s v="OUTUBRO"/>
    <s v="HSERV COMBINADOS"/>
    <s v="ANDRADE FREITAS SOCIEDADE DE ADVOGADOS-Proc 0012259-82.2024.5.15.0021 ESTEVAO GOMES DE SOUZA PARCELA 4/5"/>
    <n v="-5600"/>
    <x v="0"/>
    <s v="ACORDO TRABALHISTA"/>
  </r>
  <r>
    <x v="60"/>
    <s v="SETEMBRO"/>
    <s v="HSERV COMBINADOS"/>
    <s v="ANDRADE FREITAS SOCIEDADE DE ADVOGADOS-Proc 0012259-82.2024.5.15.0021 ESTEVAO GOMES DE SOUZA PARCELA 3/5"/>
    <n v="-5600"/>
    <x v="0"/>
    <s v="ACORDO TRABALHISTA"/>
  </r>
  <r>
    <x v="50"/>
    <s v="AGOSTO"/>
    <s v="VITOR DUARTE"/>
    <s v="VIVIAN APARECIDA MENDES"/>
    <n v="-155.27000000000001"/>
    <x v="0"/>
    <s v="RESCISÕES"/>
  </r>
  <r>
    <x v="50"/>
    <s v="AGOSTO"/>
    <s v="HSERV REPRESENTACOES"/>
    <s v="GRRF JURANDIR LUCAS BEZERRA"/>
    <n v="-166.39"/>
    <x v="0"/>
    <s v="RESCISÕES"/>
  </r>
  <r>
    <x v="50"/>
    <s v="AGOSTO"/>
    <s v="HSERV CLEAN"/>
    <s v="GILBERTO SILVA SANTOS"/>
    <n v="-90"/>
    <x v="0"/>
    <s v="VALE TRANSPORTE"/>
  </r>
  <r>
    <x v="50"/>
    <s v="AGOSTO"/>
    <s v="HSERV COMBINADOS"/>
    <s v="MARIA DE JESUS SANTOS"/>
    <n v="-291"/>
    <x v="0"/>
    <s v="VALE TRANSPORTE"/>
  </r>
  <r>
    <x v="50"/>
    <s v="AGOSTO"/>
    <s v="HSERV COMBINADOS"/>
    <s v="MARIA ISABELE CELESTE DUARTE"/>
    <n v="-177"/>
    <x v="0"/>
    <s v="VALE TRANSPORTE"/>
  </r>
  <r>
    <x v="50"/>
    <s v="AGOSTO"/>
    <s v="HSERV REPRESENTACOES"/>
    <s v="LAURINDA MARIA SANTOS NEVES"/>
    <n v="-90"/>
    <x v="0"/>
    <s v="VALE TRANSPORTE"/>
  </r>
  <r>
    <x v="50"/>
    <s v="AGOSTO"/>
    <s v="VITOR DUARTE"/>
    <s v="TABATHA TUANY TAVARES"/>
    <n v="-123"/>
    <x v="0"/>
    <s v="VALE TRANSPORTE"/>
  </r>
  <r>
    <x v="50"/>
    <s v="AGOSTO"/>
    <s v="VITOR DUARTE"/>
    <s v="DAIANA INDIANARA DE PAULA SILVA"/>
    <n v="-224.2"/>
    <x v="0"/>
    <s v="VALE TRANSPORTE"/>
  </r>
  <r>
    <x v="50"/>
    <s v="AGOSTO"/>
    <s v="VITOR DUARTE"/>
    <s v="CARLOS WASHINGTON DE ALMEIDA"/>
    <n v="-100"/>
    <x v="0"/>
    <s v="VALE TRANSPORTE"/>
  </r>
  <r>
    <x v="50"/>
    <s v="AGOSTO"/>
    <s v="VITOR DUARTE"/>
    <s v="FABIANA DE LIMA VIEIRA"/>
    <n v="-123"/>
    <x v="0"/>
    <s v="VALE TRANSPORTE"/>
  </r>
  <r>
    <x v="50"/>
    <s v="AGOSTO"/>
    <s v="VITOR DUARTE"/>
    <s v="MAIKON CEZARIO DOS SANTOS COPINO"/>
    <n v="-486"/>
    <x v="0"/>
    <s v="VALE TRANSPORTE"/>
  </r>
  <r>
    <x v="50"/>
    <s v="AGOSTO"/>
    <s v="HSERV COMBINADOS"/>
    <s v="ANDRADE FREITAS SOCIEDADE DE ADVOGADOS-Proc 0012259-82.2024.5.15.0021 ESTEVAO GOMES DE SOUZA PARCELA 2/5"/>
    <n v="-5600"/>
    <x v="0"/>
    <s v="ACORDO TRABALHISTA"/>
  </r>
  <r>
    <x v="50"/>
    <s v="AGOSTO"/>
    <s v="HENRIQUE JEAN"/>
    <s v="SANTOS SEPULVEDA SOCIEDADE INDIVIDUAL DE ADVOCACIA- - PROC 0010895-75.2023.5.15.009-AMANDA BRITO SANTOS PARCELA 4/16"/>
    <n v="-1000"/>
    <x v="0"/>
    <s v="ACORDO TRABALHISTA"/>
  </r>
  <r>
    <x v="36"/>
    <s v="AGOSTO"/>
    <s v="VITOR DUARTE"/>
    <s v="L. A. DE SOUZA - EQUIPAMENTOS DE SEGURANCA LTDA- NF 11.747- SAPATOS ASG E LUVAS"/>
    <n v="-1000"/>
    <x v="0"/>
    <s v="UNIFORMES"/>
  </r>
  <r>
    <x v="36"/>
    <s v="AGOSTO"/>
    <s v="HENRIQUE JEAN"/>
    <s v="ANA LUCIA CORREIA DA SILVA-VALE TRANSPORTE DA AVENIDA  R$4,00 POR DIA"/>
    <n v="-84"/>
    <x v="0"/>
    <s v="VALE TRANSPORTE"/>
  </r>
  <r>
    <x v="36"/>
    <s v="AGOSTO"/>
    <s v="HSERV COMBINADOS"/>
    <s v="RODRIGO CESAR DOS SANTOS-VALE TRANSPORTE DO DIA 08/08 ao dia 18/08  28,80  POR DIA"/>
    <n v="-288"/>
    <x v="0"/>
    <s v="VALE TRANSPORTE"/>
  </r>
  <r>
    <x v="36"/>
    <s v="AGOSTO"/>
    <s v="HSERV COMBINADOS"/>
    <s v="EZEQUIEL RODRIGUES DOS SANTOS-vale transporte do dia 08/08 ao dia 30/08 R$11,80 por dia"/>
    <n v="-224.2"/>
    <x v="0"/>
    <s v="VALE TRANSPORTE"/>
  </r>
  <r>
    <x v="36"/>
    <s v="AGOSTO"/>
    <s v="HSERV COMBINADOS"/>
    <s v="CAMILA FERREIRA DA SILVA-VALE TRANSPORTE DE AGOSTO AVENIDA  COBRINDO FÉRIAS DA MAURA VILELA PINTO"/>
    <n v="-200"/>
    <x v="0"/>
    <s v="VALE TRANSPORTE"/>
  </r>
  <r>
    <x v="36"/>
    <s v="AGOSTO"/>
    <s v="HSERV COMBINADOS"/>
    <s v="GUSTAVO HENRIQUE DOS SANTOS-vale transporte fiscal de sorocaba do dia 08/08 AO DIA 30/08  R$23,60 por dia  escala 4x1"/>
    <n v="-472"/>
    <x v="0"/>
    <s v="VALE TRANSPORTE"/>
  </r>
  <r>
    <x v="36"/>
    <s v="AGOSTO"/>
    <s v="HSERV COMBINADOS"/>
    <s v="NATALIA DA SILVA-VALE TRANSPORTE DO DIA 07/08 AO DIA 23/08 R$11,80 POR DIA  LOJA 24  PACOTE"/>
    <n v="-177"/>
    <x v="0"/>
    <s v="VALE TRANSPORTE"/>
  </r>
  <r>
    <x v="36"/>
    <s v="AGOSTO"/>
    <s v="VITOR DUARTE"/>
    <s v="THAYANE TERTULIANO DOMINGOS DA SILVA DIFERENÇA VT AGOSTO -REDE AVENIDA"/>
    <n v="-70"/>
    <x v="0"/>
    <s v="VALE TRANSPORTE"/>
  </r>
  <r>
    <x v="36"/>
    <s v="AGOSTO"/>
    <s v="HSERV COMBINADOS"/>
    <s v="EUNICE ALMEIDA DOS SANTOS-vale transporte do dia 07/08 até o dia 23/08 R$16,80 por dia"/>
    <n v="-252"/>
    <x v="0"/>
    <s v="VALE TRANSPORTE"/>
  </r>
  <r>
    <x v="36"/>
    <s v="AGOSTO"/>
    <s v="VITOR DUARTE"/>
    <s v="RESOLVE ALIMENTACAO LTDA NF 12186"/>
    <n v="-708.24"/>
    <x v="0"/>
    <s v="VALE ALIMENTAÇAO"/>
  </r>
  <r>
    <x v="36"/>
    <s v="AGOSTO"/>
    <s v="HSERV COMBINADOS"/>
    <s v=" SONIA MARIA MALZONI"/>
    <n v="8400"/>
    <x v="1"/>
    <s v="VENDAS DE SERVIÇOS"/>
  </r>
  <r>
    <x v="36"/>
    <s v="AGOSTO"/>
    <s v="HSERV COMBINADOS"/>
    <s v="RAI INGREDIENTES INDUSTRIAL S/A"/>
    <n v="4935"/>
    <x v="1"/>
    <s v="VENDAS DE SERVIÇOS"/>
  </r>
  <r>
    <x v="36"/>
    <s v="AGOSTO"/>
    <s v="HSERV CABREUVA"/>
    <s v="CRISTIANI COSIM DE OLIVEIRA VILELA-Proc 0011289-67.2024.5.15.0026 AUTOR: ELAINE JAQUES LOURENCONI PARCELA2/3"/>
    <n v="-1000"/>
    <x v="0"/>
    <s v="ACORDO TRABALHISTA"/>
  </r>
  <r>
    <x v="31"/>
    <s v="AGOSTO"/>
    <s v="VITOR DUARTE"/>
    <s v="LUPE LOCACAO E COMERCIO DE EQUIPAMENTOS"/>
    <n v="-430.22"/>
    <x v="0"/>
    <s v="ALUGUEL DE EQUIPAMENTOS"/>
  </r>
  <r>
    <x v="39"/>
    <s v="OUTUBRO"/>
    <s v="HSERV CABREUVA"/>
    <s v="CSLL TRIMESTRAL HSERV CABREUVA"/>
    <n v="-4636.07"/>
    <x v="0"/>
    <s v="IMPOSTO"/>
  </r>
  <r>
    <x v="39"/>
    <s v="OUTUBRO"/>
    <s v="HSERV CABREUVA"/>
    <s v="IRPJ TRIMESTRAL HSERV CABREUVA"/>
    <n v="-8011.38"/>
    <x v="0"/>
    <s v="IMPOSTO"/>
  </r>
  <r>
    <x v="31"/>
    <s v="AGOSTO"/>
    <s v="HSERV CABREUVA"/>
    <s v="ELAINE BARBOSA DE SOUSA"/>
    <n v="-342.67"/>
    <x v="0"/>
    <s v="RESCISÕES"/>
  </r>
  <r>
    <x v="31"/>
    <s v="AGOSTO"/>
    <s v="HSERV COMBINADOS"/>
    <s v="ROSANGELA APARECIDA FURQUIM DA CRUZ"/>
    <n v="-601.13"/>
    <x v="0"/>
    <s v="RESCISÕES"/>
  </r>
  <r>
    <x v="31"/>
    <s v="AGOSTO"/>
    <s v="HSERV REPRESENTACOES"/>
    <s v="MARCOS PAULO DE ANDRADE AMERICO"/>
    <n v="-414.95"/>
    <x v="0"/>
    <s v="RESCISÕES"/>
  </r>
  <r>
    <x v="31"/>
    <s v="AGOSTO"/>
    <s v="VITOR DUARTE"/>
    <s v="DEBORA GOMES DOS SANTOS"/>
    <n v="-43.33"/>
    <x v="0"/>
    <s v="RESCISÕES"/>
  </r>
  <r>
    <x v="31"/>
    <s v="AGOSTO"/>
    <s v="HENRIQUE JEAN"/>
    <s v="RECOLHIMENTO FGTS EM ATRASO-JONATHAN CANDIDO BATISTA 10.2023"/>
    <n v="-185.63"/>
    <x v="0"/>
    <s v="IMPOSTO"/>
  </r>
  <r>
    <x v="31"/>
    <s v="AGOSTO"/>
    <s v="HENRIQUE JEAN"/>
    <s v="RECOLHIMENTO FGTS EM ATRASO-JONATHAN CANDIDO BATISTA 11.2023"/>
    <n v="-184.71"/>
    <x v="0"/>
    <s v="IMPOSTO"/>
  </r>
  <r>
    <x v="31"/>
    <s v="AGOSTO"/>
    <s v="HENRIQUE JEAN"/>
    <s v="RECOLHIMENTO FGTS EM ATRASO-JONATHAN CANDIDO BATISTA 03.2023"/>
    <n v="-193.05"/>
    <x v="0"/>
    <s v="IMPOSTO"/>
  </r>
  <r>
    <x v="31"/>
    <s v="AGOSTO"/>
    <s v="HENRIQUE JEAN"/>
    <s v="RECOLHIMENTO FGTS EM ATRASO-JONATHAN CANDIDO BATISTA 04.2023"/>
    <n v="-192.11"/>
    <x v="0"/>
    <s v="IMPOSTO"/>
  </r>
  <r>
    <x v="31"/>
    <s v="AGOSTO"/>
    <s v="HENRIQUE JEAN"/>
    <s v="RECOLHIMENTO FGTS EM ATRASO-JONATHAN CANDIDO BATISTA 07.2023"/>
    <n v="-188.76"/>
    <x v="0"/>
    <s v="IMPOSTO"/>
  </r>
  <r>
    <x v="31"/>
    <s v="AGOSTO"/>
    <s v="HENRIQUE JEAN"/>
    <s v="RECOLHIMENTO FGTS EM ATRASO-JONATHAN CANDIDO BATISTA 12.2023"/>
    <n v="-183.82"/>
    <x v="0"/>
    <s v="IMPOSTO"/>
  </r>
  <r>
    <x v="31"/>
    <s v="AGOSTO"/>
    <s v="HENRIQUE JEAN"/>
    <s v="RECOLHIMENTO FGTS EM ATRASO-JONATHAN CANDIDO BATISTA 02.2023"/>
    <n v="-194.29"/>
    <x v="0"/>
    <s v="IMPOSTO"/>
  </r>
  <r>
    <x v="31"/>
    <s v="AGOSTO"/>
    <s v="HENRIQUE JEAN"/>
    <s v="RECOLHIMENTO FGTS EM ATRASO -JONATHAN CANDIDO BATISTA 08.2023"/>
    <n v="-187.58"/>
    <x v="0"/>
    <s v="IMPOSTO"/>
  </r>
  <r>
    <x v="31"/>
    <s v="AGOSTO"/>
    <s v="HENRIQUE JEAN"/>
    <s v="RECOLHIMENTO FGTS EM ATRASO-JONATHAN CANDIDO BATISTA 01.2023"/>
    <n v="-195.25"/>
    <x v="0"/>
    <s v="IMPOSTO"/>
  </r>
  <r>
    <x v="31"/>
    <s v="AGOSTO"/>
    <s v="HENRIQUE JEAN"/>
    <s v="RECOLHIMENTO FGTS EM ATRASO-JONATHAN CANDIDO BATISTA 09.2023"/>
    <n v="-186.59"/>
    <x v="0"/>
    <s v="IMPOSTO"/>
  </r>
  <r>
    <x v="31"/>
    <s v="AGOSTO"/>
    <s v="HENRIQUE JEAN"/>
    <s v="VITOR SANTANA FGTS EM ATRASO 09/20245 E 13° 2024"/>
    <n v="-258.83999999999997"/>
    <x v="0"/>
    <s v="IMPOSTO"/>
  </r>
  <r>
    <x v="31"/>
    <s v="AGOSTO"/>
    <s v="HSERV CABREUVA"/>
    <s v="MARIA APARECIDA ALVES DE MELO ATSum 0010327-82.2025.5.15.0002 RECLAMANTE: CRISTIANE DE SOUSA PARCELA 3/3"/>
    <n v="-2200"/>
    <x v="0"/>
    <s v="ACORDO TRABALHISTA"/>
  </r>
  <r>
    <x v="31"/>
    <s v="AGOSTO"/>
    <s v="HSERV CABREUVA"/>
    <s v="DALMAZO SOCIEDADE INDIVIDUAL-PROC 0011504-24.2024.5.15.0097 -ANDRE DE ARAUJO LEITE FILHO PARCELA 2/3"/>
    <n v="-1000"/>
    <x v="0"/>
    <s v="ACORDO TRABALHISTA"/>
  </r>
  <r>
    <x v="31"/>
    <s v="AGOSTO"/>
    <s v="HSERV CABREUVA"/>
    <s v="ARAUJO E RIOS ADVOGADOS ASSOCIADOS PRoc 0010784-37.2023.5.15.0018 -: FABIO LUIZ ALVES -PARCELA 3/7"/>
    <n v="-3836.54"/>
    <x v="0"/>
    <s v="ACORDO TRABALHISTA"/>
  </r>
  <r>
    <x v="31"/>
    <s v="AGOSTO"/>
    <s v="HSERV CABREUVA"/>
    <s v="TIAGO JOSE DE FREITAS OLIVEIRA-Proc 0012190-87.2022.5.15.0096 Reclamante: KASSIA VITAL FERREIRA PARCELA 3/10"/>
    <n v="-3200"/>
    <x v="0"/>
    <s v="ACORDO TRABALHISTA"/>
  </r>
  <r>
    <x v="31"/>
    <s v="AGOSTO"/>
    <s v="HSERV LIMPEZA"/>
    <s v="JUAN PHILIPY STEPHANO AMARO SOCIEDADE IPROC 0011148-23.2024.5.15.0002- ANTONIA MILENA SOARES DE SOUZA PARCELA 2/10"/>
    <n v="-1000"/>
    <x v="0"/>
    <s v="ACORDO TRABALHISTA"/>
  </r>
  <r>
    <x v="31"/>
    <s v="AGOSTO"/>
    <s v="VITOR DUARTE"/>
    <s v="IVAN MARQUES DOS SANTOS Proc  0010898-64.2022.5.15.0097 AUTOR: FRANCISCA NEUDA FRANCALINO DE SOUZA PARCELA 3/9"/>
    <n v="-2885.09"/>
    <x v="0"/>
    <s v="ACORDO TRABALHISTA"/>
  </r>
  <r>
    <x v="31"/>
    <s v="AGOSTO"/>
    <s v="HSERV CABREUVA"/>
    <s v="LUCAS LEONARDO MARQUES DE OLIVEIRA-PROC 1000130-70.2024.5.02.0221-GILVAN ANTONIO DOS SANTOS SILVA  PARCELA 4/12"/>
    <n v="-2000"/>
    <x v="0"/>
    <s v="ACORDO TRABALHISTA"/>
  </r>
  <r>
    <x v="31"/>
    <s v="AGOSTO"/>
    <s v="HSERV CABREUVA"/>
    <s v="LETICIA FERNANDA DO NASCIMENTO - PROC - 0012166-65.2023.5.15.0018- JADISON SOUZA FONTES PARCELA 5/5"/>
    <n v="-501.54"/>
    <x v="0"/>
    <s v="ACORDO TRABALHISTA"/>
  </r>
  <r>
    <x v="57"/>
    <s v="AGOSTO"/>
    <s v="HSERV CABREUVA"/>
    <s v="ZAMBONI, SOUSA, CARVALHO &amp; MARIANO --PROC 0012075-66.2022.5.15.0096 -CLAUDIA ARAUJO DOS SANTOS-PARCELA 3/6"/>
    <n v="-10000"/>
    <x v="0"/>
    <s v="ACORDO TRABALHISTA"/>
  </r>
  <r>
    <x v="31"/>
    <s v="AGOSTO"/>
    <s v="HSERV CLEAN"/>
    <s v="ANA PAULA HERKES MARTINS-  PROC 0011455-60.2023.5.15.0018-MARIA DE JESUS MARQUES GINO FERREIRA PARCELA 5/7"/>
    <n v="-2500"/>
    <x v="0"/>
    <s v="ACORDO TRABALHISTA"/>
  </r>
  <r>
    <x v="57"/>
    <s v="AGOSTO"/>
    <s v="HSERV REPRESENTACOES"/>
    <s v="OKUYAMA &amp; ALVES SOCIEDADE DE ADVOGADOS   PROC- 0012465-42.2023.5.15.0018 GENILDA MARIA DA SILVA CARRILHO PARCELA 4/8"/>
    <n v="-2000"/>
    <x v="0"/>
    <s v="ACORDO TRABALHISTA"/>
  </r>
  <r>
    <x v="50"/>
    <s v="AGOSTO"/>
    <s v="HSERV REPRESENTACOES"/>
    <s v="OKUYAMA &amp; ALVES SOCIEDADE DE ADVOGADOSS - PROC 0012457-65.2023.5.15.0018 -JESSICA BARROS DOS SANTO PARCELA 4/8"/>
    <n v="-2000"/>
    <x v="0"/>
    <s v="ACORDO TRABALHISTA"/>
  </r>
  <r>
    <x v="50"/>
    <s v="AGOSTO"/>
    <s v="HSERV TERCEIRIZADOS"/>
    <s v="ANDREIA APARECIDA BARBOSA- VALOR ADICIONAL DAS CANECAS PERSONALIZADAS"/>
    <n v="-100"/>
    <x v="0"/>
    <s v="MARKETING"/>
  </r>
  <r>
    <x v="50"/>
    <s v="AGOSTO"/>
    <s v="HSERV TERCEIRIZADOS"/>
    <s v="TUTTI SPORT VECCHI LTDA- VITOR SOLICITOU PAGAMENTO VIA WHATSAPP- DESCONTAR NO PROLABORE"/>
    <n v="-1500"/>
    <x v="0"/>
    <s v="PROLABORE"/>
  </r>
  <r>
    <x v="50"/>
    <s v="AGOSTO"/>
    <s v="HSERV REPRESENTACOES"/>
    <s v="ELIZANGELA APARECIDA VITOR - ALIMENTAÇÃO, SUPERVISORA ESTARÁ PRESENCIALMENTE NOS PROXIMOS DIAS NA BASE "/>
    <n v="-20.76"/>
    <x v="0"/>
    <s v="VALE ALIMENTAÇÃO"/>
  </r>
  <r>
    <x v="31"/>
    <s v="AGOSTO"/>
    <s v="VITOR DUARTE"/>
    <s v="VALERIA GEOVANNA DOS SANTOS-- PROC 1001103-06.2024.5.02.0292 -ELIENE ALVES LISBOA PARCELA 4/12"/>
    <n v="-1916.67"/>
    <x v="0"/>
    <s v="ACORDO TRABALHISTA"/>
  </r>
  <r>
    <x v="30"/>
    <s v="AGOSTO"/>
    <s v="HSERV LIMPEZA"/>
    <s v="ELIANA DOS SANTOS"/>
    <n v="-2056.35"/>
    <x v="0"/>
    <s v="RESCISÕES"/>
  </r>
  <r>
    <x v="30"/>
    <s v="AGOSTO"/>
    <s v="HSERV LIMPEZA"/>
    <s v="GRRF ELIANA DOS SANTOS"/>
    <n v="-139.66"/>
    <x v="0"/>
    <s v="RESCISÕES"/>
  </r>
  <r>
    <x v="30"/>
    <s v="AGOSTO"/>
    <s v="HSERV TECNOLOGIA"/>
    <s v="GRRF ELENILZA PATRICIA ALMEIDA DUARTE"/>
    <n v="-313.87"/>
    <x v="0"/>
    <s v="RESCISÕES"/>
  </r>
  <r>
    <x v="30"/>
    <s v="AGOSTO"/>
    <s v="VITOR DUARTE"/>
    <s v="JULIO CESAR ALVES"/>
    <n v="-810.39"/>
    <x v="0"/>
    <s v="RESCISÕES"/>
  </r>
  <r>
    <x v="30"/>
    <s v="AGOSTO"/>
    <s v="HSERV COMBINADOS"/>
    <s v="EZEQUIEL RODRIGUES DOS SANTOS"/>
    <n v="-82.6"/>
    <x v="0"/>
    <s v="VALE TRANSPORTE"/>
  </r>
  <r>
    <x v="30"/>
    <s v="AGOSTO"/>
    <s v="HSERV COMBINADOS"/>
    <s v="FABIO NOGUEIRA DA SILVA LOPES"/>
    <n v="-184.5"/>
    <x v="0"/>
    <s v="VALE TRANSPORTE"/>
  </r>
  <r>
    <x v="30"/>
    <s v="AGOSTO"/>
    <s v="HSERV COMBINADOS"/>
    <s v="JOSE ERIVALDO CAVALCANTE DA SILVA"/>
    <n v="-430.5"/>
    <x v="0"/>
    <s v="VALE TRANSPORTE"/>
  </r>
  <r>
    <x v="30"/>
    <s v="AGOSTO"/>
    <s v="HSERV COMBINADOS"/>
    <s v="SANDRA RIBEIRO DA SILVA"/>
    <n v="-307.5"/>
    <x v="0"/>
    <s v="VALE TRANSPORTE"/>
  </r>
  <r>
    <x v="30"/>
    <s v="AGOSTO"/>
    <s v="HSERV COMBINADOS"/>
    <s v="ALCIDES PEREIRA DE SOUZA"/>
    <n v="-349.5"/>
    <x v="0"/>
    <s v="VALE TRANSPORTE"/>
  </r>
  <r>
    <x v="30"/>
    <s v="AGOSTO"/>
    <s v="HSERV COMBINADOS"/>
    <s v="EDNA JOSE DE SOUZA COSTA"/>
    <n v="-267"/>
    <x v="0"/>
    <s v="VALE TRANSPORTE"/>
  </r>
  <r>
    <x v="30"/>
    <s v="AGOSTO"/>
    <s v="HSERV COMBINADOS"/>
    <s v="FLAVIA KELI DE OLIVEIRA FELIX"/>
    <n v="-184.5"/>
    <x v="0"/>
    <s v="VALE TRANSPORTE"/>
  </r>
  <r>
    <x v="30"/>
    <s v="AGOSTO"/>
    <s v="VITOR DUARTE"/>
    <s v="DAIANA INDIANARA DE PAULA SILVA"/>
    <n v="-82.6"/>
    <x v="0"/>
    <s v="VALE TRANSPORTE"/>
  </r>
  <r>
    <x v="30"/>
    <s v="AGOSTO"/>
    <s v="VITOR DUARTE"/>
    <s v="FABIANA DE LIMA VIEIRA"/>
    <n v="-86.1"/>
    <x v="0"/>
    <s v="VALE TRANSPORTE"/>
  </r>
  <r>
    <x v="30"/>
    <s v="AGOSTO"/>
    <s v="VITOR DUARTE"/>
    <s v="TABATHA TUANY TAVARES"/>
    <n v="-86.1"/>
    <x v="0"/>
    <s v="VALE TRANSPORTE"/>
  </r>
  <r>
    <x v="30"/>
    <s v="AGOSTO"/>
    <s v="VITOR DUARTE"/>
    <s v="CARLOS WASHINGTON DE ALMEIDA"/>
    <n v="-80"/>
    <x v="0"/>
    <s v="VALE TRANSPORTE"/>
  </r>
  <r>
    <x v="30"/>
    <s v="AGOSTO"/>
    <s v="VITOR DUARTE"/>
    <s v="MICAEL LINS SOUZA"/>
    <n v="-77"/>
    <x v="0"/>
    <s v="VALE TRANSPORTE"/>
  </r>
  <r>
    <x v="30"/>
    <s v="AGOSTO"/>
    <s v="VITOR DUARTE"/>
    <s v="COSME FRANCA"/>
    <n v="-86.1"/>
    <x v="0"/>
    <s v="VALE TRANSPORTE"/>
  </r>
  <r>
    <x v="30"/>
    <s v="AGOSTO"/>
    <s v="HSERV CLEAN"/>
    <s v="JOSE JONAS DE ARAUJO SILVA-PROC 0010137-76.2022.5.15.0018 MANOEL VICENTE DA SILVA PARCELA 2/8"/>
    <n v="-3968.99"/>
    <x v="0"/>
    <s v="ACORDO TRABALHISTA"/>
  </r>
  <r>
    <x v="30"/>
    <s v="AGOSTO"/>
    <s v="VITOR DUARTE"/>
    <s v="TADIM NEVES SOCIEDADE INDIVIDUAL DE ADVOCACIA -PROC  - 0012114-44.2023.5.15.0188-ADILIO SANTOS SOUZA PARCELA 5/8"/>
    <n v="-1848.63"/>
    <x v="0"/>
    <s v="ACORDO TRABALHISTA"/>
  </r>
  <r>
    <x v="31"/>
    <s v="AGOSTO"/>
    <s v="HSERV CABREUVA"/>
    <s v="PATRICIA LOMBARDI-PROC 1002854-81.2023.5.02.0221 TANIA MARIANO DOS SANTOS PARCELA 3/6"/>
    <n v="-2500"/>
    <x v="0"/>
    <s v="ACORDO TRABALHISTA"/>
  </r>
  <r>
    <x v="32"/>
    <s v="SETEMBRO"/>
    <s v="HSERV CABREUVA"/>
    <s v="PATRICIA LOMBARDI-PROC 1002854-81.2023.5.02.0221 TANIA MARIANO DOS SANTOS PARCELA 4/6"/>
    <n v="-2500"/>
    <x v="0"/>
    <s v="ACORDO TRABALHISTA"/>
  </r>
  <r>
    <x v="38"/>
    <s v="OUTUBRO"/>
    <s v="HSERV CABREUVA"/>
    <s v="PATRICIA LOMBARDI-PROC 1002854-81.2023.5.02.0221 TANIA MARIANO DOS SANTOS PARCELA 5/6"/>
    <n v="-2500"/>
    <x v="0"/>
    <s v="ACORDO TRABALHISTA"/>
  </r>
  <r>
    <x v="33"/>
    <s v="NOVEMBRO"/>
    <s v="HSERV CABREUVA"/>
    <s v="PATRICIA LOMBARDI-PROC 1002854-81.2023.5.02.0221 TANIA MARIANO DOS SANTOS PARCELA 6/6"/>
    <n v="-2500"/>
    <x v="0"/>
    <s v="ACORDO TRABALHISTA"/>
  </r>
  <r>
    <x v="31"/>
    <s v="AGOSTO"/>
    <s v="HENRIQUE JEAN"/>
    <s v="PAULO CEZAR FERREIRA DOS SANTOS-PROC 0012427-44.2024.5.15.0002 - MARIA NAZARE DA SILVA PARCELA 1/10"/>
    <n v="-1500"/>
    <x v="0"/>
    <s v="ACORDO TRABALHISTA"/>
  </r>
  <r>
    <x v="31"/>
    <s v="AGOSTO"/>
    <s v="HENRIQUE JEAN"/>
    <s v="FABIANA DE SOUZA CULBERT SOCIEDADE INDIVIDUAL DE ADVOCACIA-PROC 0010360-81.2025.5.15.0096- PAULO EDVAN HAHNE  -PARCELA 1/6"/>
    <n v="-1000"/>
    <x v="0"/>
    <s v="ACORDO TRABALHISTA"/>
  </r>
  <r>
    <x v="31"/>
    <s v="AGOSTO"/>
    <s v="HSERV CABREUVA"/>
    <s v="FERNANDO APARECIDO DOS SANTOS-Proc 0013031-54.2024.5.15.0018  MANOEL ROBERTO DE SOUSA- PARCLEA 2/17"/>
    <n v="-2500"/>
    <x v="0"/>
    <s v="ACORDO TRABALHISTA"/>
  </r>
  <r>
    <x v="31"/>
    <s v="AGOSTO"/>
    <s v="HSERV CABREUVA"/>
    <s v="AUREA MOSCATINI- PROC 0012313-20.2024.5.15.0095 -GABRIEL BARBOSA DOS SANTOS -PARCELA 1/5"/>
    <n v="-1000"/>
    <x v="0"/>
    <s v="ACORDO TRABALHISTA"/>
  </r>
  <r>
    <x v="31"/>
    <s v="AGOSTO"/>
    <s v="HSERV CLEAN"/>
    <s v="SANTOS SEPULVEDA SOCIEDADE INDIVIDUAL DE ADVOCACIA-PRoc 0011475-02.2023.5.15.0002  ANA CAROLINA DOS SANTOS-PARCELA 1/10"/>
    <n v="-3800"/>
    <x v="0"/>
    <s v="ACORDO TRABALHISTA"/>
  </r>
  <r>
    <x v="31"/>
    <s v="AGOSTO"/>
    <s v="VITOR DUARTE"/>
    <s v="JURANDIR BAVOSO JUNIOR-Proc 0010814-86.2024.5.15.0002 RECLAMANTE: JUAN ERICK REIS DOS SANTOS  PARCELA 2/12"/>
    <n v="-2500"/>
    <x v="0"/>
    <s v="ACORDO TRABALHISTA"/>
  </r>
  <r>
    <x v="31"/>
    <s v="AGOSTO"/>
    <s v="VITOR DUARTE"/>
    <s v="LUAN VIEIRA BARRETO - PROC 0012216-57.2024.5.15.0018-ANGELO JOSE ARANTES -PARCELA 4/10"/>
    <n v="-1400"/>
    <x v="0"/>
    <s v="ACORDO TRABALHISTA"/>
  </r>
  <r>
    <x v="58"/>
    <s v="AGOSTO"/>
    <s v="VITOR DUARTE"/>
    <s v="VALDECI BERTOZZI DA SILVA- COMISSÃO -SANTA CASA PARCELA 1/2"/>
    <n v="-733.76"/>
    <x v="0"/>
    <s v="COMISSÃO"/>
  </r>
  <r>
    <x v="58"/>
    <s v="AGOSTO"/>
    <s v="HENRIQUE JEAN"/>
    <s v="GNB ADMINISTRACAO DE BENEFICIOS SOCIAIS LTDA-BENEFICIO SOCIAL- VENCIMENTO 10/07/2025"/>
    <n v="-303.24"/>
    <x v="0"/>
    <s v="SINDICATO"/>
  </r>
  <r>
    <x v="58"/>
    <s v="AGOSTO"/>
    <s v="HSERV CABREUVA"/>
    <s v="GNB ADMINISTRACAO DE BENEFICIOS SOCIAIS LTDA-BENEFICIO SOCIAL- VENCIMENTO 10/07/2025"/>
    <n v="-383.04"/>
    <x v="0"/>
    <s v="SINDICATO"/>
  </r>
  <r>
    <x v="58"/>
    <s v="AGOSTO"/>
    <s v="HSERV CLEAN"/>
    <s v="GNB ADMINISTRACAO DE BENEFICIOS SOCIAIS LTDA-BENEFICIO SOCIAL- VENCIMENTO 10/07/2025"/>
    <n v="-383.04"/>
    <x v="0"/>
    <s v="SINDICATO"/>
  </r>
  <r>
    <x v="58"/>
    <s v="AGOSTO"/>
    <s v="HSERV COMBINADOS"/>
    <s v="GNB ADMINISTRACAO DE BENEFICIOS SOCIAIS LTDA-BENEFICIO SOCIAL- VENCIMENTO 10/07/2025"/>
    <n v="-941.64"/>
    <x v="0"/>
    <s v="SINDICATO"/>
  </r>
  <r>
    <x v="58"/>
    <s v="AGOSTO"/>
    <s v="HSERV LIMPEZA"/>
    <s v="GNB ADMINISTRACAO DE BENEFICIOS SOCIAIS LTDA-BENEFICIO SOCIAL- VENCIMENTO 10/07/2025"/>
    <n v="-271.32"/>
    <x v="0"/>
    <s v="SINDICATO"/>
  </r>
  <r>
    <x v="58"/>
    <s v="AGOSTO"/>
    <s v="HSERV REPRESENTACOES"/>
    <s v="GNB ADMINISTRACAO DE BENEFICIOS SOCIAIS LTDA-BENEFICIO SOCIAL- VENCIMENTO 10/07/2025"/>
    <n v="-287.27999999999997"/>
    <x v="0"/>
    <s v="SINDICATO"/>
  </r>
  <r>
    <x v="58"/>
    <s v="AGOSTO"/>
    <s v="HSERV TECNOLOGIA"/>
    <s v="GNB ADMINISTRACAO DE BENEFICIOS SOCIAIS LTDA-BENEFICIO SOCIAL- VENCIMENTO 10/07/2025"/>
    <n v="-590.52"/>
    <x v="0"/>
    <s v="SINDICATO"/>
  </r>
  <r>
    <x v="58"/>
    <s v="AGOSTO"/>
    <s v="HSERV TERCEIRIZADOS"/>
    <s v="GNB ADMINISTRACAO DE BENEFICIOS SOCIAIS LTDA-BENEFICIO SOCIAL- VENCIMENTO 10/07/2025"/>
    <n v="-351.12"/>
    <x v="0"/>
    <s v="SINDICATO"/>
  </r>
  <r>
    <x v="58"/>
    <s v="AGOSTO"/>
    <s v="VITOR DUARTE"/>
    <s v="GNB ADMINISTRACAO DE BENEFICIOS SOCIAIS LTDA-BENEFICIO SOCIAL- VENCIMENTO 10/07/2025"/>
    <n v="-207.48"/>
    <x v="0"/>
    <s v="SINDICATO"/>
  </r>
  <r>
    <x v="49"/>
    <s v="AGOSTO"/>
    <s v="VITOR DUARTE"/>
    <s v="BRADESCO SAUDE- DESCONTAR PROLABORE VITOR"/>
    <n v="-3625.95"/>
    <x v="0"/>
    <s v="PROLABORE"/>
  </r>
  <r>
    <x v="49"/>
    <s v="AGOSTO"/>
    <s v="VITOR DUARTE"/>
    <s v="JHONNY WALACE- REEMBOLSO DE DESPESAS PEDREIRA-GASTOS COM PEDAGIO"/>
    <n v="-283.60000000000002"/>
    <x v="0"/>
    <s v="REEMBOLSO"/>
  </r>
  <r>
    <x v="49"/>
    <s v="AGOSTO"/>
    <s v="HENRIQUE JEAN"/>
    <s v="EMPORIO MEGA 100 COMERCIO DE ALIMENTOS S.A.-NF 995.268 VENCIMENTO 18/08/2025"/>
    <n v="-2324.85"/>
    <x v="0"/>
    <s v="CESTA BASICA"/>
  </r>
  <r>
    <x v="49"/>
    <s v="AGOSTO"/>
    <s v="HSERV CABREUVA"/>
    <s v="EMPORIO MEGA 100 COMERCIO DE ALIMENTOS S.A. NF 995.259 VENCIMENTO 18/08/2025"/>
    <n v="-2944.81"/>
    <x v="0"/>
    <s v="CESTA BASICA"/>
  </r>
  <r>
    <x v="49"/>
    <s v="AGOSTO"/>
    <s v="HSERV CLEAN"/>
    <s v="EMPORIO MEGA 100 COMERCIO DE ALIMENTOS S.A.-NF 995.267 VENCIMENTO 18/08/2025"/>
    <n v="-2867.31"/>
    <x v="0"/>
    <s v="CESTA BASICA"/>
  </r>
  <r>
    <x v="49"/>
    <s v="AGOSTO"/>
    <s v="HSERV CLEAN"/>
    <s v="EMPORIO MEGA 100 COMERCIO DE ALIMENTOS S.A.-NF 995.260VENCIMENT 18/08/2025"/>
    <n v="-852.44"/>
    <x v="0"/>
    <s v="CESTA BASICA"/>
  </r>
  <r>
    <x v="49"/>
    <s v="AGOSTO"/>
    <s v="HSERV COMBINADOS"/>
    <s v="EMPORIO MEGA 100 COMERCIO DE ALIMENTOS S.A.-NF 995.263 VENCIMENTO 18/08/2025"/>
    <n v="-2789.82"/>
    <x v="0"/>
    <s v="CESTA BASICA"/>
  </r>
  <r>
    <x v="49"/>
    <s v="AGOSTO"/>
    <s v="HSERV LIMPEZA"/>
    <s v="EMPORIO MEGA 100 COMERCIO DE ALIMENTOS S.A.-NF 995.266 VENCIMENTO 18/08/2025"/>
    <n v="-852.44"/>
    <x v="0"/>
    <s v="CESTA BASICA"/>
  </r>
  <r>
    <x v="49"/>
    <s v="AGOSTO"/>
    <s v="HSERV REPRESENTACOES"/>
    <s v="EMPORIO MEGA 100 COMERCIO DE ALIMENTOS S.A.- NF  VENCIMENTO 18/08/2025"/>
    <n v="-619.96"/>
    <x v="0"/>
    <s v="CESTA BASICA"/>
  </r>
  <r>
    <x v="49"/>
    <s v="AGOSTO"/>
    <s v="HSERV TECNOLOGIA"/>
    <s v="EMPORIO MEGA 100 COMERCIO DE ALIMENTOS S.A.-NF 995.265 VENCIMENTO 18/08/2025 "/>
    <n v="-154.99"/>
    <x v="0"/>
    <s v="CESTA BASICA"/>
  </r>
  <r>
    <x v="49"/>
    <s v="AGOSTO"/>
    <s v="HSERV TERCEIRIZADOS"/>
    <s v="EMPORIO MEGA 100 COMERCIO DE ALIMENTOS S.A.-NF 995.264 VENCIMENTO 18/08/2025"/>
    <n v="-852.44"/>
    <x v="0"/>
    <s v="CESTA BASICA"/>
  </r>
  <r>
    <x v="49"/>
    <s v="AGOSTO"/>
    <s v="VITOR DUARTE"/>
    <s v="EMPORIO MEGA 100 COMERCIO DE ALIMENTOS S.A.-NF 995.261 VENCIMENTO 18/08/2025"/>
    <n v="-77.489999999999995"/>
    <x v="0"/>
    <s v="CESTA BASICA"/>
  </r>
  <r>
    <x v="49"/>
    <s v="AGOSTO"/>
    <s v="VITOR DUARTE"/>
    <s v="CANOPUS ADMNISTRADORA DE CONSORCIOS- EMPRESTIMO VITOR PESSOAL (VITOR SOLICITOU PAGAMENTO , DEVOLUÇÃO PROGRAMADA PARA 21/08-QUINTA FEIRA)"/>
    <n v="-36835.56"/>
    <x v="0"/>
    <s v="EMPRESTIMO "/>
  </r>
  <r>
    <x v="62"/>
    <s v="AGOSTO"/>
    <s v="VITOR DUARTE"/>
    <s v="FABIANA FERNANDA GUEDES DA SILVA-FOLHA MEI 07/2025 Período de prestação de serviço Início: 07/07/2025 Término: 05/08/2025"/>
    <n v="-2500"/>
    <x v="0"/>
    <s v="SALÁRIOS"/>
  </r>
  <r>
    <x v="62"/>
    <s v="AGOSTO"/>
    <s v="HSERV COMBINADOS"/>
    <s v="DALI OSCAR MARRERO PIQUERO-vale transporte do dia 20/08 ao dia 31/08  R$7,50 por dia  loja 22 valinhos"/>
    <n v="-60"/>
    <x v="0"/>
    <s v="VALE TRANSPORTE"/>
  </r>
  <r>
    <x v="62"/>
    <s v="AGOSTO"/>
    <s v="HSERV COMBINADOS"/>
    <s v="LEIA ROSA DA SILVA-vale transporte do dia 20/08 ao dia 31/08 loja 14 a pedido da dona cicera  R$12,30 POR DIA"/>
    <n v="-123"/>
    <x v="0"/>
    <s v="VALE TRANSPORTE"/>
  </r>
  <r>
    <x v="62"/>
    <s v="AGOSTO"/>
    <s v="HSERV TECNOLOGIA"/>
    <s v="WELLINTON ABREU DE JESUS-VALE TRANSPORTE DO DIA 20/08 AO DIA 31/08 R$23,30 POR DIA  NOVO SUPERVISOR  ESCALA 4X2"/>
    <n v="-186.4"/>
    <x v="0"/>
    <s v="VALE TRANSPORTE"/>
  </r>
  <r>
    <x v="62"/>
    <s v="AGOSTO"/>
    <s v="HSERV TECNOLOGIA"/>
    <s v="WELLINTON ABREU DE JESUS-VALE ALIMENTAÇÃO PARA FINALIZAR O MÊS NOVO SUPERVISOR"/>
    <n v="-166.08"/>
    <x v="0"/>
    <s v="VALE ALIMENTAÇAO"/>
  </r>
  <r>
    <x v="62"/>
    <s v="AGOSTO"/>
    <s v="HSERV TERCEIRIZADOS"/>
    <s v="LOTUS CENTRAL DE DISTRIBUICAO DE HIGIENICOS LTDA NF 173.719"/>
    <n v="-1514.4698490000001"/>
    <x v="0"/>
    <s v="VALE TRANSPORTE"/>
  </r>
  <r>
    <x v="62"/>
    <s v="AGOSTO"/>
    <s v="HENRIQUE JEAN"/>
    <s v="EMPORIO MEGA 100 COMERCIO DE ALIMENTOS S.A."/>
    <n v="-1239.92"/>
    <x v="0"/>
    <s v="CESTA BASICA"/>
  </r>
  <r>
    <x v="62"/>
    <s v="AGOSTO"/>
    <s v="HSERV CABREUVA"/>
    <s v="EMPORIO MEGA 100 COMERCIO DE ALIMENTOS S.A."/>
    <n v="-1627.4"/>
    <x v="0"/>
    <s v="CESTA BASICA"/>
  </r>
  <r>
    <x v="62"/>
    <s v="AGOSTO"/>
    <s v="HSERV CLEAN"/>
    <s v="EMPORIO MEGA 100 COMERCIO DE ALIMENTOS S.A."/>
    <n v="-1162.43"/>
    <x v="0"/>
    <s v="CESTA BASICA"/>
  </r>
  <r>
    <x v="62"/>
    <s v="AGOSTO"/>
    <s v="HSERV CLEAN"/>
    <s v="EMPORIO MEGA 100 COMERCIO DE ALIMENTOS S.A."/>
    <n v="-3099.8"/>
    <x v="0"/>
    <s v="CESTA BASICA"/>
  </r>
  <r>
    <x v="62"/>
    <s v="AGOSTO"/>
    <s v="HSERV COMBINADOS"/>
    <s v="EMPORIO MEGA 100 COMERCIO DE ALIMENTOS S.A."/>
    <n v="-3564.77"/>
    <x v="0"/>
    <s v="CESTA BASICA"/>
  </r>
  <r>
    <x v="62"/>
    <s v="AGOSTO"/>
    <s v="HSERV LIMPEZA"/>
    <s v="EMPORIO MEGA 100 COMERCIO DE ALIMENTOS S.A."/>
    <n v="-929.94"/>
    <x v="0"/>
    <s v="CESTA BASICA"/>
  </r>
  <r>
    <x v="62"/>
    <s v="AGOSTO"/>
    <s v="HSERV REPRESENTACOES"/>
    <s v="EMPORIO MEGA 100 COMERCIO DE ALIMENTOS S.A."/>
    <n v="-697.46"/>
    <x v="0"/>
    <s v="CESTA BASICA"/>
  </r>
  <r>
    <x v="62"/>
    <s v="AGOSTO"/>
    <s v="HSERV TECNOLOGIA"/>
    <s v="EMPORIO MEGA 100 COMERCIO DE ALIMENTOS S.A."/>
    <n v="-2479.84"/>
    <x v="0"/>
    <s v="CESTA BASICA"/>
  </r>
  <r>
    <x v="62"/>
    <s v="AGOSTO"/>
    <s v="HSERV TERCEIRIZADOS"/>
    <s v="EMPORIO MEGA 100 COMERCIO DE ALIMENTOS S.A."/>
    <n v="-1394.91"/>
    <x v="0"/>
    <s v="CESTA BASICA"/>
  </r>
  <r>
    <x v="62"/>
    <s v="AGOSTO"/>
    <s v="VITOR DUARTE"/>
    <s v="EMPORIO MEGA 100 COMERCIO DE ALIMENTOS S.A."/>
    <n v="-619.96"/>
    <x v="0"/>
    <s v="CESTA BASICA"/>
  </r>
  <r>
    <x v="52"/>
    <s v="AGOSTO"/>
    <s v="HENRIQUE JEAN"/>
    <s v="DEBORA CARVALHO DA SILVA-VALE TRANSPORTE DO DIA 12/08 AO DIA 30/08 R$19,00 POR DIA"/>
    <n v="-266"/>
    <x v="0"/>
    <s v="VALE TRANSPORTE"/>
  </r>
  <r>
    <x v="52"/>
    <s v="AGOSTO"/>
    <s v="HSERV CLEAN"/>
    <s v="MARIA JOSE CONCEICAO DA SILVA VALE TRANSPORTE DO DIA 12/08 AO DIA 31/08"/>
    <n v="-140"/>
    <x v="0"/>
    <s v="VALE TRANSPORTE"/>
  </r>
  <r>
    <x v="52"/>
    <s v="AGOSTO"/>
    <s v="VITOR DUARTE"/>
    <s v="VIVIAN APARECIDA MENDES-DEVOLUÇÃO DE FALTAS DESCONTADAS  - TRABALHOU OS DIAS 26/07 E 30/07"/>
    <n v="-114.48"/>
    <x v="0"/>
    <s v="RESCISÕES"/>
  </r>
  <r>
    <x v="52"/>
    <s v="AGOSTO"/>
    <s v="HSERV CLEAN"/>
    <s v="FEMACON CONSTRUCOES LTDA NF 11.707"/>
    <n v="-1035.44"/>
    <x v="0"/>
    <s v="MANUTENÇÃO"/>
  </r>
  <r>
    <x v="62"/>
    <s v="AGOSTO"/>
    <s v="HSERV TERCEIRIZADOS"/>
    <s v="LOTUS CENTRAL DE DISTRIBUICAO DE HIGIENICOS LTDA- VENCIMENTO 13/08/2025-PRORROGADO PARA O DIA 20/08"/>
    <n v="-1514.4698490000001"/>
    <x v="0"/>
    <s v="MERCADORIAS PARA REVENDA"/>
  </r>
  <r>
    <x v="62"/>
    <s v="AGOSTO"/>
    <s v="HSERV COMBINADOS"/>
    <s v="ELIZANGELA APARECIDA VITOR -JANTA DO DIA 19/08- SUPERVISORA ESTÁ NO BOA DE PEDREIRA JUNTO A COLABORADORA FLAVIA KELLY"/>
    <n v="-62"/>
    <x v="0"/>
    <s v="VALE ALIMENTAÇÃO"/>
  </r>
  <r>
    <x v="62"/>
    <s v="AGOSTO"/>
    <s v="HSERV COMBINADOS"/>
    <s v="ELIZANGELA APARECIDA VITOR -ALMOÇO DO DIA 20/08- SUPERVISORA ESTÁ NO BOA DE PEDREIRA "/>
    <n v="-26"/>
    <x v="0"/>
    <s v="VALE ALIMENTAÇÃO"/>
  </r>
  <r>
    <x v="62"/>
    <s v="AGOSTO"/>
    <s v="HSERV COMBINADOS"/>
    <s v="ELIZANGELA APARECIDA VITOR -JANTA DO DIA 20/08- SUPERVISORA ESTÁ NO BOA DE PEDREIRA JUNTO A COLABORADORA FLAVIA KELLY"/>
    <n v="-50"/>
    <x v="0"/>
    <s v="VALE ALIMENTAÇÃO"/>
  </r>
  <r>
    <x v="71"/>
    <s v="AGOSTO"/>
    <s v="HSERV TERCEIRIZADOS"/>
    <s v="GLOVAN CABREUVA ALUGUEL DE EQUIPAMENTOS LTDA- VENCIMENTO 13/08/2025 NF 6077"/>
    <n v="-115"/>
    <x v="0"/>
    <s v="MANUTENÇÃO"/>
  </r>
  <r>
    <x v="71"/>
    <s v="AGOSTO"/>
    <s v="HSERV COMBINADOS"/>
    <s v="RONALDO SILVA MARQUES"/>
    <n v="-1094.46"/>
    <x v="0"/>
    <s v="RESCISÕES"/>
  </r>
  <r>
    <x v="71"/>
    <s v="AGOSTO"/>
    <s v="HSERV TECNOLOGIA"/>
    <s v="JONATHAN CANDIDO BATISTA"/>
    <n v="-1645.12"/>
    <x v="0"/>
    <s v="RESCISÕES"/>
  </r>
  <r>
    <x v="71"/>
    <s v="AGOSTO"/>
    <s v="HENRIQUE JEAN"/>
    <s v="ANDREIA SOARES DE LIMA DA SILVA"/>
    <n v="-5416.21"/>
    <x v="0"/>
    <s v="RESCISÕES"/>
  </r>
  <r>
    <x v="31"/>
    <s v="AGOSTO"/>
    <s v="VITOR DUARTE"/>
    <s v="ELIZANGELA APARECIDA VITOR- REEMBOLSO DE PEDAGIO"/>
    <n v="-31.81"/>
    <x v="0"/>
    <s v="REEMBOLSO"/>
  </r>
  <r>
    <x v="31"/>
    <s v="AGOSTO"/>
    <s v="VITOR DUARTE"/>
    <s v="ELIZANGELA APARECIDA VITOR- REEMBOLSO DE PEDAGIO SP-PLURIX"/>
    <n v="-69.8"/>
    <x v="0"/>
    <s v="REEMBOLSO"/>
  </r>
  <r>
    <x v="31"/>
    <s v="AGOSTO"/>
    <s v="VITOR DUARTE"/>
    <s v="ELIZANGELA APARECIDA VITOR- ALIMENTAÇÃO PEDREIRA"/>
    <n v="-204.16"/>
    <x v="0"/>
    <s v="REEMBOLSO"/>
  </r>
  <r>
    <x v="31"/>
    <s v="AGOSTO"/>
    <s v="VITOR DUARTE"/>
    <s v="ELIZANGELA APARECIDA VITOR- JANTA DOA DIA 29/08 A 031/08"/>
    <n v="-62.28"/>
    <x v="0"/>
    <s v="REEMBOLSO"/>
  </r>
  <r>
    <x v="31"/>
    <s v="AGOSTO"/>
    <s v="HENRIQUE JEAN"/>
    <s v="GUIA GRU - FELIPE ANGELO"/>
    <n v="-149.94999999999999"/>
    <x v="0"/>
    <s v="ACORDO TRABALHISTA"/>
  </r>
  <r>
    <x v="63"/>
    <s v="SETEMBRO"/>
    <s v="HSERV CLEAN"/>
    <s v="J.E. COMERCIO E SOLUCOES LTDA NF 11.491"/>
    <n v="-520"/>
    <x v="0"/>
    <s v="MERCADORIAS PARA REVENDA"/>
  </r>
  <r>
    <x v="71"/>
    <s v="AGOSTO"/>
    <s v="HSERV CLEAN"/>
    <s v="NOVITA VEST CONFECCOES LTDA- JUROS PELA PRORROGAÇÃO DAS NFS  6322, 6103 e 6111"/>
    <n v="-286.75"/>
    <x v="0"/>
    <s v="UNIFORMES"/>
  </r>
  <r>
    <x v="44"/>
    <s v="SETEMBRO"/>
    <s v="HSERV CABREUVA"/>
    <s v="ELEKTRO SALA 16"/>
    <n v="-237.82"/>
    <x v="0"/>
    <s v="ENERGIA ELETRICA"/>
  </r>
  <r>
    <x v="44"/>
    <s v="SETEMBRO"/>
    <s v="HSERV CABREUVA"/>
    <s v="ELEKTRO SALA 17"/>
    <n v="-216.58"/>
    <x v="0"/>
    <s v="ENERGIA ELETRICA"/>
  </r>
  <r>
    <x v="44"/>
    <s v="SETEMBRO"/>
    <s v="HSERV CABREUVA"/>
    <s v="ELEKTRO LOJA CLEAN"/>
    <n v="-142.61000000000001"/>
    <x v="0"/>
    <s v="ENERGIA ELETRICA"/>
  </r>
  <r>
    <x v="53"/>
    <s v="SETEMBRO"/>
    <s v="HSERV COMBINADOS "/>
    <s v="CAIXINHA OPERACIONAL - OSSIRES"/>
    <n v="-1500"/>
    <x v="0"/>
    <s v="CAIXINHA"/>
  </r>
  <r>
    <x v="74"/>
    <s v="SETEMBRO"/>
    <s v="HSERV COMBINADOS "/>
    <s v="GISELE RODRIGUES- CAIXINHA"/>
    <n v="-1500"/>
    <x v="0"/>
    <s v="CAIXINHA"/>
  </r>
  <r>
    <x v="75"/>
    <s v="SETEMBRO"/>
    <s v="HSERV CLEAN"/>
    <s v="INTER"/>
    <n v="10000"/>
    <x v="1"/>
    <s v="EMPRESTIMO "/>
  </r>
  <r>
    <x v="75"/>
    <s v="SETEMBRO"/>
    <s v="VITOR DUARTE"/>
    <s v="VIVA FOOD R E LTDA"/>
    <n v="-17235"/>
    <x v="0"/>
    <s v="VALE ALIMENTAÇÃO"/>
  </r>
  <r>
    <x v="63"/>
    <s v="SETEMBRO"/>
    <s v="HSERV TERCEIRIZADOS"/>
    <s v="LOTUS CENTRAL DE DISTRIBUICAO DE HIGIENICOS LTDA NF 189.843"/>
    <n v="-2592.66"/>
    <x v="0"/>
    <s v="MERCADORIAS PARA REVENDA"/>
  </r>
  <r>
    <x v="63"/>
    <s v="SETEMBRO"/>
    <s v="HSERV TERCEIRIZADOS"/>
    <s v="LOTUS CENTRAL DE DISTRIBUICAO DE HIGIENICOS LTDA NF  179.434"/>
    <n v="-809.45"/>
    <x v="0"/>
    <s v="MERCADORIAS PARA REVENDA"/>
  </r>
  <r>
    <x v="63"/>
    <s v="SETEMBRO"/>
    <s v="HENRIQUE JEAN"/>
    <s v="RECOLHIMENTO FGTS EM ATRASO _11/2022-JONATHAN CANDIDO BATISTA"/>
    <n v="-196.87"/>
    <x v="0"/>
    <s v="IMPOSTO"/>
  </r>
  <r>
    <x v="63"/>
    <s v="SETEMBRO"/>
    <s v="HENRIQUE JEAN"/>
    <s v="RECOLHIMENTO FGTS EM ATRASO _12/2022-JONATHAN CANDIDO BATISTA"/>
    <n v="-195.68"/>
    <x v="0"/>
    <s v="IMPOSTO"/>
  </r>
  <r>
    <x v="63"/>
    <s v="SETEMBRO"/>
    <s v="HSERV CLEAN"/>
    <s v="FRANCISCO PEREIRA DOS SANTOS"/>
    <n v="-307.5"/>
    <x v="0"/>
    <s v="VALE TRANSPORTE"/>
  </r>
  <r>
    <x v="63"/>
    <s v="SETEMBRO"/>
    <s v="HSERV REPRESENTACOES"/>
    <s v="JOSE SANTOS DE PAULA"/>
    <n v="-80"/>
    <x v="0"/>
    <s v="VALE TRANSPORTE"/>
  </r>
  <r>
    <x v="63"/>
    <s v="SETEMBRO"/>
    <s v="HSERV TERCEIRIZADOS ND"/>
    <s v="_x0009_ENCARGOS LIMITE DE CRED- HSERV TERCERIZADOS BRADESCO "/>
    <n v="-669.22"/>
    <x v="0"/>
    <s v="ENCARGOS"/>
  </r>
  <r>
    <x v="76"/>
    <s v="SETEMBRO"/>
    <s v="HSERV CLEAN"/>
    <s v="RSC COM. MAT.P/ CONSTRUCAO LTDA. NF 107.700"/>
    <n v="-210.65"/>
    <x v="0"/>
    <s v="MANUTENÇÃO"/>
  </r>
  <r>
    <x v="76"/>
    <s v="SETEMBRO"/>
    <s v="HSERV COMBINADOS"/>
    <s v="TRANSURB TRANSPORTES URBANOS DE JUNDIAI LTDA"/>
    <n v="-225.3"/>
    <x v="0"/>
    <s v="VALE TRANSPORTE"/>
  </r>
  <r>
    <x v="76"/>
    <s v="SETEMBRO"/>
    <s v="HSERV COMBINADOS"/>
    <s v="FLAVIA KELI DE OLIVEIRA FELIX"/>
    <n v="-171.7"/>
    <x v="0"/>
    <s v="VALE TRANSPORTE"/>
  </r>
  <r>
    <x v="76"/>
    <s v="SETEMBRO"/>
    <s v="HSERV TECNOLOGIA"/>
    <s v="WELLINTON ABREU DE JESUS"/>
    <n v="-186.04"/>
    <x v="0"/>
    <s v="VALE TRANSPORTE"/>
  </r>
  <r>
    <x v="76"/>
    <s v="SETEMBRO"/>
    <s v="HSERV TERCEIRIZADOS"/>
    <s v="OZEIAS ROBERTO DA SILVEIRA"/>
    <n v="-140"/>
    <x v="0"/>
    <s v="VALE TRANSPORTE"/>
  </r>
  <r>
    <x v="76"/>
    <s v="SETEMBRO"/>
    <s v="HSERV CABREUVA"/>
    <s v="ALEXANDRA SILVA DE LIMA"/>
    <n v="-264"/>
    <x v="0"/>
    <s v="VALE TRANSPORTE"/>
  </r>
  <r>
    <x v="76"/>
    <s v="SETEMBRO"/>
    <s v="HSERV COMBINADOS"/>
    <s v="JHENNIFER KETREN LOPES FERREIRA"/>
    <n v="-86.1"/>
    <x v="0"/>
    <s v="VALE TRANSPORTE"/>
  </r>
  <r>
    <x v="76"/>
    <s v="SETEMBRO"/>
    <s v="HSERV COMBINADOS"/>
    <s v="ROSANGELA CAMPOS PERROUD"/>
    <n v="-86.1"/>
    <x v="0"/>
    <s v="VALE TRANSPORTE"/>
  </r>
  <r>
    <x v="76"/>
    <s v="SETEMBRO"/>
    <s v="HSERV LIMPEZA"/>
    <s v="DOUGLAS ALCANTARA FIGUEIREDO"/>
    <n v="-274"/>
    <x v="0"/>
    <s v="VALE TRANSPORTE"/>
  </r>
  <r>
    <x v="76"/>
    <s v="SETEMBRO"/>
    <s v="VITOR DUARTE"/>
    <s v="IFOOD.COM AGENCIA DE RESTAURANTES ONLINE S.A."/>
    <n v="-177"/>
    <x v="0"/>
    <s v="VALE COMBUSTIVEL"/>
  </r>
  <r>
    <x v="76"/>
    <s v="SETEMBRO"/>
    <s v="VITOR DUARTE"/>
    <s v="IFOOD.COM AGENCIA DE RESTAURANTES ONLINE S.A.BRUNA MAYARA - VA 22/08 AO DIA 31/08 R$20,76 - VOLTOU DE AFASTAMENTO"/>
    <n v="-145.32"/>
    <x v="0"/>
    <s v="VALE ALIMENTAÇAO"/>
  </r>
  <r>
    <x v="76"/>
    <s v="SETEMBRO"/>
    <s v="HSERV CLEAN"/>
    <s v="J.E. COMERCIO E SOLUCOES LTDA NF 11.431"/>
    <n v="-3135.73"/>
    <x v="0"/>
    <s v="MERCADORIAS PARA REVENDA"/>
  </r>
  <r>
    <x v="74"/>
    <s v="SETEMBRO"/>
    <s v="HSERV CLEAN"/>
    <s v="_x0009_ENCARGOS DESCOBERTO CC"/>
    <n v="-342.12"/>
    <x v="0"/>
    <s v="ENCARGOS"/>
  </r>
  <r>
    <x v="74"/>
    <s v="SETEMBRO"/>
    <s v="HSERV CLEAN"/>
    <s v="_x0009_IOF S/ UTILIZACAO LIMITE"/>
    <n v="-78.150000000000006"/>
    <x v="0"/>
    <s v="ENCARGOS"/>
  </r>
  <r>
    <x v="74"/>
    <s v="SETEMBRO"/>
    <s v="HSERV CABREUVA"/>
    <s v="BANCO ITAUCARD S.A.- "/>
    <n v="-3809.98"/>
    <x v="0"/>
    <s v="FINANCIAMENTO"/>
  </r>
  <r>
    <x v="74"/>
    <s v="SETEMBRO"/>
    <s v="HSERV COMBINADOS"/>
    <s v="TAR PLANO ADAPT 3 05/24"/>
    <n v="-389"/>
    <x v="0"/>
    <s v="TARIFA BANCARIA"/>
  </r>
  <r>
    <x v="74"/>
    <s v="SETEMBRO"/>
    <s v="HSERV TECNOLOGIA"/>
    <s v="TAR PLANO ADAPT 3 05/24"/>
    <n v="-389"/>
    <x v="0"/>
    <s v="TARIFA BANCARIA"/>
  </r>
  <r>
    <x v="74"/>
    <s v="SETEMBRO"/>
    <s v="HSERV LIMPEZA"/>
    <s v="TAR PLANO ADAPT 3 05/24"/>
    <n v="-389"/>
    <x v="0"/>
    <s v="TARIFA BANCARIA"/>
  </r>
  <r>
    <x v="74"/>
    <s v="SETEMBRO"/>
    <s v="HSERV COMBINADOS"/>
    <s v="ROSEMEIRE VIEIRA BEZERRA"/>
    <n v="-319.8"/>
    <x v="0"/>
    <s v="VALE TRANSPORTE"/>
  </r>
  <r>
    <x v="74"/>
    <s v="SETEMBRO"/>
    <s v="HSERV COMBINADOS"/>
    <s v="DENIS CARLOS DA ROCHA"/>
    <n v="-117.6"/>
    <x v="0"/>
    <s v="VALE TRANSPORTE"/>
  </r>
  <r>
    <x v="74"/>
    <s v="SETEMBRO"/>
    <s v="HSERV COMBINADOS"/>
    <s v="NATALIA DA SILVA"/>
    <n v="-177"/>
    <x v="0"/>
    <s v="VALE TRANSPORTE"/>
  </r>
  <r>
    <x v="74"/>
    <s v="SETEMBRO"/>
    <s v="HSERV REPRESENTACOES"/>
    <s v="ALEXANDRE DONIZETE DOS SANTOS ALVES"/>
    <n v="-140"/>
    <x v="0"/>
    <s v="VALE TRANSPORTE"/>
  </r>
  <r>
    <x v="74"/>
    <s v="SETEMBRO"/>
    <s v="HSERV TERCEIRIZADOS"/>
    <s v="MARIA HELENA - FT DIA 25/08 PEDREIRA- DESCONTADO R$ 69,00 DO DIA DE TRABALHO DELA "/>
    <n v="-131"/>
    <x v="0"/>
    <s v="FT"/>
  </r>
  <r>
    <x v="74"/>
    <s v="SETEMBRO"/>
    <s v="HSERV CLEAN"/>
    <s v="SPARTAN DO BRASIL PRODUTOS QUIMICOS LTDA NF 258.675"/>
    <n v="-9520.32"/>
    <x v="0"/>
    <s v="MERCADORIAS PARA REVENDA"/>
  </r>
  <r>
    <x v="75"/>
    <s v="SETEMBRO"/>
    <s v="HSERV CLEAN"/>
    <s v="CREDIFIT SOCIEDADE DE CREDITO DIRETO S.A."/>
    <n v="-215.21"/>
    <x v="0"/>
    <s v="CONSIGNADO"/>
  </r>
  <r>
    <x v="75"/>
    <s v="SETEMBRO"/>
    <s v="HSERV REPRESENTACOES"/>
    <s v="CREDIFIT SOCIEDADE DE CREDITO DIRETO S.A."/>
    <n v="-376.91"/>
    <x v="0"/>
    <s v="CONSIGNADO"/>
  </r>
  <r>
    <x v="60"/>
    <s v="AGOSTO"/>
    <s v="VITOR DUARTE"/>
    <s v="RESOLVE ALIMENTACAO LTDA"/>
    <n v="-643.76"/>
    <x v="0"/>
    <s v="VALE ALIMENTAÇÃO"/>
  </r>
  <r>
    <x v="60"/>
    <s v="SETEMBRO"/>
    <s v="HSERV COMBINADOS"/>
    <s v="ANDRADE FREITAS SOCIEDADE DE ADVOGADOS-Proc 0012259-82.2024.5.15.0021 AUTOR: ESTEVAO GOMES DE SOUZA   PARCELA 1/5"/>
    <n v="-5600"/>
    <x v="0"/>
    <s v="ACORDO TRABALHISTA"/>
  </r>
  <r>
    <x v="60"/>
    <s v="SETEMBRO"/>
    <s v="HSERV TERCEIRIZADOS"/>
    <s v="CAETANO BERNARDES NEUBAUER-Proc 0010591-77.2025.5.15.0074 RECLAMANTE: SIMONE FERREIRA DA SILVA PARCELA 1/6"/>
    <n v="-1000"/>
    <x v="0"/>
    <s v="ACORDO TRABALHISTA"/>
  </r>
  <r>
    <x v="60"/>
    <s v="SETEMBRO"/>
    <s v="VITOR DUARTE"/>
    <s v="SCOLA &amp; FALCAO SOCIEDADE DE ADVOGADAS-Processo: 0010503-86.2025.5.15.0026 -NAIR DONIZETE TEODORO DE ANDRADE  PARCELA 1/5"/>
    <n v="-1000"/>
    <x v="0"/>
    <s v="ACORDO TRABALHISTA"/>
  </r>
  <r>
    <x v="60"/>
    <s v="SETEMBRO"/>
    <s v="VITOR DUARTE"/>
    <s v="MAIKON CEZARIO DOS SANTOS COPINO"/>
    <n v="-318.8"/>
    <x v="0"/>
    <s v="RESCISÕES"/>
  </r>
  <r>
    <x v="60"/>
    <s v="SETEMBRO"/>
    <s v="VITOR DUARTE"/>
    <s v="JULIO CEZAR IGLESIAS DE LIMA"/>
    <n v="-1470"/>
    <x v="0"/>
    <s v="VIAGEM E HOSPEDAGEM"/>
  </r>
  <r>
    <x v="60"/>
    <s v="SETEMBRO"/>
    <s v="VITOR DUARTE"/>
    <s v="ALTOLIM COMERCIAL ASSIS EIRELI - ME"/>
    <n v="-59.34"/>
    <x v="0"/>
    <s v="UNIFORMES"/>
  </r>
  <r>
    <x v="60"/>
    <s v="SETEMBRO"/>
    <s v="HENRIQUE JEAN"/>
    <s v="CONDOMINIO NEX ONE CONSOLAÇÃO BELAS ARTES- ROBOTTON"/>
    <n v="-701.1"/>
    <x v="0"/>
    <s v="RESERVA"/>
  </r>
  <r>
    <x v="75"/>
    <s v="SETEMBRO"/>
    <s v="HSERV CABREUVA"/>
    <s v="SALARIO CLT, PENSÃO ALIMENTICIA, BONUS-"/>
    <n v="-461722.54"/>
    <x v="0"/>
    <s v="SALARIOS"/>
  </r>
  <r>
    <x v="75"/>
    <s v="SETEMBRO"/>
    <s v="HSERV CABREUVA"/>
    <s v="ESTER CARDOZO DE LIMA "/>
    <n v="-500"/>
    <x v="0"/>
    <s v="SALARIOS"/>
  </r>
  <r>
    <x v="75"/>
    <s v="SETEMBRO"/>
    <s v="HSERV CABREUVA"/>
    <s v="MARCOS ANTONIO COUTO DO NASCIMENTO"/>
    <n v="-1500"/>
    <x v="0"/>
    <s v="SALARIOS"/>
  </r>
  <r>
    <x v="75"/>
    <s v="SETEMBRO"/>
    <s v="HSERV CABREUVA"/>
    <s v="MARIA SOCORRO DA SILVA PEREIRA"/>
    <n v="-1974.52"/>
    <x v="0"/>
    <s v="SALARIOS"/>
  </r>
  <r>
    <x v="61"/>
    <s v="SETEMBRO"/>
    <s v="HSERV CLEAN"/>
    <s v="EMPRESTIMO HSERV CLEAN BRADESCO -PARCELA MENSAL"/>
    <n v="-5811.41"/>
    <x v="0"/>
    <s v="EMPRESTIMO "/>
  </r>
  <r>
    <x v="75"/>
    <s v="SETEMBRO"/>
    <s v="HSERV CLEAN"/>
    <s v="J.E. COMERCIO E SOLUCOES LTDA  NF 11.571"/>
    <n v="-480"/>
    <x v="0"/>
    <s v="MERCADORIAS PARA REVENDA"/>
  </r>
  <r>
    <x v="75"/>
    <s v="SETEMBRO"/>
    <s v="HSERV CLEAN"/>
    <s v="J.E. COMERCIO E SOLUCOES LTDA NF 11.570"/>
    <n v="-531"/>
    <x v="0"/>
    <s v="MERCADORIAS PARA REVENDA"/>
  </r>
  <r>
    <x v="75"/>
    <s v="SETEMBRO"/>
    <s v="VITOR DUARTE"/>
    <s v="L. A. DE SOUZA - EQUIPAMENTOS DE SEGURANCA LTDA"/>
    <n v="-304.5"/>
    <x v="0"/>
    <s v="UNIFORMES"/>
  </r>
  <r>
    <x v="60"/>
    <s v="SETEMBRO"/>
    <s v="HSERV COMBINADOS "/>
    <s v="FT ASSIS E REGIÃO- "/>
    <n v="-6740"/>
    <x v="0"/>
    <s v="FT"/>
  </r>
  <r>
    <x v="27"/>
    <s v="SETEMBRO"/>
    <s v="VITOR DUARTE"/>
    <s v="VIVA FOOD R E LTDA"/>
    <n v="-17235"/>
    <x v="0"/>
    <s v="VALE ALIMENTAÇÃO"/>
  </r>
  <r>
    <x v="77"/>
    <s v="SETEMBRO"/>
    <s v="HSERV TECNOLOGIA"/>
    <s v="PAPEL E CIA"/>
    <n v="-434.35"/>
    <x v="0"/>
    <s v="MATERIAL DE ESCRITÓRIO"/>
  </r>
  <r>
    <x v="78"/>
    <s v="OUTUBRO"/>
    <s v="HSERV  LIMPEZA"/>
    <s v="BRASIL MEDICINA E SAUDE VENCIDA 10/09/2025"/>
    <n v="-585.46"/>
    <x v="0"/>
    <s v="SINDICATO"/>
  </r>
  <r>
    <x v="78"/>
    <s v="OUTUBRO"/>
    <s v="H SERV CLEAN "/>
    <s v="BRASIL MEDICINA E SAUDE VENCIDA 10/09/2025"/>
    <n v="-936.63"/>
    <x v="0"/>
    <s v="SINDICATO"/>
  </r>
  <r>
    <x v="78"/>
    <s v="OUTUBRO"/>
    <s v="VITOR  DUARTE "/>
    <s v="BRASIL MEDICINA E SAUDE VENCIDA 10/09/2025"/>
    <n v="-1092.78"/>
    <x v="0"/>
    <s v="SINDICATO"/>
  </r>
  <r>
    <x v="78"/>
    <s v="OUTUBRO"/>
    <s v="HSERV TECNOLOGIA"/>
    <s v="BRASIL MEDICINA E SAUDE VENCIDA 10/09/2025"/>
    <n v="-1756.25"/>
    <x v="0"/>
    <s v="SINDICATO"/>
  </r>
  <r>
    <x v="78"/>
    <s v="OUTUBRO"/>
    <s v="HSERV COMBINADOS "/>
    <s v="BRASIL MEDICINA E SAUDE VENCIDA 10/09/2025"/>
    <n v="-1951.41"/>
    <x v="0"/>
    <s v="SINDICATO"/>
  </r>
  <r>
    <x v="78"/>
    <s v="OUTUBRO"/>
    <s v="HSERV  REPRESENTACOES"/>
    <s v="BRASIL MEDICINA E SAUDE VENCIDA 10/09/2025"/>
    <n v="-897.62"/>
    <x v="0"/>
    <s v="SINDICATO"/>
  </r>
  <r>
    <x v="78"/>
    <s v="OUTUBRO"/>
    <s v="HSERV CABREUVA"/>
    <s v="BRASIL MEDICINA E SAUDE VENCIDA 10/09/2025"/>
    <n v="-897.62"/>
    <x v="0"/>
    <s v="SINDICATO"/>
  </r>
  <r>
    <x v="78"/>
    <s v="OUTUBRO"/>
    <s v="HENRIQUE DUARTE"/>
    <s v="BRASIL MEDICINA E SAUDE VENCIDA 10/09/2025"/>
    <n v="-390.31"/>
    <x v="0"/>
    <s v="SINDICATO"/>
  </r>
  <r>
    <x v="78"/>
    <s v="OUTUBRO"/>
    <s v="HSERV TERCEIRIZADOS"/>
    <s v="BRASIL MEDICINA E SAUDE VENCIDA 10/09/2025"/>
    <n v="-1014.77"/>
    <x v="0"/>
    <s v="SINDICATO"/>
  </r>
  <r>
    <x v="77"/>
    <s v="SETEMBRO"/>
    <s v="HSERV CABREUVA"/>
    <s v="SERGIO LUIZ BERTOLO"/>
    <n v="-356.64"/>
    <x v="0"/>
    <s v="ALUGUEL DE IMOVEIS"/>
  </r>
  <r>
    <x v="79"/>
    <s v="OUTUBRO"/>
    <s v="HSERV COMBINADOS "/>
    <s v="JAIR RÉ-COMISSÃO DE VENDAS DE SERVIÇOS "/>
    <n v="-1146.27"/>
    <x v="0"/>
    <s v="COMISSOES"/>
  </r>
  <r>
    <x v="77"/>
    <s v="SETEMBRO"/>
    <s v="VITOR DUARTE"/>
    <s v="MARCASA-SEGURANÇA VEPAKUM"/>
    <n v="-10500"/>
    <x v="0"/>
    <s v="SEGURANÇAS"/>
  </r>
  <r>
    <x v="67"/>
    <s v="SETEMBRO"/>
    <s v="HSERV CLEAN"/>
    <s v="SOFT WORKS EPI CALCADOS LTDA NF 223.836"/>
    <n v="-833"/>
    <x v="0"/>
    <s v="UNIFORMES"/>
  </r>
  <r>
    <x v="67"/>
    <s v="SETEMBRO"/>
    <s v="HSERV COMBINADOS"/>
    <s v="WASHINGTON LUIZ DO NASCIMENTO SILVA-FT MOEMA 02/09"/>
    <n v="-100"/>
    <x v="0"/>
    <s v="SALÁRIOS"/>
  </r>
  <r>
    <x v="67"/>
    <s v="SETEMBRO"/>
    <s v="HSERV COMBINADOS"/>
    <s v="LUANA RODRIGUES DOS REIS-FT MOEMA - 02,03,04 E 05/09"/>
    <n v="-400"/>
    <x v="0"/>
    <s v="SALÁRIOS"/>
  </r>
  <r>
    <x v="67"/>
    <s v="SETEMBRO"/>
    <s v="HSERV TERCEIRIZADOS"/>
    <s v="FABRICIO DOS SANTOS FURQUIM-ADICONAL NOTURNO - 120 HORAS"/>
    <n v="-220.49"/>
    <x v="0"/>
    <s v="SALÁRIOS"/>
  </r>
  <r>
    <x v="67"/>
    <s v="SETEMBRO"/>
    <s v="VITOR  DUARTE"/>
    <s v="RONDAWEB CONEXOES LTDA"/>
    <n v="-397.05"/>
    <x v="0"/>
    <s v="SISTEMA"/>
  </r>
  <r>
    <x v="67"/>
    <s v="SETEMBRO"/>
    <s v="HSERV TERCEIRIZADOS"/>
    <s v="WIG COMERCIO DE BATERIAS COMPONENTES LTDA NF 1.728"/>
    <n v="-886.67"/>
    <x v="0"/>
    <s v="MERCADORIAS PARA REVENDA"/>
  </r>
  <r>
    <x v="61"/>
    <s v="SETEMBRO"/>
    <s v="HSERV COMBINADOS "/>
    <s v="JHONNY WALACE"/>
    <n v="-980.34"/>
    <x v="0"/>
    <s v="COMISSOES"/>
  </r>
  <r>
    <x v="77"/>
    <s v="SETEMBRO"/>
    <s v="HENRIQUE JEAN"/>
    <s v="PROLABORE SOCIOS CRISTIANE-MARIA JOSE, GUTHIERRI"/>
    <n v="-3000"/>
    <x v="0"/>
    <s v="PROLABORE"/>
  </r>
  <r>
    <x v="77"/>
    <s v="SETEMBRO"/>
    <s v="HENRIQUE JEAN"/>
    <s v="CARTÃO VITOR"/>
    <n v="-3412.15"/>
    <x v="0"/>
    <s v="PROLABORE"/>
  </r>
  <r>
    <x v="77"/>
    <s v="SETEMBRO"/>
    <s v="HSERV CLEAN"/>
    <s v="INTERMEDICA"/>
    <n v="-6536.85"/>
    <x v="0"/>
    <s v="CONVENIO MEDICO"/>
  </r>
  <r>
    <x v="77"/>
    <s v="SETEMBRO"/>
    <s v="HSERV CABREUVA"/>
    <s v="AUTO POSTO JARDIM DAS HORTENCI"/>
    <n v="-7479.07"/>
    <x v="0"/>
    <s v="COMBUSTIVEL E PEDAGIO"/>
  </r>
  <r>
    <x v="77"/>
    <s v="SETEMBRO"/>
    <s v="HENRIQUE JEAN ND"/>
    <s v="FIT ADM (VIDA NOVA) 34-07"/>
    <n v="-442.04"/>
    <x v="0"/>
    <s v="RESERVA"/>
  </r>
  <r>
    <x v="67"/>
    <s v="SETEMBRO"/>
    <s v="HSERV CABREUVA"/>
    <s v="KEVYN TAWAN BERTONHA FERREIRA"/>
    <n v="-61.5"/>
    <x v="0"/>
    <s v="VALE TRANSPORTE"/>
  </r>
  <r>
    <x v="67"/>
    <s v="SETEMBRO"/>
    <s v="HSERV COMBINADOS"/>
    <s v="JEFFERSON FERREIRA SANTOS"/>
    <n v="-280"/>
    <x v="0"/>
    <s v="VALE TRANSPORTE"/>
  </r>
  <r>
    <x v="67"/>
    <s v="SETEMBRO"/>
    <s v="HSERV COMBINADOS"/>
    <s v="ELIANA CRISTINA DE OLIVEIRA"/>
    <n v="-289"/>
    <x v="0"/>
    <s v="VALE TRANSPORTE"/>
  </r>
  <r>
    <x v="67"/>
    <s v="SETEMBRO"/>
    <s v="HSERV COMBINADOS"/>
    <s v="JOSE FERNANDO CAVALCANTE DE ALBUQUERQUE"/>
    <n v="-205"/>
    <x v="0"/>
    <s v="VALE TRANSPORTE"/>
  </r>
  <r>
    <x v="67"/>
    <s v="SETEMBRO"/>
    <s v="HSERV TECNOLOGIA"/>
    <s v="FELIPE NUNES MACHADO"/>
    <n v="-205"/>
    <x v="0"/>
    <s v="VALE TRANSPORTE"/>
  </r>
  <r>
    <x v="28"/>
    <s v="SETEMBRO"/>
    <s v="HSERV TERCEIRIZADOS"/>
    <s v="MOVIDA PARTICIPACOES S.A.- PLACAS TJL4F14 e QMY1E00- PERIODO 30/06/2025 Á 30/07/2025"/>
    <n v="-4375.75"/>
    <x v="0"/>
    <s v="ALUGUEL DE VEICULOS"/>
  </r>
  <r>
    <x v="53"/>
    <s v="SETEMBRO"/>
    <s v="HSERV CABREUVA"/>
    <s v="NOVITA VEST CONFECCOES LTDA NF 6.322"/>
    <n v="-2045"/>
    <x v="0"/>
    <s v="UNIFORMES"/>
  </r>
  <r>
    <x v="53"/>
    <s v="SETEMBRO"/>
    <s v="HSERV TERCEIRIZADOS"/>
    <s v="GLOVAN CABREUVA ALUGUEL DE EQUIPAMENTOS LTDA"/>
    <n v="-247"/>
    <x v="0"/>
    <s v="MANUTENÇÃO"/>
  </r>
  <r>
    <x v="61"/>
    <s v="SETEMBRO"/>
    <s v="HSERV CABREUVA"/>
    <s v="NICOLAS BARBATI BERNARDO"/>
    <n v="-1279.42"/>
    <x v="0"/>
    <s v="RESCISÕES"/>
  </r>
  <r>
    <x v="61"/>
    <s v="SETEMBRO"/>
    <s v="HSERV CLEAN"/>
    <s v="JOSE DAVI DOS SANTOS MEDEIROS"/>
    <n v="-828.72"/>
    <x v="0"/>
    <s v="RESCISÕES"/>
  </r>
  <r>
    <x v="27"/>
    <s v="SETEMBRO"/>
    <s v="HSERV CABREUVA"/>
    <s v="SALARIOS MEI"/>
    <n v="-70387.179999999993"/>
    <x v="0"/>
    <s v="SALARIOS"/>
  </r>
  <r>
    <x v="27"/>
    <s v="SETEMBRO"/>
    <s v="VITOR DUARTE"/>
    <s v="IFOOD.COM AGENCIA DE RESTAURANTES ONLINE S.A.-ASSIDUIDADE RICOY"/>
    <n v="-900"/>
    <x v="0"/>
    <s v="ASSIDUIDADE"/>
  </r>
  <r>
    <x v="27"/>
    <s v="SETEMBRO"/>
    <s v="VITOR DUARTE"/>
    <s v="IFOOD.COM AGENCIA DE RESTAURANTES ONLINE S.A.-ASSIDUIDADE EMPRESAS"/>
    <n v="-15600"/>
    <x v="0"/>
    <s v="ASSIDUIDADE"/>
  </r>
  <r>
    <x v="27"/>
    <s v="SETEMBRO"/>
    <s v="VITOR DUARTE"/>
    <s v="IFOOD.COM AGENCIA DE RESTAURANTES ONLINE S.A.- ASSIDUIDADE AVENIDA "/>
    <n v="-4500"/>
    <x v="0"/>
    <s v="ASSIDUIDADE"/>
  </r>
  <r>
    <x v="27"/>
    <s v="SETEMBRO"/>
    <s v="VITOR DUARTE"/>
    <s v="IFOOD.COM AGENCIA DE RESTAURANTES ONLINE S.A.-ASSIDUIDADE "/>
    <n v="-24000"/>
    <x v="0"/>
    <s v="ASSIDUIDADE"/>
  </r>
  <r>
    <x v="27"/>
    <s v="SETEMBRO"/>
    <s v="HSERV COMBINADOS"/>
    <s v="JEFFERSON FERREIRA SANTOS"/>
    <n v="-352.92"/>
    <x v="0"/>
    <s v="VALE ALIMENTAÇÃO"/>
  </r>
  <r>
    <x v="27"/>
    <s v="SETEMBRO"/>
    <s v="HSERV COMBINADOS"/>
    <s v="TAMIRES DA SILVA CAPUCHINHO"/>
    <n v="-435.96"/>
    <x v="0"/>
    <s v="VALE ALIMENTAÇÃO"/>
  </r>
  <r>
    <x v="27"/>
    <s v="SETEMBRO"/>
    <s v="HSERV COMBINADOS"/>
    <s v="LUANA RODRIGUES DOS REIS"/>
    <n v="-435.96"/>
    <x v="0"/>
    <s v="VALE ALIMENTAÇÃO"/>
  </r>
  <r>
    <x v="27"/>
    <s v="SETEMBRO"/>
    <s v="VITOR DUARTE"/>
    <s v="IFOOD.COM AGENCIA DE RESTAURANTES ONLINE S.A."/>
    <n v="-44157.08"/>
    <x v="0"/>
    <s v="VALE ALIMENTAÇÃO"/>
  </r>
  <r>
    <x v="27"/>
    <s v="SETEMBRO"/>
    <s v="VITOR DUARTE"/>
    <s v="IFOOD.COM AGENCIA DE RESTAURANTES ONLINE S.A."/>
    <n v="-42433.760000000002"/>
    <x v="0"/>
    <s v="VALE ALIMENTAÇÃO"/>
  </r>
  <r>
    <x v="27"/>
    <s v="SETEMBRO"/>
    <s v="VITOR DUARTE"/>
    <s v="JHONY WALLACE GOMES DE OLIVEIRA"/>
    <n v="-435.96"/>
    <x v="0"/>
    <s v="VALE ALIMENTAÇÃO"/>
  </r>
  <r>
    <x v="27"/>
    <s v="SETEMBRO"/>
    <s v="VITOR DUARTE"/>
    <s v="IFOOD.COM AGENCIA DE RESTAURANTES ONLINE S.A."/>
    <n v="-435.96"/>
    <x v="0"/>
    <s v="VALE ALIMENTAÇÃO"/>
  </r>
  <r>
    <x v="27"/>
    <s v="SETEMBRO"/>
    <s v="VITOR DUARTE"/>
    <s v="GISELE RODRIGUES DOS SANTOS"/>
    <n v="-435.96"/>
    <x v="0"/>
    <s v="VALE ALIMENTAÇÃO"/>
  </r>
  <r>
    <x v="27"/>
    <s v="SETEMBRO"/>
    <s v="VITOR DUARTE"/>
    <s v="FABIOLA FARIAS FELIX"/>
    <n v="-415.2"/>
    <x v="0"/>
    <s v="VALE ALIMENTAÇÃO"/>
  </r>
  <r>
    <x v="27"/>
    <s v="SETEMBRO"/>
    <s v="HSERV CABREUVA"/>
    <s v="GABRIEL DO NASCIMENTO NEVES"/>
    <n v="-276"/>
    <x v="0"/>
    <s v="VALE TRANSPORTE"/>
  </r>
  <r>
    <x v="27"/>
    <s v="SETEMBRO"/>
    <s v="HSERV COMBINADOS"/>
    <s v="TAMIRES DA SILVA CAPUCHINHO"/>
    <n v="-274"/>
    <x v="0"/>
    <s v="VALE TRANSPORTE"/>
  </r>
  <r>
    <x v="27"/>
    <s v="SETEMBRO"/>
    <s v="HSERV COMBINADOS"/>
    <s v="JOAO VITOR RODRIGUES DA SILVA"/>
    <n v="-250"/>
    <x v="0"/>
    <s v="VALE TRANSPORTE"/>
  </r>
  <r>
    <x v="27"/>
    <s v="SETEMBRO"/>
    <s v="HSERV COMBINADOS"/>
    <s v="MARIA SOCORRO DA SILVA PEREIRA"/>
    <n v="-90"/>
    <x v="0"/>
    <s v="VALE TRANSPORTE"/>
  </r>
  <r>
    <x v="27"/>
    <s v="SETEMBRO"/>
    <s v="HSERV TECNOLOGIA"/>
    <s v="THIAGO ALMEIDA SANTANA"/>
    <n v="-100"/>
    <x v="0"/>
    <s v="VALE TRANSPORTE"/>
  </r>
  <r>
    <x v="27"/>
    <s v="SETEMBRO"/>
    <s v="HSERV TECNOLOGIA"/>
    <s v="WELLINTON ABREU DE JESUS"/>
    <n v="-256.08"/>
    <x v="0"/>
    <s v="VALE TRANSPORTE"/>
  </r>
  <r>
    <x v="27"/>
    <s v="SETEMBRO"/>
    <s v="HSERV TECNOLOGIA"/>
    <s v="JULIA LOURENCIO FRANCO"/>
    <n v="-274"/>
    <x v="0"/>
    <s v="VALE TRANSPORTE"/>
  </r>
  <r>
    <x v="27"/>
    <s v="SETEMBRO"/>
    <s v="HSERV TECNOLOGIA"/>
    <s v="QUEILA JESUS BERNARDES DE OLIVEIRA"/>
    <n v="-100"/>
    <x v="0"/>
    <s v="VALE TRANSPORTE"/>
  </r>
  <r>
    <x v="27"/>
    <s v="SETEMBRO"/>
    <s v="HSERV TERCEIRIZADOS"/>
    <s v="ESTER CARDOZO DE LIMA"/>
    <n v="-100"/>
    <x v="0"/>
    <s v="VALE TRANSPORTE"/>
  </r>
  <r>
    <x v="27"/>
    <s v="SETEMBRO"/>
    <s v="VITOR DUARTE"/>
    <s v="FABIOLA FARIAS FELIX"/>
    <n v="-286.36"/>
    <x v="0"/>
    <s v="VALE TRANSPORTE"/>
  </r>
  <r>
    <x v="27"/>
    <s v="SETEMBRO"/>
    <s v="VITOR DUARTE"/>
    <s v="JHONY WALLACE GOMES DE OLIVEIRA"/>
    <n v="-100"/>
    <x v="0"/>
    <s v="VALE TRANSPORTE"/>
  </r>
  <r>
    <x v="27"/>
    <s v="SETEMBRO"/>
    <s v="VITOR DUARTE"/>
    <s v="PAMELA GREICE MARINHO ROCHA"/>
    <n v="-249.9"/>
    <x v="0"/>
    <s v="VALE TRANSPORTE"/>
  </r>
  <r>
    <x v="27"/>
    <s v="SETEMBRO"/>
    <s v="VITOR DUARTE"/>
    <s v="BOLETO OTAVIO"/>
    <n v="-20565.28"/>
    <x v="0"/>
    <s v="PROLABORE"/>
  </r>
  <r>
    <x v="27"/>
    <s v="SETEMBRO"/>
    <s v="VITOR DUARTE"/>
    <s v="FABIOLA FARIAS FELIX"/>
    <n v="-144.68"/>
    <x v="0"/>
    <s v="CESTA BASICA"/>
  </r>
  <r>
    <x v="61"/>
    <s v="SETEMBRO"/>
    <s v="HSERV COMBINADOS "/>
    <s v="ESTER CARDOZO"/>
    <n v="-1375"/>
    <x v="0"/>
    <s v="SALARIOS"/>
  </r>
  <r>
    <x v="61"/>
    <s v="SETEMBRO"/>
    <s v="HSERV CABREUVA"/>
    <s v="SEM PARAR"/>
    <n v="-3962.8"/>
    <x v="0"/>
    <s v="COMBUSTIVEL E PEDAGIO"/>
  </r>
  <r>
    <x v="61"/>
    <s v="SETEMBRO"/>
    <s v="VITOR DUARTE"/>
    <s v="CARTAO DE CRÉDITO- VITOR"/>
    <n v="-9572.4"/>
    <x v="0"/>
    <s v="CARTÃO DE CREDITO"/>
  </r>
  <r>
    <x v="61"/>
    <s v="SETEMBRO"/>
    <s v="HENRIQUE JEAN"/>
    <s v="CARTÃO DE CREDITO"/>
    <n v="-2324.5500000000002"/>
    <x v="0"/>
    <s v="CARTÃO DE CREDITO"/>
  </r>
  <r>
    <x v="61"/>
    <s v="SETEMBRO"/>
    <s v="HSERV COMBINADOS"/>
    <s v="CARTÃO DE CREDITO"/>
    <n v="-1297.19"/>
    <x v="0"/>
    <s v="CARTÃO DE CREDITO"/>
  </r>
  <r>
    <x v="53"/>
    <s v="SETEMBRO"/>
    <s v="HSERV TERCEIRIZADOS"/>
    <s v="PACHECO NF 3.712"/>
    <n v="-270.23"/>
    <x v="0"/>
    <s v="MANUTENÇÃO"/>
  </r>
  <r>
    <x v="53"/>
    <s v="SETEMBRO"/>
    <s v="VITOR DUARTE"/>
    <s v="LUCAS VITOR NUNES"/>
    <n v="-1699.81"/>
    <x v="0"/>
    <s v="RESCISÕES"/>
  </r>
  <r>
    <x v="53"/>
    <s v="SETEMBRO"/>
    <s v="VITOR DUARTE"/>
    <s v="LUCAS VITOR NUNES"/>
    <n v="-243.64"/>
    <x v="0"/>
    <s v="RESCISÕES"/>
  </r>
  <r>
    <x v="53"/>
    <s v="SETEMBRO"/>
    <s v="HSERV COMBINADOS"/>
    <s v="GUSTAVO AMARANTE DA SILVA"/>
    <n v="-1280.94"/>
    <x v="0"/>
    <s v="RESCISÕES"/>
  </r>
  <r>
    <x v="53"/>
    <s v="SETEMBRO"/>
    <s v="HSERV TECNOLOGIA"/>
    <s v="MATHEUS RODRIGUES RIBEIRO"/>
    <n v="-369.34"/>
    <x v="0"/>
    <s v="RESCISÕES"/>
  </r>
  <r>
    <x v="53"/>
    <s v="SETEMBRO"/>
    <s v="HSERV CLEAN"/>
    <s v="GILBERTO SILVA SANTOS"/>
    <n v="-5.28"/>
    <x v="0"/>
    <s v="RESCISÕES"/>
  </r>
  <r>
    <x v="53"/>
    <s v="SETEMBRO"/>
    <s v="HSERV COMBINADOS"/>
    <s v="GRRF LUIZ RICARDO DE MORAES"/>
    <n v="-975.67"/>
    <x v="0"/>
    <s v="RESCISÕES"/>
  </r>
  <r>
    <x v="53"/>
    <s v="SETEMBRO"/>
    <s v="HSERV COMBINADOS"/>
    <s v="LUIZ RICARDO DE MORAES"/>
    <n v="-5608.44"/>
    <x v="0"/>
    <s v="RESCISÕES"/>
  </r>
  <r>
    <x v="61"/>
    <s v="SETEMBRO"/>
    <s v="HSERV COMBINADOS"/>
    <s v="TAXA IPTU PREFEITURA DE CABREUVA "/>
    <n v="-211.89"/>
    <x v="0"/>
    <s v="IMPOSTO"/>
  </r>
  <r>
    <x v="53"/>
    <s v="SETEMBRO"/>
    <s v="HSERV CABREUVA"/>
    <s v="SICOOB HSERV CABREUVA NEGOCIAÇÃO CHEQUE ESPECIAL "/>
    <n v="-2012.45"/>
    <x v="0"/>
    <s v="EMPRESTIMO "/>
  </r>
  <r>
    <x v="61"/>
    <s v="SETEMBRO"/>
    <s v="HSERV CABREUVA"/>
    <s v="TARIFA MAX EMPRESARIAL"/>
    <n v="-171.1"/>
    <x v="0"/>
    <s v="TARIFA BANCARIA"/>
  </r>
  <r>
    <x v="61"/>
    <s v="SETEMBRO"/>
    <s v="HSERV CLEAN"/>
    <s v="TARIFA MAX EMPRESARIAL"/>
    <n v="-171.1"/>
    <x v="0"/>
    <s v="TARIFA BANCARIA"/>
  </r>
  <r>
    <x v="61"/>
    <s v="SETEMBRO"/>
    <s v="HSERV COMBINADOS "/>
    <s v="TARIFA MAX EMPRESARIAL"/>
    <n v="-177.05"/>
    <x v="0"/>
    <s v="TARIFA BANCARIA"/>
  </r>
  <r>
    <x v="61"/>
    <s v="SETEMBRO"/>
    <s v="HSERV COMBINADOS  ND"/>
    <s v="TARIFA MAX EMPRESARIAL"/>
    <n v="-177.05"/>
    <x v="0"/>
    <s v="TARIFA BANCARIA"/>
  </r>
  <r>
    <x v="61"/>
    <s v="SETEMBRO"/>
    <s v="HENRIQUE JEAN"/>
    <s v="TARIFA MAX EMPRESARIAL"/>
    <n v="-177.05"/>
    <x v="0"/>
    <s v="TARIFA BANCARIA"/>
  </r>
  <r>
    <x v="61"/>
    <s v="SETEMBRO"/>
    <s v="HENRIQUE JEAN ND"/>
    <s v="TARIFA MAX EMPRESARIAL"/>
    <n v="-177.05"/>
    <x v="0"/>
    <s v="TARIFA BANCARIA"/>
  </r>
  <r>
    <x v="61"/>
    <s v="SETEMBRO"/>
    <s v="VITOR DUARTE"/>
    <s v="TARIFA MAX EMPRESARIAL"/>
    <n v="-177.05"/>
    <x v="0"/>
    <s v="TARIFA BANCARIA"/>
  </r>
  <r>
    <x v="61"/>
    <s v="SETEMBRO"/>
    <s v="VITOR DUARTE ND"/>
    <s v="TARIFA MAX EMPRESARIAL"/>
    <n v="-177.05"/>
    <x v="0"/>
    <s v="TARIFA BANCARIA"/>
  </r>
  <r>
    <x v="61"/>
    <s v="SETEMBRO"/>
    <s v="HSERV TERCERIZADOS"/>
    <s v="TARIFA MAX EMPRESARIAL"/>
    <n v="-177.05"/>
    <x v="0"/>
    <s v="TARIFA BANCARIA"/>
  </r>
  <r>
    <x v="61"/>
    <s v="SETEMBRO"/>
    <s v="HSERV TERCERIZADOS ND"/>
    <s v="TARIFA MAX EMPRESARIAL"/>
    <n v="-177.05"/>
    <x v="0"/>
    <s v="TARIFA BANCARIA"/>
  </r>
  <r>
    <x v="61"/>
    <s v="SETEMBRO"/>
    <s v="HSERV LIMPEZA"/>
    <s v="TARIFA MAX EMPRESARIAL"/>
    <n v="-177.05"/>
    <x v="0"/>
    <s v="TARIFA BANCARIA"/>
  </r>
  <r>
    <x v="61"/>
    <s v="SETEMBRO"/>
    <s v="HSERV LIMPEZA ND"/>
    <s v="TARIFA MAX EMPRESARIAL"/>
    <n v="-177.05"/>
    <x v="0"/>
    <s v="TARIFA BANCARIA"/>
  </r>
  <r>
    <x v="61"/>
    <s v="SETEMBRO"/>
    <s v="HSERV TECNOLOGIA"/>
    <s v="TARIFA MAX EMPRESARIAL"/>
    <n v="-177.05"/>
    <x v="0"/>
    <s v="TARIFA BANCARIA"/>
  </r>
  <r>
    <x v="61"/>
    <s v="SETEMBRO"/>
    <s v="HSERV REPRESENTAÇÃO"/>
    <s v="TARIFA MAX EMPRESARIAL"/>
    <n v="-177.05"/>
    <x v="0"/>
    <s v="TARIFA BANCARIA"/>
  </r>
  <r>
    <x v="80"/>
    <s v="SETEMBRO"/>
    <s v="HENRIQUE JEAN ND"/>
    <s v="CELIO ROBERTO"/>
    <n v="-744.94"/>
    <x v="0"/>
    <s v="RESERVA"/>
  </r>
  <r>
    <x v="27"/>
    <s v="SETEMBRO"/>
    <s v="VITOR DUARTE"/>
    <s v="IFOOD.COM AGENCIA DE RESTAURANTES ONLINE S.A. VALE COMBUSTIVEL-2 QUINZENA "/>
    <n v="-7225"/>
    <x v="0"/>
    <s v="VALE COMBUSTIVEL"/>
  </r>
  <r>
    <x v="80"/>
    <s v="SETEMBRO"/>
    <s v="HSERV CABREUVA"/>
    <s v="SABESP SALA 16"/>
    <n v="-141.52000000000001"/>
    <x v="0"/>
    <s v="AGUA"/>
  </r>
  <r>
    <x v="80"/>
    <s v="SETEMBRO"/>
    <s v="HSERV CABREUVA"/>
    <s v="SABESP SALA 17"/>
    <n v="-141.52000000000001"/>
    <x v="0"/>
    <s v="AGUA"/>
  </r>
  <r>
    <x v="80"/>
    <s v="SETEMBRO"/>
    <s v="HSERV CABREUVA"/>
    <s v="SABESP SALA 18"/>
    <n v="-141.52000000000001"/>
    <x v="0"/>
    <s v="AGUA"/>
  </r>
  <r>
    <x v="80"/>
    <s v="SETEMBRO"/>
    <s v="HSERV CABREUVA"/>
    <s v="SABESP CLEAN"/>
    <n v="-138.56"/>
    <x v="0"/>
    <s v="AGUA"/>
  </r>
  <r>
    <x v="61"/>
    <s v="SETEMBRO"/>
    <s v="HSERV TECNOLOGIA"/>
    <s v="OMIEXPERIENCE LTDA."/>
    <n v="-261.68"/>
    <x v="0"/>
    <s v="SISTEMA"/>
  </r>
  <r>
    <x v="61"/>
    <s v="SETEMBRO"/>
    <s v="HSERV REPRESENTACOES"/>
    <s v="OMIEXPERIENCE LTDA."/>
    <n v="-300"/>
    <x v="0"/>
    <s v="SISTEMA"/>
  </r>
  <r>
    <x v="61"/>
    <s v="SETEMBRO"/>
    <s v="HSERV CABREUVA "/>
    <s v="OMIEXPERIENCE LTDA."/>
    <n v="-300"/>
    <x v="0"/>
    <s v="SISTEMA"/>
  </r>
  <r>
    <x v="61"/>
    <s v="SETEMBRO"/>
    <s v="HSERV  COMBINADOS"/>
    <s v="OMIEXPERIENCE LTDA."/>
    <n v="-300"/>
    <x v="0"/>
    <s v="SISTEMA"/>
  </r>
  <r>
    <x v="61"/>
    <s v="SETEMBRO"/>
    <s v="HENRIQUE JEAN DUARTE "/>
    <s v="OMIEXPERIENCE LTDA."/>
    <n v="-300"/>
    <x v="0"/>
    <s v="SISTEMA"/>
  </r>
  <r>
    <x v="61"/>
    <s v="SETEMBRO"/>
    <s v="HSERV TERCEIRIZADOS"/>
    <s v="OMIEXPERIENCE LTDA."/>
    <n v="-300"/>
    <x v="0"/>
    <s v="SISTEMA"/>
  </r>
  <r>
    <x v="61"/>
    <s v="SETEMBRO"/>
    <s v="HSERV  LIMPEZA "/>
    <s v="OMIEXPERIENCE LTDA."/>
    <n v="-300"/>
    <x v="0"/>
    <s v="SISTEMA"/>
  </r>
  <r>
    <x v="61"/>
    <s v="SETEMBRO"/>
    <s v="VITOR  DUARTE "/>
    <s v="OMIEXPERIENCE LTDA."/>
    <n v="-350"/>
    <x v="0"/>
    <s v="SISTEMA"/>
  </r>
  <r>
    <x v="61"/>
    <s v="SETEMBRO"/>
    <s v="HSER CLEAN"/>
    <s v="OMIEXPERIENCE LTDA."/>
    <n v="-373.51"/>
    <x v="0"/>
    <s v="SISTEMA"/>
  </r>
  <r>
    <x v="61"/>
    <s v="SETEMBRO"/>
    <s v="HSERV CABREUVA"/>
    <s v="NOVITA VEST CONFECCOES LTDA"/>
    <n v="-2011.34"/>
    <x v="0"/>
    <s v="UNIFORMES"/>
  </r>
  <r>
    <x v="18"/>
    <s v="SETEMBRO"/>
    <s v="HENRIQUE JEAN"/>
    <s v="EMPORIO MEGA 100 COMERCIO DE ALIMENTOS S.A."/>
    <n v="-3177.29"/>
    <x v="0"/>
    <s v="CESTA BASICA"/>
  </r>
  <r>
    <x v="18"/>
    <s v="SETEMBRO"/>
    <s v="HSERV CABREUVA"/>
    <s v="EMPORIO MEGA 100 COMERCIO DE ALIMENTOS S.A."/>
    <n v="-2247.35"/>
    <x v="0"/>
    <s v="CESTA BASICA"/>
  </r>
  <r>
    <x v="18"/>
    <s v="SETEMBRO"/>
    <s v="HSERV CLEAN"/>
    <s v="EMPORIO MEGA 100 COMERCIO DE ALIMENTOS S.A."/>
    <n v="-1239.92"/>
    <x v="0"/>
    <s v="CESTA BASICA"/>
  </r>
  <r>
    <x v="18"/>
    <s v="SETEMBRO"/>
    <s v="HSERV CLEAN"/>
    <s v="EMPORIO MEGA 100 COMERCIO DE ALIMENTOS S.A."/>
    <n v="-3409.78"/>
    <x v="0"/>
    <s v="CESTA BASICA"/>
  </r>
  <r>
    <x v="18"/>
    <s v="SETEMBRO"/>
    <s v="HSERV COMBINADOS"/>
    <s v="EMPORIO MEGA 100 COMERCIO DE ALIMENTOS S.A."/>
    <n v="-3332.29"/>
    <x v="0"/>
    <s v="CESTA BASICA"/>
  </r>
  <r>
    <x v="18"/>
    <s v="SETEMBRO"/>
    <s v="HSERV LIMPEZA"/>
    <s v="EMPORIO MEGA 100 COMERCIO DE ALIMENTOS S.A."/>
    <n v="-929.94"/>
    <x v="0"/>
    <s v="CESTA BASICA"/>
  </r>
  <r>
    <x v="18"/>
    <s v="SETEMBRO"/>
    <s v="HSERV REPRESENTACOES"/>
    <s v="EMPORIO MEGA 100 COMERCIO DE ALIMENTOS S.A."/>
    <n v="-929.94"/>
    <x v="0"/>
    <s v="CESTA BASICA"/>
  </r>
  <r>
    <x v="18"/>
    <s v="SETEMBRO"/>
    <s v="HSERV TECNOLOGIA"/>
    <s v="EMPORIO MEGA 100 COMERCIO DE ALIMENTOS S.A."/>
    <n v="-232.49"/>
    <x v="0"/>
    <s v="CESTA BASICA"/>
  </r>
  <r>
    <x v="18"/>
    <s v="SETEMBRO"/>
    <s v="HSERV TERCEIRIZADOS"/>
    <s v="EMPORIO MEGA 100 COMERCIO DE ALIMENTOS S.A."/>
    <n v="-1084.93"/>
    <x v="0"/>
    <s v="CESTA BASICA"/>
  </r>
  <r>
    <x v="18"/>
    <s v="SETEMBRO"/>
    <s v="VITOR DUARTE"/>
    <s v="EMPORIO MEGA 100 COMERCIO DE ALIMENTOS S.A."/>
    <n v="-154.99"/>
    <x v="0"/>
    <s v="CESTA BASICA"/>
  </r>
  <r>
    <x v="80"/>
    <s v="SETEMBRO"/>
    <s v="HSERV CABREUVA"/>
    <s v="NOVITA VEST CONFECCOES LTDA NF 6.111"/>
    <n v="-3619.33"/>
    <x v="0"/>
    <s v="UNIFORMES"/>
  </r>
  <r>
    <x v="80"/>
    <s v="SETEMBRO"/>
    <s v="HSERV TERCEIRIZADOS"/>
    <s v="PAROLAR DIST DE UTENSILIOS DOMESTICOS LTDA NF 214.721"/>
    <n v="-354.28"/>
    <x v="0"/>
    <s v="MERCADORIAS PARA REVENDA"/>
  </r>
  <r>
    <x v="80"/>
    <s v="SETEMBRO"/>
    <s v="VITOR DUARTE"/>
    <s v="L. A. DE SOUZA - EQUIPAMENTOS DE SEGURANCA LTDA"/>
    <n v="-315"/>
    <x v="0"/>
    <s v="UNIFORMES"/>
  </r>
  <r>
    <x v="80"/>
    <s v="SETEMBRO"/>
    <s v="HSERV CABREUVA"/>
    <s v="CARLOS DAMIAO -PERITO - PRoc 0012545-94.2022.5.15.0097 RECLAMANTE: EDNALVA PEDREIRA DA CONCEICAO DA SILVA  "/>
    <n v="-2000"/>
    <x v="0"/>
    <s v="ACORDO TRABALHISTA"/>
  </r>
  <r>
    <x v="80"/>
    <s v="SETEMBRO"/>
    <s v="HENRIQUE JEAN"/>
    <s v="MICHAEL NOVAES DE FRANCA FGTS EM ATRASO 07/2023"/>
    <n v="-177.57"/>
    <x v="0"/>
    <s v="IMPOSTO"/>
  </r>
  <r>
    <x v="80"/>
    <s v="SETEMBRO"/>
    <s v="HENRIQUE JEAN"/>
    <s v="MICHAEL NOVAES DE FRANCA FGTS EM ATRASO 04/2023"/>
    <n v="-180.73"/>
    <x v="0"/>
    <s v="IMPOSTO"/>
  </r>
  <r>
    <x v="80"/>
    <s v="SETEMBRO"/>
    <s v="HENRIQUE JEAN"/>
    <s v="MICHAEL NOVAES DE FRANCA FGTS EM ATRASO 10/2023"/>
    <n v="-174.63"/>
    <x v="0"/>
    <s v="IMPOSTO"/>
  </r>
  <r>
    <x v="80"/>
    <s v="SETEMBRO"/>
    <s v="HENRIQUE JEAN"/>
    <s v="MICHAEL NOVAES DE FRANCA FGTS EM ATRASO 12/2023"/>
    <n v="-172.92"/>
    <x v="0"/>
    <s v="IMPOSTO"/>
  </r>
  <r>
    <x v="80"/>
    <s v="SETEMBRO"/>
    <s v="HENRIQUE JEAN"/>
    <s v="MICHAEL NOVAES DE FRANCA FGTS EM ATRASO 03/2023"/>
    <n v="-181.6"/>
    <x v="0"/>
    <s v="IMPOSTO"/>
  </r>
  <r>
    <x v="80"/>
    <s v="SETEMBRO"/>
    <s v="HENRIQUE JEAN"/>
    <s v="MICHAEL NOVAES DE FRANCA FGTS EM ATRASO 08/2023"/>
    <n v="-176.47"/>
    <x v="0"/>
    <s v="IMPOSTO"/>
  </r>
  <r>
    <x v="80"/>
    <s v="SETEMBRO"/>
    <s v="HENRIQUE JEAN"/>
    <s v="MICHAEL NOVAES DE FRANCA FGTS EM ATRASO 11/2023"/>
    <n v="-173.76"/>
    <x v="0"/>
    <s v="IMPOSTO"/>
  </r>
  <r>
    <x v="80"/>
    <s v="SETEMBRO"/>
    <s v="HENRIQUE JEAN"/>
    <s v="MICHAEL NOVAES DE FRANCA FGTS EM ATRASO 01/2023"/>
    <n v="-183.68"/>
    <x v="0"/>
    <s v="IMPOSTO"/>
  </r>
  <r>
    <x v="80"/>
    <s v="SETEMBRO"/>
    <s v="HENRIQUE JEAN"/>
    <s v="MICHAEL NOVAES DE FRANCA FGTS EM ATRASO 11/2022"/>
    <n v="-185.9"/>
    <x v="0"/>
    <s v="IMPOSTO"/>
  </r>
  <r>
    <x v="80"/>
    <s v="SETEMBRO"/>
    <s v="HENRIQUE JEAN"/>
    <s v="MICHAEL NOVAES DE FRANCA FGTS EM ATRASO 02/2023"/>
    <n v="-182.77"/>
    <x v="0"/>
    <s v="IMPOSTO"/>
  </r>
  <r>
    <x v="80"/>
    <s v="SETEMBRO"/>
    <s v="HENRIQUE JEAN"/>
    <s v="MICHAEL NOVAES DE FRANCA FGTS EM ATRASO 09/2023"/>
    <n v="-175.53"/>
    <x v="0"/>
    <s v="IMPOSTO"/>
  </r>
  <r>
    <x v="18"/>
    <s v="SETEMBRO"/>
    <s v="HSERV COMBINADOS "/>
    <s v="SOFISA ACORDO- PROCESSO EXECUÇÃO PARCELA 20/24"/>
    <n v="-5028.43"/>
    <x v="0"/>
    <s v="EMPRESTIMO "/>
  </r>
  <r>
    <x v="81"/>
    <s v="SETEMBRO"/>
    <s v="HENRIQUE JEAN"/>
    <s v="IF SAO PAULO SERVICOS DE APOIO A MICRO E PEQUENA EMPRESA LTD"/>
    <n v="-1689.3"/>
    <x v="0"/>
    <s v="CONTABILIDADE"/>
  </r>
  <r>
    <x v="81"/>
    <s v="SETEMBRO"/>
    <s v="HSERV CABREUVA"/>
    <s v="IF SAO PAULO SERVICOS DE APOIO A MICRO E PEQUENA EMPRESA LTD"/>
    <n v="-1689.3"/>
    <x v="0"/>
    <s v="CONTABILIDADE"/>
  </r>
  <r>
    <x v="81"/>
    <s v="SETEMBRO"/>
    <s v="HSERV CLEAN"/>
    <s v="IF SAO PAULO SERVICOS DE APOIO A MICRO E PEQUENA EMPRESA LTD"/>
    <n v="-1689.3"/>
    <x v="0"/>
    <s v="CONTABILIDADE"/>
  </r>
  <r>
    <x v="81"/>
    <s v="SETEMBRO"/>
    <s v="HSERV COMBINADOS"/>
    <s v="IF SAO PAULO SERVICOS DE APOIO A MICRO E PEQUENA EMPRESA LTD"/>
    <n v="-1689.3"/>
    <x v="0"/>
    <s v="CONTABILIDADE"/>
  </r>
  <r>
    <x v="81"/>
    <s v="SETEMBRO"/>
    <s v="HSERV LIMPEZA"/>
    <s v="IF SAO PAULO SERVICOS DE APOIO A MICRO E PEQUENA EMPRESA LTD"/>
    <n v="-1689.3"/>
    <x v="0"/>
    <s v="CONTABILIDADE"/>
  </r>
  <r>
    <x v="81"/>
    <s v="SETEMBRO"/>
    <s v="HSERV REPRESENTACOES"/>
    <s v="IF SAO PAULO SERVICOS DE APOIO A MICRO E PEQUENA EMPRESA LTD"/>
    <n v="-1689.3"/>
    <x v="0"/>
    <s v="CONTABILIDADE"/>
  </r>
  <r>
    <x v="81"/>
    <s v="SETEMBRO"/>
    <s v="HSERV TECNOLOGIA"/>
    <s v="IF SAO PAULO SERVICOS DE APOIO A MICRO E PEQUENA EMPRESA LTD"/>
    <n v="-1689.3"/>
    <x v="0"/>
    <s v="CONTABILIDADE"/>
  </r>
  <r>
    <x v="81"/>
    <s v="SETEMBRO"/>
    <s v="HSERV TERCEIRIZADOS"/>
    <s v="IF SAO PAULO SERVICOS DE APOIO A MICRO E PEQUENA EMPRESA LTD"/>
    <n v="-1689.3"/>
    <x v="0"/>
    <s v="CONTABILIDADE"/>
  </r>
  <r>
    <x v="81"/>
    <s v="SETEMBRO"/>
    <s v="VITOR DUARTE"/>
    <s v="IF SAO PAULO SERVICOS DE APOIO A MICRO E PEQUENA EMPRESA LTD"/>
    <n v="-2346.25"/>
    <x v="0"/>
    <s v="CONTABILIDADE"/>
  </r>
  <r>
    <x v="81"/>
    <s v="SETEMBRO"/>
    <s v="HSERV CABREUVA"/>
    <s v="ANJO AZUL ALARMES"/>
    <n v="-1114.33"/>
    <x v="0"/>
    <s v="SISTEMA"/>
  </r>
  <r>
    <x v="81"/>
    <s v="SETEMBRO"/>
    <s v="HSERV CABREUVA"/>
    <s v="MAXIWEB INTERNET PROVIDER LTDA"/>
    <n v="-39.799999999999997"/>
    <x v="0"/>
    <s v="SISTEMA"/>
  </r>
  <r>
    <x v="78"/>
    <s v="OUTUBRO"/>
    <s v="HSERV CLEAN"/>
    <s v="SIMPLES NACIONAL MENSAL - HSERV CLEAN-07.20.25247.2693681-9"/>
    <n v="-4492.67"/>
    <x v="0"/>
    <s v="IMPOSTO"/>
  </r>
  <r>
    <x v="78"/>
    <s v="OUTUBRO"/>
    <s v="HSERV COMBINADOS"/>
    <s v="SIMPLES NACIONAL MENSAL - HSERV COMBINADOS-07.20.25248.3910154-2"/>
    <n v="-1105.31"/>
    <x v="0"/>
    <s v="IMPOSTO"/>
  </r>
  <r>
    <x v="78"/>
    <s v="OUTUBRO"/>
    <s v="HENRIQUE JEAN"/>
    <s v="SIMPLES NACIONAL MENSAL - HENRIQUE JEAN - 07.20.25247.2707569-8"/>
    <n v="-1375.8"/>
    <x v="0"/>
    <s v="IMPOSTO"/>
  </r>
  <r>
    <x v="78"/>
    <s v="OUTUBRO"/>
    <s v="HSERV TECNOLOGIA"/>
    <s v="SIMPLES NACIONAL MENSAL - HSERV TECNOLOGIA-07.20.25255.9466159-0"/>
    <n v="-1418.32"/>
    <x v="0"/>
    <s v="IMPOSTO"/>
  </r>
  <r>
    <x v="78"/>
    <s v="OUTUBRO"/>
    <s v="HSERV LIMPEZA"/>
    <s v="SIMPLES NACIONAL MENSAL - HSERV LIMPEZA-07.20.25248.3984353-0"/>
    <n v="-5040.0600000000004"/>
    <x v="0"/>
    <s v="IMPOSTO"/>
  </r>
  <r>
    <x v="78"/>
    <s v="OUTUBRO"/>
    <s v="HSERV REPRESENTAÇÃO"/>
    <s v="SIMPLES NACIONAL MENSAL - HSERV REPRESENTAÇÃO - 07.20.25248.3924133-6"/>
    <n v="-5232.74"/>
    <x v="0"/>
    <s v="IMPOSTO"/>
  </r>
  <r>
    <x v="78"/>
    <s v="OUTUBRO"/>
    <s v="HSERV TERCERIZADOS"/>
    <s v="SIMPLES NACIONAL MENSAL - HSERV TERCERIZADOS - 07.20.25248.3944995-6"/>
    <n v="-884.67"/>
    <x v="0"/>
    <s v="IMPOSTO"/>
  </r>
  <r>
    <x v="78"/>
    <s v="OUTUBRO"/>
    <s v="VITOR DUARTE"/>
    <s v="ISS-- LUCRO REAL EMPRESA VITOR"/>
    <n v="-13668.57"/>
    <x v="0"/>
    <s v="IMPOSTO"/>
  </r>
  <r>
    <x v="78"/>
    <s v="OUTUBRO"/>
    <s v="HENRIQUE JEAN"/>
    <s v="DARF INSS MENSAL - HENRIQUE JEAN DUARTE "/>
    <n v="-7240.94"/>
    <x v="0"/>
    <s v="IMPOSTO"/>
  </r>
  <r>
    <x v="78"/>
    <s v="OUTUBRO"/>
    <s v="HSERV CABREUVA"/>
    <s v="DARF INSS MENSAL  HSERV CABREUVA "/>
    <n v="-10349.69"/>
    <x v="0"/>
    <s v="IMPOSTO"/>
  </r>
  <r>
    <x v="18"/>
    <s v="SETEMBRO"/>
    <s v="HSERV CLEAN"/>
    <s v="DARF INSS MENSAL  HSERV CLEAN "/>
    <n v="-3877.89"/>
    <x v="0"/>
    <s v="IMPOSTO"/>
  </r>
  <r>
    <x v="18"/>
    <s v="SETEMBRO"/>
    <s v="HSERV COMBINADOS"/>
    <s v="DARF INSS MENSAL  HSERV COMBINADOS "/>
    <n v="-6173.28"/>
    <x v="0"/>
    <s v="IMPOSTO"/>
  </r>
  <r>
    <x v="78"/>
    <s v="OUTUBRO"/>
    <s v="HSERV LIMPEZA"/>
    <s v="DARF INSS MENSAL  HSERV LIMPEZA"/>
    <n v="-2131.9499999999998"/>
    <x v="0"/>
    <s v="IMPOSTO"/>
  </r>
  <r>
    <x v="18"/>
    <s v="SETEMBRO"/>
    <s v="HSERV REPRESENTACOES"/>
    <s v="DARF INSS MENSAL  HSERV  REPRESENTACOES "/>
    <n v="-54.75"/>
    <x v="0"/>
    <s v="IMPOSTO"/>
  </r>
  <r>
    <x v="78"/>
    <s v="OUTUBRO"/>
    <s v="HSERV TECNOLOGIA"/>
    <s v="DARF INSS MENSAL  HSERV TECNOLOGIA"/>
    <n v="-7599.89"/>
    <x v="0"/>
    <s v="IMPOSTO"/>
  </r>
  <r>
    <x v="78"/>
    <s v="OUTUBRO"/>
    <s v="HSERV TERCEIRIZADOS"/>
    <s v="DARF INSS MENSAL  HSERV TERCEIRIZADOS"/>
    <n v="-2851.4"/>
    <x v="0"/>
    <s v="IMPOSTO"/>
  </r>
  <r>
    <x v="78"/>
    <s v="OUTUBRO"/>
    <s v="VITOR DUARTE"/>
    <s v="DARF INSS MENSAL  HSERV LTDA "/>
    <n v="-16742.48"/>
    <x v="0"/>
    <s v="IMPOSTO"/>
  </r>
  <r>
    <x v="18"/>
    <s v="SETEMBRO"/>
    <s v="HENRIQUE JEAN"/>
    <s v="FGTS MENSAL - HENRIQUE JEAN "/>
    <n v="-11538.22"/>
    <x v="0"/>
    <s v="IMPOSTO"/>
  </r>
  <r>
    <x v="18"/>
    <s v="SETEMBRO"/>
    <s v="HSERV CABREUVA"/>
    <s v="FGTS MENSAL - HSERV CABREUVA "/>
    <n v="-5859.72"/>
    <x v="0"/>
    <s v="IMPOSTO"/>
  </r>
  <r>
    <x v="18"/>
    <s v="SETEMBRO"/>
    <s v="HSERV CLEAN"/>
    <s v="FGTS MENSAL - HSERV CLEAN "/>
    <n v="-4698.51"/>
    <x v="0"/>
    <s v="IMPOSTO"/>
  </r>
  <r>
    <x v="18"/>
    <s v="SETEMBRO"/>
    <s v="HSERV COMBINADOS"/>
    <s v="FGTS MENSAL - HSERV COMBINADOS "/>
    <n v="-8746.14"/>
    <x v="0"/>
    <s v="IMPOSTO"/>
  </r>
  <r>
    <x v="18"/>
    <s v="SETEMBRO"/>
    <s v="HSERV LIMPEZA"/>
    <s v="FGTS MENSAL - HSERV LIMPEZA "/>
    <n v="-5082.6099999999997"/>
    <x v="0"/>
    <s v="IMPOSTO"/>
  </r>
  <r>
    <x v="18"/>
    <s v="SETEMBRO"/>
    <s v="HSERV REPRESENTACOES"/>
    <s v="FGTS MENSAL - HSERV REPRESENTACOES "/>
    <n v="-2832.62"/>
    <x v="0"/>
    <s v="IMPOSTO"/>
  </r>
  <r>
    <x v="18"/>
    <s v="SETEMBRO"/>
    <s v="HSERV TECNOLOGIA"/>
    <s v="FGTS MENSAL - HSERV TECNOLOGIA"/>
    <n v="-9064.18"/>
    <x v="0"/>
    <s v="IMPOSTO"/>
  </r>
  <r>
    <x v="18"/>
    <s v="SETEMBRO"/>
    <s v="HSERV TERCEIRIZADOS"/>
    <s v="FGTS MENSAL - HSERV TERCEIRIZADOS"/>
    <n v="-3638.69"/>
    <x v="0"/>
    <s v="IMPOSTO"/>
  </r>
  <r>
    <x v="18"/>
    <s v="SETEMBRO"/>
    <s v="VITOR DUARTE"/>
    <s v="FGTS MENSAL - HSERV LTDA VITOR DUARTE"/>
    <n v="-3544.6"/>
    <x v="0"/>
    <s v="IMPOSTO"/>
  </r>
  <r>
    <x v="81"/>
    <s v="SETEMBRO"/>
    <s v="HSERV CABREUVA"/>
    <s v="FT 1º QUINZENA E PACOTES, RT"/>
    <n v="-72096.91"/>
    <x v="0"/>
    <s v="FT"/>
  </r>
  <r>
    <x v="81"/>
    <s v="SETEMBRO"/>
    <s v="HSERV CABREUVA"/>
    <s v="CAIXA CARTOES PRE-PAGOS S.A."/>
    <n v="-9186.57"/>
    <x v="0"/>
    <s v="VALE TRANSPORTE"/>
  </r>
  <r>
    <x v="81"/>
    <s v="SETEMBRO"/>
    <s v="HSERV CLEAN"/>
    <s v="CAIXA CARTOES PRE-PAGOS S.A."/>
    <n v="-1373.01"/>
    <x v="0"/>
    <s v="VALE TRANSPORTE"/>
  </r>
  <r>
    <x v="81"/>
    <s v="SETEMBRO"/>
    <s v="HSERV LIMPEZA"/>
    <s v="CAIXA CARTOES PRE-PAGOS S.A."/>
    <n v="-217.38"/>
    <x v="0"/>
    <s v="VALE TRANSPORTE"/>
  </r>
  <r>
    <x v="81"/>
    <s v="SETEMBRO"/>
    <s v="HSERV REPRESENTACOES"/>
    <s v="CAIXA CARTOES PRE-PAGOS S.A."/>
    <n v="-1366.4"/>
    <x v="0"/>
    <s v="VALE TRANSPORTE"/>
  </r>
  <r>
    <x v="81"/>
    <s v="SETEMBRO"/>
    <s v="HSERV TECNOLOGIA"/>
    <s v="CAIXA CARTOES PRE-PAGOS S.A."/>
    <n v="-3091.6"/>
    <x v="0"/>
    <s v="VALE TRANSPORTE"/>
  </r>
  <r>
    <x v="81"/>
    <s v="SETEMBRO"/>
    <s v="HSERV TERCEIRIZADOS"/>
    <s v="CAIXA CARTOES PRE-PAGOS S.A."/>
    <n v="-1565.84"/>
    <x v="0"/>
    <s v="VALE TRANSPORTE"/>
  </r>
  <r>
    <x v="81"/>
    <s v="SETEMBRO"/>
    <s v="VITOR DUARTE"/>
    <s v="CAIXA CARTOES PRE-PAGOS S.A."/>
    <n v="-16807.55"/>
    <x v="0"/>
    <s v="VALE TRANSPORTE"/>
  </r>
  <r>
    <x v="81"/>
    <s v="SETEMBRO"/>
    <s v="HSERV COMBINADOS"/>
    <s v="RITA SABINO DE MIRANDA MOURA"/>
    <n v="-70"/>
    <x v="0"/>
    <s v="VALE TRANSPORTE"/>
  </r>
  <r>
    <x v="82"/>
    <s v="SETEMBRO"/>
    <s v="HSERV CABREUVA"/>
    <s v="FT ASSIS E REGIÃO- "/>
    <n v="-6320"/>
    <x v="0"/>
    <s v="FT"/>
  </r>
  <r>
    <x v="81"/>
    <s v="SETEMBRO"/>
    <s v="HSERV COMBINADOS"/>
    <s v="MAC LUCER - MAITÁ APTO 073 CONTRATO 170 (MENSAL) PARCELA 18 /27"/>
    <n v="-3003.13"/>
    <x v="0"/>
    <s v="APORTE"/>
  </r>
  <r>
    <x v="81"/>
    <s v="SETEMBRO"/>
    <s v="VITOR DUARTE"/>
    <s v="CLARO S/A"/>
    <n v="-1560.68"/>
    <x v="0"/>
    <s v="TELEFONE"/>
  </r>
  <r>
    <x v="18"/>
    <s v="SETEMBRO"/>
    <s v="HENRIQUE JEAN ND"/>
    <s v="IMOVEL NEX ONE "/>
    <n v="-8937.32"/>
    <x v="0"/>
    <s v="RESERVA"/>
  </r>
  <r>
    <x v="18"/>
    <s v="SETEMBRO"/>
    <s v="VITOR DUARTE"/>
    <s v="VIVA FOOD R E LTDA"/>
    <n v="-17235"/>
    <x v="0"/>
    <s v="VALE ALIMENTAÇÃO"/>
  </r>
  <r>
    <x v="83"/>
    <s v="SETEMBRO"/>
    <s v="VITOR DUARTE"/>
    <s v="VIVA FOOD R E LTDA"/>
    <n v="-17235"/>
    <x v="0"/>
    <s v="VALE ALIMENTAÇÃO"/>
  </r>
  <r>
    <x v="67"/>
    <s v="SETEMBRO"/>
    <s v="HSERV TERCEIRIZADOS"/>
    <s v="DEVOLUÇÃO VITOR- EMPRESTIMO DOS 34K"/>
    <n v="9000"/>
    <x v="1"/>
    <s v="DEVOLUÇÃO"/>
  </r>
  <r>
    <x v="67"/>
    <s v="SETEMBRO"/>
    <s v="HSERV TERCEIRIZADOS"/>
    <s v="LIMITE TERCERIZADOS "/>
    <n v="3600"/>
    <x v="1"/>
    <s v="LIMITE"/>
  </r>
  <r>
    <x v="84"/>
    <s v="SETEMBRO"/>
    <s v="HSERV CLEAN"/>
    <s v="AUTO POSTO JARDIM DAS HORTENCIA"/>
    <n v="-6379.82"/>
    <x v="0"/>
    <s v="COMBUSTIVEL E PEDAGIO"/>
  </r>
  <r>
    <x v="84"/>
    <s v="SETEMBRO"/>
    <s v="VITOR DUARTE"/>
    <s v="GADE CORPORATIVA"/>
    <n v="-84.3"/>
    <x v="0"/>
    <s v="SISTEMA"/>
  </r>
  <r>
    <x v="22"/>
    <s v="JULHO"/>
    <s v="HSERV COMBINADOS"/>
    <s v="YGOR SILVA DA CONCEICAO"/>
    <n v="-1470.99"/>
    <x v="0"/>
    <s v="RESCISÕES"/>
  </r>
  <r>
    <x v="22"/>
    <s v="JULHO"/>
    <s v="HSERV TECNOLOGIA"/>
    <s v="GRRF LEIDIANE MENDES"/>
    <n v="-178.81"/>
    <x v="0"/>
    <s v="RESCISÕES"/>
  </r>
  <r>
    <x v="22"/>
    <s v="JULHO"/>
    <s v="HSERV TECNOLOGIA"/>
    <s v="LEIDIANE MENDES"/>
    <n v="-2258"/>
    <x v="0"/>
    <s v="RESCISÕES"/>
  </r>
  <r>
    <x v="22"/>
    <s v="JULHO"/>
    <s v="VITOR DUARTE"/>
    <s v="DEBORA GOMES DOS SANTOS-VALE TRANSPORTE DO DIA 25/07 AO DIA 07/08 R$14,70 POR DIA  LOJA 08"/>
    <n v="-176.4"/>
    <x v="0"/>
    <s v="VALE TRANSPORTE"/>
  </r>
  <r>
    <x v="22"/>
    <s v="JULHO"/>
    <s v="HSERV COMBINADOS"/>
    <s v="GUSTAVO HENRIQUE DOS SANTOS-vale transporte fiscal de sorocaba do dia 25/07 ao dia 07/08 R$23,60 por dia  escala 4x1"/>
    <n v="-284.39999999999998"/>
    <x v="0"/>
    <s v="VALE TRANSPORTE"/>
  </r>
  <r>
    <x v="22"/>
    <s v="JULHO"/>
    <s v="HSERV COMBINADOS"/>
    <s v="RODRIGO CESAR DOS SANTOS-VALE TRANSPORTE DO DIA 25/07 AO DIA 07/08  28,80  POR DIA"/>
    <n v="-345.6"/>
    <x v="0"/>
    <s v="VALE TRANSPORTE"/>
  </r>
  <r>
    <x v="22"/>
    <s v="JULHO"/>
    <s v="HSERV COMBINADOS"/>
    <s v="ELANDIO GONCALVES LIMA Limpador de Vidro loja 24 Sorocaba  Nos dias  15-07 ,16-07, 17-07, e 18-07"/>
    <n v="-1000"/>
    <x v="0"/>
    <s v="FT"/>
  </r>
  <r>
    <x v="22"/>
    <s v="JULHO"/>
    <s v="HSERV CABREUVA"/>
    <s v="PEDRO LEOPOLDO BRUNELLI JUNIOR -Processo n. 0011252-29.2021.5.15.0096  AUTOR: DANILO MIGUEL DA SILVA  -PARCEL A 4/4"/>
    <n v="-2688.37"/>
    <x v="0"/>
    <s v="ACORDO TRABALHISTA"/>
  </r>
  <r>
    <x v="22"/>
    <s v="JULHO"/>
    <s v="HSERV TERCEIRIZADOS"/>
    <s v="GISELE RODRIGUES- CAIXINHA OPERACIONAL "/>
    <n v="-1500"/>
    <x v="0"/>
    <s v="CAIXINHA"/>
  </r>
  <r>
    <x v="22"/>
    <s v="JULHO"/>
    <s v="HSERV TERCEIRIZADOS"/>
    <s v="OSSIRES JOSÉ DONANGELO- CAIXINHA OPERACIONAL"/>
    <n v="-1500"/>
    <x v="0"/>
    <s v="CAIXINHA"/>
  </r>
  <r>
    <x v="22"/>
    <s v="JULHO"/>
    <s v="HSERV CABREUVA"/>
    <s v="FTS FALTANTE "/>
    <n v="-1399"/>
    <x v="0"/>
    <s v="FT"/>
  </r>
  <r>
    <x v="84"/>
    <s v="SETEMBRO"/>
    <s v="HSERV CABREUVA"/>
    <s v="PEDRO LEOPOLDO BRUNELLI JUNIOR -Processo n. 0011252-29.2021.5.15.0096  AUTOR: DANILO MIGUEL DA SILVA  -PARCEL A 4/4"/>
    <n v="-2688.37"/>
    <x v="0"/>
    <s v="ACORDO TRABALHISTA"/>
  </r>
  <r>
    <x v="39"/>
    <s v="OUTUBRO"/>
    <s v="HSERV CABREUVA"/>
    <s v="OPEN IT GROUP ESCRITORIO E LOJA CLEAN"/>
    <n v="-294.8"/>
    <x v="0"/>
    <s v="INTERNET"/>
  </r>
  <r>
    <x v="84"/>
    <s v="SETEMBRO"/>
    <s v="HSERV CLEAN"/>
    <s v="SPARTAN DO BRASIL PRODUTOS QUIMICOS LTDA NF 261.702"/>
    <n v="-4484.68"/>
    <x v="0"/>
    <s v="MERCADORIAS PARA REVENDA"/>
  </r>
  <r>
    <x v="84"/>
    <s v="SETEMBRO"/>
    <s v="HSERV TERCEIRIZADOS"/>
    <s v="WIG COMERCIO DE BATERIAS COMPONENTES LTDA NF 1.728"/>
    <n v="-886.67"/>
    <x v="0"/>
    <s v="MANUTENÇÃO"/>
  </r>
  <r>
    <x v="84"/>
    <s v="SETEMBRO"/>
    <s v="HSERV LIMPEZA"/>
    <s v="LEONILDA CRISTINA APARECIDA FERRAZ"/>
    <n v="-636.88"/>
    <x v="0"/>
    <s v="RESCISÕES"/>
  </r>
  <r>
    <x v="84"/>
    <s v="SETEMBRO"/>
    <s v="HSERV CABREUVA"/>
    <s v="BORELA ADVOGADOS ASSOCIADOS Proc 0010084-90.2025.5.15.0018 AUTOR: VANESSA ALESSANDRA NUNES DA COSTA SANTOS  -PARCELA 1/2"/>
    <n v="-2000"/>
    <x v="0"/>
    <s v="ACORDO TRABALHISTA"/>
  </r>
  <r>
    <x v="84"/>
    <s v="SETEMBRO"/>
    <s v="HSERV COMBINADOS"/>
    <s v="PRISCILA DE JESUS RIBEIRO"/>
    <n v="-87.3"/>
    <x v="0"/>
    <s v="VALE TRANSPORTE"/>
  </r>
  <r>
    <x v="84"/>
    <s v="SETEMBRO"/>
    <s v="HSERV COMBINADOS"/>
    <s v="GENSON VICENTE"/>
    <n v="-60"/>
    <x v="0"/>
    <s v="VALE TRANSPORTE"/>
  </r>
  <r>
    <x v="84"/>
    <s v="SETEMBRO"/>
    <s v="HSERV LIMPEZA"/>
    <s v="EDUARDO DE AQUINO RODRIGUES"/>
    <n v="-61.5"/>
    <x v="0"/>
    <s v="VALE TRANSPORTE"/>
  </r>
  <r>
    <x v="84"/>
    <s v="SETEMBRO"/>
    <s v="HSERV LIMPEZA"/>
    <s v="THIAGO SOUSA DOS SANTOS"/>
    <n v="-79.900000000000006"/>
    <x v="0"/>
    <s v="VALE TRANSPORTE"/>
  </r>
  <r>
    <x v="84"/>
    <s v="SETEMBRO"/>
    <s v="HSERV CABREUVA"/>
    <s v="GUIA UNIFICADA DE PIS,COFINS - HSERV CABREUVA"/>
    <n v="-1773.62"/>
    <x v="0"/>
    <s v="IMPOSTO"/>
  </r>
  <r>
    <x v="84"/>
    <s v="SETEMBRO"/>
    <s v="HSERV COMBINADOS"/>
    <s v="HENRIQUE JEAN DUARTE"/>
    <n v="-830"/>
    <x v="0"/>
    <s v="SALÁRIOS"/>
  </r>
  <r>
    <x v="84"/>
    <s v="SETEMBRO"/>
    <s v="HSERV COMBINADOS"/>
    <s v="OSSIRES JOSÉ DONANGELO- REEMBOLSO DA HOSPEDAGEM PARA VISITA DO AVENIDA DE DRACENA  E REGIÕES- COPIAS DE CONTRATO TRABALHISTA PARA COLABORADORES"/>
    <n v="-439"/>
    <x v="0"/>
    <s v="REEMBOLSO DE DESPESAS"/>
  </r>
  <r>
    <x v="84"/>
    <s v="SETEMBRO"/>
    <s v="HSERV COMBINADOS"/>
    <s v="OSSIRES JOSÉ DONANGELO- CAIXINHA OPERACIONAL"/>
    <n v="-1500"/>
    <x v="0"/>
    <s v="CAIXINHA"/>
  </r>
  <r>
    <x v="45"/>
    <s v="SETEMBRO"/>
    <s v="HSERV COMBINADOS"/>
    <s v="MARIA DE LOURDES SANTOS SILVA"/>
    <n v="-283.33"/>
    <x v="0"/>
    <s v="FT"/>
  </r>
  <r>
    <x v="45"/>
    <s v="SETEMBRO"/>
    <s v="HSERV COMBINADOS"/>
    <s v="ADRIANA PIRES DE FREITAS -COBRIU A LOJA DE GARÇA LOJA 39 DO DIA 12 AO DIA 19 - PEDIDO DEMISSÃO REGINALDA "/>
    <n v="-420"/>
    <x v="0"/>
    <s v="FT"/>
  </r>
  <r>
    <x v="84"/>
    <s v="SETEMBRO"/>
    <s v="HSERV TECNOLOGIA"/>
    <s v="QUALITY SEG SEGURANCA E MEDICINA DO TRABALHO LTDA EXAME PERIODICO E RETRONO AO TRABALHO  - ELAINE CRISTINA LOPES - LENÇOIS - AVENIDA"/>
    <n v="-75"/>
    <x v="0"/>
    <s v="EXAMES MEDICOS"/>
  </r>
  <r>
    <x v="84"/>
    <s v="SETEMBRO"/>
    <s v="HSERV COMBINADOS"/>
    <s v="SSMPT - VALINHOS EXAME MÉDICO VALINHOS - ANTONIO DIVINO DONATO BARTOLOMEU E KARINA DE SOUZA MELO"/>
    <n v="-260"/>
    <x v="0"/>
    <s v="EXAMES MEDICOS"/>
  </r>
  <r>
    <x v="84"/>
    <s v="SETEMBRO"/>
    <s v="HSERV COMBINADOS"/>
    <s v="POLYCLINIC CLINICA DE ESPECIALIDADES MEDICAS LTDA-EXAME MÉDICO VALINHOS - ANTONIO DIVINO DONATO BARTOLOMEU E KARINA DE SOUZA MELO"/>
    <n v="-85.3"/>
    <x v="0"/>
    <s v="EXAMES MEDICOS"/>
  </r>
  <r>
    <x v="84"/>
    <s v="SETEMBRO"/>
    <s v="HSERV COMBINADOS"/>
    <s v="MAC LUCER - VINEA AP 004 CONTRATO 095 (MENSAL) "/>
    <n v="-1956.28"/>
    <x v="0"/>
    <s v="APORTE"/>
  </r>
  <r>
    <x v="45"/>
    <s v="SETEMBRO"/>
    <s v="HSERV CLEAN"/>
    <s v="SOFT WORKS EPI CALCADOS LTDA"/>
    <n v="-536.6"/>
    <x v="0"/>
    <s v="UNIFORMES"/>
  </r>
  <r>
    <x v="45"/>
    <s v="SETEMBRO"/>
    <s v="VITOR DUARTE"/>
    <s v="GABRIEL DOS SANTOS NOVÃESCLOUD-TELEFONIA"/>
    <n v="-500"/>
    <x v="0"/>
    <s v="SISTEMA"/>
  </r>
  <r>
    <x v="39"/>
    <s v="OUTUBRO"/>
    <s v="HENRIQUE JEAN ND"/>
    <s v="CELIO ROBERTO-QUITAÇÃO"/>
    <n v="-3482.23"/>
    <x v="0"/>
    <s v="RESERVA"/>
  </r>
  <r>
    <x v="32"/>
    <s v="SETEMBRO"/>
    <s v="HSERV LTDA ND"/>
    <s v="PARCELAMENTO PREFEITURA DE CABREUVA- N: 4013/2025 -HSERV LTDA PARCELA 4/40- DESCONTAR DO PROLABORE DO DR DUARTE"/>
    <n v="-99.49"/>
    <x v="0"/>
    <s v="IMPOSTO"/>
  </r>
  <r>
    <x v="79"/>
    <s v="OUTUBRO"/>
    <s v="HENRIQUE JEAN "/>
    <s v="PARCELAMENTO PREFEITURA DE CABREUVA Nº  4012/2025 HENRIQUE JEAN  PARCELA  2 E 3/5"/>
    <n v="-229.03"/>
    <x v="0"/>
    <s v="IMPOSTO"/>
  </r>
  <r>
    <x v="32"/>
    <s v="SETEMBRO"/>
    <s v="HENRIQUE JEAN "/>
    <s v="PARCELAMENTO PREFEITURA DE CABREUVA Nº  4012/2025 HENRIQUE JEAN  PARCELA  4/5"/>
    <n v="-106.54"/>
    <x v="0"/>
    <s v="IMPOSTO"/>
  </r>
  <r>
    <x v="79"/>
    <s v="OUTUBRO"/>
    <s v="HERV TECNOLOGIA"/>
    <s v="PARCELAMENTO PREFEITURA DE CABREUVA Nº  4014/2025 HSERV TECNOLOGIA  PARCELA 2 E 3/5"/>
    <n v="-229.03"/>
    <x v="0"/>
    <s v="IMPOSTO"/>
  </r>
  <r>
    <x v="32"/>
    <s v="SETEMBRO"/>
    <s v="HERV TECNOLOGIA"/>
    <s v="PARCELAMENTO PREFEITURA DE CABREUVA Nº  4014/2025 HSERV TECNOLOGIA  PARCELA 4/5"/>
    <n v="-106.54"/>
    <x v="0"/>
    <s v="IMPOSTO"/>
  </r>
  <r>
    <x v="79"/>
    <s v="OUTUBRO"/>
    <s v="HSERV LIMPEZA "/>
    <s v="PARCELAMENTO PREFEITURA DE CABREUVA Nº  4015/2025 HSERV LIMPEZA PARCELA 2 E 3/5"/>
    <n v="-229.03"/>
    <x v="0"/>
    <s v="IMPOSTO"/>
  </r>
  <r>
    <x v="32"/>
    <s v="SETEMBRO"/>
    <s v="HSERV LIMPEZA "/>
    <s v="PARCELAMENTO PREFEITURA DE CABREUVA Nº  4014/2025 HSERV LIMPEZA  PARCELA 4/5"/>
    <n v="-106.54"/>
    <x v="0"/>
    <s v="IMPOSTO"/>
  </r>
  <r>
    <x v="79"/>
    <s v="OUTUBRO"/>
    <s v="HSERV CLEAN"/>
    <s v="PARCELAMENTO PREFEITURA DE CABREUVA Nº  4017/2025 HSERV CLEAN  PARCELA  2 E 3/5"/>
    <n v="-240.44"/>
    <x v="0"/>
    <s v="IMPOSTO"/>
  </r>
  <r>
    <x v="32"/>
    <s v="SETEMBRO"/>
    <s v="HSERV CLEAN"/>
    <s v="PARCELAMENTO PREFEITURA DE CABREUVA Nº  4014/2025 HSERV CLEAN  PARCELA 4/5"/>
    <n v="-106.54"/>
    <x v="0"/>
    <s v="IMPOSTO"/>
  </r>
  <r>
    <x v="32"/>
    <s v="SETEMBRO"/>
    <s v="HSERV CABREUVA"/>
    <s v="PARCELAMENTO PREFEITURA DE CABREUVA Nº  4014/2025 HSERV CABREUVA  PARCELA 4/5"/>
    <n v="-106.54"/>
    <x v="0"/>
    <s v="IMPOSTO"/>
  </r>
  <r>
    <x v="79"/>
    <s v="OUTUBRO"/>
    <s v="HSERV CABREUVA"/>
    <s v="PARCELAMENTO PREFEITURA DE CABREUVA Nº  4017/2025 HSERV CLEAN  PARCELA  2 E 3/5"/>
    <n v="-229.1"/>
    <x v="0"/>
    <s v="IMPOSTO"/>
  </r>
  <r>
    <x v="32"/>
    <s v="SETEMBRO"/>
    <s v="VITOR DUARTE"/>
    <s v="NEXTI DESENVOLVIMENTO DE SISTEMAS S.A."/>
    <n v="-3002.16"/>
    <x v="0"/>
    <s v="SISTEMA"/>
  </r>
  <r>
    <x v="32"/>
    <s v="SETEMBRO"/>
    <s v="VITOR DUARTE"/>
    <s v="NEXTI DESENVOLVIMENTO DE SISTEMAS S.A."/>
    <n v="-1576.11"/>
    <x v="0"/>
    <s v="SISTEMA"/>
  </r>
  <r>
    <x v="75"/>
    <s v="SETEMBRO"/>
    <s v="VITOR DUARTE"/>
    <s v="CLAUDIO EDUARDO DEL DUCA CARDOSO DOS SANTOS"/>
    <n v="-15000"/>
    <x v="0"/>
    <s v="SALARIOS"/>
  </r>
  <r>
    <x v="60"/>
    <s v="SETEMBRO"/>
    <s v="HENRIQUE JEAN"/>
    <s v="CRISTIANA DOS SANTO-   COBRINDO AFASTAMENTO  REGIVANIA PEREIRA DA SILVA RANCHARIA LOJA 12  "/>
    <n v="-1200"/>
    <x v="0"/>
    <s v="FT"/>
  </r>
  <r>
    <x v="60"/>
    <s v="SETEMBRO"/>
    <s v="HENRIQUE JEAN"/>
    <s v="CAMILA FERREIRA DA SILVA- COBRINDO FÉRIAS  MAURA VILELE VIANA  OURINHOS - LOJA 25"/>
    <n v="-1100"/>
    <x v="0"/>
    <s v="FT"/>
  </r>
  <r>
    <x v="60"/>
    <s v="SETEMBRO"/>
    <s v="HENRIQUE JEAN"/>
    <s v="ANA CECILIA CUSTODIO DA SILVA  COBRINDO FÉRIAS  MAURA VILELE VIANA  OURINHOS - LOJA 25 01/09 e 02/09"/>
    <n v="-200"/>
    <x v="0"/>
    <s v="FT"/>
  </r>
  <r>
    <x v="60"/>
    <s v="SETEMBRO"/>
    <s v="HENRIQUE JEAN"/>
    <s v="AMANDA SILVA DE SOUZA   COBRINDO FÉRIAS -NILDA FERREIRA SOBRINHO PRES. VENCESLAU - LOJA 41"/>
    <n v="-1000"/>
    <x v="0"/>
    <s v="FT"/>
  </r>
  <r>
    <x v="60"/>
    <s v="SETEMBRO"/>
    <s v="HENRIQUE JEAN"/>
    <s v="ANA CLAUDIA SILVA DOS ANJOS  COBRINDO AFASTAMENTO  JUSCELENE CORREIA DE PAULA PARAGUAÇU - LOJA 10"/>
    <n v="-750"/>
    <x v="0"/>
    <s v="FT"/>
  </r>
  <r>
    <x v="60"/>
    <s v="SETEMBRO"/>
    <s v="HENRIQUE JEAN"/>
    <s v="JANAINA APARECIDA LOPES COBRINDO AFASTAMENTO  DIVA CORREIA PADILHA  SANTA CRUZ - LOJA-26 "/>
    <n v="-900"/>
    <x v="0"/>
    <s v="FT"/>
  </r>
  <r>
    <x v="60"/>
    <s v="SETEMBRO"/>
    <s v="HENRIQUE JEAN"/>
    <s v="ANAY VICTORIA DIAS NEIRA   COBRINDO AFASTAMENTO  ANTONIA MARCELINA JORGE  C.MOTA LOJA 09 "/>
    <n v="-1000"/>
    <x v="0"/>
    <s v="FT"/>
  </r>
  <r>
    <x v="60"/>
    <s v="SETEMBRO"/>
    <s v="HENRIQUE JEAN"/>
    <s v="JC SOARES DE OLVEIRA ESTAMPARIA- CAMISAS PERSONALIZADAS"/>
    <n v="-500"/>
    <x v="0"/>
    <s v="UNIFORMES"/>
  </r>
  <r>
    <x v="75"/>
    <s v="SETEMBRO"/>
    <s v="HSERV CLEAN"/>
    <s v="F. L. CABRERO-LAVA FACIL - LAVAGE DE UNIFORMES"/>
    <n v="-810"/>
    <x v="0"/>
    <s v="UNIFORMES"/>
  </r>
  <r>
    <x v="75"/>
    <s v="SETEMBRO"/>
    <s v="HENRIQUE JEAN"/>
    <s v="ANA LUCIA CORREIA DA SILVA"/>
    <n v="-1446.81"/>
    <x v="0"/>
    <s v="RESCISÕES"/>
  </r>
  <r>
    <x v="75"/>
    <s v="SETEMBRO"/>
    <s v="HSERV LIMPEZA"/>
    <s v="WELLINGTON OLIVEIRA BORIAN DA CRUZ"/>
    <n v="-3356.61"/>
    <x v="0"/>
    <s v="RESCISÕES"/>
  </r>
  <r>
    <x v="75"/>
    <s v="SETEMBRO"/>
    <s v="HSERV LIMPEZA"/>
    <s v="GRRF WELLINGTON OLIVEIRA BORIAN DA CRUZ"/>
    <n v="-485.24"/>
    <x v="0"/>
    <s v="RESCISÕES"/>
  </r>
  <r>
    <x v="75"/>
    <s v="SETEMBRO"/>
    <s v="VITOR DUARTE"/>
    <s v="MAIKON CEZARIO DOS SANTOS COPINO"/>
    <n v="-2696.79"/>
    <x v="0"/>
    <s v="RESCISÕES"/>
  </r>
  <r>
    <x v="75"/>
    <s v="SETEMBRO"/>
    <s v="VITOR DUARTE"/>
    <s v="LUANA RODRIGUES DOS REIS"/>
    <n v="-55"/>
    <x v="0"/>
    <s v="VALE TRANSPORTE"/>
  </r>
  <r>
    <x v="60"/>
    <s v="SETEMBRO"/>
    <s v="HSERV COMBINADOS"/>
    <s v="LUANA RODRIGUES DOS REIS"/>
    <n v="-122.4"/>
    <x v="0"/>
    <s v="VALE TRANSPORTE"/>
  </r>
  <r>
    <x v="32"/>
    <s v="SETEMBRO"/>
    <s v=" HSERV CABREUVA"/>
    <s v="VALE TRANSPORTE BASE"/>
    <n v="-8806.15"/>
    <x v="0"/>
    <s v="VALE TRANSPORTE"/>
  </r>
  <r>
    <x v="83"/>
    <s v="SETEMBRO"/>
    <s v="HENRIQUE JEAN"/>
    <s v="FRANCISCO DE SOUSA CAVALCANTE JUNIOR"/>
    <n v="-134"/>
    <x v="0"/>
    <s v="RESCISÕES"/>
  </r>
  <r>
    <x v="83"/>
    <s v="SETEMBRO"/>
    <s v="VITOR DUARTE"/>
    <s v="FGTS EM ATRASO 09/2024  FRANCISCO DE SOUSA CAVALCANTE JUNIOR"/>
    <n v="-214.92"/>
    <x v="0"/>
    <s v="IMPOSTO"/>
  </r>
  <r>
    <x v="83"/>
    <s v="SETEMBRO"/>
    <s v="VITOR DUARTE"/>
    <s v="FABIO NOGUEIRA DA SILVA LOPES"/>
    <n v="-1596.56"/>
    <x v="0"/>
    <s v="RESCISÕES"/>
  </r>
  <r>
    <x v="83"/>
    <s v="SETEMBRO"/>
    <s v="HSERV COMBINADOS"/>
    <s v="RAISSA CAROLINA DE OLIVEIRA"/>
    <n v="-100"/>
    <x v="0"/>
    <s v="VALE TRANSPORTE"/>
  </r>
  <r>
    <x v="83"/>
    <s v="SETEMBRO"/>
    <s v="HSERV COMBINADOS"/>
    <s v="SIDNEI FEITOSA GOMES"/>
    <n v="-103.6"/>
    <x v="0"/>
    <s v="VALE TRANSPORTE"/>
  </r>
  <r>
    <x v="83"/>
    <s v="SETEMBRO"/>
    <s v="HSERV COMBINADOS"/>
    <s v="JOSE SEVERINO LEONARDO CONCEICAO DA SILVA"/>
    <n v="-205"/>
    <x v="0"/>
    <s v="VALE TRANSPORTE"/>
  </r>
  <r>
    <x v="83"/>
    <s v="SETEMBRO"/>
    <s v="HSERV COMBINADOS"/>
    <s v="MICHEL CRHISTIAN CARVALHO"/>
    <n v="-179"/>
    <x v="0"/>
    <s v="VALE TRANSPORTE"/>
  </r>
  <r>
    <x v="83"/>
    <s v="SETEMBRO"/>
    <s v="HSERV COMBINADOS"/>
    <s v="LUANA VITORIA MARQUES LIMA"/>
    <n v="-321"/>
    <x v="0"/>
    <s v="VALE TRANSPORTE"/>
  </r>
  <r>
    <x v="83"/>
    <s v="SETEMBRO"/>
    <s v="HSERV LIMPEZA"/>
    <s v="THIAGO SOUSA DOS SANTOS"/>
    <n v="-124.56"/>
    <x v="0"/>
    <s v="VALE ALIMENTAÇÃO"/>
  </r>
  <r>
    <x v="83"/>
    <s v="SETEMBRO"/>
    <s v="HSERV LIMPEZA"/>
    <s v="EDUARDO DE AQUINO RODRIGUES"/>
    <n v="-103.8"/>
    <x v="0"/>
    <s v="VALE ALIMENTAÇÃO"/>
  </r>
  <r>
    <x v="83"/>
    <s v="SETEMBRO"/>
    <s v="HSERV COMBINADOS"/>
    <s v="GISELE RODRIGUES- CAIXINHA L "/>
    <n v="-1500"/>
    <x v="0"/>
    <s v="CAIXINHA"/>
  </r>
  <r>
    <x v="83"/>
    <s v="SETEMBRO"/>
    <s v="HSERV CLEAN"/>
    <s v="HM MAQ COMERCIO E ASSISTENCIA TECNICA INDUSTRIAL NF 8.064"/>
    <n v="-371.04"/>
    <x v="0"/>
    <s v="MANUTENÇÃO"/>
  </r>
  <r>
    <x v="81"/>
    <s v="SETEMBRO"/>
    <s v="HSERV COMBINADOS"/>
    <s v="CHEQUES DR DUARTE"/>
    <n v="-19960"/>
    <x v="0"/>
    <s v="PROLABORE"/>
  </r>
  <r>
    <x v="79"/>
    <s v="OUTUBRO"/>
    <s v="VITOR DUARTE ND"/>
    <s v="CHEQUES DR DUARTE"/>
    <n v="-13251.8"/>
    <x v="0"/>
    <s v="PROLABORE"/>
  </r>
  <r>
    <x v="78"/>
    <s v="OUTUBRO"/>
    <s v="HSERV CABREUVA"/>
    <s v="SIMPLES NACIONAL-PARCELAMENTO"/>
    <n v="-35000"/>
    <x v="0"/>
    <s v="IMPOSTO"/>
  </r>
  <r>
    <x v="32"/>
    <s v="SETEMBRO"/>
    <s v="VITOR DUARTE"/>
    <s v="VALE COMBUSTIVEL 1 QUINZENA"/>
    <n v="-8826.91"/>
    <x v="0"/>
    <s v="VALE COMBUSTIVEL"/>
  </r>
  <r>
    <x v="32"/>
    <s v="SETEMBRO"/>
    <s v="VITOR DUARTE"/>
    <s v="54.055.078 MATHEUS PEIXOTO DE OLIVEIRA"/>
    <n v="-1500"/>
    <x v="0"/>
    <s v="TI"/>
  </r>
  <r>
    <x v="32"/>
    <s v="SETEMBRO"/>
    <s v="VITOR DUARTE"/>
    <s v="ADEMIR- IMPRESSÃO E IMPRESSORA"/>
    <n v="-100"/>
    <x v="0"/>
    <s v="TI"/>
  </r>
  <r>
    <x v="32"/>
    <s v="SETEMBRO"/>
    <s v="VITOR DUARTE"/>
    <s v="JHONY WALLACE GOMES DE OLIVEIRA"/>
    <n v="-3256.25"/>
    <x v="0"/>
    <s v="FÉRIAS"/>
  </r>
  <r>
    <x v="32"/>
    <s v="SETEMBRO"/>
    <s v="HSERV TERCEIRIZADOS"/>
    <s v="LOTUS CENTRAL DE DISTRIBUICAO DE HIGIENICOS LTDA"/>
    <n v="-2141.69"/>
    <x v="0"/>
    <s v="MERCADORIAS PARA REVENDA"/>
  </r>
  <r>
    <x v="39"/>
    <s v="OUTUBRO"/>
    <s v="HSERV CLEAN"/>
    <s v="J.E. COMERCIO E SOLUCOES LTDA"/>
    <n v="-390"/>
    <x v="0"/>
    <s v="MERCADORIAS PARA REVENDA"/>
  </r>
  <r>
    <x v="39"/>
    <s v="OUTUBRO"/>
    <s v="HSERV CLEAN"/>
    <s v="SPARTAN DO BRASIL PRODUTOS QUIMICOS LTDA"/>
    <n v="-4484.68"/>
    <x v="0"/>
    <s v="MERCADORIAS PARA REVENDA"/>
  </r>
  <r>
    <x v="39"/>
    <s v="OUTUBRO"/>
    <s v="HSERV CLEAN"/>
    <s v="CSRF VEPAKUM COMPETÊNCIA 08/2024-  IMPOSTO RETROATIVO REFERENTE AO FATURAMENTO "/>
    <n v="-3198.35"/>
    <x v="0"/>
    <s v="IMPOSTO"/>
  </r>
  <r>
    <x v="39"/>
    <s v="OUTUBRO"/>
    <s v="HSERV CLEAN"/>
    <s v="IRRF- VEPAKUM COMPETÊNCIA 08/2024-  IMPOSTO RETROATIVO REFERENTE AO FATURAMENTO "/>
    <n v="-687.81"/>
    <x v="0"/>
    <s v="IMPOSTO"/>
  </r>
  <r>
    <x v="39"/>
    <s v="OUTUBRO"/>
    <s v="HSERV CLEAN"/>
    <s v="J.E. COMERCIO E SOLUCOES LTDA"/>
    <n v="-1456"/>
    <x v="0"/>
    <s v="MERCADORIAS PARA REVENDA"/>
  </r>
  <r>
    <x v="39"/>
    <s v="OUTUBRO"/>
    <s v="HENRIQUE JEAN"/>
    <s v="ANA PAULA DE SOUZA FREIRE"/>
    <n v="-2152.61"/>
    <x v="0"/>
    <s v="FÉRIAS"/>
  </r>
  <r>
    <x v="39"/>
    <s v="OUTUBRO"/>
    <s v="HSERV CABREUVA"/>
    <s v="KEVYN TAWAN BERTONHA FERREIRA"/>
    <n v="-2666.08"/>
    <x v="0"/>
    <s v="FÉRIAS"/>
  </r>
  <r>
    <x v="39"/>
    <s v="OUTUBRO"/>
    <s v="HSERV CABREUVA"/>
    <s v="ALEXANDRA SILVA DE LIMA"/>
    <n v="-2675.88"/>
    <x v="0"/>
    <s v="FÉRIAS"/>
  </r>
  <r>
    <x v="39"/>
    <s v="OUTUBRO"/>
    <s v="HSERV CABREUVA"/>
    <s v="GRACE ADRIANA DE ANDRADE"/>
    <n v="-1885.2"/>
    <x v="0"/>
    <s v="FÉRIAS"/>
  </r>
  <r>
    <x v="39"/>
    <s v="OUTUBRO"/>
    <s v="HSERV CABREUVA"/>
    <s v="GABRIEL DO NASCIMENTO NEVES"/>
    <n v="-2173.63"/>
    <x v="0"/>
    <s v="FÉRIAS"/>
  </r>
  <r>
    <x v="39"/>
    <s v="OUTUBRO"/>
    <s v="HSERV COMBINADOS"/>
    <s v="MARIA RAIMUNDA DE OLIVEIRA"/>
    <n v="-2187.38"/>
    <x v="0"/>
    <s v="FÉRIAS"/>
  </r>
  <r>
    <x v="39"/>
    <s v="OUTUBRO"/>
    <s v="HSERV COMBINADOS"/>
    <s v="CICERA MARIA DA SILVA ANDRADE"/>
    <n v="-2643.56"/>
    <x v="0"/>
    <s v="FÉRIAS"/>
  </r>
  <r>
    <x v="39"/>
    <s v="OUTUBRO"/>
    <s v="HSERV LIMPEZA"/>
    <s v="JOSUE MARIO GOMES DA SILVA"/>
    <n v="-2754.27"/>
    <x v="0"/>
    <s v="FÉRIAS"/>
  </r>
  <r>
    <x v="39"/>
    <s v="OUTUBRO"/>
    <s v="HSERV LIMPEZA"/>
    <s v="ADRIANA INACIA BENTO DE ASSIS"/>
    <n v="-2684.2"/>
    <x v="0"/>
    <s v="FÉRIAS"/>
  </r>
  <r>
    <x v="39"/>
    <s v="OUTUBRO"/>
    <s v="HSERV REPRESENTACOES"/>
    <s v="MARIA ELIZA CARNEIRO DIAS"/>
    <n v="-2117.89"/>
    <x v="0"/>
    <s v="FÉRIAS"/>
  </r>
  <r>
    <x v="39"/>
    <s v="OUTUBRO"/>
    <s v="HSERV REPRESENTACOES"/>
    <s v="JOSE RODRIGUES DA SILVA"/>
    <n v="-2720.59"/>
    <x v="0"/>
    <s v="FÉRIAS"/>
  </r>
  <r>
    <x v="39"/>
    <s v="OUTUBRO"/>
    <s v="HSERV TECNOLOGIA"/>
    <s v="FRANCISCO FERMINO RODRIGUES FILHO"/>
    <n v="-2221.88"/>
    <x v="0"/>
    <s v="FÉRIAS"/>
  </r>
  <r>
    <x v="39"/>
    <s v="OUTUBRO"/>
    <s v="HSERV TERCEIRIZADOS"/>
    <s v="WEVERTON GABRIEL DE JESUS OLIVEIRA"/>
    <n v="-2969.85"/>
    <x v="0"/>
    <s v="FÉRIAS"/>
  </r>
  <r>
    <x v="39"/>
    <s v="OUTUBRO"/>
    <s v="HSERV TERCEIRIZADOS"/>
    <s v="WAGNER BIONDO"/>
    <n v="-2570.3200000000002"/>
    <x v="0"/>
    <s v="FÉRIAS"/>
  </r>
  <r>
    <x v="39"/>
    <s v="OUTUBRO"/>
    <s v="HENRIQUE JEAN"/>
    <s v="ROSALINA NOGUEIRA PEREIRA"/>
    <n v="-1927.82"/>
    <x v="0"/>
    <s v="FÉRIAS"/>
  </r>
  <r>
    <x v="78"/>
    <s v="OUTUBRO"/>
    <s v="VITOR DUARTE"/>
    <s v="GUIA DE PARCELAMENTO INSS VITOR JULHO A NOV 2024"/>
    <n v="-5988.61"/>
    <x v="0"/>
    <s v="IMPOSTO"/>
  </r>
  <r>
    <x v="78"/>
    <s v="OUTUBRO"/>
    <s v="VITOR DUARTE"/>
    <s v="GUIA DE PARCELAMENTO INSS VITOR DEZEMBRO A JANEIRO 2025"/>
    <n v="-4434.6099999999997"/>
    <x v="0"/>
    <s v="IMPOSTO"/>
  </r>
  <r>
    <x v="78"/>
    <s v="OUTUBRO"/>
    <s v=" HSERV CABREUVA"/>
    <s v="PARCELAMENTO DEBITOS PREVIDENCIARIOS"/>
    <n v="-2700"/>
    <x v="0"/>
    <s v="IMPOSTO"/>
  </r>
  <r>
    <x v="32"/>
    <s v="SETEMBRO"/>
    <s v="HSERV CLEAN"/>
    <s v="PARCELA CREDITO PESSOAL CONTR 016721926 PARC"/>
    <n v="-1719.53"/>
    <x v="0"/>
    <s v="CARTÃO DE CREDITO"/>
  </r>
  <r>
    <x v="32"/>
    <s v="SETEMBRO"/>
    <s v="HSERV CABREUVA"/>
    <s v="PARCELA CREDITO PESSOAL CONTR 016721926 PARC"/>
    <n v="-1392.65"/>
    <x v="0"/>
    <s v="CARTÃO DE CREDITO"/>
  </r>
  <r>
    <x v="76"/>
    <s v="SETEMBRO"/>
    <s v="TECNOLOGIA"/>
    <s v="INTERBRILHO HIGIENE E LIMPEZA LTDA"/>
    <n v="23638.67"/>
    <x v="1"/>
    <s v="VENDAS DE SERVIÇOS"/>
  </r>
  <r>
    <x v="76"/>
    <s v="SETEMBRO"/>
    <s v="LIMPEZA"/>
    <s v="EDMAR APARECIDO MARTINEZ"/>
    <n v="799.2"/>
    <x v="1"/>
    <s v="VENDAS DE SERVIÇOS"/>
  </r>
  <r>
    <x v="76"/>
    <s v="SETEMBRO"/>
    <s v="LIMPEZA"/>
    <s v="EDMAR APARECIDO MARTINEZ"/>
    <n v="18532.8"/>
    <x v="1"/>
    <s v="VENDAS DE SERVIÇOS"/>
  </r>
  <r>
    <x v="76"/>
    <s v="SETEMBRO"/>
    <s v="LIMPEZA"/>
    <s v="EDMAR APARECIDO MARTINEZ"/>
    <n v="1200"/>
    <x v="1"/>
    <s v="VENDAS DE SERVIÇOS"/>
  </r>
  <r>
    <x v="76"/>
    <s v="SETEMBRO"/>
    <s v="VITOR DUARTE"/>
    <s v="CASA AVENIDA"/>
    <n v="4200"/>
    <x v="1"/>
    <s v="VENDAS DE SERVIÇOS"/>
  </r>
  <r>
    <x v="76"/>
    <s v="SETEMBRO"/>
    <s v="COMBINADOS"/>
    <s v="TECNIPLAS EQUIPAMENTOS EM COMPOSITOS EIR"/>
    <n v="919.19"/>
    <x v="1"/>
    <s v="VENDAS DE SERVIÇOS"/>
  </r>
  <r>
    <x v="67"/>
    <s v="SETEMBRO"/>
    <s v="COMBINADOS"/>
    <s v="TECNIPLAS EQUIPAMENTOS EM COMPOSITOS EIR"/>
    <n v="11225.96"/>
    <x v="1"/>
    <s v="VENDAS DE SERVIÇOS"/>
  </r>
  <r>
    <x v="67"/>
    <s v="SETEMBRO"/>
    <s v="COMBINADOS"/>
    <s v="TECNIPLAS EQUIPAMENTOS EM COMPOSITOS EIR"/>
    <n v="600"/>
    <x v="1"/>
    <s v="VENDAS DE SERVIÇOS"/>
  </r>
  <r>
    <x v="83"/>
    <s v="SETEMBRO"/>
    <s v="COMBINADOS"/>
    <s v="TECNIPLAS EQUIPAMENTOS EM COMPOSITOS EIR-NO DIA 10/09/2025 PAGRAM R$ 11.225,96 RESTA "/>
    <n v="11225.96"/>
    <x v="1"/>
    <s v="VENDAS DE SERVIÇOS"/>
  </r>
  <r>
    <x v="63"/>
    <s v="SETEMBRO"/>
    <s v="REPRESENTAÇÃO"/>
    <s v="VETTOR TORRES DE RESFRIAMENTO LTDA"/>
    <n v="14482.07"/>
    <x v="1"/>
    <s v="VENDAS DE SERVIÇOS"/>
  </r>
  <r>
    <x v="63"/>
    <s v="SETEMBRO"/>
    <s v="REPRESENTAÇÃO"/>
    <s v="VETTOR TORRES DE RESFRIAMENTO LTDA"/>
    <n v="23943.3"/>
    <x v="1"/>
    <s v="VENDAS DE SERVIÇOS"/>
  </r>
  <r>
    <x v="63"/>
    <s v="SETEMBRO"/>
    <s v="REPRESENTAÇÃO"/>
    <s v="VETTOR TORRES DE RESFRIAMENTO LTDA"/>
    <n v="21852.37"/>
    <x v="1"/>
    <s v="VENDAS DE SERVIÇOS"/>
  </r>
  <r>
    <x v="63"/>
    <s v="SETEMBRO"/>
    <s v="REPRESENTAÇÃO"/>
    <s v="VETTOR TORRES DE RESFRIAMENTO LTDA"/>
    <n v="4683.53"/>
    <x v="1"/>
    <s v="VENDAS DE SERVIÇOS"/>
  </r>
  <r>
    <x v="63"/>
    <s v="SETEMBRO"/>
    <s v="REPRESENTAÇÃO"/>
    <s v="VETTOR TORRES DE RESFRIAMENTO LTDA"/>
    <n v="196"/>
    <x v="1"/>
    <s v="VENDAS DE SERVIÇOS"/>
  </r>
  <r>
    <x v="77"/>
    <s v="SETEMBRO"/>
    <s v="HSERV COMBINADOS "/>
    <s v="FTS ASG, FISCAL E PORTARIA 2º QUINZENA DE AGOSTO"/>
    <n v="-34431.25"/>
    <x v="0"/>
    <s v="FT"/>
  </r>
  <r>
    <x v="77"/>
    <s v="SETEMBRO"/>
    <s v="HSERV COMBINADOS "/>
    <s v="FTS FALTANTES -ASG, FISCAL E PORTARIA "/>
    <n v="-13794.61"/>
    <x v="0"/>
    <s v="FT"/>
  </r>
  <r>
    <x v="53"/>
    <s v="SETEMBRO"/>
    <s v="CABREUVA"/>
    <s v="TED 422.0115.KYN C V A L"/>
    <n v="8041"/>
    <x v="1"/>
    <s v="VENDAS DE SERVIÇOS"/>
  </r>
  <r>
    <x v="53"/>
    <s v="SETEMBRO"/>
    <s v="CABREUVA"/>
    <s v="TED 422.0115.KYN C V A L"/>
    <n v="33748.379999999997"/>
    <x v="1"/>
    <s v="VENDAS DE SERVIÇOS"/>
  </r>
  <r>
    <x v="77"/>
    <s v="SETEMBRO"/>
    <s v="CABREUVA"/>
    <s v="SANTA CASA DE MISERICORDIA DE CABREUVA"/>
    <n v="6559.12"/>
    <x v="1"/>
    <s v="VENDAS DE SERVIÇOS"/>
  </r>
  <r>
    <x v="77"/>
    <s v="SETEMBRO"/>
    <s v="CABREUVA"/>
    <s v="CONDOMINIO PALAZZO VENEZA"/>
    <n v="600"/>
    <x v="1"/>
    <s v="VENDAS DE SERVIÇOS"/>
  </r>
  <r>
    <x v="77"/>
    <s v="SETEMBRO"/>
    <s v="CABREUVA"/>
    <s v="CONDOMINIO PALAZZO VENEZA"/>
    <n v="5062.8"/>
    <x v="1"/>
    <s v="VENDAS DE SERVIÇOS"/>
  </r>
  <r>
    <x v="67"/>
    <s v="SETEMBRO"/>
    <s v="HSERV LIMPEZA"/>
    <s v="NEW PARK TENIS"/>
    <n v="1200"/>
    <x v="1"/>
    <s v="VENDAS DE SERVIÇOS"/>
  </r>
  <r>
    <x v="67"/>
    <s v="SETEMBRO"/>
    <s v="REPRESENTAÇÃO"/>
    <s v="TTB INDUSTRIA E COMERCIO DE PRODUTOS MET"/>
    <n v="603.26"/>
    <x v="1"/>
    <s v="VENDAS DE SERVIÇOS"/>
  </r>
  <r>
    <x v="67"/>
    <s v="SETEMBRO"/>
    <s v="REPRESENTAÇÃO"/>
    <s v="TTB INDUSTRIA E COMERCIO DE PRODUTOS MET"/>
    <n v="1106.1400000000001"/>
    <x v="1"/>
    <s v="VENDAS DE SERVIÇOS"/>
  </r>
  <r>
    <x v="67"/>
    <s v="SETEMBRO"/>
    <s v="REPRESENTAÇÃO"/>
    <s v="TTB INDUSTRIA E COMERCIO DE PRODUTOS MET"/>
    <n v="9631"/>
    <x v="1"/>
    <s v="VENDAS DE SERVIÇOS"/>
  </r>
  <r>
    <x v="67"/>
    <s v="SETEMBRO"/>
    <s v="VITOR"/>
    <s v="DEPOSITO SANTA CATARINA LTDA"/>
    <n v="257.81"/>
    <x v="1"/>
    <s v="VENDAS DE SERVIÇOS"/>
  </r>
  <r>
    <x v="28"/>
    <s v="SETEMBRO"/>
    <s v="VITOR"/>
    <s v="GIFEL"/>
    <n v="680.03"/>
    <x v="1"/>
    <s v="VENDAS DE SERVIÇOS"/>
  </r>
  <r>
    <x v="67"/>
    <s v="SETEMBRO"/>
    <s v="CLEAN"/>
    <s v="RICARO"/>
    <n v="24988.71"/>
    <x v="1"/>
    <s v="VENDAS DE SERVIÇOS"/>
  </r>
  <r>
    <x v="67"/>
    <s v="SETEMBRO"/>
    <s v="CLEAN"/>
    <s v="RICARO"/>
    <n v="16834.330000000002"/>
    <x v="1"/>
    <s v="VENDAS DE SERVIÇOS"/>
  </r>
  <r>
    <x v="67"/>
    <s v="SETEMBRO"/>
    <s v="CLEAN"/>
    <s v="RICARO"/>
    <n v="268.13"/>
    <x v="1"/>
    <s v="VENDAS DE SERVIÇOS"/>
  </r>
  <r>
    <x v="67"/>
    <s v="SETEMBRO"/>
    <s v="CLEAN"/>
    <s v="RICARO"/>
    <n v="12459.61"/>
    <x v="1"/>
    <s v="VENDAS DE SERVIÇOS"/>
  </r>
  <r>
    <x v="67"/>
    <s v="SETEMBRO"/>
    <s v="LIMPEZA"/>
    <s v="IMPROVEMENT FIT ACADEMIA LTDA"/>
    <n v="7850"/>
    <x v="1"/>
    <s v="VENDAS DE SERVIÇOS"/>
  </r>
  <r>
    <x v="31"/>
    <s v="AGOSTO"/>
    <s v="VITOR DUARTE"/>
    <s v="AVENIDA -ANTECIPAÇÃO "/>
    <n v="357602.09"/>
    <x v="1"/>
    <s v="VENDAS DE SERVIÇOS"/>
  </r>
  <r>
    <x v="28"/>
    <s v="SETEMBRO"/>
    <s v="HSERV CABREUVA"/>
    <s v="GUIA DE PROCESSO  nº 0000520-11.2023.8.26.0080-Barroso Fontelles Sociedade de Advogados"/>
    <n v="-206.15"/>
    <x v="0"/>
    <s v="ACORDO TRABALHISTA"/>
  </r>
  <r>
    <x v="28"/>
    <s v="SETEMBRO"/>
    <s v="VITOR DUARTE"/>
    <s v="FGTS EM ATRASO 09/2023 FRANCISCO DE SOUSA CAVALCANTE JUNIOR"/>
    <n v="-287.91000000000003"/>
    <x v="0"/>
    <s v="IMPOSTO"/>
  </r>
  <r>
    <x v="28"/>
    <s v="SETEMBRO"/>
    <s v="VITOR DUARTE"/>
    <s v="FGTS EM ATRASO 11/2022 FRANCISCO DE SOUSA CAVALCANTE JUNIOR"/>
    <n v="-304.88"/>
    <x v="0"/>
    <s v="IMPOSTO"/>
  </r>
  <r>
    <x v="28"/>
    <s v="SETEMBRO"/>
    <s v="VITOR DUARTE"/>
    <s v="FGTS EM ATRASO 12/2023 FRANCISCO DE SOUSA CAVALCANTE JUNIOR"/>
    <n v="-283.64999999999998"/>
    <x v="0"/>
    <s v="IMPOSTO"/>
  </r>
  <r>
    <x v="28"/>
    <s v="SETEMBRO"/>
    <s v="VITOR DUARTE"/>
    <s v="FGTS EM ATRASO 02/2023 FRANCISCO DE SOUSA CAVALCANTE JUNIOR"/>
    <n v="-299.76"/>
    <x v="0"/>
    <s v="IMPOSTO"/>
  </r>
  <r>
    <x v="28"/>
    <s v="SETEMBRO"/>
    <s v="VITOR DUARTE"/>
    <s v="FGTS EM ATRASO 07/2023 FRANCISCO DE SOUSA CAVALCANTE JUNIOR"/>
    <n v="-291.25"/>
    <x v="0"/>
    <s v="IMPOSTO"/>
  </r>
  <r>
    <x v="28"/>
    <s v="SETEMBRO"/>
    <s v="VITOR DUARTE"/>
    <s v="FGTS EM ATRASO 08/2023 FRANCISCO DE SOUSA CAVALCANTE JUNIOR"/>
    <n v="-289.44"/>
    <x v="0"/>
    <s v="IMPOSTO"/>
  </r>
  <r>
    <x v="28"/>
    <s v="SETEMBRO"/>
    <s v="VITOR DUARTE"/>
    <s v="FGTS EM ATRASO 10/2023 FRANCISCO DE SOUSA CAVALCANTE JUNIOR"/>
    <n v="-286.44"/>
    <x v="0"/>
    <s v="IMPOSTO"/>
  </r>
  <r>
    <x v="28"/>
    <s v="SETEMBRO"/>
    <s v="VITOR DUARTE"/>
    <s v="FGTS EM ATRASO 04/2023 FRANCISCO DE SOUSA CAVALCANTE JUNIOR"/>
    <n v="-296.41000000000003"/>
    <x v="0"/>
    <s v="IMPOSTO"/>
  </r>
  <r>
    <x v="28"/>
    <s v="SETEMBRO"/>
    <s v="VITOR DUARTE"/>
    <s v="FGTS EM ATRASO 01/2023 FRANCISCO DE SOUSA CAVALCANTE JUNIOR"/>
    <n v="-301.24"/>
    <x v="0"/>
    <s v="IMPOSTO"/>
  </r>
  <r>
    <x v="28"/>
    <s v="SETEMBRO"/>
    <s v="VITOR DUARTE"/>
    <s v="FGTS EM ATRASO 11/2023 FRANCISCO DE SOUSA CAVALCANTE JUNIOR"/>
    <n v="-285.02"/>
    <x v="0"/>
    <s v="IMPOSTO"/>
  </r>
  <r>
    <x v="28"/>
    <s v="SETEMBRO"/>
    <s v="VITOR DUARTE"/>
    <s v="FGTS EM ATRASO 03/2023 FRANCISCO DE SOUSA CAVALCANTE JUNIOR"/>
    <n v="-297.85000000000002"/>
    <x v="0"/>
    <s v="IMPOSTO"/>
  </r>
  <r>
    <x v="28"/>
    <s v="SETEMBRO"/>
    <s v="VITOR DUARTE"/>
    <s v="FGTS EM ATRASO 12/2022 FRANCISCO DE SOUSA CAVALCANTE JUNIOR"/>
    <n v="-303.05"/>
    <x v="0"/>
    <s v="IMPOSTO"/>
  </r>
  <r>
    <x v="28"/>
    <s v="SETEMBRO"/>
    <s v="HSERV COMBINADOS"/>
    <s v="LOTUS CENTRAL DE DISTRIBUICAO DE HIGIENICOS LTDA"/>
    <n v="-985.45"/>
    <x v="0"/>
    <s v="MERCADORIAS PARA REVENDA"/>
  </r>
  <r>
    <x v="27"/>
    <s v="SETEMBRO"/>
    <s v="HSERV CLEAN"/>
    <s v="BRAN ENGENHARIA LTDA-ENGENHERIA DE SEGURANÇA- BOMBEIRO LOJA CLEAN"/>
    <n v="-700"/>
    <x v="0"/>
    <s v="MANUTENÇÃO"/>
  </r>
  <r>
    <x v="61"/>
    <s v="SETEMBRO"/>
    <s v="HSERV TERCEIRIZADOS"/>
    <s v="LOTUS CENTRAL DE DISTRIBUICAO DE HIGIENICOS LTDA"/>
    <n v="-2145.25"/>
    <x v="0"/>
    <s v="MERCADORIAS PARA REVENDA"/>
  </r>
  <r>
    <x v="61"/>
    <s v="SETEMBRO"/>
    <s v="VITOR DUARTE"/>
    <s v="ALTOLIM COMERCIAL ASSIS EIRELI - ME"/>
    <n v="-59.16"/>
    <x v="0"/>
    <s v="MERCADORIAS PARA REVENDA"/>
  </r>
  <r>
    <x v="27"/>
    <s v="SETEMBRO"/>
    <s v="TERCEIRIZADOS"/>
    <s v="BELLART"/>
    <n v="190.21"/>
    <x v="1"/>
    <s v="VENDAS DE SERVIÇOS"/>
  </r>
  <r>
    <x v="27"/>
    <s v="SETEMBRO"/>
    <s v="TERCEIRIZADOS"/>
    <s v="BELLART"/>
    <n v="17956.39"/>
    <x v="1"/>
    <s v="VENDAS DE SERVIÇOS"/>
  </r>
  <r>
    <x v="80"/>
    <s v="SETEMBRO"/>
    <s v="LIMPEZA"/>
    <s v="MIPAL INDUSTRIA DE EVAPORADORES LTDA"/>
    <n v="4717.4399999999996"/>
    <x v="1"/>
    <s v="VENDAS DE SERVIÇOS"/>
  </r>
  <r>
    <x v="80"/>
    <s v="SETEMBRO"/>
    <s v="LIMPEZA"/>
    <s v="MIPAL INDUSTRIA DE EVAPORADORES LTDA"/>
    <n v="9938.39"/>
    <x v="1"/>
    <s v="VENDAS DE SERVIÇOS"/>
  </r>
  <r>
    <x v="80"/>
    <s v="SETEMBRO"/>
    <s v="LIMPEZA"/>
    <s v="MIPAL INDUSTRIA DE EVAPORADORES LTDA"/>
    <n v="750"/>
    <x v="1"/>
    <s v="VENDAS DE SERVIÇOS"/>
  </r>
  <r>
    <x v="80"/>
    <s v="SETEMBRO"/>
    <s v="LIMPEZA"/>
    <s v="MIPAL INDUSTRIA DE EVAPORADORES LTDA"/>
    <n v="22139.98"/>
    <x v="1"/>
    <s v="VENDAS DE SERVIÇOS"/>
  </r>
  <r>
    <x v="83"/>
    <s v="SETEMBRO"/>
    <s v="CLEAN"/>
    <s v="SANTA CASA DE MISERICORDIA DE CABREUVA"/>
    <n v="1120.08"/>
    <x v="1"/>
    <s v="VENDAS DE SERVIÇOS"/>
  </r>
  <r>
    <x v="83"/>
    <s v="SETEMBRO"/>
    <s v="CLEAN"/>
    <s v="PLASTY COMERCIAL DE PLASTICOS LTDA"/>
    <n v="1500"/>
    <x v="1"/>
    <s v="VENDAS DE SERVIÇOS"/>
  </r>
  <r>
    <x v="83"/>
    <s v="SETEMBRO"/>
    <s v="CLEAN"/>
    <s v="PLASTY COMERCIAL DE PLASTICOS LTDA"/>
    <n v="711.99"/>
    <x v="1"/>
    <s v="VENDAS DE SERVIÇOS"/>
  </r>
  <r>
    <x v="83"/>
    <s v="SETEMBRO"/>
    <s v="CLEAN"/>
    <s v="PLASTY COMERCIAL DE PLASTICOS LTDA"/>
    <n v="5823.82"/>
    <x v="1"/>
    <s v="VENDAS DE SERVIÇOS"/>
  </r>
  <r>
    <x v="83"/>
    <s v="SETEMBRO"/>
    <s v="CLEAN"/>
    <s v="PLASTY COMERCIAL DE PLASTICOS LTDA"/>
    <n v="7526.95"/>
    <x v="1"/>
    <s v="VENDAS DE SERVIÇOS"/>
  </r>
  <r>
    <x v="83"/>
    <s v="SETEMBRO"/>
    <s v="CLEAN"/>
    <s v="PLASTY COMERCIAL DE PLASTICOS LTDA"/>
    <n v="25756.63"/>
    <x v="1"/>
    <s v="VENDAS DE SERVIÇOS"/>
  </r>
  <r>
    <x v="27"/>
    <s v="SETEMBRO"/>
    <s v="TERCEIRIZADOS"/>
    <s v="TEM ACO COMERCIO E MANUTENCAO LTDA"/>
    <n v="190.21"/>
    <x v="1"/>
    <s v="VENDAS DE SERVIÇOS"/>
  </r>
  <r>
    <x v="27"/>
    <s v="SETEMBRO"/>
    <s v="CABREUVA"/>
    <s v="BOA R$ 872.126,10- R$ 602.847,78 = R$ 269.278,32"/>
    <n v="593282.65"/>
    <x v="1"/>
    <s v="VENDAS DE SERVIÇOS"/>
  </r>
  <r>
    <x v="54"/>
    <s v="OUTUBRO"/>
    <s v="CABREUVA"/>
    <s v="BOA R$ 872.126,10- R$ 602.847,78 = R$ 269.278,32 - DEPOSITOU 29/09/2025 R$ 192.770,08 = FALTA R$ 76.508,24"/>
    <n v="76508.240000000005"/>
    <x v="1"/>
    <s v="VENDAS DE SERVIÇOS"/>
  </r>
  <r>
    <x v="45"/>
    <s v="SETEMBRO"/>
    <s v="CABREUVA"/>
    <s v="BOA R$ 872.126,10- R$ 602.847,78 = R$ 269.278,32 - DEPOSITOU HOJE R$ 192.770,08"/>
    <n v="192770.08"/>
    <x v="1"/>
    <s v="VENDAS DE SERVIÇOS"/>
  </r>
  <r>
    <x v="82"/>
    <s v="SETEMBRO"/>
    <s v="HSERV COMBINADOS"/>
    <s v="CRISTIANA DOS SANTOS  COBRINDO AFASTAMENTO  REGIVANIA PEREIRA DA SILVA  RANCHARIA LOJA 12"/>
    <n v="-900"/>
    <x v="0"/>
    <s v="FT"/>
  </r>
  <r>
    <x v="82"/>
    <s v="SETEMBRO"/>
    <s v="HSERV COMBINADOS"/>
    <s v=" IARA CRISTINA DA SILVA COBRINDO FÉRIAS  DA ANA CLAUDIA FIGUEIREDO ASSIS - LOJA 04"/>
    <n v="-283.33"/>
    <x v="0"/>
    <s v="FT"/>
  </r>
  <r>
    <x v="82"/>
    <s v="SETEMBRO"/>
    <s v="HSERV COMBINADOS"/>
    <s v="ANA CLAUDIA SILVA DOS ANJOS COBRINDO AFASTAMENTO  JUSCELENE CORREIA DE PAULA PARAGUAÇU - LOJA 10"/>
    <n v="-400"/>
    <x v="0"/>
    <s v="FT"/>
  </r>
  <r>
    <x v="82"/>
    <s v="SETEMBRO"/>
    <s v="HSERV TERCEIRIZADOS"/>
    <s v="LOTUS CENTRAL DE DISTRIBUICAO DE HIGIENICOS LTDA"/>
    <n v="-2141.69"/>
    <x v="0"/>
    <s v="MERCADORIAS PARA REVENDA"/>
  </r>
  <r>
    <x v="82"/>
    <s v="SETEMBRO"/>
    <s v="VITOR DUARTE"/>
    <s v="ALTOLIM COMERCIAL ASSIS EIRELI - ME"/>
    <n v="-84.56"/>
    <x v="0"/>
    <s v="MERCADORIAS PARA REVENDA"/>
  </r>
  <r>
    <x v="82"/>
    <s v="SETEMBRO"/>
    <s v="VITOR DUARTE"/>
    <s v="DARF INSS VITOR DUARTE-INSS FOLHA 07/2025 -RETIFICAÇÃO"/>
    <n v="-250.23"/>
    <x v="0"/>
    <s v="IMPOSTO"/>
  </r>
  <r>
    <x v="82"/>
    <s v="SETEMBRO"/>
    <s v="HSERV COMBINADOS"/>
    <s v="NAIR APARECIDA DA GONELLA DOS SANTOS"/>
    <n v="-86.1"/>
    <x v="0"/>
    <s v="VALE TRANSPORTE"/>
  </r>
  <r>
    <x v="82"/>
    <s v="SETEMBRO"/>
    <s v="HSERV TERCEIRIZADOS"/>
    <s v="MIGUEL RIBEIRO DA SILVA"/>
    <n v="-40"/>
    <x v="0"/>
    <s v="VALE TRANSPORTE"/>
  </r>
  <r>
    <x v="82"/>
    <s v="SETEMBRO"/>
    <s v="HSERV COMBINADOS"/>
    <s v="FGTS EM ATRASO 07/2023 -GUSTAVO AMARANTE DA SILVA"/>
    <n v="-227.22"/>
    <x v="0"/>
    <s v="IMPOSTO"/>
  </r>
  <r>
    <x v="82"/>
    <s v="SETEMBRO"/>
    <s v="HSERV COMBINADOS"/>
    <s v="FGTS EM ATRASO 02/2023 -GUSTAVO AMARANTE DA SILVA"/>
    <n v="-233.86"/>
    <x v="0"/>
    <s v="IMPOSTO"/>
  </r>
  <r>
    <x v="82"/>
    <s v="SETEMBRO"/>
    <s v="HSERV COMBINADOS"/>
    <s v="FGTS EM ATRASO 04/2023 -GUSTAVO AMARANTE DA SILVA"/>
    <n v="-231.25"/>
    <x v="0"/>
    <s v="IMPOSTO"/>
  </r>
  <r>
    <x v="82"/>
    <s v="SETEMBRO"/>
    <s v="HSERV COMBINADOS"/>
    <s v="FGTS EM ATRASO 10/2023 -GUSTAVO AMARANTE DA SILVA"/>
    <n v="-223.46"/>
    <x v="0"/>
    <s v="IMPOSTO"/>
  </r>
  <r>
    <x v="82"/>
    <s v="SETEMBRO"/>
    <s v="HSERV COMBINADOS"/>
    <s v="FGTS EM ATRASO 11/2023 -GUSTAVO AMARANTE DA SILVA"/>
    <n v="-222.36"/>
    <x v="0"/>
    <s v="IMPOSTO"/>
  </r>
  <r>
    <x v="82"/>
    <s v="SETEMBRO"/>
    <s v="HSERV COMBINADOS"/>
    <s v="FGTS EM ATRASO 03/2023 -GUSTAVO AMARANTE DA SILVA"/>
    <n v="-232.36"/>
    <x v="0"/>
    <s v="IMPOSTO"/>
  </r>
  <r>
    <x v="82"/>
    <s v="SETEMBRO"/>
    <s v="HSERV COMBINADOS"/>
    <s v="FGTS EM ATRASO 11/2022 -GUSTAVO AMARANTE DA SILVA"/>
    <n v="-237.85"/>
    <x v="0"/>
    <s v="IMPOSTO"/>
  </r>
  <r>
    <x v="82"/>
    <s v="SETEMBRO"/>
    <s v="HSERV COMBINADOS"/>
    <s v="FGTS EM ATRASO 09/2023 -GUSTAVO AMARANTE DA SILVA"/>
    <n v="-224.61"/>
    <x v="0"/>
    <s v="IMPOSTO"/>
  </r>
  <r>
    <x v="82"/>
    <s v="SETEMBRO"/>
    <s v="HSERV COMBINADOS"/>
    <s v="FGTS EM ATRASO 12/2022 -GUSTAVO AMARANTE DA SILVA"/>
    <n v="-236.42"/>
    <x v="0"/>
    <s v="IMPOSTO"/>
  </r>
  <r>
    <x v="82"/>
    <s v="SETEMBRO"/>
    <s v="HSERV COMBINADOS"/>
    <s v="FGTS EM ATRASO 01/2023 -GUSTAVO AMARANTE DA SILVA"/>
    <n v="-235.01"/>
    <x v="0"/>
    <s v="IMPOSTO"/>
  </r>
  <r>
    <x v="82"/>
    <s v="SETEMBRO"/>
    <s v="HSERV COMBINADOS"/>
    <s v="FGTS EM ATRASO 12/2023 -GUSTAVO AMARANTE DA SILVA"/>
    <n v="-221.29"/>
    <x v="0"/>
    <s v="IMPOSTO"/>
  </r>
  <r>
    <x v="82"/>
    <s v="SETEMBRO"/>
    <s v="HSERV COMBINADOS"/>
    <s v="FGTS EM ATRASO 08/2023 -GUSTAVO AMARANTE DA SILVA"/>
    <n v="-225.81"/>
    <x v="0"/>
    <s v="IMPOSTO"/>
  </r>
  <r>
    <x v="82"/>
    <s v="SETEMBRO"/>
    <s v="VITOR DUARTE"/>
    <s v="FGTS EM ATRASO 12/2022 -JOSE CICERO DOS SANTOS COSTA"/>
    <n v="-245.23"/>
    <x v="0"/>
    <s v="IMPOSTO"/>
  </r>
  <r>
    <x v="82"/>
    <s v="SETEMBRO"/>
    <s v="VITOR DUARTE"/>
    <s v="FGTS EM ATRASO 03/2023 JOSE CICERO DOS SANTOS COSTA"/>
    <n v="-241.02"/>
    <x v="0"/>
    <s v="IMPOSTO"/>
  </r>
  <r>
    <x v="82"/>
    <s v="SETEMBRO"/>
    <s v="VITOR DUARTE"/>
    <s v="FGTS EM ATRASO 10/2023 -JOSE CICERO DOS SANTOS COSTA"/>
    <n v="-231.79"/>
    <x v="0"/>
    <s v="IMPOSTO"/>
  </r>
  <r>
    <x v="82"/>
    <s v="SETEMBRO"/>
    <s v="VITOR DUARTE"/>
    <s v="FGTS EM ATRASO 01/2023 -JOSE CICERO DOS SANTOS COSTA"/>
    <n v="-243.77"/>
    <x v="0"/>
    <s v="IMPOSTO"/>
  </r>
  <r>
    <x v="82"/>
    <s v="SETEMBRO"/>
    <s v="VITOR DUARTE"/>
    <s v="FGTS EM ATRASO 11/2023 -JOSE CICERO DOS SANTOS COSTA"/>
    <n v="-230.64"/>
    <x v="0"/>
    <s v="IMPOSTO"/>
  </r>
  <r>
    <x v="82"/>
    <s v="SETEMBRO"/>
    <s v="VITOR DUARTE"/>
    <s v="FGTS EM ATRASO 02/2023 -JOSE CICERO DOS SANTOS COSTA"/>
    <n v="-242.57"/>
    <x v="0"/>
    <s v="IMPOSTO"/>
  </r>
  <r>
    <x v="82"/>
    <s v="SETEMBRO"/>
    <s v="VITOR DUARTE"/>
    <s v="FGTS EM ATRASO 11/2022 -JOSE CICERO DOS SANTOS COSTA"/>
    <n v="-246.71"/>
    <x v="0"/>
    <s v="IMPOSTO"/>
  </r>
  <r>
    <x v="82"/>
    <s v="SETEMBRO"/>
    <s v="VITOR DUARTE"/>
    <s v="FGTS EM ATRASO 07/2023 -JOSE CICERO DOS SANTOS COSTA"/>
    <n v="-235.69"/>
    <x v="0"/>
    <s v="IMPOSTO"/>
  </r>
  <r>
    <x v="82"/>
    <s v="SETEMBRO"/>
    <s v="VITOR DUARTE"/>
    <s v="FGTS EM ATRASO 04/2023 -JOSE CICERO DOS SANTOS COSTA"/>
    <n v="-239.86"/>
    <x v="0"/>
    <s v="IMPOSTO"/>
  </r>
  <r>
    <x v="82"/>
    <s v="SETEMBRO"/>
    <s v="VITOR DUARTE"/>
    <s v="FGTS EM ATRASO 08/2023 -JOSE CICERO DOS SANTOS COSTA"/>
    <n v="-234.22"/>
    <x v="0"/>
    <s v="IMPOSTO"/>
  </r>
  <r>
    <x v="82"/>
    <s v="SETEMBRO"/>
    <s v="VITOR DUARTE"/>
    <s v="FGTS EM ATRASO 09/2023 -JOSE CICERO DOS SANTOS COSTA"/>
    <n v="-232.98"/>
    <x v="0"/>
    <s v="IMPOSTO"/>
  </r>
  <r>
    <x v="82"/>
    <s v="SETEMBRO"/>
    <s v="VITOR DUARTE"/>
    <s v="FGTS EM ATRASO 12/2023 -JOSE CICERO DOS SANTOS COSTA"/>
    <n v="-229.54"/>
    <x v="0"/>
    <s v="IMPOSTO"/>
  </r>
  <r>
    <x v="28"/>
    <s v="SETEMBRO"/>
    <s v="HSERV COMBINADOS"/>
    <s v="CEF MATRIZ--EMPRESTIMO HENRIQUE IEAN VENCIDO JULHO"/>
    <n v="-6615.39"/>
    <x v="0"/>
    <s v="EMPRESTIMO "/>
  </r>
  <r>
    <x v="28"/>
    <s v="SETEMBRO"/>
    <s v="HENRIQUE JEAN"/>
    <s v="CEF MATRIZ--EMPRESTIMO HSERV COMBINADOS VENCIDO JULHO"/>
    <n v="-6528.07"/>
    <x v="0"/>
    <s v="EMPRESTIMO "/>
  </r>
  <r>
    <x v="28"/>
    <s v="SETEMBRO"/>
    <s v="HSERV TECNOLOGIA"/>
    <s v="LAPAMED CONSULTORIA EM SEGURANÇA DO TRABALHO -EXAME DAMIÃO PLURIX "/>
    <n v="-122"/>
    <x v="0"/>
    <s v="EXAMES MEDICOS"/>
  </r>
  <r>
    <x v="28"/>
    <s v="SETEMBRO"/>
    <s v="VITOR DUARTE"/>
    <s v="FOCO CENTRO MEDICO PEDREIRA -EXAME MEDICO KARINA DE SOUSA MELO-PEDREIRA"/>
    <n v="-130"/>
    <x v="0"/>
    <s v="EXAMES MEDICOS"/>
  </r>
  <r>
    <x v="28"/>
    <s v="SETEMBRO"/>
    <s v="VITOR DUARTE"/>
    <s v="IFOOD.COM AGENCIA DE RESTAURANTES ONLINE S.A."/>
    <n v="-643.55999999999995"/>
    <x v="0"/>
    <s v="VALE ALIMENTAÇAO"/>
  </r>
  <r>
    <x v="27"/>
    <s v="SETEMBRO"/>
    <s v="VITOR DUARTE"/>
    <s v="VALDECI BERTOZI -COMISSÃO UPA "/>
    <n v="-733.36"/>
    <x v="0"/>
    <s v="COMISSÃO"/>
  </r>
  <r>
    <x v="80"/>
    <s v="SETEMBRO"/>
    <s v="HSERV COMBINADOS"/>
    <s v="LUANA RODRIGUES DOS REIS-DIS 08/09 ATÉ O DIA 12/09/2025 - PLURIX"/>
    <n v="-500"/>
    <x v="0"/>
    <s v="FT"/>
  </r>
  <r>
    <x v="80"/>
    <s v="SETEMBRO"/>
    <s v="HSERV COMBINADOS"/>
    <s v="FATIMA APARECIDA DOS ANJOS LUCIO"/>
    <n v="-233.34"/>
    <x v="0"/>
    <s v="SALÁRIOS"/>
  </r>
  <r>
    <x v="80"/>
    <s v="SETEMBRO"/>
    <s v="HSERV COMBINADOS"/>
    <s v="JANIEL DOS SANTOS"/>
    <n v="-360.8"/>
    <x v="0"/>
    <s v="VALE TRANSPORTE"/>
  </r>
  <r>
    <x v="80"/>
    <s v="SETEMBRO"/>
    <s v="HSERV REPRESENTACOES"/>
    <s v="MARIA JOSE DA SILVA SANTOS"/>
    <n v="-52.5"/>
    <x v="0"/>
    <s v="VALE TRANSPORTE"/>
  </r>
  <r>
    <x v="80"/>
    <s v="SETEMBRO"/>
    <s v="HENRIQUE JEAN"/>
    <s v="SINDICATO DOS EMPREGADOS E TRABALHADORES NAS EMPRESAS DE PRE"/>
    <n v="-563.13"/>
    <x v="0"/>
    <s v="SINDICATO"/>
  </r>
  <r>
    <x v="80"/>
    <s v="SETEMBRO"/>
    <s v="HSERV CABREUVA"/>
    <s v="SINDICATO DOS EMPREGADOS E TRABALHADORES NAS EMPRESAS DE PRE"/>
    <n v="-795.63"/>
    <x v="0"/>
    <s v="SINDICATO"/>
  </r>
  <r>
    <x v="80"/>
    <s v="SETEMBRO"/>
    <s v="HSERV CLEAN"/>
    <s v="SINDICATO DOS EMPREGADOS E TRABALHADORES NAS EMPRESAS DE PRE"/>
    <n v="-807.61"/>
    <x v="0"/>
    <s v="SINDICATO"/>
  </r>
  <r>
    <x v="80"/>
    <s v="SETEMBRO"/>
    <s v="HSERV COMBINADOS"/>
    <s v="SINDICATO DOS EMPREGADOS E TRABALHADORES NAS EMPRESAS DE PRE"/>
    <n v="-33.39"/>
    <x v="0"/>
    <s v="SINDICATO"/>
  </r>
  <r>
    <x v="80"/>
    <s v="SETEMBRO"/>
    <s v="HSERV COMBINADOS"/>
    <s v="SINDICATO DOS EMPREGADOS E TRABALHADORES NAS EMPRESAS DE PRE"/>
    <n v="-2411.56"/>
    <x v="0"/>
    <s v="SINDICATO"/>
  </r>
  <r>
    <x v="80"/>
    <s v="SETEMBRO"/>
    <s v="HSERV LIMPEZA"/>
    <s v="SINDICATO DOS EMPREGADOS E TRABALHADORES NAS EMPRESAS DE PRE"/>
    <n v="-863.15"/>
    <x v="0"/>
    <s v="SINDICATO"/>
  </r>
  <r>
    <x v="80"/>
    <s v="SETEMBRO"/>
    <s v="HSERV REPRESENTACOES"/>
    <s v="SINDICATO DOS EMPREGADOS E TRABALHADORES NAS EMPRESAS DE PRE"/>
    <n v="-650.19000000000005"/>
    <x v="0"/>
    <s v="SINDICATO"/>
  </r>
  <r>
    <x v="80"/>
    <s v="SETEMBRO"/>
    <s v="HSERV TECNOLOGIA"/>
    <s v="SINDICATO DOS EMPREGADOS E TRABALHADORES NAS EMPRESAS DE PRE"/>
    <n v="-1954.95"/>
    <x v="0"/>
    <s v="SINDICATO"/>
  </r>
  <r>
    <x v="80"/>
    <s v="SETEMBRO"/>
    <s v="HSERV TERCEIRIZADOS"/>
    <s v="SINDICATO DOS EMPREGADOS E TRABALHADORES NAS EMPRESAS DE PRE"/>
    <n v="-890.87"/>
    <x v="0"/>
    <s v="SINDICATO"/>
  </r>
  <r>
    <x v="80"/>
    <s v="SETEMBRO"/>
    <s v="VITOR DUARTE"/>
    <s v="SINDICATO DOS EMPREGADOS E TRABALHADORES NAS EMPRESAS DE PRE"/>
    <n v="-1063.73"/>
    <x v="0"/>
    <s v="SINDICATO"/>
  </r>
  <r>
    <x v="18"/>
    <s v="SETEMBRO"/>
    <s v="HSERV TERCEIRIZADOS"/>
    <s v="CBM TOWER HONORARIOS ADVOCATIVOS PROCESSO CBM TOWER -RATEIO"/>
    <n v="-2014.27"/>
    <x v="0"/>
    <s v="APORTE"/>
  </r>
  <r>
    <x v="18"/>
    <s v="SETEMBRO"/>
    <s v="HSERV TERCEIRIZADOS"/>
    <s v="CBM TOWER HONORARIOS ADVOCATIVOS PROCESSO CBM TOWER COTA CONDOMINAL"/>
    <n v="-284"/>
    <x v="0"/>
    <s v="APORTE"/>
  </r>
  <r>
    <x v="80"/>
    <s v="SETEMBRO"/>
    <s v="HSERV CABREUVA"/>
    <s v="HSERV-Proc 1001220-97.2024.5.02.0291 NORTON DO NASCIMENTO GONCALVES BUENO "/>
    <n v="-774.82"/>
    <x v="0"/>
    <s v="ACORDO TRABALHISTA"/>
  </r>
  <r>
    <x v="80"/>
    <s v="SETEMBRO"/>
    <s v="HSERV CABREUVA"/>
    <s v="HSERV-CUSTA  Processo: 1001220-97.2024.5.02.0291 Reclamante: NORTON DO NASCIMENTO GONCALVES BUENO"/>
    <n v="-80.39"/>
    <x v="0"/>
    <s v="ACORDO TRABALHISTA"/>
  </r>
  <r>
    <x v="18"/>
    <s v="SETEMBRO"/>
    <s v="HENRIQUE JEAN"/>
    <s v="BENEFICIO SOCIAL VENCIDA 10/08/2025"/>
    <n v="-159.6"/>
    <x v="0"/>
    <s v="SINDICATO"/>
  </r>
  <r>
    <x v="18"/>
    <s v="SETEMBRO"/>
    <s v="HSERV CABREUVA"/>
    <s v="BENEFICIO SOCIAL VENCIDA 10/08/2025"/>
    <n v="-399"/>
    <x v="0"/>
    <s v="SINDICATO"/>
  </r>
  <r>
    <x v="18"/>
    <s v="SETEMBRO"/>
    <s v="HSERV CLEAN"/>
    <s v="BENEFICIO SOCIAL VENCIDA 10/08/2025"/>
    <n v="-383.04"/>
    <x v="0"/>
    <s v="SINDICATO"/>
  </r>
  <r>
    <x v="18"/>
    <s v="SETEMBRO"/>
    <s v="HSERV COMBINADOS"/>
    <s v="BENEFICIO SOCIAL VENCIDA 10/08/2025"/>
    <n v="-845.88"/>
    <x v="0"/>
    <s v="SINDICATO"/>
  </r>
  <r>
    <x v="18"/>
    <s v="SETEMBRO"/>
    <s v="HSERV LIMPEZA"/>
    <s v="BENEFICIO SOCIAL VENCIDA 10/08/2025"/>
    <n v="-271.32"/>
    <x v="0"/>
    <s v="SINDICATO"/>
  </r>
  <r>
    <x v="18"/>
    <s v="SETEMBRO"/>
    <s v="HSERV REPRESENTACOES"/>
    <s v="BENEFICIO SOCIAL VENCIDA 10/08/2025"/>
    <n v="-287.27999999999997"/>
    <x v="0"/>
    <s v="SINDICATO"/>
  </r>
  <r>
    <x v="18"/>
    <s v="SETEMBRO"/>
    <s v="HSERV TECNOLOGIA"/>
    <s v="BENEFICIO SOCIAL VENCIDA 10/08/2025"/>
    <n v="-702.24"/>
    <x v="0"/>
    <s v="SINDICATO"/>
  </r>
  <r>
    <x v="18"/>
    <s v="SETEMBRO"/>
    <s v="HSERV TERCEIRIZADOS"/>
    <s v="BENEFICIO SOCIAL VENCIDA 10/08/2025"/>
    <n v="-383.04"/>
    <x v="0"/>
    <s v="SINDICATO"/>
  </r>
  <r>
    <x v="18"/>
    <s v="SETEMBRO"/>
    <s v="VITOR DUARTE"/>
    <s v="BENEFICIO SOCIAL VENCIDA 10/08/2025"/>
    <n v="-510.72"/>
    <x v="0"/>
    <s v="SINDICATO"/>
  </r>
  <r>
    <x v="32"/>
    <s v="SETEMBRO"/>
    <s v="HENRIQUE JEAN"/>
    <s v="SINDPRESTEM"/>
    <n v="-630"/>
    <x v="0"/>
    <s v="SINDICATO"/>
  </r>
  <r>
    <x v="81"/>
    <s v="SETEMBRO"/>
    <s v="HENRIQUE JEAN"/>
    <s v="CRISTIANA DOS SANTOS"/>
    <n v="-249.12"/>
    <x v="0"/>
    <s v="VALE ALIMENTAÇAO"/>
  </r>
  <r>
    <x v="81"/>
    <s v="SETEMBRO"/>
    <s v="VITOR DUARTE"/>
    <s v="RESOLVE ALIMENTACAO LTDA"/>
    <n v="-762.72"/>
    <x v="0"/>
    <s v="VALE ALIMENTAÇAO"/>
  </r>
  <r>
    <x v="81"/>
    <s v="SETEMBRO"/>
    <s v="HSERV CLEAN"/>
    <s v="J.E. COMERCIO E SOLUCOES LTDA"/>
    <n v="-2510.4499999999998"/>
    <x v="0"/>
    <s v="MERCADORIAS PARA REVENDA"/>
  </r>
  <r>
    <x v="81"/>
    <s v="SETEMBRO"/>
    <s v="HSERV COMBINADOS"/>
    <s v="MARCOS ANTONIO COUTO DO NASCIMENTO"/>
    <n v="-1500"/>
    <x v="0"/>
    <s v="CAIXINHA"/>
  </r>
  <r>
    <x v="81"/>
    <s v="SETEMBRO"/>
    <s v="HSERV TERCEIRIZADOS"/>
    <s v="STAR CLEAN PRO INDUSTRIA E COMERCIO DE EQUIPAMENTOS DE LIMPE"/>
    <n v="-1101.8399999999999"/>
    <x v="0"/>
    <s v="CESTA BASICA"/>
  </r>
  <r>
    <x v="61"/>
    <s v="SETEMBRO"/>
    <s v="HSERV COMBINADOS"/>
    <s v="CLAUDIO DEL DUCA- REEMBOLSO DE KM, PEDAGIO E ESTACIONAMENTO - REUNIÃO PLURIX "/>
    <n v="-230.81"/>
    <x v="0"/>
    <s v="REEMBOLSO"/>
  </r>
  <r>
    <x v="61"/>
    <s v="SETEMBRO"/>
    <s v="HSERV COMBINADOS"/>
    <s v="CLAUDIO DEL DUCA- REEMBOLSO DE  KM, PEDAGIO,ESTACIONAMENTO E REFEIÇÃO-CONNAR RH 2025 "/>
    <n v="-416.28"/>
    <x v="0"/>
    <s v="REEMBOLSO"/>
  </r>
  <r>
    <x v="67"/>
    <s v="SETEMBRO"/>
    <s v="HSERV COMBINADOS"/>
    <s v="YASMIN VITORIA GOMES BUENO- REEMBOLSO ADENILZA COBERTURA LOJA  HOJE "/>
    <n v="-12.3"/>
    <x v="0"/>
    <s v="VALE TRANSPORTE"/>
  </r>
  <r>
    <x v="67"/>
    <s v="SETEMBRO"/>
    <s v="HSERV COMBINADOS"/>
    <s v="MICHELLE SILVA DE JESUS-FT MOEMA - 25/08, 26/08, 27/08 ,28/09, 29/08 E 02/09"/>
    <n v="-600"/>
    <x v="0"/>
    <s v="FT"/>
  </r>
  <r>
    <x v="32"/>
    <s v="SETEMBRO"/>
    <s v="HSERV COMBINADOS"/>
    <s v="POLYCLINIC CLINICA DE ESPECIALIDADES MEDICAS LTDA-EXAME RETORNO AO TRABALHO - ANA CLAUDIA XAVIER DA SILVEIRA BATISTA"/>
    <n v="-83.5"/>
    <x v="0"/>
    <s v="EXAMES MEDICOS"/>
  </r>
  <r>
    <x v="32"/>
    <s v="SETEMBRO"/>
    <s v="HSERV COMBINADOS"/>
    <s v="CONFIMED MEDICINA OCUPACIONAL LTDA-EXAME RETORNO AO TRABALHO - ANA CLAUDIA XAVIER DA SILVA BATISTA"/>
    <n v="-40"/>
    <x v="0"/>
    <s v="EXAMES MEDICOS"/>
  </r>
  <r>
    <x v="32"/>
    <s v="SETEMBRO"/>
    <s v="H SERV CLEAN "/>
    <s v="EMPORIO MEGA 100 COMERCIO DE A- VENCIDA DIA 20/09/2025"/>
    <n v="-1027.5999999999999"/>
    <x v="0"/>
    <s v="CESTA BASICA"/>
  </r>
  <r>
    <x v="32"/>
    <s v="SETEMBRO"/>
    <s v="HSERV TECNOLOGIA "/>
    <s v="EMPORIO MEGA 100 COMERCIO DE A- VENCIDA DIA 20/09/2025"/>
    <n v="-2134.17"/>
    <x v="0"/>
    <s v="CESTA BASICA"/>
  </r>
  <r>
    <x v="32"/>
    <s v="SETEMBRO"/>
    <s v="VITOR  DUARTE "/>
    <s v="EMPORIO MEGA 100 COMERCIO DE A- VENCIDA DIA 20/09/2025"/>
    <n v="-316.16000000000003"/>
    <x v="0"/>
    <s v="CESTA BASICA"/>
  </r>
  <r>
    <x v="32"/>
    <s v="SETEMBRO"/>
    <s v="H SERV CLEAN "/>
    <s v="EMPORIO MEGA 100 COMERCIO DE A- VENCIDA DIA 20/09/2025"/>
    <n v="-4979.83"/>
    <x v="0"/>
    <s v="CESTA BASICA"/>
  </r>
  <r>
    <x v="32"/>
    <s v="SETEMBRO"/>
    <s v="HSERV COMBINADOS"/>
    <s v="EMPORIO MEGA 100 COMERCIO DE A- VENCIDA DIA 20/09/2025"/>
    <n v="-2608.4299999999998"/>
    <x v="0"/>
    <s v="CESTA BASICA"/>
  </r>
  <r>
    <x v="32"/>
    <s v="SETEMBRO"/>
    <s v="HSERV CABREUVA"/>
    <s v="EMPORIO MEGA 100 COMERCIO DE A- VENCIDA DIA 20/09/2025"/>
    <n v="-1580.92"/>
    <x v="0"/>
    <s v="CESTA BASICA"/>
  </r>
  <r>
    <x v="32"/>
    <s v="SETEMBRO"/>
    <s v="HSERV  REPRESENTACOES"/>
    <s v="EMPORIO MEGA 100 COMERCIO DE A- VENCIDA DIA 20/09/2025"/>
    <n v="-711.38"/>
    <x v="0"/>
    <s v="CESTA BASICA"/>
  </r>
  <r>
    <x v="32"/>
    <s v="SETEMBRO"/>
    <s v="HSERV  TERCEIRIZADOS"/>
    <s v="EMPORIO MEGA 100 COMERCIO DE A- VENCIDA DIA 20/09/2025"/>
    <n v="-1106.6500000000001"/>
    <x v="0"/>
    <s v="CESTA BASICA"/>
  </r>
  <r>
    <x v="32"/>
    <s v="SETEMBRO"/>
    <s v="HENRIQUE JEAN "/>
    <s v="EMPORIO MEGA 100 COMERCIO DE A- VENCIDA DIA 20/09/2025"/>
    <n v="-869.48"/>
    <x v="0"/>
    <s v="CESTA BASICA"/>
  </r>
  <r>
    <x v="32"/>
    <s v="SETEMBRO"/>
    <s v="HSERV  LIMPEZA "/>
    <s v="EMPORIO MEGA 100 COMERCIO DE A- VENCIDA DIA 20/09/2025"/>
    <n v="-869.48"/>
    <x v="0"/>
    <s v="CESTA BASICA"/>
  </r>
  <r>
    <x v="77"/>
    <s v="SETEMBRO"/>
    <s v="HSERV COMBINADOS"/>
    <s v="MICHEL CRHISTIAN CARVALHO"/>
    <n v="-161.1"/>
    <x v="0"/>
    <s v="VALE TRANSPORTE"/>
  </r>
  <r>
    <x v="77"/>
    <s v="SETEMBRO"/>
    <s v="HSERV COMBINADOS"/>
    <s v="LUANA VITORIA MARQUES LIMA"/>
    <n v="-321"/>
    <x v="0"/>
    <s v="VALE TRANSPORTE"/>
  </r>
  <r>
    <x v="77"/>
    <s v="SETEMBRO"/>
    <s v="HSERV COMBINADOS"/>
    <s v="JHENNIFER KETREN LOPES FERREIRA"/>
    <n v="-209.1"/>
    <x v="0"/>
    <s v="VALE TRANSPORTE"/>
  </r>
  <r>
    <x v="77"/>
    <s v="SETEMBRO"/>
    <s v="HSERV CLEAN"/>
    <s v="TIAGO PAULO TEIXEIRA"/>
    <n v="-140"/>
    <x v="0"/>
    <s v="VALE TRANSPORTE"/>
  </r>
  <r>
    <x v="77"/>
    <s v="SETEMBRO"/>
    <s v="HSERV COMBINADOS"/>
    <s v="JOSE SEVERINO LEONARDO CONCEICAO DA SILVA"/>
    <n v="-143.5"/>
    <x v="0"/>
    <s v="VALE TRANSPORTE"/>
  </r>
  <r>
    <x v="77"/>
    <s v="SETEMBRO"/>
    <s v="VITOR DUARTE"/>
    <s v="FABIOLA FARIAS FELIX-DEVOLUÇÃO DESCONTO - CASO DAIANE CRISTINA ANDRADE - BELLART"/>
    <n v="-363.81"/>
    <x v="0"/>
    <s v="SALARIOS"/>
  </r>
  <r>
    <x v="77"/>
    <s v="SETEMBRO"/>
    <s v="HSERV COMBINADOS"/>
    <s v="ANTONIO LUIZ FELIX DE ALMEIDA - FT FISCAL VOTORATIM"/>
    <n v="-2700"/>
    <x v="0"/>
    <s v="FT"/>
  </r>
  <r>
    <x v="77"/>
    <s v="SETEMBRO"/>
    <s v="HENRIQUE JEAN"/>
    <s v="SANTOS SEPULVEDA SOCIEDADE INDIVIDUAL DE ADVOCACIA- - PROC 0010895-75.2023.5.15.009-AMANDA BRITO SANTOS PARCELA 5/16"/>
    <n v="-1000"/>
    <x v="0"/>
    <s v="ACORDO TRABALHISTA"/>
  </r>
  <r>
    <x v="61"/>
    <s v="SETEMBRO"/>
    <s v="VITOR DUARTE"/>
    <s v="JULIO CEZAR IGLESIAS DE LIMA"/>
    <n v="-1470"/>
    <x v="0"/>
    <s v="ALUGUEL DE IMOVEIS"/>
  </r>
  <r>
    <x v="61"/>
    <s v="SETEMBRO"/>
    <s v="HSERV TERCEIRIZADOS"/>
    <s v="ESCOBRAS INDUSTRIA E COMERCIO DE MAQUINAS LTDA"/>
    <n v="-900"/>
    <x v="0"/>
    <s v="MANUTENÇÃO"/>
  </r>
  <r>
    <x v="61"/>
    <s v="SETEMBRO"/>
    <s v="HSERV CLEAN"/>
    <s v="HM MAQ COMERCIO E ASSISTENCIA TECNICA INDUSTRIAL"/>
    <n v="-4781.3999999999996"/>
    <x v="0"/>
    <s v="MANUTENÇÃO"/>
  </r>
  <r>
    <x v="27"/>
    <s v="SETEMBRO"/>
    <s v="HENRIQUE JEAN"/>
    <s v="NILCEIA CRISTINA DA CUNHA"/>
    <n v="-4101.5"/>
    <x v="0"/>
    <s v="RESCISÕES"/>
  </r>
  <r>
    <x v="53"/>
    <s v="SETEMBRO"/>
    <s v="HENRIQUE JEAN"/>
    <s v="SAMANTHA PATRICIA MACHADO DE GOUVEIA -PROC  nº 0010287-43.2024.5.15.0097-SHEILA PASSALINE FERRAZ- PARCELA 4/4"/>
    <n v="-1000"/>
    <x v="0"/>
    <s v="ACORDO TRABALHISTA"/>
  </r>
  <r>
    <x v="32"/>
    <s v="SETEMBRO"/>
    <s v="HSERV CABREUVA"/>
    <s v="FERNANDO APARECIDO DOS SANTOS-Proc 0013031-54.2024.5.15.0018 RECLAMANTE: MANOEL ROBERTO DE SOUSA   PARCELA 3/17"/>
    <n v="-3000"/>
    <x v="0"/>
    <s v="ACORDO TRABALHISTA"/>
  </r>
  <r>
    <x v="32"/>
    <s v="SETEMBRO"/>
    <s v="VITOR DUARTE"/>
    <s v="JURANDIR BAVOSO JUNIOR- Proc 0010814-86.2024.5.15.0002 RECLAMANTE: JUAN ERICK REIS DOS SANTOS  PARCELA 3/12"/>
    <n v="-2000"/>
    <x v="0"/>
    <s v="ACORDO TRABALHISTA"/>
  </r>
  <r>
    <x v="32"/>
    <s v="SETEMBRO"/>
    <s v="HSERV CABREUVA"/>
    <s v="LUCAS LEONARDO MARQUES DE OLIVEIRA"/>
    <n v="-2000"/>
    <x v="0"/>
    <s v="ACORDO TRABALHISTA"/>
  </r>
  <r>
    <x v="32"/>
    <s v="SETEMBRO"/>
    <s v="HSERV CABREUVA"/>
    <s v="DALMAZO SOCIEDADE INDIVIDUAL DE ADVOCACIA"/>
    <n v="-1465"/>
    <x v="0"/>
    <s v="ACORDO TRABALHISTA"/>
  </r>
  <r>
    <x v="32"/>
    <s v="SETEMBRO"/>
    <s v="HSERV CABREUVA"/>
    <s v="ARAUJO E RIOS ADVOGADOS ASSOCIADOS"/>
    <n v="-3836.54"/>
    <x v="0"/>
    <s v="ACORDO TRABALHISTA"/>
  </r>
  <r>
    <x v="32"/>
    <s v="SETEMBRO"/>
    <s v="HSERV CABREUVA"/>
    <s v="TIAGO JOSE DE FREITAS OLIVEIRA"/>
    <n v="-3200"/>
    <x v="0"/>
    <s v="ACORDO TRABALHISTA"/>
  </r>
  <r>
    <x v="32"/>
    <s v="SETEMBRO"/>
    <s v="HSERV CLEAN"/>
    <s v="ANA PAULA HERKES MARTINS"/>
    <n v="-2500"/>
    <x v="0"/>
    <s v="ACORDO TRABALHISTA"/>
  </r>
  <r>
    <x v="32"/>
    <s v="SETEMBRO"/>
    <s v="HSERV LIMPEZA"/>
    <s v="JUAN PHILIPY STEPHANO AMARO SOCIEDADE INDIVIDUAL DE ADVOCACI"/>
    <n v="-1000"/>
    <x v="0"/>
    <s v="ACORDO TRABALHISTA"/>
  </r>
  <r>
    <x v="32"/>
    <s v="SETEMBRO"/>
    <s v="VITOR DUARTE"/>
    <s v="IVAN MARQUES DOS SANTOS"/>
    <n v="-2893.81"/>
    <x v="0"/>
    <s v="ACORDO TRABALHISTA"/>
  </r>
  <r>
    <x v="32"/>
    <s v="SETEMBRO"/>
    <s v="VITOR DUARTE"/>
    <s v="LUAN VIEIRA BARRETO"/>
    <n v="-1400"/>
    <x v="0"/>
    <s v="ACORDO TRABALHISTA"/>
  </r>
  <r>
    <x v="32"/>
    <s v="SETEMBRO"/>
    <s v="VITOR DUARTE"/>
    <s v="SCHWARTZ E KEDE SOCIEDADE DE ADVOGADOS-PROC 0010117-02.2023.5.15.0002  AUTOR: DAIANE OLIVEIRA DIAS DO PRADO  1/16"/>
    <n v="-5000"/>
    <x v="0"/>
    <s v="ACORDO TRABALHISTA"/>
  </r>
  <r>
    <x v="39"/>
    <s v="OUTUBRO"/>
    <s v="HSERV CABREUVA"/>
    <s v="HSERV-GUIA INSS  0012166-65.2023.5.15.0018 Jadison Souza Fontes"/>
    <n v="-558.71"/>
    <x v="0"/>
    <s v="ACORDO TRABALHISTA"/>
  </r>
  <r>
    <x v="32"/>
    <s v="SETEMBRO"/>
    <s v="VITOR DUARTE"/>
    <s v="VALERIA GEOVANNA DOS SANTOS"/>
    <n v="-1916.67"/>
    <x v="0"/>
    <s v="ACORDO TRABALHISTA"/>
  </r>
  <r>
    <x v="53"/>
    <s v="SETEMBRO"/>
    <s v="HSERV CABREUVA"/>
    <s v="ZAMBONI, SOUSA, CARVALHO &amp; MARIANO --PROC 0012075-66.2022.5.15.0096 -CLAUDIA ARAUJO DOS SANTOS-PARCELA 4/6"/>
    <n v="-10000"/>
    <x v="0"/>
    <s v="ACORDO TRABALHISTA"/>
  </r>
  <r>
    <x v="72"/>
    <s v="SETEMBRO"/>
    <s v="HSERV TERCEIRIZADOS"/>
    <s v="LOTUS CENTRAL DE DISTRIBUICAO DE HIGIENICOS LTDA NF 189.843"/>
    <n v="-2592.66"/>
    <x v="0"/>
    <s v="MERCADORIAS PARA REVENDA"/>
  </r>
  <r>
    <x v="72"/>
    <s v="SETEMBRO"/>
    <s v="HSERV TERCEIRIZADOS"/>
    <s v="FLORA DISTRIB PROD DE HIGIENE E LIMPEZA LTDA NF1.072.019"/>
    <n v="-487.53"/>
    <x v="0"/>
    <s v="MERCADORIAS PARA REVENDA"/>
  </r>
  <r>
    <x v="72"/>
    <s v="SETEMBRO"/>
    <s v="HSERV REPRESENTACOES"/>
    <s v="OKUYAMA &amp; ALVES SOCIEDADE DE ADVOGADOSS - PROC 0012457-65.2023.5.15.0018 -JESSICA BARROS DOS SANTO PARCELA 5/8"/>
    <n v="-2000"/>
    <x v="0"/>
    <s v="ACORDO TRABALHISTA"/>
  </r>
  <r>
    <x v="53"/>
    <s v="SETEMBRO"/>
    <s v="HSERV REPRESENTACOES"/>
    <s v="OKUYAMA &amp; ALVES SOCIEDADE DE ADVOGADOS- PROC 0012465-42.2023.5.15.0018-PROC GENILDA MARIA DA SILVA PARCELA 5/8"/>
    <n v="-2000"/>
    <x v="0"/>
    <s v="ACORDO TRABALHISTA"/>
  </r>
  <r>
    <x v="85"/>
    <s v="DEZEMBRO"/>
    <s v="HSERV CLEAN"/>
    <s v="JOSE JONAS DE ARAUJO SILVA- PROCESSO 0010137-76.2022.5.15.0018- MANOEL VICENTE  PARCELA 6/8"/>
    <n v="-3968.99"/>
    <x v="0"/>
    <s v="ACORDO TRABALHISTA"/>
  </r>
  <r>
    <x v="79"/>
    <s v="OUTUBRO"/>
    <s v="HSERV CLEAN"/>
    <s v="JOSE JONAS DE ARAUJO SILVA- PROCESSO 0010137-76.2022.5.15.0018- MANOEL VICENTE  PARCELA 4/8"/>
    <n v="-3968.99"/>
    <x v="0"/>
    <s v="ACORDO TRABALHISTA"/>
  </r>
  <r>
    <x v="44"/>
    <s v="SETEMBRO"/>
    <s v="VITOR DUARTE"/>
    <s v="L. A. DE SOUZA - EQUIPAMENTOS DE SEGURANCA LTDA NF11.867"/>
    <n v="-600"/>
    <x v="0"/>
    <s v="UNIFORMES"/>
  </r>
  <r>
    <x v="44"/>
    <s v="SETEMBRO"/>
    <s v="HSERV CLEAN"/>
    <s v="JOSE JONAS DE ARAUJO SILVA- PROCESSO 0010137-76.2022.5.15.0018- MANOEL VICENTE  PARCELA 3/8"/>
    <n v="-3968.99"/>
    <x v="0"/>
    <s v="ACORDO TRABALHISTA"/>
  </r>
  <r>
    <x v="44"/>
    <s v="SETEMBRO"/>
    <s v="HENRIQUE JEAN"/>
    <s v="LUCINEIA CANDIDA GONCALVES"/>
    <n v="-240"/>
    <x v="0"/>
    <s v="VALE TRANSPORTE"/>
  </r>
  <r>
    <x v="44"/>
    <s v="SETEMBRO"/>
    <s v="HENRIQUE JEAN"/>
    <s v="EDIMARA GISELE SILVA JOANI"/>
    <n v="-240"/>
    <x v="0"/>
    <s v="VALE TRANSPORTE"/>
  </r>
  <r>
    <x v="44"/>
    <s v="SETEMBRO"/>
    <s v="HENRIQUE JEAN"/>
    <s v="MARIA DAS DORES DA CONCEICAO"/>
    <n v="-200"/>
    <x v="0"/>
    <s v="VALE TRANSPORTE"/>
  </r>
  <r>
    <x v="44"/>
    <s v="SETEMBRO"/>
    <s v="HENRIQUE JEAN"/>
    <s v="NATALINA SILVA NIZIO"/>
    <n v="-159.16"/>
    <x v="0"/>
    <s v="VALE TRANSPORTE"/>
  </r>
  <r>
    <x v="44"/>
    <s v="SETEMBRO"/>
    <s v="HENRIQUE JEAN"/>
    <s v="TATIANE CRISTINA BARBOSA"/>
    <n v="-240"/>
    <x v="0"/>
    <s v="VALE TRANSPORTE"/>
  </r>
  <r>
    <x v="44"/>
    <s v="SETEMBRO"/>
    <s v="HENRIQUE JEAN"/>
    <s v="ELUSA ROSALVA DA ROCHA PEREIRA"/>
    <n v="-360"/>
    <x v="0"/>
    <s v="VALE TRANSPORTE"/>
  </r>
  <r>
    <x v="44"/>
    <s v="SETEMBRO"/>
    <s v="HENRIQUE JEAN"/>
    <s v="JULIANA TOMAZ FERREIRA"/>
    <n v="-264"/>
    <x v="0"/>
    <s v="VALE TRANSPORTE"/>
  </r>
  <r>
    <x v="44"/>
    <s v="SETEMBRO"/>
    <s v="HENRIQUE JEAN"/>
    <s v="MARIA INES CHAGAS"/>
    <n v="-180"/>
    <x v="0"/>
    <s v="VALE TRANSPORTE"/>
  </r>
  <r>
    <x v="44"/>
    <s v="SETEMBRO"/>
    <s v="HENRIQUE JEAN"/>
    <s v="TATIANI LOPES"/>
    <n v="-250"/>
    <x v="0"/>
    <s v="VALE TRANSPORTE"/>
  </r>
  <r>
    <x v="44"/>
    <s v="SETEMBRO"/>
    <s v="HENRIQUE JEAN"/>
    <s v="ROSANGELA DA SILVA"/>
    <n v="-180"/>
    <x v="0"/>
    <s v="VALE TRANSPORTE"/>
  </r>
  <r>
    <x v="44"/>
    <s v="SETEMBRO"/>
    <s v="HENRIQUE JEAN"/>
    <s v="KEMILLY CRISTINA DE SOUZA"/>
    <n v="-250"/>
    <x v="0"/>
    <s v="VALE TRANSPORTE"/>
  </r>
  <r>
    <x v="44"/>
    <s v="SETEMBRO"/>
    <s v="HENRIQUE JEAN"/>
    <s v="THAYANE TERTULIANO DOMINGOS DA SILVA"/>
    <n v="-240"/>
    <x v="0"/>
    <s v="VALE TRANSPORTE"/>
  </r>
  <r>
    <x v="44"/>
    <s v="SETEMBRO"/>
    <s v="HENRIQUE JEAN"/>
    <s v="JULIANA SANTANA CARAVANTE MENDES"/>
    <n v="-140"/>
    <x v="0"/>
    <s v="VALE TRANSPORTE"/>
  </r>
  <r>
    <x v="44"/>
    <s v="SETEMBRO"/>
    <s v="HSERV CABREUVA"/>
    <s v="WENDRES BRAZ RODRIGUES"/>
    <n v="-59"/>
    <x v="0"/>
    <s v="VALE TRANSPORTE"/>
  </r>
  <r>
    <x v="44"/>
    <s v="SETEMBRO"/>
    <s v="HSERV CABREUVA"/>
    <s v="GRACE ADRIANA DE ANDRADE"/>
    <n v="-59"/>
    <x v="0"/>
    <s v="VALE TRANSPORTE"/>
  </r>
  <r>
    <x v="44"/>
    <s v="SETEMBRO"/>
    <s v="HSERV CABREUVA"/>
    <s v="ANA CELIA DA SILVA LOPES"/>
    <n v="-59"/>
    <x v="0"/>
    <s v="VALE TRANSPORTE"/>
  </r>
  <r>
    <x v="44"/>
    <s v="SETEMBRO"/>
    <s v="HSERV CABREUVA"/>
    <s v="RICARDO BARBOSA DA SILVA"/>
    <n v="-59"/>
    <x v="0"/>
    <s v="VALE TRANSPORTE"/>
  </r>
  <r>
    <x v="44"/>
    <s v="SETEMBRO"/>
    <s v="HSERV CABREUVA"/>
    <s v="MARCELO EVANGELISTA SANTOS"/>
    <n v="-59"/>
    <x v="0"/>
    <s v="VALE TRANSPORTE"/>
  </r>
  <r>
    <x v="44"/>
    <s v="SETEMBRO"/>
    <s v="HSERV CABREUVA"/>
    <s v="PATRICIA CRISTINA HAHNE"/>
    <n v="-23.6"/>
    <x v="0"/>
    <s v="VALE TRANSPORTE"/>
  </r>
  <r>
    <x v="44"/>
    <s v="SETEMBRO"/>
    <s v="HSERV COMBINADOS"/>
    <s v="SIMONE COSTA DA SILVA"/>
    <n v="-307.5"/>
    <x v="0"/>
    <s v="VALE TRANSPORTE"/>
  </r>
  <r>
    <x v="44"/>
    <s v="SETEMBRO"/>
    <s v="HSERV COMBINADOS"/>
    <s v="GUSTAVO HENRIQUE DOS SANTOS"/>
    <n v="-566.4"/>
    <x v="0"/>
    <s v="VALE TRANSPORTE"/>
  </r>
  <r>
    <x v="44"/>
    <s v="SETEMBRO"/>
    <s v="HSERV COMBINADOS"/>
    <s v="ADRIANA SIMONE MARINHO GOULART"/>
    <n v="-220"/>
    <x v="0"/>
    <s v="VALE TRANSPORTE"/>
  </r>
  <r>
    <x v="44"/>
    <s v="SETEMBRO"/>
    <s v="HSERV COMBINADOS"/>
    <s v="ALCIDES PEREIRA DE SOUZA"/>
    <n v="-349.5"/>
    <x v="0"/>
    <s v="VALE TRANSPORTE"/>
  </r>
  <r>
    <x v="44"/>
    <s v="SETEMBRO"/>
    <s v="HSERV TECNOLOGIA"/>
    <s v="WELLINTON ABREU DE JESUS"/>
    <n v="-279.36"/>
    <x v="0"/>
    <s v="VALE TRANSPORTE"/>
  </r>
  <r>
    <x v="44"/>
    <s v="SETEMBRO"/>
    <s v="HSERV TECNOLOGIA"/>
    <s v="MAURO TADEU COSTA DOS SANTOS-BONIFICAÇÃO"/>
    <n v="-516.96"/>
    <x v="0"/>
    <s v="SALARIOS"/>
  </r>
  <r>
    <x v="44"/>
    <s v="SETEMBRO"/>
    <s v="VITOR DUARTE"/>
    <s v="JULIO CEZAR IGLESIAS DE LIMA"/>
    <n v="-2100"/>
    <x v="0"/>
    <s v="VIAGEM E HOSPEAGEM "/>
  </r>
  <r>
    <x v="44"/>
    <s v="SETEMBRO"/>
    <s v="HSERV COMBINADOS "/>
    <s v="JC SOARES DE OLIVEIRA - NUCLEO- CAMISAS PERSONALIZADAS ADM "/>
    <n v="-200"/>
    <x v="0"/>
    <s v="MARKETING"/>
  </r>
  <r>
    <x v="44"/>
    <s v="SETEMBRO"/>
    <s v="VITOR DUARTE"/>
    <s v="TADIM NEVES SOCIEDADE INDIVIDUAL DE ADVOCACIA -PROC  - 0012114-44.2023.5.15.0188-ADILIO SANTOS SOUZA PARCELA 6/8"/>
    <n v="-1848.63"/>
    <x v="0"/>
    <s v="ACORDO TRABALHISTA"/>
  </r>
  <r>
    <x v="44"/>
    <s v="SETEMBRO"/>
    <s v="HSERV COMBINADOS"/>
    <s v="ELISANGELA APARECIDA VITOR "/>
    <n v="-500"/>
    <x v="0"/>
    <s v="VIAGEM E HOSPEAGEM "/>
  </r>
  <r>
    <x v="44"/>
    <s v="SETEMBRO"/>
    <s v="HSERV COMBINADOS"/>
    <s v="MARIA HELENA CORREA- FTS EM PEDREIRA DIA 23 E 24"/>
    <n v="-400"/>
    <x v="0"/>
    <s v="FT"/>
  </r>
  <r>
    <x v="44"/>
    <s v="SETEMBRO"/>
    <s v="HSERV COMBINADOS"/>
    <s v="ERIKA DE PAULA SERAFIM -ATESTADO COLABORADORA DA CASA- APOIO EXTRA CD - CENTRO DISTRIBUIÇÃO "/>
    <n v="-270"/>
    <x v="0"/>
    <s v="FT"/>
  </r>
  <r>
    <x v="44"/>
    <s v="SETEMBRO"/>
    <s v="HSERV COMBINADOS"/>
    <s v="SANDRA REGINA MARTINS FT FALTANTES"/>
    <n v="-1717.2"/>
    <x v="0"/>
    <s v="FT"/>
  </r>
  <r>
    <x v="44"/>
    <s v="SETEMBRO"/>
    <s v="HSERV COMBINADOS"/>
    <s v="MARCIA VALERIA-FT FALTANTE"/>
    <n v="-1717.2"/>
    <x v="0"/>
    <s v="FT"/>
  </r>
  <r>
    <x v="44"/>
    <s v="SETEMBRO"/>
    <s v="HSERV COMBINADOS"/>
    <s v="MATUSALEM NOGUEIRA- FT FALNTANTE"/>
    <n v="-755.28"/>
    <x v="0"/>
    <s v="FT"/>
  </r>
  <r>
    <x v="44"/>
    <s v="SETEMBRO"/>
    <s v="HSERV COMBINADOS"/>
    <s v="JOÃO VICTOR RODRIGUES DA SILVA COBRINDO ATESTADO THAYANE  (LOJA 18) E JULIANA SANTANA LOJA 29 PRUDENTE "/>
    <n v="-540"/>
    <x v="0"/>
    <s v="FT"/>
  </r>
  <r>
    <x v="86"/>
    <s v="OUTUBRO"/>
    <s v="HSERV CABREUVA"/>
    <s v=" MEI"/>
    <n v="-75000"/>
    <x v="0"/>
    <s v="SALARIOS"/>
  </r>
  <r>
    <x v="87"/>
    <s v="OUTUBRO"/>
    <s v="HSERV CABREUVA"/>
    <s v=" MEI  "/>
    <n v="-15451.45"/>
    <x v="0"/>
    <s v="SALARIOS"/>
  </r>
  <r>
    <x v="39"/>
    <s v="OUTUBRO"/>
    <s v="HSERV CLEAN"/>
    <s v="DAIANE CRISTINA FELIX"/>
    <n v="-1383.98"/>
    <x v="0"/>
    <s v="RESCISÕES"/>
  </r>
  <r>
    <x v="39"/>
    <s v="OUTUBRO"/>
    <s v="VITOR DUARTE"/>
    <s v="ALTOLIM COMERCIAL ASSIS EIRELI - ME"/>
    <n v="-107.14"/>
    <x v="0"/>
    <s v="MERCADORIAS PARA REVENDA"/>
  </r>
  <r>
    <x v="39"/>
    <s v="OUTUBRO"/>
    <s v="HSERV TERCEIRIZADOS"/>
    <s v="LOTUS CENTRAL DE DISTRIBUICAO DE HIGIENICOS LTDA"/>
    <n v="-827.13995"/>
    <x v="0"/>
    <s v="MERCADORIAS PARA REVENDA"/>
  </r>
  <r>
    <x v="39"/>
    <s v="OUTUBRO"/>
    <s v="HSERV CABREUVA"/>
    <s v="HSERV CABREUVA- GUIA INSS Samuel de Souza Câmara 1001012-96.2023.5.02.0211"/>
    <n v="-5048.21"/>
    <x v="0"/>
    <s v="ACORDO TRABALHISTA"/>
  </r>
  <r>
    <x v="39"/>
    <s v="OUTUBRO"/>
    <s v="HSERV CLEAN"/>
    <s v="BANCO SAFRA S A"/>
    <n v="-279"/>
    <x v="0"/>
    <s v="TARIFAS BANCARIAS"/>
  </r>
  <r>
    <x v="39"/>
    <s v="OUTUBRO"/>
    <s v="HSERV COMBINADOS"/>
    <s v="ALCIDES PEREIRA DE SOUZA"/>
    <n v="-349.5"/>
    <x v="0"/>
    <s v="VALE TRANSPORTE"/>
  </r>
  <r>
    <x v="39"/>
    <s v="OUTUBRO"/>
    <s v="HSERV COMBINADOS"/>
    <s v="ROSICLEI ALVES DE OLIVEIRA"/>
    <n v="-86.1"/>
    <x v="0"/>
    <s v="VALE TRANSPORTE"/>
  </r>
  <r>
    <x v="39"/>
    <s v="OUTUBRO"/>
    <s v="HSERV COMBINADOS"/>
    <s v="ROSANGELA CAMPOS PERROUD"/>
    <n v="-184.5"/>
    <x v="0"/>
    <s v="VALE TRANSPORTE"/>
  </r>
  <r>
    <x v="39"/>
    <s v="OUTUBRO"/>
    <s v="HSERV COMBINADOS"/>
    <s v="ROSEMEIRE VIEIRA BEZERRA"/>
    <n v="-184.5"/>
    <x v="0"/>
    <s v="VALE TRANSPORTE"/>
  </r>
  <r>
    <x v="39"/>
    <s v="OUTUBRO"/>
    <s v="HSERV TERCEIRIZADOS ND"/>
    <s v="_x0009_ENCARGOS LIMITE DE CRED- HSERV TERCERIZADOS BRADESCO "/>
    <n v="-900"/>
    <x v="0"/>
    <s v="ENCARGOS"/>
  </r>
  <r>
    <x v="29"/>
    <s v="OUTUBRO"/>
    <s v="VITOR DUARTE"/>
    <s v="54.055.078 MATHEUS PEIXOTO DE OLIVEIRA"/>
    <n v="-2000"/>
    <x v="0"/>
    <s v="TI"/>
  </r>
  <r>
    <x v="29"/>
    <s v="OUTUBRO"/>
    <s v="VITOR DUARTE"/>
    <s v="ADEMIR- IMPRESSÃO E IMPRESSORA"/>
    <n v="-50"/>
    <x v="0"/>
    <s v="TI"/>
  </r>
  <r>
    <x v="88"/>
    <s v="OUTUBRO"/>
    <s v="HSERV CABREUVA"/>
    <s v="ANJO AZUL ALARMES"/>
    <n v="-1114.33"/>
    <x v="0"/>
    <s v="SISTEMA"/>
  </r>
  <r>
    <x v="86"/>
    <s v="OUTUBRO"/>
    <s v="HSERV CABREUVA"/>
    <s v="ASSIDUIDADE"/>
    <n v="-47000"/>
    <x v="0"/>
    <s v="ASSIDUIDADE"/>
  </r>
  <r>
    <x v="18"/>
    <s v="SETEMBRO"/>
    <s v="HSERV TERCEIRIZADOS"/>
    <s v="ESCOBRAS INDUSTRIA E COMERCIO DE MAQUINAS LTDA"/>
    <n v="-1400"/>
    <x v="0"/>
    <s v="MERCADORIAS PARA REVENDA"/>
  </r>
  <r>
    <x v="18"/>
    <s v="SETEMBRO"/>
    <s v="HSERV TERCEIRIZADOS"/>
    <s v="GLOVAN CABREUVA ALUGUEL DE EQUIPAMENTOS LTDA"/>
    <n v="-35.299999999999997"/>
    <x v="0"/>
    <s v="EQUIPAMENTOS"/>
  </r>
  <r>
    <x v="18"/>
    <s v="SETEMBRO"/>
    <s v="HSERV COMBINADOS"/>
    <s v="ELAINE BARBOSA DE SOUSA"/>
    <n v="-168"/>
    <x v="0"/>
    <s v="VALE TRANSPORTE"/>
  </r>
  <r>
    <x v="18"/>
    <s v="SETEMBRO"/>
    <s v="HSERV COMBINADOS"/>
    <s v="FRANCISCO GALILEU DA COSTA SILVA"/>
    <n v="-220"/>
    <x v="0"/>
    <s v="VALE TRANSPORTE"/>
  </r>
  <r>
    <x v="18"/>
    <s v="SETEMBRO"/>
    <s v="HSERV COMBINADOS"/>
    <s v="JOAO CAETANO GUEDES"/>
    <n v="-180"/>
    <x v="0"/>
    <s v="VALE TRANSPORTE"/>
  </r>
  <r>
    <x v="18"/>
    <s v="SETEMBRO"/>
    <s v="HSERV COMBINADOS"/>
    <s v="MARLY DA SILVA"/>
    <n v="-147"/>
    <x v="0"/>
    <s v="VALE TRANSPORTE"/>
  </r>
  <r>
    <x v="18"/>
    <s v="SETEMBRO"/>
    <s v="HSERV COMBINADOS"/>
    <s v="LUANA RODRIGUES DOS REIS"/>
    <n v="-163.19999999999999"/>
    <x v="0"/>
    <s v="VALE TRANSPORTE"/>
  </r>
  <r>
    <x v="18"/>
    <s v="SETEMBRO"/>
    <s v="HSERV TERCEIRIZADOS"/>
    <s v="JOSE CICERO DOS SANTOS COSTA"/>
    <n v="-3410.83"/>
    <x v="0"/>
    <s v="RESCISÕES"/>
  </r>
  <r>
    <x v="18"/>
    <s v="SETEMBRO"/>
    <s v="VITOR DUARTE"/>
    <s v="IFOOD.COM AGENCIA DE RESTAURANTES ONLINE S.A."/>
    <n v="-290.64"/>
    <x v="0"/>
    <s v="VALE ALIMENTAÇAO"/>
  </r>
  <r>
    <x v="18"/>
    <s v="SETEMBRO"/>
    <s v="VITOR DUARTE"/>
    <s v="ELIZABETH SEMENSSATO LEITE"/>
    <n v="-1759.52"/>
    <x v="0"/>
    <s v="RESCISÕES"/>
  </r>
  <r>
    <x v="18"/>
    <s v="SETEMBRO"/>
    <s v="VITOR DUARTE"/>
    <s v="GRRF ELIZABETH SEMENSSATO LEITE"/>
    <n v="-101.87"/>
    <x v="0"/>
    <s v="RESCISÕES"/>
  </r>
  <r>
    <x v="89"/>
    <s v="OUTUBRO"/>
    <s v="HSERV CABREUVA"/>
    <s v="ASOMETRA"/>
    <n v="-4500"/>
    <x v="0"/>
    <s v="EXAMES MEDICOS"/>
  </r>
  <r>
    <x v="90"/>
    <s v="OUTUBRO"/>
    <s v="HSERV CABREUVA"/>
    <s v="AUTO POSTO JARDIM DAS HORTENCI"/>
    <n v="-6318.09"/>
    <x v="0"/>
    <s v="COMBUSTIVEL E PEDAGIO"/>
  </r>
  <r>
    <x v="41"/>
    <s v="OUTUBRO"/>
    <s v="HSERV CABREUVA"/>
    <s v="AUTO POSTO JARDIM DAS HORTENCI"/>
    <n v="-9000"/>
    <x v="0"/>
    <s v="COMBUSTIVEL E PEDAGIO"/>
  </r>
  <r>
    <x v="79"/>
    <s v="OUTUBRO"/>
    <s v="VITOR DUARTE"/>
    <s v="AVENIDA "/>
    <n v="341420.9"/>
    <x v="1"/>
    <s v="VENDAS DE SERVIÇOS"/>
  </r>
  <r>
    <x v="87"/>
    <s v="OUTUBRO"/>
    <s v="HSERV CABREUVA"/>
    <s v="BANCO ITAUCARD S.A.- "/>
    <n v="-3809.98"/>
    <x v="0"/>
    <s v="FINANCIAMENTO"/>
  </r>
  <r>
    <x v="78"/>
    <s v="OUTUBRO"/>
    <s v="TERCEIRIZADOS"/>
    <s v="BELLART"/>
    <n v="17956.39"/>
    <x v="1"/>
    <s v="VENDAS DE SERVIÇOS"/>
  </r>
  <r>
    <x v="78"/>
    <s v="OUTUBRO"/>
    <s v="HSERV CABREUVA"/>
    <s v="BENEFICIO SOCIALVENCIDA"/>
    <n v="-4500"/>
    <x v="0"/>
    <s v="SINDICATO"/>
  </r>
  <r>
    <x v="38"/>
    <s v="OUTUBRO"/>
    <s v="CABREUVA"/>
    <s v="BOA"/>
    <n v="816717.89"/>
    <x v="1"/>
    <s v="VENDAS DE SERVIÇOS"/>
  </r>
  <r>
    <x v="86"/>
    <s v="OUTUBRO"/>
    <s v="VITOR DUARTE"/>
    <s v="BOLETO OTAVIO"/>
    <n v="-21000"/>
    <x v="0"/>
    <s v="PROLABORE"/>
  </r>
  <r>
    <x v="45"/>
    <s v="SETEMBRO"/>
    <s v="HENRIQUE JEAN"/>
    <s v="PAULO CEZAR FERREIRA DOS SANTOS-PROC 0012427-44.2024.5.15.0002 -MARIA NAZARE DA SILVA PARCELA 2/10"/>
    <n v="-1500"/>
    <x v="0"/>
    <s v="ACORDO TRABALHISTA"/>
  </r>
  <r>
    <x v="45"/>
    <s v="SETEMBRO"/>
    <s v="HSERV REPRESENTACOES"/>
    <s v="ASOMETRA ENGENHARIA DE SEGURANÇA -VENCIDO 20/08/2025"/>
    <n v="-633.67999999999995"/>
    <x v="0"/>
    <s v="EXAMES MEDICOS"/>
  </r>
  <r>
    <x v="45"/>
    <s v="SETEMBRO"/>
    <s v="HSERV  LIMPEZA "/>
    <s v="ASOMETRA ENGENHARIA DE SEGURANÇA -VENCIDO 20/08/2025"/>
    <n v="-403.62"/>
    <x v="0"/>
    <s v="EXAMES MEDICOS"/>
  </r>
  <r>
    <x v="45"/>
    <s v="SETEMBRO"/>
    <s v="HSERV TERCEIRIZADOS"/>
    <s v="ASOMETRA ENGENHARIA DE SEGURANÇA -VENCIDO 20/08/2025"/>
    <n v="-455.51"/>
    <x v="0"/>
    <s v="EXAMES MEDICOS"/>
  </r>
  <r>
    <x v="45"/>
    <s v="SETEMBRO"/>
    <s v="HSERV TECNOLOGIA"/>
    <s v="ASOMETRA ENGENHARIA DE SEGURANÇA -VENCIDO 20/08/2025"/>
    <n v="-420.91"/>
    <x v="0"/>
    <s v="EXAMES MEDICOS"/>
  </r>
  <r>
    <x v="45"/>
    <s v="SETEMBRO"/>
    <s v="H SERV CLEAN"/>
    <s v="ASOMETRA ENGENHARIA DE SEGURANÇA -VENCIDO 20/08/2025"/>
    <n v="-340.97"/>
    <x v="0"/>
    <s v="EXAMES MEDICOS"/>
  </r>
  <r>
    <x v="45"/>
    <s v="SETEMBRO"/>
    <s v="HENRIQUE JEAN "/>
    <s v="ASOMETRA ENGENHARIA DE SEGURANÇA -VENCIDO 20/08/2025"/>
    <n v="-98.7"/>
    <x v="0"/>
    <s v="EXAMES MEDICOS"/>
  </r>
  <r>
    <x v="45"/>
    <s v="SETEMBRO"/>
    <s v="HSERV CABREUVA"/>
    <s v="ASOMETRA ENGENHARIA DE SEGURANÇA -VENCIDO 20/08/2025"/>
    <n v="-240.21"/>
    <x v="0"/>
    <s v="EXAMES MEDICOS"/>
  </r>
  <r>
    <x v="45"/>
    <s v="SETEMBRO"/>
    <s v="HSERV COMBINADOS "/>
    <s v="ASOMETRA ENGENHARIA DE SEGURANÇA -VENCIDO 20/08/2025"/>
    <n v="-435.92"/>
    <x v="0"/>
    <s v="EXAMES MEDICOS"/>
  </r>
  <r>
    <x v="45"/>
    <s v="SETEMBRO"/>
    <s v="VITOR  DUARTE "/>
    <s v="ASOMETRA ENGENHARIA DE SEGURANÇA -VENCIDO 20/08/2025"/>
    <n v="-844.52"/>
    <x v="0"/>
    <s v="EXAMES MEDICOS"/>
  </r>
  <r>
    <x v="45"/>
    <s v="SETEMBRO"/>
    <s v="HSERV CABREUVA"/>
    <s v="AUREA MOSCATINI-PROC 0012313-20.2024.5.15.0095  - GABRIEL BARBOSA DOS SANTOS   PARCELA 2/5"/>
    <n v="-1000"/>
    <x v="0"/>
    <s v="ACORDO TRABALHISTA"/>
  </r>
  <r>
    <x v="45"/>
    <s v="SETEMBRO"/>
    <s v="HSERV CLEAN"/>
    <s v="SANTOS SEPULVEDA SOCIEDADE INDIVIDUAL DE ADVOCACIA-PROC  0011475-02.2023.5.15.0002 RECLAMANTE: ANA CAROLINA DOS SANTOS PARCELA 2/10"/>
    <n v="-3800"/>
    <x v="0"/>
    <s v="ACORDO TRABALHISTA"/>
  </r>
  <r>
    <x v="45"/>
    <s v="SETEMBRO"/>
    <s v="HENRIQUE JEAN"/>
    <s v="FABIANA DE SOUZA CULBERT SOCIEDADE INDIVIDUAL DE ADVOCACIA- PROC 0010360-81.2025.5.15.0096PAULO EDVAN HAHNE -PARCELA 2/6"/>
    <n v="-1000"/>
    <x v="0"/>
    <s v="ACORDO TRABALHISTA"/>
  </r>
  <r>
    <x v="45"/>
    <s v="SETEMBRO"/>
    <s v="HSERV CABREUVA"/>
    <s v="HSERV-CUSTA Jadison Souza Fontes 0012166-65.2023.5.15.0018"/>
    <n v="-40"/>
    <x v="0"/>
    <s v="ACORDO TRABALHISTA"/>
  </r>
  <r>
    <x v="39"/>
    <s v="OUTUBRO"/>
    <s v="HSERV COMBINADOS"/>
    <s v="HSERV  COMBINADOS DE FACILITIES-GUIA INSS   0011590-34.2021.5.15.0021 MARIA ANA ALVES DE OLIVEIRA"/>
    <n v="-2079.2399999999998"/>
    <x v="0"/>
    <s v="ACORDO TRABALHISTA"/>
  </r>
  <r>
    <x v="45"/>
    <s v="SETEMBRO"/>
    <s v="VITOR DUARTE"/>
    <s v="ALTOLIM COMERCIAL ASSIS EIRELI - NF 40.912"/>
    <n v="-136.44"/>
    <x v="0"/>
    <s v="MERCADORIAS PARA REVENDA"/>
  </r>
  <r>
    <x v="45"/>
    <s v="SETEMBRO"/>
    <s v="VITOR DUARTE"/>
    <s v="GRRF FABIO NOGUEIRA DA SILVA LOPES"/>
    <n v="-240.59"/>
    <x v="0"/>
    <s v="RESCISÕES"/>
  </r>
  <r>
    <x v="45"/>
    <s v="SETEMBRO"/>
    <s v="HSERV TERCEIRIZADOS"/>
    <s v="STAR CLEAN PRO INDUSTRIA E COMERCIO DE EQUIPAMENTOS DE LIMPEZA- NF 11.580"/>
    <n v="-1101.8399999999999"/>
    <x v="0"/>
    <s v="MERCADORIAS PARA REVENDA"/>
  </r>
  <r>
    <x v="45"/>
    <s v="SETEMBRO"/>
    <s v="HSERV CLEAN"/>
    <s v="J.E. COMERCIO E SOLUCOES LTDA NF 11970"/>
    <n v="-2510.4499999999998"/>
    <x v="0"/>
    <s v="MERCADORIAS PARA REVENDA"/>
  </r>
  <r>
    <x v="45"/>
    <s v="SETEMBRO"/>
    <s v="HSERV TERCEIRIZADOS"/>
    <s v="PAROLAR DIST DE UTENSILIOS DOMESTICOS LTDA NF 214.721"/>
    <n v="-354.28"/>
    <x v="0"/>
    <s v="MERCADORIAS PARA REVENDA"/>
  </r>
  <r>
    <x v="45"/>
    <s v="SETEMBRO"/>
    <s v="HSERV LTDA"/>
    <s v="SSMPT - VALINHOS- EXAME ADMISSIONAL - JEFFERSON DA CUNHA FERREIRA"/>
    <n v="-70"/>
    <x v="0"/>
    <s v="EXAMES MEDICOS"/>
  </r>
  <r>
    <x v="45"/>
    <s v="SETEMBRO"/>
    <s v="HENRIQUE JEAN"/>
    <s v="CENTRO DE SEGURANCA OCUPACIONAL LTDA EXAME PERIODICO E RETORNO AO TRABALHO - JUSCELENE CORREA"/>
    <n v="-165"/>
    <x v="0"/>
    <s v="EXAMES MEDICOS"/>
  </r>
  <r>
    <x v="45"/>
    <s v="SETEMBRO"/>
    <s v="HSERV TECNOLOGIA"/>
    <s v="CAIXA CARTOES PRE-PAGOS S.A."/>
    <n v="-2487.16"/>
    <x v="0"/>
    <s v="VALE TRANSPORTE"/>
  </r>
  <r>
    <x v="45"/>
    <s v="SETEMBRO"/>
    <s v="HSERV COMBINADOS"/>
    <s v="CONDOMINIO DE CONSTRUCAO DO EDIFICIO COMERCIAL-ACORDO RATEIO EM ATRASO CBM TOWER-PARCELA 1/8"/>
    <n v="-2517.84"/>
    <x v="0"/>
    <s v="APORTE"/>
  </r>
  <r>
    <x v="45"/>
    <s v="SETEMBRO"/>
    <s v="HSERV COMBINADOS"/>
    <s v="CONDOMINIO DE CONSTRUCAO DO EDIFICIO COMERCIAL ACORDO COTA CONDOMINIAL CBM TOWER PARCEL 1/8"/>
    <n v="-355"/>
    <x v="0"/>
    <s v="APORTE"/>
  </r>
  <r>
    <x v="45"/>
    <s v="SETEMBRO"/>
    <s v="HSERV TERCERIZADOS"/>
    <s v="CERTIDÃO DE INTERIO TEOR - PARA EMISSÃO DE CONTRATO SOCIAL ATUALIZADO HSERV TERCERIZADOS "/>
    <n v="-70.34"/>
    <x v="0"/>
    <s v="DOCUMENTOS"/>
  </r>
  <r>
    <x v="45"/>
    <s v="SETEMBRO"/>
    <s v="HSERV TECNOLOGIA"/>
    <s v="CERTIDÃO DE INTERIO TEOR - PARA EMISSÃO DE CONTRATO SOCIAL ATUALIZADO HSERV TECNOLOGIA "/>
    <n v="-70.34"/>
    <x v="0"/>
    <s v="DOCUMENTOS"/>
  </r>
  <r>
    <x v="45"/>
    <s v="SETEMBRO"/>
    <s v="HSERV COMBINADOS"/>
    <s v="GISELE RODRIGUES DOS SANTOS-REEMBOLSO DE KM - AUDIENCIA PROCESSO ANA CAROLINA DIA 06/08/2025"/>
    <n v="-61.28"/>
    <x v="0"/>
    <s v="MERCADORIAS PARA REVENDA"/>
  </r>
  <r>
    <x v="45"/>
    <s v="SETEMBRO"/>
    <s v="HSERV CABREUVA"/>
    <s v="BRADESCO -RENEGOCIAÇÃO DO EMPRESTIMO PARCELA 09/24"/>
    <n v="-35714.57"/>
    <x v="0"/>
    <s v="EMPRESTIMO "/>
  </r>
  <r>
    <x v="41"/>
    <s v="OUTUBRO"/>
    <s v="HSERV CABREUVA"/>
    <s v="BRADESCO "/>
    <n v="-35714.57"/>
    <x v="0"/>
    <s v="EMPRESTIMO "/>
  </r>
  <r>
    <x v="90"/>
    <s v="OUTUBRO"/>
    <s v="HSERV COMBINADOS "/>
    <s v="BRASIL MEDICINE - PROVISÃO "/>
    <n v="-9000"/>
    <x v="0"/>
    <s v="SINDICATO"/>
  </r>
  <r>
    <x v="39"/>
    <s v="OUTUBRO"/>
    <s v="HSERV COMBINADOS"/>
    <s v="CONFIMED MEDICINA OCUPACIONAL LTDA-EXAME RETORNO AO TRABALHO - ANA CLAUDIA XAVIER"/>
    <n v="-40"/>
    <x v="0"/>
    <s v="EXAMES MEDICOS"/>
  </r>
  <r>
    <x v="39"/>
    <s v="OUTUBRO"/>
    <s v="VITOR DUARTE"/>
    <s v="FOCO CENTRO MEDICO PEDREIRA LTDA-EXAME ADMISSIONAL - Antonio Divino Donato Bartholomeu"/>
    <n v="-130"/>
    <x v="0"/>
    <s v="EXAMES MEDICOS"/>
  </r>
  <r>
    <x v="39"/>
    <s v="OUTUBRO"/>
    <s v="HSERV COMBINADOS "/>
    <s v="CAIXINHA OPERACIONAL "/>
    <n v="-1500"/>
    <x v="0"/>
    <s v="CAIXINHA"/>
  </r>
  <r>
    <x v="39"/>
    <s v="OUTUBRO"/>
    <s v="HSERV COMBINADOS "/>
    <s v="CAIXINHA OPERACIONAL - OSSIRES"/>
    <n v="-1500"/>
    <x v="0"/>
    <s v="CAIXINHA"/>
  </r>
  <r>
    <x v="86"/>
    <s v="OUTUBRO"/>
    <s v="HENRIQUE JEAN"/>
    <s v="CARTÃO DE CREDITO"/>
    <n v="-2302.0500000000002"/>
    <x v="0"/>
    <s v="CARTÃO DE CREDITO"/>
  </r>
  <r>
    <x v="86"/>
    <s v="OUTUBRO"/>
    <s v="HSERV COMBINADOS"/>
    <s v="CARTÃO DE CREDITO"/>
    <n v="-1248.99"/>
    <x v="0"/>
    <s v="CARTÃO DE CREDITO"/>
  </r>
  <r>
    <x v="86"/>
    <s v="OUTUBRO"/>
    <s v="VITOR DUARTE"/>
    <s v="CARTAO DE CRÉDITO-"/>
    <n v="-12000"/>
    <x v="0"/>
    <s v="CARTÃO DE CREDITO"/>
  </r>
  <r>
    <x v="90"/>
    <s v="OUTUBRO"/>
    <s v="HSERV TERCERIZADOS ND"/>
    <s v="CARTÃO DE CREDITO -PESSOAL  VITOR"/>
    <n v="-1917.95"/>
    <x v="0"/>
    <s v="PROLABORE"/>
  </r>
  <r>
    <x v="91"/>
    <s v="OUTUBRO"/>
    <s v="HSERV COMBINADOS"/>
    <s v="CEF MATRIZ-EMPRESTIMO HSERV COMBINADOS VENCIDO"/>
    <n v="-7000"/>
    <x v="0"/>
    <s v="EMPRESTIMO "/>
  </r>
  <r>
    <x v="91"/>
    <s v="OUTUBRO"/>
    <s v="HENRIQUE JEAN"/>
    <s v="CEF MATRIZ--EMPRESTIMO HENRIQUE IEAN VENCIDO "/>
    <n v="-7000"/>
    <x v="0"/>
    <s v="EMPRESTIMO "/>
  </r>
  <r>
    <x v="86"/>
    <s v="OUTUBRO"/>
    <s v="HENRIQUE JEAN ND"/>
    <s v="CELIO ROBERTO"/>
    <n v="-877.96"/>
    <x v="0"/>
    <s v="RESERVA"/>
  </r>
  <r>
    <x v="29"/>
    <s v="OUTUBRO"/>
    <s v="HENRIQUE JEAN ND"/>
    <s v="CELIO ROBERTO"/>
    <n v="-5000"/>
    <x v="0"/>
    <s v="RESERVA"/>
  </r>
  <r>
    <x v="89"/>
    <s v="OUTUBRO"/>
    <s v="VITOR DUARTE"/>
    <s v="CHEQUES DR DUARTE"/>
    <n v="-9980"/>
    <x v="0"/>
    <s v="PROLABORE"/>
  </r>
  <r>
    <x v="92"/>
    <s v="OUTUBRO"/>
    <s v="VITOR DUARTE"/>
    <s v="CHEQUES DR DUARTE"/>
    <n v="-9980"/>
    <x v="0"/>
    <s v="PROLABORE"/>
  </r>
  <r>
    <x v="29"/>
    <s v="OUTUBRO"/>
    <s v="VITOR DUARTE"/>
    <s v="CHEQUES DR DUARTE"/>
    <n v="-23498.18"/>
    <x v="0"/>
    <s v="PROLABORE"/>
  </r>
  <r>
    <x v="93"/>
    <s v="OUTUBRO"/>
    <s v="HSERV CLEAN"/>
    <s v="SPARTAN DO BRASIL PRODUTOS QUIMICOS LTDA"/>
    <n v="-4057.4"/>
    <x v="0"/>
    <s v="MERCADORIAS PARA REVENDA"/>
  </r>
  <r>
    <x v="93"/>
    <s v="OUTUBRO"/>
    <s v="HSERV TERCEIRIZADOS"/>
    <s v="STAR CLEAN PRO INDUSTRIA E COMERCIO DE EQUIPAMENTOS DE LIMPE"/>
    <n v="-643.77007900000001"/>
    <x v="0"/>
    <s v="MERCADORIAS PARA REVENDA"/>
  </r>
  <r>
    <x v="93"/>
    <s v="OUTUBRO"/>
    <s v="HSERV TERCEIRIZADOS"/>
    <s v="LOTUS CENTRAL DE DISTRIBUICAO DE HIGIENICOS LTDA"/>
    <n v="-1420.97"/>
    <x v="0"/>
    <s v="MERCADORIAS PARA REVENDA"/>
  </r>
  <r>
    <x v="93"/>
    <s v="OUTUBRO"/>
    <s v="VITOR DUARTE"/>
    <s v="ALTOLIM COMERCIAL ASSIS EIRELI - ME"/>
    <n v="-9.8528009999999995"/>
    <x v="0"/>
    <s v="MERCADORIAS PARA REVENDA"/>
  </r>
  <r>
    <x v="93"/>
    <s v="OUTUBRO"/>
    <s v="VITOR DUARTE"/>
    <s v="ALTOLIM COMERCIAL ASSIS EIRELI - ME"/>
    <n v="-55.277199000000003"/>
    <x v="0"/>
    <s v="MERCADORIAS PARA REVENDA"/>
  </r>
  <r>
    <x v="93"/>
    <s v="OUTUBRO"/>
    <s v="HSERV TERCEIRIZADOS"/>
    <s v="RFP MATERIAIS PARA CONSTRUCAO LTDA"/>
    <n v="-427.46"/>
    <x v="0"/>
    <s v="MANUTENÇAO"/>
  </r>
  <r>
    <x v="93"/>
    <s v="OUTUBRO"/>
    <s v="VITOR DUARTE"/>
    <s v="CLARO S/A"/>
    <n v="-1700"/>
    <x v="0"/>
    <s v="TELEFONE"/>
  </r>
  <r>
    <x v="68"/>
    <s v="OUTUBRO"/>
    <s v="CABREUVA"/>
    <s v="CONDOMINIO PALAZZO VENEZA"/>
    <n v="4880.1400000000003"/>
    <x v="1"/>
    <s v="VENDAS DE SERVIÇOS"/>
  </r>
  <r>
    <x v="87"/>
    <s v="OUTUBRO"/>
    <s v="HSERV CABREUVA "/>
    <s v="CREDIFIT"/>
    <n v="-3000"/>
    <x v="0"/>
    <s v="CONSIGNADO"/>
  </r>
  <r>
    <x v="88"/>
    <s v="OUTUBRO"/>
    <s v="VITOR DUARTE"/>
    <s v="DARF DE COFINS, PIS- LUCRO  PRESUMIDO HSERV CABREUVA"/>
    <n v="-3000"/>
    <x v="0"/>
    <s v="IMPOSTO"/>
  </r>
  <r>
    <x v="88"/>
    <s v="OUTUBRO"/>
    <s v="VITOR DUARTE"/>
    <s v="DARF DE COFINS, PIS- LUCRO REAL EMPRESA VITOR"/>
    <n v="-15000"/>
    <x v="0"/>
    <s v="IMPOSTO"/>
  </r>
  <r>
    <x v="88"/>
    <s v="OUTUBRO"/>
    <s v="HSERV CABREUVA"/>
    <s v="DARF INSS-TODAS EMPRESAS"/>
    <n v="-50000"/>
    <x v="0"/>
    <s v="IMPOSTO"/>
  </r>
  <r>
    <x v="68"/>
    <s v="OUTUBRO"/>
    <s v="VITOR"/>
    <s v="DEPOSITO SANTA CATARINA LTDA"/>
    <n v="257.81"/>
    <x v="1"/>
    <s v="VENDAS DE SERVIÇOS"/>
  </r>
  <r>
    <x v="29"/>
    <s v="OUTUBRO"/>
    <s v="VITOR DUARTE"/>
    <s v="DEVOLUÇÃO APORTE VITOR - APORTE "/>
    <n v="-56900"/>
    <x v="0"/>
    <s v="APORTE"/>
  </r>
  <r>
    <x v="33"/>
    <s v="NOVEMBRO"/>
    <s v="VITOR DUARTE"/>
    <s v="DEVOLUÇÃO APORTE VITOR - APORTE "/>
    <n v="-56900"/>
    <x v="0"/>
    <s v="APORTE"/>
  </r>
  <r>
    <x v="79"/>
    <s v="OUTUBRO"/>
    <s v="LIMPEZA"/>
    <s v="EDMAR APARECIDO MARTINEZ"/>
    <n v="1200"/>
    <x v="1"/>
    <s v="VENDAS DE SERVIÇOS"/>
  </r>
  <r>
    <x v="79"/>
    <s v="OUTUBRO"/>
    <s v="LIMPEZA"/>
    <s v="EDMAR APARECIDO MARTINEZ"/>
    <n v="799.2"/>
    <x v="1"/>
    <s v="VENDAS DE SERVIÇOS"/>
  </r>
  <r>
    <x v="79"/>
    <s v="OUTUBRO"/>
    <s v="LIMPEZA"/>
    <s v="EDMAR APARECIDO MARTINEZ"/>
    <n v="18532.8"/>
    <x v="1"/>
    <s v="VENDAS DE SERVIÇOS"/>
  </r>
  <r>
    <x v="79"/>
    <s v="OUTUBRO"/>
    <s v="HSERV CABREUVA"/>
    <s v="ELEKTRO LOJA CLEAN"/>
    <n v="-202.51"/>
    <x v="0"/>
    <s v="ENERGIA ELETRICA"/>
  </r>
  <r>
    <x v="79"/>
    <s v="OUTUBRO"/>
    <s v="HSERV CABREUVA"/>
    <s v="ELEKTRO SALA 16"/>
    <n v="-437.54"/>
    <x v="0"/>
    <s v="ENERGIA ELETRICA"/>
  </r>
  <r>
    <x v="79"/>
    <s v="OUTUBRO"/>
    <s v="HSERV CABREUVA"/>
    <s v="ELEKTRO SALA 17"/>
    <n v="-284.22000000000003"/>
    <x v="0"/>
    <s v="ENERGIA ELETRICA"/>
  </r>
  <r>
    <x v="79"/>
    <s v="OUTUBRO"/>
    <s v="HSERV CABREUVA"/>
    <s v="ELEKTRO SALA 18"/>
    <n v="-138.03"/>
    <x v="0"/>
    <s v="ENERGIA ELETRICA"/>
  </r>
  <r>
    <x v="78"/>
    <s v="OUTUBRO"/>
    <s v="HENRIQUE JEAN"/>
    <s v="EMPORIO MEGA 100 COMERCIO DE ALIMENTOS S.A."/>
    <n v="-1239.92"/>
    <x v="0"/>
    <s v="CESTA BASICA"/>
  </r>
  <r>
    <x v="78"/>
    <s v="OUTUBRO"/>
    <s v="HSERV CABREUVA"/>
    <s v="EMPORIO MEGA 100 COMERCIO DE ALIMENTOS S.A."/>
    <n v="-1627.39"/>
    <x v="0"/>
    <s v="CESTA BASICA"/>
  </r>
  <r>
    <x v="78"/>
    <s v="OUTUBRO"/>
    <s v="HSERV CLEAN"/>
    <s v="EMPORIO MEGA 100 COMERCIO DE ALIMENTOS S.A."/>
    <n v="-1162.42"/>
    <x v="0"/>
    <s v="CESTA BASICA"/>
  </r>
  <r>
    <x v="78"/>
    <s v="OUTUBRO"/>
    <s v="HSERV CLEAN"/>
    <s v="EMPORIO MEGA 100 COMERCIO DE ALIMENTOS S.A."/>
    <n v="-3099.8"/>
    <x v="0"/>
    <s v="CESTA BASICA"/>
  </r>
  <r>
    <x v="78"/>
    <s v="OUTUBRO"/>
    <s v="HSERV COMBINADOS"/>
    <s v="EMPORIO MEGA 100 COMERCIO DE ALIMENTOS S.A."/>
    <n v="-3564.77"/>
    <x v="0"/>
    <s v="CESTA BASICA"/>
  </r>
  <r>
    <x v="78"/>
    <s v="OUTUBRO"/>
    <s v="HSERV LIMPEZA"/>
    <s v="EMPORIO MEGA 100 COMERCIO DE ALIMENTOS S.A."/>
    <n v="-929.94"/>
    <x v="0"/>
    <s v="CESTA BASICA"/>
  </r>
  <r>
    <x v="78"/>
    <s v="OUTUBRO"/>
    <s v="HSERV REPRESENTACOES"/>
    <s v="EMPORIO MEGA 100 COMERCIO DE ALIMENTOS S.A."/>
    <n v="-697.45"/>
    <x v="0"/>
    <s v="CESTA BASICA"/>
  </r>
  <r>
    <x v="78"/>
    <s v="OUTUBRO"/>
    <s v="HSERV TECNOLOGIA"/>
    <s v="EMPORIO MEGA 100 COMERCIO DE ALIMENTOS S.A."/>
    <n v="-2479.84"/>
    <x v="0"/>
    <s v="CESTA BASICA"/>
  </r>
  <r>
    <x v="78"/>
    <s v="OUTUBRO"/>
    <s v="HSERV TERCEIRIZADOS"/>
    <s v="EMPORIO MEGA 100 COMERCIO DE ALIMENTOS S.A."/>
    <n v="-1394.91"/>
    <x v="0"/>
    <s v="CESTA BASICA"/>
  </r>
  <r>
    <x v="78"/>
    <s v="OUTUBRO"/>
    <s v="VITOR DUARTE"/>
    <s v="EMPORIO MEGA 100 COMERCIO DE ALIMENTOS S.A."/>
    <n v="-619.96"/>
    <x v="0"/>
    <s v="CESTA BASICA"/>
  </r>
  <r>
    <x v="88"/>
    <s v="OUTUBRO"/>
    <s v="HENRIQUE JEAN"/>
    <s v="EMPORIO MEGA 100 COMERCIO DE ALIMENTOS S.A."/>
    <n v="-2324.85"/>
    <x v="0"/>
    <s v="CESTA BASICA"/>
  </r>
  <r>
    <x v="88"/>
    <s v="OUTUBRO"/>
    <s v="HSERV CABREUVA"/>
    <s v="EMPORIO MEGA 100 COMERCIO DE ALIMENTOS S.A."/>
    <n v="-2944.81"/>
    <x v="0"/>
    <s v="CESTA BASICA"/>
  </r>
  <r>
    <x v="88"/>
    <s v="OUTUBRO"/>
    <s v="HSERV CLEAN"/>
    <s v="EMPORIO MEGA 100 COMERCIO DE ALIMENTOS S.A."/>
    <n v="-2867.32"/>
    <x v="0"/>
    <s v="CESTA BASICA"/>
  </r>
  <r>
    <x v="88"/>
    <s v="OUTUBRO"/>
    <s v="HSERV CLEAN"/>
    <s v="EMPORIO MEGA 100 COMERCIO DE ALIMENTOS S.A."/>
    <n v="-852.45"/>
    <x v="0"/>
    <s v="CESTA BASICA"/>
  </r>
  <r>
    <x v="88"/>
    <s v="OUTUBRO"/>
    <s v="HSERV COMBINADOS"/>
    <s v="EMPORIO MEGA 100 COMERCIO DE ALIMENTOS S.A."/>
    <n v="-2789.82"/>
    <x v="0"/>
    <s v="CESTA BASICA"/>
  </r>
  <r>
    <x v="88"/>
    <s v="OUTUBRO"/>
    <s v="HSERV LIMPEZA"/>
    <s v="EMPORIO MEGA 100 COMERCIO DE ALIMENTOS S.A."/>
    <n v="-852.45"/>
    <x v="0"/>
    <s v="CESTA BASICA"/>
  </r>
  <r>
    <x v="88"/>
    <s v="OUTUBRO"/>
    <s v="HSERV REPRESENTACOES"/>
    <s v="EMPORIO MEGA 100 COMERCIO DE ALIMENTOS S.A."/>
    <n v="-619.96"/>
    <x v="0"/>
    <s v="CESTA BASICA"/>
  </r>
  <r>
    <x v="88"/>
    <s v="OUTUBRO"/>
    <s v="HSERV TECNOLOGIA"/>
    <s v="EMPORIO MEGA 100 COMERCIO DE ALIMENTOS S.A."/>
    <n v="-154.99"/>
    <x v="0"/>
    <s v="CESTA BASICA"/>
  </r>
  <r>
    <x v="88"/>
    <s v="OUTUBRO"/>
    <s v="HSERV TERCEIRIZADOS"/>
    <s v="EMPORIO MEGA 100 COMERCIO DE ALIMENTOS S.A."/>
    <n v="-852.45"/>
    <x v="0"/>
    <s v="CESTA BASICA"/>
  </r>
  <r>
    <x v="88"/>
    <s v="OUTUBRO"/>
    <s v="VITOR DUARTE"/>
    <s v="EMPORIO MEGA 100 COMERCIO DE ALIMENTOS S.A."/>
    <n v="-77.5"/>
    <x v="0"/>
    <s v="CESTA BASICA"/>
  </r>
  <r>
    <x v="94"/>
    <s v="OUTUBRO"/>
    <s v="HSERV CLEAN"/>
    <s v="EMPRESTIMO HSERV CLEAN BRADESCO -PARCELA MENSAL"/>
    <n v="-5523.75"/>
    <x v="0"/>
    <s v="EMPRESTIMO "/>
  </r>
  <r>
    <x v="86"/>
    <s v="OUTUBRO"/>
    <s v="HSERV COMBINADOS "/>
    <s v="ESTER CARDOZO"/>
    <n v="-1375"/>
    <x v="0"/>
    <s v="SALARIOS"/>
  </r>
  <r>
    <x v="87"/>
    <s v="OUTUBRO"/>
    <s v="HSERV CABREUVA"/>
    <s v="ESTER CARDOZO DE LIMA "/>
    <n v="-500"/>
    <x v="0"/>
    <s v="SALARIOS"/>
  </r>
  <r>
    <x v="29"/>
    <s v="OUTUBRO"/>
    <s v="HSERV CABREUVA"/>
    <s v="FÉRIAS- "/>
    <n v="-37000"/>
    <x v="0"/>
    <s v="FÉRIAS"/>
  </r>
  <r>
    <x v="88"/>
    <s v="OUTUBRO"/>
    <s v="HSERV CABREUVA"/>
    <s v="FGTS MENSAL"/>
    <n v="-55000"/>
    <x v="0"/>
    <s v="IMPOSTO"/>
  </r>
  <r>
    <x v="90"/>
    <s v="OUTUBRO"/>
    <s v="HENRIQUE JEAN ND"/>
    <s v="FIT ADM (VIDA NOVA) 34-07"/>
    <n v="-432"/>
    <x v="0"/>
    <s v="RESERVA"/>
  </r>
  <r>
    <x v="88"/>
    <s v="OUTUBRO"/>
    <s v="HSERV CABREUVA"/>
    <s v="FT 1 QUINZENA E PACOTES, RT"/>
    <n v="-110000"/>
    <x v="0"/>
    <s v="FT"/>
  </r>
  <r>
    <x v="90"/>
    <s v="OUTUBRO"/>
    <s v="HSERV COMBINADOS "/>
    <s v="FT 2 QUINZENA"/>
    <n v="-50000"/>
    <x v="0"/>
    <s v="FT"/>
  </r>
  <r>
    <x v="87"/>
    <s v="OUTUBRO"/>
    <s v="HSERV COMBINADOS "/>
    <s v="FT ASSIS E REGIÃO- "/>
    <n v="-7000"/>
    <x v="0"/>
    <s v="FT"/>
  </r>
  <r>
    <x v="88"/>
    <s v="OUTUBRO"/>
    <s v="HSERV CABREUVA"/>
    <s v="FT ASSIS E REGIÃO- "/>
    <n v="-8000"/>
    <x v="0"/>
    <s v="FT"/>
  </r>
  <r>
    <x v="95"/>
    <s v="OUTUBRO"/>
    <s v="HSERV COMBINADOS"/>
    <s v="CONDOMINIO DE CONSTRUCAO DO EDIFICIO COMERCIAL CBM TOWER"/>
    <n v="-2517.84"/>
    <x v="0"/>
    <s v="APORTE"/>
  </r>
  <r>
    <x v="96"/>
    <s v="NOVEMBRO"/>
    <s v="HSERV COMBINADOS"/>
    <s v="CONDOMINIO DE CONSTRUCAO DO EDIFICIO COMERCIAL CBM TOWER"/>
    <n v="-2517.84"/>
    <x v="0"/>
    <s v="APORTE"/>
  </r>
  <r>
    <x v="97"/>
    <s v="DEZEMBRO"/>
    <s v="HSERV COMBINADOS"/>
    <s v="CONDOMINIO DE CONSTRUCAO DO EDIFICIO COMERCIAL CBM TOWER"/>
    <n v="-2517.84"/>
    <x v="0"/>
    <s v="APORTE"/>
  </r>
  <r>
    <x v="95"/>
    <s v="OUTUBRO"/>
    <s v="HSERV COMBINADOS"/>
    <s v="CONDOMINIO DE CONSTRUCAO DO EDIFICIO COMERCIAL CBM TOWER"/>
    <n v="-355"/>
    <x v="0"/>
    <s v="APORTE"/>
  </r>
  <r>
    <x v="96"/>
    <s v="NOVEMBRO"/>
    <s v="HSERV COMBINADOS"/>
    <s v="CONDOMINIO DE CONSTRUCAO DO EDIFICIO COMERCIAL CBM TOWER"/>
    <n v="-355"/>
    <x v="0"/>
    <s v="APORTE"/>
  </r>
  <r>
    <x v="97"/>
    <s v="DEZEMBRO"/>
    <s v="HSERV COMBINADOS"/>
    <s v="CONDOMINIO DE CONSTRUCAO DO EDIFICIO COMERCIAL CBM TOWER"/>
    <n v="-355"/>
    <x v="0"/>
    <s v="APORTE"/>
  </r>
  <r>
    <x v="95"/>
    <s v="OUTUBRO"/>
    <s v="HSERV CLEAN"/>
    <s v="SPARTAN DO BRASIL PRODUTOS QUIMICOS LTDA"/>
    <n v="-4057.4"/>
    <x v="0"/>
    <s v="MERCADORIA PARA REVENDA"/>
  </r>
  <r>
    <x v="95"/>
    <s v="OUTUBRO"/>
    <s v="HSERV TERCEIRIZADOS"/>
    <s v="STAR CLEAN PRO INDUSTRIA E COMERCIO DE EQUIPAMENTOS DE LIMPE"/>
    <n v="-643.77007900000001"/>
    <x v="0"/>
    <s v="MERCADORIA PARA REVENDA"/>
  </r>
  <r>
    <x v="95"/>
    <s v="OUTUBRO"/>
    <s v="HENRIQUE JEAN"/>
    <s v="PAULO CEZAR FERREIRA DOS SANTOS PROC 0012427-44.2024.5.15.0002   AUTOR: MARIA NAZARE DA SILV- PARCELA 3/10"/>
    <n v="-1500"/>
    <x v="0"/>
    <s v="ACORDO TRABALHISTA"/>
  </r>
  <r>
    <x v="33"/>
    <s v="NOVEMBRO"/>
    <s v="HENRIQUE JEAN"/>
    <s v="PAULO CEZAR FERREIRA DOS SANTOS PROC 0012427-44.2024.5.15.0002   AUTOR: MARIA NAZARE DA SILV- PARCELA 4/10"/>
    <n v="-1500"/>
    <x v="0"/>
    <s v="ACORDO TRABALHISTA"/>
  </r>
  <r>
    <x v="97"/>
    <s v="DEZEMBRO"/>
    <s v="HENRIQUE JEAN"/>
    <s v="PAULO CEZAR FERREIRA DOS SANTOS PROC 0012427-44.2024.5.15.0002   AUTOR: MARIA NAZARE DA SILV- PARCELA 5/10"/>
    <n v="-1500"/>
    <x v="0"/>
    <s v="ACORDO TRABALHISTA"/>
  </r>
  <r>
    <x v="95"/>
    <s v="OUTUBRO"/>
    <s v="HENRIQUE JEAN"/>
    <s v="FABIANA DE SOUZA CULBERT SOCIEDADE INDIVIDUAL DE ADVOCACIA-PROC 0010360-81.2025.5.15.0096  AUTOR: PAULO EDVAN HAHNE  PARCELA 3/6"/>
    <n v="-1000"/>
    <x v="0"/>
    <s v="ACORDO TRABALHISTA"/>
  </r>
  <r>
    <x v="33"/>
    <s v="NOVEMBRO"/>
    <s v="HENRIQUE JEAN"/>
    <s v="FABIANA DE SOUZA CULBERT SOCIEDADE INDIVIDUAL DE ADVOCACIA-PROC 0010360-81.2025.5.15.0096  AUTOR: PAULO EDVAN HAHNE  PARCELA 3/6"/>
    <n v="-1000"/>
    <x v="0"/>
    <s v="ACORDO TRABALHISTA"/>
  </r>
  <r>
    <x v="97"/>
    <s v="DEZEMBRO"/>
    <s v="HENRIQUE JEAN"/>
    <s v="FABIANA DE SOUZA CULBERT SOCIEDADE INDIVIDUAL DE ADVOCACIA-PROC 0010360-81.2025.5.15.0096  AUTOR: PAULO EDVAN HAHNE  PARCELA 3/6"/>
    <n v="-1000"/>
    <x v="0"/>
    <s v="ACORDO TRABALHISTA"/>
  </r>
  <r>
    <x v="95"/>
    <s v="OUTUBRO"/>
    <s v="HSERV CABREUVA"/>
    <s v="AUREA MOSCATINI PROC 0012313-20.2024.5.15.0095   AUTOR: GABRIEL BARBOSA DOS SANTOS-PARCELA 3/5"/>
    <n v="-1000"/>
    <x v="0"/>
    <s v="ACORDO TRABALHISTA"/>
  </r>
  <r>
    <x v="33"/>
    <s v="NOVEMBRO"/>
    <s v="HSERV CABREUVA"/>
    <s v="AUREA MOSCATINI PROC 0012313-20.2024.5.15.0095   AUTOR: GABRIEL BARBOSA DOS SANTOS-PARCELA 3/5"/>
    <n v="-1000"/>
    <x v="0"/>
    <s v="ACORDO TRABALHISTA"/>
  </r>
  <r>
    <x v="97"/>
    <s v="DEZEMBRO"/>
    <s v="HSERV CABREUVA"/>
    <s v="AUREA MOSCATINI PROC 0012313-20.2024.5.15.0095   AUTOR: GABRIEL BARBOSA DOS SANTOS-PARCELA 3/5"/>
    <n v="-1000"/>
    <x v="0"/>
    <s v="ACORDO TRABALHISTA"/>
  </r>
  <r>
    <x v="95"/>
    <s v="OUTUBRO"/>
    <s v="HSERV CLEAN"/>
    <s v="SANTOS SEPULVEDA SOCIEDADE INDIVIDUAL DE ADVOCACIAPRoc 0011475-02.2023.5.15.0002 RECLAMANTE: ANA CAROLINA DOS SANTOS PARCELA 3/10"/>
    <n v="-3800"/>
    <x v="0"/>
    <s v="ACORDO TRABALHISTA"/>
  </r>
  <r>
    <x v="33"/>
    <s v="NOVEMBRO"/>
    <s v="HSERV CLEAN"/>
    <s v="SANTOS SEPULVEDA SOCIEDADE INDIVIDUAL DE ADVOCACIAPRoc 0011475-02.2023.5.15.0002 RECLAMANTE: ANA CAROLINA DOS SANTOS PARCELA 4/10"/>
    <n v="-3800"/>
    <x v="0"/>
    <s v="ACORDO TRABALHISTA"/>
  </r>
  <r>
    <x v="97"/>
    <s v="DEZEMBRO"/>
    <s v="HSERV CLEAN"/>
    <s v="SANTOS SEPULVEDA SOCIEDADE INDIVIDUAL DE ADVOCACIAPRoc 0011475-02.2023.5.15.0002 RECLAMANTE: ANA CAROLINA DOS SANTOS PARCELA 5/10"/>
    <n v="-3800"/>
    <x v="0"/>
    <s v="ACORDO TRABALHISTA"/>
  </r>
  <r>
    <x v="95"/>
    <s v="OUTUBRO"/>
    <s v="HSERV COMBINADOS "/>
    <s v="GABRIEL DOS SANTOS NOVÃESCLOUD-TELEFONIA"/>
    <n v="-500"/>
    <x v="0"/>
    <s v="SISTEMA"/>
  </r>
  <r>
    <x v="41"/>
    <s v="OUTUBRO"/>
    <s v="VITOR DUARTE"/>
    <s v="GADE CORPORATIVA"/>
    <n v="-500"/>
    <x v="0"/>
    <s v="SISTEMA"/>
  </r>
  <r>
    <x v="68"/>
    <s v="OUTUBRO"/>
    <s v="VITOR"/>
    <s v="GIFEL"/>
    <n v="680.03"/>
    <x v="1"/>
    <s v="VENDAS DE SERVIÇOS"/>
  </r>
  <r>
    <x v="38"/>
    <s v="OUTUBRO"/>
    <s v="VITOR DUARTE ND "/>
    <s v="PARCELAMENTO PREFEITURA DE CABREUVA VITOR AUGUSTO DUARTE-DESCONTAR DO PROLABORE DR DUARTE PARCELA 5"/>
    <n v="-99.49"/>
    <x v="0"/>
    <s v="PROLABORE"/>
  </r>
  <r>
    <x v="33"/>
    <s v="NOVEMBRO"/>
    <s v="VITOR DUARTE ND "/>
    <s v="PARCELAMENTO PREFEITURA DE CABREUVA VITOR AUGUSTO DUARTE-DESCONTAR DO PROLABORE DR DUARTE"/>
    <n v="-99.49"/>
    <x v="0"/>
    <s v="PROLABORE"/>
  </r>
  <r>
    <x v="97"/>
    <s v="DEZEMBRO"/>
    <s v="VITOR DUARTE ND "/>
    <s v="PARCELAMENTO PREFEITURA DE CABREUVA VITOR AUGUSTO DUARTE-DESCONTAR DO PROLABORE DR DUARTE"/>
    <n v="-99.49"/>
    <x v="0"/>
    <s v="PROLABORE"/>
  </r>
  <r>
    <x v="38"/>
    <s v="OUTUBRO"/>
    <s v="HENRIQUE JEAN"/>
    <s v="PARCELAMENTO PREFEITURA DE CABREUVA HENRIQUE JEAN DUARTE PARCELA 5/5 "/>
    <n v="-106.54"/>
    <x v="0"/>
    <s v="IMPOSTO"/>
  </r>
  <r>
    <x v="38"/>
    <s v="OUTUBRO"/>
    <s v="HSERV CLEAN"/>
    <s v="PARCELAMENTO PREFEITURA DE CABREUVA HSERV CLEAN COMERCIO DE PRODUTOS DE LIMPEZA LTDA-PARCELA 5/5"/>
    <n v="-111.85"/>
    <x v="0"/>
    <s v="IMPOSTO"/>
  </r>
  <r>
    <x v="38"/>
    <s v="OUTUBRO"/>
    <s v="HSERV LIMPEZA"/>
    <s v="PARCELAMENTO PREFEITURA DE CABREUVA HSERV LIMPEZA PARCELA 5/5"/>
    <n v="-106.54"/>
    <x v="0"/>
    <s v="IMPOSTO"/>
  </r>
  <r>
    <x v="38"/>
    <s v="OUTUBRO"/>
    <s v="HSERV TECNOLOGIA"/>
    <s v="PARCELAMENTO PREFEITURA DE CABREUVA HSERV TECNOLOGIA PARCELA 5/5"/>
    <n v="-106.54"/>
    <x v="0"/>
    <s v="IMPOSTO"/>
  </r>
  <r>
    <x v="38"/>
    <s v="OUTUBRO"/>
    <s v="HSERV CABREUVA"/>
    <s v="PARCELAMENTO PREFEITURA DE CABREUVA HSERV 5/13"/>
    <n v="-106.58"/>
    <x v="0"/>
    <s v="IMPOSTO"/>
  </r>
  <r>
    <x v="33"/>
    <s v="NOVEMBRO"/>
    <s v="HSERV CABREUVA"/>
    <s v="PARCELAMENTO PREFEITURA DE CABREUVA HSERV 6/13"/>
    <n v="-106.58"/>
    <x v="0"/>
    <s v="IMPOSTO"/>
  </r>
  <r>
    <x v="97"/>
    <s v="DEZEMBRO"/>
    <s v="HSERV CABREUVA"/>
    <s v="PARCELAMENTO PREFEITURA DE CABREUVA HSERV 7/13"/>
    <n v="-106.58"/>
    <x v="0"/>
    <s v="IMPOSTO"/>
  </r>
  <r>
    <x v="38"/>
    <s v="OUTUBRO"/>
    <s v="HSERV CLEAN"/>
    <s v="GUIA DE IMPOSTO VEPAKUM RETROATIVO 2024- SETEMBRO 2024"/>
    <n v="-4000"/>
    <x v="0"/>
    <s v="IMPOSTO"/>
  </r>
  <r>
    <x v="29"/>
    <s v="OUTUBRO"/>
    <s v="VITOR DUARTE"/>
    <s v="GUIA DE PARCELAMENTO INSS VITOR JULHO A NOV 2024"/>
    <n v="-7000"/>
    <x v="0"/>
    <s v="IMPOSTO"/>
  </r>
  <r>
    <x v="29"/>
    <s v="OUTUBRO"/>
    <s v="HSERV CLEAN"/>
    <s v="GUIA DE PARELAMENTO DE DIVIDA ATIVA HSERV CLEAN"/>
    <n v="-600"/>
    <x v="0"/>
    <s v="IMPOSTO"/>
  </r>
  <r>
    <x v="88"/>
    <s v="OUTUBRO"/>
    <s v="HSERV CABREUVA"/>
    <s v="IF EMPRESARIAL"/>
    <n v="-16000"/>
    <x v="0"/>
    <s v="CONTABILIDADE"/>
  </r>
  <r>
    <x v="88"/>
    <s v="OUTUBRO"/>
    <s v="HENRIQUE JEAN ND"/>
    <s v="IMOVEL NEX ONE "/>
    <n v="-8937.32"/>
    <x v="0"/>
    <s v="RESERVA"/>
  </r>
  <r>
    <x v="68"/>
    <s v="OUTUBRO"/>
    <s v="LIMPEZA"/>
    <s v="IMPROVEMENT FIT ACADEMIA LTDA"/>
    <n v="7850"/>
    <x v="1"/>
    <s v="VENDAS DE SERVIÇOS"/>
  </r>
  <r>
    <x v="79"/>
    <s v="OUTUBRO"/>
    <s v="TECNOLOGIA"/>
    <s v="INTERBRILHO HIGIENE E LIMPEZA LTDA"/>
    <n v="23638.67"/>
    <x v="1"/>
    <s v="VENDAS DE SERVIÇOS"/>
  </r>
  <r>
    <x v="90"/>
    <s v="OUTUBRO"/>
    <s v="HSERV CLEAN"/>
    <s v="INTERMEDICA"/>
    <n v="-6536.85"/>
    <x v="0"/>
    <s v="CONVENIO MEDICO"/>
  </r>
  <r>
    <x v="90"/>
    <s v="OUTUBRO"/>
    <s v="HSERV COMBINADOS "/>
    <s v="JAIR RÉ"/>
    <n v="-1000"/>
    <x v="0"/>
    <s v="COMISSOES"/>
  </r>
  <r>
    <x v="90"/>
    <s v="OUTUBRO"/>
    <s v="HSERV COMBINADOS "/>
    <s v="JHONNY WALACE"/>
    <n v="-1000"/>
    <x v="0"/>
    <s v="COMISSOES"/>
  </r>
  <r>
    <x v="61"/>
    <s v="SETEMBRO"/>
    <s v="VITOR DUARTE"/>
    <s v="JONESO EMPREENDIMENTOS"/>
    <n v="-5460"/>
    <x v="0"/>
    <s v="ALUGUEL DE IMOVEIS"/>
  </r>
  <r>
    <x v="89"/>
    <s v="OUTUBRO"/>
    <s v="VITOR DUARTE"/>
    <s v="JONESO EMPREENDIMENTOS"/>
    <n v="-5300"/>
    <x v="0"/>
    <s v="ALUGUEL DE IMOVEIS"/>
  </r>
  <r>
    <x v="61"/>
    <s v="SETEMBRO"/>
    <s v="HSERV CLEAN"/>
    <s v="J.E. COMERCIO E SOLUCOES LTDA"/>
    <n v="-1560"/>
    <x v="0"/>
    <s v="MERCADORIA PARA REVENDA"/>
  </r>
  <r>
    <x v="61"/>
    <s v="SETEMBRO"/>
    <s v="HSERV TERCEIRIZADOS"/>
    <s v="LOTUS CENTRAL DE DISTRIBUICAO DE HIGIENICOS LTDA"/>
    <n v="-985.46"/>
    <x v="0"/>
    <s v="MERCADORIA PARA REVENDA"/>
  </r>
  <r>
    <x v="61"/>
    <s v="SETEMBRO"/>
    <s v="HSERV COMBINADOS"/>
    <s v="JEFFERSON FERREIRA SANTOS-FT 05/09, 08/09, 10/09, 11/09 E 12/09 - PLURIX"/>
    <n v="-450"/>
    <x v="0"/>
    <s v="FT"/>
  </r>
  <r>
    <x v="61"/>
    <s v="SETEMBRO"/>
    <s v="HSERV COMBINADOS"/>
    <s v="THIAGO ALMEIDA SANTANA-FT RELAIZADO NO DIA 28/08 E 29/08"/>
    <n v="-200"/>
    <x v="0"/>
    <s v="FT"/>
  </r>
  <r>
    <x v="61"/>
    <s v="SETEMBRO"/>
    <s v="HSERV COMBINADOS"/>
    <s v="OSMAR NUNES DA SILVA"/>
    <n v="-135.30000000000001"/>
    <x v="0"/>
    <s v="VALE TRANSPORTE"/>
  </r>
  <r>
    <x v="61"/>
    <s v="SETEMBRO"/>
    <s v="HSERV COMBINADOS"/>
    <s v="SANDRA REGINA BATISTA"/>
    <n v="-242"/>
    <x v="0"/>
    <s v="VALE TRANSPORTE"/>
  </r>
  <r>
    <x v="61"/>
    <s v="SETEMBRO"/>
    <s v="HSERV COMBINADOS"/>
    <s v="ALCIDES PEREIRA DE SOUZA"/>
    <n v="-233"/>
    <x v="0"/>
    <s v="VALE TRANSPORTE"/>
  </r>
  <r>
    <x v="61"/>
    <s v="SETEMBRO"/>
    <s v="HSERV COMBINADOS"/>
    <s v="MARIA LUCIA BENTO"/>
    <n v="-123"/>
    <x v="0"/>
    <s v="VALE TRANSPORTE"/>
  </r>
  <r>
    <x v="89"/>
    <s v="OUTUBRO"/>
    <s v="VITOR DUARTE"/>
    <s v="LOCALIZA - VENCIDA"/>
    <n v="-3760"/>
    <x v="0"/>
    <s v="ALUGUEL DE VEICULOS"/>
  </r>
  <r>
    <x v="89"/>
    <s v="OUTUBRO"/>
    <s v="VITOR DUARTE"/>
    <s v="LOCALIZA - VENCIDA"/>
    <n v="-5800"/>
    <x v="0"/>
    <s v="ALUGUEL DE VEICULOS"/>
  </r>
  <r>
    <x v="89"/>
    <s v="OUTUBRO"/>
    <s v="HSERV COMBINADOS "/>
    <s v="LOCALIZA - VENCIDA"/>
    <n v="-5460"/>
    <x v="0"/>
    <s v="ALUGUEL DE VEICULOS"/>
  </r>
  <r>
    <x v="41"/>
    <s v="OUTUBRO"/>
    <s v="HSERV CLEAN"/>
    <s v="J.E. COMERCIO E SOLUCOES LTDA"/>
    <n v="-165"/>
    <x v="0"/>
    <s v="MERCADORIA PARA REVENDA"/>
  </r>
  <r>
    <x v="41"/>
    <s v="OUTUBRO"/>
    <s v="HSERV CLEAN"/>
    <s v="J.E. COMERCIO E SOLUCOES LTDA"/>
    <n v="-420"/>
    <x v="0"/>
    <s v="MERCADORIA PARA REVENDA"/>
  </r>
  <r>
    <x v="41"/>
    <s v="OUTUBRO"/>
    <s v="HSERV CLEAN"/>
    <s v="J.E. COMERCIO E SOLUCOES LTDA"/>
    <n v="-1127.5"/>
    <x v="0"/>
    <s v="MERCADORIA PARA REVENDA"/>
  </r>
  <r>
    <x v="88"/>
    <s v="OUTUBRO"/>
    <s v="HSERV COMBINADOS"/>
    <s v="MAC LUCER - VINEA (MENSAL)"/>
    <n v="-3006"/>
    <x v="0"/>
    <s v="APORTE"/>
  </r>
  <r>
    <x v="41"/>
    <s v="OUTUBRO"/>
    <s v="VITOR DUARTE"/>
    <s v="ALTOLIM COMERCIAL ASSIS EIRELI - ME"/>
    <n v="-57.259995000000004"/>
    <x v="0"/>
    <s v="MERCADORIA PARA REVENDA"/>
  </r>
  <r>
    <x v="41"/>
    <s v="OUTUBRO"/>
    <s v="HSERV COMBINADOS"/>
    <s v="MAC LUCER - VINEA (MENSAL) "/>
    <n v="-1812.64"/>
    <x v="0"/>
    <s v="APORTE"/>
  </r>
  <r>
    <x v="90"/>
    <s v="OUTUBRO"/>
    <s v="VITOR DUARTE"/>
    <s v="MARCASA-SEGURANÇA VEPAKUM"/>
    <n v="-10500"/>
    <x v="0"/>
    <s v="SEGURANÇAS"/>
  </r>
  <r>
    <x v="88"/>
    <s v="OUTUBRO"/>
    <s v="HSERV CABREUVA"/>
    <s v="MAXIWEB INTERNET PROVIDER LTDA"/>
    <n v="-39.799999999999997"/>
    <x v="0"/>
    <s v="SISTEMA"/>
  </r>
  <r>
    <x v="88"/>
    <s v="OUTUBRO"/>
    <s v="LIMPEZA"/>
    <s v="MIPAL INDUSTRIA DE EVAPORADORES LTDA"/>
    <n v="4717.4399999999996"/>
    <x v="1"/>
    <s v="VENDAS DE SERVIÇOS"/>
  </r>
  <r>
    <x v="88"/>
    <s v="OUTUBRO"/>
    <s v="LIMPEZA"/>
    <s v="MIPAL INDUSTRIA DE EVAPORADORES LTDA"/>
    <n v="9938.39"/>
    <x v="1"/>
    <s v="VENDAS DE SERVIÇOS"/>
  </r>
  <r>
    <x v="88"/>
    <s v="OUTUBRO"/>
    <s v="LIMPEZA"/>
    <s v="MIPAL INDUSTRIA DE EVAPORADORES LTDA"/>
    <n v="22139.98"/>
    <x v="1"/>
    <s v="VENDAS DE SERVIÇOS"/>
  </r>
  <r>
    <x v="68"/>
    <s v="OUTUBRO"/>
    <s v="HSERV CLEAN"/>
    <s v="SPARTAN DO BRASIL PRODUTOS QUIMICOS LTDA"/>
    <n v="-2808.81"/>
    <x v="0"/>
    <s v="MERCADORIA PARA REVENDA"/>
  </r>
  <r>
    <x v="68"/>
    <s v="OUTUBRO"/>
    <s v="HSERV TERCEIRIZADOS"/>
    <s v="MOVIDA PARTICIPACOES S.A."/>
    <n v="-9.9"/>
    <x v="0"/>
    <s v="ALUGUEL DE VEICULOS"/>
  </r>
  <r>
    <x v="68"/>
    <s v="OUTUBRO"/>
    <s v="VITOR DUARTE"/>
    <s v="LOCALIZA FLEET S.A."/>
    <n v="-129.13"/>
    <x v="0"/>
    <s v="ALUGUEL DE VEICULOS"/>
  </r>
  <r>
    <x v="68"/>
    <s v="OUTUBRO"/>
    <s v="HSERV CLEAN"/>
    <s v="SOFT WORKS EPI CALCADOS LTDA"/>
    <n v="-832.4"/>
    <x v="0"/>
    <s v="UNIFORMES "/>
  </r>
  <r>
    <x v="78"/>
    <s v="OUTUBRO"/>
    <s v="HSERV TERCEIRIZADOS"/>
    <s v="MOVIDA PARTICIPACOES S.A."/>
    <n v="-4375.75"/>
    <x v="0"/>
    <s v="ALUGUEL DE VEICULOS"/>
  </r>
  <r>
    <x v="89"/>
    <s v="OUTUBRO"/>
    <s v="HSERV TERCEIRIZADOS"/>
    <s v="MOVIDA PARTICIPACOES S.A.-"/>
    <n v="-4347.01"/>
    <x v="0"/>
    <s v="ALUGUEL DE VEICULOS"/>
  </r>
  <r>
    <x v="89"/>
    <s v="OUTUBRO"/>
    <s v="HSERV TERCEIRIZADOS"/>
    <s v="MOVIDA PARTICIPACOES S.A.-"/>
    <n v="-2173.96"/>
    <x v="0"/>
    <s v="ALUGUEL DE VEICULOS"/>
  </r>
  <r>
    <x v="29"/>
    <s v="OUTUBRO"/>
    <s v="VITOR DUARTE"/>
    <s v="NEXTI DESENVOLVIMENTO DE SISTEMAS S.A."/>
    <n v="-2530.4299999999998"/>
    <x v="0"/>
    <s v="SISTEMA"/>
  </r>
  <r>
    <x v="29"/>
    <s v="OUTUBRO"/>
    <s v="VITOR DUARTE"/>
    <s v="NEXTI DESENVOLVIMENTO DE SISTEMAS S.A."/>
    <n v="-1339.5"/>
    <x v="0"/>
    <s v="SISTEMA"/>
  </r>
  <r>
    <x v="86"/>
    <s v="OUTUBRO"/>
    <s v="HSERV TECNOLOGIA"/>
    <s v="OMIEXPERIENCE LTDA."/>
    <n v="-244.5"/>
    <x v="0"/>
    <s v="SISTEMA"/>
  </r>
  <r>
    <x v="86"/>
    <s v="OUTUBRO"/>
    <s v="HSERV REPRESENTACOES"/>
    <s v="OMIEXPERIENCE LTDA."/>
    <n v="-300"/>
    <x v="0"/>
    <s v="SISTEMA"/>
  </r>
  <r>
    <x v="86"/>
    <s v="OUTUBRO"/>
    <s v="HSERV CABREUVA "/>
    <s v="OMIEXPERIENCE LTDA."/>
    <n v="-300"/>
    <x v="0"/>
    <s v="SISTEMA"/>
  </r>
  <r>
    <x v="86"/>
    <s v="OUTUBRO"/>
    <s v="HSERV  COMBINADOS"/>
    <s v="OMIEXPERIENCE LTDA."/>
    <n v="-300"/>
    <x v="0"/>
    <s v="SISTEMA"/>
  </r>
  <r>
    <x v="86"/>
    <s v="OUTUBRO"/>
    <s v="HENRIQUE JEAN DUARTE "/>
    <s v="OMIEXPERIENCE LTDA."/>
    <n v="-275"/>
    <x v="0"/>
    <s v="SISTEMA"/>
  </r>
  <r>
    <x v="86"/>
    <s v="OUTUBRO"/>
    <s v="HSERV TERCEIRIZADOS"/>
    <s v="OMIEXPERIENCE LTDA."/>
    <n v="-300"/>
    <x v="0"/>
    <s v="SISTEMA"/>
  </r>
  <r>
    <x v="86"/>
    <s v="OUTUBRO"/>
    <s v="HSERV  LIMPEZA "/>
    <s v="OMIEXPERIENCE LTDA."/>
    <n v="-300"/>
    <x v="0"/>
    <s v="SISTEMA"/>
  </r>
  <r>
    <x v="86"/>
    <s v="OUTUBRO"/>
    <s v="VITOR  DUARTE "/>
    <s v="OMIEXPERIENCE LTDA."/>
    <n v="-350"/>
    <x v="0"/>
    <s v="SISTEMA"/>
  </r>
  <r>
    <x v="86"/>
    <s v="OUTUBRO"/>
    <s v="HSER CLEAN"/>
    <s v="OMIEXPERIENCE LTDA."/>
    <n v="-373.51"/>
    <x v="0"/>
    <s v="SISTEMA"/>
  </r>
  <r>
    <x v="41"/>
    <s v="OUTUBRO"/>
    <s v="HSERV CABREUVA"/>
    <s v="OPEN IT GROUP"/>
    <n v="-294.8"/>
    <x v="0"/>
    <s v="INTERNET"/>
  </r>
  <r>
    <x v="90"/>
    <s v="OUTUBRO"/>
    <s v="HSERV TECNOLOGIA"/>
    <s v="PAPEL E CIA"/>
    <n v="-2383.04"/>
    <x v="0"/>
    <s v="MATERIAL DE ESCRITÓRIO"/>
  </r>
  <r>
    <x v="29"/>
    <s v="OUTUBRO"/>
    <s v="HSERV CLEAN"/>
    <s v="PARCELA CREDITO PESSOAL CONTR 016721926 PARC"/>
    <n v="-1719.53"/>
    <x v="0"/>
    <s v="CARTÃO DE CREDITO"/>
  </r>
  <r>
    <x v="29"/>
    <s v="OUTUBRO"/>
    <s v="HSERV CABREUVA"/>
    <s v="PARCELA CREDITO PESSOAL CONTR 016721926 PARC"/>
    <n v="-1392.65"/>
    <x v="0"/>
    <s v="CARTÃO DE CREDITO"/>
  </r>
  <r>
    <x v="29"/>
    <s v="OUTUBRO"/>
    <s v=" HSERV CABREUVA"/>
    <s v="PARCELAMENTO DEBITOS PREVIDENCIARIOS"/>
    <n v="-9000"/>
    <x v="0"/>
    <s v="IMPOSTO"/>
  </r>
  <r>
    <x v="29"/>
    <s v="OUTUBRO"/>
    <s v="CLEAN"/>
    <s v="PLASTY COMERCIAL DE PLASTICOS LTDA"/>
    <n v="2373.8200000000002"/>
    <x v="1"/>
    <s v="VENDAS DE SERVIÇOS"/>
  </r>
  <r>
    <x v="29"/>
    <s v="OUTUBRO"/>
    <s v="CLEAN"/>
    <s v="PLASTY COMERCIAL DE PLASTICOS LTDA"/>
    <n v="5823.82"/>
    <x v="1"/>
    <s v="VENDAS DE SERVIÇOS"/>
  </r>
  <r>
    <x v="29"/>
    <s v="OUTUBRO"/>
    <s v="CLEAN"/>
    <s v="PLASTY COMERCIAL DE PLASTICOS LTDA"/>
    <n v="7526.95"/>
    <x v="1"/>
    <s v="VENDAS DE SERVIÇOS"/>
  </r>
  <r>
    <x v="29"/>
    <s v="OUTUBRO"/>
    <s v="CLEAN"/>
    <s v="PLASTY COMERCIAL DE PLASTICOS LTDA"/>
    <n v="25756.63"/>
    <x v="1"/>
    <s v="VENDAS DE SERVIÇOS"/>
  </r>
  <r>
    <x v="90"/>
    <s v="OUTUBRO"/>
    <s v="HENRIQUE JEAN"/>
    <s v="PROLABORE SOCIOS CRISTIANE-MARIA JOSE, GUTHIERRI"/>
    <n v="-3000"/>
    <x v="0"/>
    <s v="PROLABORE"/>
  </r>
  <r>
    <x v="29"/>
    <s v="OUTUBRO"/>
    <s v="HSERV COMBINADOS "/>
    <s v="REEMBOLSOS"/>
    <n v="-800"/>
    <x v="0"/>
    <s v="REEMBOLSO"/>
  </r>
  <r>
    <x v="89"/>
    <s v="OUTUBRO"/>
    <s v="HSERV CABREUVA"/>
    <s v="RESCISÕES"/>
    <n v="-20000"/>
    <x v="0"/>
    <s v="RESCISÕES"/>
  </r>
  <r>
    <x v="88"/>
    <s v="OUTUBRO"/>
    <s v="HSERV CABREUVA"/>
    <s v="RESOLVE ALIMENTAÇÃO "/>
    <n v="-600"/>
    <x v="0"/>
    <s v="VALE ALIMENTAÇÃO"/>
  </r>
  <r>
    <x v="67"/>
    <s v="SETEMBRO"/>
    <s v="CLEAN"/>
    <s v="RICARO"/>
    <n v="2284.4499999999998"/>
    <x v="1"/>
    <s v="VENDAS DE SERVIÇOS"/>
  </r>
  <r>
    <x v="68"/>
    <s v="OUTUBRO"/>
    <s v="CLEAN"/>
    <s v="RICARO"/>
    <n v="24988.71"/>
    <x v="1"/>
    <s v="VENDAS DE SERVIÇOS"/>
  </r>
  <r>
    <x v="68"/>
    <s v="OUTUBRO"/>
    <s v="CLEAN"/>
    <s v="RICARO"/>
    <n v="16834.330000000002"/>
    <x v="1"/>
    <s v="VENDAS DE SERVIÇOS"/>
  </r>
  <r>
    <x v="68"/>
    <s v="OUTUBRO"/>
    <s v="CLEAN"/>
    <s v="RICARO"/>
    <n v="268.13"/>
    <x v="1"/>
    <s v="VENDAS DE SERVIÇOS"/>
  </r>
  <r>
    <x v="93"/>
    <s v="OUTUBRO"/>
    <s v="CLEAN"/>
    <s v="RICARO"/>
    <n v="2284.4499999999998"/>
    <x v="1"/>
    <s v="VENDAS DE SERVIÇOS"/>
  </r>
  <r>
    <x v="90"/>
    <s v="OUTUBRO"/>
    <s v="VITOR  DUARTE"/>
    <s v="RONDAWEB CONEXOES LTDA"/>
    <n v="-395.73"/>
    <x v="0"/>
    <s v="SISTEMA"/>
  </r>
  <r>
    <x v="78"/>
    <s v="OUTUBRO"/>
    <s v="HSERV CABREUVA"/>
    <s v="SABESP CLEAN"/>
    <n v="-139.25"/>
    <x v="0"/>
    <s v="AGUA"/>
  </r>
  <r>
    <x v="78"/>
    <s v="OUTUBRO"/>
    <s v="HSERV CABREUVA"/>
    <s v="SABESP SALA 16"/>
    <n v="-141.69999999999999"/>
    <x v="0"/>
    <s v="AGUA"/>
  </r>
  <r>
    <x v="78"/>
    <s v="OUTUBRO"/>
    <s v="HSERV CABREUVA"/>
    <s v="SABESP SALA 17"/>
    <n v="-141.69999999999999"/>
    <x v="0"/>
    <s v="AGUA"/>
  </r>
  <r>
    <x v="78"/>
    <s v="OUTUBRO"/>
    <s v="HSERV CABREUVA"/>
    <s v="SABESP SALA 18"/>
    <n v="-141.69999999999999"/>
    <x v="0"/>
    <s v="AGUA"/>
  </r>
  <r>
    <x v="87"/>
    <s v="OUTUBRO"/>
    <s v="HSERV CABREUVA"/>
    <s v="SALARIO CLT, PENSÃO ALIMENTICIA, BONUS-"/>
    <n v="-452014.32"/>
    <x v="0"/>
    <s v="SALARIOS"/>
  </r>
  <r>
    <x v="86"/>
    <s v="OUTUBRO"/>
    <s v="HSERV CABREUVA"/>
    <s v="SEM PARAR- "/>
    <n v="-6500"/>
    <x v="0"/>
    <s v="COMBUSTIVEL E PEDAGIO"/>
  </r>
  <r>
    <x v="90"/>
    <s v="OUTUBRO"/>
    <s v="HSERV CABREUVA"/>
    <s v="SERGIO LUIZ BERTOLO"/>
    <n v="-204.25"/>
    <x v="0"/>
    <s v="ALUGUEL DE IMOVEIS"/>
  </r>
  <r>
    <x v="94"/>
    <s v="OUTUBRO"/>
    <s v="HSERV CABREUVA"/>
    <s v="SICOOB HSERV CABREUVA NEGOCIAÇÃO CHEQUE ESPECIAL "/>
    <n v="-2012.45"/>
    <x v="0"/>
    <s v="EMPRESTIMO "/>
  </r>
  <r>
    <x v="78"/>
    <s v="OUTUBRO"/>
    <s v="HSERV CABREUVA"/>
    <s v="SIEMACO-PRUDENTE SINDICATO AVENIDA, ASSIS E REGIÃO"/>
    <n v="-1905.5"/>
    <x v="0"/>
    <s v="SINDICATO"/>
  </r>
  <r>
    <x v="88"/>
    <s v="OUTUBRO"/>
    <s v="HENRIQUE JEAN"/>
    <s v="JONATHAN DINIZ WESFALROC 1001448-72.2024.5.02.0291 AUTOR: LUCIANA APARECIDA MARQUES DA SILVA  -PARCELA 3/10"/>
    <n v="-1240"/>
    <x v="0"/>
    <s v="ACORDO TRABALHISTA"/>
  </r>
  <r>
    <x v="88"/>
    <s v="OUTUBRO"/>
    <s v="HSERV CABREUVA"/>
    <s v="SIMPLES NACIONAL MENSAL "/>
    <n v="-20000"/>
    <x v="0"/>
    <s v="IMPOSTO"/>
  </r>
  <r>
    <x v="29"/>
    <s v="OUTUBRO"/>
    <s v="HSERV CABREUVA"/>
    <s v="SIMPLES NACIONAL-PARCELAMENTO"/>
    <n v="-35000"/>
    <x v="0"/>
    <s v="IMPOSTO"/>
  </r>
  <r>
    <x v="78"/>
    <s v="OUTUBRO"/>
    <s v="HSERV CABREUVA"/>
    <s v="SINDICATO DOS EMPREGADOS - VENCIDA"/>
    <n v="-30"/>
    <x v="0"/>
    <s v="SINDICATO"/>
  </r>
  <r>
    <x v="78"/>
    <s v="OUTUBRO"/>
    <s v="HSERV CABREUVA"/>
    <s v="SINDICATO DOS EMPREGADOS - VENCIDA "/>
    <n v="-10000"/>
    <x v="0"/>
    <s v="SINDICATO"/>
  </r>
  <r>
    <x v="78"/>
    <s v="OUTUBRO"/>
    <s v="VITOR DUARTE"/>
    <s v="OKUYAMA &amp; ALVES SOCIEDADE DE ADVOGADOS-Processo: 0010780-86.2025.5.15.0096 Reclamante: PATRICIA VIOTTI NOGUEIRA      parcela 1/4"/>
    <n v="-1000"/>
    <x v="0"/>
    <s v="ACORDO TRABALHISTA"/>
  </r>
  <r>
    <x v="78"/>
    <s v="OUTUBRO"/>
    <s v="HSERV CLEAN"/>
    <s v="BANCO SAFRA S A"/>
    <n v="-930.49"/>
    <x v="0"/>
    <s v="EMPRESTIMO "/>
  </r>
  <r>
    <x v="78"/>
    <s v="OUTUBRO"/>
    <s v="VITOR DUARTE"/>
    <s v="L. A. DE SOUZA - EQUIPAMENTOS DE SEGURANCA LTDA"/>
    <n v="-450"/>
    <x v="0"/>
    <s v="UNIFORMES "/>
  </r>
  <r>
    <x v="78"/>
    <s v="OUTUBRO"/>
    <s v="HSERV CLEAN"/>
    <s v="BRAN ENGENHARIA LTDA"/>
    <n v="-675"/>
    <x v="0"/>
    <s v="MANUTENÇÃO "/>
  </r>
  <r>
    <x v="78"/>
    <s v="OUTUBRO"/>
    <s v="HSERV CLEAN"/>
    <s v="J.E. COMERCIO E SOLUCOES LTDA"/>
    <n v="-1658.93"/>
    <x v="0"/>
    <s v="MERCADORIA PARA REVENDA"/>
  </r>
  <r>
    <x v="78"/>
    <s v="OUTUBRO"/>
    <s v="HSERV TERCEIRIZADOS"/>
    <s v="FLORA DISTRIB PROD DE HIGIENE E LIMPEZA LTDA"/>
    <n v="-467.6"/>
    <x v="0"/>
    <s v="MERCADORIA PARA REVENDA"/>
  </r>
  <r>
    <x v="78"/>
    <s v="OUTUBRO"/>
    <s v="HSERV TERCEIRIZADOS"/>
    <s v="LOTUS CENTRAL DE DISTRIBUICAO DE HIGIENICOS LTDA"/>
    <n v="-827.13"/>
    <x v="0"/>
    <s v="MERCADORIA PARA REVENDA"/>
  </r>
  <r>
    <x v="78"/>
    <s v="OUTUBRO"/>
    <s v="HENRIQUE JEAN"/>
    <s v="SINDPRESTEM"/>
    <n v="-630"/>
    <x v="0"/>
    <s v="SINDICATO"/>
  </r>
  <r>
    <x v="89"/>
    <s v="OUTUBRO"/>
    <s v="VITOR DUARTE"/>
    <s v="ALTOLIM COMERCIAL ASSIS EIRELI - ME"/>
    <n v="-101.149987"/>
    <x v="0"/>
    <s v="MERCADORIA PARA REVENDA"/>
  </r>
  <r>
    <x v="89"/>
    <s v="OUTUBRO"/>
    <s v="VITOR DUARTE"/>
    <s v="ALTOLIM COMERCIAL ASSIS EIRELI - ME"/>
    <n v="-109.06"/>
    <x v="0"/>
    <s v="MERCADORIA PARA REVENDA"/>
  </r>
  <r>
    <x v="89"/>
    <s v="OUTUBRO"/>
    <s v="VITOR DUARTE"/>
    <s v="ALTOLIM COMERCIAL ASSIS EIRELI - ME"/>
    <n v="-7.9100130000000002"/>
    <x v="0"/>
    <s v="MERCADORIA PARA REVENDA"/>
  </r>
  <r>
    <x v="89"/>
    <s v="OUTUBRO"/>
    <s v="HSERV CLEAN"/>
    <s v="HM MAQ COMERCIO E ASSISTENCIA TECNICA INDUSTRIAL"/>
    <n v="-1651.54"/>
    <x v="0"/>
    <s v="MANUTENÇÃO "/>
  </r>
  <r>
    <x v="89"/>
    <s v="OUTUBRO"/>
    <s v="HSERV COMBINADOS"/>
    <s v="CONDOMINIO DE CONSTRUCAO DO EDIFICIO COMERCIAL CBM TOWER"/>
    <n v="-200"/>
    <x v="0"/>
    <s v="APORTE"/>
  </r>
  <r>
    <x v="89"/>
    <s v="OUTUBRO"/>
    <s v="VITOR DUARTE"/>
    <s v="L. A. DE SOUZA - EQUIPAMENTOS DE SEGURANCA LTDA"/>
    <n v="-180"/>
    <x v="0"/>
    <s v="UNIFORMES "/>
  </r>
  <r>
    <x v="89"/>
    <s v="OUTUBRO"/>
    <s v="HSERV COMBINADOS "/>
    <s v="SOFISA ACORDO- PROCESSO EXECUÇÃO PARCELA 21/24"/>
    <n v="-5996.67"/>
    <x v="0"/>
    <s v="EMPRESTIMO "/>
  </r>
  <r>
    <x v="87"/>
    <s v="OUTUBRO"/>
    <s v="HSERV CABREUVA"/>
    <s v="TAR PLANO ADAPT 3 05/24"/>
    <n v="-349"/>
    <x v="0"/>
    <s v="TARIFA BANCARIA"/>
  </r>
  <r>
    <x v="87"/>
    <s v="OUTUBRO"/>
    <s v="HSERV TERCERIZADOS"/>
    <s v="TAR PLANO ADAPT 3 05/24"/>
    <n v="-389"/>
    <x v="0"/>
    <s v="TARIFA BANCARIA"/>
  </r>
  <r>
    <x v="87"/>
    <s v="OUTUBRO"/>
    <s v="HSERV COMBINADOS"/>
    <s v="TAR PLANO ADAPT 3 05/24"/>
    <n v="-349"/>
    <x v="0"/>
    <s v="TARIFA BANCARIA"/>
  </r>
  <r>
    <x v="87"/>
    <s v="OUTUBRO"/>
    <s v="HENRIQUE JEAN"/>
    <s v="TAR PLANO ADAPT 3 05/24"/>
    <n v="-349"/>
    <x v="0"/>
    <s v="TARIFA BANCARIA"/>
  </r>
  <r>
    <x v="87"/>
    <s v="OUTUBRO"/>
    <s v="HSERV TECNOLOGIA"/>
    <s v="TAR PLANO ADAPT 3 05/24"/>
    <n v="-389"/>
    <x v="0"/>
    <s v="TARIFA BANCARIA"/>
  </r>
  <r>
    <x v="87"/>
    <s v="OUTUBRO"/>
    <s v="HSERV LIMPEZA"/>
    <s v="TAR PLANO ADAPT 3 05/24"/>
    <n v="-389"/>
    <x v="0"/>
    <s v="TARIFA BANCARIA"/>
  </r>
  <r>
    <x v="87"/>
    <s v="OUTUBRO"/>
    <s v="HSERV REPRESENTAÇÃO"/>
    <s v="TAR PLANO ADAPT 3 05/24"/>
    <n v="-389"/>
    <x v="0"/>
    <s v="TARIFA BANCARIA"/>
  </r>
  <r>
    <x v="86"/>
    <s v="OUTUBRO"/>
    <s v="HSERV CABREUVA"/>
    <s v="TARIFA MAX EMPRESARIAL"/>
    <n v="-171.1"/>
    <x v="0"/>
    <s v="TARIFA BANCARIA"/>
  </r>
  <r>
    <x v="86"/>
    <s v="OUTUBRO"/>
    <s v="HSERV CLEAN"/>
    <s v="TARIFA MAX EMPRESARIAL"/>
    <n v="-171.1"/>
    <x v="0"/>
    <s v="TARIFA BANCARIA"/>
  </r>
  <r>
    <x v="86"/>
    <s v="OUTUBRO"/>
    <s v="HSERV COMBINADOS "/>
    <s v="TARIFA MAX EMPRESARIAL"/>
    <n v="-171.1"/>
    <x v="0"/>
    <s v="TARIFA BANCARIA"/>
  </r>
  <r>
    <x v="86"/>
    <s v="OUTUBRO"/>
    <s v="HSERV COMBINADOS  ND"/>
    <s v="TARIFA MAX EMPRESARIAL"/>
    <n v="-171.1"/>
    <x v="0"/>
    <s v="TARIFA BANCARIA"/>
  </r>
  <r>
    <x v="86"/>
    <s v="OUTUBRO"/>
    <s v="HENRIQUE JEAN"/>
    <s v="TARIFA MAX EMPRESARIAL"/>
    <n v="-171.1"/>
    <x v="0"/>
    <s v="TARIFA BANCARIA"/>
  </r>
  <r>
    <x v="86"/>
    <s v="OUTUBRO"/>
    <s v="HENRIQUE JEAN ND"/>
    <s v="TARIFA MAX EMPRESARIAL"/>
    <n v="-171.1"/>
    <x v="0"/>
    <s v="TARIFA BANCARIA"/>
  </r>
  <r>
    <x v="86"/>
    <s v="OUTUBRO"/>
    <s v="VITOR DUARTE"/>
    <s v="TARIFA MAX EMPRESARIAL"/>
    <n v="-171.1"/>
    <x v="0"/>
    <s v="TARIFA BANCARIA"/>
  </r>
  <r>
    <x v="86"/>
    <s v="OUTUBRO"/>
    <s v="VITOR DUARTE ND"/>
    <s v="TARIFA MAX EMPRESARIAL"/>
    <n v="-171.1"/>
    <x v="0"/>
    <s v="TARIFA BANCARIA"/>
  </r>
  <r>
    <x v="86"/>
    <s v="OUTUBRO"/>
    <s v="HSERV TERCERIZADOS"/>
    <s v="TARIFA MAX EMPRESARIAL"/>
    <n v="-171.1"/>
    <x v="0"/>
    <s v="TARIFA BANCARIA"/>
  </r>
  <r>
    <x v="86"/>
    <s v="OUTUBRO"/>
    <s v="HSERV TERCERIZADOS ND"/>
    <s v="TARIFA MAX EMPRESARIAL"/>
    <n v="-171.1"/>
    <x v="0"/>
    <s v="TARIFA BANCARIA"/>
  </r>
  <r>
    <x v="86"/>
    <s v="OUTUBRO"/>
    <s v="HSERV LIMPEZA"/>
    <s v="TARIFA MAX EMPRESARIAL"/>
    <n v="-171.1"/>
    <x v="0"/>
    <s v="TARIFA BANCARIA"/>
  </r>
  <r>
    <x v="86"/>
    <s v="OUTUBRO"/>
    <s v="HSERV LIMPEZA ND"/>
    <s v="TARIFA MAX EMPRESARIAL"/>
    <n v="-171.1"/>
    <x v="0"/>
    <s v="TARIFA BANCARIA"/>
  </r>
  <r>
    <x v="86"/>
    <s v="OUTUBRO"/>
    <s v="HSERV TECNOLOGIA"/>
    <s v="TARIFA MAX EMPRESARIAL"/>
    <n v="-171.1"/>
    <x v="0"/>
    <s v="TARIFA BANCARIA"/>
  </r>
  <r>
    <x v="86"/>
    <s v="OUTUBRO"/>
    <s v="HSERV REPRESENTAÇÃO"/>
    <s v="TARIFA MAX EMPRESARIAL"/>
    <n v="-171.1"/>
    <x v="0"/>
    <s v="TARIFA BANCARIA"/>
  </r>
  <r>
    <x v="79"/>
    <s v="OUTUBRO"/>
    <s v="HSERV CLEAN"/>
    <s v="RICARO IMPORTACAO INDUSTRIA E COMERCIO DE EMBALAGENS E INSUM"/>
    <n v="300"/>
    <x v="1"/>
    <s v="VENDAS DE SERVIÇOS"/>
  </r>
  <r>
    <x v="54"/>
    <s v="OUTUBRO"/>
    <s v="COMBINADOS"/>
    <s v="TECNIPLAS EQUIPAMENTOS EM COMPOSITOS EIR"/>
    <n v="22451.91"/>
    <x v="1"/>
    <s v="VENDAS DE SERVIÇOS"/>
  </r>
  <r>
    <x v="90"/>
    <s v="OUTUBRO"/>
    <s v="CABREUVA"/>
    <s v="TED 422.0115.KYN C V A L"/>
    <n v="11000"/>
    <x v="1"/>
    <s v="VENDAS DE SERVIÇOS"/>
  </r>
  <r>
    <x v="68"/>
    <s v="OUTUBRO"/>
    <s v="REPRESENTAÇÃO"/>
    <s v="TTB INDUSTRIA E COMERCIO DE PRODUTOS MET"/>
    <n v="603.26"/>
    <x v="1"/>
    <s v="VENDAS DE SERVIÇOS"/>
  </r>
  <r>
    <x v="68"/>
    <s v="OUTUBRO"/>
    <s v="REPRESENTAÇÃO"/>
    <s v="TTB INDUSTRIA E COMERCIO DE PRODUTOS MET"/>
    <n v="1106.1400000000001"/>
    <x v="1"/>
    <s v="VENDAS DE SERVIÇOS"/>
  </r>
  <r>
    <x v="68"/>
    <s v="OUTUBRO"/>
    <s v="REPRESENTAÇÃO"/>
    <s v="TTB INDUSTRIA E COMERCIO DE PRODUTOS MET"/>
    <n v="9631"/>
    <x v="1"/>
    <s v="VENDAS DE SERVIÇOS"/>
  </r>
  <r>
    <x v="86"/>
    <s v="OUTUBRO"/>
    <s v="HSERV COMBINADOS"/>
    <s v="JHONY WALLACE GOMES DE OLIVEIRA"/>
    <n v="-1139.25"/>
    <x v="0"/>
    <s v="BONIFICAÇÕES"/>
  </r>
  <r>
    <x v="86"/>
    <s v="OUTUBRO"/>
    <s v="HSERV CABREUVA"/>
    <s v="VALE ALIMENTAÇÃO MENSAL -"/>
    <n v="-91000"/>
    <x v="0"/>
    <s v="VALE ALIMENTAÇÃO"/>
  </r>
  <r>
    <x v="38"/>
    <s v="OUTUBRO"/>
    <s v="HSERV CABREUVA"/>
    <s v="VALE COMBUSTIVEL 1 QUINZENA DE FEVEREIRO"/>
    <n v="-7000"/>
    <x v="0"/>
    <s v="VALE COMBUSTIVEL"/>
  </r>
  <r>
    <x v="86"/>
    <s v="OUTUBRO"/>
    <s v="HSERV CABREUVA"/>
    <s v="VALE COMBUSTIVEL-2 QUINZENA DE JANEIRO"/>
    <n v="-8000"/>
    <x v="0"/>
    <s v="VALE COMBUSTIVEL"/>
  </r>
  <r>
    <x v="87"/>
    <s v="OUTUBRO"/>
    <s v="HSERV CLEAN"/>
    <s v="J.E. COMERCIO E SOLUCOES LTDA"/>
    <n v="-2510.44"/>
    <x v="0"/>
    <s v="MERCADORIAS PARA REVENDA"/>
  </r>
  <r>
    <x v="87"/>
    <s v="OUTUBRO"/>
    <s v="HSERV TERCEIRIZADOS"/>
    <s v="FLORA DISTRIB PROD DE HIGIENE E LIMPEZA LTDA"/>
    <n v="-725.7"/>
    <x v="0"/>
    <s v="MERCADORIAS PARA REVENDA"/>
  </r>
  <r>
    <x v="87"/>
    <s v="OUTUBRO"/>
    <s v="HSERV TERCEIRIZADOS"/>
    <s v="STAR CLEAN PRO INDUSTRIA E COMERCIO DE EQUIPAMENTOS DE LIMPE"/>
    <n v="-1101.8399999999999"/>
    <x v="0"/>
    <s v="MERCADORIAS PARA REVENDA"/>
  </r>
  <r>
    <x v="87"/>
    <s v="OUTUBRO"/>
    <s v="VITOR DUARTE"/>
    <s v="ALTOLIM COMERCIAL ASSIS EIRELI - ME"/>
    <n v="-59.35"/>
    <x v="0"/>
    <s v="MERCADORIAS PARA REVENDA"/>
  </r>
  <r>
    <x v="87"/>
    <s v="OUTUBRO"/>
    <s v="HSERV CLEAN"/>
    <s v="CRISTIANA APARECIDA PEREIRA LIMA"/>
    <n v="-396"/>
    <x v="0"/>
    <s v="VALE TRANSPORTE"/>
  </r>
  <r>
    <x v="87"/>
    <s v="OUTUBRO"/>
    <s v="VITOR DUARTE"/>
    <s v="ELIANE ULITZKA DOS SANTOS"/>
    <n v="-2207.67"/>
    <x v="0"/>
    <s v="RESCISÕES"/>
  </r>
  <r>
    <x v="87"/>
    <s v="OUTUBRO"/>
    <s v="VITOR DUARTE"/>
    <s v="FABIOLA FARIAS FELIX-DEVOLUÇÃO DESCONTO - CASO DAIANE CRISTINA ANDRADE - BELLART"/>
    <n v="-363.81"/>
    <x v="0"/>
    <s v="SALARIOS"/>
  </r>
  <r>
    <x v="87"/>
    <s v="OUTUBRO"/>
    <s v="HSERV TECNOLOGIA"/>
    <s v="WELLINTON ABREU DE JESUS"/>
    <n v="-2561.04"/>
    <x v="0"/>
    <s v="RESCISÕES"/>
  </r>
  <r>
    <x v="64"/>
    <s v="OUTUBRO"/>
    <s v="HSERV TECNOLOGIA"/>
    <s v="WELLINTON ABREU DE JESUS"/>
    <n v="-211.3"/>
    <x v="0"/>
    <s v="RESCISÕES"/>
  </r>
  <r>
    <x v="87"/>
    <s v="OUTUBRO"/>
    <s v="HSERV CABREUVA"/>
    <s v="ROSANGELA CARDOSO LIRA DE OLIVEIRA-CALCULOS  ANGELICA MOREIRA  reclamada  HSERV CABREUVA"/>
    <n v="-250"/>
    <x v="0"/>
    <s v="ACORDO TRABALHISTA"/>
  </r>
  <r>
    <x v="87"/>
    <s v="OUTUBRO"/>
    <s v="HSERV CLEAN"/>
    <s v="RAPIDO LUXO CAMPINAS LTDA"/>
    <n v="-337.84"/>
    <x v="0"/>
    <s v="VALE TRANSPORTE"/>
  </r>
  <r>
    <x v="87"/>
    <s v="OUTUBRO"/>
    <s v="HENRIQUE JEAN"/>
    <s v="HENRIQUE JEAN DUARTE LTDA-CUSTAS 0010287-43.2024.5.15.0097  SHEILA PASSALINE FERRAZ"/>
    <n v="-100"/>
    <x v="0"/>
    <s v="ACORDO TRABALHISTA"/>
  </r>
  <r>
    <x v="86"/>
    <s v="OUTUBRO"/>
    <s v=" HSERV CABREUVA"/>
    <s v="VALE TRANSPORTE BASE"/>
    <n v="-10000"/>
    <x v="0"/>
    <s v="VALE TRANSPORTE"/>
  </r>
  <r>
    <x v="29"/>
    <s v="OUTUBRO"/>
    <s v=" HSERV CABREUVA"/>
    <s v="VALE TRANSPORTE BASE"/>
    <n v="-15000"/>
    <x v="0"/>
    <s v="VALE TRANSPORTE"/>
  </r>
  <r>
    <x v="88"/>
    <s v="OUTUBRO"/>
    <s v="HSERV CABREUVA"/>
    <s v="VALE TRANSPORTE MENSAL VIAÇÕES"/>
    <n v="-41000"/>
    <x v="0"/>
    <s v="VALE TRANSPORTE"/>
  </r>
  <r>
    <x v="79"/>
    <s v="OUTUBRO"/>
    <s v="REPRESENTAÇÃO"/>
    <s v="VETTOR TORRES DE RESFRIAMENTO LTDA"/>
    <n v="1500"/>
    <x v="1"/>
    <s v="VENDAS DE SERVIÇOS"/>
  </r>
  <r>
    <x v="79"/>
    <s v="OUTUBRO"/>
    <s v="REPRESENTAÇÃO"/>
    <s v="VETTOR TORRES DE RESFRIAMENTO LTDA"/>
    <n v="1200"/>
    <x v="1"/>
    <s v="VENDAS DE SERVIÇOS"/>
  </r>
  <r>
    <x v="79"/>
    <s v="OUTUBRO"/>
    <s v="REPRESENTAÇÃO"/>
    <s v="VETTOR TORRES DE RESFRIAMENTO LTDA"/>
    <n v="14482.07"/>
    <x v="1"/>
    <s v="VENDAS DE SERVIÇOS"/>
  </r>
  <r>
    <x v="79"/>
    <s v="OUTUBRO"/>
    <s v="REPRESENTAÇÃO"/>
    <s v="VETTOR TORRES DE RESFRIAMENTO LTDA"/>
    <n v="23943.3"/>
    <x v="1"/>
    <s v="VENDAS DE SERVIÇOS"/>
  </r>
  <r>
    <x v="79"/>
    <s v="OUTUBRO"/>
    <s v="REPRESENTAÇÃO"/>
    <s v="VETTOR TORRES DE RESFRIAMENTO LTDA"/>
    <n v="21852.37"/>
    <x v="1"/>
    <s v="VENDAS DE SERVIÇOS"/>
  </r>
  <r>
    <x v="79"/>
    <s v="OUTUBRO"/>
    <s v="REPRESENTAÇÃO"/>
    <s v="VETTOR TORRES DE RESFRIAMENTO LTDA"/>
    <n v="4983"/>
    <x v="1"/>
    <s v="VENDAS DE SERVIÇOS"/>
  </r>
  <r>
    <x v="54"/>
    <s v="OUTUBRO"/>
    <s v="HSERV CLEAN"/>
    <s v="SPARTAN DO BRASIL PRODUTOS QUIMICOS LTDA"/>
    <n v="-2045.3"/>
    <x v="0"/>
    <s v="MERCADORIAS PARA REVENDA"/>
  </r>
  <r>
    <x v="54"/>
    <s v="OUTUBRO"/>
    <s v="VITOR DUARTE"/>
    <s v="INFOJOBS BRASIL ATIVIDADES DE INTERNET LTDA."/>
    <n v="-1846.33"/>
    <x v="0"/>
    <s v="RECRUTAMENTO E SELEÇÃO"/>
  </r>
  <r>
    <x v="54"/>
    <s v="OUTUBRO"/>
    <s v="HSERV CABREUVA"/>
    <s v="ALINE CAMOLEZ SOARES ISCARO-RENAN GUSTAVO DA COSTA MOTA - Proc 0011848-82.2023.5.15.0018  PARCELA 1/9"/>
    <n v="-2000"/>
    <x v="0"/>
    <s v="ACORDO TRABALHISTA"/>
  </r>
  <r>
    <x v="79"/>
    <s v="OUTUBRO"/>
    <s v="REPRESENTAÇÃO"/>
    <s v="VETTOR TORRES DE RESFRIAMENTO LTDA"/>
    <n v="196"/>
    <x v="1"/>
    <s v="VENDAS DE SERVIÇOS"/>
  </r>
  <r>
    <x v="54"/>
    <s v="OUTUBRO"/>
    <s v="HENRIQUE JEAN"/>
    <s v="FELIPE NUNES MACHADO-FGTS EM ATRASO "/>
    <n v="-3550"/>
    <x v="0"/>
    <s v="IMPOSTO"/>
  </r>
  <r>
    <x v="54"/>
    <s v="OUTUBRO"/>
    <s v="HSERV TECNOLOGIA"/>
    <s v="FELIPE NUNES MACHADO"/>
    <n v="-7022.51"/>
    <x v="0"/>
    <s v="RESCISÕES"/>
  </r>
  <r>
    <x v="54"/>
    <s v="OUTUBRO"/>
    <s v="VITOR DUARTE"/>
    <s v="SUELEN DOS REIS FOSTINO FELIX"/>
    <n v="-329.28"/>
    <x v="0"/>
    <s v="RESCISÕES"/>
  </r>
  <r>
    <x v="54"/>
    <s v="OUTUBRO"/>
    <s v="VITOR DUARTE"/>
    <s v="SUELEN DOS REIS FOSTINO FELIX"/>
    <n v="-89.27"/>
    <x v="0"/>
    <s v="RESCISÕES"/>
  </r>
  <r>
    <x v="54"/>
    <s v="OUTUBRO"/>
    <s v="HENRIQUE JEAN"/>
    <s v="ELAINE CRISTINA LOPES"/>
    <n v="-1500"/>
    <x v="0"/>
    <s v="IMPOSTO"/>
  </r>
  <r>
    <x v="54"/>
    <s v="OUTUBRO"/>
    <s v="HENRIQUE JEAN"/>
    <s v="KATIA CRISTINA DOLORES DOS SANTOS-VALE ALIMENTAÇÃO ASSIS  ADMISSÃO DIA 23/09"/>
    <n v="-145.32"/>
    <x v="0"/>
    <s v="VALE ALIMENTAÇÃO"/>
  </r>
  <r>
    <x v="54"/>
    <s v="OUTUBRO"/>
    <s v="HSERV CABREUVA"/>
    <s v="GABRIEL DO NASCIMENTO NEVES"/>
    <n v="-529"/>
    <x v="0"/>
    <s v="VALE TRANSPORTE"/>
  </r>
  <r>
    <x v="54"/>
    <s v="OUTUBRO"/>
    <s v="HSERV COMBINADOS"/>
    <s v="ALTAMIRO LOPES SIQUEIRA"/>
    <n v="-319.8"/>
    <x v="0"/>
    <s v="VALE TRANSPORTE"/>
  </r>
  <r>
    <x v="54"/>
    <s v="OUTUBRO"/>
    <s v="HSERV COMBINADOS"/>
    <s v="MARIA LUCIA BENTO"/>
    <n v="-184.5"/>
    <x v="0"/>
    <s v="VALE TRANSPORTE"/>
  </r>
  <r>
    <x v="54"/>
    <s v="OUTUBRO"/>
    <s v="HSERV TECNOLOGIA"/>
    <s v="SIMONE DE OLIVEIRA SALLES"/>
    <n v="-147.6"/>
    <x v="0"/>
    <s v="VALE TRANSPORTE"/>
  </r>
  <r>
    <x v="54"/>
    <s v="OUTUBRO"/>
    <s v="HSERV TECNOLOGIA"/>
    <s v="CLAUDETE DO PRADO LOPES PEREIRA"/>
    <n v="-89.6"/>
    <x v="0"/>
    <s v="VALE TRANSPORTE"/>
  </r>
  <r>
    <x v="54"/>
    <s v="OUTUBRO"/>
    <s v="HSERV TERCEIRIZADOS"/>
    <s v="RAFAEL DA SILVA RIBEIRO"/>
    <n v="-140"/>
    <x v="0"/>
    <s v="VALE TRANSPORTE"/>
  </r>
  <r>
    <x v="54"/>
    <s v="OUTUBRO"/>
    <s v="VITOR DUARTE"/>
    <s v="NILTON LEPORES"/>
    <n v="-86.1"/>
    <x v="0"/>
    <s v="VALE TRANSPORTE"/>
  </r>
  <r>
    <x v="54"/>
    <s v="OUTUBRO"/>
    <s v="VITOR DUARTE"/>
    <s v="ANDRE LUIZ DA SILVA ALVES"/>
    <n v="-120"/>
    <x v="0"/>
    <s v="VALE TRANSPORTE"/>
  </r>
  <r>
    <x v="54"/>
    <s v="OUTUBRO"/>
    <s v="VITOR DUARTE"/>
    <s v="MARIA CRISTINA DE SOUSA GONZAGA"/>
    <n v="-86.1"/>
    <x v="0"/>
    <s v="VALE TRANSPORTE"/>
  </r>
  <r>
    <x v="54"/>
    <s v="OUTUBRO"/>
    <s v="VITOR DUARTE"/>
    <s v="ROSALINA CRISTIANE JUSTINO"/>
    <n v="-307.5"/>
    <x v="0"/>
    <s v="VALE TRANSPORTE"/>
  </r>
  <r>
    <x v="54"/>
    <s v="OUTUBRO"/>
    <s v="VITOR DUARTE"/>
    <s v="VIVA FOOD R E LTDA"/>
    <n v="-17235"/>
    <x v="0"/>
    <s v="VALE ALIMENTAÇÃO"/>
  </r>
  <r>
    <x v="90"/>
    <s v="OUTUBRO"/>
    <s v="HSERV COMBINADOS"/>
    <s v="WELLINGTON DE SOUZA FONCECA"/>
    <n v="-6999.49"/>
    <x v="0"/>
    <s v="RESCISÕES"/>
  </r>
  <r>
    <x v="90"/>
    <s v="OUTUBRO"/>
    <s v="HSERV COMBINADOS"/>
    <s v="GRRF WELLINGTON DE SOUZA FONCECA"/>
    <n v="-2365.2199999999998"/>
    <x v="0"/>
    <s v="RESCISÕES"/>
  </r>
  <r>
    <x v="90"/>
    <s v="OUTUBRO"/>
    <s v="HSERV COMBINADOS"/>
    <s v="WELLINGTON DE SOUZA FONCECA-FGTS EM ATRASO"/>
    <n v="-1986"/>
    <x v="0"/>
    <s v="IMPOSTO"/>
  </r>
  <r>
    <x v="90"/>
    <s v="OUTUBRO"/>
    <s v="HSERV TECNOLOGIA"/>
    <s v="LUCIANO FERREIRA DOS SANTOS"/>
    <n v="-7009.1"/>
    <x v="0"/>
    <s v="RESCISÕES"/>
  </r>
  <r>
    <x v="90"/>
    <s v="OUTUBRO"/>
    <s v="HSERV TECNOLOGIA"/>
    <s v="GRRF LUCIANO FERREIRA DOS SANTOS"/>
    <n v="-1321.77"/>
    <x v="0"/>
    <s v="RESCISÕES"/>
  </r>
  <r>
    <x v="90"/>
    <s v="OUTUBRO"/>
    <s v="HSERV TERCEIRIZADOS"/>
    <s v="MARISA DE SOUSA SILVA"/>
    <n v="-5270.17"/>
    <x v="0"/>
    <s v="RESCISÕES"/>
  </r>
  <r>
    <x v="90"/>
    <s v="OUTUBRO"/>
    <s v="HSERV TERCEIRIZADOS"/>
    <s v="GRRF MARISA DE SOUSA SILVA"/>
    <n v="-1430.57"/>
    <x v="0"/>
    <s v="RESCISÕES"/>
  </r>
  <r>
    <x v="90"/>
    <s v="OUTUBRO"/>
    <s v="VITOR DUARTE"/>
    <s v="ELIANE ULITZKA DOS SANTOS"/>
    <n v="-149.74"/>
    <x v="0"/>
    <s v="RESCISÕES"/>
  </r>
  <r>
    <x v="90"/>
    <s v="OUTUBRO"/>
    <s v="VITOR DUARTE"/>
    <s v="ALTOLIM COMERCIAL ASSIS EIRELI - ME"/>
    <n v="-81.635803999999993"/>
    <x v="0"/>
    <s v="UNIFORMES "/>
  </r>
  <r>
    <x v="90"/>
    <s v="OUTUBRO"/>
    <s v="VITOR DUARTE"/>
    <s v="ALTOLIM COMERCIAL ASSIS EIRELI - ME"/>
    <n v="-97.33"/>
    <x v="0"/>
    <s v="UNIFORMES "/>
  </r>
  <r>
    <x v="90"/>
    <s v="OUTUBRO"/>
    <s v="VITOR DUARTE"/>
    <s v="ALTOLIM COMERCIAL ASSIS EIRELI - ME"/>
    <n v="-15.694193"/>
    <x v="0"/>
    <s v="UNIFORMES "/>
  </r>
  <r>
    <x v="90"/>
    <s v="OUTUBRO"/>
    <s v="HSERV COMBINADOS"/>
    <s v="RITA SABINO DE MIRANDA MOURA-FT REALIZADA NOS DIAS 16/09 ATE 25/09 - PLURIX"/>
    <n v="-900"/>
    <x v="0"/>
    <s v="FT"/>
  </r>
  <r>
    <x v="90"/>
    <s v="OUTUBRO"/>
    <s v="HSERV COMBINADOS"/>
    <s v="ANTONIO LUIZ FELIX DE ALMEIDA"/>
    <n v="-3750"/>
    <x v="0"/>
    <s v="FT"/>
  </r>
  <r>
    <x v="90"/>
    <s v="OUTUBRO"/>
    <s v="VITOR DUARTE"/>
    <s v="VIVA FOOD R E LTDA"/>
    <n v="-17235"/>
    <x v="0"/>
    <s v="VALE ALIMENTAÇÃO"/>
  </r>
  <r>
    <x v="89"/>
    <s v="OUTUBRO"/>
    <s v="VITOR DUARTE"/>
    <s v="VIVA FOOD R E LTDA"/>
    <n v="-17235"/>
    <x v="0"/>
    <s v="VALE ALIMENTAÇÃO"/>
  </r>
  <r>
    <x v="92"/>
    <s v="OUTUBRO"/>
    <s v="HSERV COMBINADOS"/>
    <s v="CONDOMINIO DE CONSTRUCAO DO EDIFICIO COMERCIAL CBM TOWER PARCELA 48/48"/>
    <n v="-1480.5"/>
    <x v="0"/>
    <s v="APORTE"/>
  </r>
  <r>
    <x v="92"/>
    <s v="OUTUBRO"/>
    <s v="HSERV TERCEIRIZADOS"/>
    <s v="LOTUS CENTRAL DE DISTRIBUICAO DE HIGIENICOS LTDA"/>
    <n v="-457.16"/>
    <x v="0"/>
    <s v="MERCADORIA PARA REVENDA"/>
  </r>
  <r>
    <x v="92"/>
    <s v="OUTUBRO"/>
    <s v="VITOR DUARTE"/>
    <s v="VIVA FOOD R E LTDA"/>
    <n v="-17235"/>
    <x v="0"/>
    <s v="VALE ALIMENTAÇÃO"/>
  </r>
  <r>
    <x v="29"/>
    <s v="OUTUBRO"/>
    <s v="HSERV CLEAN"/>
    <s v="JOSE JONAS DE ARAUJO SILVA"/>
    <n v="-3968.99"/>
    <x v="0"/>
    <s v="ACORDO TRABALHISTA"/>
  </r>
  <r>
    <x v="29"/>
    <s v="OUTUBRO"/>
    <s v="VITOR DUARTE"/>
    <s v="VIVA FOOD R E LTDA"/>
    <n v="-17235"/>
    <x v="0"/>
    <s v="VALE ALIMENTAÇÃO"/>
  </r>
  <r>
    <x v="29"/>
    <s v="OUTUBRO"/>
    <s v="LIMPEZA"/>
    <s v="EDMAR APARECIDO MARTINEZ"/>
    <n v="799.2"/>
    <x v="1"/>
    <s v="VENDAS DE SERVIÇOS"/>
  </r>
  <r>
    <x v="29"/>
    <s v="OUTUBRO"/>
    <s v="LIMPEZA"/>
    <s v="EDMAR APARECIDO MARTINEZ"/>
    <n v="18532.8"/>
    <x v="1"/>
    <s v="VENDAS DE SERVIÇOS"/>
  </r>
  <r>
    <x v="29"/>
    <s v="OUTUBRO"/>
    <s v="TECNOLOGIA"/>
    <s v="INTERBRILHO HIGIENE E LIMPEZA LTDA"/>
    <n v="23638.67"/>
    <x v="1"/>
    <s v="VENDAS DE SERVIÇOS"/>
  </r>
  <r>
    <x v="29"/>
    <s v="OUTUBRO"/>
    <s v="COMBINADOS"/>
    <s v="TECNIPLAS EQUIPAMENTOS EM COMPOSITOS EIR"/>
    <n v="22451.91"/>
    <x v="1"/>
    <s v="VENDAS DE SERVIÇOS"/>
  </r>
  <r>
    <x v="29"/>
    <s v="OUTUBRO"/>
    <s v="REPRESENTAÇÃO"/>
    <s v="VETTOR TORRES DE RESFRIAMENTO LTDA"/>
    <n v="14482.07"/>
    <x v="1"/>
    <s v="VENDAS DE SERVIÇOS"/>
  </r>
  <r>
    <x v="29"/>
    <s v="OUTUBRO"/>
    <s v="REPRESENTAÇÃO"/>
    <s v="VETTOR TORRES DE RESFRIAMENTO LTDA"/>
    <n v="23943.3"/>
    <x v="1"/>
    <s v="VENDAS DE SERVIÇOS"/>
  </r>
  <r>
    <x v="29"/>
    <s v="OUTUBRO"/>
    <s v="REPRESENTAÇÃO"/>
    <s v="VETTOR TORRES DE RESFRIAMENTO LTDA"/>
    <n v="21852.37"/>
    <x v="1"/>
    <s v="VENDAS DE SERVIÇOS"/>
  </r>
  <r>
    <x v="29"/>
    <s v="OUTUBRO"/>
    <s v="REPRESENTAÇÃO"/>
    <s v="VETTOR TORRES DE RESFRIAMENTO LTDA"/>
    <n v="4683.53"/>
    <x v="1"/>
    <s v="VENDAS DE SERVIÇOS"/>
  </r>
  <r>
    <x v="29"/>
    <s v="OUTUBRO"/>
    <s v="REPRESENTAÇÃO"/>
    <s v="VETTOR TORRES DE RESFRIAMENTO LTDA"/>
    <n v="196"/>
    <x v="1"/>
    <s v="VENDAS DE SERVIÇOS"/>
  </r>
  <r>
    <x v="90"/>
    <s v="OUTUBRO"/>
    <s v="HENRIQUE JEAN"/>
    <s v="SANTOS SEPULVEDA SOCIEDADE INDIVIDUAL DE ADVOCACIA- - PROC 0010895-75.2023.5.15.009-AMANDA BRITO SANTOS PARCELA 6/16"/>
    <n v="-1000"/>
    <x v="0"/>
    <s v="ACORDO TRABALHISTA"/>
  </r>
  <r>
    <x v="86"/>
    <s v="OUTUBRO"/>
    <s v="HSERV TERCEIRIZADOS"/>
    <s v="ESCOBRAS INDUSTRIA E COMERCIO DE MAQUINAS LTDA"/>
    <n v="-900"/>
    <x v="0"/>
    <s v="MANUTENÇÃO "/>
  </r>
  <r>
    <x v="86"/>
    <s v="OUTUBRO"/>
    <s v="HSERV CABREUVA"/>
    <s v="HSERV GUIA INSS Proc 0011252-29.2021.5.15.0096 AUTOR: DANILO MIGUEL DA SILVA MARIANO"/>
    <n v="-675.37"/>
    <x v="0"/>
    <s v="ACORDO TRABALHISTA"/>
  </r>
  <r>
    <x v="86"/>
    <s v="OUTUBRO"/>
    <s v="HSERV CABREUVA"/>
    <s v="HSERV-CUSTA Proc 0011252-29.2021.5.15.0096 AUTOR: DANILO MIGUEL DA SILVA MARIANO"/>
    <n v="-200"/>
    <x v="0"/>
    <s v="ACORDO TRABALHISTA"/>
  </r>
  <r>
    <x v="86"/>
    <s v="OUTUBRO"/>
    <s v="HSERV CABREUVA"/>
    <s v="HSERV-PERICIA Proc 0011252-29.2021.5.15.0096 AUTOR: DANILO MIGUEL DA SILVA MARIANO"/>
    <n v="-3000"/>
    <x v="0"/>
    <s v="ACORDO TRABALHISTA"/>
  </r>
  <r>
    <x v="86"/>
    <s v="OUTUBRO"/>
    <s v="HSERV CABREUVA"/>
    <s v="ZAMBONI, SOUSA, CARVALHO &amp; MARIANO --PROC 0012075-66.2022.5.15.0096 -CLAUDIA ARAUJO DOS SANTOS-PARCELA 5/6"/>
    <n v="-10000"/>
    <x v="0"/>
    <s v="ACORDO TRABALHISTA"/>
  </r>
  <r>
    <x v="38"/>
    <s v="OUTUBRO"/>
    <s v="HSERV CABREUVA"/>
    <s v="TIAGO JOSE DE FREITAS OLIVEIRA"/>
    <n v="-3200"/>
    <x v="0"/>
    <s v="ACORDO TRABALHISTA"/>
  </r>
  <r>
    <x v="38"/>
    <s v="OUTUBRO"/>
    <s v="HSERV CABREUVA"/>
    <s v="LUCAS LEONARDO MARQUES DE OLIVEIRA"/>
    <n v="-2000"/>
    <x v="0"/>
    <s v="ACORDO TRABALHISTA"/>
  </r>
  <r>
    <x v="38"/>
    <s v="OUTUBRO"/>
    <s v="HSERV CABREUVA"/>
    <s v="ARAUJO E RIOS ADVOGADOS ASSOCIADOS"/>
    <n v="-3836.54"/>
    <x v="0"/>
    <s v="ACORDO TRABALHISTA"/>
  </r>
  <r>
    <x v="38"/>
    <s v="OUTUBRO"/>
    <s v="HSERV CLEAN"/>
    <s v="ANA PAULA HERKES MARTINS"/>
    <n v="-2500"/>
    <x v="0"/>
    <s v="ACORDO TRABALHISTA"/>
  </r>
  <r>
    <x v="38"/>
    <s v="OUTUBRO"/>
    <s v="HSERV LIMPEZA"/>
    <s v="JUAN PHILIPY STEPHANO AMARO SOCIEDADE INDIVIDUAL DE ADVOCACI"/>
    <n v="-1000"/>
    <x v="0"/>
    <s v="ACORDO TRABALHISTA"/>
  </r>
  <r>
    <x v="38"/>
    <s v="OUTUBRO"/>
    <s v="VITOR DUARTE"/>
    <s v="VALERIA GEOVANNA DOS SANTOS"/>
    <n v="-1916.67"/>
    <x v="0"/>
    <s v="ACORDO TRABALHISTA"/>
  </r>
  <r>
    <x v="38"/>
    <s v="OUTUBRO"/>
    <s v="VITOR DUARTE"/>
    <s v="IVAN MARQUES DOS SANTOS"/>
    <n v="-2864.92"/>
    <x v="0"/>
    <s v="ACORDO TRABALHISTA"/>
  </r>
  <r>
    <x v="38"/>
    <s v="OUTUBRO"/>
    <s v="VITOR DUARTE"/>
    <s v="JURANDIR BAVOSO JUNIOR Proc 0010814-86.2024.5.15.0002 RECLAMANTE: JUAN ERICK REIS DOS SANTOS PARCEL 4/12"/>
    <n v="-2000"/>
    <x v="0"/>
    <s v="ACORDO TRABALHISTA"/>
  </r>
  <r>
    <x v="33"/>
    <s v="NOVEMBRO"/>
    <s v="VITOR DUARTE"/>
    <s v="JURANDIR BAVOSO JUNIOR Proc 0010814-86.2024.5.15.0002 RECLAMANTE: JUAN ERICK REIS DOS SANTOS PARCEL 5/12"/>
    <n v="-2000"/>
    <x v="0"/>
    <s v="ACORDO TRABALHISTA"/>
  </r>
  <r>
    <x v="97"/>
    <s v="DEZEMBRO"/>
    <s v="VITOR DUARTE"/>
    <s v="JURANDIR BAVOSO JUNIOR Proc 0010814-86.2024.5.15.0002 RECLAMANTE: JUAN ERICK REIS DOS SANTOS PARCEL 6/12"/>
    <n v="-2000"/>
    <x v="0"/>
    <s v="ACORDO TRABALHISTA"/>
  </r>
  <r>
    <x v="38"/>
    <s v="OUTUBRO"/>
    <s v="VITOR DUARTE"/>
    <s v="SCHWARTZ E KEDE SOCIEDADE DE ADVOGADOS PROC 0010117-02.2023.5.15.0002  AUTOR: DAIANE OLIVEIRA DIAS DO PRADO  PARCELA 2/16"/>
    <n v="-3933.34"/>
    <x v="0"/>
    <s v="ACORDO TRABALHISTA"/>
  </r>
  <r>
    <x v="33"/>
    <s v="NOVEMBRO"/>
    <s v="VITOR DUARTE"/>
    <s v="SCHWARTZ E KEDE SOCIEDADE DE ADVOGADOS PROC 0010117-02.2023.5.15.0002  AUTOR: DAIANE OLIVEIRA DIAS DO PRADO  PARCELA 3/16"/>
    <n v="-3933.34"/>
    <x v="0"/>
    <s v="ACORDO TRABALHISTA"/>
  </r>
  <r>
    <x v="97"/>
    <s v="DEZEMBRO"/>
    <s v="VITOR DUARTE"/>
    <s v="SCHWARTZ E KEDE SOCIEDADE DE ADVOGADOS PROC 0010117-02.2023.5.15.0002  AUTOR: DAIANE OLIVEIRA DIAS DO PRADO  PARCELA 4/16"/>
    <n v="-3933.34"/>
    <x v="0"/>
    <s v="ACORDO TRABALHISTA"/>
  </r>
  <r>
    <x v="38"/>
    <s v="OUTUBRO"/>
    <s v="HSERV CABREUVA"/>
    <s v="FERNANDO APARECIDO DOS SANTOS Proc 0013031-54.2024.5.15.0018 RECLAMANTE: MANOEL ROBERTO DE SOUSA  PARCELA 4/17"/>
    <n v="-3000"/>
    <x v="0"/>
    <s v="ACORDO TRABALHISTA"/>
  </r>
  <r>
    <x v="33"/>
    <s v="NOVEMBRO"/>
    <s v="HSERV CABREUVA"/>
    <s v="FERNANDO APARECIDO DOS SANTOS Proc 0013031-54.2024.5.15.0018 RECLAMANTE: MANOEL ROBERTO DE SOUSA  PARCELA 5/17"/>
    <n v="-3000"/>
    <x v="0"/>
    <s v="ACORDO TRABALHISTA"/>
  </r>
  <r>
    <x v="97"/>
    <s v="DEZEMBRO"/>
    <s v="HSERV CABREUVA"/>
    <s v="FERNANDO APARECIDO DOS SANTOS Proc 0013031-54.2024.5.15.0018 RECLAMANTE: MANOEL ROBERTO DE SOUSA  PARCELA 6/17"/>
    <n v="-3000"/>
    <x v="0"/>
    <s v="ACORDO TRABALHISTA"/>
  </r>
  <r>
    <x v="38"/>
    <s v="OUTUBRO"/>
    <s v="VITOR DUARTE"/>
    <s v="ALTOLIM COMERCIAL ASSIS EIRELI - ME"/>
    <n v="-107.14"/>
    <x v="0"/>
    <s v="MERCADORIA PARA REVENDA"/>
  </r>
  <r>
    <x v="38"/>
    <s v="OUTUBRO"/>
    <s v="VITOR DUARTE"/>
    <s v="QUEILA JESUS BERNARDES DE OLIVEIRA"/>
    <n v="-2625"/>
    <x v="0"/>
    <s v="FÉRIAS"/>
  </r>
  <r>
    <x v="38"/>
    <s v="OUTUBRO"/>
    <s v="VITOR DUARTE"/>
    <s v="LUAN VIEIRA BARRETO"/>
    <n v="-1400"/>
    <x v="0"/>
    <s v="ACORDO TRABALHISTA"/>
  </r>
  <r>
    <x v="98"/>
    <s v="OUTUBRO"/>
    <s v="HSERV CLEAN"/>
    <s v="SPARTAN DO BRASIL PRODUTOS QUIMICOS LTDA"/>
    <n v="-4484.6899999999996"/>
    <x v="0"/>
    <s v="MERCADORIAS PARA REVENDA"/>
  </r>
  <r>
    <x v="98"/>
    <s v="OUTUBRO"/>
    <s v="HSERV CLEAN"/>
    <s v="RSC COM. MAT.P/ CONSTRUCAO LTDA."/>
    <n v="-139.53"/>
    <x v="0"/>
    <s v="MANUTENÇÃO "/>
  </r>
  <r>
    <x v="98"/>
    <s v="OUTUBRO"/>
    <s v="HSERV TERCEIRIZADOS"/>
    <s v="LOTUS CENTRAL DE DISTRIBUICAO DE HIGIENICOS LTDA"/>
    <n v="-827.13"/>
    <x v="0"/>
    <s v="MERCADORIAS PARA REVENDA"/>
  </r>
  <r>
    <x v="98"/>
    <s v="OUTUBRO"/>
    <s v="VITOR DUARTE"/>
    <s v="RESOLVE ALIMENTACAO LTDA"/>
    <n v="-711.2"/>
    <x v="0"/>
    <s v="VALE ALIMENTAÇAO"/>
  </r>
  <r>
    <x v="98"/>
    <s v="OUTUBRO"/>
    <s v="HSERV TERCEIRIZADOS"/>
    <s v="WIG COMERCIO DE BATERIAS COMPONENTES LTDA"/>
    <n v="-886.66"/>
    <x v="0"/>
    <s v="MANUTENÇÃO "/>
  </r>
  <r>
    <x v="98"/>
    <s v="OUTUBRO"/>
    <s v="VITOR DUARTE"/>
    <s v="L. A. DE SOUZA - EQUIPAMENTOS DE SEGURANCA LTDA"/>
    <n v="-372"/>
    <x v="0"/>
    <s v="UNIFORMES "/>
  </r>
  <r>
    <x v="98"/>
    <s v="OUTUBRO"/>
    <s v="HSERV REPRESENTACOES"/>
    <s v="OKUYAMA &amp; ALVES SOCIEDADE DE ADVOGADOSS - PROC 0012457-65.2023.5.15.0018 -JESSICA BARROS DOS SANTO PARCELA 6/8"/>
    <n v="-2000"/>
    <x v="0"/>
    <s v="ACORDO TRABALHISTA"/>
  </r>
  <r>
    <x v="86"/>
    <s v="OUTUBRO"/>
    <s v="HSERV REPRESENTACOES"/>
    <s v="OKUYAMA &amp; ALVES SOCIEDADE DE ADVOGADOS- PROC 0012465-42.2023.5.15.0018-PROC GENILDA MARIA DA SILVA PARCELA 6/8"/>
    <n v="-2000"/>
    <x v="0"/>
    <s v="ACORDO TRABALHISTA"/>
  </r>
  <r>
    <x v="79"/>
    <s v="OUTUBRO"/>
    <s v="HSERV COMBINADOS"/>
    <s v="DAMIAO BERNARDO DA SILVA"/>
    <n v="-469.2"/>
    <x v="0"/>
    <s v="VALE TRANSPORTE"/>
  </r>
  <r>
    <x v="79"/>
    <s v="OUTUBRO"/>
    <s v="HSERV COMBINADOS"/>
    <s v="MARIA ISABELE CELESTE DUARTE"/>
    <n v="-306.8"/>
    <x v="0"/>
    <s v="VALE TRANSPORTE"/>
  </r>
  <r>
    <x v="79"/>
    <s v="OUTUBRO"/>
    <s v="HSERV COMBINADOS"/>
    <s v="ROSANGELA MARIA CALO"/>
    <n v="-306.8"/>
    <x v="0"/>
    <s v="VALE TRANSPORTE"/>
  </r>
  <r>
    <x v="79"/>
    <s v="OUTUBRO"/>
    <s v="VITOR DUARTE"/>
    <s v="CATIA GUIMARAES DE SOUZA-VALE ALIMENTAÇÃO DO DIA 26/09 AO DIA 30/09 R$20,76  POR DIA"/>
    <n v="-62.28"/>
    <x v="0"/>
    <s v="VALE ALIMENTAÇAO"/>
  </r>
  <r>
    <x v="79"/>
    <s v="OUTUBRO"/>
    <s v="HSERV CLEAN"/>
    <s v="JOAO ORLANDO GASPARETO"/>
    <n v="-100"/>
    <x v="0"/>
    <s v="VALE TRANSPORTE"/>
  </r>
  <r>
    <x v="79"/>
    <s v="OUTUBRO"/>
    <s v="HSERV COMBINADOS"/>
    <s v="PRISCILA DE JESUS RIBEIRO"/>
    <n v="-116.4"/>
    <x v="0"/>
    <s v="VALE TRANSPORTE"/>
  </r>
  <r>
    <x v="79"/>
    <s v="OUTUBRO"/>
    <s v="HSERV CABREUVA"/>
    <s v="RAPIDO LUXO CAMPINAS LTDA"/>
    <n v="-337.84"/>
    <x v="0"/>
    <s v="VALE TRANSPORTE"/>
  </r>
  <r>
    <x v="79"/>
    <s v="OUTUBRO"/>
    <s v="HENRIQUE JEAN"/>
    <s v="MARIA DELAIDE DA SILVA OLIVEIRA"/>
    <n v="-1263.33"/>
    <x v="0"/>
    <s v="RESCISÕES"/>
  </r>
  <r>
    <x v="79"/>
    <s v="OUTUBRO"/>
    <s v="HSERV TECNOLOGIA"/>
    <s v="ROSANGELA FREIRE DE MATOS ARAUJO"/>
    <n v="-593.25"/>
    <x v="0"/>
    <s v="RESCISÕES"/>
  </r>
  <r>
    <x v="79"/>
    <s v="OUTUBRO"/>
    <s v="VITOR DUARTE"/>
    <s v="ROGERIO MAZZA TROISE -Proc 0011590-34.2021.5.15.0021 AUTOR: MARIA ANA ALVES DE OLIVEIRA "/>
    <n v="-1848.63"/>
    <x v="0"/>
    <s v="ACORDO TRABALHISTA"/>
  </r>
  <r>
    <x v="79"/>
    <s v="OUTUBRO"/>
    <s v="HSERV TERCEIRIZADOS"/>
    <s v="LOTUS CENTRAL DE DISTRIBUICAO DE HIGIENICOS LTDA - NF 217.959"/>
    <n v="-985.45"/>
    <x v="0"/>
    <s v="MERCADORIA PARA REVENDA"/>
  </r>
  <r>
    <x v="79"/>
    <s v="OUTUBRO"/>
    <s v="VITOR DUARTE"/>
    <s v="TADIM NEVES SOCIEDADE INDIVIDUAL DE ADVOCACIA -PROC  - 0012114-44.2023.5.15.0188-ADILIO SANTOS SOUZA PARCELA 8/8"/>
    <n v="-1848.63"/>
    <x v="0"/>
    <s v="ACORDO TRABALHISTA"/>
  </r>
  <r>
    <x v="99"/>
    <s v="NOVEMBRO"/>
    <s v="HSERV CABREUVA"/>
    <s v="ELEKTRO SALA 16"/>
    <n v="-650"/>
    <x v="0"/>
    <s v="ENERGIA ELETRICA"/>
  </r>
  <r>
    <x v="99"/>
    <s v="NOVEMBRO"/>
    <s v="HSERV CABREUVA"/>
    <s v="ELEKTRO SALA 17"/>
    <n v="-320"/>
    <x v="0"/>
    <s v="ENERGIA ELETRICA"/>
  </r>
  <r>
    <x v="99"/>
    <s v="NOVEMBRO"/>
    <s v="HSERV CABREUVA"/>
    <s v="ELEKTRO SALA 18"/>
    <n v="-350"/>
    <x v="0"/>
    <s v="ENERGIA ELETRICA"/>
  </r>
  <r>
    <x v="99"/>
    <s v="NOVEMBRO"/>
    <s v="HSERV CABREUVA"/>
    <s v="ELEKTRO LOJA CLEAN"/>
    <n v="-201"/>
    <x v="0"/>
    <s v="ENERGIA ELETRICA"/>
  </r>
  <r>
    <x v="99"/>
    <s v="NOVEMBRO"/>
    <s v="HSERV COMBINADOS "/>
    <s v="CAIXINHA OPERACIONAL - OSSIRES"/>
    <n v="-2000"/>
    <x v="0"/>
    <s v="CAIXINHA"/>
  </r>
  <r>
    <x v="99"/>
    <s v="NOVEMBRO"/>
    <s v="HSERV COMBINADOS "/>
    <s v="CAIXINHA OPERACIONAL "/>
    <n v="-5000"/>
    <x v="0"/>
    <s v="CAIXINHA"/>
  </r>
  <r>
    <x v="65"/>
    <s v="NOVEMBRO"/>
    <s v="VITOR DUARTE"/>
    <s v="VIVA FOOD R E LTDA"/>
    <n v="-17235"/>
    <x v="0"/>
    <s v="VALE ALIMENTAÇÃO"/>
  </r>
  <r>
    <x v="99"/>
    <s v="NOVEMBRO"/>
    <s v="HSERV CABREUVA"/>
    <s v="ALINE CAMOLEZ SOARES ISCARO-RENAN GUSTAVO DA COSTA MOTA - Proc 0011848-82.2023.5.15.0018  HSERV CABREUVA - SERVIÇOS E COMÉRCIO LTDA PARCELA 2/9"/>
    <n v="-2000"/>
    <x v="0"/>
    <s v="ACORDO TRABALHISTA"/>
  </r>
  <r>
    <x v="100"/>
    <s v="DEZEMBRO"/>
    <s v="HSERV CABREUVA"/>
    <s v="ALINE CAMOLEZ SOARES ISCARO-RENAN GUSTAVO DA COSTA MOTA - Proc 0011848-82.2023.5.15.0018  HSERV CABREUVA - SERVIÇOS E COMÉRCIO LTDA PARCELA 3/9"/>
    <n v="-2000"/>
    <x v="0"/>
    <s v="ACORDO TRABALHISTA"/>
  </r>
  <r>
    <x v="99"/>
    <s v="NOVEMBRO"/>
    <s v="HSERV CLEAN"/>
    <s v="BANCO SAFRA S A-TARIFA BANCARIA"/>
    <n v="-279"/>
    <x v="0"/>
    <s v="TARIFA BANCARIA"/>
  </r>
  <r>
    <x v="100"/>
    <s v="DEZEMBRO"/>
    <s v="HSERV CLEAN"/>
    <s v="BANCO SAFRA S A-TARIFA BANCARIA"/>
    <n v="-279"/>
    <x v="0"/>
    <s v="TARIFA BANCARIA"/>
  </r>
  <r>
    <x v="99"/>
    <s v="NOVEMBRO"/>
    <s v="HSERV CLEAN"/>
    <s v="INFOJOBS BRASIL ATIVIDADES DE INTERNET LTDA."/>
    <n v="-1846.33"/>
    <x v="0"/>
    <s v="RECRUTAMENTO E SELEÇÃO"/>
  </r>
  <r>
    <x v="100"/>
    <s v="DEZEMBRO"/>
    <s v="VITOR DUARTE"/>
    <s v="INFOJOBS BRASIL ATIVIDADES DE INTERNET LTDA."/>
    <n v="-1846.33"/>
    <x v="0"/>
    <s v="RECRUTAMENTO E SELEÇÃO"/>
  </r>
  <r>
    <x v="99"/>
    <s v="NOVEMBRO"/>
    <s v="HSERV TERCEIRIZADOS ND"/>
    <s v="_x0009_ENCARGOS LIMITE DE CRED- HSERV TERCERIZADOS BRADESCO "/>
    <n v="-900"/>
    <x v="0"/>
    <s v="ENCARGOS"/>
  </r>
  <r>
    <x v="101"/>
    <s v="NOVEMBRO"/>
    <s v="HSERV CABREUVA"/>
    <s v="BANCO ITAUCARD S.A.- "/>
    <n v="-3809.98"/>
    <x v="0"/>
    <s v="FINANCIAMENTO"/>
  </r>
  <r>
    <x v="101"/>
    <s v="NOVEMBRO"/>
    <s v="HSERV CABREUVA"/>
    <s v="TAR PLANO ADAPT 3 05/24"/>
    <n v="-349"/>
    <x v="0"/>
    <s v="TARIFA BANCARIA"/>
  </r>
  <r>
    <x v="101"/>
    <s v="NOVEMBRO"/>
    <s v="HSERV TERCERIZADOS"/>
    <s v="TAR PLANO ADAPT 3 05/24"/>
    <n v="-389"/>
    <x v="0"/>
    <s v="TARIFA BANCARIA"/>
  </r>
  <r>
    <x v="101"/>
    <s v="NOVEMBRO"/>
    <s v="HSERV COMBINADOS"/>
    <s v="TAR PLANO ADAPT 3 05/24"/>
    <n v="-349"/>
    <x v="0"/>
    <s v="TARIFA BANCARIA"/>
  </r>
  <r>
    <x v="101"/>
    <s v="NOVEMBRO"/>
    <s v="HENRIQUE JEAN"/>
    <s v="TAR PLANO ADAPT 3 05/24"/>
    <n v="-349"/>
    <x v="0"/>
    <s v="TARIFA BANCARIA"/>
  </r>
  <r>
    <x v="102"/>
    <s v="NOVEMBRO"/>
    <s v="HSERV TECNOLOGIA"/>
    <s v="TAR PLANO ADAPT 3 05/24"/>
    <n v="-389"/>
    <x v="0"/>
    <s v="TARIFA BANCARIA"/>
  </r>
  <r>
    <x v="101"/>
    <s v="NOVEMBRO"/>
    <s v="HSERV LIMPEZA"/>
    <s v="TAR PLANO ADAPT 3 05/24"/>
    <n v="-389"/>
    <x v="0"/>
    <s v="TARIFA BANCARIA"/>
  </r>
  <r>
    <x v="101"/>
    <s v="NOVEMBRO"/>
    <s v="HSERV REPRESENTAÇÃO"/>
    <s v="TAR PLANO ADAPT 3 05/24"/>
    <n v="-389"/>
    <x v="0"/>
    <s v="TARIFA BANCARIA"/>
  </r>
  <r>
    <x v="103"/>
    <s v="NOVEMBRO"/>
    <s v="HSERV CLEAN"/>
    <s v="SPARTAN DO BRASIL PRODUTOS QUIMICOS LTDA"/>
    <n v="-4057.41"/>
    <x v="0"/>
    <s v="MERCADORIAS PARA REVENDA"/>
  </r>
  <r>
    <x v="103"/>
    <s v="NOVEMBRO"/>
    <s v="HSERV TERCEIRIZADOS"/>
    <s v="STAR CLEAN PRO INDUSTRIA E COMERCIO DE EQUIPAMENTOS DE LIMPE"/>
    <n v="-643.75984300000005"/>
    <x v="0"/>
    <s v="MERCADORIAS PARA REVENDA"/>
  </r>
  <r>
    <x v="103"/>
    <s v="NOVEMBRO"/>
    <s v="HSERV CABREUVA "/>
    <s v="CREDIFIT"/>
    <n v="-2000"/>
    <x v="0"/>
    <s v="CONSIGNADO"/>
  </r>
  <r>
    <x v="65"/>
    <s v="NOVEMBRO"/>
    <s v="HSERV CABREUVA"/>
    <s v="SALARIO CLT, PENSÃO ALIMENTICIA, BONUS-"/>
    <n v="-468000"/>
    <x v="0"/>
    <s v="SALARIOS"/>
  </r>
  <r>
    <x v="65"/>
    <s v="NOVEMBRO"/>
    <s v="HSERV CABREUVA"/>
    <s v="ESTER CARDOZO DE LIMA "/>
    <n v="-500"/>
    <x v="0"/>
    <s v="SALARIOS"/>
  </r>
  <r>
    <x v="65"/>
    <s v="NOVEMBRO"/>
    <s v="HSERV CABREUVA"/>
    <s v="MEI  "/>
    <n v="-15000"/>
    <x v="0"/>
    <s v="SALARIOS"/>
  </r>
  <r>
    <x v="104"/>
    <s v="NOVEMBRO"/>
    <s v="HSERV CLEAN"/>
    <s v="EMPRESTIMO HSERV CLEAN BRADESCO M-PARCELA MENSAL"/>
    <n v="-5523.75"/>
    <x v="0"/>
    <s v="EMPRESTIMO "/>
  </r>
  <r>
    <x v="65"/>
    <s v="NOVEMBRO"/>
    <s v="HSERV COMBINADOS "/>
    <s v="FT ASSIS E REGIÃO- "/>
    <n v="-7000"/>
    <x v="0"/>
    <s v="FT"/>
  </r>
  <r>
    <x v="105"/>
    <s v="NOVEMBRO"/>
    <s v="VITOR DUARTE"/>
    <s v="VIVA FOOD R E LTDA"/>
    <n v="-17235"/>
    <x v="0"/>
    <s v="VALE ALIMENTAÇÃO"/>
  </r>
  <r>
    <x v="106"/>
    <s v="NOVEMBRO"/>
    <s v="HSERV TECNOLOGIA"/>
    <s v="PAPEL E CIA"/>
    <n v="-700"/>
    <x v="0"/>
    <s v="MATERIAL DE ESCRITÓRIO"/>
  </r>
  <r>
    <x v="106"/>
    <s v="NOVEMBRO"/>
    <s v="HSERV COMBINADOS "/>
    <s v="BRASIL MEDICINE - PROVISÃO "/>
    <n v="-9000"/>
    <x v="0"/>
    <s v="SINDICATO"/>
  </r>
  <r>
    <x v="106"/>
    <s v="NOVEMBRO"/>
    <s v="HSERV CABREUVA"/>
    <s v="SERGIO LUIZ BERTOLO"/>
    <n v="-290"/>
    <x v="0"/>
    <s v="ALUGUEL DE IMOVEIS"/>
  </r>
  <r>
    <x v="106"/>
    <s v="NOVEMBRO"/>
    <s v="HSERV COMBINADOS "/>
    <s v="JAIR RÉ"/>
    <n v="-1000"/>
    <x v="0"/>
    <s v="COMISSOES"/>
  </r>
  <r>
    <x v="106"/>
    <s v="NOVEMBRO"/>
    <s v="VITOR DUARTE"/>
    <s v="MARCASA-SEGURANÇA VEPAKUM"/>
    <n v="-10500"/>
    <x v="0"/>
    <s v="SEGURANÇAS"/>
  </r>
  <r>
    <x v="106"/>
    <s v="NOVEMBRO"/>
    <s v="HSERV COMBINADOS "/>
    <s v="JHONNY WALACE"/>
    <n v="-1000"/>
    <x v="0"/>
    <s v="COMISSOES"/>
  </r>
  <r>
    <x v="106"/>
    <s v="NOVEMBRO"/>
    <s v="HENRIQUE JEAN"/>
    <s v="PROLABORE SOCIOS CRISTIANE-MARIA JOSE, GUTHIERRI"/>
    <n v="-3000"/>
    <x v="0"/>
    <s v="PROLABORE"/>
  </r>
  <r>
    <x v="106"/>
    <s v="NOVEMBRO"/>
    <s v="HSERV CLEAN"/>
    <s v="INTERMEDICA"/>
    <n v="-6536.85"/>
    <x v="0"/>
    <s v="CONVENIO MEDICO"/>
  </r>
  <r>
    <x v="106"/>
    <s v="NOVEMBRO"/>
    <s v="HSERV CABREUVA"/>
    <s v="AUTO POSTO JARDIM DAS HORTENCI"/>
    <n v="-9500"/>
    <x v="0"/>
    <s v="COMBUSTIVEL E PEDAGIO"/>
  </r>
  <r>
    <x v="106"/>
    <s v="NOVEMBRO"/>
    <s v="HENRIQUE JEAN ND"/>
    <s v="FIT ADM (VIDA NOVA) 34-07"/>
    <n v="-432"/>
    <x v="0"/>
    <s v="RESERVA"/>
  </r>
  <r>
    <x v="106"/>
    <s v="NOVEMBRO"/>
    <s v="VITOR  DUARTE"/>
    <s v="RONDAWEB CONEXOES LTDA"/>
    <n v="-553.25"/>
    <x v="0"/>
    <s v="SISTEMA"/>
  </r>
  <r>
    <x v="104"/>
    <s v="NOVEMBRO"/>
    <s v="HSERV TERCEIRIZADOS"/>
    <s v="MOVIDA PARTICIPACOES S.A.-"/>
    <n v="-4347.01"/>
    <x v="0"/>
    <s v="ALUGUEL DE VEICULOS"/>
  </r>
  <r>
    <x v="104"/>
    <s v="NOVEMBRO"/>
    <s v="HSERV TERCEIRIZADOS"/>
    <s v="MOVIDA PARTICIPACOES S.A.-"/>
    <n v="-2173.96"/>
    <x v="0"/>
    <s v="ALUGUEL DE VEICULOS"/>
  </r>
  <r>
    <x v="107"/>
    <s v="NOVEMBRO"/>
    <s v="HSERV CABREUVA"/>
    <s v="RESCISÕES"/>
    <n v="-35000"/>
    <x v="0"/>
    <s v="RESCISÕES"/>
  </r>
  <r>
    <x v="104"/>
    <s v="NOVEMBRO"/>
    <s v="HSERV CABREUVA"/>
    <s v=" MEI"/>
    <n v="-90000"/>
    <x v="0"/>
    <s v="SALARIOS"/>
  </r>
  <r>
    <x v="104"/>
    <s v="NOVEMBRO"/>
    <s v="HSERV CABREUVA"/>
    <s v="ASSIDUIDADE"/>
    <n v="-40000"/>
    <x v="0"/>
    <s v="ASSIDUIDADE"/>
  </r>
  <r>
    <x v="104"/>
    <s v="NOVEMBRO"/>
    <s v="HSERV CABREUVA"/>
    <s v="VALE ALIMENTAÇÃO MENSAL -"/>
    <n v="-90000"/>
    <x v="0"/>
    <s v="VALE ALIMENTAÇÃO"/>
  </r>
  <r>
    <x v="104"/>
    <s v="NOVEMBRO"/>
    <s v=" HSERV CABREUVA"/>
    <s v="VALE TRANSPORTE BASE"/>
    <n v="-10000"/>
    <x v="0"/>
    <s v="VALE TRANSPORTE"/>
  </r>
  <r>
    <x v="104"/>
    <s v="NOVEMBRO"/>
    <s v="VITOR DUARTE"/>
    <s v="BOLETO OTAVIO"/>
    <n v="-20000"/>
    <x v="0"/>
    <s v="PROLABORE"/>
  </r>
  <r>
    <x v="104"/>
    <s v="NOVEMBRO"/>
    <s v="VITOR DUARTE"/>
    <s v="MARISA DE SOUSA SILVA"/>
    <n v="-145"/>
    <x v="0"/>
    <s v="CESTA BASICA"/>
  </r>
  <r>
    <x v="104"/>
    <s v="NOVEMBRO"/>
    <s v="HSERV COMBINADOS "/>
    <s v="ESTER CARDOZO"/>
    <n v="-1375"/>
    <x v="0"/>
    <s v="SALARIOS"/>
  </r>
  <r>
    <x v="104"/>
    <s v="NOVEMBRO"/>
    <s v="HSERV CABREUVA"/>
    <s v="SEM PARAR- "/>
    <n v="-6500"/>
    <x v="0"/>
    <s v="COMBUSTIVEL E PEDAGIO"/>
  </r>
  <r>
    <x v="104"/>
    <s v="NOVEMBRO"/>
    <s v="VITOR DUARTE"/>
    <s v="CARTAO DE CRÉDITO- VITOR"/>
    <n v="-12000"/>
    <x v="0"/>
    <s v="CARTÃO DE CREDITO"/>
  </r>
  <r>
    <x v="104"/>
    <s v="NOVEMBRO"/>
    <s v="HENRIQUE JEAN"/>
    <s v="CARTÃO DE CREDITO"/>
    <n v="-2302.0500000000002"/>
    <x v="0"/>
    <s v="CARTÃO DE CREDITO"/>
  </r>
  <r>
    <x v="104"/>
    <s v="NOVEMBRO"/>
    <s v="HSERV COMBINADOS"/>
    <s v="CARTÃO DE CREDITO"/>
    <n v="-1248.99"/>
    <x v="0"/>
    <s v="CARTÃO DE CREDITO"/>
  </r>
  <r>
    <x v="107"/>
    <s v="NOVEMBRO"/>
    <s v="HSERV CABREUVA"/>
    <s v="SICOOB HSERV CABREUVA NEGOCIAÇÃO CHEQUE ESPECIAL "/>
    <n v="-2012.45"/>
    <x v="0"/>
    <s v="EMPRESTIMO "/>
  </r>
  <r>
    <x v="104"/>
    <s v="NOVEMBRO"/>
    <s v="HSERV CABREUVA"/>
    <s v="TARIFA MAX EMPRESARIAL"/>
    <n v="-171.1"/>
    <x v="0"/>
    <s v="TARIFA BANCARIA"/>
  </r>
  <r>
    <x v="104"/>
    <s v="NOVEMBRO"/>
    <s v="HSERV CLEAN"/>
    <s v="TARIFA MAX EMPRESARIAL"/>
    <n v="-171.1"/>
    <x v="0"/>
    <s v="TARIFA BANCARIA"/>
  </r>
  <r>
    <x v="104"/>
    <s v="NOVEMBRO"/>
    <s v="HSERV COMBINADOS "/>
    <s v="TARIFA MAX EMPRESARIAL"/>
    <n v="-171.1"/>
    <x v="0"/>
    <s v="TARIFA BANCARIA"/>
  </r>
  <r>
    <x v="104"/>
    <s v="NOVEMBRO"/>
    <s v="HSERV COMBINADOS  ND"/>
    <s v="TARIFA MAX EMPRESARIAL"/>
    <n v="-171.1"/>
    <x v="0"/>
    <s v="TARIFA BANCARIA"/>
  </r>
  <r>
    <x v="104"/>
    <s v="NOVEMBRO"/>
    <s v="HENRIQUE JEAN"/>
    <s v="TARIFA MAX EMPRESARIAL"/>
    <n v="-171.1"/>
    <x v="0"/>
    <s v="TARIFA BANCARIA"/>
  </r>
  <r>
    <x v="104"/>
    <s v="NOVEMBRO"/>
    <s v="HENRIQUE JEAN ND"/>
    <s v="TARIFA MAX EMPRESARIAL"/>
    <n v="-171.1"/>
    <x v="0"/>
    <s v="TARIFA BANCARIA"/>
  </r>
  <r>
    <x v="104"/>
    <s v="NOVEMBRO"/>
    <s v="VITOR DUARTE ND"/>
    <s v="TARIFA MAX EMPRESARIAL"/>
    <n v="-171.1"/>
    <x v="0"/>
    <s v="TARIFA BANCARIA"/>
  </r>
  <r>
    <x v="104"/>
    <s v="NOVEMBRO"/>
    <s v="VITOR DUARTE"/>
    <s v="TARIFA MAX EMPRESARIAL"/>
    <n v="-171.1"/>
    <x v="0"/>
    <s v="TARIFA BANCARIA"/>
  </r>
  <r>
    <x v="104"/>
    <s v="NOVEMBRO"/>
    <s v="HSERV TERCERIZADOS"/>
    <s v="TARIFA MAX EMPRESARIAL"/>
    <n v="-171.1"/>
    <x v="0"/>
    <s v="TARIFA BANCARIA"/>
  </r>
  <r>
    <x v="104"/>
    <s v="NOVEMBRO"/>
    <s v="HSERV TERCERIZADOS ND"/>
    <s v="TARIFA MAX EMPRESARIAL"/>
    <n v="-171.1"/>
    <x v="0"/>
    <s v="TARIFA BANCARIA"/>
  </r>
  <r>
    <x v="104"/>
    <s v="NOVEMBRO"/>
    <s v="HSERV LIMPEZA"/>
    <s v="TARIFA MAX EMPRESARIAL"/>
    <n v="-171.1"/>
    <x v="0"/>
    <s v="TARIFA BANCARIA"/>
  </r>
  <r>
    <x v="104"/>
    <s v="NOVEMBRO"/>
    <s v="HSERV LIMPEZA ND"/>
    <s v="TARIFA MAX EMPRESARIAL"/>
    <n v="-171.1"/>
    <x v="0"/>
    <s v="TARIFA BANCARIA"/>
  </r>
  <r>
    <x v="104"/>
    <s v="NOVEMBRO"/>
    <s v="HSERV TECNOLOGIA"/>
    <s v="TARIFA MAX EMPRESARIAL"/>
    <n v="-171.1"/>
    <x v="0"/>
    <s v="TARIFA BANCARIA"/>
  </r>
  <r>
    <x v="104"/>
    <s v="NOVEMBRO"/>
    <s v="HSERV REPRESENTAÇÃO"/>
    <s v="TARIFA MAX EMPRESARIAL"/>
    <n v="-171.1"/>
    <x v="0"/>
    <s v="TARIFA BANCARIA"/>
  </r>
  <r>
    <x v="104"/>
    <s v="NOVEMBRO"/>
    <s v="HSERV CABREUVA"/>
    <s v="VALE COMBUSTIVEL-2 QUINZENA "/>
    <n v="-8000"/>
    <x v="0"/>
    <s v="VALE COMBUSTIVEL"/>
  </r>
  <r>
    <x v="104"/>
    <s v="NOVEMBRO"/>
    <s v="HSERV CABREUVA"/>
    <s v="SABESP SALA 16"/>
    <n v="-141.69999999999999"/>
    <x v="0"/>
    <s v="AGUA"/>
  </r>
  <r>
    <x v="104"/>
    <s v="NOVEMBRO"/>
    <s v="HSERV CABREUVA"/>
    <s v="SABESP SALA 17"/>
    <n v="-141.69999999999999"/>
    <x v="0"/>
    <s v="AGUA"/>
  </r>
  <r>
    <x v="104"/>
    <s v="NOVEMBRO"/>
    <s v="HSERV CABREUVA"/>
    <s v="SABESP SALA 18"/>
    <n v="-141.69999999999999"/>
    <x v="0"/>
    <s v="AGUA"/>
  </r>
  <r>
    <x v="104"/>
    <s v="NOVEMBRO"/>
    <s v="HSERV CABREUVA"/>
    <s v="SABESP CLEAN"/>
    <n v="-139.25"/>
    <x v="0"/>
    <s v="AGUA"/>
  </r>
  <r>
    <x v="104"/>
    <s v="NOVEMBRO"/>
    <s v="HSERV TECNOLOGIA"/>
    <s v="OMIEXPERIENCE LTDA."/>
    <n v="-244.5"/>
    <x v="0"/>
    <s v="SISTEMA"/>
  </r>
  <r>
    <x v="104"/>
    <s v="NOVEMBRO"/>
    <s v="HSERV REPRESENTACOES"/>
    <s v="OMIEXPERIENCE LTDA."/>
    <n v="-300"/>
    <x v="0"/>
    <s v="SISTEMA"/>
  </r>
  <r>
    <x v="104"/>
    <s v="NOVEMBRO"/>
    <s v="HSERV CABREUVA "/>
    <s v="OMIEXPERIENCE LTDA."/>
    <n v="-300"/>
    <x v="0"/>
    <s v="SISTEMA"/>
  </r>
  <r>
    <x v="104"/>
    <s v="NOVEMBRO"/>
    <s v="HSERV  COMBINADOS"/>
    <s v="OMIEXPERIENCE LTDA."/>
    <n v="-300"/>
    <x v="0"/>
    <s v="SISTEMA"/>
  </r>
  <r>
    <x v="104"/>
    <s v="NOVEMBRO"/>
    <s v="HENRIQUE JEAN DUARTE "/>
    <s v="OMIEXPERIENCE LTDA."/>
    <n v="-275"/>
    <x v="0"/>
    <s v="SISTEMA"/>
  </r>
  <r>
    <x v="104"/>
    <s v="NOVEMBRO"/>
    <s v="HSERV TERCEIRIZADOS"/>
    <s v="OMIEXPERIENCE LTDA."/>
    <n v="-300"/>
    <x v="0"/>
    <s v="SISTEMA"/>
  </r>
  <r>
    <x v="104"/>
    <s v="NOVEMBRO"/>
    <s v="HSERV  LIMPEZA "/>
    <s v="OMIEXPERIENCE LTDA."/>
    <n v="-300"/>
    <x v="0"/>
    <s v="SISTEMA"/>
  </r>
  <r>
    <x v="104"/>
    <s v="NOVEMBRO"/>
    <s v="VITOR  DUARTE "/>
    <s v="OMIEXPERIENCE LTDA."/>
    <n v="-350"/>
    <x v="0"/>
    <s v="SISTEMA"/>
  </r>
  <r>
    <x v="104"/>
    <s v="NOVEMBRO"/>
    <s v="HSER CLEAN"/>
    <s v="OMIEXPERIENCE LTDA."/>
    <n v="-373.51"/>
    <x v="0"/>
    <s v="SISTEMA"/>
  </r>
  <r>
    <x v="104"/>
    <s v="NOVEMBRO"/>
    <s v="HENRIQUE JEAN"/>
    <s v="EMPORIO MEGA 100 COMERCIO DE ALIMENTOS S.A."/>
    <n v="-3022.31"/>
    <x v="0"/>
    <s v="CESTA BASICA"/>
  </r>
  <r>
    <x v="104"/>
    <s v="NOVEMBRO"/>
    <s v="HSERV CABREUVA"/>
    <s v="EMPORIO MEGA 100 COMERCIO DE ALIMENTOS S.A."/>
    <n v="-3952.25"/>
    <x v="0"/>
    <s v="CESTA BASICA"/>
  </r>
  <r>
    <x v="104"/>
    <s v="NOVEMBRO"/>
    <s v="HSERV CLEAN"/>
    <s v="EMPORIO MEGA 100 COMERCIO DE ALIMENTOS S.A."/>
    <n v="-3409.78"/>
    <x v="0"/>
    <s v="CESTA BASICA"/>
  </r>
  <r>
    <x v="104"/>
    <s v="NOVEMBRO"/>
    <s v="HSERV CLEAN"/>
    <s v="EMPORIO MEGA 100 COMERCIO DE ALIMENTOS S.A."/>
    <n v="-852.45"/>
    <x v="0"/>
    <s v="CESTA BASICA"/>
  </r>
  <r>
    <x v="104"/>
    <s v="NOVEMBRO"/>
    <s v="HSERV COMBINADOS"/>
    <s v="EMPORIO MEGA 100 COMERCIO DE ALIMENTOS S.A."/>
    <n v="-2944.81"/>
    <x v="0"/>
    <s v="CESTA BASICA"/>
  </r>
  <r>
    <x v="104"/>
    <s v="NOVEMBRO"/>
    <s v="HSERV LIMPEZA"/>
    <s v="EMPORIO MEGA 100 COMERCIO DE ALIMENTOS S.A."/>
    <n v="-852.45"/>
    <x v="0"/>
    <s v="CESTA BASICA"/>
  </r>
  <r>
    <x v="104"/>
    <s v="NOVEMBRO"/>
    <s v="HSERV REPRESENTACOES"/>
    <s v="EMPORIO MEGA 100 COMERCIO DE ALIMENTOS S.A."/>
    <n v="-929.94"/>
    <x v="0"/>
    <s v="CESTA BASICA"/>
  </r>
  <r>
    <x v="104"/>
    <s v="NOVEMBRO"/>
    <s v="HSERV TECNOLOGIA"/>
    <s v="EMPORIO MEGA 100 COMERCIO DE ALIMENTOS S.A."/>
    <n v="-232.49"/>
    <x v="0"/>
    <s v="CESTA BASICA"/>
  </r>
  <r>
    <x v="104"/>
    <s v="NOVEMBRO"/>
    <s v="HSERV TERCEIRIZADOS"/>
    <s v="EMPORIO MEGA 100 COMERCIO DE ALIMENTOS S.A."/>
    <n v="-464.97"/>
    <x v="0"/>
    <s v="CESTA BASICA"/>
  </r>
  <r>
    <x v="104"/>
    <s v="NOVEMBRO"/>
    <s v="VITOR DUARTE"/>
    <s v="EMPORIO MEGA 100 COMERCIO DE ALIMENTOS S.A."/>
    <n v="-542.47"/>
    <x v="0"/>
    <s v="CESTA BASICA"/>
  </r>
  <r>
    <x v="104"/>
    <s v="NOVEMBRO"/>
    <s v="HSERV CLEAN"/>
    <s v="BANCO SAFRA S A-EMPRESTIMO BANCO SAFRA HSERV CLEAN"/>
    <n v="-930.49"/>
    <x v="0"/>
    <s v="EMPRESTIMO"/>
  </r>
  <r>
    <x v="104"/>
    <s v="NOVEMBRO"/>
    <s v="VITOR DUARTE"/>
    <s v="LOCALIZA - VENCIDA"/>
    <n v="-3760"/>
    <x v="0"/>
    <s v="ALUGUEL DE VEICULOS"/>
  </r>
  <r>
    <x v="104"/>
    <s v="NOVEMBRO"/>
    <s v="VITOR DUARTE"/>
    <s v="LOCALIZA - VENCIDA"/>
    <n v="-5800"/>
    <x v="0"/>
    <s v="ALUGUEL DE VEICULOS"/>
  </r>
  <r>
    <x v="104"/>
    <s v="NOVEMBRO"/>
    <s v="HSERV COMBINADOS "/>
    <s v="LOCALIZA - VENCIDA"/>
    <n v="-5460"/>
    <x v="0"/>
    <s v="ALUGUEL DE VEICULOS"/>
  </r>
  <r>
    <x v="20"/>
    <s v="NOVEMBRO"/>
    <s v="VITOR DUARTE"/>
    <s v="VIVA FOOD R E LTDA"/>
    <n v="-17235"/>
    <x v="0"/>
    <s v="VALE ALIMENTAÇÃO"/>
  </r>
  <r>
    <x v="104"/>
    <s v="NOVEMBRO"/>
    <s v="HSERV CABREUVA"/>
    <s v="ASOMETRA"/>
    <n v="-4500"/>
    <x v="0"/>
    <s v="EXAMES MEDICOS"/>
  </r>
  <r>
    <x v="108"/>
    <s v="NOVEMBRO"/>
    <s v="HSERV CABREUVA"/>
    <s v="BRADESCO "/>
    <n v="-35714.57"/>
    <x v="0"/>
    <s v="EMPRESTIMO "/>
  </r>
  <r>
    <x v="104"/>
    <s v="NOVEMBRO"/>
    <s v="HSERV CABREUVA"/>
    <s v="SINDICATO DOS EMPREGADOS - VENCIDA"/>
    <n v="-30"/>
    <x v="0"/>
    <s v="SINDICATO"/>
  </r>
  <r>
    <x v="104"/>
    <s v="NOVEMBRO"/>
    <s v="HSERV CABREUVA"/>
    <s v="SINDICATO DOS EMPREGADOS - VENCIDA "/>
    <n v="-10000"/>
    <x v="0"/>
    <s v="SINDICATO"/>
  </r>
  <r>
    <x v="104"/>
    <s v="NOVEMBRO"/>
    <s v="HSERV CABREUVA"/>
    <s v="BENEFICIO SOCIALVENCIDA"/>
    <n v="-4500"/>
    <x v="0"/>
    <s v="SINDICATO"/>
  </r>
  <r>
    <x v="104"/>
    <s v="NOVEMBRO"/>
    <s v="VITOR DUARTE"/>
    <s v="JONESO EMPREENDIMENTOS"/>
    <n v="-5300"/>
    <x v="0"/>
    <s v="ALUGUEL DE IMOVEIS"/>
  </r>
  <r>
    <x v="109"/>
    <s v="NOVEMBRO"/>
    <s v="VITOR DUARTE"/>
    <s v="ALTOLIM COMERCIAL ASSIS EIRELI - ME"/>
    <n v="-9.8528009999999995"/>
    <x v="0"/>
    <s v="MERCADORIA PARA REVENDA"/>
  </r>
  <r>
    <x v="109"/>
    <s v="NOVEMBRO"/>
    <s v="VITOR DUARTE"/>
    <s v="ALTOLIM COMERCIAL ASSIS EIRELI - ME"/>
    <n v="-55.277199000000003"/>
    <x v="0"/>
    <s v="MERCADORIA PARA REVENDA"/>
  </r>
  <r>
    <x v="109"/>
    <s v="NOVEMBRO"/>
    <s v="HSERV COMBINADOS "/>
    <s v="SOFISA ACORDO- PROCESSO EXECUÇÃO"/>
    <n v="-5996.67"/>
    <x v="0"/>
    <s v="EMPRESTIMO "/>
  </r>
  <r>
    <x v="110"/>
    <s v="NOVEMBRO"/>
    <s v="HSERV CABREUVA"/>
    <s v="IF EMPRESARIAL"/>
    <n v="-16000"/>
    <x v="0"/>
    <s v="CONTABILIDADE"/>
  </r>
  <r>
    <x v="110"/>
    <s v="NOVEMBRO"/>
    <s v="HSERV CABREUVA"/>
    <s v="RESOLVE ALIMENTAÇÃO "/>
    <n v="-600"/>
    <x v="0"/>
    <s v="VALE ALIMENTAÇÃO"/>
  </r>
  <r>
    <x v="110"/>
    <s v="NOVEMBRO"/>
    <s v="HSERV CABREUVA"/>
    <s v="ANJO AZUL ALARMES"/>
    <n v="-1100"/>
    <x v="0"/>
    <s v="SISTEMA"/>
  </r>
  <r>
    <x v="110"/>
    <s v="NOVEMBRO"/>
    <s v="HSERV CABREUVA"/>
    <s v="MAXIWEB INTERNET PROVIDER LTDA"/>
    <n v="-39.799999999999997"/>
    <x v="0"/>
    <s v="SISTEMA"/>
  </r>
  <r>
    <x v="110"/>
    <s v="NOVEMBRO"/>
    <s v="HSERV CABREUVA"/>
    <s v="SIMPLES NACIONAL MENSAL "/>
    <n v="-20000"/>
    <x v="0"/>
    <s v="IMPOSTO"/>
  </r>
  <r>
    <x v="110"/>
    <s v="NOVEMBRO"/>
    <s v="VITOR DUARTE"/>
    <s v="DARF DE COFINS, PIS- LUCRO REAL EMPRESA VITOR"/>
    <n v="-15000"/>
    <x v="0"/>
    <s v="IMPOSTO"/>
  </r>
  <r>
    <x v="110"/>
    <s v="NOVEMBRO"/>
    <s v="VITOR DUARTE"/>
    <s v="DARF DE COFINS, PIS- LUCRO  PRESUMIDO HSERV CABREUVA"/>
    <n v="-3000"/>
    <x v="0"/>
    <s v="IMPOSTO"/>
  </r>
  <r>
    <x v="110"/>
    <s v="NOVEMBRO"/>
    <s v="HSERV CABREUVA"/>
    <s v="FGTS MENSAL"/>
    <n v="-55000"/>
    <x v="0"/>
    <s v="IMPOSTO"/>
  </r>
  <r>
    <x v="110"/>
    <s v="NOVEMBRO"/>
    <s v="HSERV CABREUVA"/>
    <s v="DARF INSS-TODAS EMPRESAS"/>
    <n v="-50000"/>
    <x v="0"/>
    <s v="IMPOSTO"/>
  </r>
  <r>
    <x v="110"/>
    <s v="NOVEMBRO"/>
    <s v="HSERV CABREUVA"/>
    <s v="FT 1 QUINZENA E PACOTES, RT"/>
    <n v="-110000"/>
    <x v="0"/>
    <s v="FT"/>
  </r>
  <r>
    <x v="110"/>
    <s v="NOVEMBRO"/>
    <s v="HSERV CABREUVA"/>
    <s v="VALE TRANSPORTE MENSAL VIAÇÕES"/>
    <n v="-41000"/>
    <x v="0"/>
    <s v="VALE TRANSPORTE"/>
  </r>
  <r>
    <x v="110"/>
    <s v="NOVEMBRO"/>
    <s v="HENRIQUE JEAN"/>
    <s v="EMPORIO MEGA 100 COMERCIO DE ALIMENTOS S.A."/>
    <n v="-2324.85"/>
    <x v="0"/>
    <s v="CESTA BASICA"/>
  </r>
  <r>
    <x v="110"/>
    <s v="NOVEMBRO"/>
    <s v="HSERV CABREUVA"/>
    <s v="EMPORIO MEGA 100 COMERCIO DE ALIMENTOS S.A."/>
    <n v="-2944.81"/>
    <x v="0"/>
    <s v="CESTA BASICA"/>
  </r>
  <r>
    <x v="110"/>
    <s v="NOVEMBRO"/>
    <s v="HSERV CLEAN"/>
    <s v="EMPORIO MEGA 100 COMERCIO DE ALIMENTOS S.A."/>
    <n v="-2867.32"/>
    <x v="0"/>
    <s v="CESTA BASICA"/>
  </r>
  <r>
    <x v="110"/>
    <s v="NOVEMBRO"/>
    <s v="HSERV CLEAN"/>
    <s v="EMPORIO MEGA 100 COMERCIO DE ALIMENTOS S.A."/>
    <n v="-852.45"/>
    <x v="0"/>
    <s v="CESTA BASICA"/>
  </r>
  <r>
    <x v="110"/>
    <s v="NOVEMBRO"/>
    <s v="HSERV COMBINADOS"/>
    <s v="EMPORIO MEGA 100 COMERCIO DE ALIMENTOS S.A."/>
    <n v="-2789.82"/>
    <x v="0"/>
    <s v="CESTA BASICA"/>
  </r>
  <r>
    <x v="110"/>
    <s v="NOVEMBRO"/>
    <s v="HSERV LIMPEZA"/>
    <s v="EMPORIO MEGA 100 COMERCIO DE ALIMENTOS S.A."/>
    <n v="-852.45"/>
    <x v="0"/>
    <s v="CESTA BASICA"/>
  </r>
  <r>
    <x v="110"/>
    <s v="NOVEMBRO"/>
    <s v="HSERV REPRESENTACOES"/>
    <s v="EMPORIO MEGA 100 COMERCIO DE ALIMENTOS S.A."/>
    <n v="-619.96"/>
    <x v="0"/>
    <s v="CESTA BASICA"/>
  </r>
  <r>
    <x v="110"/>
    <s v="NOVEMBRO"/>
    <s v="HSERV TECNOLOGIA"/>
    <s v="EMPORIO MEGA 100 COMERCIO DE ALIMENTOS S.A."/>
    <n v="-154.99"/>
    <x v="0"/>
    <s v="CESTA BASICA"/>
  </r>
  <r>
    <x v="110"/>
    <s v="NOVEMBRO"/>
    <s v="HSERV TERCEIRIZADOS"/>
    <s v="EMPORIO MEGA 100 COMERCIO DE ALIMENTOS S.A."/>
    <n v="-852.45"/>
    <x v="0"/>
    <s v="CESTA BASICA"/>
  </r>
  <r>
    <x v="110"/>
    <s v="NOVEMBRO"/>
    <s v="VITOR DUARTE"/>
    <s v="EMPORIO MEGA 100 COMERCIO DE ALIMENTOS S.A."/>
    <n v="-77.5"/>
    <x v="0"/>
    <s v="CESTA BASICA"/>
  </r>
  <r>
    <x v="110"/>
    <s v="NOVEMBRO"/>
    <s v="HENRIQUE JEAN"/>
    <s v="JONATHAN DINIZ WESFAL PROC 1001448-72.2024.5.02.0291 AUTOR: LUCIANA APARECIDA MARQUES DA SILVA PARCELA 4/10"/>
    <n v="-1240"/>
    <x v="0"/>
    <s v="ACORDO TRABALHISTA"/>
  </r>
  <r>
    <x v="21"/>
    <s v="DEZEMBRO"/>
    <s v="HENRIQUE JEAN"/>
    <s v="JONATHAN DINIZ WESFAL PROC 1001448-72.2024.5.02.0291 AUTOR: LUCIANA APARECIDA MARQUES DA SILVA PARCELA 5/10"/>
    <n v="-1240"/>
    <x v="0"/>
    <s v="ACORDO TRABALHISTA"/>
  </r>
  <r>
    <x v="110"/>
    <s v="NOVEMBRO"/>
    <s v="HSERV CABREUVA"/>
    <s v="FT ASSIS E REGIÃO- "/>
    <n v="-8000"/>
    <x v="0"/>
    <s v="FT"/>
  </r>
  <r>
    <x v="110"/>
    <s v="NOVEMBRO"/>
    <s v="HSERV COMBINADOS"/>
    <s v="MAC LUCER - VINEA (MENSAL)"/>
    <n v="-3005"/>
    <x v="0"/>
    <s v="APORTE"/>
  </r>
  <r>
    <x v="111"/>
    <s v="NOVEMBRO"/>
    <s v="VITOR DUARTE"/>
    <s v="CLARO S/A"/>
    <n v="-1700"/>
    <x v="0"/>
    <s v="TELEFONE"/>
  </r>
  <r>
    <x v="110"/>
    <s v="NOVEMBRO"/>
    <s v="HENRIQUE JEAN ND"/>
    <s v="IMOVEL NEX ONE "/>
    <n v="-8937.32"/>
    <x v="0"/>
    <s v="RESERVA"/>
  </r>
  <r>
    <x v="33"/>
    <s v="NOVEMBRO"/>
    <s v="VITOR DUARTE"/>
    <s v="VIVA FOOD R E LTDA"/>
    <n v="-17235"/>
    <x v="0"/>
    <s v="VALE ALIMENTAÇÃO"/>
  </r>
  <r>
    <x v="42"/>
    <s v="NOVEMBRO"/>
    <s v="HSERV CABREUVA"/>
    <s v="AUTO POSTO JARDIM DAS HORTENCI"/>
    <n v="-9000"/>
    <x v="0"/>
    <s v="COMBUSTIVEL E PEDAGIO"/>
  </r>
  <r>
    <x v="42"/>
    <s v="NOVEMBRO"/>
    <s v="VITOR DUARTE"/>
    <s v="GADE CORPORATIVA"/>
    <n v="-500"/>
    <x v="0"/>
    <s v="SISTEMA"/>
  </r>
  <r>
    <x v="42"/>
    <s v="NOVEMBRO"/>
    <s v="HSERV CABREUVA"/>
    <s v="OPEN IT GROUP"/>
    <n v="-294.8"/>
    <x v="0"/>
    <s v="INTERNET"/>
  </r>
  <r>
    <x v="42"/>
    <s v="NOVEMBRO"/>
    <s v="VITOR DUARTE"/>
    <s v="ALTOLIM COMERCIAL ASSIS EIRELI - ME"/>
    <n v="-57.259995000000004"/>
    <x v="0"/>
    <s v="MERCADORIA PARA REVENDA"/>
  </r>
  <r>
    <x v="42"/>
    <s v="NOVEMBRO"/>
    <s v="HSERV COMBINADOS"/>
    <s v="MAC LUCER - VINEA (MENSAL) "/>
    <n v="-1957"/>
    <x v="0"/>
    <s v="APORTE"/>
  </r>
  <r>
    <x v="105"/>
    <s v="NOVEMBRO"/>
    <s v="VITOR DUARTE"/>
    <s v="CHEQUES DR DUARTE"/>
    <n v="-9980"/>
    <x v="0"/>
    <s v="PROLABORE"/>
  </r>
  <r>
    <x v="33"/>
    <s v="NOVEMBRO"/>
    <s v="HSERV COMBINADOS "/>
    <s v="GABRIEL DOS SANTOS NOVÃESCLOUD-TELEFONIA"/>
    <n v="-500"/>
    <x v="0"/>
    <s v="SISTEMA"/>
  </r>
  <r>
    <x v="33"/>
    <s v="NOVEMBRO"/>
    <s v="HENRIQUE JEAN ND"/>
    <s v="CELIO ROBERTO"/>
    <n v="-5000"/>
    <x v="0"/>
    <s v="RESERVA"/>
  </r>
  <r>
    <x v="33"/>
    <s v="NOVEMBRO"/>
    <s v="VITOR DUARTE"/>
    <s v="NEXTI DESENVOLVIMENTO DE SISTEMAS S.A."/>
    <n v="-2530.4299999999998"/>
    <x v="0"/>
    <s v="SISTEMA"/>
  </r>
  <r>
    <x v="33"/>
    <s v="NOVEMBRO"/>
    <s v="VITOR DUARTE"/>
    <s v="NEXTI DESENVOLVIMENTO DE SISTEMAS S.A."/>
    <n v="-1339.5"/>
    <x v="0"/>
    <s v="SISTEMA"/>
  </r>
  <r>
    <x v="65"/>
    <s v="NOVEMBRO"/>
    <s v=" HSERV CABREUVA"/>
    <s v="VALE TRANSPORTE "/>
    <n v="-5000"/>
    <x v="0"/>
    <s v="VALE TRANSPORTE"/>
  </r>
  <r>
    <x v="33"/>
    <s v="NOVEMBRO"/>
    <s v=" HSERV CABREUVA"/>
    <s v="VALE TRANSPORTE BASE"/>
    <n v="-15000"/>
    <x v="0"/>
    <s v="VALE TRANSPORTE"/>
  </r>
  <r>
    <x v="20"/>
    <s v="NOVEMBRO"/>
    <s v="VITOR DUARTE"/>
    <s v="CHEQUES DR DUARTE"/>
    <n v="-9980"/>
    <x v="0"/>
    <s v="PROLABORE"/>
  </r>
  <r>
    <x v="33"/>
    <s v="NOVEMBRO"/>
    <s v="VITOR DUARTE"/>
    <s v="CHEQUES DR DUARTE"/>
    <n v="-23498.18"/>
    <x v="0"/>
    <s v="PROLABORE"/>
  </r>
  <r>
    <x v="33"/>
    <s v="NOVEMBRO"/>
    <s v="HSERV CABREUVA"/>
    <s v="SIMPLES NACIONAL-PARCELAMENTO"/>
    <n v="-35000"/>
    <x v="0"/>
    <s v="IMPOSTO"/>
  </r>
  <r>
    <x v="33"/>
    <s v="NOVEMBRO"/>
    <s v="HSERV CABREUVA"/>
    <s v="VALE COMBUSTIVEL 1 QUINZENA "/>
    <n v="-7000"/>
    <x v="0"/>
    <s v="VALE COMBUSTIVEL"/>
  </r>
  <r>
    <x v="34"/>
    <s v="DEZEMBRO"/>
    <s v="VITOR DUARTE"/>
    <s v="54.055.078 MATHEUS PEIXOTO DE OLIVEIRA"/>
    <n v="-2000"/>
    <x v="0"/>
    <s v="TI"/>
  </r>
  <r>
    <x v="33"/>
    <s v="NOVEMBRO"/>
    <s v="VITOR DUARTE"/>
    <s v="54.055.078 MATHEUS PEIXOTO DE OLIVEIRA"/>
    <n v="-2000"/>
    <x v="0"/>
    <s v="TI"/>
  </r>
  <r>
    <x v="33"/>
    <s v="NOVEMBRO"/>
    <s v="VITOR DUARTE"/>
    <s v="ADEMIR- IMPRESSÃO E IMPRESSORA"/>
    <n v="-50"/>
    <x v="0"/>
    <s v="TI"/>
  </r>
  <r>
    <x v="33"/>
    <s v="NOVEMBRO"/>
    <s v="HSERV COMBINADOS "/>
    <s v="REEMBOLSOS"/>
    <n v="-800"/>
    <x v="0"/>
    <s v="REEMBOLSO"/>
  </r>
  <r>
    <x v="33"/>
    <s v="NOVEMBRO"/>
    <s v="VITOR DUARTE"/>
    <s v="PAMELA GREICE MARINHO ROCHA"/>
    <n v="-8500"/>
    <x v="0"/>
    <s v="FÉRIAS"/>
  </r>
  <r>
    <x v="33"/>
    <s v="NOVEMBRO"/>
    <s v="HSERV CABREUVA"/>
    <s v="FÉRIAS-"/>
    <n v="-31500"/>
    <x v="0"/>
    <s v="FÉRIAS"/>
  </r>
  <r>
    <x v="33"/>
    <s v="NOVEMBRO"/>
    <s v="VITOR DUARTE"/>
    <s v="GUIA DE PARCELAMENTO INSS VITOR JULHO A NOV 2024"/>
    <n v="-7000"/>
    <x v="0"/>
    <s v="IMPOSTO"/>
  </r>
  <r>
    <x v="33"/>
    <s v="NOVEMBRO"/>
    <s v="HSERV CLEAN"/>
    <s v="GUIA DE PARELAMENTO DE DIVIDA ATIVA HSERV CLEAN"/>
    <n v="-600"/>
    <x v="0"/>
    <s v="IMPOSTO"/>
  </r>
  <r>
    <x v="33"/>
    <s v="NOVEMBRO"/>
    <s v="HSERV CLEAN"/>
    <s v="GUIA DE IMPOSTO VEPAKUM RETROATIVO 2024"/>
    <n v="-4000"/>
    <x v="0"/>
    <s v="IMPOSTO"/>
  </r>
  <r>
    <x v="33"/>
    <s v="NOVEMBRO"/>
    <s v=" HSERV CABREUVA"/>
    <s v="PARCELAMENTO DEBITOS PREVIDENCIARIOS"/>
    <n v="-9000"/>
    <x v="0"/>
    <s v="IMPOSTO"/>
  </r>
  <r>
    <x v="33"/>
    <s v="NOVEMBRO"/>
    <s v="HSERV CLEAN"/>
    <s v="PARCELA CREDITO PESSOAL CONTR 016721926 PARC"/>
    <n v="-1719.53"/>
    <x v="0"/>
    <s v="CARTÃO DE CREDITO"/>
  </r>
  <r>
    <x v="33"/>
    <s v="NOVEMBRO"/>
    <s v="HSERV CABREUVA"/>
    <s v="PARCELA CREDITO PESSOAL CONTR 016721926 PARC"/>
    <n v="-1392.65"/>
    <x v="0"/>
    <s v="CARTÃO DE CREDITO"/>
  </r>
  <r>
    <x v="106"/>
    <s v="NOVEMBRO"/>
    <s v="HSERV TECNOLOGIA"/>
    <s v="GRRF KAUE HENRIQUE DA SILVA OLIVEIRA"/>
    <n v="-1085.8699999999999"/>
    <x v="0"/>
    <s v="RESCISÕES"/>
  </r>
  <r>
    <x v="106"/>
    <s v="NOVEMBRO"/>
    <s v="HSERV TECNOLOGIA"/>
    <s v="KAUE HENRIQUE DA SILVA OLIVEIRA"/>
    <n v="-2860.6"/>
    <x v="0"/>
    <s v="RESCISÕES"/>
  </r>
  <r>
    <x v="106"/>
    <s v="NOVEMBRO"/>
    <s v="HSERV COMBINADOS "/>
    <s v="FT 2 QUINZENA "/>
    <n v="-50000"/>
    <x v="0"/>
    <s v="FT"/>
  </r>
  <r>
    <x v="69"/>
    <s v="NOVEMBRO"/>
    <s v="CABREUVA"/>
    <s v="CONDOMINIO PALAZZO VENEZA"/>
    <n v="4880.1400000000003"/>
    <x v="1"/>
    <s v="VENDAS DE SERVIÇOS"/>
  </r>
  <r>
    <x v="69"/>
    <s v="NOVEMBRO"/>
    <s v="REPRESENTAÇÃO"/>
    <s v="TTB INDUSTRIA E COMERCIO DE PRODUTOS MET"/>
    <n v="603.26"/>
    <x v="1"/>
    <s v="VENDAS DE SERVIÇOS"/>
  </r>
  <r>
    <x v="69"/>
    <s v="NOVEMBRO"/>
    <s v="REPRESENTAÇÃO"/>
    <s v="TTB INDUSTRIA E COMERCIO DE PRODUTOS MET"/>
    <n v="1106.1400000000001"/>
    <x v="1"/>
    <s v="VENDAS DE SERVIÇOS"/>
  </r>
  <r>
    <x v="69"/>
    <s v="NOVEMBRO"/>
    <s v="REPRESENTAÇÃO"/>
    <s v="TTB INDUSTRIA E COMERCIO DE PRODUTOS MET"/>
    <n v="9631"/>
    <x v="1"/>
    <s v="VENDAS DE SERVIÇOS"/>
  </r>
  <r>
    <x v="69"/>
    <s v="NOVEMBRO"/>
    <s v="VITOR"/>
    <s v="DEPOSITO SANTA CATARINA LTDA"/>
    <n v="257.81"/>
    <x v="1"/>
    <s v="VENDAS DE SERVIÇOS"/>
  </r>
  <r>
    <x v="69"/>
    <s v="NOVEMBRO"/>
    <s v="VITOR"/>
    <s v="GIFEL"/>
    <n v="680.03"/>
    <x v="1"/>
    <s v="VENDAS DE SERVIÇOS"/>
  </r>
  <r>
    <x v="93"/>
    <s v="OUTUBRO"/>
    <s v="CLEAN"/>
    <s v="RICARO"/>
    <n v="12459.61"/>
    <x v="1"/>
    <s v="VENDAS DE SERVIÇOS"/>
  </r>
  <r>
    <x v="69"/>
    <s v="NOVEMBRO"/>
    <s v="CLEAN"/>
    <s v="RICARO"/>
    <n v="24988.71"/>
    <x v="1"/>
    <s v="VENDAS DE SERVIÇOS"/>
  </r>
  <r>
    <x v="69"/>
    <s v="NOVEMBRO"/>
    <s v="CLEAN"/>
    <s v="RICARO"/>
    <n v="16834.330000000002"/>
    <x v="1"/>
    <s v="VENDAS DE SERVIÇOS"/>
  </r>
  <r>
    <x v="69"/>
    <s v="NOVEMBRO"/>
    <s v="CLEAN"/>
    <s v="RICARO"/>
    <n v="268.13"/>
    <x v="1"/>
    <s v="VENDAS DE SERVIÇOS"/>
  </r>
  <r>
    <x v="20"/>
    <s v="NOVEMBRO"/>
    <s v="CLEAN"/>
    <s v="RICARO"/>
    <n v="2284.4499999999998"/>
    <x v="1"/>
    <s v="VENDAS DE SERVIÇOS"/>
  </r>
  <r>
    <x v="69"/>
    <s v="NOVEMBRO"/>
    <s v="VITOR DUARTE"/>
    <s v=" GUIA INSS 0012114-44.2023.5.15.0188 ADILIO SANTOS SOUZA VITOR DUARTE"/>
    <n v="-88.44"/>
    <x v="0"/>
    <s v="ACORDO TRABALHISTA"/>
  </r>
  <r>
    <x v="69"/>
    <s v="NOVEMBRO"/>
    <s v="VITOR DUARTE"/>
    <s v="CUSTAS 0012114-44.2023.5.15.0188 ADILIO SANTOS SOUZA VITOR DUARTE"/>
    <n v="-260"/>
    <x v="0"/>
    <s v="ACORDO TRABALHISTA"/>
  </r>
  <r>
    <x v="69"/>
    <s v="NOVEMBRO"/>
    <s v="LIMPEZA"/>
    <s v="IMPROVEMENT FIT ACADEMIA LTDA"/>
    <n v="7850"/>
    <x v="1"/>
    <s v="VENDAS DE SERVIÇOS"/>
  </r>
  <r>
    <x v="101"/>
    <s v="NOVEMBRO"/>
    <s v="VITOR DUARTE"/>
    <s v="AVENIDA "/>
    <n v="345280"/>
    <x v="1"/>
    <s v="VENDAS DE SERVIÇOS"/>
  </r>
  <r>
    <x v="109"/>
    <s v="NOVEMBRO"/>
    <s v="TERCEIRIZADOS"/>
    <s v="BELLART"/>
    <n v="17956.39"/>
    <x v="1"/>
    <s v="VENDAS DE SERVIÇOS"/>
  </r>
  <r>
    <x v="109"/>
    <s v="NOVEMBRO"/>
    <s v="LIMPEZA"/>
    <s v="MIPAL INDUSTRIA DE EVAPORADORES LTDA"/>
    <n v="4717.4399999999996"/>
    <x v="1"/>
    <s v="VENDAS DE SERVIÇOS"/>
  </r>
  <r>
    <x v="109"/>
    <s v="NOVEMBRO"/>
    <s v="LIMPEZA"/>
    <s v="MIPAL INDUSTRIA DE EVAPORADORES LTDA"/>
    <n v="9938.39"/>
    <x v="1"/>
    <s v="VENDAS DE SERVIÇOS"/>
  </r>
  <r>
    <x v="109"/>
    <s v="NOVEMBRO"/>
    <s v="LIMPEZA"/>
    <s v="MIPAL INDUSTRIA DE EVAPORADORES LTDA"/>
    <n v="22139.98"/>
    <x v="1"/>
    <s v="VENDAS DE SERVIÇOS"/>
  </r>
  <r>
    <x v="33"/>
    <s v="NOVEMBRO"/>
    <s v="CLEAN"/>
    <s v="PLASTY COMERCIAL DE PLASTICOS LTDA"/>
    <n v="2373.8200000000002"/>
    <x v="1"/>
    <s v="VENDAS DE SERVIÇOS"/>
  </r>
  <r>
    <x v="33"/>
    <s v="NOVEMBRO"/>
    <s v="CLEAN"/>
    <s v="PLASTY COMERCIAL DE PLASTICOS LTDA"/>
    <n v="5823.82"/>
    <x v="1"/>
    <s v="VENDAS DE SERVIÇOS"/>
  </r>
  <r>
    <x v="33"/>
    <s v="NOVEMBRO"/>
    <s v="CLEAN"/>
    <s v="PLASTY COMERCIAL DE PLASTICOS LTDA"/>
    <n v="7526.95"/>
    <x v="1"/>
    <s v="VENDAS DE SERVIÇOS"/>
  </r>
  <r>
    <x v="33"/>
    <s v="NOVEMBRO"/>
    <s v="CLEAN"/>
    <s v="PLASTY COMERCIAL DE PLASTICOS LTDA"/>
    <n v="25756.63"/>
    <x v="1"/>
    <s v="VENDAS DE SERVIÇOS"/>
  </r>
  <r>
    <x v="33"/>
    <s v="NOVEMBRO"/>
    <s v="CABREUVA"/>
    <s v="BOA"/>
    <n v="816717.89"/>
    <x v="1"/>
    <s v="VENDAS DE SERVIÇOS"/>
  </r>
  <r>
    <x v="111"/>
    <s v="NOVEMBRO"/>
    <s v="HENRIQUE JEAN"/>
    <s v="CEF MATRIZ--EMPRESTIMO HENRIQUE IEAN VENCIDO "/>
    <n v="-7000"/>
    <x v="0"/>
    <s v="EMPRESTIMO "/>
  </r>
  <r>
    <x v="111"/>
    <s v="NOVEMBRO"/>
    <s v="HSERV COMBINADOS"/>
    <s v="CEF MATRIZ-EMPRESTIMO HSERV COMBINADOS VENCIDO"/>
    <n v="-7000"/>
    <x v="0"/>
    <s v="EMPRESTIMO "/>
  </r>
  <r>
    <x v="104"/>
    <s v="NOVEMBRO"/>
    <s v="HENRIQUE JEAN"/>
    <s v="SINDPRESTEM"/>
    <n v="-630"/>
    <x v="0"/>
    <s v="SINDICATO"/>
  </r>
  <r>
    <x v="104"/>
    <s v="NOVEMBRO"/>
    <s v="HSERV CABREUVA"/>
    <s v="SIEMACO-PRUDENTE SINDICATO AVENIDA, ASSIS E REGIÃO"/>
    <n v="-1905.5"/>
    <x v="0"/>
    <s v="SINDICATO"/>
  </r>
  <r>
    <x v="33"/>
    <s v="NOVEMBRO"/>
    <s v="HSERV CABREUVA"/>
    <s v="DECIMO TERCEIRO SALARIOS"/>
    <n v="-261861.65"/>
    <x v="0"/>
    <s v="DECIMO TERCEIRO SALARIO"/>
  </r>
  <r>
    <x v="106"/>
    <s v="NOVEMBRO"/>
    <s v="HENRIQUE JEAN"/>
    <s v="SANTOS SEPULVEDA SOCIEDADE INDIVIDUAL DE ADVOCACIA- - PROC 0010895-75.2023.5.15.009-AMANDA BRITO SANTOS PARCELA 7/16"/>
    <n v="-1000"/>
    <x v="0"/>
    <s v="ACORDO TRABALHISTA"/>
  </r>
  <r>
    <x v="105"/>
    <s v="NOVEMBRO"/>
    <s v="VITOR DUARTE"/>
    <s v="OKUYAMA &amp; ALVES SOCIEDADE DE ADVOGADOS Processo: 0010780-86.2025.5.15.0096 Reclamante: PATRICIA VIOTTI NOGUEIRA   PARCELA 2/4"/>
    <n v="-1000"/>
    <x v="0"/>
    <s v="ACORDO TRABALHISTA"/>
  </r>
  <r>
    <x v="112"/>
    <s v="DEZEMBRO"/>
    <s v="VITOR DUARTE"/>
    <s v="OKUYAMA &amp; ALVES SOCIEDADE DE ADVOGADOS Processo: 0010780-86.2025.5.15.0096 Reclamante: PATRICIA VIOTTI NOGUEIRA   PARCELA 3/4"/>
    <n v="-1000"/>
    <x v="0"/>
    <s v="ACORDO TRABALHISTA"/>
  </r>
  <r>
    <x v="105"/>
    <s v="NOVEMBRO"/>
    <s v="HSERV CABREUVA"/>
    <s v="ZAMBONI, SOUSA, CARVALHO &amp; MARIANO ADVOGADOS-PRoc 0012075-66.2022.5.15.0096  AUTOR: CLAUDIA ARAUJO DOS SANTOS PARCELA 6/6"/>
    <n v="-10000"/>
    <x v="0"/>
    <s v="ACORDO TRABALHISTA"/>
  </r>
  <r>
    <x v="65"/>
    <s v="NOVEMBRO"/>
    <s v="VITOR DUARTE"/>
    <s v="ALTOLIM COMERCIAL ASSIS EIRELI - ME"/>
    <n v="-15.695783"/>
    <x v="0"/>
    <s v="MERCADORIA PARA REVENDA"/>
  </r>
  <r>
    <x v="65"/>
    <s v="NOVEMBRO"/>
    <s v="VITOR DUARTE"/>
    <s v="ALTOLIM COMERCIAL ASSIS EIRELI - ME"/>
    <n v="-81.644216999999998"/>
    <x v="0"/>
    <s v="MERCADORIA PARA REVENDA"/>
  </r>
  <r>
    <x v="65"/>
    <s v="NOVEMBRO"/>
    <s v="VITOR DUARTE"/>
    <s v="ALTOLIM COMERCIAL ASSIS EIRELI - ME"/>
    <n v="-97.34"/>
    <x v="0"/>
    <s v="MERCADORIA PARA REVENDA"/>
  </r>
  <r>
    <x v="65"/>
    <s v="NOVEMBRO"/>
    <s v="HSERV TERCEIRIZADOS"/>
    <s v="CAETANO BERNARDES NEUBAUER PARCELA -Proc 0010591-77.2025.5.15.0074 RECLAMANTE: SIMONE FERREIRA DA SILVA 3/6 "/>
    <n v="-1000"/>
    <x v="0"/>
    <s v="ACORDO TRABALHISTA"/>
  </r>
  <r>
    <x v="113"/>
    <s v="DEZEMBRO"/>
    <s v="HSERV TERCEIRIZADOS"/>
    <s v="CAETANO BERNARDES NEUBAUER PARCELA -Proc 0010591-77.2025.5.15.0074 RECLAMANTE: SIMONE FERREIRA DA SILVA 4/6 "/>
    <n v="-1000"/>
    <x v="0"/>
    <s v="ACORDO TRABALHISTA"/>
  </r>
  <r>
    <x v="65"/>
    <s v="NOVEMBRO"/>
    <s v="VITOR DUARTE"/>
    <s v="SCOLA &amp; FALCAO SOCIEDADE DE ADVOGADAS Processo: 0010503-86.2025.5.15.0026 Reclamante: NAIR DONIZETE TEODORO DE ANDRADE 3/5"/>
    <n v="-1000"/>
    <x v="0"/>
    <s v="ACORDO TRABALHISTA"/>
  </r>
  <r>
    <x v="113"/>
    <s v="DEZEMBRO"/>
    <s v="VITOR DUARTE"/>
    <s v="SCOLA &amp; FALCAO SOCIEDADE DE ADVOGADAS Processo: 0010503-86.2025.5.15.0026 Reclamante: NAIR DONIZETE TEODORO DE ANDRADE 4/5"/>
    <n v="-1000"/>
    <x v="0"/>
    <s v="ACORDO TRABALHISTA"/>
  </r>
  <r>
    <x v="65"/>
    <s v="NOVEMBRO"/>
    <s v="HSERV REPRESENTACOES"/>
    <s v="OKUYAMA &amp; ALVES SOCIEDADE DE ADVOGADOSS - PROC 0012457-65.2023.5.15.0018 -JESSICA BARROS DOS SANTO PARCELA 7/8"/>
    <n v="-2000"/>
    <x v="0"/>
    <s v="ACORDO TRABALHISTA"/>
  </r>
  <r>
    <x v="105"/>
    <s v="NOVEMBRO"/>
    <s v="HSERV REPRESENTACOES"/>
    <s v="OKUYAMA &amp; ALVES SOCIEDADE DE ADVOGADOS PARCELA 7/8"/>
    <n v="-2000"/>
    <x v="0"/>
    <s v="ACORDO TRABALHISTA"/>
  </r>
  <r>
    <x v="33"/>
    <s v="NOVEMBRO"/>
    <s v="HSERV CABREUVA"/>
    <s v="LUCAS LEONARDO MARQUES DE OLIVEIRA"/>
    <n v="-2000"/>
    <x v="0"/>
    <s v="ACORDO TRABALHISTA"/>
  </r>
  <r>
    <x v="33"/>
    <s v="NOVEMBRO"/>
    <s v="HSERV CABREUVA"/>
    <s v="ARAUJO E RIOS ADVOGADOS ASSOCIADOS"/>
    <n v="-3836.54"/>
    <x v="0"/>
    <s v="ACORDO TRABALHISTA"/>
  </r>
  <r>
    <x v="33"/>
    <s v="NOVEMBRO"/>
    <s v="HSERV CABREUVA"/>
    <s v="TIAGO JOSE DE FREITAS OLIVEIRA"/>
    <n v="-3200"/>
    <x v="0"/>
    <s v="ACORDO TRABALHISTA"/>
  </r>
  <r>
    <x v="33"/>
    <s v="NOVEMBRO"/>
    <s v="HSERV LIMPEZA"/>
    <s v="JUAN PHILIPY STEPHANO AMARO SOCIEDADE INDIVIDUAL DE ADVOCACI"/>
    <n v="-1000"/>
    <x v="0"/>
    <s v="ACORDO TRABALHISTA"/>
  </r>
  <r>
    <x v="33"/>
    <s v="NOVEMBRO"/>
    <s v="VITOR DUARTE"/>
    <s v="LUAN VIEIRA BARRETO"/>
    <n v="-1400"/>
    <x v="0"/>
    <s v="ACORDO TRABALHISTA"/>
  </r>
  <r>
    <x v="33"/>
    <s v="NOVEMBRO"/>
    <s v="VITOR DUARTE"/>
    <s v="VALERIA GEOVANNA DOS SANTOS"/>
    <n v="-1916.67"/>
    <x v="0"/>
    <s v="ACORDO TRABALHISTA"/>
  </r>
  <r>
    <x v="33"/>
    <s v="NOVEMBRO"/>
    <s v="VITOR DUARTE"/>
    <s v="IVAN MARQUES DOS SANTOS"/>
    <n v="-2864.92"/>
    <x v="0"/>
    <s v="ACORDO TRABALHISTA"/>
  </r>
  <r>
    <x v="85"/>
    <s v="DEZEMBRO"/>
    <s v="HSERV CABREUVA"/>
    <s v="ELEKTRO SALA 16"/>
    <n v="-650"/>
    <x v="0"/>
    <s v="ENERGIA ELETRICA"/>
  </r>
  <r>
    <x v="85"/>
    <s v="DEZEMBRO"/>
    <s v="HSERV CABREUVA"/>
    <s v="ELEKTRO SALA 17"/>
    <n v="-320"/>
    <x v="0"/>
    <s v="ENERGIA ELETRICA"/>
  </r>
  <r>
    <x v="85"/>
    <s v="DEZEMBRO"/>
    <s v="HSERV CABREUVA"/>
    <s v="ELEKTRO SALA 18"/>
    <n v="-350"/>
    <x v="0"/>
    <s v="ENERGIA ELETRICA"/>
  </r>
  <r>
    <x v="85"/>
    <s v="DEZEMBRO"/>
    <s v="HSERV CABREUVA"/>
    <s v="ELEKTRO LOJA CLEAN"/>
    <n v="-201"/>
    <x v="0"/>
    <s v="ENERGIA ELETRICA"/>
  </r>
  <r>
    <x v="85"/>
    <s v="DEZEMBRO"/>
    <s v="HSERV COMBINADOS "/>
    <s v="CAIXINHA OPERACIONAL - OSSIRES"/>
    <n v="-2000"/>
    <x v="0"/>
    <s v="CAIXINHA"/>
  </r>
  <r>
    <x v="85"/>
    <s v="DEZEMBRO"/>
    <s v="HSERV COMBINADOS "/>
    <s v="CAIXINHA OPERACIONAL "/>
    <n v="-5000"/>
    <x v="0"/>
    <s v="CAIXINHA"/>
  </r>
  <r>
    <x v="114"/>
    <s v="DEZEMBRO"/>
    <s v="VITOR DUARTE"/>
    <s v="VIVA FOOD R E LTDA"/>
    <n v="-17235"/>
    <x v="0"/>
    <s v="VALE ALIMENTAÇÃO"/>
  </r>
  <r>
    <x v="115"/>
    <s v="DEZEMBRO"/>
    <s v="HSERV CLEAN"/>
    <s v="BANCO SAFRA S A-TARIFA BANCARIA"/>
    <n v="-279"/>
    <x v="0"/>
    <s v="TARIFA BANCARIA"/>
  </r>
  <r>
    <x v="115"/>
    <s v="DEZEMBRO"/>
    <s v="HSERV TERCEIRIZADOS ND"/>
    <s v="_x0009_ENCARGOS LIMITE DE CRED- HSERV TERCERIZADOS BRADESCO "/>
    <n v="-900"/>
    <x v="0"/>
    <s v="ENCARGOS"/>
  </r>
  <r>
    <x v="116"/>
    <s v="DEZEMBRO"/>
    <s v="HSERV CABREUVA"/>
    <s v="BANCO ITAUCARD S.A.- "/>
    <n v="-3809.98"/>
    <x v="0"/>
    <s v="FINANCIAMENTO"/>
  </r>
  <r>
    <x v="116"/>
    <s v="DEZEMBRO"/>
    <s v="HSERV CABREUVA"/>
    <s v="TAR PLANO ADAPT 3 05/24"/>
    <n v="-349"/>
    <x v="0"/>
    <s v="TARIFA BANCARIA"/>
  </r>
  <r>
    <x v="116"/>
    <s v="DEZEMBRO"/>
    <s v="HSERV TERCERIZADOS"/>
    <s v="TAR PLANO ADAPT 3 05/24"/>
    <n v="-389"/>
    <x v="0"/>
    <s v="TARIFA BANCARIA"/>
  </r>
  <r>
    <x v="116"/>
    <s v="DEZEMBRO"/>
    <s v="HSERV COMBINADOS"/>
    <s v="TAR PLANO ADAPT 3 05/24"/>
    <n v="-349"/>
    <x v="0"/>
    <s v="TARIFA BANCARIA"/>
  </r>
  <r>
    <x v="116"/>
    <s v="DEZEMBRO"/>
    <s v="HENRIQUE JEAN"/>
    <s v="TAR PLANO ADAPT 3 05/24"/>
    <n v="-349"/>
    <x v="0"/>
    <s v="TARIFA BANCARIA"/>
  </r>
  <r>
    <x v="116"/>
    <s v="DEZEMBRO"/>
    <s v="HSERV TECNOLOGIA"/>
    <s v="TAR PLANO ADAPT 3 05/24"/>
    <n v="-389"/>
    <x v="0"/>
    <s v="TARIFA BANCARIA"/>
  </r>
  <r>
    <x v="116"/>
    <s v="DEZEMBRO"/>
    <s v="HSERV LIMPEZA"/>
    <s v="TAR PLANO ADAPT 3 05/24"/>
    <n v="-389"/>
    <x v="0"/>
    <s v="TARIFA BANCARIA"/>
  </r>
  <r>
    <x v="116"/>
    <s v="DEZEMBRO"/>
    <s v="HSERV REPRESENTAÇÃO"/>
    <s v="TAR PLANO ADAPT 3 05/24"/>
    <n v="-389"/>
    <x v="0"/>
    <s v="TARIFA BANCARIA"/>
  </r>
  <r>
    <x v="114"/>
    <s v="DEZEMBRO"/>
    <s v="HSERV CABREUVA "/>
    <s v="CREDIFIT"/>
    <n v="-2000"/>
    <x v="0"/>
    <s v="CONSIGNADO"/>
  </r>
  <r>
    <x v="114"/>
    <s v="DEZEMBRO"/>
    <s v="HSERV CABREUVA"/>
    <s v="SALARIO CLT, PENSÃO ALIMENTICIA, BONUS-"/>
    <n v="-468000"/>
    <x v="0"/>
    <s v="SALARIOS"/>
  </r>
  <r>
    <x v="114"/>
    <s v="DEZEMBRO"/>
    <s v="HSERV CABREUVA"/>
    <s v="ESTER CARDOZO DE LIMA "/>
    <n v="-500"/>
    <x v="0"/>
    <s v="SALARIOS"/>
  </r>
  <r>
    <x v="114"/>
    <s v="DEZEMBRO"/>
    <s v="HSERV CABREUVA"/>
    <s v=" MEI  "/>
    <n v="-15000"/>
    <x v="0"/>
    <s v="SALARIOS"/>
  </r>
  <r>
    <x v="117"/>
    <s v="DEZEMBRO"/>
    <s v="HSERV CLEAN"/>
    <s v="EMPRESTIMO HSERV CLEAN BRADESCO -PARCELA MENSAL"/>
    <n v="-5523.75"/>
    <x v="0"/>
    <s v="EMPRESTIMO "/>
  </r>
  <r>
    <x v="114"/>
    <s v="DEZEMBRO"/>
    <s v="VITOR DUARTE"/>
    <s v="TAXA DE FISCALIZAÇÃO- VTM NEGOCIOS IMOBILIARIOS- EMPRESA VITOR PESSOAL- LEMBRAR O VITOR DE REALIZAR O PAGAMENTO "/>
    <n v="-226.68"/>
    <x v="0"/>
    <s v="APORTE"/>
  </r>
  <r>
    <x v="114"/>
    <s v="DEZEMBRO"/>
    <s v="HSERV COMBINADOS "/>
    <s v="FT ASSIS E REGIÃO- "/>
    <n v="-7000"/>
    <x v="0"/>
    <s v="FT"/>
  </r>
  <r>
    <x v="118"/>
    <s v="DEZEMBRO"/>
    <s v="VITOR DUARTE"/>
    <s v="VIVA FOOD R E LTDA"/>
    <n v="-17235"/>
    <x v="0"/>
    <s v="VALE ALIMENTAÇÃO"/>
  </r>
  <r>
    <x v="119"/>
    <s v="DEZEMBRO"/>
    <s v="HSERV TECNOLOGIA"/>
    <s v="PAPEL E CIA"/>
    <n v="-700"/>
    <x v="0"/>
    <s v="MATERIAL DE ESCRITÓRIO"/>
  </r>
  <r>
    <x v="119"/>
    <s v="DEZEMBRO"/>
    <s v="HSERV COMBINADOS "/>
    <s v="BRASIL MEDICINE - PROVISÃO "/>
    <n v="-9000"/>
    <x v="0"/>
    <s v="SINDICATO"/>
  </r>
  <r>
    <x v="119"/>
    <s v="DEZEMBRO"/>
    <s v="HSERV CABREUVA"/>
    <s v="SERGIO LUIZ BERTOLO"/>
    <n v="-290"/>
    <x v="0"/>
    <s v="ALUGUEL DE IMOVEIS"/>
  </r>
  <r>
    <x v="119"/>
    <s v="DEZEMBRO"/>
    <s v="HSERV COMBINADOS "/>
    <s v="JAIR RÉ"/>
    <n v="-1000"/>
    <x v="0"/>
    <s v="COMISSOES"/>
  </r>
  <r>
    <x v="119"/>
    <s v="DEZEMBRO"/>
    <s v="VITOR DUARTE"/>
    <s v="MARCASA-SEGURANÇA VEPAKUM"/>
    <n v="-10500"/>
    <x v="0"/>
    <s v="SEGURANÇAS"/>
  </r>
  <r>
    <x v="119"/>
    <s v="DEZEMBRO"/>
    <s v="HSERV COMBINADOS "/>
    <s v="JHONNY WALACE"/>
    <n v="-1000"/>
    <x v="0"/>
    <s v="COMISSOES"/>
  </r>
  <r>
    <x v="119"/>
    <s v="DEZEMBRO"/>
    <s v="HENRIQUE JEAN"/>
    <s v="PROLABORE SOCIOS CRISTIANE-MARIA JOSE, GUTHIERRI"/>
    <n v="-3000"/>
    <x v="0"/>
    <s v="PROLABORE"/>
  </r>
  <r>
    <x v="119"/>
    <s v="DEZEMBRO"/>
    <s v="HSERV CLEAN"/>
    <s v="INTERMEDICA"/>
    <n v="-6536.85"/>
    <x v="0"/>
    <s v="CONVENIO MEDICO"/>
  </r>
  <r>
    <x v="119"/>
    <s v="DEZEMBRO"/>
    <s v="HSERV CABREUVA"/>
    <s v="AUTO POSTO JARDIM DAS HORTENCI"/>
    <n v="-9500"/>
    <x v="0"/>
    <s v="COMBUSTIVEL E PEDAGIO"/>
  </r>
  <r>
    <x v="119"/>
    <s v="DEZEMBRO"/>
    <s v="HENRIQUE JEAN ND"/>
    <s v="FIT ADM (VIDA NOVA) 34-07"/>
    <n v="-432"/>
    <x v="0"/>
    <s v="RESERVA"/>
  </r>
  <r>
    <x v="119"/>
    <s v="DEZEMBRO"/>
    <s v="VITOR  DUARTE"/>
    <s v="RONDAWEB CONEXOES LTDA"/>
    <n v="-553.25"/>
    <x v="0"/>
    <s v="SISTEMA"/>
  </r>
  <r>
    <x v="120"/>
    <s v="DEZEMBRO"/>
    <s v="HSERV TERCEIRIZADOS"/>
    <s v="MOVIDA PARTICIPACOES S.A.-"/>
    <n v="-4347.01"/>
    <x v="0"/>
    <s v="ALUGUEL DE VEICULOS"/>
  </r>
  <r>
    <x v="120"/>
    <s v="DEZEMBRO"/>
    <s v="HSERV TERCEIRIZADOS"/>
    <s v="MOVIDA PARTICIPACOES S.A.-"/>
    <n v="-2173.96"/>
    <x v="0"/>
    <s v="ALUGUEL DE VEICULOS"/>
  </r>
  <r>
    <x v="70"/>
    <s v="DEZEMBRO"/>
    <s v="HSERV CABREUVA"/>
    <s v="RESCISÕES"/>
    <n v="-40000"/>
    <x v="0"/>
    <s v="RESCISÕES"/>
  </r>
  <r>
    <x v="117"/>
    <s v="DEZEMBRO"/>
    <s v="HSERV CABREUVA"/>
    <s v=" MEI"/>
    <n v="-100000"/>
    <x v="0"/>
    <s v="SALARIOS"/>
  </r>
  <r>
    <x v="117"/>
    <s v="DEZEMBRO"/>
    <s v="HSERV CABREUVA"/>
    <s v="ASSIDUIDADE"/>
    <n v="-40000"/>
    <x v="0"/>
    <s v="ASSIDUIDADE"/>
  </r>
  <r>
    <x v="117"/>
    <s v="DEZEMBRO"/>
    <s v="HSERV CABREUVA"/>
    <s v="VALE ALIMENTAÇÃO MENSAL -"/>
    <n v="-90000"/>
    <x v="0"/>
    <s v="VALE ALIMENTAÇÃO"/>
  </r>
  <r>
    <x v="117"/>
    <s v="DEZEMBRO"/>
    <s v=" HSERV CABREUVA"/>
    <s v="VALE TRANSPORTE BASE"/>
    <n v="-10000"/>
    <x v="0"/>
    <s v="VALE TRANSPORTE"/>
  </r>
  <r>
    <x v="117"/>
    <s v="DEZEMBRO"/>
    <s v="VITOR DUARTE"/>
    <s v="BOLETO OTAVIO"/>
    <n v="-20000"/>
    <x v="0"/>
    <s v="PROLABORE"/>
  </r>
  <r>
    <x v="117"/>
    <s v="DEZEMBRO"/>
    <s v="HSERV COMBINADOS "/>
    <s v="ESTER CARDOZO"/>
    <n v="-1375"/>
    <x v="0"/>
    <s v="SALARIOS"/>
  </r>
  <r>
    <x v="117"/>
    <s v="DEZEMBRO"/>
    <s v="HSERV CABREUVA"/>
    <s v="SEM PARAR- "/>
    <n v="-6500"/>
    <x v="0"/>
    <s v="COMBUSTIVEL E PEDAGIO"/>
  </r>
  <r>
    <x v="117"/>
    <s v="DEZEMBRO"/>
    <s v="VITOR DUARTE"/>
    <s v="CARTAO DE CRÉDITO-"/>
    <n v="-12000"/>
    <x v="0"/>
    <s v="CARTÃO DE CREDITO"/>
  </r>
  <r>
    <x v="117"/>
    <s v="DEZEMBRO"/>
    <s v="HENRIQUE JEAN"/>
    <s v="CARTÃO DE CREDITO"/>
    <n v="-2302.0500000000002"/>
    <x v="0"/>
    <s v="CARTÃO DE CREDITO"/>
  </r>
  <r>
    <x v="117"/>
    <s v="DEZEMBRO"/>
    <s v="HSERV COMBINADOS"/>
    <s v="CARTÃO DE CREDITO"/>
    <n v="-1248.99"/>
    <x v="0"/>
    <s v="CARTÃO DE CREDITO"/>
  </r>
  <r>
    <x v="118"/>
    <s v="DEZEMBRO"/>
    <s v="HSERV CABREUVA"/>
    <s v="SICOOB HSERV CABREUVA NEGOCIAÇÃO CHEQUE ESPECIAL "/>
    <n v="-2012.45"/>
    <x v="0"/>
    <s v="EMPRESTIMO "/>
  </r>
  <r>
    <x v="117"/>
    <s v="DEZEMBRO"/>
    <s v="HSERV CABREUVA"/>
    <s v="TARIFA MAX EMPRESARIAL"/>
    <n v="-171.1"/>
    <x v="0"/>
    <s v="TARIFA BANCARIA"/>
  </r>
  <r>
    <x v="117"/>
    <s v="DEZEMBRO"/>
    <s v="HSERV CLEAN"/>
    <s v="TARIFA MAX EMPRESARIAL"/>
    <n v="-171.1"/>
    <x v="0"/>
    <s v="TARIFA BANCARIA"/>
  </r>
  <r>
    <x v="117"/>
    <s v="DEZEMBRO"/>
    <s v="HSERV COMBINADOS "/>
    <s v="TARIFA MAX EMPRESARIAL"/>
    <n v="-171.1"/>
    <x v="0"/>
    <s v="TARIFA BANCARIA"/>
  </r>
  <r>
    <x v="117"/>
    <s v="DEZEMBRO"/>
    <s v="HSERV COMBINADOS  ND "/>
    <s v="TARIFA MAX EMPRESARIAL"/>
    <n v="-171.1"/>
    <x v="0"/>
    <s v="TARIFA BANCARIA"/>
  </r>
  <r>
    <x v="117"/>
    <s v="DEZEMBRO"/>
    <s v="HENRIQUE JEAN"/>
    <s v="TARIFA MAX EMPRESARIAL"/>
    <n v="-171.1"/>
    <x v="0"/>
    <s v="TARIFA BANCARIA"/>
  </r>
  <r>
    <x v="117"/>
    <s v="DEZEMBRO"/>
    <s v="HENRIQUE JEAN ND"/>
    <s v="TARIFA MAX EMPRESARIAL"/>
    <n v="-171.1"/>
    <x v="0"/>
    <s v="TARIFA BANCARIA"/>
  </r>
  <r>
    <x v="117"/>
    <s v="DEZEMBRO"/>
    <s v="VITOR DUARTE"/>
    <s v="TARIFA MAX EMPRESARIAL"/>
    <n v="-171.1"/>
    <x v="0"/>
    <s v="TARIFA BANCARIA"/>
  </r>
  <r>
    <x v="117"/>
    <s v="DEZEMBRO"/>
    <s v="VITOR DUARTE ND"/>
    <s v="TARIFA MAX EMPRESARIAL"/>
    <n v="-171.1"/>
    <x v="0"/>
    <s v="TARIFA BANCARIA"/>
  </r>
  <r>
    <x v="117"/>
    <s v="DEZEMBRO"/>
    <s v="HSERV TERCERIZADOS"/>
    <s v="TARIFA MAX EMPRESARIAL"/>
    <n v="-171.1"/>
    <x v="0"/>
    <s v="TARIFA BANCARIA"/>
  </r>
  <r>
    <x v="117"/>
    <s v="DEZEMBRO"/>
    <s v="HSERV TERCERIZADOS ND"/>
    <s v="TARIFA MAX EMPRESARIAL"/>
    <n v="-171.1"/>
    <x v="0"/>
    <s v="TARIFA BANCARIA"/>
  </r>
  <r>
    <x v="117"/>
    <s v="DEZEMBRO"/>
    <s v="HSERV LIMPEZA"/>
    <s v="TARIFA MAX EMPRESARIAL"/>
    <n v="-171.1"/>
    <x v="0"/>
    <s v="TARIFA BANCARIA"/>
  </r>
  <r>
    <x v="117"/>
    <s v="DEZEMBRO"/>
    <s v="HSERV LIMPEZA ND"/>
    <s v="TARIFA MAX EMPRESARIAL"/>
    <n v="-171.1"/>
    <x v="0"/>
    <s v="TARIFA BANCARIA"/>
  </r>
  <r>
    <x v="117"/>
    <s v="DEZEMBRO"/>
    <s v="HSERV TECNOLOGIA"/>
    <s v="TARIFA MAX EMPRESARIAL"/>
    <n v="-171.1"/>
    <x v="0"/>
    <s v="TARIFA BANCARIA"/>
  </r>
  <r>
    <x v="117"/>
    <s v="DEZEMBRO"/>
    <s v="HSERV REPRESENTAÇÃO"/>
    <s v="TARIFA MAX EMPRESARIAL"/>
    <n v="-171.1"/>
    <x v="0"/>
    <s v="TARIFA BANCARIA"/>
  </r>
  <r>
    <x v="117"/>
    <s v="DEZEMBRO"/>
    <s v="HSERV CABREUVA"/>
    <s v="VALE COMBUSTIVEL-2 QUINZENA "/>
    <n v="-8000"/>
    <x v="0"/>
    <s v="VALE COMBUSTIVEL"/>
  </r>
  <r>
    <x v="120"/>
    <s v="DEZEMBRO"/>
    <s v="HSERV CABREUVA"/>
    <s v="SABESP SALA 16"/>
    <n v="-141.69999999999999"/>
    <x v="0"/>
    <s v="AGUA"/>
  </r>
  <r>
    <x v="120"/>
    <s v="DEZEMBRO"/>
    <s v="HSERV CABREUVA"/>
    <s v="SABESP SALA 17"/>
    <n v="-141.69999999999999"/>
    <x v="0"/>
    <s v="AGUA"/>
  </r>
  <r>
    <x v="120"/>
    <s v="DEZEMBRO"/>
    <s v="HSERV CABREUVA"/>
    <s v="SABESP SALA 18"/>
    <n v="-141.69999999999999"/>
    <x v="0"/>
    <s v="AGUA"/>
  </r>
  <r>
    <x v="120"/>
    <s v="DEZEMBRO"/>
    <s v="HSERV CABREUVA"/>
    <s v="SABESP CLEAN"/>
    <n v="-139.25"/>
    <x v="0"/>
    <s v="AGUA"/>
  </r>
  <r>
    <x v="117"/>
    <s v="DEZEMBRO"/>
    <s v="HSERV TECNOLOGIA"/>
    <s v="OMIEXPERIENCE LTDA."/>
    <n v="-244.5"/>
    <x v="0"/>
    <s v="SISTEMA"/>
  </r>
  <r>
    <x v="117"/>
    <s v="DEZEMBRO"/>
    <s v="HSERV REPRESENTACOES"/>
    <s v="OMIEXPERIENCE LTDA."/>
    <n v="-300"/>
    <x v="0"/>
    <s v="SISTEMA"/>
  </r>
  <r>
    <x v="117"/>
    <s v="DEZEMBRO"/>
    <s v="HSERV CABREUVA "/>
    <s v="OMIEXPERIENCE LTDA."/>
    <n v="-300"/>
    <x v="0"/>
    <s v="SISTEMA"/>
  </r>
  <r>
    <x v="117"/>
    <s v="DEZEMBRO"/>
    <s v="HSERV  COMBINADOS"/>
    <s v="OMIEXPERIENCE LTDA."/>
    <n v="-300"/>
    <x v="0"/>
    <s v="SISTEMA"/>
  </r>
  <r>
    <x v="117"/>
    <s v="DEZEMBRO"/>
    <s v="HENRIQUE JEAN DUARTE "/>
    <s v="OMIEXPERIENCE LTDA."/>
    <n v="-275"/>
    <x v="0"/>
    <s v="SISTEMA"/>
  </r>
  <r>
    <x v="117"/>
    <s v="DEZEMBRO"/>
    <s v="HSERV TERCEIRIZADOS"/>
    <s v="OMIEXPERIENCE LTDA."/>
    <n v="-300"/>
    <x v="0"/>
    <s v="SISTEMA"/>
  </r>
  <r>
    <x v="117"/>
    <s v="DEZEMBRO"/>
    <s v="HSERV  LIMPEZA "/>
    <s v="OMIEXPERIENCE LTDA."/>
    <n v="-300"/>
    <x v="0"/>
    <s v="SISTEMA"/>
  </r>
  <r>
    <x v="117"/>
    <s v="DEZEMBRO"/>
    <s v="VITOR  DUARTE "/>
    <s v="OMIEXPERIENCE LTDA."/>
    <n v="-350"/>
    <x v="0"/>
    <s v="SISTEMA"/>
  </r>
  <r>
    <x v="117"/>
    <s v="DEZEMBRO"/>
    <s v="HSER CLEAN"/>
    <s v="OMIEXPERIENCE LTDA."/>
    <n v="-373.51"/>
    <x v="0"/>
    <s v="SISTEMA"/>
  </r>
  <r>
    <x v="112"/>
    <s v="DEZEMBRO"/>
    <s v="HENRIQUE JEAN"/>
    <s v="EMPORIO MEGA 100 COMERCIO DE ALIMENTOS S.A."/>
    <n v="-3022.31"/>
    <x v="0"/>
    <s v="CESTA BASICA"/>
  </r>
  <r>
    <x v="112"/>
    <s v="DEZEMBRO"/>
    <s v="HSERV CABREUVA"/>
    <s v="EMPORIO MEGA 100 COMERCIO DE ALIMENTOS S.A."/>
    <n v="-3952.25"/>
    <x v="0"/>
    <s v="CESTA BASICA"/>
  </r>
  <r>
    <x v="112"/>
    <s v="DEZEMBRO"/>
    <s v="HSERV CLEAN"/>
    <s v="EMPORIO MEGA 100 COMERCIO DE ALIMENTOS S.A."/>
    <n v="-3409.78"/>
    <x v="0"/>
    <s v="CESTA BASICA"/>
  </r>
  <r>
    <x v="112"/>
    <s v="DEZEMBRO"/>
    <s v="HSERV CLEAN"/>
    <s v="EMPORIO MEGA 100 COMERCIO DE ALIMENTOS S.A."/>
    <n v="-852.45"/>
    <x v="0"/>
    <s v="CESTA BASICA"/>
  </r>
  <r>
    <x v="112"/>
    <s v="DEZEMBRO"/>
    <s v="HSERV COMBINADOS"/>
    <s v="EMPORIO MEGA 100 COMERCIO DE ALIMENTOS S.A."/>
    <n v="-2944.81"/>
    <x v="0"/>
    <s v="CESTA BASICA"/>
  </r>
  <r>
    <x v="112"/>
    <s v="DEZEMBRO"/>
    <s v="HSERV LIMPEZA"/>
    <s v="EMPORIO MEGA 100 COMERCIO DE ALIMENTOS S.A."/>
    <n v="-852.45"/>
    <x v="0"/>
    <s v="CESTA BASICA"/>
  </r>
  <r>
    <x v="112"/>
    <s v="DEZEMBRO"/>
    <s v="HSERV REPRESENTACOES"/>
    <s v="EMPORIO MEGA 100 COMERCIO DE ALIMENTOS S.A."/>
    <n v="-929.94"/>
    <x v="0"/>
    <s v="CESTA BASICA"/>
  </r>
  <r>
    <x v="112"/>
    <s v="DEZEMBRO"/>
    <s v="HSERV TECNOLOGIA"/>
    <s v="EMPORIO MEGA 100 COMERCIO DE ALIMENTOS S.A."/>
    <n v="-232.49"/>
    <x v="0"/>
    <s v="CESTA BASICA"/>
  </r>
  <r>
    <x v="112"/>
    <s v="DEZEMBRO"/>
    <s v="HSERV TERCEIRIZADOS"/>
    <s v="EMPORIO MEGA 100 COMERCIO DE ALIMENTOS S.A."/>
    <n v="-464.97"/>
    <x v="0"/>
    <s v="CESTA BASICA"/>
  </r>
  <r>
    <x v="112"/>
    <s v="DEZEMBRO"/>
    <s v="VITOR DUARTE"/>
    <s v="EMPORIO MEGA 100 COMERCIO DE ALIMENTOS S.A."/>
    <n v="-542.47"/>
    <x v="0"/>
    <s v="CESTA BASICA"/>
  </r>
  <r>
    <x v="120"/>
    <s v="DEZEMBRO"/>
    <s v="VITOR DUARTE"/>
    <s v="LOCALIZA - VENCIDA"/>
    <n v="-3760"/>
    <x v="0"/>
    <s v="ALUGUEL DE VEICULOS"/>
  </r>
  <r>
    <x v="120"/>
    <s v="DEZEMBRO"/>
    <s v="VITOR DUARTE"/>
    <s v="LOCALIZA - VENCIDA"/>
    <n v="-5800"/>
    <x v="0"/>
    <s v="ALUGUEL DE VEICULOS"/>
  </r>
  <r>
    <x v="120"/>
    <s v="DEZEMBRO"/>
    <s v="HSERV COMBINADOS "/>
    <s v="LOCALIZA - VENCIDA"/>
    <n v="-5460"/>
    <x v="0"/>
    <s v="ALUGUEL DE VEICULOS"/>
  </r>
  <r>
    <x v="21"/>
    <s v="DEZEMBRO"/>
    <s v="VITOR DUARTE"/>
    <s v="VIVA FOOD R E LTDA"/>
    <n v="-17235"/>
    <x v="0"/>
    <s v="VALE ALIMENTAÇÃO"/>
  </r>
  <r>
    <x v="120"/>
    <s v="DEZEMBRO"/>
    <s v="VITOR DUARTE"/>
    <s v="ALTOLIM COMERCIAL ASSIS EIRELI - ME"/>
    <n v="-55.285685999999998"/>
    <x v="0"/>
    <s v="MERCADORIA PARA REVENDA"/>
  </r>
  <r>
    <x v="120"/>
    <s v="DEZEMBRO"/>
    <s v="VITOR DUARTE"/>
    <s v="ALTOLIM COMERCIAL ASSIS EIRELI - ME"/>
    <n v="-9.8543140000000005"/>
    <x v="0"/>
    <s v="MERCADORIA PARA REVENDA"/>
  </r>
  <r>
    <x v="120"/>
    <s v="DEZEMBRO"/>
    <s v="HSERV CABREUVA"/>
    <s v="ASOMETRA- VENCIDA"/>
    <n v="-4500"/>
    <x v="0"/>
    <s v="EXAMES MEDICOS"/>
  </r>
  <r>
    <x v="43"/>
    <s v="DEZEMBRO"/>
    <s v="HSERV CABREUVA"/>
    <s v="BRADESCO "/>
    <n v="-35714.57"/>
    <x v="0"/>
    <s v="EMPRESTIMO "/>
  </r>
  <r>
    <x v="120"/>
    <s v="DEZEMBRO"/>
    <s v="HSERV CABREUVA"/>
    <s v="SINDICATO DOS EMPREGADOS - VENCIDA"/>
    <n v="-30"/>
    <x v="0"/>
    <s v="SINDICATO"/>
  </r>
  <r>
    <x v="120"/>
    <s v="DEZEMBRO"/>
    <s v="HSERV CABREUVA"/>
    <s v="SINDICATO DOS EMPREGADOS - VENCIDA "/>
    <n v="-10000"/>
    <x v="0"/>
    <s v="SINDICATO"/>
  </r>
  <r>
    <x v="120"/>
    <s v="DEZEMBRO"/>
    <s v="HSERV CABREUVA"/>
    <s v="BENEFICIO SOCIALVENCIDA"/>
    <n v="-4500"/>
    <x v="0"/>
    <s v="SINDICATO"/>
  </r>
  <r>
    <x v="120"/>
    <s v="DEZEMBRO"/>
    <s v="VITOR DUARTE"/>
    <s v="JONESO EMPREENDIMENTOS"/>
    <n v="-5300"/>
    <x v="0"/>
    <s v="ALUGUEL DE IMOVEIS"/>
  </r>
  <r>
    <x v="121"/>
    <s v="DEZEMBRO"/>
    <s v="HSERV COMBINADOS "/>
    <s v="SOFISA ACORDO- PROCESSO EXECUÇÃO"/>
    <n v="-5996.67"/>
    <x v="0"/>
    <s v="EMPRESTIMO "/>
  </r>
  <r>
    <x v="122"/>
    <s v="DEZEMBRO"/>
    <s v="HSERV CABREUVA"/>
    <s v="IF EMPRESARIAL"/>
    <n v="-16000"/>
    <x v="0"/>
    <s v="CONTABILIDADE"/>
  </r>
  <r>
    <x v="122"/>
    <s v="DEZEMBRO"/>
    <s v="HSERV CABREUVA"/>
    <s v="RESOLVE ALIMENTAÇÃO "/>
    <n v="-600"/>
    <x v="0"/>
    <s v="VALE ALIMENTAÇÃO"/>
  </r>
  <r>
    <x v="122"/>
    <s v="DEZEMBRO"/>
    <s v="HSERV CABREUVA"/>
    <s v="ANJO AZUL ALARMES"/>
    <n v="-1100"/>
    <x v="0"/>
    <s v="SISTEMA"/>
  </r>
  <r>
    <x v="122"/>
    <s v="DEZEMBRO"/>
    <s v="HSERV CABREUVA"/>
    <s v="MAXIWEB INTERNET PROVIDER LTDA"/>
    <n v="-39.799999999999997"/>
    <x v="0"/>
    <s v="SISTEMA"/>
  </r>
  <r>
    <x v="21"/>
    <s v="DEZEMBRO"/>
    <s v="HSERV CABREUVA"/>
    <s v="SIMPLES NACIONAL MENSAL "/>
    <n v="-20000"/>
    <x v="0"/>
    <s v="IMPOSTO"/>
  </r>
  <r>
    <x v="21"/>
    <s v="DEZEMBRO"/>
    <s v="VITOR DUARTE"/>
    <s v="DARF DE COFINS, PIS- LUCRO REAL EMPRESA VITOR"/>
    <n v="-15000"/>
    <x v="0"/>
    <s v="IMPOSTO"/>
  </r>
  <r>
    <x v="21"/>
    <s v="DEZEMBRO"/>
    <s v="VITOR DUARTE"/>
    <s v="DARF DE COFINS, PIS- LUCRO  PRESUMIDO HSERV CABREUVA"/>
    <n v="-3000"/>
    <x v="0"/>
    <s v="IMPOSTO"/>
  </r>
  <r>
    <x v="21"/>
    <s v="DEZEMBRO"/>
    <s v="HSERV CABREUVA"/>
    <s v="FGTS MENSAL"/>
    <n v="-55000"/>
    <x v="0"/>
    <s v="IMPOSTO"/>
  </r>
  <r>
    <x v="21"/>
    <s v="DEZEMBRO"/>
    <s v="HSERV CABREUVA"/>
    <s v="DARF INSS-TODAS EMPRESAS"/>
    <n v="-50000"/>
    <x v="0"/>
    <s v="IMPOSTO"/>
  </r>
  <r>
    <x v="122"/>
    <s v="DEZEMBRO"/>
    <s v="HSERV CABREUVA"/>
    <s v="FT 1 QUINZENA E PACOTES, RT"/>
    <n v="-110000"/>
    <x v="0"/>
    <s v="FT"/>
  </r>
  <r>
    <x v="21"/>
    <s v="DEZEMBRO"/>
    <s v="HSERV CABREUVA"/>
    <s v="VALE TRANSPORTE MENSAL VIAÇÕES"/>
    <n v="-41000"/>
    <x v="0"/>
    <s v="VALE TRANSPORTE"/>
  </r>
  <r>
    <x v="122"/>
    <s v="DEZEMBRO"/>
    <s v="HENRIQUE JEAN"/>
    <s v="EMPORIO MEGA 100 COMERCIO DE ALIMENTOS S.A."/>
    <n v="-2324.85"/>
    <x v="0"/>
    <s v="CESTA BASICA"/>
  </r>
  <r>
    <x v="122"/>
    <s v="DEZEMBRO"/>
    <s v="HSERV CABREUVA"/>
    <s v="EMPORIO MEGA 100 COMERCIO DE ALIMENTOS S.A."/>
    <n v="-2944.81"/>
    <x v="0"/>
    <s v="CESTA BASICA"/>
  </r>
  <r>
    <x v="122"/>
    <s v="DEZEMBRO"/>
    <s v="HSERV CLEAN"/>
    <s v="EMPORIO MEGA 100 COMERCIO DE ALIMENTOS S.A."/>
    <n v="-2867.32"/>
    <x v="0"/>
    <s v="CESTA BASICA"/>
  </r>
  <r>
    <x v="122"/>
    <s v="DEZEMBRO"/>
    <s v="HSERV CLEAN"/>
    <s v="EMPORIO MEGA 100 COMERCIO DE ALIMENTOS S.A."/>
    <n v="-852.45"/>
    <x v="0"/>
    <s v="CESTA BASICA"/>
  </r>
  <r>
    <x v="122"/>
    <s v="DEZEMBRO"/>
    <s v="HSERV COMBINADOS"/>
    <s v="EMPORIO MEGA 100 COMERCIO DE ALIMENTOS S.A."/>
    <n v="-2789.82"/>
    <x v="0"/>
    <s v="CESTA BASICA"/>
  </r>
  <r>
    <x v="122"/>
    <s v="DEZEMBRO"/>
    <s v="HSERV LIMPEZA"/>
    <s v="EMPORIO MEGA 100 COMERCIO DE ALIMENTOS S.A."/>
    <n v="-852.45"/>
    <x v="0"/>
    <s v="CESTA BASICA"/>
  </r>
  <r>
    <x v="122"/>
    <s v="DEZEMBRO"/>
    <s v="HSERV REPRESENTACOES"/>
    <s v="EMPORIO MEGA 100 COMERCIO DE ALIMENTOS S.A."/>
    <n v="-619.96"/>
    <x v="0"/>
    <s v="CESTA BASICA"/>
  </r>
  <r>
    <x v="122"/>
    <s v="DEZEMBRO"/>
    <s v="HSERV TECNOLOGIA"/>
    <s v="EMPORIO MEGA 100 COMERCIO DE ALIMENTOS S.A."/>
    <n v="-154.99"/>
    <x v="0"/>
    <s v="CESTA BASICA"/>
  </r>
  <r>
    <x v="122"/>
    <s v="DEZEMBRO"/>
    <s v="HSERV TERCEIRIZADOS"/>
    <s v="EMPORIO MEGA 100 COMERCIO DE ALIMENTOS S.A."/>
    <n v="-852.45"/>
    <x v="0"/>
    <s v="CESTA BASICA"/>
  </r>
  <r>
    <x v="122"/>
    <s v="DEZEMBRO"/>
    <s v="VITOR DUARTE"/>
    <s v="EMPORIO MEGA 100 COMERCIO DE ALIMENTOS S.A."/>
    <n v="-77.5"/>
    <x v="0"/>
    <s v="CESTA BASICA"/>
  </r>
  <r>
    <x v="122"/>
    <s v="DEZEMBRO"/>
    <s v="HSERV CABREUVA"/>
    <s v="FT ASSIS E REGIÃO- "/>
    <n v="-8000"/>
    <x v="0"/>
    <s v="FT"/>
  </r>
  <r>
    <x v="122"/>
    <s v="DEZEMBRO"/>
    <s v="HSERV COMBINADOS"/>
    <s v="MAC LUCER - VINEA (MENSAL)"/>
    <n v="-2756.99"/>
    <x v="0"/>
    <s v="APORTE"/>
  </r>
  <r>
    <x v="122"/>
    <s v="DEZEMBRO"/>
    <s v="VITOR DUARTE"/>
    <s v="CLARO S/A"/>
    <n v="-1700"/>
    <x v="0"/>
    <s v="TELEFONE"/>
  </r>
  <r>
    <x v="21"/>
    <s v="DEZEMBRO"/>
    <s v="HENRIQUE JEAN ND"/>
    <s v="IMOVEL NEX ONE "/>
    <n v="-8937.32"/>
    <x v="0"/>
    <s v="RESERVA"/>
  </r>
  <r>
    <x v="43"/>
    <s v="DEZEMBRO"/>
    <s v="VITOR DUARTE"/>
    <s v="VIVA FOOD R E LTDA"/>
    <n v="-17235"/>
    <x v="0"/>
    <s v="VALE ALIMENTAÇÃO"/>
  </r>
  <r>
    <x v="43"/>
    <s v="DEZEMBRO"/>
    <s v="HSERV CABREUVA"/>
    <s v="AUTO POSTO JARDIM DAS HORTENCI"/>
    <n v="-9000"/>
    <x v="0"/>
    <s v="COMBUSTIVEL E PEDAGIO"/>
  </r>
  <r>
    <x v="43"/>
    <s v="DEZEMBRO"/>
    <s v="VITOR DUARTE"/>
    <s v="GADE CORPORATIVA"/>
    <n v="-500"/>
    <x v="0"/>
    <s v="SISTEMA"/>
  </r>
  <r>
    <x v="43"/>
    <s v="DEZEMBRO"/>
    <s v="HSERV CABREUVA"/>
    <s v="OPEN IT GROUP"/>
    <n v="-294.8"/>
    <x v="0"/>
    <s v="INTERNET"/>
  </r>
  <r>
    <x v="43"/>
    <s v="DEZEMBRO"/>
    <s v="HSERV COMBINADOS"/>
    <s v="MAC LUCER - VINEA (MENSAL) "/>
    <n v="-1812.64"/>
    <x v="0"/>
    <s v="APORTE"/>
  </r>
  <r>
    <x v="21"/>
    <s v="DEZEMBRO"/>
    <s v="HSERV CABREUVA"/>
    <s v="DECIMO TERCEIRO SALARIOS"/>
    <n v="-217558.83"/>
    <x v="0"/>
    <s v="DECIMO TERCEIRO SALARIO"/>
  </r>
  <r>
    <x v="21"/>
    <s v="DEZEMBRO"/>
    <s v="VITOR DUARTE"/>
    <s v="CHEQUES DR DUARTE"/>
    <n v="-9980"/>
    <x v="0"/>
    <s v="PROLABORE"/>
  </r>
  <r>
    <x v="97"/>
    <s v="DEZEMBRO"/>
    <s v="HSERV COMBINADOS "/>
    <s v="GABRIEL DOS SANTOS NOVÃESCLOUD-TELEFONIA"/>
    <n v="-500"/>
    <x v="0"/>
    <s v="SISTEMA"/>
  </r>
  <r>
    <x v="34"/>
    <s v="DEZEMBRO"/>
    <s v="VITOR DUARTE"/>
    <s v="NEXTI DESENVOLVIMENTO DE SISTEMAS S.A."/>
    <n v="-2530.4299999999998"/>
    <x v="0"/>
    <s v="SISTEMA"/>
  </r>
  <r>
    <x v="34"/>
    <s v="DEZEMBRO"/>
    <s v="VITOR DUARTE"/>
    <s v="NEXTI DESENVOLVIMENTO DE SISTEMAS S.A."/>
    <n v="-1339.5"/>
    <x v="0"/>
    <s v="SISTEMA"/>
  </r>
  <r>
    <x v="114"/>
    <s v="DEZEMBRO"/>
    <s v=" HSERV CABREUVA"/>
    <s v="VALE TRANSPORTE "/>
    <n v="-5000"/>
    <x v="0"/>
    <s v="VALE TRANSPORTE"/>
  </r>
  <r>
    <x v="34"/>
    <s v="DEZEMBRO"/>
    <s v=" HSERV CABREUVA"/>
    <s v="VALE TRANSPORTE BASE"/>
    <n v="-15000"/>
    <x v="0"/>
    <s v="VALE TRANSPORTE"/>
  </r>
  <r>
    <x v="43"/>
    <s v="DEZEMBRO"/>
    <s v="VITOR DUARTE"/>
    <s v="CHEQUES DR DUARTE"/>
    <n v="-9980"/>
    <x v="0"/>
    <s v="PROLABORE"/>
  </r>
  <r>
    <x v="34"/>
    <s v="DEZEMBRO"/>
    <s v="VITOR DUARTE"/>
    <s v="CHEQUES DR DUARTE"/>
    <n v="-23498.18"/>
    <x v="0"/>
    <s v="PROLABORE"/>
  </r>
  <r>
    <x v="34"/>
    <s v="DEZEMBRO"/>
    <s v="HSERV CABREUVA"/>
    <s v="SIMPLES NACIONAL-PARCELAMENTO"/>
    <n v="-35000"/>
    <x v="0"/>
    <s v="IMPOSTO"/>
  </r>
  <r>
    <x v="34"/>
    <s v="DEZEMBRO"/>
    <s v="HSERV CABREUVA"/>
    <s v="VALE COMBUSTIVEL "/>
    <n v="-7000"/>
    <x v="0"/>
    <s v="VALE COMBUSTIVEL"/>
  </r>
  <r>
    <x v="34"/>
    <s v="DEZEMBRO"/>
    <s v="VITOR DUARTE"/>
    <s v="ADEMIR- IMPRESSÃO E IMPRESSORA"/>
    <n v="-50"/>
    <x v="0"/>
    <s v="TI"/>
  </r>
  <r>
    <x v="34"/>
    <s v="DEZEMBRO"/>
    <s v="HSERV COMBINADOS "/>
    <s v="REEMBOLSOS"/>
    <n v="-800"/>
    <x v="0"/>
    <s v="REEMBOLSO"/>
  </r>
  <r>
    <x v="34"/>
    <s v="DEZEMBRO"/>
    <s v="VITOR DUARTE"/>
    <s v="GUIA DE PARCELAMENTO INSS VITOR JULHO A NOV 2024"/>
    <n v="-7000"/>
    <x v="0"/>
    <s v="IMPOSTO"/>
  </r>
  <r>
    <x v="34"/>
    <s v="DEZEMBRO"/>
    <s v="HSERV CLEAN"/>
    <s v="GUIA DE PARELAMENTO DE DIVIDA ATIVA HSERV CLEAN"/>
    <n v="-600"/>
    <x v="0"/>
    <s v="IMPOSTO"/>
  </r>
  <r>
    <x v="34"/>
    <s v="DEZEMBRO"/>
    <s v=" HSERV CABREUVA"/>
    <s v="GUIA DE PARCELAMENTO INSS VITOR DEZEMBRO  A JANEIRO 2025"/>
    <n v="-6000"/>
    <x v="0"/>
    <s v="IMPOSTO"/>
  </r>
  <r>
    <x v="34"/>
    <s v="DEZEMBRO"/>
    <s v="HSERV CLEAN"/>
    <s v="PARCELA CREDITO PESSOAL CONTR 016721926 PARC"/>
    <n v="-1719.53"/>
    <x v="0"/>
    <s v="CARTÃO DE CREDITO"/>
  </r>
  <r>
    <x v="34"/>
    <s v="DEZEMBRO"/>
    <s v="HSERV CABREUVA"/>
    <s v="PARCELA CREDITO PESSOAL CONTR 016721926 PARC"/>
    <n v="-1392.65"/>
    <x v="0"/>
    <s v="CARTÃO DE CREDITO"/>
  </r>
  <r>
    <x v="115"/>
    <s v="DEZEMBRO"/>
    <s v="TECNOLOGIA"/>
    <s v="INTERBRILHO HIGIENE E LIMPEZA LTDA"/>
    <n v="23638.67"/>
    <x v="1"/>
    <s v="VENDAS DE SERVIÇOS"/>
  </r>
  <r>
    <x v="115"/>
    <s v="DEZEMBRO"/>
    <s v="LIMPEZA"/>
    <s v="EDMAR APARECIDO MARTINEZ"/>
    <n v="799.2"/>
    <x v="1"/>
    <s v="VENDAS DE SERVIÇOS"/>
  </r>
  <r>
    <x v="115"/>
    <s v="DEZEMBRO"/>
    <s v="LIMPEZA"/>
    <s v="EDMAR APARECIDO MARTINEZ"/>
    <n v="18532.8"/>
    <x v="1"/>
    <s v="VENDAS DE SERVIÇOS"/>
  </r>
  <r>
    <x v="115"/>
    <s v="DEZEMBRO"/>
    <s v="COMBINADOS"/>
    <s v="TECNIPLAS EQUIPAMENTOS EM COMPOSITOS EIR"/>
    <n v="22451.91"/>
    <x v="1"/>
    <s v="VENDAS DE SERVIÇOS"/>
  </r>
  <r>
    <x v="115"/>
    <s v="DEZEMBRO"/>
    <s v="REPRESENTAÇÃO"/>
    <s v="VETTOR TORRES DE RESFRIAMENTO LTDA"/>
    <n v="14482.07"/>
    <x v="1"/>
    <s v="VENDAS DE SERVIÇOS"/>
  </r>
  <r>
    <x v="115"/>
    <s v="DEZEMBRO"/>
    <s v="REPRESENTAÇÃO"/>
    <s v="VETTOR TORRES DE RESFRIAMENTO LTDA"/>
    <n v="23943.3"/>
    <x v="1"/>
    <s v="VENDAS DE SERVIÇOS"/>
  </r>
  <r>
    <x v="115"/>
    <s v="DEZEMBRO"/>
    <s v="REPRESENTAÇÃO"/>
    <s v="VETTOR TORRES DE RESFRIAMENTO LTDA"/>
    <n v="21852.37"/>
    <x v="1"/>
    <s v="VENDAS DE SERVIÇOS"/>
  </r>
  <r>
    <x v="115"/>
    <s v="DEZEMBRO"/>
    <s v="REPRESENTAÇÃO"/>
    <s v="VETTOR TORRES DE RESFRIAMENTO LTDA"/>
    <n v="4683.53"/>
    <x v="1"/>
    <s v="VENDAS DE SERVIÇOS"/>
  </r>
  <r>
    <x v="115"/>
    <s v="DEZEMBRO"/>
    <s v="REPRESENTAÇÃO"/>
    <s v="VETTOR TORRES DE RESFRIAMENTO LTDA"/>
    <n v="196"/>
    <x v="1"/>
    <s v="VENDAS DE SERVIÇOS"/>
  </r>
  <r>
    <x v="119"/>
    <s v="DEZEMBRO"/>
    <s v="HSERV COMBINADOS "/>
    <s v="FT 2 QUINZENA"/>
    <n v="-50000"/>
    <x v="0"/>
    <s v="FT"/>
  </r>
  <r>
    <x v="70"/>
    <s v="DEZEMBRO"/>
    <s v="CABREUVA"/>
    <s v="CONDOMINIO PALAZZO VENEZA"/>
    <n v="4880.1400000000003"/>
    <x v="1"/>
    <s v="VENDAS DE SERVIÇOS"/>
  </r>
  <r>
    <x v="70"/>
    <s v="DEZEMBRO"/>
    <s v="REPRESENTAÇÃO"/>
    <s v="TTB INDUSTRIA E COMERCIO DE PRODUTOS MET"/>
    <n v="603.26"/>
    <x v="1"/>
    <s v="VENDAS DE SERVIÇOS"/>
  </r>
  <r>
    <x v="70"/>
    <s v="DEZEMBRO"/>
    <s v="REPRESENTAÇÃO"/>
    <s v="TTB INDUSTRIA E COMERCIO DE PRODUTOS MET"/>
    <n v="1106.1400000000001"/>
    <x v="1"/>
    <s v="VENDAS DE SERVIÇOS"/>
  </r>
  <r>
    <x v="70"/>
    <s v="DEZEMBRO"/>
    <s v="REPRESENTAÇÃO"/>
    <s v="TTB INDUSTRIA E COMERCIO DE PRODUTOS MET"/>
    <n v="9631"/>
    <x v="1"/>
    <s v="VENDAS DE SERVIÇOS"/>
  </r>
  <r>
    <x v="70"/>
    <s v="DEZEMBRO"/>
    <s v="VITOR"/>
    <s v="DEPOSITO SANTA CATARINA LTDA"/>
    <n v="257.81"/>
    <x v="1"/>
    <s v="VENDAS DE SERVIÇOS"/>
  </r>
  <r>
    <x v="70"/>
    <s v="DEZEMBRO"/>
    <s v="VITOR"/>
    <s v="GIFEL"/>
    <n v="680.03"/>
    <x v="1"/>
    <s v="VENDAS DE SERVIÇOS"/>
  </r>
  <r>
    <x v="20"/>
    <s v="NOVEMBRO"/>
    <s v="CLEAN"/>
    <s v="RICARO"/>
    <n v="12459.61"/>
    <x v="1"/>
    <s v="VENDAS DE SERVIÇOS"/>
  </r>
  <r>
    <x v="70"/>
    <s v="DEZEMBRO"/>
    <s v="CLEAN"/>
    <s v="RICARO"/>
    <n v="24988.71"/>
    <x v="1"/>
    <s v="VENDAS DE SERVIÇOS"/>
  </r>
  <r>
    <x v="70"/>
    <s v="DEZEMBRO"/>
    <s v="CLEAN"/>
    <s v="RICARO"/>
    <n v="12459.61"/>
    <x v="1"/>
    <s v="VENDAS DE SERVIÇOS"/>
  </r>
  <r>
    <x v="70"/>
    <s v="DEZEMBRO"/>
    <s v="CLEAN"/>
    <s v="RICARO"/>
    <n v="16834.330000000002"/>
    <x v="1"/>
    <s v="VENDAS DE SERVIÇOS"/>
  </r>
  <r>
    <x v="70"/>
    <s v="DEZEMBRO"/>
    <s v="CLEAN"/>
    <s v="RICARO"/>
    <n v="268.13"/>
    <x v="1"/>
    <s v="VENDAS DE SERVIÇOS"/>
  </r>
  <r>
    <x v="123"/>
    <s v="DEZEMBRO"/>
    <s v="CLEAN"/>
    <s v="RICARO"/>
    <n v="2284.4499999999998"/>
    <x v="1"/>
    <s v="VENDAS DE SERVIÇ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19D60-A19F-4E78-8E35-36CC86015B8D}" name="Tabela dinâmica1" cacheId="2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BM10" firstHeaderRow="1" firstDataRow="2" firstDataCol="1"/>
  <pivotFields count="9">
    <pivotField axis="axisCol" numFmtId="14" showAll="0">
      <items count="67">
        <item x="23"/>
        <item x="26"/>
        <item x="11"/>
        <item x="27"/>
        <item x="19"/>
        <item x="20"/>
        <item x="41"/>
        <item x="24"/>
        <item m="1" x="65"/>
        <item x="16"/>
        <item x="31"/>
        <item x="29"/>
        <item x="30"/>
        <item x="37"/>
        <item x="14"/>
        <item x="0"/>
        <item x="13"/>
        <item x="12"/>
        <item x="25"/>
        <item x="33"/>
        <item x="32"/>
        <item x="7"/>
        <item x="6"/>
        <item x="3"/>
        <item x="22"/>
        <item x="38"/>
        <item x="21"/>
        <item x="36"/>
        <item x="8"/>
        <item x="44"/>
        <item x="17"/>
        <item x="46"/>
        <item x="43"/>
        <item x="45"/>
        <item x="49"/>
        <item x="50"/>
        <item x="1"/>
        <item x="39"/>
        <item x="9"/>
        <item x="47"/>
        <item x="34"/>
        <item x="4"/>
        <item x="28"/>
        <item x="54"/>
        <item x="42"/>
        <item x="55"/>
        <item x="53"/>
        <item x="52"/>
        <item x="15"/>
        <item x="58"/>
        <item x="18"/>
        <item x="57"/>
        <item x="56"/>
        <item x="51"/>
        <item x="48"/>
        <item x="59"/>
        <item x="2"/>
        <item x="60"/>
        <item x="61"/>
        <item x="62"/>
        <item x="10"/>
        <item x="35"/>
        <item x="5"/>
        <item x="40"/>
        <item m="1" x="64"/>
        <item m="1" x="63"/>
        <item t="default"/>
      </items>
    </pivotField>
    <pivotField showAll="0"/>
    <pivotField showAll="0"/>
    <pivotField showAll="0"/>
    <pivotField dataField="1" numFmtId="44" showAll="0"/>
    <pivotField axis="axisRow" showAll="0">
      <items count="3">
        <item x="0"/>
        <item x="1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0"/>
  </colFields>
  <col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colItems>
  <dataFields count="1">
    <dataField name="Soma de VALOR" fld="4" baseField="0" baseItem="0" numFmtId="44"/>
  </dataFields>
  <formats count="12">
    <format dxfId="45">
      <pivotArea collapsedLevelsAreSubtotals="1" fieldPosition="0">
        <references count="1">
          <reference field="5" count="1">
            <x v="0"/>
          </reference>
        </references>
      </pivotArea>
    </format>
    <format dxfId="44">
      <pivotArea dataOnly="0" labelOnly="1" fieldPosition="0">
        <references count="1">
          <reference field="5" count="1">
            <x v="0"/>
          </reference>
        </references>
      </pivotArea>
    </format>
    <format dxfId="43">
      <pivotArea collapsedLevelsAreSubtotals="1" fieldPosition="0">
        <references count="1">
          <reference field="5" count="1">
            <x v="1"/>
          </reference>
        </references>
      </pivotArea>
    </format>
    <format dxfId="42">
      <pivotArea dataOnly="0" labelOnly="1" fieldPosition="0">
        <references count="1">
          <reference field="5" count="1">
            <x v="1"/>
          </reference>
        </references>
      </pivotArea>
    </format>
    <format dxfId="41">
      <pivotArea collapsedLevelsAreSubtotals="1" fieldPosition="0">
        <references count="1">
          <reference field="5" count="1">
            <x v="1"/>
          </reference>
        </references>
      </pivotArea>
    </format>
    <format dxfId="40">
      <pivotArea dataOnly="0" labelOnly="1" fieldPosition="0">
        <references count="1">
          <reference field="5" count="1">
            <x v="1"/>
          </reference>
        </references>
      </pivotArea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5" count="0"/>
        </references>
      </pivotArea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5" count="0"/>
        </references>
      </pivotArea>
    </format>
    <format dxfId="3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D93A0-1863-4AF1-BE5E-BB21D39FD0AB}" name="Tabela dinâmica1" cacheId="20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22/10 A 29/10/2025">
  <location ref="A49:B63" firstHeaderRow="1" firstDataRow="1" firstDataCol="1"/>
  <pivotFields count="7">
    <pivotField numFmtId="14" showAll="0"/>
    <pivotField showAll="0"/>
    <pivotField showAll="0"/>
    <pivotField showAll="0"/>
    <pivotField dataField="1" numFmtId="44" showAll="0"/>
    <pivotField showAll="0"/>
    <pivotField axis="axisRow" showAll="0" sortType="ascending">
      <items count="15">
        <item x="1"/>
        <item x="7"/>
        <item x="11"/>
        <item x="3"/>
        <item x="12"/>
        <item x="4"/>
        <item x="6"/>
        <item x="8"/>
        <item x="5"/>
        <item x="10"/>
        <item x="0"/>
        <item x="9"/>
        <item m="1" x="1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14">
    <i>
      <x v="13"/>
    </i>
    <i>
      <x/>
    </i>
    <i>
      <x v="11"/>
    </i>
    <i>
      <x v="5"/>
    </i>
    <i>
      <x v="6"/>
    </i>
    <i>
      <x v="1"/>
    </i>
    <i>
      <x v="9"/>
    </i>
    <i>
      <x v="8"/>
    </i>
    <i>
      <x v="3"/>
    </i>
    <i>
      <x v="2"/>
    </i>
    <i>
      <x v="7"/>
    </i>
    <i>
      <x v="10"/>
    </i>
    <i>
      <x v="4"/>
    </i>
    <i t="grand">
      <x/>
    </i>
  </rowItems>
  <colItems count="1">
    <i/>
  </colItems>
  <dataFields count="1">
    <dataField name="Soma de VALOR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5C72A-DA22-4172-92F2-7694035D1A9A}" name="Tabela dinâmica2" cacheId="2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DV10" firstHeaderRow="1" firstDataRow="2" firstDataCol="1"/>
  <pivotFields count="9">
    <pivotField numFmtId="14" showAll="0">
      <items count="129">
        <item x="1"/>
        <item x="4"/>
        <item x="3"/>
        <item x="2"/>
        <item x="5"/>
        <item x="37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0"/>
        <item x="46"/>
        <item x="47"/>
        <item x="48"/>
        <item x="36"/>
        <item x="50"/>
        <item x="51"/>
        <item x="52"/>
        <item x="71"/>
        <item x="56"/>
        <item x="57"/>
        <item x="58"/>
        <item x="49"/>
        <item x="62"/>
        <item x="17"/>
        <item x="55"/>
        <item x="40"/>
        <item x="23"/>
        <item x="59"/>
        <item x="26"/>
        <item x="31"/>
        <item x="44"/>
        <item x="63"/>
        <item x="76"/>
        <item x="74"/>
        <item x="75"/>
        <item x="60"/>
        <item x="72"/>
        <item x="77"/>
        <item x="67"/>
        <item x="53"/>
        <item x="27"/>
        <item x="61"/>
        <item x="80"/>
        <item x="18"/>
        <item x="81"/>
        <item x="82"/>
        <item x="28"/>
        <item x="84"/>
        <item x="83"/>
        <item x="45"/>
        <item x="32"/>
        <item x="79"/>
        <item x="39"/>
        <item x="54"/>
        <item x="87"/>
        <item x="73"/>
        <item x="98"/>
        <item x="90"/>
        <item x="68"/>
        <item x="94"/>
        <item x="86"/>
        <item x="78"/>
        <item x="89"/>
        <item x="88"/>
        <item x="19"/>
        <item x="93"/>
        <item x="92"/>
        <item x="41"/>
        <item x="95"/>
        <item x="38"/>
        <item x="29"/>
        <item x="99"/>
        <item x="101"/>
        <item x="103"/>
        <item x="102"/>
        <item x="65"/>
        <item x="106"/>
        <item x="69"/>
        <item x="107"/>
        <item x="105"/>
        <item x="104"/>
        <item x="109"/>
        <item x="110"/>
        <item x="20"/>
        <item x="111"/>
        <item x="42"/>
        <item x="108"/>
        <item x="33"/>
        <item x="85"/>
        <item x="115"/>
        <item x="116"/>
        <item x="114"/>
        <item x="113"/>
        <item x="66"/>
        <item x="119"/>
        <item x="70"/>
        <item x="118"/>
        <item x="117"/>
        <item x="112"/>
        <item x="120"/>
        <item x="121"/>
        <item x="21"/>
        <item x="122"/>
        <item x="123"/>
        <item x="43"/>
        <item x="97"/>
        <item x="34"/>
        <item x="64"/>
        <item m="1" x="125"/>
        <item x="91"/>
        <item m="1" x="127"/>
        <item m="1" x="126"/>
        <item x="96"/>
        <item m="1" x="124"/>
        <item x="100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0"/>
        <item m="1" x="2"/>
        <item t="default"/>
      </items>
    </pivotField>
    <pivotField showAll="0"/>
    <pivotField axis="axisCol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125">
    <i>
      <x v="183"/>
    </i>
    <i>
      <x v="184"/>
    </i>
    <i>
      <x v="185"/>
    </i>
    <i>
      <x v="186"/>
    </i>
    <i>
      <x v="189"/>
    </i>
    <i>
      <x v="190"/>
    </i>
    <i>
      <x v="192"/>
    </i>
    <i>
      <x v="193"/>
    </i>
    <i>
      <x v="196"/>
    </i>
    <i>
      <x v="197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10"/>
    </i>
    <i>
      <x v="211"/>
    </i>
    <i>
      <x v="212"/>
    </i>
    <i>
      <x v="213"/>
    </i>
    <i>
      <x v="214"/>
    </i>
    <i>
      <x v="217"/>
    </i>
    <i>
      <x v="218"/>
    </i>
    <i>
      <x v="219"/>
    </i>
    <i>
      <x v="220"/>
    </i>
    <i>
      <x v="221"/>
    </i>
    <i>
      <x v="224"/>
    </i>
    <i>
      <x v="225"/>
    </i>
    <i>
      <x v="226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8"/>
    </i>
    <i>
      <x v="239"/>
    </i>
    <i>
      <x v="240"/>
    </i>
    <i>
      <x v="241"/>
    </i>
    <i>
      <x v="242"/>
    </i>
    <i>
      <x v="245"/>
    </i>
    <i>
      <x v="246"/>
    </i>
    <i>
      <x v="247"/>
    </i>
    <i>
      <x v="248"/>
    </i>
    <i>
      <x v="249"/>
    </i>
    <i>
      <x v="252"/>
    </i>
    <i>
      <x v="253"/>
    </i>
    <i>
      <x v="254"/>
    </i>
    <i>
      <x v="255"/>
    </i>
    <i>
      <x v="256"/>
    </i>
    <i>
      <x v="260"/>
    </i>
    <i>
      <x v="261"/>
    </i>
    <i>
      <x v="262"/>
    </i>
    <i>
      <x v="263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7"/>
    </i>
    <i>
      <x v="280"/>
    </i>
    <i>
      <x v="281"/>
    </i>
    <i>
      <x v="282"/>
    </i>
    <i>
      <x v="283"/>
    </i>
    <i>
      <x v="284"/>
    </i>
    <i>
      <x v="287"/>
    </i>
    <i>
      <x v="288"/>
    </i>
    <i>
      <x v="289"/>
    </i>
    <i>
      <x v="290"/>
    </i>
    <i>
      <x v="291"/>
    </i>
    <i>
      <x v="294"/>
    </i>
    <i>
      <x v="295"/>
    </i>
    <i>
      <x v="296"/>
    </i>
    <i>
      <x v="297"/>
    </i>
    <i>
      <x v="298"/>
    </i>
    <i>
      <x v="301"/>
    </i>
    <i>
      <x v="303"/>
    </i>
    <i>
      <x v="304"/>
    </i>
    <i>
      <x v="305"/>
    </i>
    <i>
      <x v="308"/>
    </i>
    <i>
      <x v="309"/>
    </i>
    <i>
      <x v="310"/>
    </i>
    <i>
      <x v="311"/>
    </i>
    <i>
      <x v="312"/>
    </i>
    <i>
      <x v="315"/>
    </i>
    <i>
      <x v="316"/>
    </i>
    <i>
      <x v="318"/>
    </i>
    <i>
      <x v="319"/>
    </i>
    <i>
      <x v="322"/>
    </i>
    <i>
      <x v="323"/>
    </i>
    <i>
      <x v="325"/>
    </i>
    <i>
      <x v="326"/>
    </i>
    <i>
      <x v="329"/>
    </i>
    <i>
      <x v="330"/>
    </i>
    <i>
      <x v="331"/>
    </i>
    <i>
      <x v="332"/>
    </i>
    <i>
      <x v="333"/>
    </i>
    <i>
      <x v="336"/>
    </i>
    <i>
      <x v="337"/>
    </i>
    <i>
      <x v="338"/>
    </i>
    <i>
      <x v="339"/>
    </i>
    <i>
      <x v="340"/>
    </i>
    <i>
      <x v="343"/>
    </i>
    <i>
      <x v="344"/>
    </i>
    <i>
      <x v="345"/>
    </i>
    <i>
      <x v="346"/>
    </i>
    <i>
      <x v="347"/>
    </i>
    <i>
      <x v="350"/>
    </i>
    <i>
      <x v="351"/>
    </i>
    <i>
      <x v="352"/>
    </i>
    <i>
      <x v="353"/>
    </i>
    <i>
      <x v="354"/>
    </i>
    <i>
      <x v="357"/>
    </i>
    <i>
      <x v="358"/>
    </i>
    <i>
      <x v="361"/>
    </i>
    <i>
      <x v="364"/>
    </i>
    <i>
      <x v="365"/>
    </i>
    <i t="grand">
      <x/>
    </i>
  </colItems>
  <dataFields count="1">
    <dataField name="Soma de VALOR" fld="4" baseField="0" baseItem="0"/>
  </dataFields>
  <formats count="33">
    <format dxfId="33">
      <pivotArea collapsedLevelsAreSubtotals="1" fieldPosition="0">
        <references count="1">
          <reference field="5" count="1">
            <x v="0"/>
          </reference>
        </references>
      </pivotArea>
    </format>
    <format dxfId="32">
      <pivotArea dataOnly="0" labelOnly="1" fieldPosition="0">
        <references count="1">
          <reference field="5" count="1">
            <x v="0"/>
          </reference>
        </references>
      </pivotArea>
    </format>
    <format dxfId="31">
      <pivotArea collapsedLevelsAreSubtotals="1" fieldPosition="0">
        <references count="1">
          <reference field="5" count="1">
            <x v="0"/>
          </reference>
        </references>
      </pivotArea>
    </format>
    <format dxfId="30">
      <pivotArea dataOnly="0" labelOnly="1" fieldPosition="0">
        <references count="1">
          <reference field="5" count="1">
            <x v="0"/>
          </reference>
        </references>
      </pivotArea>
    </format>
    <format dxfId="29">
      <pivotArea collapsedLevelsAreSubtotals="1" fieldPosition="0">
        <references count="1">
          <reference field="5" count="0"/>
        </references>
      </pivotArea>
    </format>
    <format dxfId="28">
      <pivotArea dataOnly="0" labelOnly="1" fieldPosition="0">
        <references count="1">
          <reference field="5" count="0"/>
        </references>
      </pivotArea>
    </format>
    <format dxfId="27">
      <pivotArea grandRow="1" outline="0" collapsedLevelsAreSubtotals="1" fieldPosition="0"/>
    </format>
    <format dxfId="26">
      <pivotArea dataOnly="0" labelOnly="1" grandRow="1" outline="0" fieldPosition="0"/>
    </format>
    <format dxfId="25">
      <pivotArea collapsedLevelsAreSubtotals="1" fieldPosition="0">
        <references count="1">
          <reference field="5" count="1">
            <x v="1"/>
          </reference>
        </references>
      </pivotArea>
    </format>
    <format dxfId="24">
      <pivotArea dataOnly="0" labelOnly="1" fieldPosition="0">
        <references count="1">
          <reference field="5" count="1"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7" type="button" dataOnly="0" labelOnly="1" outline="0" axis="axisCol" fieldPosition="0"/>
    </format>
    <format dxfId="19">
      <pivotArea type="topRight" dataOnly="0" labelOnly="1" outline="0" fieldPosition="0"/>
    </format>
    <format dxfId="18">
      <pivotArea field="5" type="button" dataOnly="0" labelOnly="1" outline="0" axis="axisRow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14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3"/>
            <x v="274"/>
            <x v="275"/>
            <x v="276"/>
            <x v="277"/>
            <x v="280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  <x v="330"/>
          </reference>
        </references>
      </pivotArea>
    </format>
    <format dxfId="13">
      <pivotArea dataOnly="0" labelOnly="1" fieldPosition="0">
        <references count="1">
          <reference field="7" count="23">
            <x v="331"/>
            <x v="332"/>
            <x v="333"/>
            <x v="336"/>
            <x v="337"/>
            <x v="339"/>
            <x v="340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12">
      <pivotArea dataOnly="0" labelOnly="1" grandCol="1" outline="0" fieldPosition="0"/>
    </format>
    <format dxfId="11">
      <pivotArea collapsedLevelsAreSubtotals="1" fieldPosition="0">
        <references count="1">
          <reference field="5" count="1">
            <x v="1"/>
          </reference>
        </references>
      </pivotArea>
    </format>
    <format dxfId="10">
      <pivotArea dataOnly="0" labelOnly="1" fieldPosition="0">
        <references count="1">
          <reference field="5" count="1">
            <x v="1"/>
          </reference>
        </references>
      </pivotArea>
    </format>
    <format dxfId="9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2"/>
            <x v="245"/>
            <x v="246"/>
            <x v="247"/>
            <x v="248"/>
            <x v="249"/>
            <x v="252"/>
            <x v="253"/>
            <x v="254"/>
          </reference>
        </references>
      </pivotArea>
    </format>
    <format dxfId="8">
      <pivotArea dataOnly="0" labelOnly="1" fieldPosition="0">
        <references count="1">
          <reference field="7" count="50"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</reference>
        </references>
      </pivotArea>
    </format>
    <format dxfId="7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</reference>
        </references>
      </pivotArea>
    </format>
    <format dxfId="6">
      <pivotArea dataOnly="0" labelOnly="1" fieldPosition="0">
        <references count="1">
          <reference field="7" count="25">
            <x v="329"/>
            <x v="330"/>
            <x v="331"/>
            <x v="333"/>
            <x v="336"/>
            <x v="337"/>
            <x v="339"/>
            <x v="340"/>
            <x v="342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3">
      <pivotArea dataOnly="0" labelOnly="1" fieldPosition="0">
        <references count="1">
          <reference field="7" count="50">
            <x v="254"/>
            <x v="255"/>
            <x v="256"/>
            <x v="260"/>
            <x v="261"/>
            <x v="262"/>
            <x v="263"/>
            <x v="266"/>
            <x v="267"/>
            <x v="268"/>
            <x v="269"/>
            <x v="270"/>
            <x v="271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7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</reference>
        </references>
      </pivotArea>
    </format>
    <format dxfId="2">
      <pivotArea dataOnly="0" labelOnly="1" fieldPosition="0">
        <references count="1">
          <reference field="7" count="24">
            <x v="329"/>
            <x v="330"/>
            <x v="331"/>
            <x v="333"/>
            <x v="336"/>
            <x v="337"/>
            <x v="339"/>
            <x v="340"/>
            <x v="342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61"/>
            <x v="364"/>
            <x v="365"/>
          </reference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23.xml"/><Relationship Id="rId117" Type="http://schemas.openxmlformats.org/officeDocument/2006/relationships/control" Target="../activeX/activeX114.xml"/><Relationship Id="rId21" Type="http://schemas.openxmlformats.org/officeDocument/2006/relationships/control" Target="../activeX/activeX18.xml"/><Relationship Id="rId42" Type="http://schemas.openxmlformats.org/officeDocument/2006/relationships/control" Target="../activeX/activeX39.xml"/><Relationship Id="rId47" Type="http://schemas.openxmlformats.org/officeDocument/2006/relationships/control" Target="../activeX/activeX44.xml"/><Relationship Id="rId63" Type="http://schemas.openxmlformats.org/officeDocument/2006/relationships/control" Target="../activeX/activeX60.xml"/><Relationship Id="rId68" Type="http://schemas.openxmlformats.org/officeDocument/2006/relationships/control" Target="../activeX/activeX65.xml"/><Relationship Id="rId84" Type="http://schemas.openxmlformats.org/officeDocument/2006/relationships/control" Target="../activeX/activeX81.xml"/><Relationship Id="rId89" Type="http://schemas.openxmlformats.org/officeDocument/2006/relationships/control" Target="../activeX/activeX86.xml"/><Relationship Id="rId112" Type="http://schemas.openxmlformats.org/officeDocument/2006/relationships/control" Target="../activeX/activeX109.xml"/><Relationship Id="rId16" Type="http://schemas.openxmlformats.org/officeDocument/2006/relationships/control" Target="../activeX/activeX13.xml"/><Relationship Id="rId107" Type="http://schemas.openxmlformats.org/officeDocument/2006/relationships/control" Target="../activeX/activeX104.xml"/><Relationship Id="rId11" Type="http://schemas.openxmlformats.org/officeDocument/2006/relationships/control" Target="../activeX/activeX8.xml"/><Relationship Id="rId32" Type="http://schemas.openxmlformats.org/officeDocument/2006/relationships/control" Target="../activeX/activeX29.xml"/><Relationship Id="rId37" Type="http://schemas.openxmlformats.org/officeDocument/2006/relationships/control" Target="../activeX/activeX34.xml"/><Relationship Id="rId53" Type="http://schemas.openxmlformats.org/officeDocument/2006/relationships/control" Target="../activeX/activeX50.xml"/><Relationship Id="rId58" Type="http://schemas.openxmlformats.org/officeDocument/2006/relationships/control" Target="../activeX/activeX55.xml"/><Relationship Id="rId74" Type="http://schemas.openxmlformats.org/officeDocument/2006/relationships/control" Target="../activeX/activeX71.xml"/><Relationship Id="rId79" Type="http://schemas.openxmlformats.org/officeDocument/2006/relationships/control" Target="../activeX/activeX76.xml"/><Relationship Id="rId102" Type="http://schemas.openxmlformats.org/officeDocument/2006/relationships/control" Target="../activeX/activeX99.xml"/><Relationship Id="rId123" Type="http://schemas.openxmlformats.org/officeDocument/2006/relationships/control" Target="../activeX/activeX120.xml"/><Relationship Id="rId5" Type="http://schemas.openxmlformats.org/officeDocument/2006/relationships/control" Target="../activeX/activeX2.xml"/><Relationship Id="rId61" Type="http://schemas.openxmlformats.org/officeDocument/2006/relationships/control" Target="../activeX/activeX58.xml"/><Relationship Id="rId82" Type="http://schemas.openxmlformats.org/officeDocument/2006/relationships/control" Target="../activeX/activeX79.xml"/><Relationship Id="rId90" Type="http://schemas.openxmlformats.org/officeDocument/2006/relationships/control" Target="../activeX/activeX87.xml"/><Relationship Id="rId95" Type="http://schemas.openxmlformats.org/officeDocument/2006/relationships/control" Target="../activeX/activeX92.xml"/><Relationship Id="rId19" Type="http://schemas.openxmlformats.org/officeDocument/2006/relationships/control" Target="../activeX/activeX1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Relationship Id="rId30" Type="http://schemas.openxmlformats.org/officeDocument/2006/relationships/control" Target="../activeX/activeX27.xml"/><Relationship Id="rId35" Type="http://schemas.openxmlformats.org/officeDocument/2006/relationships/control" Target="../activeX/activeX32.xml"/><Relationship Id="rId43" Type="http://schemas.openxmlformats.org/officeDocument/2006/relationships/control" Target="../activeX/activeX40.xml"/><Relationship Id="rId48" Type="http://schemas.openxmlformats.org/officeDocument/2006/relationships/control" Target="../activeX/activeX45.xml"/><Relationship Id="rId56" Type="http://schemas.openxmlformats.org/officeDocument/2006/relationships/control" Target="../activeX/activeX53.xml"/><Relationship Id="rId64" Type="http://schemas.openxmlformats.org/officeDocument/2006/relationships/control" Target="../activeX/activeX61.xml"/><Relationship Id="rId69" Type="http://schemas.openxmlformats.org/officeDocument/2006/relationships/control" Target="../activeX/activeX66.xml"/><Relationship Id="rId77" Type="http://schemas.openxmlformats.org/officeDocument/2006/relationships/control" Target="../activeX/activeX74.xml"/><Relationship Id="rId100" Type="http://schemas.openxmlformats.org/officeDocument/2006/relationships/control" Target="../activeX/activeX97.xml"/><Relationship Id="rId105" Type="http://schemas.openxmlformats.org/officeDocument/2006/relationships/control" Target="../activeX/activeX102.xml"/><Relationship Id="rId113" Type="http://schemas.openxmlformats.org/officeDocument/2006/relationships/control" Target="../activeX/activeX110.xml"/><Relationship Id="rId118" Type="http://schemas.openxmlformats.org/officeDocument/2006/relationships/control" Target="../activeX/activeX115.xml"/><Relationship Id="rId126" Type="http://schemas.openxmlformats.org/officeDocument/2006/relationships/control" Target="../activeX/activeX123.xml"/><Relationship Id="rId8" Type="http://schemas.openxmlformats.org/officeDocument/2006/relationships/control" Target="../activeX/activeX5.xml"/><Relationship Id="rId51" Type="http://schemas.openxmlformats.org/officeDocument/2006/relationships/control" Target="../activeX/activeX48.xml"/><Relationship Id="rId72" Type="http://schemas.openxmlformats.org/officeDocument/2006/relationships/control" Target="../activeX/activeX69.xml"/><Relationship Id="rId80" Type="http://schemas.openxmlformats.org/officeDocument/2006/relationships/control" Target="../activeX/activeX77.xml"/><Relationship Id="rId85" Type="http://schemas.openxmlformats.org/officeDocument/2006/relationships/control" Target="../activeX/activeX82.xml"/><Relationship Id="rId93" Type="http://schemas.openxmlformats.org/officeDocument/2006/relationships/control" Target="../activeX/activeX90.xml"/><Relationship Id="rId98" Type="http://schemas.openxmlformats.org/officeDocument/2006/relationships/control" Target="../activeX/activeX95.xml"/><Relationship Id="rId121" Type="http://schemas.openxmlformats.org/officeDocument/2006/relationships/control" Target="../activeX/activeX118.xml"/><Relationship Id="rId3" Type="http://schemas.openxmlformats.org/officeDocument/2006/relationships/control" Target="../activeX/activeX1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33" Type="http://schemas.openxmlformats.org/officeDocument/2006/relationships/control" Target="../activeX/activeX30.xml"/><Relationship Id="rId38" Type="http://schemas.openxmlformats.org/officeDocument/2006/relationships/control" Target="../activeX/activeX35.xml"/><Relationship Id="rId46" Type="http://schemas.openxmlformats.org/officeDocument/2006/relationships/control" Target="../activeX/activeX43.xml"/><Relationship Id="rId59" Type="http://schemas.openxmlformats.org/officeDocument/2006/relationships/control" Target="../activeX/activeX56.xml"/><Relationship Id="rId67" Type="http://schemas.openxmlformats.org/officeDocument/2006/relationships/control" Target="../activeX/activeX64.xml"/><Relationship Id="rId103" Type="http://schemas.openxmlformats.org/officeDocument/2006/relationships/control" Target="../activeX/activeX100.xml"/><Relationship Id="rId108" Type="http://schemas.openxmlformats.org/officeDocument/2006/relationships/control" Target="../activeX/activeX105.xml"/><Relationship Id="rId116" Type="http://schemas.openxmlformats.org/officeDocument/2006/relationships/control" Target="../activeX/activeX113.xml"/><Relationship Id="rId124" Type="http://schemas.openxmlformats.org/officeDocument/2006/relationships/control" Target="../activeX/activeX121.xml"/><Relationship Id="rId20" Type="http://schemas.openxmlformats.org/officeDocument/2006/relationships/control" Target="../activeX/activeX17.xml"/><Relationship Id="rId41" Type="http://schemas.openxmlformats.org/officeDocument/2006/relationships/control" Target="../activeX/activeX38.xml"/><Relationship Id="rId54" Type="http://schemas.openxmlformats.org/officeDocument/2006/relationships/control" Target="../activeX/activeX51.xml"/><Relationship Id="rId62" Type="http://schemas.openxmlformats.org/officeDocument/2006/relationships/control" Target="../activeX/activeX59.xml"/><Relationship Id="rId70" Type="http://schemas.openxmlformats.org/officeDocument/2006/relationships/control" Target="../activeX/activeX67.xml"/><Relationship Id="rId75" Type="http://schemas.openxmlformats.org/officeDocument/2006/relationships/control" Target="../activeX/activeX72.xml"/><Relationship Id="rId83" Type="http://schemas.openxmlformats.org/officeDocument/2006/relationships/control" Target="../activeX/activeX80.xml"/><Relationship Id="rId88" Type="http://schemas.openxmlformats.org/officeDocument/2006/relationships/control" Target="../activeX/activeX85.xml"/><Relationship Id="rId91" Type="http://schemas.openxmlformats.org/officeDocument/2006/relationships/control" Target="../activeX/activeX88.xml"/><Relationship Id="rId96" Type="http://schemas.openxmlformats.org/officeDocument/2006/relationships/control" Target="../activeX/activeX93.xml"/><Relationship Id="rId111" Type="http://schemas.openxmlformats.org/officeDocument/2006/relationships/control" Target="../activeX/activeX108.x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3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36" Type="http://schemas.openxmlformats.org/officeDocument/2006/relationships/control" Target="../activeX/activeX33.xml"/><Relationship Id="rId49" Type="http://schemas.openxmlformats.org/officeDocument/2006/relationships/control" Target="../activeX/activeX46.xml"/><Relationship Id="rId57" Type="http://schemas.openxmlformats.org/officeDocument/2006/relationships/control" Target="../activeX/activeX54.xml"/><Relationship Id="rId106" Type="http://schemas.openxmlformats.org/officeDocument/2006/relationships/control" Target="../activeX/activeX103.xml"/><Relationship Id="rId114" Type="http://schemas.openxmlformats.org/officeDocument/2006/relationships/control" Target="../activeX/activeX111.xml"/><Relationship Id="rId119" Type="http://schemas.openxmlformats.org/officeDocument/2006/relationships/control" Target="../activeX/activeX116.xml"/><Relationship Id="rId10" Type="http://schemas.openxmlformats.org/officeDocument/2006/relationships/control" Target="../activeX/activeX7.xml"/><Relationship Id="rId31" Type="http://schemas.openxmlformats.org/officeDocument/2006/relationships/control" Target="../activeX/activeX28.xml"/><Relationship Id="rId44" Type="http://schemas.openxmlformats.org/officeDocument/2006/relationships/control" Target="../activeX/activeX41.xml"/><Relationship Id="rId52" Type="http://schemas.openxmlformats.org/officeDocument/2006/relationships/control" Target="../activeX/activeX49.xml"/><Relationship Id="rId60" Type="http://schemas.openxmlformats.org/officeDocument/2006/relationships/control" Target="../activeX/activeX57.xml"/><Relationship Id="rId65" Type="http://schemas.openxmlformats.org/officeDocument/2006/relationships/control" Target="../activeX/activeX62.xml"/><Relationship Id="rId73" Type="http://schemas.openxmlformats.org/officeDocument/2006/relationships/control" Target="../activeX/activeX70.xml"/><Relationship Id="rId78" Type="http://schemas.openxmlformats.org/officeDocument/2006/relationships/control" Target="../activeX/activeX75.xml"/><Relationship Id="rId81" Type="http://schemas.openxmlformats.org/officeDocument/2006/relationships/control" Target="../activeX/activeX78.xml"/><Relationship Id="rId86" Type="http://schemas.openxmlformats.org/officeDocument/2006/relationships/control" Target="../activeX/activeX83.xml"/><Relationship Id="rId94" Type="http://schemas.openxmlformats.org/officeDocument/2006/relationships/control" Target="../activeX/activeX91.xml"/><Relationship Id="rId99" Type="http://schemas.openxmlformats.org/officeDocument/2006/relationships/control" Target="../activeX/activeX96.xml"/><Relationship Id="rId101" Type="http://schemas.openxmlformats.org/officeDocument/2006/relationships/control" Target="../activeX/activeX98.xml"/><Relationship Id="rId122" Type="http://schemas.openxmlformats.org/officeDocument/2006/relationships/control" Target="../activeX/activeX119.xml"/><Relationship Id="rId4" Type="http://schemas.openxmlformats.org/officeDocument/2006/relationships/image" Target="../media/image2.emf"/><Relationship Id="rId9" Type="http://schemas.openxmlformats.org/officeDocument/2006/relationships/control" Target="../activeX/activeX6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9" Type="http://schemas.openxmlformats.org/officeDocument/2006/relationships/control" Target="../activeX/activeX36.xml"/><Relationship Id="rId109" Type="http://schemas.openxmlformats.org/officeDocument/2006/relationships/control" Target="../activeX/activeX106.xml"/><Relationship Id="rId34" Type="http://schemas.openxmlformats.org/officeDocument/2006/relationships/control" Target="../activeX/activeX31.xml"/><Relationship Id="rId50" Type="http://schemas.openxmlformats.org/officeDocument/2006/relationships/control" Target="../activeX/activeX47.xml"/><Relationship Id="rId55" Type="http://schemas.openxmlformats.org/officeDocument/2006/relationships/control" Target="../activeX/activeX52.xml"/><Relationship Id="rId76" Type="http://schemas.openxmlformats.org/officeDocument/2006/relationships/control" Target="../activeX/activeX73.xml"/><Relationship Id="rId97" Type="http://schemas.openxmlformats.org/officeDocument/2006/relationships/control" Target="../activeX/activeX94.xml"/><Relationship Id="rId104" Type="http://schemas.openxmlformats.org/officeDocument/2006/relationships/control" Target="../activeX/activeX101.xml"/><Relationship Id="rId120" Type="http://schemas.openxmlformats.org/officeDocument/2006/relationships/control" Target="../activeX/activeX117.xml"/><Relationship Id="rId125" Type="http://schemas.openxmlformats.org/officeDocument/2006/relationships/control" Target="../activeX/activeX122.xml"/><Relationship Id="rId7" Type="http://schemas.openxmlformats.org/officeDocument/2006/relationships/control" Target="../activeX/activeX4.xml"/><Relationship Id="rId71" Type="http://schemas.openxmlformats.org/officeDocument/2006/relationships/control" Target="../activeX/activeX68.xml"/><Relationship Id="rId92" Type="http://schemas.openxmlformats.org/officeDocument/2006/relationships/control" Target="../activeX/activeX89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6.xml"/><Relationship Id="rId24" Type="http://schemas.openxmlformats.org/officeDocument/2006/relationships/control" Target="../activeX/activeX21.xml"/><Relationship Id="rId40" Type="http://schemas.openxmlformats.org/officeDocument/2006/relationships/control" Target="../activeX/activeX37.xml"/><Relationship Id="rId45" Type="http://schemas.openxmlformats.org/officeDocument/2006/relationships/control" Target="../activeX/activeX42.xml"/><Relationship Id="rId66" Type="http://schemas.openxmlformats.org/officeDocument/2006/relationships/control" Target="../activeX/activeX63.xml"/><Relationship Id="rId87" Type="http://schemas.openxmlformats.org/officeDocument/2006/relationships/control" Target="../activeX/activeX84.xml"/><Relationship Id="rId110" Type="http://schemas.openxmlformats.org/officeDocument/2006/relationships/control" Target="../activeX/activeX107.xml"/><Relationship Id="rId115" Type="http://schemas.openxmlformats.org/officeDocument/2006/relationships/control" Target="../activeX/activeX11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8.xml"/><Relationship Id="rId3" Type="http://schemas.openxmlformats.org/officeDocument/2006/relationships/control" Target="../activeX/activeX124.xml"/><Relationship Id="rId7" Type="http://schemas.openxmlformats.org/officeDocument/2006/relationships/control" Target="../activeX/activeX127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ontrol" Target="../activeX/activeX126.xml"/><Relationship Id="rId11" Type="http://schemas.openxmlformats.org/officeDocument/2006/relationships/control" Target="../activeX/activeX131.xml"/><Relationship Id="rId5" Type="http://schemas.openxmlformats.org/officeDocument/2006/relationships/control" Target="../activeX/activeX125.xml"/><Relationship Id="rId10" Type="http://schemas.openxmlformats.org/officeDocument/2006/relationships/control" Target="../activeX/activeX130.xml"/><Relationship Id="rId4" Type="http://schemas.openxmlformats.org/officeDocument/2006/relationships/image" Target="../media/image2.emf"/><Relationship Id="rId9" Type="http://schemas.openxmlformats.org/officeDocument/2006/relationships/control" Target="../activeX/activeX129.xm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150.xml"/><Relationship Id="rId117" Type="http://schemas.openxmlformats.org/officeDocument/2006/relationships/control" Target="../activeX/activeX240.xml"/><Relationship Id="rId21" Type="http://schemas.openxmlformats.org/officeDocument/2006/relationships/control" Target="../activeX/activeX145.xml"/><Relationship Id="rId42" Type="http://schemas.openxmlformats.org/officeDocument/2006/relationships/control" Target="../activeX/activeX166.xml"/><Relationship Id="rId47" Type="http://schemas.openxmlformats.org/officeDocument/2006/relationships/control" Target="../activeX/activeX171.xml"/><Relationship Id="rId63" Type="http://schemas.openxmlformats.org/officeDocument/2006/relationships/control" Target="../activeX/activeX187.xml"/><Relationship Id="rId68" Type="http://schemas.openxmlformats.org/officeDocument/2006/relationships/control" Target="../activeX/activeX191.xml"/><Relationship Id="rId84" Type="http://schemas.openxmlformats.org/officeDocument/2006/relationships/control" Target="../activeX/activeX207.xml"/><Relationship Id="rId89" Type="http://schemas.openxmlformats.org/officeDocument/2006/relationships/control" Target="../activeX/activeX212.xml"/><Relationship Id="rId112" Type="http://schemas.openxmlformats.org/officeDocument/2006/relationships/control" Target="../activeX/activeX235.xml"/><Relationship Id="rId16" Type="http://schemas.openxmlformats.org/officeDocument/2006/relationships/control" Target="../activeX/activeX140.xml"/><Relationship Id="rId107" Type="http://schemas.openxmlformats.org/officeDocument/2006/relationships/control" Target="../activeX/activeX230.xml"/><Relationship Id="rId11" Type="http://schemas.openxmlformats.org/officeDocument/2006/relationships/control" Target="../activeX/activeX135.xml"/><Relationship Id="rId32" Type="http://schemas.openxmlformats.org/officeDocument/2006/relationships/control" Target="../activeX/activeX156.xml"/><Relationship Id="rId37" Type="http://schemas.openxmlformats.org/officeDocument/2006/relationships/control" Target="../activeX/activeX161.xml"/><Relationship Id="rId53" Type="http://schemas.openxmlformats.org/officeDocument/2006/relationships/control" Target="../activeX/activeX177.xml"/><Relationship Id="rId58" Type="http://schemas.openxmlformats.org/officeDocument/2006/relationships/control" Target="../activeX/activeX182.xml"/><Relationship Id="rId74" Type="http://schemas.openxmlformats.org/officeDocument/2006/relationships/control" Target="../activeX/activeX197.xml"/><Relationship Id="rId79" Type="http://schemas.openxmlformats.org/officeDocument/2006/relationships/control" Target="../activeX/activeX202.xml"/><Relationship Id="rId102" Type="http://schemas.openxmlformats.org/officeDocument/2006/relationships/control" Target="../activeX/activeX225.xml"/><Relationship Id="rId5" Type="http://schemas.openxmlformats.org/officeDocument/2006/relationships/vmlDrawing" Target="../drawings/vmlDrawing3.vml"/><Relationship Id="rId61" Type="http://schemas.openxmlformats.org/officeDocument/2006/relationships/control" Target="../activeX/activeX185.xml"/><Relationship Id="rId82" Type="http://schemas.openxmlformats.org/officeDocument/2006/relationships/control" Target="../activeX/activeX205.xml"/><Relationship Id="rId90" Type="http://schemas.openxmlformats.org/officeDocument/2006/relationships/control" Target="../activeX/activeX213.xml"/><Relationship Id="rId95" Type="http://schemas.openxmlformats.org/officeDocument/2006/relationships/control" Target="../activeX/activeX218.xml"/><Relationship Id="rId19" Type="http://schemas.openxmlformats.org/officeDocument/2006/relationships/control" Target="../activeX/activeX143.xml"/><Relationship Id="rId14" Type="http://schemas.openxmlformats.org/officeDocument/2006/relationships/control" Target="../activeX/activeX138.xml"/><Relationship Id="rId22" Type="http://schemas.openxmlformats.org/officeDocument/2006/relationships/control" Target="../activeX/activeX146.xml"/><Relationship Id="rId27" Type="http://schemas.openxmlformats.org/officeDocument/2006/relationships/control" Target="../activeX/activeX151.xml"/><Relationship Id="rId30" Type="http://schemas.openxmlformats.org/officeDocument/2006/relationships/control" Target="../activeX/activeX154.xml"/><Relationship Id="rId35" Type="http://schemas.openxmlformats.org/officeDocument/2006/relationships/control" Target="../activeX/activeX159.xml"/><Relationship Id="rId43" Type="http://schemas.openxmlformats.org/officeDocument/2006/relationships/control" Target="../activeX/activeX167.xml"/><Relationship Id="rId48" Type="http://schemas.openxmlformats.org/officeDocument/2006/relationships/control" Target="../activeX/activeX172.xml"/><Relationship Id="rId56" Type="http://schemas.openxmlformats.org/officeDocument/2006/relationships/control" Target="../activeX/activeX180.xml"/><Relationship Id="rId64" Type="http://schemas.openxmlformats.org/officeDocument/2006/relationships/control" Target="../activeX/activeX188.xml"/><Relationship Id="rId69" Type="http://schemas.openxmlformats.org/officeDocument/2006/relationships/control" Target="../activeX/activeX192.xml"/><Relationship Id="rId77" Type="http://schemas.openxmlformats.org/officeDocument/2006/relationships/control" Target="../activeX/activeX200.xml"/><Relationship Id="rId100" Type="http://schemas.openxmlformats.org/officeDocument/2006/relationships/control" Target="../activeX/activeX223.xml"/><Relationship Id="rId105" Type="http://schemas.openxmlformats.org/officeDocument/2006/relationships/control" Target="../activeX/activeX228.xml"/><Relationship Id="rId113" Type="http://schemas.openxmlformats.org/officeDocument/2006/relationships/control" Target="../activeX/activeX236.xml"/><Relationship Id="rId118" Type="http://schemas.openxmlformats.org/officeDocument/2006/relationships/control" Target="../activeX/activeX241.xml"/><Relationship Id="rId8" Type="http://schemas.openxmlformats.org/officeDocument/2006/relationships/control" Target="../activeX/activeX133.xml"/><Relationship Id="rId51" Type="http://schemas.openxmlformats.org/officeDocument/2006/relationships/control" Target="../activeX/activeX175.xml"/><Relationship Id="rId72" Type="http://schemas.openxmlformats.org/officeDocument/2006/relationships/control" Target="../activeX/activeX195.xml"/><Relationship Id="rId80" Type="http://schemas.openxmlformats.org/officeDocument/2006/relationships/control" Target="../activeX/activeX203.xml"/><Relationship Id="rId85" Type="http://schemas.openxmlformats.org/officeDocument/2006/relationships/control" Target="../activeX/activeX208.xml"/><Relationship Id="rId93" Type="http://schemas.openxmlformats.org/officeDocument/2006/relationships/control" Target="../activeX/activeX216.xml"/><Relationship Id="rId98" Type="http://schemas.openxmlformats.org/officeDocument/2006/relationships/control" Target="../activeX/activeX221.xml"/><Relationship Id="rId121" Type="http://schemas.openxmlformats.org/officeDocument/2006/relationships/control" Target="../activeX/activeX244.xml"/><Relationship Id="rId3" Type="http://schemas.openxmlformats.org/officeDocument/2006/relationships/hyperlink" Target="javascript:Visualizar('2');" TargetMode="External"/><Relationship Id="rId12" Type="http://schemas.openxmlformats.org/officeDocument/2006/relationships/control" Target="../activeX/activeX136.xml"/><Relationship Id="rId17" Type="http://schemas.openxmlformats.org/officeDocument/2006/relationships/control" Target="../activeX/activeX141.xml"/><Relationship Id="rId25" Type="http://schemas.openxmlformats.org/officeDocument/2006/relationships/control" Target="../activeX/activeX149.xml"/><Relationship Id="rId33" Type="http://schemas.openxmlformats.org/officeDocument/2006/relationships/control" Target="../activeX/activeX157.xml"/><Relationship Id="rId38" Type="http://schemas.openxmlformats.org/officeDocument/2006/relationships/control" Target="../activeX/activeX162.xml"/><Relationship Id="rId46" Type="http://schemas.openxmlformats.org/officeDocument/2006/relationships/control" Target="../activeX/activeX170.xml"/><Relationship Id="rId59" Type="http://schemas.openxmlformats.org/officeDocument/2006/relationships/control" Target="../activeX/activeX183.xml"/><Relationship Id="rId67" Type="http://schemas.openxmlformats.org/officeDocument/2006/relationships/image" Target="../media/image7.emf"/><Relationship Id="rId103" Type="http://schemas.openxmlformats.org/officeDocument/2006/relationships/control" Target="../activeX/activeX226.xml"/><Relationship Id="rId108" Type="http://schemas.openxmlformats.org/officeDocument/2006/relationships/control" Target="../activeX/activeX231.xml"/><Relationship Id="rId116" Type="http://schemas.openxmlformats.org/officeDocument/2006/relationships/control" Target="../activeX/activeX239.xml"/><Relationship Id="rId20" Type="http://schemas.openxmlformats.org/officeDocument/2006/relationships/control" Target="../activeX/activeX144.xml"/><Relationship Id="rId41" Type="http://schemas.openxmlformats.org/officeDocument/2006/relationships/control" Target="../activeX/activeX165.xml"/><Relationship Id="rId54" Type="http://schemas.openxmlformats.org/officeDocument/2006/relationships/control" Target="../activeX/activeX178.xml"/><Relationship Id="rId62" Type="http://schemas.openxmlformats.org/officeDocument/2006/relationships/control" Target="../activeX/activeX186.xml"/><Relationship Id="rId70" Type="http://schemas.openxmlformats.org/officeDocument/2006/relationships/control" Target="../activeX/activeX193.xml"/><Relationship Id="rId75" Type="http://schemas.openxmlformats.org/officeDocument/2006/relationships/control" Target="../activeX/activeX198.xml"/><Relationship Id="rId83" Type="http://schemas.openxmlformats.org/officeDocument/2006/relationships/control" Target="../activeX/activeX206.xml"/><Relationship Id="rId88" Type="http://schemas.openxmlformats.org/officeDocument/2006/relationships/control" Target="../activeX/activeX211.xml"/><Relationship Id="rId91" Type="http://schemas.openxmlformats.org/officeDocument/2006/relationships/control" Target="../activeX/activeX214.xml"/><Relationship Id="rId96" Type="http://schemas.openxmlformats.org/officeDocument/2006/relationships/control" Target="../activeX/activeX219.xml"/><Relationship Id="rId111" Type="http://schemas.openxmlformats.org/officeDocument/2006/relationships/control" Target="../activeX/activeX234.xml"/><Relationship Id="rId1" Type="http://schemas.openxmlformats.org/officeDocument/2006/relationships/hyperlink" Target="javascript:Visualizar('2');" TargetMode="External"/><Relationship Id="rId6" Type="http://schemas.openxmlformats.org/officeDocument/2006/relationships/control" Target="../activeX/activeX132.xml"/><Relationship Id="rId15" Type="http://schemas.openxmlformats.org/officeDocument/2006/relationships/control" Target="../activeX/activeX139.xml"/><Relationship Id="rId23" Type="http://schemas.openxmlformats.org/officeDocument/2006/relationships/control" Target="../activeX/activeX147.xml"/><Relationship Id="rId28" Type="http://schemas.openxmlformats.org/officeDocument/2006/relationships/control" Target="../activeX/activeX152.xml"/><Relationship Id="rId36" Type="http://schemas.openxmlformats.org/officeDocument/2006/relationships/control" Target="../activeX/activeX160.xml"/><Relationship Id="rId49" Type="http://schemas.openxmlformats.org/officeDocument/2006/relationships/control" Target="../activeX/activeX173.xml"/><Relationship Id="rId57" Type="http://schemas.openxmlformats.org/officeDocument/2006/relationships/control" Target="../activeX/activeX181.xml"/><Relationship Id="rId106" Type="http://schemas.openxmlformats.org/officeDocument/2006/relationships/control" Target="../activeX/activeX229.xml"/><Relationship Id="rId114" Type="http://schemas.openxmlformats.org/officeDocument/2006/relationships/control" Target="../activeX/activeX237.xml"/><Relationship Id="rId119" Type="http://schemas.openxmlformats.org/officeDocument/2006/relationships/control" Target="../activeX/activeX242.xml"/><Relationship Id="rId10" Type="http://schemas.openxmlformats.org/officeDocument/2006/relationships/image" Target="../media/image2.emf"/><Relationship Id="rId31" Type="http://schemas.openxmlformats.org/officeDocument/2006/relationships/control" Target="../activeX/activeX155.xml"/><Relationship Id="rId44" Type="http://schemas.openxmlformats.org/officeDocument/2006/relationships/control" Target="../activeX/activeX168.xml"/><Relationship Id="rId52" Type="http://schemas.openxmlformats.org/officeDocument/2006/relationships/control" Target="../activeX/activeX176.xml"/><Relationship Id="rId60" Type="http://schemas.openxmlformats.org/officeDocument/2006/relationships/control" Target="../activeX/activeX184.xml"/><Relationship Id="rId65" Type="http://schemas.openxmlformats.org/officeDocument/2006/relationships/control" Target="../activeX/activeX189.xml"/><Relationship Id="rId73" Type="http://schemas.openxmlformats.org/officeDocument/2006/relationships/control" Target="../activeX/activeX196.xml"/><Relationship Id="rId78" Type="http://schemas.openxmlformats.org/officeDocument/2006/relationships/control" Target="../activeX/activeX201.xml"/><Relationship Id="rId81" Type="http://schemas.openxmlformats.org/officeDocument/2006/relationships/control" Target="../activeX/activeX204.xml"/><Relationship Id="rId86" Type="http://schemas.openxmlformats.org/officeDocument/2006/relationships/control" Target="../activeX/activeX209.xml"/><Relationship Id="rId94" Type="http://schemas.openxmlformats.org/officeDocument/2006/relationships/control" Target="../activeX/activeX217.xml"/><Relationship Id="rId99" Type="http://schemas.openxmlformats.org/officeDocument/2006/relationships/control" Target="../activeX/activeX222.xml"/><Relationship Id="rId101" Type="http://schemas.openxmlformats.org/officeDocument/2006/relationships/control" Target="../activeX/activeX224.xml"/><Relationship Id="rId122" Type="http://schemas.openxmlformats.org/officeDocument/2006/relationships/control" Target="../activeX/activeX245.xml"/><Relationship Id="rId4" Type="http://schemas.openxmlformats.org/officeDocument/2006/relationships/drawing" Target="../drawings/drawing4.xml"/><Relationship Id="rId9" Type="http://schemas.openxmlformats.org/officeDocument/2006/relationships/control" Target="../activeX/activeX134.xml"/><Relationship Id="rId13" Type="http://schemas.openxmlformats.org/officeDocument/2006/relationships/control" Target="../activeX/activeX137.xml"/><Relationship Id="rId18" Type="http://schemas.openxmlformats.org/officeDocument/2006/relationships/control" Target="../activeX/activeX142.xml"/><Relationship Id="rId39" Type="http://schemas.openxmlformats.org/officeDocument/2006/relationships/control" Target="../activeX/activeX163.xml"/><Relationship Id="rId109" Type="http://schemas.openxmlformats.org/officeDocument/2006/relationships/control" Target="../activeX/activeX232.xml"/><Relationship Id="rId34" Type="http://schemas.openxmlformats.org/officeDocument/2006/relationships/control" Target="../activeX/activeX158.xml"/><Relationship Id="rId50" Type="http://schemas.openxmlformats.org/officeDocument/2006/relationships/control" Target="../activeX/activeX174.xml"/><Relationship Id="rId55" Type="http://schemas.openxmlformats.org/officeDocument/2006/relationships/control" Target="../activeX/activeX179.xml"/><Relationship Id="rId76" Type="http://schemas.openxmlformats.org/officeDocument/2006/relationships/control" Target="../activeX/activeX199.xml"/><Relationship Id="rId97" Type="http://schemas.openxmlformats.org/officeDocument/2006/relationships/control" Target="../activeX/activeX220.xml"/><Relationship Id="rId104" Type="http://schemas.openxmlformats.org/officeDocument/2006/relationships/control" Target="../activeX/activeX227.xml"/><Relationship Id="rId120" Type="http://schemas.openxmlformats.org/officeDocument/2006/relationships/control" Target="../activeX/activeX243.xml"/><Relationship Id="rId7" Type="http://schemas.openxmlformats.org/officeDocument/2006/relationships/image" Target="../media/image6.emf"/><Relationship Id="rId71" Type="http://schemas.openxmlformats.org/officeDocument/2006/relationships/control" Target="../activeX/activeX194.xml"/><Relationship Id="rId92" Type="http://schemas.openxmlformats.org/officeDocument/2006/relationships/control" Target="../activeX/activeX215.xml"/><Relationship Id="rId2" Type="http://schemas.openxmlformats.org/officeDocument/2006/relationships/hyperlink" Target="javascript:Visualizar('1');" TargetMode="External"/><Relationship Id="rId29" Type="http://schemas.openxmlformats.org/officeDocument/2006/relationships/control" Target="../activeX/activeX153.xml"/><Relationship Id="rId24" Type="http://schemas.openxmlformats.org/officeDocument/2006/relationships/control" Target="../activeX/activeX148.xml"/><Relationship Id="rId40" Type="http://schemas.openxmlformats.org/officeDocument/2006/relationships/control" Target="../activeX/activeX164.xml"/><Relationship Id="rId45" Type="http://schemas.openxmlformats.org/officeDocument/2006/relationships/control" Target="../activeX/activeX169.xml"/><Relationship Id="rId66" Type="http://schemas.openxmlformats.org/officeDocument/2006/relationships/control" Target="../activeX/activeX190.xml"/><Relationship Id="rId87" Type="http://schemas.openxmlformats.org/officeDocument/2006/relationships/control" Target="../activeX/activeX210.xml"/><Relationship Id="rId110" Type="http://schemas.openxmlformats.org/officeDocument/2006/relationships/control" Target="../activeX/activeX233.xml"/><Relationship Id="rId115" Type="http://schemas.openxmlformats.org/officeDocument/2006/relationships/control" Target="../activeX/activeX23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FCFD-8CBA-43CF-B864-6B31CFCE1645}">
  <dimension ref="A1:DX23"/>
  <sheetViews>
    <sheetView showGridLines="0" topLeftCell="P1" workbookViewId="0">
      <selection activeCell="Z19" sqref="Z19"/>
    </sheetView>
  </sheetViews>
  <sheetFormatPr defaultColWidth="14.44140625" defaultRowHeight="14.4" x14ac:dyDescent="0.3"/>
  <cols>
    <col min="1" max="1" width="17.21875" bestFit="1" customWidth="1"/>
    <col min="2" max="2" width="18.5546875" bestFit="1" customWidth="1"/>
    <col min="3" max="5" width="14.109375" bestFit="1" customWidth="1"/>
    <col min="6" max="8" width="13.109375" bestFit="1" customWidth="1"/>
    <col min="9" max="9" width="14" bestFit="1" customWidth="1"/>
    <col min="10" max="11" width="14.109375" bestFit="1" customWidth="1"/>
    <col min="12" max="12" width="13.109375" bestFit="1" customWidth="1"/>
    <col min="13" max="13" width="14" bestFit="1" customWidth="1"/>
    <col min="14" max="14" width="13.109375" bestFit="1" customWidth="1"/>
    <col min="15" max="15" width="14" bestFit="1" customWidth="1"/>
    <col min="16" max="17" width="13.109375" bestFit="1" customWidth="1"/>
    <col min="18" max="35" width="14.109375" bestFit="1" customWidth="1"/>
    <col min="36" max="41" width="15.6640625" bestFit="1" customWidth="1"/>
    <col min="42" max="46" width="14.109375" bestFit="1" customWidth="1"/>
    <col min="47" max="67" width="15.6640625" bestFit="1" customWidth="1"/>
    <col min="68" max="69" width="13.109375" bestFit="1" customWidth="1"/>
    <col min="70" max="71" width="14.109375" bestFit="1" customWidth="1"/>
    <col min="72" max="79" width="13.109375" bestFit="1" customWidth="1"/>
    <col min="80" max="81" width="12" bestFit="1" customWidth="1"/>
    <col min="82" max="83" width="14.109375" bestFit="1" customWidth="1"/>
    <col min="84" max="85" width="13.109375" bestFit="1" customWidth="1"/>
    <col min="86" max="87" width="14.109375" bestFit="1" customWidth="1"/>
    <col min="88" max="89" width="12" bestFit="1" customWidth="1"/>
    <col min="90" max="93" width="14.109375" bestFit="1" customWidth="1"/>
    <col min="94" max="97" width="12" bestFit="1" customWidth="1"/>
    <col min="98" max="99" width="13.109375" bestFit="1" customWidth="1"/>
    <col min="100" max="101" width="14.109375" bestFit="1" customWidth="1"/>
    <col min="102" max="103" width="13.109375" bestFit="1" customWidth="1"/>
    <col min="104" max="105" width="14.109375" bestFit="1" customWidth="1"/>
    <col min="106" max="107" width="12.88671875" bestFit="1" customWidth="1"/>
    <col min="108" max="111" width="13.109375" bestFit="1" customWidth="1"/>
    <col min="112" max="115" width="14.109375" bestFit="1" customWidth="1"/>
    <col min="116" max="123" width="13.109375" bestFit="1" customWidth="1"/>
    <col min="124" max="125" width="14.109375" bestFit="1" customWidth="1"/>
    <col min="126" max="127" width="12" bestFit="1" customWidth="1"/>
    <col min="128" max="128" width="15.6640625" bestFit="1" customWidth="1"/>
  </cols>
  <sheetData>
    <row r="1" spans="1:128" x14ac:dyDescent="0.3">
      <c r="A1" s="1130" t="s">
        <v>1684</v>
      </c>
      <c r="B1" s="1130"/>
      <c r="C1" s="1130"/>
      <c r="D1" s="1130"/>
      <c r="E1" s="1130"/>
      <c r="F1" s="1130"/>
      <c r="G1" s="1130"/>
      <c r="H1" s="1130"/>
    </row>
    <row r="2" spans="1:128" x14ac:dyDescent="0.3">
      <c r="A2" s="1130"/>
      <c r="B2" s="1130"/>
      <c r="C2" s="1130"/>
      <c r="D2" s="1130"/>
      <c r="E2" s="1130"/>
      <c r="F2" s="1130"/>
      <c r="G2" s="1130"/>
      <c r="H2" s="1130"/>
    </row>
    <row r="4" spans="1:128" x14ac:dyDescent="0.3">
      <c r="B4" s="18" t="s">
        <v>224</v>
      </c>
      <c r="C4" s="28">
        <v>167302.21</v>
      </c>
    </row>
    <row r="5" spans="1:128" x14ac:dyDescent="0.3">
      <c r="B5" s="647"/>
      <c r="C5" s="216"/>
    </row>
    <row r="6" spans="1:128" ht="19.2" customHeight="1" x14ac:dyDescent="0.3">
      <c r="A6" s="644" t="s">
        <v>220</v>
      </c>
      <c r="B6" s="644" t="s">
        <v>222</v>
      </c>
    </row>
    <row r="7" spans="1:128" x14ac:dyDescent="0.3">
      <c r="A7" s="644" t="s">
        <v>219</v>
      </c>
      <c r="B7" s="657">
        <v>45931</v>
      </c>
      <c r="C7" s="657">
        <v>45932</v>
      </c>
      <c r="D7" s="657">
        <v>45933</v>
      </c>
      <c r="E7" s="657">
        <v>45936</v>
      </c>
      <c r="F7" s="657">
        <v>45937</v>
      </c>
      <c r="G7" s="657">
        <v>45938</v>
      </c>
      <c r="H7" s="657">
        <v>45939</v>
      </c>
      <c r="I7" s="657">
        <v>45940</v>
      </c>
      <c r="J7" s="657">
        <v>45943</v>
      </c>
      <c r="K7" s="657">
        <v>45944</v>
      </c>
      <c r="L7" s="657">
        <v>45945</v>
      </c>
      <c r="M7" s="657">
        <v>45946</v>
      </c>
      <c r="N7" s="657">
        <v>45947</v>
      </c>
      <c r="O7" s="657">
        <v>45950</v>
      </c>
      <c r="P7" s="657">
        <v>45951</v>
      </c>
      <c r="Q7" s="657">
        <v>45952</v>
      </c>
      <c r="R7" s="657">
        <v>45953</v>
      </c>
      <c r="S7" s="657">
        <v>45954</v>
      </c>
      <c r="T7" s="657">
        <v>45957</v>
      </c>
      <c r="U7" s="657">
        <v>45958</v>
      </c>
      <c r="V7" s="657">
        <v>45959</v>
      </c>
      <c r="W7" s="657">
        <v>45960</v>
      </c>
      <c r="X7" s="657">
        <v>45961</v>
      </c>
      <c r="Y7" s="657">
        <v>45964</v>
      </c>
      <c r="Z7" s="657">
        <v>45965</v>
      </c>
      <c r="AA7" s="657">
        <v>45966</v>
      </c>
      <c r="AB7" s="657">
        <v>45967</v>
      </c>
      <c r="AC7" s="657">
        <v>45968</v>
      </c>
      <c r="AD7" s="657">
        <v>45971</v>
      </c>
      <c r="AE7" s="657">
        <v>45972</v>
      </c>
      <c r="AF7" s="657">
        <v>45974</v>
      </c>
      <c r="AG7" s="657">
        <v>45975</v>
      </c>
      <c r="AH7" s="657">
        <v>45978</v>
      </c>
      <c r="AI7" s="657">
        <v>45979</v>
      </c>
      <c r="AJ7" s="657">
        <v>45981</v>
      </c>
      <c r="AK7" s="657">
        <v>45982</v>
      </c>
      <c r="AL7" s="657">
        <v>45985</v>
      </c>
      <c r="AM7" s="657">
        <v>45986</v>
      </c>
      <c r="AN7" s="657">
        <v>45987</v>
      </c>
      <c r="AO7" s="657">
        <v>45988</v>
      </c>
      <c r="AP7" s="657">
        <v>45989</v>
      </c>
      <c r="AQ7" s="657">
        <v>45992</v>
      </c>
      <c r="AR7" s="657">
        <v>45993</v>
      </c>
      <c r="AS7" s="657">
        <v>45994</v>
      </c>
      <c r="AT7" s="657">
        <v>45995</v>
      </c>
      <c r="AU7" s="657">
        <v>45996</v>
      </c>
      <c r="AV7" s="657">
        <v>45999</v>
      </c>
      <c r="AW7" s="657">
        <v>46000</v>
      </c>
      <c r="AX7" s="657">
        <v>46001</v>
      </c>
      <c r="AY7" s="657">
        <v>46002</v>
      </c>
      <c r="AZ7" s="657">
        <v>46003</v>
      </c>
      <c r="BA7" s="657">
        <v>46006</v>
      </c>
      <c r="BB7" s="657">
        <v>46007</v>
      </c>
      <c r="BC7" s="657">
        <v>46008</v>
      </c>
      <c r="BD7" s="657">
        <v>46009</v>
      </c>
      <c r="BE7" s="657">
        <v>46010</v>
      </c>
      <c r="BF7" s="657">
        <v>46013</v>
      </c>
      <c r="BG7" s="657">
        <v>46014</v>
      </c>
      <c r="BH7" s="657">
        <v>46015</v>
      </c>
      <c r="BI7" s="657">
        <v>46017</v>
      </c>
      <c r="BJ7" s="657">
        <v>46020</v>
      </c>
      <c r="BK7" s="657">
        <v>46021</v>
      </c>
      <c r="BL7" s="657">
        <v>46022</v>
      </c>
      <c r="BM7" s="657" t="s">
        <v>221</v>
      </c>
    </row>
    <row r="8" spans="1:128" s="646" customFormat="1" x14ac:dyDescent="0.3">
      <c r="A8" s="645" t="s">
        <v>161</v>
      </c>
      <c r="B8" s="646">
        <v>454048.31</v>
      </c>
      <c r="D8" s="646">
        <v>174073.82</v>
      </c>
      <c r="E8" s="646">
        <v>64278.21</v>
      </c>
      <c r="G8" s="646">
        <v>18100</v>
      </c>
      <c r="I8" s="646">
        <v>19680.03</v>
      </c>
      <c r="J8" s="646">
        <v>163322.35000000003</v>
      </c>
      <c r="K8" s="646">
        <v>28212.079999999998</v>
      </c>
      <c r="M8" s="646">
        <v>200000</v>
      </c>
      <c r="O8" s="646">
        <v>126971.98</v>
      </c>
      <c r="P8" s="646">
        <v>36083.370000000003</v>
      </c>
      <c r="Q8" s="646">
        <v>31451.690000000002</v>
      </c>
      <c r="R8" s="646">
        <v>698018.08</v>
      </c>
      <c r="S8" s="646">
        <v>11659.320000000002</v>
      </c>
      <c r="T8" s="646">
        <v>1832.35</v>
      </c>
      <c r="U8" s="646">
        <v>180.06</v>
      </c>
      <c r="V8" s="646">
        <v>3600</v>
      </c>
      <c r="X8" s="646">
        <v>554622.67999999993</v>
      </c>
      <c r="Y8" s="646">
        <v>72327.759999999995</v>
      </c>
      <c r="AC8" s="646">
        <v>63862.63</v>
      </c>
      <c r="AE8" s="646">
        <v>132950.59000000003</v>
      </c>
      <c r="AI8" s="646">
        <v>54752.2</v>
      </c>
      <c r="AK8" s="646">
        <v>14744.060000000001</v>
      </c>
      <c r="AL8" s="646">
        <v>44677.869999999995</v>
      </c>
      <c r="AP8" s="646">
        <v>880716.86</v>
      </c>
      <c r="AR8" s="646">
        <v>130579.84999999999</v>
      </c>
      <c r="AT8" s="646">
        <v>345280</v>
      </c>
      <c r="AW8" s="646">
        <v>4935</v>
      </c>
      <c r="AY8" s="646">
        <v>145410.20000000001</v>
      </c>
      <c r="BB8" s="646">
        <v>17956.39</v>
      </c>
      <c r="BD8" s="646">
        <v>36795.81</v>
      </c>
      <c r="BG8" s="646">
        <v>2284.4499999999998</v>
      </c>
      <c r="BJ8" s="646">
        <v>41481.22</v>
      </c>
      <c r="BK8" s="646">
        <v>839235.64</v>
      </c>
      <c r="BM8" s="646">
        <v>5414124.8599999994</v>
      </c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</row>
    <row r="9" spans="1:128" s="214" customFormat="1" x14ac:dyDescent="0.3">
      <c r="A9" s="213" t="s">
        <v>8</v>
      </c>
      <c r="B9" s="214">
        <v>-28824.600000000002</v>
      </c>
      <c r="C9" s="214">
        <v>-51563.339950000001</v>
      </c>
      <c r="D9" s="214">
        <v>-211402.52000000002</v>
      </c>
      <c r="E9" s="214">
        <v>-489871.62999999995</v>
      </c>
      <c r="F9" s="214">
        <v>-19740.23</v>
      </c>
      <c r="G9" s="214">
        <v>-14384.6</v>
      </c>
      <c r="H9" s="214">
        <v>-2699.8</v>
      </c>
      <c r="I9" s="214">
        <v>-116463.09999999999</v>
      </c>
      <c r="J9" s="214">
        <v>-14742.29</v>
      </c>
      <c r="K9" s="214">
        <v>-2070.11</v>
      </c>
      <c r="L9" s="214">
        <v>-89926.661000000007</v>
      </c>
      <c r="M9" s="214">
        <v>-194808.63000000003</v>
      </c>
      <c r="N9" s="214">
        <v>-46597.630000000005</v>
      </c>
      <c r="O9" s="214">
        <v>-93793.55</v>
      </c>
      <c r="P9" s="214">
        <v>-26905.73</v>
      </c>
      <c r="Q9" s="214">
        <v>-66502.560000000012</v>
      </c>
      <c r="R9" s="214">
        <v>-131061.07000000004</v>
      </c>
      <c r="S9" s="214">
        <v>-29833.880000000005</v>
      </c>
      <c r="T9" s="214">
        <v>-106092.75</v>
      </c>
      <c r="U9" s="214">
        <v>-109951.75</v>
      </c>
      <c r="V9" s="214">
        <v>-31950.929999999997</v>
      </c>
      <c r="W9" s="214">
        <v>-167484.21000000005</v>
      </c>
      <c r="X9" s="214">
        <v>-141450.38</v>
      </c>
      <c r="Y9" s="214">
        <v>-71391.830000000016</v>
      </c>
      <c r="Z9" s="214">
        <v>-9406.9997629999998</v>
      </c>
      <c r="AA9" s="214">
        <v>-35940.679842999998</v>
      </c>
      <c r="AB9" s="214">
        <v>-485821.99000000005</v>
      </c>
      <c r="AC9" s="214">
        <v>-621391.63007899979</v>
      </c>
      <c r="AD9" s="214">
        <v>-94493.369987999991</v>
      </c>
      <c r="AE9" s="214">
        <v>-3549.8097629999997</v>
      </c>
      <c r="AF9" s="214">
        <v>-2336.4499999999998</v>
      </c>
      <c r="AG9" s="214">
        <v>-43344.9</v>
      </c>
      <c r="AH9" s="214">
        <v>-328307.92000000016</v>
      </c>
      <c r="AI9" s="214">
        <v>-15116.920473</v>
      </c>
      <c r="AJ9" s="214">
        <v>-347673.72</v>
      </c>
      <c r="AK9" s="214">
        <v>-73290.070000000007</v>
      </c>
      <c r="AL9" s="214">
        <v>-41058.68</v>
      </c>
      <c r="AM9" s="214">
        <v>-30292.169995</v>
      </c>
      <c r="AN9" s="214">
        <v>-35714.57</v>
      </c>
      <c r="AO9" s="214">
        <v>-4356.4800000000005</v>
      </c>
      <c r="AP9" s="214">
        <v>-525826.13</v>
      </c>
      <c r="AQ9" s="214">
        <v>-15060.74</v>
      </c>
      <c r="AR9" s="214">
        <v>-13990.449999999999</v>
      </c>
      <c r="AS9" s="214">
        <v>-4125.33</v>
      </c>
      <c r="AT9" s="214">
        <v>-8393.4403540000003</v>
      </c>
      <c r="AU9" s="214">
        <v>-517767.83</v>
      </c>
      <c r="AV9" s="214">
        <v>-2000</v>
      </c>
      <c r="AW9" s="214">
        <v>-13785.19</v>
      </c>
      <c r="AX9" s="214">
        <v>-90784.950000000012</v>
      </c>
      <c r="AY9" s="214">
        <v>-40000</v>
      </c>
      <c r="AZ9" s="214">
        <v>-26125.429999999997</v>
      </c>
      <c r="BA9" s="214">
        <v>-275556.69000000006</v>
      </c>
      <c r="BB9" s="214">
        <v>-18203.920000000006</v>
      </c>
      <c r="BC9" s="214">
        <v>-48452.54</v>
      </c>
      <c r="BD9" s="214">
        <v>-5996.67</v>
      </c>
      <c r="BE9" s="214">
        <v>-500744.66000000003</v>
      </c>
      <c r="BF9" s="214">
        <v>-154759.43999999997</v>
      </c>
      <c r="BG9" s="214">
        <v>-14057.28001</v>
      </c>
      <c r="BH9" s="214">
        <v>-10000</v>
      </c>
      <c r="BI9" s="214">
        <v>-69773.38</v>
      </c>
      <c r="BJ9" s="214">
        <v>-10878.91</v>
      </c>
      <c r="BK9" s="214">
        <v>-142581.76000000001</v>
      </c>
      <c r="BL9" s="214">
        <v>-2570.75</v>
      </c>
      <c r="BM9" s="214">
        <v>-6943045.6312180012</v>
      </c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</row>
    <row r="10" spans="1:128" s="22" customFormat="1" x14ac:dyDescent="0.3">
      <c r="A10" s="21" t="s">
        <v>221</v>
      </c>
      <c r="B10" s="22">
        <v>425223.71</v>
      </c>
      <c r="C10" s="22">
        <v>-51563.339950000001</v>
      </c>
      <c r="D10" s="22">
        <v>-37328.700000000012</v>
      </c>
      <c r="E10" s="22">
        <v>-425593.41999999993</v>
      </c>
      <c r="F10" s="22">
        <v>-19740.23</v>
      </c>
      <c r="G10" s="22">
        <v>3715.3999999999996</v>
      </c>
      <c r="H10" s="22">
        <v>-2699.8</v>
      </c>
      <c r="I10" s="22">
        <v>-96783.069999999992</v>
      </c>
      <c r="J10" s="22">
        <v>148580.06000000003</v>
      </c>
      <c r="K10" s="22">
        <v>26141.969999999998</v>
      </c>
      <c r="L10" s="22">
        <v>-89926.661000000007</v>
      </c>
      <c r="M10" s="22">
        <v>5191.3699999999662</v>
      </c>
      <c r="N10" s="22">
        <v>-46597.630000000005</v>
      </c>
      <c r="O10" s="22">
        <v>33178.429999999993</v>
      </c>
      <c r="P10" s="22">
        <v>9177.6400000000031</v>
      </c>
      <c r="Q10" s="22">
        <v>-35050.87000000001</v>
      </c>
      <c r="R10" s="22">
        <v>566957.00999999989</v>
      </c>
      <c r="S10" s="22">
        <v>-18174.560000000005</v>
      </c>
      <c r="T10" s="22">
        <v>-104260.4</v>
      </c>
      <c r="U10" s="22">
        <v>-109771.69</v>
      </c>
      <c r="V10" s="22">
        <v>-28350.929999999997</v>
      </c>
      <c r="W10" s="22">
        <v>-167484.21000000005</v>
      </c>
      <c r="X10" s="22">
        <v>413172.29999999993</v>
      </c>
      <c r="Y10" s="22">
        <v>935.92999999997846</v>
      </c>
      <c r="Z10" s="22">
        <v>-9406.9997629999998</v>
      </c>
      <c r="AA10" s="22">
        <v>-35940.679842999998</v>
      </c>
      <c r="AB10" s="22">
        <v>-485821.99000000005</v>
      </c>
      <c r="AC10" s="22">
        <v>-557529.00007899979</v>
      </c>
      <c r="AD10" s="22">
        <v>-94493.369987999991</v>
      </c>
      <c r="AE10" s="22">
        <v>129400.78023700003</v>
      </c>
      <c r="AF10" s="22">
        <v>-2336.4499999999998</v>
      </c>
      <c r="AG10" s="22">
        <v>-43344.9</v>
      </c>
      <c r="AH10" s="22">
        <v>-328307.92000000016</v>
      </c>
      <c r="AI10" s="22">
        <v>39635.279526999999</v>
      </c>
      <c r="AJ10" s="22">
        <v>-347673.72</v>
      </c>
      <c r="AK10" s="22">
        <v>-58546.010000000009</v>
      </c>
      <c r="AL10" s="22">
        <v>3619.1899999999951</v>
      </c>
      <c r="AM10" s="22">
        <v>-30292.169995</v>
      </c>
      <c r="AN10" s="22">
        <v>-35714.57</v>
      </c>
      <c r="AO10" s="22">
        <v>-4356.4800000000005</v>
      </c>
      <c r="AP10" s="22">
        <v>354890.73</v>
      </c>
      <c r="AQ10" s="22">
        <v>-15060.74</v>
      </c>
      <c r="AR10" s="22">
        <v>116589.4</v>
      </c>
      <c r="AS10" s="22">
        <v>-4125.33</v>
      </c>
      <c r="AT10" s="22">
        <v>336886.55964599998</v>
      </c>
      <c r="AU10" s="22">
        <v>-517767.83</v>
      </c>
      <c r="AV10" s="22">
        <v>-2000</v>
      </c>
      <c r="AW10" s="22">
        <v>-8850.19</v>
      </c>
      <c r="AX10" s="22">
        <v>-90784.950000000012</v>
      </c>
      <c r="AY10" s="22">
        <v>105410.20000000001</v>
      </c>
      <c r="AZ10" s="22">
        <v>-26125.429999999997</v>
      </c>
      <c r="BA10" s="22">
        <v>-275556.69000000006</v>
      </c>
      <c r="BB10" s="22">
        <v>-247.53000000000611</v>
      </c>
      <c r="BC10" s="22">
        <v>-48452.54</v>
      </c>
      <c r="BD10" s="22">
        <v>30799.14</v>
      </c>
      <c r="BE10" s="22">
        <v>-500744.66000000003</v>
      </c>
      <c r="BF10" s="22">
        <v>-154759.43999999997</v>
      </c>
      <c r="BG10" s="22">
        <v>-11772.830010000001</v>
      </c>
      <c r="BH10" s="22">
        <v>-10000</v>
      </c>
      <c r="BI10" s="22">
        <v>-69773.38</v>
      </c>
      <c r="BJ10" s="22">
        <v>30602.31</v>
      </c>
      <c r="BK10" s="22">
        <v>696653.88</v>
      </c>
      <c r="BL10" s="22">
        <v>-2570.75</v>
      </c>
      <c r="BM10" s="22">
        <v>-1528920.7712180018</v>
      </c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</row>
    <row r="13" spans="1:128" s="28" customFormat="1" x14ac:dyDescent="0.3">
      <c r="A13" s="28" t="s">
        <v>224</v>
      </c>
      <c r="B13" s="28">
        <f>C4+GETPIVOTDATA("VALOR",$A$6,"DATA",DATE(2025,10,1),"TIPO","RECEITAS")+GETPIVOTDATA("VALOR",$A$6,"DATA",DATE(2025,10,1),"TIPO","DESPESAS")</f>
        <v>592525.92000000004</v>
      </c>
      <c r="C13" s="28">
        <f>B13+GETPIVOTDATA("VALOR",$A$6,"DATA",DATE(2025,10,2),"TIPO","RECEITAS")+GETPIVOTDATA("VALOR",$A$6,"DATA",DATE(2025,10,2),"TIPO","DESPESAS")</f>
        <v>540962.58004999999</v>
      </c>
      <c r="D13" s="28">
        <f>C13+GETPIVOTDATA("VALOR",$A$6,"DATA",DATE(2025,10,3),"TIPO","RECEITAS")+GETPIVOTDATA("VALOR",$A$6,"DATA",DATE(2025,10,3),"TIPO","DESPESAS")</f>
        <v>503633.88005000004</v>
      </c>
      <c r="E13" s="28">
        <f>D13+GETPIVOTDATA("VALOR",$A$6,"DATA",DATE(2025,10,6),"TIPO","RECEITAS")+GETPIVOTDATA("VALOR",$A$6,"DATA",DATE(2025,10,6),"TIPO","DESPESAS")</f>
        <v>78040.460050000052</v>
      </c>
      <c r="F13" s="28">
        <f>E13+GETPIVOTDATA("VALOR",$A$6,"DATA",DATE(2025,10,7),"TIPO","RECEITAS")+GETPIVOTDATA("VALOR",$A$6,"DATA",DATE(2025,10,7),"TIPO","DESPESAS")</f>
        <v>58300.230050000057</v>
      </c>
      <c r="G13" s="28">
        <f>F13+GETPIVOTDATA("VALOR",$A$6,"DATA",DATE(2025,10,8),"TIPO","RECEITAS")+GETPIVOTDATA("VALOR",$A$6,"DATA",DATE(2025,10,8),"TIPO","DESPESAS")</f>
        <v>62015.630050000058</v>
      </c>
      <c r="H13" s="28">
        <f>G13+GETPIVOTDATA("VALOR",$A$6,"DATA",DATE(2025,10,9),"TIPO","RECEITAS")+GETPIVOTDATA("VALOR",$A$6,"DATA",DATE(2025,10,9),"TIPO","DESPESAS")</f>
        <v>59315.830050000055</v>
      </c>
      <c r="I13" s="28">
        <f>H13+GETPIVOTDATA("VALOR",$A$6,"DATA",DATE(2025,10,10),"TIPO","RECEITAS")+GETPIVOTDATA("VALOR",$A$6,"DATA",DATE(2025,10,10),"TIPO","DESPESAS")</f>
        <v>-37467.239949999945</v>
      </c>
      <c r="J13" s="28">
        <f>I13+GETPIVOTDATA("VALOR",$A$6,"DATA",DATE(2025,10,13),"TIPO","RECEITAS")+GETPIVOTDATA("VALOR",$A$6,"DATA",DATE(2025,10,13),"TIPO","DESPESAS")</f>
        <v>111112.8200500001</v>
      </c>
      <c r="K13" s="28">
        <f>J13+GETPIVOTDATA("VALOR",$A$6,"DATA",DATE(2025,10,14),"TIPO","RECEITAS")+GETPIVOTDATA("VALOR",$A$6,"DATA",DATE(2025,10,14),"TIPO","DESPESAS")</f>
        <v>137254.7900500001</v>
      </c>
      <c r="L13" s="415">
        <f>K13+GETPIVOTDATA("VALOR",$A$6,"DATA",DATE(2025,10,15),"TIPO","RECEITAS")+GETPIVOTDATA("VALOR",$A$6,"DATA",DATE(2025,10,15),"TIPO","DESPESAS")</f>
        <v>47328.129050000091</v>
      </c>
      <c r="M13" s="28">
        <f>L13+GETPIVOTDATA("VALOR",$A$6,"DATA",DATE(2025,10,16),"TIPO","RECEITAS")+GETPIVOTDATA("VALOR",$A$6,"DATA",DATE(2025,10,16),"TIPO","DESPESAS")</f>
        <v>52519.499050000071</v>
      </c>
      <c r="N13" s="28">
        <f>M13+GETPIVOTDATA("VALOR",$A$6,"DATA",DATE(2025,10,17),"TIPO","RECEITAS")+GETPIVOTDATA("VALOR",$A$6,"DATA",DATE(2025,10,17),"TIPO","DESPESAS")</f>
        <v>5921.8690500000666</v>
      </c>
      <c r="O13" s="28">
        <f>N13+GETPIVOTDATA("VALOR",$A$6,"DATA",DATE(2025,10,20),"TIPO","RECEITAS")+GETPIVOTDATA("VALOR",$A$6,"DATA",DATE(2025,10,20),"TIPO","DESPESAS")</f>
        <v>39100.299050000074</v>
      </c>
      <c r="P13" s="28">
        <f>O13+GETPIVOTDATA("VALOR",$A$6,"DATA",DATE(2025,10,21),"TIPO","RECEITAS")+GETPIVOTDATA("VALOR",$A$6,"DATA",DATE(2025,10,21),"TIPO","DESPESAS")</f>
        <v>48277.939050000088</v>
      </c>
      <c r="Q13" s="218">
        <f>P13+GETPIVOTDATA("VALOR",$A$6,"DATA",DATE(2025,10,22),"TIPO","RECEITAS")+GETPIVOTDATA("VALOR",$A$6,"DATA",DATE(2025,10,22),"TIPO","DESPESAS")</f>
        <v>13227.069050000078</v>
      </c>
      <c r="R13" s="218">
        <f>Q13+GETPIVOTDATA("VALOR",$A$6,"DATA",DATE(2025,10,23),"TIPO","RECEITAS")+GETPIVOTDATA("VALOR",$A$6,"DATA",DATE(2025,10,23),"TIPO","DESPESAS")</f>
        <v>580184.07904999994</v>
      </c>
      <c r="S13" s="218">
        <f>R13+GETPIVOTDATA("VALOR",$A$6,"DATA",DATE(2025,10,24),"TIPO","RECEITAS")+GETPIVOTDATA("VALOR",$A$6,"DATA",DATE(2025,10,24),"TIPO","DESPESAS")</f>
        <v>562009.51904999989</v>
      </c>
      <c r="T13" s="218">
        <f>S13+GETPIVOTDATA("VALOR",$A$6,"DATA",DATE(2025,10,27),"TIPO","RECEITAS")+GETPIVOTDATA("VALOR",$A$6,"DATA",DATE(2025,10,27),"TIPO","DESPESAS")</f>
        <v>457749.11904999986</v>
      </c>
      <c r="U13" s="218">
        <f>T13+GETPIVOTDATA("VALOR",$A$6,"DATA",DATE(2025,10,28),"TIPO","RECEITAS")+GETPIVOTDATA("VALOR",$A$6,"DATA",DATE(2025,10,28),"TIPO","DESPESAS")</f>
        <v>347977.42904999986</v>
      </c>
      <c r="V13" s="218">
        <f>U13+GETPIVOTDATA("VALOR",$A$6,"DATA",DATE(2025,10,29),"TIPO","RECEITAS")+GETPIVOTDATA("VALOR",$A$6,"DATA",DATE(2025,10,29),"TIPO","DESPESAS")</f>
        <v>319626.49904999987</v>
      </c>
      <c r="W13" s="218">
        <f>V13+GETPIVOTDATA("VALOR",$A$6,"DATA",DATE(2025,10,30),"TIPO","RECEITAS")+GETPIVOTDATA("VALOR",$A$6,"DATA",DATE(2025,10,30),"TIPO","DESPESAS")</f>
        <v>152142.28904999982</v>
      </c>
      <c r="X13" s="218">
        <f>W13+GETPIVOTDATA("VALOR",$A$6,"DATA",DATE(2025,10,31),"TIPO","RECEITAS")+GETPIVOTDATA("VALOR",$A$6,"DATA",DATE(2025,10,31),"TIPO","DESPESAS")</f>
        <v>565314.58904999972</v>
      </c>
      <c r="Y13" s="218">
        <f>X13+GETPIVOTDATA("VALOR",$A$6,"DATA",DATE(2025,11,3),"TIPO","RECEITAS")+GETPIVOTDATA("VALOR",$A$6,"DATA",DATE(2025,11,3),"TIPO","DESPESAS")</f>
        <v>566250.51904999977</v>
      </c>
      <c r="Z13" s="218">
        <f>Y13+GETPIVOTDATA("VALOR",$A$6,"DATA",DATE(2025,11,4),"TIPO","RECEITAS")+GETPIVOTDATA("VALOR",$A$6,"DATA",DATE(2025,11,4),"TIPO","DESPESAS")</f>
        <v>556843.51928699971</v>
      </c>
      <c r="AA13" s="218">
        <f>Z13+GETPIVOTDATA("VALOR",$A$6,"DATA",DATE(2025,11,5),"TIPO","RECEITAS")+GETPIVOTDATA("VALOR",$A$6,"DATA",DATE(2025,11,5),"TIPO","DESPESAS")</f>
        <v>520902.83944399969</v>
      </c>
      <c r="AB13" s="218">
        <f>AA13+GETPIVOTDATA("VALOR",$A$6,"DATA",DATE(2025,11,6),"TIPO","RECEITAS")+GETPIVOTDATA("VALOR",$A$6,"DATA",DATE(2025,11,6),"TIPO","DESPESAS")</f>
        <v>35080.849443999643</v>
      </c>
      <c r="AC13" s="212">
        <f>AB13+GETPIVOTDATA("VALOR",$A$6,"DATA",DATE(2025,11,7),"TIPO","RECEITAS")+GETPIVOTDATA("VALOR",$A$6,"DATA",DATE(2025,11,7),"TIPO","DESPESAS")</f>
        <v>-522448.15063500014</v>
      </c>
      <c r="AD13" s="212">
        <f>AC13+GETPIVOTDATA("VALOR",$A$6,"DATA",DATE(2025,11,10),"TIPO","RECEITAS")+GETPIVOTDATA("VALOR",$A$6,"DATA",DATE(2025,11,10),"TIPO","DESPESAS")</f>
        <v>-616941.52062300011</v>
      </c>
      <c r="AE13" s="212">
        <f>AD13+GETPIVOTDATA("VALOR",$A$6,"DATA",DATE(2025,11,11),"TIPO","RECEITAS")+GETPIVOTDATA("VALOR",$A$6,"DATA",DATE(2025,11,11),"TIPO","DESPESAS")</f>
        <v>-487540.74038600008</v>
      </c>
      <c r="AF13" s="212">
        <f>AE13+GETPIVOTDATA("VALOR",$A$6,"DATA",DATE(2025,11,13),"TIPO","RECEITAS")+GETPIVOTDATA("VALOR",$A$6,"DATA",DATE(2025,11,13),"TIPO","DESPESAS")</f>
        <v>-489877.19038600009</v>
      </c>
      <c r="AG13" s="212">
        <f>AF13+GETPIVOTDATA("VALOR",$A$6,"DATA",DATE(2025,11,14),"TIPO","RECEITAS")+GETPIVOTDATA("VALOR",$A$6,"DATA",DATE(2025,11,14),"TIPO","DESPESAS")</f>
        <v>-533222.09038600011</v>
      </c>
      <c r="AH13" s="212">
        <f>AG13+GETPIVOTDATA("VALOR",$A$6,"DATA",DATE(2025,11,17),"TIPO","RECEITAS")+GETPIVOTDATA("VALOR",$A$6,"DATA",DATE(2025,11,17),"TIPO","DESPESAS")</f>
        <v>-861530.01038600027</v>
      </c>
      <c r="AI13" s="212">
        <f>AH13+GETPIVOTDATA("VALOR",$A$6,"DATA",DATE(2025,11,18),"TIPO","RECEITAS")+GETPIVOTDATA("VALOR",$A$6,"DATA",DATE(2025,11,18),"TIPO","DESPESAS")</f>
        <v>-821894.73085900035</v>
      </c>
      <c r="AJ13" s="212">
        <f>AI13+GETPIVOTDATA("VALOR",$A$6,"DATA",DATE(2025,11,20),"TIPO","RECEITAS")+GETPIVOTDATA("VALOR",$A$6,"DATA",DATE(2025,11,20),"TIPO","DESPESAS")</f>
        <v>-1169568.4508590004</v>
      </c>
      <c r="AK13" s="28">
        <f>AJ13+GETPIVOTDATA("VALOR",$A$6,"DATA",DATE(2025,11,21),"TIPO","RECEITAS")+GETPIVOTDATA("VALOR",$A$6,"DATA",DATE(2025,11,21),"TIPO","DESPESAS")</f>
        <v>-1228114.4608590005</v>
      </c>
      <c r="AL13" s="28">
        <f>AK13+GETPIVOTDATA("VALOR",$A$6,"DATA",DATE(2025,11,24),"TIPO","RECEITAS")+GETPIVOTDATA("VALOR",$A$6,"DATA",DATE(2025,11,24),"TIPO","DESPESAS")</f>
        <v>-1224495.2708590005</v>
      </c>
      <c r="AM13" s="28">
        <f>AL13+GETPIVOTDATA("VALOR",$A$6,"DATA",DATE(2025,11,25),"TIPO","RECEITAS")+GETPIVOTDATA("VALOR",$A$6,"DATA",DATE(2025,11,25),"TIPO","DESPESAS")</f>
        <v>-1254787.4408540004</v>
      </c>
      <c r="AN13" s="28">
        <f>AM13+GETPIVOTDATA("VALOR",$A$6,"DATA",DATE(2025,11,26),"TIPO","RECEITAS")+GETPIVOTDATA("VALOR",$A$6,"DATA",DATE(2025,11,26),"TIPO","DESPESAS")</f>
        <v>-1290502.0108540005</v>
      </c>
      <c r="AO13" s="28">
        <f>AN13+GETPIVOTDATA("VALOR",$A$6,"DATA",DATE(2025,11,27),"TIPO","RECEITAS")+GETPIVOTDATA("VALOR",$A$6,"DATA",DATE(2025,11,27),"TIPO","DESPESAS")</f>
        <v>-1294858.4908540004</v>
      </c>
      <c r="AP13" s="28">
        <f>AO13+GETPIVOTDATA("VALOR",$A$6,"DATA",DATE(2025,11,28),"TIPO","RECEITAS")+GETPIVOTDATA("VALOR",$A$6,"DATA",DATE(2025,11,28),"TIPO","DESPESAS")</f>
        <v>-939967.76085400046</v>
      </c>
      <c r="AQ13" s="28">
        <f>AP13+GETPIVOTDATA("VALOR",$A$6,"DATA",DATE(2025,12,1),"TIPO","RECEITAS")+GETPIVOTDATA("VALOR",$A$6,"DATA",DATE(2025,12,1),"TIPO","DESPESAS")</f>
        <v>-955028.50085400045</v>
      </c>
      <c r="AR13" s="28">
        <f>AQ13+GETPIVOTDATA("VALOR",$A$6,"DATA",DATE(2025,12,2),"TIPO","RECEITAS")+GETPIVOTDATA("VALOR",$A$6,"DATA",DATE(2025,12,2),"TIPO","DESPESAS")</f>
        <v>-838439.10085400043</v>
      </c>
      <c r="AS13" s="28">
        <f>AR13+GETPIVOTDATA("VALOR",$A$6,"DATA",DATE(2025,12,3),"TIPO","RECEITAS")+GETPIVOTDATA("VALOR",$A$6,"DATA",DATE(2025,12,3),"TIPO","DESPESAS")</f>
        <v>-842564.43085400038</v>
      </c>
      <c r="AT13" s="28">
        <f>AS13+GETPIVOTDATA("VALOR",$A$6,"DATA",DATE(2025,12,4),"TIPO","RECEITAS")+GETPIVOTDATA("VALOR",$A$6,"DATA",DATE(2025,12,4),"TIPO","DESPESAS")</f>
        <v>-505677.8712080004</v>
      </c>
      <c r="AU13" s="28">
        <f>AT13+GETPIVOTDATA("VALOR",$A$6,"DATA",DATE(2025,12,5),"TIPO","DESPESAS")</f>
        <v>-1023445.7012080004</v>
      </c>
      <c r="AV13" s="28">
        <f>AU13+GETPIVOTDATA("VALOR",$A$6,"DATA",DATE(2025,12,8),"TIPO","RECEITAS")+GETPIVOTDATA("VALOR",$A$6,"DATA",DATE(2025,12,8),"TIPO","DESPESAS")</f>
        <v>-1025445.7012080004</v>
      </c>
      <c r="AW13" s="28">
        <f>AV13+GETPIVOTDATA("VALOR",$A$6,"DATA",DATE(2025,12,9),"TIPO","RECEITAS")+GETPIVOTDATA("VALOR",$A$6,"DATA",DATE(2025,12,9),"TIPO","DESPESAS")</f>
        <v>-1034295.8912080004</v>
      </c>
      <c r="AX13" s="28">
        <f>AW13+GETPIVOTDATA("VALOR",$A$6,"DATA",DATE(2025,12,10),"TIPO","DESPESAS")</f>
        <v>-1125080.8412080004</v>
      </c>
      <c r="AY13" s="28">
        <f>AX13+GETPIVOTDATA("VALOR",$A$6,"DATA",DATE(2025,12,11),"TIPO","RECEITAS")+GETPIVOTDATA("VALOR",$A$6,"DATA",DATE(2025,12,11),"TIPO","DESPESAS")</f>
        <v>-1019670.6412080005</v>
      </c>
      <c r="AZ13" s="28">
        <f>AY13+GETPIVOTDATA("VALOR",$A$6,"DATA",DATE(2025,12,12),"TIPO","RECEITAS")+GETPIVOTDATA("VALOR",$A$6,"DATA",DATE(2025,12,12),"TIPO","DESPESAS")</f>
        <v>-1045796.0712080005</v>
      </c>
      <c r="BA13" s="28">
        <f>AZ13+GETPIVOTDATA("VALOR",$A$6,"DATA",DATE(2025,12,15),"TIPO","RECEITAS")+GETPIVOTDATA("VALOR",$A$6,"DATA",DATE(2025,12,15),"TIPO","DESPESAS")</f>
        <v>-1321352.7612080006</v>
      </c>
      <c r="BB13" s="28">
        <f>BA13+GETPIVOTDATA("VALOR",$A$6,"DATA",DATE(2025,12,16),"TIPO","RECEITAS")+GETPIVOTDATA("VALOR",$A$6,"DATA",DATE(2025,12,16),"TIPO","DESPESAS")</f>
        <v>-1321600.2912080006</v>
      </c>
      <c r="BC13" s="28">
        <f>BB13+GETPIVOTDATA("VALOR",$A$6,"DATA",DATE(2025,12,17),"TIPO","RECEITAS")+GETPIVOTDATA("VALOR",$A$6,"DATA",DATE(2025,12,17),"TIPO","DESPESAS")</f>
        <v>-1370052.8312080007</v>
      </c>
      <c r="BD13" s="28">
        <f>BC13+GETPIVOTDATA("VALOR",$A$6,"DATA",DATE(2025,12,18),"TIPO","RECEITAS")+GETPIVOTDATA("VALOR",$A$6,"DATA",DATE(2025,12,18),"TIPO","DESPESAS")</f>
        <v>-1339253.6912080005</v>
      </c>
      <c r="BE13" s="28">
        <f>BD13+GETPIVOTDATA("VALOR",$A$6,"DATA",DATE(2025,12,19),"TIPO","RECEITAS")+GETPIVOTDATA("VALOR",$A$6,"DATA",DATE(2025,12,19),"TIPO","DESPESAS")</f>
        <v>-1839998.3512080004</v>
      </c>
      <c r="BF13" s="28">
        <f>BE13+GETPIVOTDATA("VALOR",$A$6,"DATA",DATE(2025,12,22),"TIPO","RECEITAS")+GETPIVOTDATA("VALOR",$A$6,"DATA",DATE(2025,12,22),"TIPO","DESPESAS")</f>
        <v>-1994757.7912080004</v>
      </c>
      <c r="BG13" s="28">
        <f>BF13+GETPIVOTDATA("VALOR",$A$6,"DATA",DATE(2025,12,23),"TIPO","RECEITAS")+GETPIVOTDATA("VALOR",$A$6,"DATA",DATE(2025,12,23),"TIPO","DESPESAS")</f>
        <v>-2006530.6212180005</v>
      </c>
      <c r="BH13" s="28">
        <f>BG13+GETPIVOTDATA("VALOR",$A$6,"DATA",DATE(2025,12,24),"TIPO","DESPESAS")</f>
        <v>-2016530.6212180005</v>
      </c>
      <c r="BI13" s="28">
        <f>BH13+GETPIVOTDATA("VALOR",$A$6,"DATA",DATE(2025,12,26),"TIPO","RECEITAS")+GETPIVOTDATA("VALOR",$A$6,"DATA",DATE(2025,12,26),"TIPO","DESPESAS")</f>
        <v>-2086304.0012180004</v>
      </c>
      <c r="BJ13" s="28">
        <f>BI13+GETPIVOTDATA("VALOR",$A$6,"DATA",DATE(2025,12,29),"TIPO","RECEITAS")+GETPIVOTDATA("VALOR",$A$6,"DATA",DATE(2025,12,29),"TIPO","DESPESAS")</f>
        <v>-2055701.6912180004</v>
      </c>
      <c r="BK13" s="28">
        <f>BJ13+GETPIVOTDATA("VALOR",$A$6,"DATA",DATE(2025,12,30),"TIPO","RECEITAS")+GETPIVOTDATA("VALOR",$A$6,"DATA",DATE(2025,12,30),"TIPO","DESPESAS")</f>
        <v>-1359047.8112180002</v>
      </c>
      <c r="BL13" s="28">
        <f>BK13+GETPIVOTDATA("VALOR",$A$6,"DATA",DATE(2025,12,31),"TIPO","RECEITAS")+GETPIVOTDATA("VALOR",$A$6,"DATA",DATE(2025,12,31),"TIPO","DESPESAS")</f>
        <v>-1361618.5612180002</v>
      </c>
    </row>
    <row r="14" spans="1:128" x14ac:dyDescent="0.3">
      <c r="W14" s="650"/>
      <c r="X14" s="650"/>
      <c r="Y14" s="650"/>
      <c r="Z14" s="650"/>
      <c r="AA14" s="650"/>
      <c r="AB14" s="650"/>
    </row>
    <row r="15" spans="1:128" x14ac:dyDescent="0.3">
      <c r="Z15" s="1">
        <f>Y13+GETPIVOTDATA("VALOR",$A$6,"DATA",DATE(2025,11,4),"TIPO","RECEITAS")+GETPIVOTDATA("VALOR",$A$6,"DATA",DATE(2025,11,4),"TIPO","DESPESAS")</f>
        <v>556843.51928699971</v>
      </c>
      <c r="AA15" s="1">
        <f>Z15+GETPIVOTDATA("VALOR",$A$6,"DATA",DATE(2025,11,5),"TIPO","DESPESAS")</f>
        <v>520902.83944399969</v>
      </c>
      <c r="AB15" s="1">
        <f>AA15+GETPIVOTDATA("VALOR",$A$6,"DATA",DATE(2025,11,6),"TIPO","RECEITAS")+GETPIVOTDATA("VALOR",$A$6,"DATA",DATE(2025,11,6),"TIPO","DESPESAS")</f>
        <v>35080.849443999643</v>
      </c>
      <c r="AC15" s="1">
        <f>AB15+GETPIVOTDATA("VALOR",$A$6,"DATA",DATE(2025,11,7),"TIPO","RECEITAS")+GETPIVOTDATA("VALOR",$A$6,"DATA",DATE(2025,11,7),"TIPO","DESPESAS")</f>
        <v>-522448.15063500014</v>
      </c>
      <c r="AD15" s="1">
        <f>AC15+GETPIVOTDATA("VALOR",$A$6,"DATA",DATE(2025,11,10),"TIPO","RECEITAS")+GETPIVOTDATA("VALOR",$A$6,"DATA",DATE(2025,11,10),"TIPO","DESPESAS")</f>
        <v>-616941.52062300011</v>
      </c>
      <c r="AE15" s="1">
        <f>AD15+GETPIVOTDATA("VALOR",$A$6,"DATA",DATE(2025,11,11),"TIPO","RECEITAS")+GETPIVOTDATA("VALOR",$A$6,"DATA",DATE(2025,11,11),"TIPO","DESPESAS")</f>
        <v>-487540.74038600008</v>
      </c>
      <c r="AF15" s="1">
        <f>AE15+GETPIVOTDATA("VALOR",$A$6,"DATA",DATE(2025,11,13),"TIPO","RECEITAS")+GETPIVOTDATA("VALOR",$A$6,"DATA",DATE(2025,11,13),"TIPO","DESPESAS")</f>
        <v>-489877.19038600009</v>
      </c>
      <c r="AG15" s="1">
        <f>AF15+GETPIVOTDATA("VALOR",$A$6,"DATA",DATE(2025,11,14),"TIPO","RECEITAS")+GETPIVOTDATA("VALOR",$A$6,"DATA",DATE(2025,11,14),"TIPO","DESPESAS")</f>
        <v>-533222.09038600011</v>
      </c>
      <c r="AH15" s="1">
        <f>AG15+GETPIVOTDATA("VALOR",$A$6,"DATA",DATE(2025,11,17),"TIPO","RECEITAS")+GETPIVOTDATA("VALOR",$A$6,"DATA",DATE(2025,11,17),"TIPO","DESPESAS")</f>
        <v>-861530.01038600027</v>
      </c>
      <c r="AI15" s="1">
        <f>AH15+GETPIVOTDATA("VALOR",$A$6,"DATA",DATE(2025,11,18),"TIPO","RECEITAS")+GETPIVOTDATA("VALOR",$A$6,"DATA",DATE(2025,11,18),"TIPO","DESPESAS")</f>
        <v>-821894.73085900035</v>
      </c>
      <c r="AJ15" s="1">
        <f>AI15+GETPIVOTDATA("VALOR",$A$6,"DATA",DATE(2025,11,20),"TIPO","RECEITAS")+GETPIVOTDATA("VALOR",$A$6,"DATA",DATE(2025,11,20),"TIPO","DESPESAS")</f>
        <v>-1169568.4508590004</v>
      </c>
      <c r="AK15" s="1">
        <f>AJ15+GETPIVOTDATA("VALOR",$A$6,"DATA",DATE(2025,11,21),"TIPO","RECEITAS")+GETPIVOTDATA("VALOR",$A$6,"DATA",DATE(2025,11,21),"TIPO","DESPESAS")</f>
        <v>-1228114.4608590005</v>
      </c>
      <c r="AL15" s="1">
        <f>AK15+GETPIVOTDATA("VALOR",$A$6,"DATA",DATE(2025,11,24),"TIPO","RECEITAS")+GETPIVOTDATA("VALOR",$A$6,"DATA",DATE(2025,11,24),"TIPO","DESPESAS")</f>
        <v>-1224495.2708590005</v>
      </c>
      <c r="AM15" s="1">
        <f>AL15+GETPIVOTDATA("VALOR",$A$6,"DATA",DATE(2025,11,25),"TIPO","RECEITAS")+GETPIVOTDATA("VALOR",$A$6,"DATA",DATE(2025,11,25),"TIPO","DESPESAS")</f>
        <v>-1254787.4408540004</v>
      </c>
      <c r="AN15" s="1">
        <f>AM15+GETPIVOTDATA("VALOR",$A$6,"DATA",DATE(2025,11,26),"TIPO","RECEITAS")+GETPIVOTDATA("VALOR",$A$6,"DATA",DATE(2025,11,26),"TIPO","DESPESAS")</f>
        <v>-1290502.0108540005</v>
      </c>
      <c r="AO15" s="1">
        <f>AN15+GETPIVOTDATA("VALOR",$A$6,"DATA",DATE(2025,11,27),"TIPO","RECEITAS")+GETPIVOTDATA("VALOR",$A$6,"DATA",DATE(2025,11,27),"TIPO","DESPESAS")</f>
        <v>-1294858.4908540004</v>
      </c>
      <c r="AP15" s="1">
        <f>AO15+GETPIVOTDATA("VALOR",$A$6,"DATA",DATE(2025,11,28),"TIPO","RECEITAS")+GETPIVOTDATA("VALOR",$A$6,"DATA",DATE(2025,11,28),"TIPO","DESPESAS")</f>
        <v>-939967.76085400046</v>
      </c>
      <c r="AQ15" s="1">
        <f>AP15+GETPIVOTDATA("VALOR",$A$6,"DATA",DATE(2025,12,1),"TIPO","RECEITAS")+GETPIVOTDATA("VALOR",$A$6,"DATA",DATE(2025,12,1),"TIPO","DESPESAS")</f>
        <v>-955028.50085400045</v>
      </c>
      <c r="AR15" s="1">
        <f>AQ15+GETPIVOTDATA("VALOR",$A$6,"DATA",DATE(2025,12,2),"TIPO","RECEITAS")+GETPIVOTDATA("VALOR",$A$6,"DATA",DATE(2025,12,2),"TIPO","DESPESAS")</f>
        <v>-838439.10085400043</v>
      </c>
      <c r="AS15" s="1">
        <f>AR15+GETPIVOTDATA("VALOR",$A$6,"DATA",DATE(2025,12,3),"TIPO","RECEITAS")+GETPIVOTDATA("VALOR",$A$6,"DATA",DATE(2025,12,3),"TIPO","DESPESAS")</f>
        <v>-842564.43085400038</v>
      </c>
      <c r="AT15" s="1">
        <f>AS15+GETPIVOTDATA("VALOR",$A$6,"DATA",DATE(2025,12,4),"TIPO","RECEITAS")+GETPIVOTDATA("VALOR",$A$6,"DATA",DATE(2025,12,4),"TIPO","DESPESAS")</f>
        <v>-505677.8712080004</v>
      </c>
      <c r="AU15" s="1">
        <f>AT15+GETPIVOTDATA("VALOR",$A$6,"DATA",DATE(2025,12,5),"TIPO","RECEITAS")+GETPIVOTDATA("VALOR",$A$6,"DATA",DATE(2025,12,5),"TIPO","DESPESAS")</f>
        <v>-1023445.7012080004</v>
      </c>
      <c r="AV15" s="1">
        <f>AU15+GETPIVOTDATA("VALOR",$A$6,"DATA",DATE(2025,12,8),"TIPO","RECEITAS")+GETPIVOTDATA("VALOR",$A$6,"DATA",DATE(2025,12,8),"TIPO","DESPESAS")</f>
        <v>-1025445.7012080004</v>
      </c>
      <c r="AW15" s="1">
        <f>AV15+GETPIVOTDATA("VALOR",$A$6,"DATA",DATE(2025,12,9),"TIPO","RECEITAS")+GETPIVOTDATA("VALOR",$A$6,"DATA",DATE(2025,12,9),"TIPO","DESPESAS")</f>
        <v>-1034295.8912080004</v>
      </c>
      <c r="AX15" s="1">
        <f>AW15+GETPIVOTDATA("VALOR",$A$6,"DATA",DATE(2025,12,10),"TIPO","RECEITAS")+GETPIVOTDATA("VALOR",$A$6,"DATA",DATE(2025,12,10),"TIPO","DESPESAS")</f>
        <v>-1125080.8412080004</v>
      </c>
      <c r="AY15" s="1">
        <f>AX15+GETPIVOTDATA("VALOR",$A$6,"DATA",DATE(2025,12,11),"TIPO","RECEITAS")+GETPIVOTDATA("VALOR",$A$6,"DATA",DATE(2025,12,11),"TIPO","DESPESAS")</f>
        <v>-1019670.6412080005</v>
      </c>
      <c r="AZ15" s="1">
        <f>AY15+GETPIVOTDATA("VALOR",$A$6,"DATA",DATE(2025,12,12),"TIPO","RECEITAS")+GETPIVOTDATA("VALOR",$A$6,"DATA",DATE(2025,12,12),"TIPO","DESPESAS")</f>
        <v>-1045796.0712080005</v>
      </c>
      <c r="BA15" s="1">
        <f>AZ15+GETPIVOTDATA("VALOR",$A$6,"DATA",DATE(2025,12,15),"TIPO","RECEITAS")+GETPIVOTDATA("VALOR",$A$6,"DATA",DATE(2025,12,15),"TIPO","DESPESAS")</f>
        <v>-1321352.7612080006</v>
      </c>
      <c r="BB15" s="1">
        <f>BA15+GETPIVOTDATA("VALOR",$A$6,"DATA",DATE(2025,12,16),"TIPO","RECEITAS")+GETPIVOTDATA("VALOR",$A$6,"DATA",DATE(2025,12,16),"TIPO","DESPESAS")</f>
        <v>-1321600.2912080006</v>
      </c>
      <c r="BC15" s="1">
        <f>BB15+GETPIVOTDATA("VALOR",$A$6,"DATA",DATE(2025,12,17),"TIPO","RECEITAS")+GETPIVOTDATA("VALOR",$A$6,"DATA",DATE(2025,12,17),"TIPO","DESPESAS")</f>
        <v>-1370052.8312080007</v>
      </c>
      <c r="BD15" s="1">
        <f>BC15+GETPIVOTDATA("VALOR",$A$6,"DATA",DATE(2025,12,18),"TIPO","RECEITAS")+GETPIVOTDATA("VALOR",$A$6,"DATA",DATE(2025,12,18),"TIPO","DESPESAS")</f>
        <v>-1339253.6912080005</v>
      </c>
      <c r="BE15" s="1">
        <f>BD15+GETPIVOTDATA("VALOR",$A$6,"DATA",DATE(2025,12,19),"TIPO","DESPESAS")</f>
        <v>-1839998.3512080004</v>
      </c>
      <c r="BF15" s="1">
        <f>BE15+GETPIVOTDATA("VALOR",$A$6,"DATA",DATE(2025,12,22),"TIPO","RECEITAS")+GETPIVOTDATA("VALOR",$A$6,"DATA",DATE(2025,12,22),"TIPO","DESPESAS")</f>
        <v>-1994757.7912080004</v>
      </c>
      <c r="BG15" s="1">
        <f>BF15+GETPIVOTDATA("VALOR",$A$6,"DATA",DATE(2025,12,23),"TIPO","RECEITAS")+GETPIVOTDATA("VALOR",$A$6,"DATA",DATE(2025,12,23),"TIPO","DESPESAS")</f>
        <v>-2006530.6212180005</v>
      </c>
      <c r="BH15" s="1">
        <f>BG15+GETPIVOTDATA("VALOR",$A$6,"DATA",DATE(2025,12,24),"TIPO","DESPESAS")</f>
        <v>-2016530.6212180005</v>
      </c>
      <c r="BI15" s="1">
        <f>BH15+GETPIVOTDATA("VALOR",$A$6,"DATA",DATE(2025,12,26),"TIPO","RECEITAS")+GETPIVOTDATA("VALOR",$A$6,"DATA",DATE(2025,12,26),"TIPO","DESPESAS")</f>
        <v>-2086304.0012180004</v>
      </c>
      <c r="BJ15" s="1">
        <f>BI15+GETPIVOTDATA("VALOR",$A$6,"DATA",DATE(2025,12,29),"TIPO","RECEITAS")+GETPIVOTDATA("VALOR",$A$6,"DATA",DATE(2025,12,29),"TIPO","DESPESAS")</f>
        <v>-2055701.6912180004</v>
      </c>
      <c r="BK15" s="1">
        <f>BJ15+GETPIVOTDATA("VALOR",$A$6,"DATA",DATE(2025,12,30),"TIPO","RECEITAS")+GETPIVOTDATA("VALOR",$A$6,"DATA",DATE(2025,12,30),"TIPO","DESPESAS")</f>
        <v>-1359047.8112180002</v>
      </c>
      <c r="BL15" s="1">
        <f>BK15+GETPIVOTDATA("VALOR",$A$6,"DATA",DATE(2025,12,31),"TIPO","RECEITAS")+GETPIVOTDATA("VALOR",$A$6,"DATA",DATE(2025,12,31),"TIPO","DESPESAS")</f>
        <v>-1361618.5612180002</v>
      </c>
    </row>
    <row r="16" spans="1:128" x14ac:dyDescent="0.3">
      <c r="Y16" s="1"/>
      <c r="Z16" s="1"/>
      <c r="AA16" s="1"/>
      <c r="AB16" s="1"/>
      <c r="AC16" s="1"/>
      <c r="AD16" s="1"/>
      <c r="AP16" s="1"/>
      <c r="AQ16" s="1"/>
    </row>
    <row r="17" spans="6:48" x14ac:dyDescent="0.3">
      <c r="AC17" s="1"/>
    </row>
    <row r="18" spans="6:48" x14ac:dyDescent="0.3">
      <c r="F18" s="1"/>
      <c r="P18" s="552"/>
      <c r="AC18" s="1"/>
    </row>
    <row r="19" spans="6:48" x14ac:dyDescent="0.3">
      <c r="F19" s="1"/>
      <c r="S19" s="1"/>
      <c r="Z19">
        <v>556843.52000000002</v>
      </c>
      <c r="AV19" s="1"/>
    </row>
    <row r="20" spans="6:48" x14ac:dyDescent="0.3">
      <c r="F20" s="1"/>
      <c r="AC20" s="25"/>
      <c r="AV20" s="1"/>
    </row>
    <row r="21" spans="6:48" x14ac:dyDescent="0.3">
      <c r="AC21" s="1"/>
      <c r="AV21" s="1"/>
    </row>
    <row r="22" spans="6:48" x14ac:dyDescent="0.3">
      <c r="F22" s="1"/>
      <c r="AC22" s="1"/>
    </row>
    <row r="23" spans="6:48" x14ac:dyDescent="0.3">
      <c r="AC23" s="1"/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0D09-D852-4ECC-BA17-8AAE7C38B459}">
  <sheetPr filterMode="1"/>
  <dimension ref="A1:H1259"/>
  <sheetViews>
    <sheetView showGridLines="0" tabSelected="1" topLeftCell="A368" workbookViewId="0">
      <selection activeCell="D1011" sqref="D1011"/>
    </sheetView>
  </sheetViews>
  <sheetFormatPr defaultRowHeight="14.4" x14ac:dyDescent="0.3"/>
  <cols>
    <col min="1" max="1" width="14" customWidth="1"/>
    <col min="2" max="2" width="15.109375" customWidth="1"/>
    <col min="3" max="3" width="28.77734375" customWidth="1"/>
    <col min="4" max="4" width="103.88671875" style="724" customWidth="1"/>
    <col min="5" max="5" width="17.109375" style="1" customWidth="1"/>
    <col min="6" max="6" width="13.109375" style="659" customWidth="1"/>
    <col min="7" max="7" width="31.88671875" style="659" customWidth="1"/>
  </cols>
  <sheetData>
    <row r="1" spans="1:7" s="641" customFormat="1" ht="13.8" x14ac:dyDescent="0.3">
      <c r="A1" s="127" t="s">
        <v>0</v>
      </c>
      <c r="B1" s="1002" t="s">
        <v>1038</v>
      </c>
      <c r="C1" s="58" t="s">
        <v>1</v>
      </c>
      <c r="D1" s="127" t="s">
        <v>2</v>
      </c>
      <c r="E1" s="59" t="s">
        <v>3</v>
      </c>
      <c r="F1" s="59" t="s">
        <v>4</v>
      </c>
      <c r="G1" s="280" t="s">
        <v>5</v>
      </c>
    </row>
    <row r="2" spans="1:7" s="641" customFormat="1" ht="13.8" hidden="1" x14ac:dyDescent="0.3">
      <c r="A2" s="232">
        <v>45951</v>
      </c>
      <c r="B2" s="220" t="s">
        <v>211</v>
      </c>
      <c r="C2" s="970" t="s">
        <v>44</v>
      </c>
      <c r="D2" s="970" t="s">
        <v>487</v>
      </c>
      <c r="E2" s="971">
        <v>2863.03</v>
      </c>
      <c r="F2" s="972" t="s">
        <v>161</v>
      </c>
      <c r="G2" s="973" t="s">
        <v>488</v>
      </c>
    </row>
    <row r="3" spans="1:7" s="641" customFormat="1" ht="13.8" hidden="1" x14ac:dyDescent="0.3">
      <c r="A3" s="60">
        <v>45951</v>
      </c>
      <c r="B3" s="50" t="s">
        <v>211</v>
      </c>
      <c r="C3" s="227" t="s">
        <v>1571</v>
      </c>
      <c r="D3" s="227" t="s">
        <v>1964</v>
      </c>
      <c r="E3" s="228">
        <v>5755.43</v>
      </c>
      <c r="F3" s="59" t="s">
        <v>161</v>
      </c>
      <c r="G3" s="280" t="s">
        <v>162</v>
      </c>
    </row>
    <row r="4" spans="1:7" s="863" customFormat="1" ht="13.8" hidden="1" x14ac:dyDescent="0.3">
      <c r="A4" s="857">
        <v>45951</v>
      </c>
      <c r="B4" s="858" t="s">
        <v>211</v>
      </c>
      <c r="C4" s="859" t="s">
        <v>6</v>
      </c>
      <c r="D4" s="860" t="s">
        <v>1966</v>
      </c>
      <c r="E4" s="861">
        <v>-2205.73</v>
      </c>
      <c r="F4" s="378" t="s">
        <v>8</v>
      </c>
      <c r="G4" s="862" t="s">
        <v>27</v>
      </c>
    </row>
    <row r="5" spans="1:7" s="863" customFormat="1" ht="13.8" hidden="1" x14ac:dyDescent="0.3">
      <c r="A5" s="857">
        <v>45951</v>
      </c>
      <c r="B5" s="858" t="s">
        <v>211</v>
      </c>
      <c r="C5" s="859" t="s">
        <v>6</v>
      </c>
      <c r="D5" s="860" t="s">
        <v>742</v>
      </c>
      <c r="E5" s="861">
        <v>-23700</v>
      </c>
      <c r="F5" s="378" t="s">
        <v>8</v>
      </c>
      <c r="G5" s="862" t="s">
        <v>186</v>
      </c>
    </row>
    <row r="6" spans="1:7" s="137" customFormat="1" ht="13.8" hidden="1" x14ac:dyDescent="0.3">
      <c r="A6" s="136">
        <v>45982</v>
      </c>
      <c r="B6" s="33" t="s">
        <v>212</v>
      </c>
      <c r="C6" s="3" t="s">
        <v>6</v>
      </c>
      <c r="D6" s="36" t="s">
        <v>743</v>
      </c>
      <c r="E6" s="40">
        <v>-50000</v>
      </c>
      <c r="F6" s="13" t="s">
        <v>8</v>
      </c>
      <c r="G6" s="37" t="s">
        <v>186</v>
      </c>
    </row>
    <row r="7" spans="1:7" s="137" customFormat="1" ht="13.8" hidden="1" x14ac:dyDescent="0.3">
      <c r="A7" s="136">
        <v>46010</v>
      </c>
      <c r="B7" s="100" t="s">
        <v>216</v>
      </c>
      <c r="C7" s="3" t="s">
        <v>6</v>
      </c>
      <c r="D7" s="239" t="s">
        <v>1681</v>
      </c>
      <c r="E7" s="40">
        <v>-65000</v>
      </c>
      <c r="F7" s="13" t="s">
        <v>8</v>
      </c>
      <c r="G7" s="37" t="s">
        <v>186</v>
      </c>
    </row>
    <row r="8" spans="1:7" s="250" customFormat="1" ht="13.8" hidden="1" x14ac:dyDescent="0.3">
      <c r="A8" s="404">
        <v>45961</v>
      </c>
      <c r="B8" s="482" t="s">
        <v>211</v>
      </c>
      <c r="C8" s="405" t="s">
        <v>17</v>
      </c>
      <c r="D8" s="405" t="s">
        <v>830</v>
      </c>
      <c r="E8" s="406">
        <v>-1500</v>
      </c>
      <c r="F8" s="402" t="s">
        <v>8</v>
      </c>
      <c r="G8" s="403" t="s">
        <v>186</v>
      </c>
    </row>
    <row r="9" spans="1:7" s="139" customFormat="1" ht="27.6" hidden="1" x14ac:dyDescent="0.3">
      <c r="A9" s="78">
        <v>45989</v>
      </c>
      <c r="B9" s="2" t="s">
        <v>212</v>
      </c>
      <c r="C9" s="14" t="s">
        <v>17</v>
      </c>
      <c r="D9" s="14" t="s">
        <v>831</v>
      </c>
      <c r="E9" s="8">
        <v>-1500</v>
      </c>
      <c r="F9" s="13" t="s">
        <v>8</v>
      </c>
      <c r="G9" s="9" t="s">
        <v>186</v>
      </c>
    </row>
    <row r="10" spans="1:7" s="139" customFormat="1" ht="13.8" hidden="1" x14ac:dyDescent="0.3">
      <c r="A10" s="78">
        <v>46021</v>
      </c>
      <c r="B10" s="2" t="s">
        <v>216</v>
      </c>
      <c r="C10" s="14" t="s">
        <v>17</v>
      </c>
      <c r="D10" s="14" t="s">
        <v>832</v>
      </c>
      <c r="E10" s="8">
        <v>-1500</v>
      </c>
      <c r="F10" s="13" t="s">
        <v>8</v>
      </c>
      <c r="G10" s="9" t="s">
        <v>186</v>
      </c>
    </row>
    <row r="11" spans="1:7" s="250" customFormat="1" ht="13.8" hidden="1" x14ac:dyDescent="0.3">
      <c r="A11" s="404">
        <v>45961</v>
      </c>
      <c r="B11" s="482" t="s">
        <v>211</v>
      </c>
      <c r="C11" s="405" t="s">
        <v>6</v>
      </c>
      <c r="D11" s="405" t="s">
        <v>711</v>
      </c>
      <c r="E11" s="406">
        <v>-2000</v>
      </c>
      <c r="F11" s="402" t="s">
        <v>8</v>
      </c>
      <c r="G11" s="403" t="s">
        <v>186</v>
      </c>
    </row>
    <row r="12" spans="1:7" s="139" customFormat="1" ht="13.8" hidden="1" x14ac:dyDescent="0.3">
      <c r="A12" s="78">
        <v>45989</v>
      </c>
      <c r="B12" s="2" t="s">
        <v>212</v>
      </c>
      <c r="C12" s="14" t="s">
        <v>6</v>
      </c>
      <c r="D12" s="14" t="s">
        <v>712</v>
      </c>
      <c r="E12" s="8">
        <v>-2000</v>
      </c>
      <c r="F12" s="13" t="s">
        <v>8</v>
      </c>
      <c r="G12" s="9" t="s">
        <v>186</v>
      </c>
    </row>
    <row r="13" spans="1:7" s="139" customFormat="1" ht="13.8" hidden="1" x14ac:dyDescent="0.3">
      <c r="A13" s="74">
        <v>46021</v>
      </c>
      <c r="B13" s="26" t="s">
        <v>216</v>
      </c>
      <c r="C13" s="97" t="s">
        <v>6</v>
      </c>
      <c r="D13" s="97" t="s">
        <v>713</v>
      </c>
      <c r="E13" s="77">
        <v>-2000</v>
      </c>
      <c r="F13" s="27" t="s">
        <v>8</v>
      </c>
      <c r="G13" s="91" t="s">
        <v>186</v>
      </c>
    </row>
    <row r="14" spans="1:7" s="250" customFormat="1" ht="13.8" hidden="1" x14ac:dyDescent="0.3">
      <c r="A14" s="251">
        <v>45960</v>
      </c>
      <c r="B14" s="247" t="s">
        <v>211</v>
      </c>
      <c r="C14" s="293" t="s">
        <v>17</v>
      </c>
      <c r="D14" s="293" t="s">
        <v>811</v>
      </c>
      <c r="E14" s="248">
        <v>-880</v>
      </c>
      <c r="F14" s="254" t="s">
        <v>8</v>
      </c>
      <c r="G14" s="254" t="s">
        <v>186</v>
      </c>
    </row>
    <row r="15" spans="1:7" s="139" customFormat="1" ht="13.8" hidden="1" x14ac:dyDescent="0.3">
      <c r="A15" s="189">
        <v>45989</v>
      </c>
      <c r="B15" s="1031" t="s">
        <v>212</v>
      </c>
      <c r="C15" s="102" t="s">
        <v>17</v>
      </c>
      <c r="D15" s="102" t="s">
        <v>812</v>
      </c>
      <c r="E15" s="1020">
        <v>-880</v>
      </c>
      <c r="F15" s="191" t="s">
        <v>8</v>
      </c>
      <c r="G15" s="191" t="s">
        <v>186</v>
      </c>
    </row>
    <row r="16" spans="1:7" s="250" customFormat="1" ht="13.8" hidden="1" x14ac:dyDescent="0.3">
      <c r="A16" s="251">
        <v>45960</v>
      </c>
      <c r="B16" s="247" t="s">
        <v>211</v>
      </c>
      <c r="C16" s="293" t="s">
        <v>25</v>
      </c>
      <c r="D16" s="293" t="s">
        <v>2208</v>
      </c>
      <c r="E16" s="248">
        <v>-83.04</v>
      </c>
      <c r="F16" s="254" t="s">
        <v>8</v>
      </c>
      <c r="G16" s="254" t="s">
        <v>19</v>
      </c>
    </row>
    <row r="17" spans="1:8" s="250" customFormat="1" ht="13.2" hidden="1" customHeight="1" x14ac:dyDescent="0.3">
      <c r="A17" s="487">
        <v>45959</v>
      </c>
      <c r="B17" s="704" t="s">
        <v>211</v>
      </c>
      <c r="C17" s="489" t="s">
        <v>13</v>
      </c>
      <c r="D17" s="489" t="s">
        <v>2242</v>
      </c>
      <c r="E17" s="1055">
        <v>-1000</v>
      </c>
      <c r="F17" s="492" t="s">
        <v>8</v>
      </c>
      <c r="G17" s="491" t="s">
        <v>15</v>
      </c>
    </row>
    <row r="18" spans="1:8" s="587" customFormat="1" ht="13.8" hidden="1" x14ac:dyDescent="0.3">
      <c r="A18" s="1042">
        <v>45968</v>
      </c>
      <c r="B18" s="585" t="s">
        <v>212</v>
      </c>
      <c r="C18" s="744" t="s">
        <v>17</v>
      </c>
      <c r="D18" s="744" t="s">
        <v>2205</v>
      </c>
      <c r="E18" s="745">
        <v>-430.22</v>
      </c>
      <c r="F18" s="586" t="s">
        <v>8</v>
      </c>
      <c r="G18" s="1044" t="s">
        <v>804</v>
      </c>
    </row>
    <row r="19" spans="1:8" s="139" customFormat="1" ht="13.8" hidden="1" x14ac:dyDescent="0.3">
      <c r="A19" s="87">
        <v>45986</v>
      </c>
      <c r="B19" s="23" t="s">
        <v>212</v>
      </c>
      <c r="C19" s="96" t="s">
        <v>17</v>
      </c>
      <c r="D19" s="96" t="s">
        <v>540</v>
      </c>
      <c r="E19" s="89">
        <v>-430.22</v>
      </c>
      <c r="F19" s="110" t="s">
        <v>8</v>
      </c>
      <c r="G19" s="70" t="s">
        <v>804</v>
      </c>
    </row>
    <row r="20" spans="1:8" s="139" customFormat="1" ht="13.8" hidden="1" x14ac:dyDescent="0.3">
      <c r="A20" s="78">
        <v>46017</v>
      </c>
      <c r="B20" s="2" t="s">
        <v>216</v>
      </c>
      <c r="C20" s="14" t="s">
        <v>17</v>
      </c>
      <c r="D20" s="14" t="s">
        <v>540</v>
      </c>
      <c r="E20" s="8">
        <v>-430.22</v>
      </c>
      <c r="F20" s="13" t="s">
        <v>8</v>
      </c>
      <c r="G20" s="9" t="s">
        <v>804</v>
      </c>
    </row>
    <row r="21" spans="1:8" s="139" customFormat="1" ht="13.8" x14ac:dyDescent="0.3">
      <c r="A21" s="219">
        <v>45968</v>
      </c>
      <c r="B21" s="220" t="s">
        <v>212</v>
      </c>
      <c r="C21" s="494" t="s">
        <v>30</v>
      </c>
      <c r="D21" s="327" t="s">
        <v>2206</v>
      </c>
      <c r="E21" s="235">
        <v>15077.75</v>
      </c>
      <c r="F21" s="67" t="s">
        <v>161</v>
      </c>
      <c r="G21" s="236" t="s">
        <v>162</v>
      </c>
      <c r="H21" s="79"/>
    </row>
    <row r="22" spans="1:8" s="139" customFormat="1" ht="13.8" x14ac:dyDescent="0.3">
      <c r="A22" s="51">
        <v>45989</v>
      </c>
      <c r="B22" s="50" t="s">
        <v>212</v>
      </c>
      <c r="C22" s="57" t="s">
        <v>30</v>
      </c>
      <c r="D22" s="68" t="s">
        <v>466</v>
      </c>
      <c r="E22" s="58">
        <v>15077.75</v>
      </c>
      <c r="F22" s="55" t="s">
        <v>161</v>
      </c>
      <c r="G22" s="61" t="s">
        <v>162</v>
      </c>
      <c r="H22" s="79"/>
    </row>
    <row r="23" spans="1:8" s="139" customFormat="1" ht="13.8" hidden="1" x14ac:dyDescent="0.3">
      <c r="A23" s="51">
        <v>46021</v>
      </c>
      <c r="B23" s="50" t="s">
        <v>216</v>
      </c>
      <c r="C23" s="57" t="s">
        <v>30</v>
      </c>
      <c r="D23" s="68" t="s">
        <v>466</v>
      </c>
      <c r="E23" s="58">
        <v>15077.75</v>
      </c>
      <c r="F23" s="55" t="s">
        <v>161</v>
      </c>
      <c r="G23" s="61" t="s">
        <v>162</v>
      </c>
      <c r="H23" s="79"/>
    </row>
    <row r="24" spans="1:8" s="250" customFormat="1" ht="13.8" hidden="1" x14ac:dyDescent="0.3">
      <c r="A24" s="308">
        <v>45933</v>
      </c>
      <c r="B24" s="322" t="s">
        <v>211</v>
      </c>
      <c r="C24" s="372" t="s">
        <v>71</v>
      </c>
      <c r="D24" s="372" t="s">
        <v>1054</v>
      </c>
      <c r="E24" s="344">
        <v>-2599.85</v>
      </c>
      <c r="F24" s="373" t="s">
        <v>8</v>
      </c>
      <c r="G24" s="266" t="s">
        <v>73</v>
      </c>
      <c r="H24" s="321"/>
    </row>
    <row r="25" spans="1:8" s="250" customFormat="1" ht="13.8" hidden="1" x14ac:dyDescent="0.3">
      <c r="A25" s="580">
        <v>45960</v>
      </c>
      <c r="B25" s="260" t="s">
        <v>211</v>
      </c>
      <c r="C25" s="293" t="s">
        <v>17</v>
      </c>
      <c r="D25" s="293" t="s">
        <v>1831</v>
      </c>
      <c r="E25" s="248">
        <v>-4370.2700000000004</v>
      </c>
      <c r="F25" s="249" t="s">
        <v>8</v>
      </c>
      <c r="G25" s="265" t="s">
        <v>186</v>
      </c>
      <c r="H25" s="321"/>
    </row>
    <row r="26" spans="1:8" s="250" customFormat="1" ht="13.8" hidden="1" x14ac:dyDescent="0.3">
      <c r="A26" s="997">
        <v>45953</v>
      </c>
      <c r="B26" s="482" t="s">
        <v>211</v>
      </c>
      <c r="C26" s="405" t="s">
        <v>17</v>
      </c>
      <c r="D26" s="405" t="s">
        <v>1988</v>
      </c>
      <c r="E26" s="406">
        <v>-86.81</v>
      </c>
      <c r="F26" s="402" t="s">
        <v>8</v>
      </c>
      <c r="G26" s="403" t="s">
        <v>139</v>
      </c>
    </row>
    <row r="27" spans="1:8" s="261" customFormat="1" ht="13.2" hidden="1" customHeight="1" x14ac:dyDescent="0.3">
      <c r="A27" s="580">
        <v>45952</v>
      </c>
      <c r="B27" s="260" t="s">
        <v>211</v>
      </c>
      <c r="C27" s="325" t="s">
        <v>6</v>
      </c>
      <c r="D27" s="262" t="s">
        <v>742</v>
      </c>
      <c r="E27" s="263">
        <v>-26700</v>
      </c>
      <c r="F27" s="249" t="s">
        <v>8</v>
      </c>
      <c r="G27" s="265" t="s">
        <v>186</v>
      </c>
    </row>
    <row r="28" spans="1:8" s="250" customFormat="1" ht="13.8" hidden="1" x14ac:dyDescent="0.3">
      <c r="A28" s="369">
        <v>45952</v>
      </c>
      <c r="B28" s="247" t="s">
        <v>211</v>
      </c>
      <c r="C28" s="293" t="s">
        <v>31</v>
      </c>
      <c r="D28" s="293" t="s">
        <v>1940</v>
      </c>
      <c r="E28" s="248">
        <v>-200</v>
      </c>
      <c r="F28" s="249" t="s">
        <v>8</v>
      </c>
      <c r="G28" s="254" t="s">
        <v>82</v>
      </c>
    </row>
    <row r="29" spans="1:8" s="164" customFormat="1" hidden="1" x14ac:dyDescent="0.3">
      <c r="A29" s="60">
        <v>45951</v>
      </c>
      <c r="B29" s="50" t="s">
        <v>211</v>
      </c>
      <c r="C29" s="901" t="s">
        <v>44</v>
      </c>
      <c r="D29" s="757" t="s">
        <v>1974</v>
      </c>
      <c r="E29" s="370">
        <v>3127.27</v>
      </c>
      <c r="F29" s="55" t="s">
        <v>161</v>
      </c>
      <c r="G29" s="899" t="s">
        <v>488</v>
      </c>
    </row>
    <row r="30" spans="1:8" s="164" customFormat="1" ht="13.8" hidden="1" x14ac:dyDescent="0.3">
      <c r="A30" s="60">
        <v>45951</v>
      </c>
      <c r="B30" s="50" t="s">
        <v>211</v>
      </c>
      <c r="C30" s="52" t="s">
        <v>17</v>
      </c>
      <c r="D30" s="757" t="s">
        <v>1972</v>
      </c>
      <c r="E30" s="758">
        <v>19300</v>
      </c>
      <c r="F30" s="55" t="s">
        <v>161</v>
      </c>
      <c r="G30" s="765" t="s">
        <v>153</v>
      </c>
    </row>
    <row r="31" spans="1:8" s="250" customFormat="1" ht="13.8" hidden="1" x14ac:dyDescent="0.3">
      <c r="A31" s="369">
        <v>45952</v>
      </c>
      <c r="B31" s="247" t="s">
        <v>211</v>
      </c>
      <c r="C31" s="293" t="s">
        <v>17</v>
      </c>
      <c r="D31" s="293" t="s">
        <v>1973</v>
      </c>
      <c r="E31" s="248">
        <v>-20679.990000000002</v>
      </c>
      <c r="F31" s="249" t="s">
        <v>8</v>
      </c>
      <c r="G31" s="254" t="s">
        <v>58</v>
      </c>
    </row>
    <row r="32" spans="1:8" s="143" customFormat="1" ht="13.8" hidden="1" x14ac:dyDescent="0.3">
      <c r="A32" s="226">
        <v>45951</v>
      </c>
      <c r="B32" s="44" t="s">
        <v>211</v>
      </c>
      <c r="C32" s="46" t="s">
        <v>44</v>
      </c>
      <c r="D32" s="836" t="s">
        <v>1061</v>
      </c>
      <c r="E32" s="840">
        <v>3669</v>
      </c>
      <c r="F32" s="48" t="s">
        <v>161</v>
      </c>
      <c r="G32" s="899" t="s">
        <v>488</v>
      </c>
    </row>
    <row r="33" spans="1:7" s="250" customFormat="1" ht="13.8" hidden="1" x14ac:dyDescent="0.3">
      <c r="A33" s="369">
        <v>45952</v>
      </c>
      <c r="B33" s="247" t="s">
        <v>211</v>
      </c>
      <c r="C33" s="293" t="s">
        <v>32</v>
      </c>
      <c r="D33" s="293" t="s">
        <v>1615</v>
      </c>
      <c r="E33" s="248">
        <v>-221.4</v>
      </c>
      <c r="F33" s="249" t="s">
        <v>8</v>
      </c>
      <c r="G33" s="254" t="s">
        <v>82</v>
      </c>
    </row>
    <row r="34" spans="1:7" s="250" customFormat="1" ht="13.8" hidden="1" x14ac:dyDescent="0.3">
      <c r="A34" s="369">
        <v>45952</v>
      </c>
      <c r="B34" s="316" t="s">
        <v>211</v>
      </c>
      <c r="C34" s="293" t="s">
        <v>17</v>
      </c>
      <c r="D34" s="293" t="s">
        <v>1802</v>
      </c>
      <c r="E34" s="248">
        <v>-243</v>
      </c>
      <c r="F34" s="249" t="s">
        <v>8</v>
      </c>
      <c r="G34" s="254" t="s">
        <v>82</v>
      </c>
    </row>
    <row r="35" spans="1:7" s="139" customFormat="1" ht="13.8" hidden="1" x14ac:dyDescent="0.3">
      <c r="A35" s="136">
        <v>45982</v>
      </c>
      <c r="B35" s="100" t="s">
        <v>212</v>
      </c>
      <c r="C35" s="14" t="s">
        <v>17</v>
      </c>
      <c r="D35" s="14" t="s">
        <v>718</v>
      </c>
      <c r="E35" s="8">
        <v>-268.92</v>
      </c>
      <c r="F35" s="13" t="s">
        <v>8</v>
      </c>
      <c r="G35" s="37" t="s">
        <v>186</v>
      </c>
    </row>
    <row r="36" spans="1:7" s="164" customFormat="1" ht="13.8" hidden="1" x14ac:dyDescent="0.3">
      <c r="A36" s="51">
        <v>45933</v>
      </c>
      <c r="B36" s="123" t="s">
        <v>211</v>
      </c>
      <c r="C36" s="52" t="s">
        <v>44</v>
      </c>
      <c r="D36" s="52" t="s">
        <v>1707</v>
      </c>
      <c r="E36" s="53">
        <v>3073.82</v>
      </c>
      <c r="F36" s="55" t="s">
        <v>161</v>
      </c>
      <c r="G36" s="61" t="s">
        <v>162</v>
      </c>
    </row>
    <row r="37" spans="1:7" s="143" customFormat="1" ht="13.8" hidden="1" x14ac:dyDescent="0.3">
      <c r="A37" s="51">
        <v>45950</v>
      </c>
      <c r="B37" s="123" t="s">
        <v>211</v>
      </c>
      <c r="C37" s="120" t="s">
        <v>30</v>
      </c>
      <c r="D37" s="73" t="s">
        <v>1796</v>
      </c>
      <c r="E37" s="826">
        <v>5045.21</v>
      </c>
      <c r="F37" s="55" t="s">
        <v>161</v>
      </c>
      <c r="G37" s="61" t="s">
        <v>162</v>
      </c>
    </row>
    <row r="38" spans="1:7" s="143" customFormat="1" ht="13.8" hidden="1" x14ac:dyDescent="0.3">
      <c r="A38" s="51">
        <v>45950</v>
      </c>
      <c r="B38" s="271" t="s">
        <v>211</v>
      </c>
      <c r="C38" s="233" t="s">
        <v>30</v>
      </c>
      <c r="D38" s="234" t="s">
        <v>1944</v>
      </c>
      <c r="E38" s="825">
        <v>5094.5600000000004</v>
      </c>
      <c r="F38" s="67" t="s">
        <v>161</v>
      </c>
      <c r="G38" s="236" t="s">
        <v>162</v>
      </c>
    </row>
    <row r="39" spans="1:7" s="143" customFormat="1" ht="13.8" x14ac:dyDescent="0.3">
      <c r="A39" s="123">
        <v>45968</v>
      </c>
      <c r="B39" s="123" t="s">
        <v>212</v>
      </c>
      <c r="C39" s="120" t="s">
        <v>30</v>
      </c>
      <c r="D39" s="73" t="s">
        <v>684</v>
      </c>
      <c r="E39" s="121">
        <v>4935</v>
      </c>
      <c r="F39" s="55" t="s">
        <v>161</v>
      </c>
      <c r="G39" s="61" t="s">
        <v>162</v>
      </c>
    </row>
    <row r="40" spans="1:7" s="143" customFormat="1" ht="13.8" hidden="1" x14ac:dyDescent="0.3">
      <c r="A40" s="123">
        <v>46000</v>
      </c>
      <c r="B40" s="123" t="s">
        <v>216</v>
      </c>
      <c r="C40" s="120" t="s">
        <v>30</v>
      </c>
      <c r="D40" s="73" t="s">
        <v>684</v>
      </c>
      <c r="E40" s="121">
        <v>4935</v>
      </c>
      <c r="F40" s="55" t="s">
        <v>161</v>
      </c>
      <c r="G40" s="61" t="s">
        <v>162</v>
      </c>
    </row>
    <row r="41" spans="1:7" s="143" customFormat="1" ht="13.8" hidden="1" x14ac:dyDescent="0.3">
      <c r="A41" s="232">
        <v>45943</v>
      </c>
      <c r="B41" s="271" t="s">
        <v>211</v>
      </c>
      <c r="C41" s="233" t="s">
        <v>33</v>
      </c>
      <c r="D41" s="505" t="s">
        <v>685</v>
      </c>
      <c r="E41" s="439">
        <v>1200</v>
      </c>
      <c r="F41" s="506" t="s">
        <v>161</v>
      </c>
      <c r="G41" s="236" t="s">
        <v>162</v>
      </c>
    </row>
    <row r="42" spans="1:7" s="143" customFormat="1" ht="13.8" hidden="1" x14ac:dyDescent="0.3">
      <c r="A42" s="232">
        <v>45943</v>
      </c>
      <c r="B42" s="271" t="s">
        <v>211</v>
      </c>
      <c r="C42" s="233" t="s">
        <v>33</v>
      </c>
      <c r="D42" s="505" t="s">
        <v>685</v>
      </c>
      <c r="E42" s="439">
        <v>42921.04</v>
      </c>
      <c r="F42" s="506" t="s">
        <v>161</v>
      </c>
      <c r="G42" s="236" t="s">
        <v>162</v>
      </c>
    </row>
    <row r="43" spans="1:7" s="143" customFormat="1" ht="13.8" x14ac:dyDescent="0.3">
      <c r="A43" s="60">
        <v>45972</v>
      </c>
      <c r="B43" s="123" t="s">
        <v>212</v>
      </c>
      <c r="C43" s="120" t="s">
        <v>33</v>
      </c>
      <c r="D43" s="122" t="s">
        <v>685</v>
      </c>
      <c r="E43" s="121">
        <v>42921.04</v>
      </c>
      <c r="F43" s="126" t="s">
        <v>161</v>
      </c>
      <c r="G43" s="61" t="s">
        <v>162</v>
      </c>
    </row>
    <row r="44" spans="1:7" s="143" customFormat="1" ht="13.8" hidden="1" x14ac:dyDescent="0.3">
      <c r="A44" s="123">
        <v>46002</v>
      </c>
      <c r="B44" s="147" t="s">
        <v>216</v>
      </c>
      <c r="C44" s="120" t="s">
        <v>33</v>
      </c>
      <c r="D44" s="122" t="s">
        <v>685</v>
      </c>
      <c r="E44" s="121">
        <v>42921.04</v>
      </c>
      <c r="F44" s="126" t="s">
        <v>161</v>
      </c>
      <c r="G44" s="61" t="s">
        <v>162</v>
      </c>
    </row>
    <row r="45" spans="1:7" s="143" customFormat="1" ht="13.8" hidden="1" x14ac:dyDescent="0.3">
      <c r="A45" s="220">
        <v>45943</v>
      </c>
      <c r="B45" s="271" t="s">
        <v>211</v>
      </c>
      <c r="C45" s="233" t="s">
        <v>177</v>
      </c>
      <c r="D45" s="272" t="s">
        <v>487</v>
      </c>
      <c r="E45" s="736">
        <v>21863.75</v>
      </c>
      <c r="F45" s="67" t="s">
        <v>161</v>
      </c>
      <c r="G45" s="236" t="s">
        <v>162</v>
      </c>
    </row>
    <row r="46" spans="1:7" s="143" customFormat="1" ht="13.8" hidden="1" x14ac:dyDescent="0.3">
      <c r="A46" s="220">
        <v>45943</v>
      </c>
      <c r="B46" s="271" t="s">
        <v>211</v>
      </c>
      <c r="C46" s="233" t="s">
        <v>177</v>
      </c>
      <c r="D46" s="272" t="s">
        <v>487</v>
      </c>
      <c r="E46" s="235">
        <v>22930</v>
      </c>
      <c r="F46" s="67" t="s">
        <v>161</v>
      </c>
      <c r="G46" s="236" t="s">
        <v>162</v>
      </c>
    </row>
    <row r="47" spans="1:7" s="143" customFormat="1" ht="13.8" x14ac:dyDescent="0.3">
      <c r="A47" s="50">
        <v>45972</v>
      </c>
      <c r="B47" s="123" t="s">
        <v>212</v>
      </c>
      <c r="C47" s="120" t="s">
        <v>177</v>
      </c>
      <c r="D47" s="29" t="s">
        <v>487</v>
      </c>
      <c r="E47" s="58">
        <v>22930</v>
      </c>
      <c r="F47" s="55" t="s">
        <v>161</v>
      </c>
      <c r="G47" s="61" t="s">
        <v>162</v>
      </c>
    </row>
    <row r="48" spans="1:7" s="143" customFormat="1" ht="13.8" hidden="1" x14ac:dyDescent="0.3">
      <c r="A48" s="50">
        <v>46002</v>
      </c>
      <c r="B48" s="123" t="s">
        <v>216</v>
      </c>
      <c r="C48" s="120" t="s">
        <v>177</v>
      </c>
      <c r="D48" s="29" t="s">
        <v>487</v>
      </c>
      <c r="E48" s="58">
        <v>22930</v>
      </c>
      <c r="F48" s="55" t="s">
        <v>161</v>
      </c>
      <c r="G48" s="61" t="s">
        <v>162</v>
      </c>
    </row>
    <row r="49" spans="1:7" s="143" customFormat="1" ht="13.8" x14ac:dyDescent="0.3">
      <c r="A49" s="219">
        <v>45968</v>
      </c>
      <c r="B49" s="220" t="s">
        <v>212</v>
      </c>
      <c r="C49" s="233" t="s">
        <v>25</v>
      </c>
      <c r="D49" s="272" t="s">
        <v>686</v>
      </c>
      <c r="E49" s="235">
        <v>7440</v>
      </c>
      <c r="F49" s="67" t="s">
        <v>161</v>
      </c>
      <c r="G49" s="236" t="s">
        <v>162</v>
      </c>
    </row>
    <row r="50" spans="1:7" s="143" customFormat="1" ht="13.8" x14ac:dyDescent="0.3">
      <c r="A50" s="62">
        <v>45989</v>
      </c>
      <c r="B50" s="368" t="s">
        <v>212</v>
      </c>
      <c r="C50" s="407" t="s">
        <v>25</v>
      </c>
      <c r="D50" s="437" t="s">
        <v>686</v>
      </c>
      <c r="E50" s="224">
        <v>7440</v>
      </c>
      <c r="F50" s="65" t="s">
        <v>161</v>
      </c>
      <c r="G50" s="225" t="s">
        <v>162</v>
      </c>
    </row>
    <row r="51" spans="1:7" s="587" customFormat="1" ht="13.8" hidden="1" x14ac:dyDescent="0.3">
      <c r="A51" s="1042">
        <v>45968</v>
      </c>
      <c r="B51" s="585" t="s">
        <v>212</v>
      </c>
      <c r="C51" s="744" t="s">
        <v>44</v>
      </c>
      <c r="D51" s="1043" t="s">
        <v>1865</v>
      </c>
      <c r="E51" s="745">
        <v>-59000</v>
      </c>
      <c r="F51" s="586" t="s">
        <v>8</v>
      </c>
      <c r="G51" s="1044" t="s">
        <v>46</v>
      </c>
    </row>
    <row r="52" spans="1:7" s="587" customFormat="1" ht="13.8" hidden="1" x14ac:dyDescent="0.3">
      <c r="A52" s="1042">
        <v>45968</v>
      </c>
      <c r="B52" s="585" t="s">
        <v>212</v>
      </c>
      <c r="C52" s="744" t="s">
        <v>44</v>
      </c>
      <c r="D52" s="1043" t="s">
        <v>1335</v>
      </c>
      <c r="E52" s="745">
        <v>-171000</v>
      </c>
      <c r="F52" s="586" t="s">
        <v>8</v>
      </c>
      <c r="G52" s="1044" t="s">
        <v>46</v>
      </c>
    </row>
    <row r="53" spans="1:7" s="143" customFormat="1" ht="13.8" hidden="1" x14ac:dyDescent="0.3">
      <c r="A53" s="220">
        <v>46021</v>
      </c>
      <c r="B53" s="271" t="s">
        <v>216</v>
      </c>
      <c r="C53" s="233" t="s">
        <v>25</v>
      </c>
      <c r="D53" s="272" t="s">
        <v>686</v>
      </c>
      <c r="E53" s="235">
        <v>7440</v>
      </c>
      <c r="F53" s="67" t="s">
        <v>161</v>
      </c>
      <c r="G53" s="236" t="s">
        <v>162</v>
      </c>
    </row>
    <row r="54" spans="1:7" s="164" customFormat="1" ht="13.8" hidden="1" x14ac:dyDescent="0.3">
      <c r="A54" s="51">
        <v>45933</v>
      </c>
      <c r="B54" s="123" t="s">
        <v>211</v>
      </c>
      <c r="C54" s="52" t="s">
        <v>44</v>
      </c>
      <c r="D54" s="68" t="s">
        <v>1335</v>
      </c>
      <c r="E54" s="53">
        <v>171000</v>
      </c>
      <c r="F54" s="55" t="s">
        <v>161</v>
      </c>
      <c r="G54" s="54" t="s">
        <v>46</v>
      </c>
    </row>
    <row r="55" spans="1:7" s="250" customFormat="1" ht="13.8" hidden="1" x14ac:dyDescent="0.3">
      <c r="A55" s="251">
        <v>45933</v>
      </c>
      <c r="B55" s="316" t="s">
        <v>211</v>
      </c>
      <c r="C55" s="293" t="s">
        <v>44</v>
      </c>
      <c r="D55" s="253" t="s">
        <v>1335</v>
      </c>
      <c r="E55" s="248">
        <v>-171000</v>
      </c>
      <c r="F55" s="249" t="s">
        <v>8</v>
      </c>
      <c r="G55" s="254" t="s">
        <v>46</v>
      </c>
    </row>
    <row r="56" spans="1:7" s="139" customFormat="1" ht="13.8" hidden="1" x14ac:dyDescent="0.3">
      <c r="A56" s="100">
        <v>45968</v>
      </c>
      <c r="B56" s="100" t="s">
        <v>212</v>
      </c>
      <c r="C56" s="14" t="s">
        <v>25</v>
      </c>
      <c r="D56" s="14" t="s">
        <v>598</v>
      </c>
      <c r="E56" s="8">
        <v>-5600</v>
      </c>
      <c r="F56" s="9" t="s">
        <v>8</v>
      </c>
      <c r="G56" s="9" t="s">
        <v>186</v>
      </c>
    </row>
    <row r="57" spans="1:7" s="250" customFormat="1" ht="13.8" hidden="1" x14ac:dyDescent="0.3">
      <c r="A57" s="322">
        <v>45937</v>
      </c>
      <c r="B57" s="322" t="s">
        <v>211</v>
      </c>
      <c r="C57" s="293" t="s">
        <v>71</v>
      </c>
      <c r="D57" s="293" t="s">
        <v>205</v>
      </c>
      <c r="E57" s="248">
        <v>-2141.69</v>
      </c>
      <c r="F57" s="254" t="s">
        <v>8</v>
      </c>
      <c r="G57" s="254" t="s">
        <v>227</v>
      </c>
    </row>
    <row r="58" spans="1:7" s="250" customFormat="1" ht="13.8" hidden="1" x14ac:dyDescent="0.3">
      <c r="A58" s="322">
        <v>45937</v>
      </c>
      <c r="B58" s="322" t="s">
        <v>211</v>
      </c>
      <c r="C58" s="293" t="s">
        <v>71</v>
      </c>
      <c r="D58" s="293" t="s">
        <v>1437</v>
      </c>
      <c r="E58" s="248">
        <v>-1000</v>
      </c>
      <c r="F58" s="254" t="s">
        <v>8</v>
      </c>
      <c r="G58" s="254" t="s">
        <v>186</v>
      </c>
    </row>
    <row r="59" spans="1:7" s="164" customFormat="1" ht="13.8" hidden="1" x14ac:dyDescent="0.3">
      <c r="A59" s="368">
        <v>45938</v>
      </c>
      <c r="B59" s="368" t="s">
        <v>211</v>
      </c>
      <c r="C59" s="63" t="s">
        <v>17</v>
      </c>
      <c r="D59" s="63" t="s">
        <v>1240</v>
      </c>
      <c r="E59" s="64">
        <v>18100</v>
      </c>
      <c r="F59" s="66" t="s">
        <v>161</v>
      </c>
      <c r="G59" s="66" t="s">
        <v>162</v>
      </c>
    </row>
    <row r="60" spans="1:7" s="250" customFormat="1" ht="12.6" hidden="1" customHeight="1" x14ac:dyDescent="0.3">
      <c r="A60" s="322">
        <v>45938</v>
      </c>
      <c r="B60" s="322" t="s">
        <v>211</v>
      </c>
      <c r="C60" s="372" t="s">
        <v>17</v>
      </c>
      <c r="D60" s="372" t="s">
        <v>1438</v>
      </c>
      <c r="E60" s="344">
        <v>-1000</v>
      </c>
      <c r="F60" s="266" t="s">
        <v>8</v>
      </c>
      <c r="G60" s="266" t="s">
        <v>186</v>
      </c>
    </row>
    <row r="61" spans="1:7" s="300" customFormat="1" ht="13.8" hidden="1" x14ac:dyDescent="0.3">
      <c r="A61" s="316">
        <v>45938</v>
      </c>
      <c r="B61" s="316" t="s">
        <v>211</v>
      </c>
      <c r="C61" s="293" t="s">
        <v>31</v>
      </c>
      <c r="D61" s="372" t="s">
        <v>1557</v>
      </c>
      <c r="E61" s="344">
        <v>-871.9</v>
      </c>
      <c r="F61" s="266" t="s">
        <v>8</v>
      </c>
      <c r="G61" s="266" t="s">
        <v>186</v>
      </c>
    </row>
    <row r="62" spans="1:7" s="250" customFormat="1" ht="1.2" hidden="1" customHeight="1" x14ac:dyDescent="0.3">
      <c r="A62" s="704">
        <v>45938</v>
      </c>
      <c r="B62" s="704" t="s">
        <v>211</v>
      </c>
      <c r="C62" s="1019" t="s">
        <v>25</v>
      </c>
      <c r="D62" s="372" t="s">
        <v>599</v>
      </c>
      <c r="E62" s="344">
        <v>-5600</v>
      </c>
      <c r="F62" s="266" t="s">
        <v>8</v>
      </c>
      <c r="G62" s="266" t="s">
        <v>186</v>
      </c>
    </row>
    <row r="63" spans="1:7" s="139" customFormat="1" ht="13.8" hidden="1" x14ac:dyDescent="0.3">
      <c r="A63" s="100">
        <v>45966</v>
      </c>
      <c r="B63" s="100" t="s">
        <v>212</v>
      </c>
      <c r="C63" s="7" t="s">
        <v>6</v>
      </c>
      <c r="D63" s="14" t="s">
        <v>2209</v>
      </c>
      <c r="E63" s="8">
        <v>-4636.07</v>
      </c>
      <c r="F63" s="5" t="s">
        <v>8</v>
      </c>
      <c r="G63" s="9" t="s">
        <v>124</v>
      </c>
    </row>
    <row r="64" spans="1:7" s="139" customFormat="1" ht="13.8" hidden="1" x14ac:dyDescent="0.3">
      <c r="A64" s="100">
        <v>45966</v>
      </c>
      <c r="B64" s="100" t="s">
        <v>212</v>
      </c>
      <c r="C64" s="7" t="s">
        <v>6</v>
      </c>
      <c r="D64" s="14" t="s">
        <v>2210</v>
      </c>
      <c r="E64" s="8">
        <v>-8011.38</v>
      </c>
      <c r="F64" s="5" t="s">
        <v>8</v>
      </c>
      <c r="G64" s="9" t="s">
        <v>124</v>
      </c>
    </row>
    <row r="65" spans="1:7" s="250" customFormat="1" ht="13.8" hidden="1" x14ac:dyDescent="0.3">
      <c r="A65" s="251">
        <v>45960</v>
      </c>
      <c r="B65" s="316" t="s">
        <v>211</v>
      </c>
      <c r="C65" s="293" t="s">
        <v>6</v>
      </c>
      <c r="D65" s="293" t="s">
        <v>721</v>
      </c>
      <c r="E65" s="248">
        <v>-2500</v>
      </c>
      <c r="F65" s="254" t="s">
        <v>8</v>
      </c>
      <c r="G65" s="254" t="s">
        <v>186</v>
      </c>
    </row>
    <row r="66" spans="1:7" s="139" customFormat="1" ht="13.8" hidden="1" x14ac:dyDescent="0.3">
      <c r="A66" s="189">
        <v>45989</v>
      </c>
      <c r="B66" s="188" t="s">
        <v>212</v>
      </c>
      <c r="C66" s="102" t="s">
        <v>6</v>
      </c>
      <c r="D66" s="102" t="s">
        <v>722</v>
      </c>
      <c r="E66" s="190">
        <v>-2500</v>
      </c>
      <c r="F66" s="191" t="s">
        <v>8</v>
      </c>
      <c r="G66" s="191" t="s">
        <v>186</v>
      </c>
    </row>
    <row r="67" spans="1:7" s="587" customFormat="1" ht="13.8" hidden="1" x14ac:dyDescent="0.3">
      <c r="A67" s="1042">
        <v>45968</v>
      </c>
      <c r="B67" s="585" t="s">
        <v>212</v>
      </c>
      <c r="C67" s="1040" t="s">
        <v>1594</v>
      </c>
      <c r="D67" s="360" t="s">
        <v>2139</v>
      </c>
      <c r="E67" s="1041">
        <v>-585.46</v>
      </c>
      <c r="F67" s="586" t="s">
        <v>8</v>
      </c>
      <c r="G67" s="591" t="s">
        <v>51</v>
      </c>
    </row>
    <row r="68" spans="1:7" s="587" customFormat="1" ht="13.8" hidden="1" x14ac:dyDescent="0.3">
      <c r="A68" s="1042">
        <v>45968</v>
      </c>
      <c r="B68" s="585" t="s">
        <v>212</v>
      </c>
      <c r="C68" s="1040" t="s">
        <v>650</v>
      </c>
      <c r="D68" s="360" t="s">
        <v>2139</v>
      </c>
      <c r="E68" s="1041">
        <v>-936.63</v>
      </c>
      <c r="F68" s="586" t="s">
        <v>8</v>
      </c>
      <c r="G68" s="591" t="s">
        <v>51</v>
      </c>
    </row>
    <row r="69" spans="1:7" s="587" customFormat="1" ht="13.8" hidden="1" x14ac:dyDescent="0.3">
      <c r="A69" s="1042">
        <v>45968</v>
      </c>
      <c r="B69" s="585" t="s">
        <v>212</v>
      </c>
      <c r="C69" s="1040" t="s">
        <v>108</v>
      </c>
      <c r="D69" s="360" t="s">
        <v>2139</v>
      </c>
      <c r="E69" s="1041">
        <v>-1092.78</v>
      </c>
      <c r="F69" s="586" t="s">
        <v>8</v>
      </c>
      <c r="G69" s="591" t="s">
        <v>51</v>
      </c>
    </row>
    <row r="70" spans="1:7" s="587" customFormat="1" ht="13.8" hidden="1" x14ac:dyDescent="0.3">
      <c r="A70" s="1042">
        <v>45968</v>
      </c>
      <c r="B70" s="585" t="s">
        <v>212</v>
      </c>
      <c r="C70" s="1040" t="s">
        <v>32</v>
      </c>
      <c r="D70" s="360" t="s">
        <v>2139</v>
      </c>
      <c r="E70" s="1041">
        <v>-1756.25</v>
      </c>
      <c r="F70" s="586" t="s">
        <v>8</v>
      </c>
      <c r="G70" s="591" t="s">
        <v>51</v>
      </c>
    </row>
    <row r="71" spans="1:7" s="587" customFormat="1" ht="13.8" hidden="1" x14ac:dyDescent="0.3">
      <c r="A71" s="1042">
        <v>45968</v>
      </c>
      <c r="B71" s="585" t="s">
        <v>212</v>
      </c>
      <c r="C71" s="1040" t="s">
        <v>13</v>
      </c>
      <c r="D71" s="360" t="s">
        <v>2139</v>
      </c>
      <c r="E71" s="1041">
        <v>-1951.41</v>
      </c>
      <c r="F71" s="586" t="s">
        <v>8</v>
      </c>
      <c r="G71" s="591" t="s">
        <v>51</v>
      </c>
    </row>
    <row r="72" spans="1:7" s="587" customFormat="1" ht="13.8" hidden="1" x14ac:dyDescent="0.3">
      <c r="A72" s="1042">
        <v>45968</v>
      </c>
      <c r="B72" s="585" t="s">
        <v>212</v>
      </c>
      <c r="C72" s="1040" t="s">
        <v>651</v>
      </c>
      <c r="D72" s="360" t="s">
        <v>2139</v>
      </c>
      <c r="E72" s="1041">
        <v>-897.62</v>
      </c>
      <c r="F72" s="586" t="s">
        <v>8</v>
      </c>
      <c r="G72" s="591" t="s">
        <v>51</v>
      </c>
    </row>
    <row r="73" spans="1:7" s="587" customFormat="1" ht="13.8" hidden="1" x14ac:dyDescent="0.3">
      <c r="A73" s="1042">
        <v>45968</v>
      </c>
      <c r="B73" s="585" t="s">
        <v>212</v>
      </c>
      <c r="C73" s="1040" t="s">
        <v>6</v>
      </c>
      <c r="D73" s="360" t="s">
        <v>2139</v>
      </c>
      <c r="E73" s="1041">
        <v>-897.62</v>
      </c>
      <c r="F73" s="586" t="s">
        <v>8</v>
      </c>
      <c r="G73" s="591" t="s">
        <v>51</v>
      </c>
    </row>
    <row r="74" spans="1:7" s="587" customFormat="1" ht="13.8" hidden="1" x14ac:dyDescent="0.3">
      <c r="A74" s="1042">
        <v>45968</v>
      </c>
      <c r="B74" s="585" t="s">
        <v>212</v>
      </c>
      <c r="C74" s="1040" t="s">
        <v>1595</v>
      </c>
      <c r="D74" s="360" t="s">
        <v>2139</v>
      </c>
      <c r="E74" s="1041">
        <v>-390.31</v>
      </c>
      <c r="F74" s="586" t="s">
        <v>8</v>
      </c>
      <c r="G74" s="591" t="s">
        <v>51</v>
      </c>
    </row>
    <row r="75" spans="1:7" s="587" customFormat="1" ht="13.8" hidden="1" x14ac:dyDescent="0.3">
      <c r="A75" s="1042">
        <v>45968</v>
      </c>
      <c r="B75" s="585" t="s">
        <v>212</v>
      </c>
      <c r="C75" s="1040" t="s">
        <v>71</v>
      </c>
      <c r="D75" s="360" t="s">
        <v>2139</v>
      </c>
      <c r="E75" s="1041">
        <v>-1014.77</v>
      </c>
      <c r="F75" s="586" t="s">
        <v>8</v>
      </c>
      <c r="G75" s="591" t="s">
        <v>51</v>
      </c>
    </row>
    <row r="76" spans="1:7" s="250" customFormat="1" ht="13.8" hidden="1" x14ac:dyDescent="0.3">
      <c r="A76" s="997">
        <v>45964</v>
      </c>
      <c r="B76" s="316" t="s">
        <v>212</v>
      </c>
      <c r="C76" s="299" t="s">
        <v>13</v>
      </c>
      <c r="D76" s="300" t="s">
        <v>1344</v>
      </c>
      <c r="E76" s="317">
        <v>-2719.09</v>
      </c>
      <c r="F76" s="249" t="s">
        <v>8</v>
      </c>
      <c r="G76" s="255" t="s">
        <v>55</v>
      </c>
    </row>
    <row r="77" spans="1:7" s="139" customFormat="1" ht="13.8" hidden="1" x14ac:dyDescent="0.3">
      <c r="A77" s="188">
        <v>45931</v>
      </c>
      <c r="B77" s="188" t="s">
        <v>211</v>
      </c>
      <c r="C77" s="192" t="s">
        <v>13</v>
      </c>
      <c r="D77" s="192" t="s">
        <v>1344</v>
      </c>
      <c r="E77" s="196">
        <v>-1146.27</v>
      </c>
      <c r="F77" s="80" t="s">
        <v>8</v>
      </c>
      <c r="G77" s="197" t="s">
        <v>55</v>
      </c>
    </row>
    <row r="78" spans="1:7" s="587" customFormat="1" ht="13.8" hidden="1" x14ac:dyDescent="0.3">
      <c r="A78" s="1042">
        <v>45968</v>
      </c>
      <c r="B78" s="585" t="s">
        <v>212</v>
      </c>
      <c r="C78" s="590" t="s">
        <v>44</v>
      </c>
      <c r="D78" s="360" t="s">
        <v>2142</v>
      </c>
      <c r="E78" s="361">
        <v>-4492.67</v>
      </c>
      <c r="F78" s="586" t="s">
        <v>8</v>
      </c>
      <c r="G78" s="791" t="s">
        <v>124</v>
      </c>
    </row>
    <row r="79" spans="1:7" s="587" customFormat="1" ht="13.8" hidden="1" x14ac:dyDescent="0.3">
      <c r="A79" s="1042">
        <v>45968</v>
      </c>
      <c r="B79" s="585" t="s">
        <v>212</v>
      </c>
      <c r="C79" s="590" t="s">
        <v>25</v>
      </c>
      <c r="D79" s="360" t="s">
        <v>2143</v>
      </c>
      <c r="E79" s="361">
        <v>-1105.31</v>
      </c>
      <c r="F79" s="586" t="s">
        <v>8</v>
      </c>
      <c r="G79" s="791" t="s">
        <v>124</v>
      </c>
    </row>
    <row r="80" spans="1:7" s="587" customFormat="1" ht="13.8" hidden="1" x14ac:dyDescent="0.3">
      <c r="A80" s="1042">
        <v>45968</v>
      </c>
      <c r="B80" s="585" t="s">
        <v>212</v>
      </c>
      <c r="C80" s="590" t="s">
        <v>31</v>
      </c>
      <c r="D80" s="360" t="s">
        <v>2144</v>
      </c>
      <c r="E80" s="361">
        <v>-1375.8</v>
      </c>
      <c r="F80" s="586" t="s">
        <v>8</v>
      </c>
      <c r="G80" s="791" t="s">
        <v>124</v>
      </c>
    </row>
    <row r="81" spans="1:7" s="587" customFormat="1" ht="13.8" hidden="1" x14ac:dyDescent="0.3">
      <c r="A81" s="1042">
        <v>45968</v>
      </c>
      <c r="B81" s="585" t="s">
        <v>212</v>
      </c>
      <c r="C81" s="590" t="s">
        <v>32</v>
      </c>
      <c r="D81" s="360" t="s">
        <v>2145</v>
      </c>
      <c r="E81" s="361">
        <v>-1418.32</v>
      </c>
      <c r="F81" s="586" t="s">
        <v>8</v>
      </c>
      <c r="G81" s="791" t="s">
        <v>124</v>
      </c>
    </row>
    <row r="82" spans="1:7" s="587" customFormat="1" ht="13.8" hidden="1" x14ac:dyDescent="0.3">
      <c r="A82" s="1042">
        <v>45968</v>
      </c>
      <c r="B82" s="585" t="s">
        <v>212</v>
      </c>
      <c r="C82" s="590" t="s">
        <v>33</v>
      </c>
      <c r="D82" s="360" t="s">
        <v>2146</v>
      </c>
      <c r="E82" s="361">
        <v>-5040.0600000000004</v>
      </c>
      <c r="F82" s="586" t="s">
        <v>8</v>
      </c>
      <c r="G82" s="791" t="s">
        <v>124</v>
      </c>
    </row>
    <row r="83" spans="1:7" s="587" customFormat="1" ht="13.8" hidden="1" x14ac:dyDescent="0.3">
      <c r="A83" s="1042">
        <v>45968</v>
      </c>
      <c r="B83" s="585" t="s">
        <v>212</v>
      </c>
      <c r="C83" s="590" t="s">
        <v>34</v>
      </c>
      <c r="D83" s="360" t="s">
        <v>2147</v>
      </c>
      <c r="E83" s="361">
        <v>-5232.74</v>
      </c>
      <c r="F83" s="586" t="s">
        <v>8</v>
      </c>
      <c r="G83" s="791" t="s">
        <v>124</v>
      </c>
    </row>
    <row r="84" spans="1:7" s="587" customFormat="1" ht="13.8" hidden="1" x14ac:dyDescent="0.3">
      <c r="A84" s="1042">
        <v>45968</v>
      </c>
      <c r="B84" s="585" t="s">
        <v>212</v>
      </c>
      <c r="C84" s="590" t="s">
        <v>30</v>
      </c>
      <c r="D84" s="360" t="s">
        <v>2148</v>
      </c>
      <c r="E84" s="361">
        <v>-884.67</v>
      </c>
      <c r="F84" s="586" t="s">
        <v>8</v>
      </c>
      <c r="G84" s="791" t="s">
        <v>124</v>
      </c>
    </row>
    <row r="85" spans="1:7" s="587" customFormat="1" ht="13.8" hidden="1" x14ac:dyDescent="0.3">
      <c r="A85" s="1042">
        <v>45968</v>
      </c>
      <c r="B85" s="585" t="s">
        <v>212</v>
      </c>
      <c r="C85" s="1045" t="s">
        <v>17</v>
      </c>
      <c r="D85" s="1043" t="s">
        <v>2245</v>
      </c>
      <c r="E85" s="361">
        <v>-13668.57</v>
      </c>
      <c r="F85" s="586" t="s">
        <v>8</v>
      </c>
      <c r="G85" s="791" t="s">
        <v>124</v>
      </c>
    </row>
    <row r="86" spans="1:7" s="250" customFormat="1" ht="13.8" hidden="1" x14ac:dyDescent="0.3">
      <c r="A86" s="384">
        <v>45938</v>
      </c>
      <c r="B86" s="384" t="s">
        <v>211</v>
      </c>
      <c r="C86" s="666" t="s">
        <v>33</v>
      </c>
      <c r="D86" s="405" t="s">
        <v>1718</v>
      </c>
      <c r="E86" s="406">
        <v>-2272.84</v>
      </c>
      <c r="F86" s="402" t="s">
        <v>8</v>
      </c>
      <c r="G86" s="1024" t="s">
        <v>124</v>
      </c>
    </row>
    <row r="87" spans="1:7" s="164" customFormat="1" ht="13.8" hidden="1" x14ac:dyDescent="0.3">
      <c r="A87" s="368">
        <v>45940</v>
      </c>
      <c r="B87" s="368" t="s">
        <v>211</v>
      </c>
      <c r="C87" s="974" t="s">
        <v>44</v>
      </c>
      <c r="D87" s="63" t="s">
        <v>1797</v>
      </c>
      <c r="E87" s="64">
        <v>19000</v>
      </c>
      <c r="F87" s="55" t="s">
        <v>161</v>
      </c>
      <c r="G87" s="649" t="s">
        <v>46</v>
      </c>
    </row>
    <row r="88" spans="1:7" s="250" customFormat="1" ht="13.8" hidden="1" x14ac:dyDescent="0.3">
      <c r="A88" s="316">
        <v>45954</v>
      </c>
      <c r="B88" s="316" t="s">
        <v>211</v>
      </c>
      <c r="C88" s="293" t="s">
        <v>71</v>
      </c>
      <c r="D88" s="293" t="s">
        <v>2181</v>
      </c>
      <c r="E88" s="248">
        <v>-3190.4</v>
      </c>
      <c r="F88" s="249" t="s">
        <v>8</v>
      </c>
      <c r="G88" s="374" t="s">
        <v>124</v>
      </c>
    </row>
    <row r="89" spans="1:7" s="250" customFormat="1" ht="13.8" hidden="1" x14ac:dyDescent="0.3">
      <c r="A89" s="384">
        <v>45938</v>
      </c>
      <c r="B89" s="384" t="s">
        <v>211</v>
      </c>
      <c r="C89" s="411" t="s">
        <v>71</v>
      </c>
      <c r="D89" s="405" t="s">
        <v>1717</v>
      </c>
      <c r="E89" s="406">
        <v>-33</v>
      </c>
      <c r="F89" s="249" t="s">
        <v>8</v>
      </c>
      <c r="G89" s="254" t="s">
        <v>348</v>
      </c>
    </row>
    <row r="90" spans="1:7" s="250" customFormat="1" ht="13.8" hidden="1" x14ac:dyDescent="0.3">
      <c r="A90" s="251">
        <v>45938</v>
      </c>
      <c r="B90" s="316" t="s">
        <v>211</v>
      </c>
      <c r="C90" s="371" t="s">
        <v>6</v>
      </c>
      <c r="D90" s="299" t="s">
        <v>1750</v>
      </c>
      <c r="E90" s="317">
        <v>-154.9</v>
      </c>
      <c r="F90" s="249" t="s">
        <v>8</v>
      </c>
      <c r="G90" s="255" t="s">
        <v>136</v>
      </c>
    </row>
    <row r="91" spans="1:7" s="250" customFormat="1" ht="13.8" hidden="1" x14ac:dyDescent="0.3">
      <c r="A91" s="251">
        <v>45938</v>
      </c>
      <c r="B91" s="316" t="s">
        <v>211</v>
      </c>
      <c r="C91" s="371" t="s">
        <v>6</v>
      </c>
      <c r="D91" s="299" t="s">
        <v>1345</v>
      </c>
      <c r="E91" s="317">
        <v>-139.9</v>
      </c>
      <c r="F91" s="249" t="s">
        <v>8</v>
      </c>
      <c r="G91" s="255" t="s">
        <v>136</v>
      </c>
    </row>
    <row r="92" spans="1:7" s="139" customFormat="1" ht="13.8" hidden="1" x14ac:dyDescent="0.3">
      <c r="A92" s="78">
        <v>45931</v>
      </c>
      <c r="B92" s="100" t="s">
        <v>211</v>
      </c>
      <c r="C92" s="15" t="s">
        <v>1105</v>
      </c>
      <c r="D92" s="4" t="s">
        <v>1606</v>
      </c>
      <c r="E92" s="16">
        <v>-229.03</v>
      </c>
      <c r="F92" s="5" t="s">
        <v>8</v>
      </c>
      <c r="G92" s="5" t="s">
        <v>124</v>
      </c>
    </row>
    <row r="93" spans="1:7" s="139" customFormat="1" ht="14.4" hidden="1" customHeight="1" x14ac:dyDescent="0.3">
      <c r="A93" s="78">
        <v>45931</v>
      </c>
      <c r="B93" s="100" t="s">
        <v>211</v>
      </c>
      <c r="C93" s="15" t="s">
        <v>1583</v>
      </c>
      <c r="D93" s="4" t="s">
        <v>1607</v>
      </c>
      <c r="E93" s="16">
        <v>-229.03</v>
      </c>
      <c r="F93" s="5" t="s">
        <v>8</v>
      </c>
      <c r="G93" s="5" t="s">
        <v>124</v>
      </c>
    </row>
    <row r="94" spans="1:7" s="139" customFormat="1" ht="13.8" hidden="1" x14ac:dyDescent="0.3">
      <c r="A94" s="78">
        <v>45931</v>
      </c>
      <c r="B94" s="100" t="s">
        <v>211</v>
      </c>
      <c r="C94" s="15" t="s">
        <v>661</v>
      </c>
      <c r="D94" s="4" t="s">
        <v>1605</v>
      </c>
      <c r="E94" s="16">
        <v>-229.03</v>
      </c>
      <c r="F94" s="5" t="s">
        <v>8</v>
      </c>
      <c r="G94" s="5" t="s">
        <v>124</v>
      </c>
    </row>
    <row r="95" spans="1:7" s="139" customFormat="1" ht="13.8" hidden="1" x14ac:dyDescent="0.3">
      <c r="A95" s="78">
        <v>45931</v>
      </c>
      <c r="B95" s="100" t="s">
        <v>211</v>
      </c>
      <c r="C95" s="15" t="s">
        <v>44</v>
      </c>
      <c r="D95" s="4" t="s">
        <v>1608</v>
      </c>
      <c r="E95" s="16">
        <v>-240.44</v>
      </c>
      <c r="F95" s="5" t="s">
        <v>8</v>
      </c>
      <c r="G95" s="5" t="s">
        <v>124</v>
      </c>
    </row>
    <row r="96" spans="1:7" s="139" customFormat="1" ht="13.8" hidden="1" x14ac:dyDescent="0.3">
      <c r="A96" s="78">
        <v>45931</v>
      </c>
      <c r="B96" s="100" t="s">
        <v>211</v>
      </c>
      <c r="C96" s="15" t="s">
        <v>6</v>
      </c>
      <c r="D96" s="4" t="s">
        <v>1608</v>
      </c>
      <c r="E96" s="16">
        <v>-229.1</v>
      </c>
      <c r="F96" s="5" t="s">
        <v>8</v>
      </c>
      <c r="G96" s="5" t="s">
        <v>124</v>
      </c>
    </row>
    <row r="97" spans="1:7" s="139" customFormat="1" ht="13.8" hidden="1" x14ac:dyDescent="0.3">
      <c r="A97" s="74">
        <v>45931</v>
      </c>
      <c r="B97" s="113" t="s">
        <v>211</v>
      </c>
      <c r="C97" s="106" t="s">
        <v>647</v>
      </c>
      <c r="D97" s="107" t="s">
        <v>140</v>
      </c>
      <c r="E97" s="145">
        <v>-13251.8</v>
      </c>
      <c r="F97" s="27" t="s">
        <v>8</v>
      </c>
      <c r="G97" s="41" t="s">
        <v>58</v>
      </c>
    </row>
    <row r="98" spans="1:7" s="587" customFormat="1" ht="13.8" hidden="1" x14ac:dyDescent="0.3">
      <c r="A98" s="1042">
        <v>45968</v>
      </c>
      <c r="B98" s="585" t="s">
        <v>212</v>
      </c>
      <c r="C98" s="590" t="s">
        <v>6</v>
      </c>
      <c r="D98" s="360" t="s">
        <v>2150</v>
      </c>
      <c r="E98" s="361">
        <v>-35000</v>
      </c>
      <c r="F98" s="586" t="s">
        <v>8</v>
      </c>
      <c r="G98" s="791" t="s">
        <v>124</v>
      </c>
    </row>
    <row r="99" spans="1:7" s="139" customFormat="1" ht="13.8" hidden="1" x14ac:dyDescent="0.3">
      <c r="A99" s="87">
        <v>45932</v>
      </c>
      <c r="B99" s="146" t="s">
        <v>211</v>
      </c>
      <c r="C99" s="96" t="s">
        <v>44</v>
      </c>
      <c r="D99" s="610" t="s">
        <v>226</v>
      </c>
      <c r="E99" s="89">
        <v>-390</v>
      </c>
      <c r="F99" s="110" t="s">
        <v>8</v>
      </c>
      <c r="G99" s="70" t="s">
        <v>227</v>
      </c>
    </row>
    <row r="100" spans="1:7" s="139" customFormat="1" ht="13.8" hidden="1" x14ac:dyDescent="0.3">
      <c r="A100" s="78">
        <v>45932</v>
      </c>
      <c r="B100" s="100" t="s">
        <v>211</v>
      </c>
      <c r="C100" s="98" t="s">
        <v>44</v>
      </c>
      <c r="D100" s="14" t="s">
        <v>204</v>
      </c>
      <c r="E100" s="8">
        <v>-4484.68</v>
      </c>
      <c r="F100" s="13" t="s">
        <v>8</v>
      </c>
      <c r="G100" s="9" t="s">
        <v>227</v>
      </c>
    </row>
    <row r="101" spans="1:7" s="139" customFormat="1" ht="13.8" hidden="1" x14ac:dyDescent="0.3">
      <c r="A101" s="78">
        <v>45932</v>
      </c>
      <c r="B101" s="100" t="s">
        <v>211</v>
      </c>
      <c r="C101" s="98" t="s">
        <v>44</v>
      </c>
      <c r="D101" s="14" t="s">
        <v>1611</v>
      </c>
      <c r="E101" s="8">
        <v>-3198.35</v>
      </c>
      <c r="F101" s="13" t="s">
        <v>8</v>
      </c>
      <c r="G101" s="9" t="s">
        <v>124</v>
      </c>
    </row>
    <row r="102" spans="1:7" s="139" customFormat="1" ht="13.8" hidden="1" x14ac:dyDescent="0.3">
      <c r="A102" s="78">
        <v>45932</v>
      </c>
      <c r="B102" s="100" t="s">
        <v>211</v>
      </c>
      <c r="C102" s="98" t="s">
        <v>44</v>
      </c>
      <c r="D102" s="14" t="s">
        <v>1610</v>
      </c>
      <c r="E102" s="8">
        <v>-687.81</v>
      </c>
      <c r="F102" s="13" t="s">
        <v>8</v>
      </c>
      <c r="G102" s="9" t="s">
        <v>124</v>
      </c>
    </row>
    <row r="103" spans="1:7" s="139" customFormat="1" ht="13.8" hidden="1" x14ac:dyDescent="0.3">
      <c r="A103" s="78">
        <v>45932</v>
      </c>
      <c r="B103" s="100" t="s">
        <v>211</v>
      </c>
      <c r="C103" s="98" t="s">
        <v>44</v>
      </c>
      <c r="D103" s="14" t="s">
        <v>226</v>
      </c>
      <c r="E103" s="8">
        <v>-1456</v>
      </c>
      <c r="F103" s="13" t="s">
        <v>8</v>
      </c>
      <c r="G103" s="9" t="s">
        <v>227</v>
      </c>
    </row>
    <row r="104" spans="1:7" s="139" customFormat="1" ht="13.8" hidden="1" x14ac:dyDescent="0.3">
      <c r="A104" s="78">
        <v>45932</v>
      </c>
      <c r="B104" s="100" t="s">
        <v>211</v>
      </c>
      <c r="C104" s="14" t="s">
        <v>31</v>
      </c>
      <c r="D104" s="14" t="s">
        <v>1462</v>
      </c>
      <c r="E104" s="8">
        <v>-2152.61</v>
      </c>
      <c r="F104" s="13" t="s">
        <v>8</v>
      </c>
      <c r="G104" s="13" t="s">
        <v>152</v>
      </c>
    </row>
    <row r="105" spans="1:7" s="139" customFormat="1" ht="13.8" hidden="1" x14ac:dyDescent="0.3">
      <c r="A105" s="78">
        <v>45932</v>
      </c>
      <c r="B105" s="100" t="s">
        <v>211</v>
      </c>
      <c r="C105" s="14" t="s">
        <v>6</v>
      </c>
      <c r="D105" s="14" t="s">
        <v>1365</v>
      </c>
      <c r="E105" s="8">
        <v>-2666.08</v>
      </c>
      <c r="F105" s="13" t="s">
        <v>8</v>
      </c>
      <c r="G105" s="13" t="s">
        <v>152</v>
      </c>
    </row>
    <row r="106" spans="1:7" s="139" customFormat="1" ht="13.8" hidden="1" x14ac:dyDescent="0.3">
      <c r="A106" s="78">
        <v>45932</v>
      </c>
      <c r="B106" s="100" t="s">
        <v>211</v>
      </c>
      <c r="C106" s="14" t="s">
        <v>6</v>
      </c>
      <c r="D106" s="14" t="s">
        <v>1297</v>
      </c>
      <c r="E106" s="8">
        <v>-2675.88</v>
      </c>
      <c r="F106" s="13" t="s">
        <v>8</v>
      </c>
      <c r="G106" s="13" t="s">
        <v>152</v>
      </c>
    </row>
    <row r="107" spans="1:7" s="139" customFormat="1" ht="13.8" hidden="1" x14ac:dyDescent="0.3">
      <c r="A107" s="78">
        <v>45932</v>
      </c>
      <c r="B107" s="100" t="s">
        <v>211</v>
      </c>
      <c r="C107" s="14" t="s">
        <v>6</v>
      </c>
      <c r="D107" s="14" t="s">
        <v>1265</v>
      </c>
      <c r="E107" s="276">
        <v>-1885.2</v>
      </c>
      <c r="F107" s="13" t="s">
        <v>8</v>
      </c>
      <c r="G107" s="13" t="s">
        <v>152</v>
      </c>
    </row>
    <row r="108" spans="1:7" s="139" customFormat="1" ht="13.8" hidden="1" x14ac:dyDescent="0.3">
      <c r="A108" s="78">
        <v>45932</v>
      </c>
      <c r="B108" s="100" t="s">
        <v>211</v>
      </c>
      <c r="C108" s="14" t="s">
        <v>6</v>
      </c>
      <c r="D108" s="14" t="s">
        <v>497</v>
      </c>
      <c r="E108" s="276">
        <v>-2173.63</v>
      </c>
      <c r="F108" s="13" t="s">
        <v>8</v>
      </c>
      <c r="G108" s="13" t="s">
        <v>152</v>
      </c>
    </row>
    <row r="109" spans="1:7" s="139" customFormat="1" ht="13.8" hidden="1" x14ac:dyDescent="0.3">
      <c r="A109" s="78">
        <v>45932</v>
      </c>
      <c r="B109" s="100" t="s">
        <v>211</v>
      </c>
      <c r="C109" s="14" t="s">
        <v>25</v>
      </c>
      <c r="D109" s="14" t="s">
        <v>1394</v>
      </c>
      <c r="E109" s="8">
        <v>-2187.38</v>
      </c>
      <c r="F109" s="13" t="s">
        <v>8</v>
      </c>
      <c r="G109" s="13" t="s">
        <v>152</v>
      </c>
    </row>
    <row r="110" spans="1:7" s="139" customFormat="1" ht="13.8" hidden="1" x14ac:dyDescent="0.3">
      <c r="A110" s="78">
        <v>45932</v>
      </c>
      <c r="B110" s="100" t="s">
        <v>211</v>
      </c>
      <c r="C110" s="14" t="s">
        <v>25</v>
      </c>
      <c r="D110" s="14" t="s">
        <v>1463</v>
      </c>
      <c r="E110" s="8">
        <v>-2643.56</v>
      </c>
      <c r="F110" s="13" t="s">
        <v>8</v>
      </c>
      <c r="G110" s="13" t="s">
        <v>152</v>
      </c>
    </row>
    <row r="111" spans="1:7" s="139" customFormat="1" ht="13.8" hidden="1" x14ac:dyDescent="0.3">
      <c r="A111" s="78">
        <v>45932</v>
      </c>
      <c r="B111" s="100" t="s">
        <v>211</v>
      </c>
      <c r="C111" s="14" t="s">
        <v>33</v>
      </c>
      <c r="D111" s="14" t="s">
        <v>1464</v>
      </c>
      <c r="E111" s="8">
        <v>-2754.27</v>
      </c>
      <c r="F111" s="13" t="s">
        <v>8</v>
      </c>
      <c r="G111" s="13" t="s">
        <v>152</v>
      </c>
    </row>
    <row r="112" spans="1:7" s="139" customFormat="1" ht="13.8" hidden="1" x14ac:dyDescent="0.3">
      <c r="A112" s="78">
        <v>45932</v>
      </c>
      <c r="B112" s="100" t="s">
        <v>211</v>
      </c>
      <c r="C112" s="14" t="s">
        <v>33</v>
      </c>
      <c r="D112" s="14" t="s">
        <v>1465</v>
      </c>
      <c r="E112" s="8">
        <v>-2684.2</v>
      </c>
      <c r="F112" s="13" t="s">
        <v>8</v>
      </c>
      <c r="G112" s="13" t="s">
        <v>152</v>
      </c>
    </row>
    <row r="113" spans="1:7" s="139" customFormat="1" ht="13.8" hidden="1" x14ac:dyDescent="0.3">
      <c r="A113" s="78">
        <v>45932</v>
      </c>
      <c r="B113" s="100" t="s">
        <v>211</v>
      </c>
      <c r="C113" s="14" t="s">
        <v>104</v>
      </c>
      <c r="D113" s="14" t="s">
        <v>1466</v>
      </c>
      <c r="E113" s="8">
        <v>-2117.89</v>
      </c>
      <c r="F113" s="13" t="s">
        <v>8</v>
      </c>
      <c r="G113" s="13" t="s">
        <v>152</v>
      </c>
    </row>
    <row r="114" spans="1:7" s="139" customFormat="1" ht="13.8" hidden="1" x14ac:dyDescent="0.3">
      <c r="A114" s="78">
        <v>45932</v>
      </c>
      <c r="B114" s="100" t="s">
        <v>211</v>
      </c>
      <c r="C114" s="14" t="s">
        <v>104</v>
      </c>
      <c r="D114" s="98" t="s">
        <v>1467</v>
      </c>
      <c r="E114" s="8">
        <v>-2720.59</v>
      </c>
      <c r="F114" s="13" t="s">
        <v>8</v>
      </c>
      <c r="G114" s="13" t="s">
        <v>152</v>
      </c>
    </row>
    <row r="115" spans="1:7" s="139" customFormat="1" ht="13.8" hidden="1" x14ac:dyDescent="0.3">
      <c r="A115" s="78">
        <v>45932</v>
      </c>
      <c r="B115" s="100" t="s">
        <v>211</v>
      </c>
      <c r="C115" s="14" t="s">
        <v>32</v>
      </c>
      <c r="D115" s="98" t="s">
        <v>1468</v>
      </c>
      <c r="E115" s="8">
        <v>-2221.88</v>
      </c>
      <c r="F115" s="13" t="s">
        <v>8</v>
      </c>
      <c r="G115" s="13" t="s">
        <v>152</v>
      </c>
    </row>
    <row r="116" spans="1:7" s="139" customFormat="1" ht="13.8" hidden="1" x14ac:dyDescent="0.3">
      <c r="A116" s="78">
        <v>45932</v>
      </c>
      <c r="B116" s="100" t="s">
        <v>211</v>
      </c>
      <c r="C116" s="14" t="s">
        <v>71</v>
      </c>
      <c r="D116" s="98" t="s">
        <v>1469</v>
      </c>
      <c r="E116" s="8">
        <v>-2969.85</v>
      </c>
      <c r="F116" s="13" t="s">
        <v>8</v>
      </c>
      <c r="G116" s="13" t="s">
        <v>152</v>
      </c>
    </row>
    <row r="117" spans="1:7" s="139" customFormat="1" ht="13.8" hidden="1" x14ac:dyDescent="0.3">
      <c r="A117" s="78">
        <v>45932</v>
      </c>
      <c r="B117" s="100" t="s">
        <v>211</v>
      </c>
      <c r="C117" s="14" t="s">
        <v>71</v>
      </c>
      <c r="D117" s="98" t="s">
        <v>418</v>
      </c>
      <c r="E117" s="8">
        <v>-2570.3200000000002</v>
      </c>
      <c r="F117" s="13" t="s">
        <v>8</v>
      </c>
      <c r="G117" s="13" t="s">
        <v>152</v>
      </c>
    </row>
    <row r="118" spans="1:7" s="139" customFormat="1" ht="13.8" hidden="1" x14ac:dyDescent="0.3">
      <c r="A118" s="74">
        <v>45932</v>
      </c>
      <c r="B118" s="113" t="s">
        <v>211</v>
      </c>
      <c r="C118" s="97" t="s">
        <v>31</v>
      </c>
      <c r="D118" s="323" t="s">
        <v>1470</v>
      </c>
      <c r="E118" s="77">
        <v>-1927.82</v>
      </c>
      <c r="F118" s="27" t="s">
        <v>8</v>
      </c>
      <c r="G118" s="27" t="s">
        <v>152</v>
      </c>
    </row>
    <row r="119" spans="1:7" s="587" customFormat="1" ht="13.8" hidden="1" x14ac:dyDescent="0.3">
      <c r="A119" s="1042">
        <v>45968</v>
      </c>
      <c r="B119" s="585" t="s">
        <v>212</v>
      </c>
      <c r="C119" s="590" t="s">
        <v>17</v>
      </c>
      <c r="D119" s="1043" t="s">
        <v>2151</v>
      </c>
      <c r="E119" s="361">
        <v>-5988.61</v>
      </c>
      <c r="F119" s="586" t="s">
        <v>8</v>
      </c>
      <c r="G119" s="791" t="s">
        <v>124</v>
      </c>
    </row>
    <row r="120" spans="1:7" s="587" customFormat="1" ht="13.8" hidden="1" x14ac:dyDescent="0.3">
      <c r="A120" s="1042">
        <v>45968</v>
      </c>
      <c r="B120" s="585" t="s">
        <v>212</v>
      </c>
      <c r="C120" s="590" t="s">
        <v>17</v>
      </c>
      <c r="D120" s="1043" t="s">
        <v>2152</v>
      </c>
      <c r="E120" s="361">
        <v>-4434.6099999999997</v>
      </c>
      <c r="F120" s="586" t="s">
        <v>8</v>
      </c>
      <c r="G120" s="791" t="s">
        <v>124</v>
      </c>
    </row>
    <row r="121" spans="1:7" s="143" customFormat="1" ht="13.8" hidden="1" x14ac:dyDescent="0.3">
      <c r="A121" s="975">
        <v>45936</v>
      </c>
      <c r="B121" s="754" t="s">
        <v>211</v>
      </c>
      <c r="C121" s="976" t="s">
        <v>181</v>
      </c>
      <c r="D121" s="977" t="s">
        <v>1740</v>
      </c>
      <c r="E121" s="978">
        <v>40000</v>
      </c>
      <c r="F121" s="1025" t="s">
        <v>161</v>
      </c>
      <c r="G121" s="1026" t="s">
        <v>46</v>
      </c>
    </row>
    <row r="122" spans="1:7" s="143" customFormat="1" ht="13.8" hidden="1" x14ac:dyDescent="0.3">
      <c r="A122" s="51">
        <v>45936</v>
      </c>
      <c r="B122" s="123" t="s">
        <v>211</v>
      </c>
      <c r="C122" s="120" t="s">
        <v>170</v>
      </c>
      <c r="D122" s="29" t="s">
        <v>1715</v>
      </c>
      <c r="E122" s="128">
        <v>24278.21</v>
      </c>
      <c r="F122" s="55" t="s">
        <v>161</v>
      </c>
      <c r="G122" s="61" t="s">
        <v>162</v>
      </c>
    </row>
    <row r="123" spans="1:7" s="250" customFormat="1" ht="13.8" hidden="1" x14ac:dyDescent="0.3">
      <c r="A123" s="251">
        <v>45933</v>
      </c>
      <c r="B123" s="316" t="s">
        <v>211</v>
      </c>
      <c r="C123" s="293" t="s">
        <v>6</v>
      </c>
      <c r="D123" s="293" t="s">
        <v>1547</v>
      </c>
      <c r="E123" s="294">
        <v>-764.82</v>
      </c>
      <c r="F123" s="254" t="s">
        <v>8</v>
      </c>
      <c r="G123" s="254" t="s">
        <v>186</v>
      </c>
    </row>
    <row r="124" spans="1:7" s="139" customFormat="1" ht="13.8" hidden="1" x14ac:dyDescent="0.3">
      <c r="A124" s="146">
        <v>45992</v>
      </c>
      <c r="B124" s="146" t="s">
        <v>216</v>
      </c>
      <c r="C124" s="96" t="s">
        <v>44</v>
      </c>
      <c r="D124" s="96" t="s">
        <v>617</v>
      </c>
      <c r="E124" s="89">
        <v>-3968.99</v>
      </c>
      <c r="F124" s="110" t="s">
        <v>8</v>
      </c>
      <c r="G124" s="70" t="s">
        <v>186</v>
      </c>
    </row>
    <row r="125" spans="1:7" s="139" customFormat="1" ht="13.8" hidden="1" x14ac:dyDescent="0.3">
      <c r="A125" s="100">
        <v>45931</v>
      </c>
      <c r="B125" s="100" t="s">
        <v>211</v>
      </c>
      <c r="C125" s="14" t="s">
        <v>44</v>
      </c>
      <c r="D125" s="14" t="s">
        <v>616</v>
      </c>
      <c r="E125" s="77">
        <v>-3968.99</v>
      </c>
      <c r="F125" s="27" t="s">
        <v>8</v>
      </c>
      <c r="G125" s="91" t="s">
        <v>186</v>
      </c>
    </row>
    <row r="126" spans="1:7" s="250" customFormat="1" ht="13.8" hidden="1" x14ac:dyDescent="0.3">
      <c r="A126" s="384">
        <v>45945</v>
      </c>
      <c r="B126" s="384" t="s">
        <v>211</v>
      </c>
      <c r="C126" s="385" t="s">
        <v>6</v>
      </c>
      <c r="D126" s="386" t="s">
        <v>77</v>
      </c>
      <c r="E126" s="438">
        <v>-54024.37</v>
      </c>
      <c r="F126" s="408" t="s">
        <v>8</v>
      </c>
      <c r="G126" s="408" t="s">
        <v>41</v>
      </c>
    </row>
    <row r="127" spans="1:7" s="250" customFormat="1" ht="13.8" hidden="1" x14ac:dyDescent="0.3">
      <c r="A127" s="316">
        <v>45936</v>
      </c>
      <c r="B127" s="316" t="s">
        <v>211</v>
      </c>
      <c r="C127" s="299" t="s">
        <v>6</v>
      </c>
      <c r="D127" s="300" t="s">
        <v>43</v>
      </c>
      <c r="E127" s="317">
        <v>-17753.55</v>
      </c>
      <c r="F127" s="249" t="s">
        <v>8</v>
      </c>
      <c r="G127" s="255" t="s">
        <v>41</v>
      </c>
    </row>
    <row r="128" spans="1:7" s="139" customFormat="1" ht="13.8" hidden="1" x14ac:dyDescent="0.3">
      <c r="A128" s="78">
        <v>45932</v>
      </c>
      <c r="B128" s="100" t="s">
        <v>211</v>
      </c>
      <c r="C128" s="286" t="s">
        <v>44</v>
      </c>
      <c r="D128" s="357" t="s">
        <v>1552</v>
      </c>
      <c r="E128" s="8">
        <v>-1383.98</v>
      </c>
      <c r="F128" s="13" t="s">
        <v>8</v>
      </c>
      <c r="G128" s="5" t="s">
        <v>75</v>
      </c>
    </row>
    <row r="129" spans="1:7" s="139" customFormat="1" ht="13.8" hidden="1" x14ac:dyDescent="0.3">
      <c r="A129" s="78">
        <v>45932</v>
      </c>
      <c r="B129" s="100" t="s">
        <v>211</v>
      </c>
      <c r="C129" s="14" t="s">
        <v>17</v>
      </c>
      <c r="D129" s="98" t="s">
        <v>389</v>
      </c>
      <c r="E129" s="8">
        <v>-107.14</v>
      </c>
      <c r="F129" s="13" t="s">
        <v>8</v>
      </c>
      <c r="G129" s="9" t="s">
        <v>227</v>
      </c>
    </row>
    <row r="130" spans="1:7" s="139" customFormat="1" ht="13.8" hidden="1" x14ac:dyDescent="0.3">
      <c r="A130" s="78">
        <v>45932</v>
      </c>
      <c r="B130" s="100" t="s">
        <v>211</v>
      </c>
      <c r="C130" s="14" t="s">
        <v>71</v>
      </c>
      <c r="D130" s="98" t="s">
        <v>205</v>
      </c>
      <c r="E130" s="8">
        <v>-827.13995</v>
      </c>
      <c r="F130" s="13" t="s">
        <v>8</v>
      </c>
      <c r="G130" s="9" t="s">
        <v>227</v>
      </c>
    </row>
    <row r="131" spans="1:7" s="250" customFormat="1" ht="13.8" hidden="1" x14ac:dyDescent="0.3">
      <c r="A131" s="251">
        <v>45936</v>
      </c>
      <c r="B131" s="316" t="s">
        <v>211</v>
      </c>
      <c r="C131" s="293" t="s">
        <v>6</v>
      </c>
      <c r="D131" s="296" t="s">
        <v>1553</v>
      </c>
      <c r="E131" s="248">
        <v>-5048.21</v>
      </c>
      <c r="F131" s="249" t="s">
        <v>8</v>
      </c>
      <c r="G131" s="254" t="s">
        <v>186</v>
      </c>
    </row>
    <row r="132" spans="1:7" s="139" customFormat="1" ht="13.8" hidden="1" x14ac:dyDescent="0.3">
      <c r="A132" s="78">
        <v>45932</v>
      </c>
      <c r="B132" s="100" t="s">
        <v>211</v>
      </c>
      <c r="C132" s="14" t="s">
        <v>44</v>
      </c>
      <c r="D132" s="98" t="s">
        <v>417</v>
      </c>
      <c r="E132" s="8">
        <v>-279</v>
      </c>
      <c r="F132" s="13" t="s">
        <v>8</v>
      </c>
      <c r="G132" s="9" t="s">
        <v>1169</v>
      </c>
    </row>
    <row r="133" spans="1:7" s="139" customFormat="1" ht="13.8" hidden="1" x14ac:dyDescent="0.3">
      <c r="A133" s="78">
        <v>45932</v>
      </c>
      <c r="B133" s="100" t="s">
        <v>211</v>
      </c>
      <c r="C133" s="14" t="s">
        <v>25</v>
      </c>
      <c r="D133" s="14" t="s">
        <v>749</v>
      </c>
      <c r="E133" s="8">
        <v>-349.5</v>
      </c>
      <c r="F133" s="13" t="s">
        <v>8</v>
      </c>
      <c r="G133" s="9" t="s">
        <v>82</v>
      </c>
    </row>
    <row r="134" spans="1:7" s="139" customFormat="1" ht="13.8" hidden="1" x14ac:dyDescent="0.3">
      <c r="A134" s="78">
        <v>45932</v>
      </c>
      <c r="B134" s="100" t="s">
        <v>211</v>
      </c>
      <c r="C134" s="14" t="s">
        <v>25</v>
      </c>
      <c r="D134" s="14" t="s">
        <v>1588</v>
      </c>
      <c r="E134" s="8">
        <v>-86.1</v>
      </c>
      <c r="F134" s="13" t="s">
        <v>8</v>
      </c>
      <c r="G134" s="9" t="s">
        <v>82</v>
      </c>
    </row>
    <row r="135" spans="1:7" s="139" customFormat="1" ht="13.8" hidden="1" x14ac:dyDescent="0.3">
      <c r="A135" s="78">
        <v>45932</v>
      </c>
      <c r="B135" s="100" t="s">
        <v>211</v>
      </c>
      <c r="C135" s="14" t="s">
        <v>25</v>
      </c>
      <c r="D135" s="14" t="s">
        <v>1142</v>
      </c>
      <c r="E135" s="8">
        <v>-184.5</v>
      </c>
      <c r="F135" s="13" t="s">
        <v>8</v>
      </c>
      <c r="G135" s="9" t="s">
        <v>82</v>
      </c>
    </row>
    <row r="136" spans="1:7" s="139" customFormat="1" ht="13.8" hidden="1" x14ac:dyDescent="0.3">
      <c r="A136" s="78">
        <v>45932</v>
      </c>
      <c r="B136" s="100" t="s">
        <v>211</v>
      </c>
      <c r="C136" s="14" t="s">
        <v>25</v>
      </c>
      <c r="D136" s="14" t="s">
        <v>753</v>
      </c>
      <c r="E136" s="8">
        <v>-184.5</v>
      </c>
      <c r="F136" s="13" t="s">
        <v>8</v>
      </c>
      <c r="G136" s="9" t="s">
        <v>82</v>
      </c>
    </row>
    <row r="137" spans="1:7" s="139" customFormat="1" ht="13.8" hidden="1" x14ac:dyDescent="0.3">
      <c r="A137" s="100">
        <v>45932</v>
      </c>
      <c r="B137" s="100" t="s">
        <v>211</v>
      </c>
      <c r="C137" s="6" t="s">
        <v>20</v>
      </c>
      <c r="D137" s="643" t="s">
        <v>21</v>
      </c>
      <c r="E137" s="16">
        <v>-403.48</v>
      </c>
      <c r="F137" s="13" t="s">
        <v>8</v>
      </c>
      <c r="G137" s="5" t="s">
        <v>22</v>
      </c>
    </row>
    <row r="138" spans="1:7" s="250" customFormat="1" ht="13.8" hidden="1" x14ac:dyDescent="0.3">
      <c r="A138" s="251">
        <v>45961</v>
      </c>
      <c r="B138" s="316" t="s">
        <v>211</v>
      </c>
      <c r="C138" s="299" t="s">
        <v>17</v>
      </c>
      <c r="D138" s="253" t="s">
        <v>146</v>
      </c>
      <c r="E138" s="317">
        <v>-2000</v>
      </c>
      <c r="F138" s="249" t="s">
        <v>8</v>
      </c>
      <c r="G138" s="255" t="s">
        <v>147</v>
      </c>
    </row>
    <row r="139" spans="1:7" s="250" customFormat="1" ht="13.8" hidden="1" x14ac:dyDescent="0.3">
      <c r="A139" s="308">
        <v>45961</v>
      </c>
      <c r="B139" s="322" t="s">
        <v>211</v>
      </c>
      <c r="C139" s="291" t="s">
        <v>17</v>
      </c>
      <c r="D139" s="396" t="s">
        <v>148</v>
      </c>
      <c r="E139" s="461">
        <v>-150</v>
      </c>
      <c r="F139" s="249" t="s">
        <v>8</v>
      </c>
      <c r="G139" s="255" t="s">
        <v>147</v>
      </c>
    </row>
    <row r="140" spans="1:7" s="250" customFormat="1" ht="13.8" hidden="1" x14ac:dyDescent="0.3">
      <c r="A140" s="316">
        <v>45953</v>
      </c>
      <c r="B140" s="316" t="s">
        <v>211</v>
      </c>
      <c r="C140" s="299" t="s">
        <v>6</v>
      </c>
      <c r="D140" s="300" t="s">
        <v>1890</v>
      </c>
      <c r="E140" s="248">
        <v>-1137.72</v>
      </c>
      <c r="F140" s="249" t="s">
        <v>8</v>
      </c>
      <c r="G140" s="255" t="s">
        <v>68</v>
      </c>
    </row>
    <row r="141" spans="1:7" s="164" customFormat="1" ht="13.8" hidden="1" x14ac:dyDescent="0.3">
      <c r="A141" s="271">
        <v>45946</v>
      </c>
      <c r="B141" s="271" t="s">
        <v>211</v>
      </c>
      <c r="C141" s="674" t="s">
        <v>17</v>
      </c>
      <c r="D141" s="979" t="s">
        <v>1927</v>
      </c>
      <c r="E141" s="816">
        <v>200000</v>
      </c>
      <c r="F141" s="55" t="s">
        <v>161</v>
      </c>
      <c r="G141" s="61" t="s">
        <v>153</v>
      </c>
    </row>
    <row r="142" spans="1:7" s="250" customFormat="1" ht="13.8" hidden="1" x14ac:dyDescent="0.3">
      <c r="A142" s="384">
        <v>45946</v>
      </c>
      <c r="B142" s="384" t="s">
        <v>211</v>
      </c>
      <c r="C142" s="293" t="s">
        <v>17</v>
      </c>
      <c r="D142" s="293" t="s">
        <v>1805</v>
      </c>
      <c r="E142" s="248">
        <v>-3600</v>
      </c>
      <c r="F142" s="249" t="s">
        <v>8</v>
      </c>
      <c r="G142" s="255" t="s">
        <v>78</v>
      </c>
    </row>
    <row r="143" spans="1:7" s="250" customFormat="1" ht="13.8" hidden="1" x14ac:dyDescent="0.3">
      <c r="A143" s="384">
        <v>45946</v>
      </c>
      <c r="B143" s="384" t="s">
        <v>211</v>
      </c>
      <c r="C143" s="293" t="s">
        <v>17</v>
      </c>
      <c r="D143" s="293" t="s">
        <v>1806</v>
      </c>
      <c r="E143" s="248">
        <v>-20100</v>
      </c>
      <c r="F143" s="249" t="s">
        <v>8</v>
      </c>
      <c r="G143" s="255" t="s">
        <v>78</v>
      </c>
    </row>
    <row r="144" spans="1:7" s="250" customFormat="1" ht="13.8" hidden="1" x14ac:dyDescent="0.3">
      <c r="A144" s="704">
        <v>45946</v>
      </c>
      <c r="B144" s="322" t="s">
        <v>211</v>
      </c>
      <c r="C144" s="372" t="s">
        <v>17</v>
      </c>
      <c r="D144" s="372" t="s">
        <v>1807</v>
      </c>
      <c r="E144" s="344">
        <v>-17100</v>
      </c>
      <c r="F144" s="249" t="s">
        <v>8</v>
      </c>
      <c r="G144" s="255" t="s">
        <v>78</v>
      </c>
    </row>
    <row r="145" spans="1:7" s="250" customFormat="1" ht="13.8" hidden="1" x14ac:dyDescent="0.3">
      <c r="A145" s="316">
        <v>45953</v>
      </c>
      <c r="B145" s="316" t="s">
        <v>211</v>
      </c>
      <c r="C145" s="299" t="s">
        <v>6</v>
      </c>
      <c r="D145" s="300" t="s">
        <v>1854</v>
      </c>
      <c r="E145" s="317">
        <v>-4190.5600000000004</v>
      </c>
      <c r="F145" s="402" t="s">
        <v>8</v>
      </c>
      <c r="G145" s="408" t="s">
        <v>111</v>
      </c>
    </row>
    <row r="146" spans="1:7" s="250" customFormat="1" ht="13.8" hidden="1" x14ac:dyDescent="0.3">
      <c r="A146" s="704">
        <v>45940</v>
      </c>
      <c r="B146" s="704" t="s">
        <v>211</v>
      </c>
      <c r="C146" s="490" t="s">
        <v>44</v>
      </c>
      <c r="D146" s="489" t="s">
        <v>62</v>
      </c>
      <c r="E146" s="980">
        <v>-6318.09</v>
      </c>
      <c r="F146" s="373" t="s">
        <v>8</v>
      </c>
      <c r="G146" s="270" t="s">
        <v>63</v>
      </c>
    </row>
    <row r="147" spans="1:7" s="250" customFormat="1" ht="13.8" hidden="1" x14ac:dyDescent="0.3">
      <c r="A147" s="251">
        <v>45960</v>
      </c>
      <c r="B147" s="316" t="s">
        <v>211</v>
      </c>
      <c r="C147" s="299" t="s">
        <v>6</v>
      </c>
      <c r="D147" s="300" t="s">
        <v>2130</v>
      </c>
      <c r="E147" s="248">
        <v>-6142.01</v>
      </c>
      <c r="F147" s="249" t="s">
        <v>8</v>
      </c>
      <c r="G147" s="255" t="s">
        <v>63</v>
      </c>
    </row>
    <row r="148" spans="1:7" s="143" customFormat="1" ht="13.8" hidden="1" x14ac:dyDescent="0.3">
      <c r="A148" s="271">
        <v>45931</v>
      </c>
      <c r="B148" s="271" t="s">
        <v>211</v>
      </c>
      <c r="C148" s="233" t="s">
        <v>17</v>
      </c>
      <c r="D148" s="272" t="s">
        <v>180</v>
      </c>
      <c r="E148" s="981">
        <v>341420.9</v>
      </c>
      <c r="F148" s="67" t="s">
        <v>161</v>
      </c>
      <c r="G148" s="236" t="s">
        <v>162</v>
      </c>
    </row>
    <row r="149" spans="1:7" s="250" customFormat="1" ht="13.8" hidden="1" x14ac:dyDescent="0.3">
      <c r="A149" s="316">
        <v>45936</v>
      </c>
      <c r="B149" s="316" t="s">
        <v>211</v>
      </c>
      <c r="C149" s="422" t="s">
        <v>6</v>
      </c>
      <c r="D149" s="300" t="s">
        <v>23</v>
      </c>
      <c r="E149" s="317">
        <v>-3809.98</v>
      </c>
      <c r="F149" s="249" t="s">
        <v>8</v>
      </c>
      <c r="G149" s="255" t="s">
        <v>24</v>
      </c>
    </row>
    <row r="150" spans="1:7" s="143" customFormat="1" ht="13.8" hidden="1" x14ac:dyDescent="0.3">
      <c r="A150" s="123">
        <v>45944</v>
      </c>
      <c r="B150" s="123" t="s">
        <v>211</v>
      </c>
      <c r="C150" s="120" t="s">
        <v>181</v>
      </c>
      <c r="D150" s="227" t="s">
        <v>1386</v>
      </c>
      <c r="E150" s="736">
        <v>121.96</v>
      </c>
      <c r="F150" s="55" t="s">
        <v>161</v>
      </c>
      <c r="G150" s="61" t="s">
        <v>162</v>
      </c>
    </row>
    <row r="151" spans="1:7" s="143" customFormat="1" ht="13.8" hidden="1" x14ac:dyDescent="0.3">
      <c r="A151" s="123">
        <v>45944</v>
      </c>
      <c r="B151" s="123" t="s">
        <v>211</v>
      </c>
      <c r="C151" s="120" t="s">
        <v>181</v>
      </c>
      <c r="D151" s="29" t="s">
        <v>182</v>
      </c>
      <c r="E151" s="736">
        <v>1200</v>
      </c>
      <c r="F151" s="55" t="s">
        <v>161</v>
      </c>
      <c r="G151" s="61" t="s">
        <v>162</v>
      </c>
    </row>
    <row r="152" spans="1:7" s="143" customFormat="1" ht="13.8" hidden="1" x14ac:dyDescent="0.3">
      <c r="A152" s="368">
        <v>45944</v>
      </c>
      <c r="B152" s="368" t="s">
        <v>211</v>
      </c>
      <c r="C152" s="407" t="s">
        <v>181</v>
      </c>
      <c r="D152" s="437" t="s">
        <v>182</v>
      </c>
      <c r="E152" s="852">
        <v>17956.39</v>
      </c>
      <c r="F152" s="65" t="s">
        <v>161</v>
      </c>
      <c r="G152" s="225" t="s">
        <v>162</v>
      </c>
    </row>
    <row r="153" spans="1:7" s="587" customFormat="1" ht="13.8" hidden="1" x14ac:dyDescent="0.3">
      <c r="A153" s="1042">
        <v>45968</v>
      </c>
      <c r="B153" s="585" t="s">
        <v>212</v>
      </c>
      <c r="C153" s="590" t="s">
        <v>6</v>
      </c>
      <c r="D153" s="360" t="s">
        <v>2140</v>
      </c>
      <c r="E153" s="361">
        <v>-4500</v>
      </c>
      <c r="F153" s="586" t="s">
        <v>8</v>
      </c>
      <c r="G153" s="591" t="s">
        <v>51</v>
      </c>
    </row>
    <row r="154" spans="1:7" s="143" customFormat="1" ht="13.8" x14ac:dyDescent="0.3">
      <c r="A154" s="219">
        <v>45964</v>
      </c>
      <c r="B154" s="220" t="s">
        <v>212</v>
      </c>
      <c r="C154" s="233" t="s">
        <v>170</v>
      </c>
      <c r="D154" s="272" t="s">
        <v>2286</v>
      </c>
      <c r="E154" s="982">
        <v>72327.759999999995</v>
      </c>
      <c r="F154" s="67" t="s">
        <v>161</v>
      </c>
      <c r="G154" s="236" t="s">
        <v>162</v>
      </c>
    </row>
    <row r="155" spans="1:7" s="250" customFormat="1" ht="12" hidden="1" customHeight="1" x14ac:dyDescent="0.3">
      <c r="A155" s="308">
        <v>45943</v>
      </c>
      <c r="B155" s="322" t="s">
        <v>211</v>
      </c>
      <c r="C155" s="372" t="s">
        <v>25</v>
      </c>
      <c r="D155" s="372" t="s">
        <v>1544</v>
      </c>
      <c r="E155" s="344">
        <v>-2079.2399999999998</v>
      </c>
      <c r="F155" s="373" t="s">
        <v>8</v>
      </c>
      <c r="G155" s="827" t="s">
        <v>186</v>
      </c>
    </row>
    <row r="156" spans="1:7" s="250" customFormat="1" ht="13.8" hidden="1" x14ac:dyDescent="0.3">
      <c r="A156" s="316">
        <v>45960</v>
      </c>
      <c r="B156" s="316" t="s">
        <v>211</v>
      </c>
      <c r="C156" s="422" t="s">
        <v>6</v>
      </c>
      <c r="D156" s="300" t="s">
        <v>2129</v>
      </c>
      <c r="E156" s="317">
        <v>-35714.57</v>
      </c>
      <c r="F156" s="255" t="s">
        <v>8</v>
      </c>
      <c r="G156" s="254" t="s">
        <v>46</v>
      </c>
    </row>
    <row r="157" spans="1:7" s="587" customFormat="1" ht="14.4" hidden="1" customHeight="1" x14ac:dyDescent="0.3">
      <c r="A157" s="1042">
        <v>45968</v>
      </c>
      <c r="B157" s="585" t="s">
        <v>212</v>
      </c>
      <c r="C157" s="590" t="s">
        <v>13</v>
      </c>
      <c r="D157" s="360" t="s">
        <v>2141</v>
      </c>
      <c r="E157" s="361">
        <v>-8797.17</v>
      </c>
      <c r="F157" s="586" t="s">
        <v>8</v>
      </c>
      <c r="G157" s="591" t="s">
        <v>51</v>
      </c>
    </row>
    <row r="158" spans="1:7" s="139" customFormat="1" ht="13.8" hidden="1" x14ac:dyDescent="0.3">
      <c r="A158" s="87">
        <v>45932</v>
      </c>
      <c r="B158" s="146" t="s">
        <v>211</v>
      </c>
      <c r="C158" s="96" t="s">
        <v>71</v>
      </c>
      <c r="D158" s="109" t="s">
        <v>1685</v>
      </c>
      <c r="E158" s="101">
        <v>-242</v>
      </c>
      <c r="F158" s="110" t="s">
        <v>8</v>
      </c>
      <c r="G158" s="24" t="s">
        <v>111</v>
      </c>
    </row>
    <row r="159" spans="1:7" s="139" customFormat="1" ht="13.8" hidden="1" x14ac:dyDescent="0.3">
      <c r="A159" s="78">
        <v>45932</v>
      </c>
      <c r="B159" s="100" t="s">
        <v>211</v>
      </c>
      <c r="C159" s="14" t="s">
        <v>25</v>
      </c>
      <c r="D159" s="14" t="s">
        <v>1612</v>
      </c>
      <c r="E159" s="8">
        <v>-40</v>
      </c>
      <c r="F159" s="13" t="s">
        <v>8</v>
      </c>
      <c r="G159" s="5" t="s">
        <v>111</v>
      </c>
    </row>
    <row r="160" spans="1:7" s="139" customFormat="1" ht="13.8" hidden="1" x14ac:dyDescent="0.3">
      <c r="A160" s="78">
        <v>45932</v>
      </c>
      <c r="B160" s="100" t="s">
        <v>211</v>
      </c>
      <c r="C160" s="14" t="s">
        <v>17</v>
      </c>
      <c r="D160" s="14" t="s">
        <v>1613</v>
      </c>
      <c r="E160" s="8">
        <v>-130</v>
      </c>
      <c r="F160" s="13" t="s">
        <v>8</v>
      </c>
      <c r="G160" s="5" t="s">
        <v>111</v>
      </c>
    </row>
    <row r="161" spans="1:7" s="250" customFormat="1" ht="13.8" hidden="1" x14ac:dyDescent="0.3">
      <c r="A161" s="251">
        <v>45937</v>
      </c>
      <c r="B161" s="316" t="s">
        <v>211</v>
      </c>
      <c r="C161" s="299" t="s">
        <v>13</v>
      </c>
      <c r="D161" s="300" t="s">
        <v>16</v>
      </c>
      <c r="E161" s="317">
        <v>-1500</v>
      </c>
      <c r="F161" s="249" t="s">
        <v>8</v>
      </c>
      <c r="G161" s="255" t="s">
        <v>15</v>
      </c>
    </row>
    <row r="162" spans="1:7" s="250" customFormat="1" ht="13.8" hidden="1" x14ac:dyDescent="0.3">
      <c r="A162" s="251">
        <v>45953</v>
      </c>
      <c r="B162" s="316" t="s">
        <v>211</v>
      </c>
      <c r="C162" s="371" t="s">
        <v>1571</v>
      </c>
      <c r="D162" s="300" t="s">
        <v>2170</v>
      </c>
      <c r="E162" s="317">
        <v>-341.92</v>
      </c>
      <c r="F162" s="249" t="s">
        <v>8</v>
      </c>
      <c r="G162" s="255" t="s">
        <v>348</v>
      </c>
    </row>
    <row r="163" spans="1:7" s="250" customFormat="1" ht="13.8" hidden="1" x14ac:dyDescent="0.3">
      <c r="A163" s="251">
        <v>45953</v>
      </c>
      <c r="B163" s="316" t="s">
        <v>211</v>
      </c>
      <c r="C163" s="371" t="s">
        <v>13</v>
      </c>
      <c r="D163" s="300" t="s">
        <v>14</v>
      </c>
      <c r="E163" s="317">
        <v>-1500</v>
      </c>
      <c r="F163" s="249" t="s">
        <v>8</v>
      </c>
      <c r="G163" s="255" t="s">
        <v>15</v>
      </c>
    </row>
    <row r="164" spans="1:7" s="250" customFormat="1" ht="13.8" hidden="1" x14ac:dyDescent="0.3">
      <c r="A164" s="316">
        <v>45953</v>
      </c>
      <c r="B164" s="316" t="s">
        <v>211</v>
      </c>
      <c r="C164" s="252" t="s">
        <v>31</v>
      </c>
      <c r="D164" s="362" t="s">
        <v>2153</v>
      </c>
      <c r="E164" s="317">
        <v>-2298.0300000000002</v>
      </c>
      <c r="F164" s="249" t="s">
        <v>8</v>
      </c>
      <c r="G164" s="255" t="s">
        <v>91</v>
      </c>
    </row>
    <row r="165" spans="1:7" s="250" customFormat="1" ht="13.8" hidden="1" x14ac:dyDescent="0.3">
      <c r="A165" s="316">
        <v>45953</v>
      </c>
      <c r="B165" s="316" t="s">
        <v>211</v>
      </c>
      <c r="C165" s="422" t="s">
        <v>25</v>
      </c>
      <c r="D165" s="362" t="s">
        <v>2153</v>
      </c>
      <c r="E165" s="317">
        <v>-1286.52</v>
      </c>
      <c r="F165" s="249" t="s">
        <v>8</v>
      </c>
      <c r="G165" s="255" t="s">
        <v>91</v>
      </c>
    </row>
    <row r="166" spans="1:7" s="250" customFormat="1" ht="13.2" hidden="1" customHeight="1" x14ac:dyDescent="0.3">
      <c r="A166" s="316">
        <v>45953</v>
      </c>
      <c r="B166" s="316" t="s">
        <v>211</v>
      </c>
      <c r="C166" s="299" t="s">
        <v>17</v>
      </c>
      <c r="D166" s="362" t="s">
        <v>2153</v>
      </c>
      <c r="E166" s="317">
        <v>-13578.66</v>
      </c>
      <c r="F166" s="249" t="s">
        <v>8</v>
      </c>
      <c r="G166" s="255" t="s">
        <v>91</v>
      </c>
    </row>
    <row r="167" spans="1:7" s="250" customFormat="1" ht="13.8" hidden="1" x14ac:dyDescent="0.3">
      <c r="A167" s="322">
        <v>45940</v>
      </c>
      <c r="B167" s="322" t="s">
        <v>211</v>
      </c>
      <c r="C167" s="291" t="s">
        <v>93</v>
      </c>
      <c r="D167" s="462" t="s">
        <v>1622</v>
      </c>
      <c r="E167" s="461">
        <v>-1917.95</v>
      </c>
      <c r="F167" s="373" t="s">
        <v>8</v>
      </c>
      <c r="G167" s="270" t="s">
        <v>58</v>
      </c>
    </row>
    <row r="168" spans="1:7" s="250" customFormat="1" ht="13.8" hidden="1" x14ac:dyDescent="0.3">
      <c r="A168" s="316">
        <v>45960</v>
      </c>
      <c r="B168" s="316" t="s">
        <v>211</v>
      </c>
      <c r="C168" s="293" t="s">
        <v>17</v>
      </c>
      <c r="D168" s="293" t="s">
        <v>385</v>
      </c>
      <c r="E168" s="248">
        <v>-728</v>
      </c>
      <c r="F168" s="249" t="s">
        <v>8</v>
      </c>
      <c r="G168" s="255" t="s">
        <v>1832</v>
      </c>
    </row>
    <row r="169" spans="1:7" s="164" customFormat="1" hidden="1" x14ac:dyDescent="0.3">
      <c r="A169" s="51">
        <v>45959</v>
      </c>
      <c r="B169" s="123" t="s">
        <v>211</v>
      </c>
      <c r="C169" s="52" t="s">
        <v>1571</v>
      </c>
      <c r="D169" s="52" t="s">
        <v>2249</v>
      </c>
      <c r="E169" s="1018">
        <v>3600</v>
      </c>
      <c r="F169" s="55" t="s">
        <v>161</v>
      </c>
      <c r="G169" s="61" t="s">
        <v>162</v>
      </c>
    </row>
    <row r="170" spans="1:7" s="250" customFormat="1" ht="13.8" hidden="1" x14ac:dyDescent="0.3">
      <c r="A170" s="316">
        <v>45959</v>
      </c>
      <c r="B170" s="316" t="s">
        <v>211</v>
      </c>
      <c r="C170" s="299" t="s">
        <v>25</v>
      </c>
      <c r="D170" s="300" t="s">
        <v>2248</v>
      </c>
      <c r="E170" s="317">
        <v>-6715.21</v>
      </c>
      <c r="F170" s="249" t="s">
        <v>8</v>
      </c>
      <c r="G170" s="254" t="s">
        <v>46</v>
      </c>
    </row>
    <row r="171" spans="1:7" s="250" customFormat="1" ht="13.8" hidden="1" x14ac:dyDescent="0.3">
      <c r="A171" s="316">
        <v>45959</v>
      </c>
      <c r="B171" s="316" t="s">
        <v>211</v>
      </c>
      <c r="C171" s="299" t="s">
        <v>31</v>
      </c>
      <c r="D171" s="300" t="s">
        <v>2247</v>
      </c>
      <c r="E171" s="317">
        <v>-6620.78</v>
      </c>
      <c r="F171" s="249" t="s">
        <v>8</v>
      </c>
      <c r="G171" s="254" t="s">
        <v>46</v>
      </c>
    </row>
    <row r="172" spans="1:7" s="250" customFormat="1" ht="13.8" hidden="1" x14ac:dyDescent="0.3">
      <c r="A172" s="316">
        <v>45960</v>
      </c>
      <c r="B172" s="316" t="s">
        <v>211</v>
      </c>
      <c r="C172" s="299" t="s">
        <v>17</v>
      </c>
      <c r="D172" s="300" t="s">
        <v>140</v>
      </c>
      <c r="E172" s="317">
        <v>-9980</v>
      </c>
      <c r="F172" s="249" t="s">
        <v>8</v>
      </c>
      <c r="G172" s="255" t="s">
        <v>58</v>
      </c>
    </row>
    <row r="173" spans="1:7" s="250" customFormat="1" ht="13.8" hidden="1" x14ac:dyDescent="0.3">
      <c r="A173" s="316">
        <v>45960</v>
      </c>
      <c r="B173" s="316" t="s">
        <v>211</v>
      </c>
      <c r="C173" s="299" t="s">
        <v>17</v>
      </c>
      <c r="D173" s="300" t="s">
        <v>140</v>
      </c>
      <c r="E173" s="317">
        <v>-9980</v>
      </c>
      <c r="F173" s="249" t="s">
        <v>8</v>
      </c>
      <c r="G173" s="255" t="s">
        <v>58</v>
      </c>
    </row>
    <row r="174" spans="1:7" s="210" customFormat="1" ht="13.8" hidden="1" x14ac:dyDescent="0.3">
      <c r="A174" s="429">
        <v>45961</v>
      </c>
      <c r="B174" s="375" t="s">
        <v>211</v>
      </c>
      <c r="C174" s="376" t="s">
        <v>17</v>
      </c>
      <c r="D174" s="377" t="s">
        <v>140</v>
      </c>
      <c r="E174" s="401">
        <v>-15097.31</v>
      </c>
      <c r="F174" s="378" t="s">
        <v>8</v>
      </c>
      <c r="G174" s="379" t="s">
        <v>58</v>
      </c>
    </row>
    <row r="175" spans="1:7" s="250" customFormat="1" ht="13.8" hidden="1" x14ac:dyDescent="0.3">
      <c r="A175" s="997">
        <v>45952</v>
      </c>
      <c r="B175" s="384" t="s">
        <v>211</v>
      </c>
      <c r="C175" s="405" t="s">
        <v>17</v>
      </c>
      <c r="D175" s="386" t="s">
        <v>1967</v>
      </c>
      <c r="E175" s="438">
        <v>-2270</v>
      </c>
      <c r="F175" s="402" t="s">
        <v>8</v>
      </c>
      <c r="G175" s="408" t="s">
        <v>27</v>
      </c>
    </row>
    <row r="176" spans="1:7" s="250" customFormat="1" ht="13.8" hidden="1" x14ac:dyDescent="0.3">
      <c r="A176" s="997">
        <v>45959</v>
      </c>
      <c r="B176" s="316" t="s">
        <v>211</v>
      </c>
      <c r="C176" s="371" t="s">
        <v>13</v>
      </c>
      <c r="D176" s="299" t="s">
        <v>1967</v>
      </c>
      <c r="E176" s="317">
        <v>-894.4</v>
      </c>
      <c r="F176" s="249" t="s">
        <v>8</v>
      </c>
      <c r="G176" s="255" t="s">
        <v>27</v>
      </c>
    </row>
    <row r="177" spans="1:7" s="139" customFormat="1" ht="13.8" hidden="1" x14ac:dyDescent="0.3">
      <c r="A177" s="100">
        <v>45966</v>
      </c>
      <c r="B177" s="100" t="s">
        <v>212</v>
      </c>
      <c r="C177" s="287" t="s">
        <v>13</v>
      </c>
      <c r="D177" s="12" t="s">
        <v>1967</v>
      </c>
      <c r="E177" s="16">
        <v>-1605.6</v>
      </c>
      <c r="F177" s="13" t="s">
        <v>8</v>
      </c>
      <c r="G177" s="5" t="s">
        <v>27</v>
      </c>
    </row>
    <row r="178" spans="1:7" s="210" customFormat="1" ht="13.8" hidden="1" x14ac:dyDescent="0.3">
      <c r="A178" s="1049">
        <v>45958</v>
      </c>
      <c r="B178" s="375" t="s">
        <v>211</v>
      </c>
      <c r="C178" s="1050" t="s">
        <v>13</v>
      </c>
      <c r="D178" s="376" t="s">
        <v>1967</v>
      </c>
      <c r="E178" s="401">
        <v>-1646</v>
      </c>
      <c r="F178" s="378" t="s">
        <v>8</v>
      </c>
      <c r="G178" s="379" t="s">
        <v>27</v>
      </c>
    </row>
    <row r="179" spans="1:7" s="143" customFormat="1" hidden="1" x14ac:dyDescent="0.3">
      <c r="A179" s="45">
        <v>45951</v>
      </c>
      <c r="B179" s="754" t="s">
        <v>211</v>
      </c>
      <c r="C179" s="46" t="s">
        <v>44</v>
      </c>
      <c r="D179" s="604" t="s">
        <v>1969</v>
      </c>
      <c r="E179" s="900">
        <v>102.34</v>
      </c>
      <c r="F179" s="48" t="s">
        <v>161</v>
      </c>
      <c r="G179" s="229" t="s">
        <v>488</v>
      </c>
    </row>
    <row r="180" spans="1:7" s="143" customFormat="1" hidden="1" x14ac:dyDescent="0.3">
      <c r="A180" s="45">
        <v>45951</v>
      </c>
      <c r="B180" s="754" t="s">
        <v>211</v>
      </c>
      <c r="C180" s="46" t="s">
        <v>44</v>
      </c>
      <c r="D180" s="604" t="s">
        <v>1970</v>
      </c>
      <c r="E180" s="902">
        <v>1266.3</v>
      </c>
      <c r="F180" s="48" t="s">
        <v>161</v>
      </c>
      <c r="G180" s="229" t="s">
        <v>488</v>
      </c>
    </row>
    <row r="181" spans="1:7" s="250" customFormat="1" ht="13.8" hidden="1" x14ac:dyDescent="0.3">
      <c r="A181" s="251">
        <v>45952</v>
      </c>
      <c r="B181" s="384" t="s">
        <v>211</v>
      </c>
      <c r="C181" s="293" t="s">
        <v>44</v>
      </c>
      <c r="D181" s="293" t="s">
        <v>1975</v>
      </c>
      <c r="E181" s="248">
        <v>-4057.4</v>
      </c>
      <c r="F181" s="249" t="s">
        <v>8</v>
      </c>
      <c r="G181" s="254" t="s">
        <v>227</v>
      </c>
    </row>
    <row r="182" spans="1:7" s="250" customFormat="1" ht="13.8" hidden="1" x14ac:dyDescent="0.3">
      <c r="A182" s="316">
        <v>45953</v>
      </c>
      <c r="B182" s="384" t="s">
        <v>211</v>
      </c>
      <c r="C182" s="293" t="s">
        <v>71</v>
      </c>
      <c r="D182" s="293" t="s">
        <v>1992</v>
      </c>
      <c r="E182" s="248">
        <v>-680.24</v>
      </c>
      <c r="F182" s="249" t="s">
        <v>8</v>
      </c>
      <c r="G182" s="254" t="s">
        <v>227</v>
      </c>
    </row>
    <row r="183" spans="1:7" s="250" customFormat="1" ht="13.8" hidden="1" x14ac:dyDescent="0.3">
      <c r="A183" s="316">
        <v>45953</v>
      </c>
      <c r="B183" s="384" t="s">
        <v>211</v>
      </c>
      <c r="C183" s="293" t="s">
        <v>71</v>
      </c>
      <c r="D183" s="293" t="s">
        <v>1991</v>
      </c>
      <c r="E183" s="248">
        <v>-1423.33</v>
      </c>
      <c r="F183" s="249" t="s">
        <v>8</v>
      </c>
      <c r="G183" s="254" t="s">
        <v>227</v>
      </c>
    </row>
    <row r="184" spans="1:7" s="250" customFormat="1" ht="13.8" hidden="1" x14ac:dyDescent="0.3">
      <c r="A184" s="316">
        <v>45953</v>
      </c>
      <c r="B184" s="384" t="s">
        <v>211</v>
      </c>
      <c r="C184" s="293" t="s">
        <v>17</v>
      </c>
      <c r="D184" s="293" t="s">
        <v>1989</v>
      </c>
      <c r="E184" s="248">
        <v>-66.64</v>
      </c>
      <c r="F184" s="249" t="s">
        <v>8</v>
      </c>
      <c r="G184" s="254" t="s">
        <v>227</v>
      </c>
    </row>
    <row r="185" spans="1:7" s="250" customFormat="1" ht="13.8" hidden="1" x14ac:dyDescent="0.3">
      <c r="A185" s="316">
        <v>45953</v>
      </c>
      <c r="B185" s="384" t="s">
        <v>211</v>
      </c>
      <c r="C185" s="338" t="s">
        <v>71</v>
      </c>
      <c r="D185" s="338" t="s">
        <v>1990</v>
      </c>
      <c r="E185" s="335">
        <v>-440.27</v>
      </c>
      <c r="F185" s="249" t="s">
        <v>8</v>
      </c>
      <c r="G185" s="254" t="s">
        <v>1626</v>
      </c>
    </row>
    <row r="186" spans="1:7" s="250" customFormat="1" ht="13.8" hidden="1" x14ac:dyDescent="0.3">
      <c r="A186" s="316">
        <v>45953</v>
      </c>
      <c r="B186" s="384" t="s">
        <v>211</v>
      </c>
      <c r="C186" s="252" t="s">
        <v>17</v>
      </c>
      <c r="D186" s="300" t="s">
        <v>2154</v>
      </c>
      <c r="E186" s="317">
        <v>-1560.68</v>
      </c>
      <c r="F186" s="249" t="s">
        <v>8</v>
      </c>
      <c r="G186" s="255" t="s">
        <v>132</v>
      </c>
    </row>
    <row r="187" spans="1:7" s="139" customFormat="1" ht="13.8" hidden="1" x14ac:dyDescent="0.3">
      <c r="A187" s="123">
        <v>45943</v>
      </c>
      <c r="B187" s="123" t="s">
        <v>211</v>
      </c>
      <c r="C187" s="233" t="s">
        <v>33</v>
      </c>
      <c r="D187" s="73" t="s">
        <v>160</v>
      </c>
      <c r="E187" s="121">
        <v>900</v>
      </c>
      <c r="F187" s="55" t="s">
        <v>161</v>
      </c>
      <c r="G187" s="61" t="s">
        <v>162</v>
      </c>
    </row>
    <row r="188" spans="1:7" s="143" customFormat="1" ht="12.6" hidden="1" customHeight="1" x14ac:dyDescent="0.3">
      <c r="A188" s="123">
        <v>45943</v>
      </c>
      <c r="B188" s="123" t="s">
        <v>211</v>
      </c>
      <c r="C188" s="120" t="s">
        <v>170</v>
      </c>
      <c r="D188" s="29" t="s">
        <v>172</v>
      </c>
      <c r="E188" s="121">
        <v>300</v>
      </c>
      <c r="F188" s="55" t="s">
        <v>161</v>
      </c>
      <c r="G188" s="61" t="s">
        <v>162</v>
      </c>
    </row>
    <row r="189" spans="1:7" s="143" customFormat="1" ht="12.6" hidden="1" customHeight="1" x14ac:dyDescent="0.3">
      <c r="A189" s="123">
        <v>45943</v>
      </c>
      <c r="B189" s="123" t="s">
        <v>211</v>
      </c>
      <c r="C189" s="120" t="s">
        <v>170</v>
      </c>
      <c r="D189" s="29" t="s">
        <v>172</v>
      </c>
      <c r="E189" s="121">
        <v>4880.1400000000003</v>
      </c>
      <c r="F189" s="55" t="s">
        <v>161</v>
      </c>
      <c r="G189" s="61" t="s">
        <v>162</v>
      </c>
    </row>
    <row r="190" spans="1:7" s="587" customFormat="1" ht="13.8" hidden="1" x14ac:dyDescent="0.3">
      <c r="A190" s="1042">
        <v>45968</v>
      </c>
      <c r="B190" s="585" t="s">
        <v>212</v>
      </c>
      <c r="C190" s="1045" t="s">
        <v>17</v>
      </c>
      <c r="D190" s="1043" t="s">
        <v>2168</v>
      </c>
      <c r="E190" s="361">
        <v>-613.86</v>
      </c>
      <c r="F190" s="586" t="s">
        <v>8</v>
      </c>
      <c r="G190" s="791" t="s">
        <v>124</v>
      </c>
    </row>
    <row r="191" spans="1:7" s="587" customFormat="1" ht="0.6" hidden="1" customHeight="1" x14ac:dyDescent="0.3">
      <c r="A191" s="1042">
        <v>45968</v>
      </c>
      <c r="B191" s="585" t="s">
        <v>212</v>
      </c>
      <c r="C191" s="1045" t="s">
        <v>17</v>
      </c>
      <c r="D191" s="1043" t="s">
        <v>2155</v>
      </c>
      <c r="E191" s="361">
        <v>-13870.6</v>
      </c>
      <c r="F191" s="586" t="s">
        <v>8</v>
      </c>
      <c r="G191" s="791" t="s">
        <v>124</v>
      </c>
    </row>
    <row r="192" spans="1:7" s="143" customFormat="1" ht="13.8" x14ac:dyDescent="0.3">
      <c r="A192" s="219">
        <v>45968</v>
      </c>
      <c r="B192" s="220" t="s">
        <v>212</v>
      </c>
      <c r="C192" s="233" t="s">
        <v>170</v>
      </c>
      <c r="D192" s="272" t="s">
        <v>2273</v>
      </c>
      <c r="E192" s="982">
        <v>36409.879999999997</v>
      </c>
      <c r="F192" s="67" t="s">
        <v>161</v>
      </c>
      <c r="G192" s="236" t="s">
        <v>162</v>
      </c>
    </row>
    <row r="193" spans="1:7" s="143" customFormat="1" ht="13.8" hidden="1" x14ac:dyDescent="0.3">
      <c r="A193" s="123">
        <v>45961</v>
      </c>
      <c r="B193" s="123" t="s">
        <v>211</v>
      </c>
      <c r="C193" s="120" t="s">
        <v>174</v>
      </c>
      <c r="D193" s="29" t="s">
        <v>175</v>
      </c>
      <c r="E193" s="58">
        <v>257.81</v>
      </c>
      <c r="F193" s="55" t="s">
        <v>161</v>
      </c>
      <c r="G193" s="61" t="s">
        <v>162</v>
      </c>
    </row>
    <row r="194" spans="1:7" s="587" customFormat="1" ht="13.8" hidden="1" x14ac:dyDescent="0.3">
      <c r="A194" s="1042">
        <v>45968</v>
      </c>
      <c r="B194" s="585" t="s">
        <v>212</v>
      </c>
      <c r="C194" s="590" t="s">
        <v>17</v>
      </c>
      <c r="D194" s="744" t="s">
        <v>2237</v>
      </c>
      <c r="E194" s="361">
        <v>-56900</v>
      </c>
      <c r="F194" s="910" t="s">
        <v>8</v>
      </c>
      <c r="G194" s="910" t="s">
        <v>153</v>
      </c>
    </row>
    <row r="195" spans="1:7" s="139" customFormat="1" ht="13.8" hidden="1" x14ac:dyDescent="0.3">
      <c r="A195" s="189">
        <v>45989</v>
      </c>
      <c r="B195" s="188" t="s">
        <v>212</v>
      </c>
      <c r="C195" s="192" t="s">
        <v>17</v>
      </c>
      <c r="D195" s="102" t="s">
        <v>690</v>
      </c>
      <c r="E195" s="196">
        <v>-56900</v>
      </c>
      <c r="F195" s="80" t="s">
        <v>8</v>
      </c>
      <c r="G195" s="80" t="s">
        <v>153</v>
      </c>
    </row>
    <row r="196" spans="1:7" s="143" customFormat="1" ht="13.8" hidden="1" x14ac:dyDescent="0.3">
      <c r="A196" s="123">
        <v>45931</v>
      </c>
      <c r="B196" s="123" t="s">
        <v>211</v>
      </c>
      <c r="C196" s="120" t="s">
        <v>163</v>
      </c>
      <c r="D196" s="29" t="s">
        <v>164</v>
      </c>
      <c r="E196" s="53">
        <v>1200</v>
      </c>
      <c r="F196" s="55" t="s">
        <v>161</v>
      </c>
      <c r="G196" s="61" t="s">
        <v>162</v>
      </c>
    </row>
    <row r="197" spans="1:7" s="143" customFormat="1" ht="13.8" hidden="1" x14ac:dyDescent="0.3">
      <c r="A197" s="123">
        <v>45931</v>
      </c>
      <c r="B197" s="123" t="s">
        <v>211</v>
      </c>
      <c r="C197" s="120" t="s">
        <v>163</v>
      </c>
      <c r="D197" s="29" t="s">
        <v>164</v>
      </c>
      <c r="E197" s="53">
        <v>799.2</v>
      </c>
      <c r="F197" s="55" t="s">
        <v>161</v>
      </c>
      <c r="G197" s="61" t="s">
        <v>162</v>
      </c>
    </row>
    <row r="198" spans="1:7" s="143" customFormat="1" ht="13.8" hidden="1" x14ac:dyDescent="0.3">
      <c r="A198" s="123">
        <v>45931</v>
      </c>
      <c r="B198" s="123" t="s">
        <v>211</v>
      </c>
      <c r="C198" s="120" t="s">
        <v>163</v>
      </c>
      <c r="D198" s="29" t="s">
        <v>164</v>
      </c>
      <c r="E198" s="53">
        <v>18532.8</v>
      </c>
      <c r="F198" s="55" t="s">
        <v>161</v>
      </c>
      <c r="G198" s="61" t="s">
        <v>162</v>
      </c>
    </row>
    <row r="199" spans="1:7" s="139" customFormat="1" ht="13.8" hidden="1" x14ac:dyDescent="0.3">
      <c r="A199" s="100">
        <v>45931</v>
      </c>
      <c r="B199" s="100" t="s">
        <v>211</v>
      </c>
      <c r="C199" s="12" t="s">
        <v>6</v>
      </c>
      <c r="D199" s="4" t="s">
        <v>12</v>
      </c>
      <c r="E199" s="16">
        <v>-202.51</v>
      </c>
      <c r="F199" s="110" t="s">
        <v>8</v>
      </c>
      <c r="G199" s="24" t="s">
        <v>9</v>
      </c>
    </row>
    <row r="200" spans="1:7" s="139" customFormat="1" ht="13.8" hidden="1" x14ac:dyDescent="0.3">
      <c r="A200" s="100">
        <v>45931</v>
      </c>
      <c r="B200" s="100" t="s">
        <v>211</v>
      </c>
      <c r="C200" s="15" t="s">
        <v>6</v>
      </c>
      <c r="D200" s="4" t="s">
        <v>7</v>
      </c>
      <c r="E200" s="16">
        <v>-437.54</v>
      </c>
      <c r="F200" s="13" t="s">
        <v>8</v>
      </c>
      <c r="G200" s="5" t="s">
        <v>9</v>
      </c>
    </row>
    <row r="201" spans="1:7" s="139" customFormat="1" ht="13.8" hidden="1" x14ac:dyDescent="0.3">
      <c r="A201" s="100">
        <v>45931</v>
      </c>
      <c r="B201" s="100" t="s">
        <v>211</v>
      </c>
      <c r="C201" s="15" t="s">
        <v>6</v>
      </c>
      <c r="D201" s="4" t="s">
        <v>10</v>
      </c>
      <c r="E201" s="16">
        <v>-284.22000000000003</v>
      </c>
      <c r="F201" s="13" t="s">
        <v>8</v>
      </c>
      <c r="G201" s="5" t="s">
        <v>9</v>
      </c>
    </row>
    <row r="202" spans="1:7" s="139" customFormat="1" ht="13.8" hidden="1" x14ac:dyDescent="0.3">
      <c r="A202" s="113">
        <v>45931</v>
      </c>
      <c r="B202" s="113" t="s">
        <v>211</v>
      </c>
      <c r="C202" s="114" t="s">
        <v>6</v>
      </c>
      <c r="D202" s="107" t="s">
        <v>11</v>
      </c>
      <c r="E202" s="145">
        <v>-138.03</v>
      </c>
      <c r="F202" s="27" t="s">
        <v>8</v>
      </c>
      <c r="G202" s="41" t="s">
        <v>9</v>
      </c>
    </row>
    <row r="203" spans="1:7" s="250" customFormat="1" hidden="1" x14ac:dyDescent="0.3">
      <c r="A203" s="316">
        <v>45960</v>
      </c>
      <c r="B203" s="316" t="s">
        <v>211</v>
      </c>
      <c r="C203" s="1097" t="s">
        <v>1571</v>
      </c>
      <c r="D203" s="1098" t="s">
        <v>2263</v>
      </c>
      <c r="E203" s="1099">
        <v>-648.94000000000005</v>
      </c>
      <c r="F203" s="249" t="s">
        <v>8</v>
      </c>
      <c r="G203" s="254" t="s">
        <v>85</v>
      </c>
    </row>
    <row r="204" spans="1:7" s="250" customFormat="1" hidden="1" x14ac:dyDescent="0.3">
      <c r="A204" s="316">
        <v>45960</v>
      </c>
      <c r="B204" s="316" t="s">
        <v>211</v>
      </c>
      <c r="C204" s="1097" t="s">
        <v>6</v>
      </c>
      <c r="D204" s="1098" t="s">
        <v>2263</v>
      </c>
      <c r="E204" s="1099">
        <v>-1681.59</v>
      </c>
      <c r="F204" s="249" t="s">
        <v>8</v>
      </c>
      <c r="G204" s="254" t="s">
        <v>85</v>
      </c>
    </row>
    <row r="205" spans="1:7" s="250" customFormat="1" hidden="1" x14ac:dyDescent="0.3">
      <c r="A205" s="316">
        <v>45960</v>
      </c>
      <c r="B205" s="316" t="s">
        <v>211</v>
      </c>
      <c r="C205" s="1097" t="s">
        <v>650</v>
      </c>
      <c r="D205" s="1098" t="s">
        <v>2263</v>
      </c>
      <c r="E205" s="1099">
        <v>-1201.1199999999999</v>
      </c>
      <c r="F205" s="249" t="s">
        <v>8</v>
      </c>
      <c r="G205" s="254" t="s">
        <v>85</v>
      </c>
    </row>
    <row r="206" spans="1:7" s="250" customFormat="1" hidden="1" x14ac:dyDescent="0.3">
      <c r="A206" s="316">
        <v>45960</v>
      </c>
      <c r="B206" s="316" t="s">
        <v>211</v>
      </c>
      <c r="C206" s="1097" t="s">
        <v>105</v>
      </c>
      <c r="D206" s="1098" t="s">
        <v>2265</v>
      </c>
      <c r="E206" s="1099">
        <v>-3683.57</v>
      </c>
      <c r="F206" s="249" t="s">
        <v>8</v>
      </c>
      <c r="G206" s="254" t="s">
        <v>85</v>
      </c>
    </row>
    <row r="207" spans="1:7" s="250" customFormat="1" hidden="1" x14ac:dyDescent="0.3">
      <c r="A207" s="316">
        <v>45960</v>
      </c>
      <c r="B207" s="316" t="s">
        <v>211</v>
      </c>
      <c r="C207" s="1097" t="s">
        <v>71</v>
      </c>
      <c r="D207" s="1098" t="s">
        <v>2265</v>
      </c>
      <c r="E207" s="1099">
        <v>-1441.41</v>
      </c>
      <c r="F207" s="249" t="s">
        <v>8</v>
      </c>
      <c r="G207" s="254" t="s">
        <v>85</v>
      </c>
    </row>
    <row r="208" spans="1:7" s="250" customFormat="1" hidden="1" x14ac:dyDescent="0.3">
      <c r="A208" s="316">
        <v>45960</v>
      </c>
      <c r="B208" s="316" t="s">
        <v>211</v>
      </c>
      <c r="C208" s="1097" t="s">
        <v>32</v>
      </c>
      <c r="D208" s="1098" t="s">
        <v>2265</v>
      </c>
      <c r="E208" s="1099">
        <v>-2562.54</v>
      </c>
      <c r="F208" s="249" t="s">
        <v>8</v>
      </c>
      <c r="G208" s="254" t="s">
        <v>85</v>
      </c>
    </row>
    <row r="209" spans="1:7" s="250" customFormat="1" hidden="1" x14ac:dyDescent="0.3">
      <c r="A209" s="316">
        <v>45960</v>
      </c>
      <c r="B209" s="316" t="s">
        <v>211</v>
      </c>
      <c r="C209" s="1097" t="s">
        <v>661</v>
      </c>
      <c r="D209" s="1098" t="s">
        <v>2264</v>
      </c>
      <c r="E209" s="1099">
        <v>-960.94</v>
      </c>
      <c r="F209" s="249" t="s">
        <v>8</v>
      </c>
      <c r="G209" s="254" t="s">
        <v>85</v>
      </c>
    </row>
    <row r="210" spans="1:7" s="250" customFormat="1" hidden="1" x14ac:dyDescent="0.3">
      <c r="A210" s="316">
        <v>45960</v>
      </c>
      <c r="B210" s="316" t="s">
        <v>211</v>
      </c>
      <c r="C210" s="1097" t="s">
        <v>650</v>
      </c>
      <c r="D210" s="1098" t="s">
        <v>2263</v>
      </c>
      <c r="E210" s="1099">
        <v>-3203.1</v>
      </c>
      <c r="F210" s="249" t="s">
        <v>8</v>
      </c>
      <c r="G210" s="254" t="s">
        <v>85</v>
      </c>
    </row>
    <row r="211" spans="1:7" s="250" customFormat="1" hidden="1" x14ac:dyDescent="0.3">
      <c r="A211" s="316">
        <v>45960</v>
      </c>
      <c r="B211" s="316" t="s">
        <v>211</v>
      </c>
      <c r="C211" s="1097" t="s">
        <v>1105</v>
      </c>
      <c r="D211" s="1098" t="s">
        <v>2265</v>
      </c>
      <c r="E211" s="1099">
        <v>-1281.22</v>
      </c>
      <c r="F211" s="249" t="s">
        <v>8</v>
      </c>
      <c r="G211" s="254" t="s">
        <v>85</v>
      </c>
    </row>
    <row r="212" spans="1:7" s="250" customFormat="1" hidden="1" x14ac:dyDescent="0.3">
      <c r="A212" s="316">
        <v>45960</v>
      </c>
      <c r="B212" s="316" t="s">
        <v>211</v>
      </c>
      <c r="C212" s="1097" t="s">
        <v>651</v>
      </c>
      <c r="D212" s="1098" t="s">
        <v>2267</v>
      </c>
      <c r="E212" s="1099">
        <v>-720.65</v>
      </c>
      <c r="F212" s="249" t="s">
        <v>8</v>
      </c>
      <c r="G212" s="254" t="s">
        <v>85</v>
      </c>
    </row>
    <row r="213" spans="1:7" s="250" customFormat="1" hidden="1" x14ac:dyDescent="0.3">
      <c r="A213" s="316">
        <v>45960</v>
      </c>
      <c r="B213" s="316" t="s">
        <v>211</v>
      </c>
      <c r="C213" s="1097" t="s">
        <v>105</v>
      </c>
      <c r="D213" s="1098" t="s">
        <v>2264</v>
      </c>
      <c r="E213" s="1099">
        <v>-2962.92</v>
      </c>
      <c r="F213" s="249" t="s">
        <v>8</v>
      </c>
      <c r="G213" s="255" t="s">
        <v>85</v>
      </c>
    </row>
    <row r="214" spans="1:7" s="250" customFormat="1" hidden="1" x14ac:dyDescent="0.3">
      <c r="A214" s="316">
        <v>45960</v>
      </c>
      <c r="B214" s="316" t="s">
        <v>211</v>
      </c>
      <c r="C214" s="1097" t="s">
        <v>33</v>
      </c>
      <c r="D214" s="1098" t="s">
        <v>2264</v>
      </c>
      <c r="E214" s="1099">
        <v>-960.94</v>
      </c>
      <c r="F214" s="249" t="s">
        <v>8</v>
      </c>
      <c r="G214" s="255" t="s">
        <v>85</v>
      </c>
    </row>
    <row r="215" spans="1:7" s="250" customFormat="1" hidden="1" x14ac:dyDescent="0.3">
      <c r="A215" s="316">
        <v>45960</v>
      </c>
      <c r="B215" s="316" t="s">
        <v>211</v>
      </c>
      <c r="C215" s="1097" t="s">
        <v>31</v>
      </c>
      <c r="D215" s="1098" t="s">
        <v>2264</v>
      </c>
      <c r="E215" s="1099">
        <v>-640.66</v>
      </c>
      <c r="F215" s="249" t="s">
        <v>8</v>
      </c>
      <c r="G215" s="255" t="s">
        <v>85</v>
      </c>
    </row>
    <row r="216" spans="1:7" s="250" customFormat="1" hidden="1" x14ac:dyDescent="0.3">
      <c r="A216" s="316">
        <v>45960</v>
      </c>
      <c r="B216" s="316" t="s">
        <v>211</v>
      </c>
      <c r="C216" s="1097" t="s">
        <v>2262</v>
      </c>
      <c r="D216" s="1098" t="s">
        <v>2264</v>
      </c>
      <c r="E216" s="1099">
        <v>-1281.22</v>
      </c>
      <c r="F216" s="249" t="s">
        <v>8</v>
      </c>
      <c r="G216" s="255" t="s">
        <v>85</v>
      </c>
    </row>
    <row r="217" spans="1:7" s="250" customFormat="1" hidden="1" x14ac:dyDescent="0.3">
      <c r="A217" s="316">
        <v>45960</v>
      </c>
      <c r="B217" s="316" t="s">
        <v>211</v>
      </c>
      <c r="C217" s="1097" t="s">
        <v>32</v>
      </c>
      <c r="D217" s="1098" t="s">
        <v>2264</v>
      </c>
      <c r="E217" s="1099">
        <v>-2162.0700000000002</v>
      </c>
      <c r="F217" s="249" t="s">
        <v>8</v>
      </c>
      <c r="G217" s="255" t="s">
        <v>85</v>
      </c>
    </row>
    <row r="218" spans="1:7" s="250" customFormat="1" hidden="1" x14ac:dyDescent="0.3">
      <c r="A218" s="316">
        <v>45960</v>
      </c>
      <c r="B218" s="316" t="s">
        <v>211</v>
      </c>
      <c r="C218" s="1097" t="s">
        <v>1571</v>
      </c>
      <c r="D218" s="1098" t="s">
        <v>2264</v>
      </c>
      <c r="E218" s="1099">
        <v>-1521.51</v>
      </c>
      <c r="F218" s="249" t="s">
        <v>8</v>
      </c>
      <c r="G218" s="255" t="s">
        <v>85</v>
      </c>
    </row>
    <row r="219" spans="1:7" s="250" customFormat="1" hidden="1" x14ac:dyDescent="0.3">
      <c r="A219" s="316">
        <v>45960</v>
      </c>
      <c r="B219" s="316" t="s">
        <v>211</v>
      </c>
      <c r="C219" s="1097" t="s">
        <v>650</v>
      </c>
      <c r="D219" s="1098" t="s">
        <v>2264</v>
      </c>
      <c r="E219" s="1099">
        <v>-1041.04</v>
      </c>
      <c r="F219" s="249" t="s">
        <v>8</v>
      </c>
      <c r="G219" s="255" t="s">
        <v>85</v>
      </c>
    </row>
    <row r="220" spans="1:7" s="250" customFormat="1" hidden="1" x14ac:dyDescent="0.3">
      <c r="A220" s="316">
        <v>45960</v>
      </c>
      <c r="B220" s="316" t="s">
        <v>211</v>
      </c>
      <c r="C220" s="1097" t="s">
        <v>650</v>
      </c>
      <c r="D220" s="1098" t="s">
        <v>2264</v>
      </c>
      <c r="E220" s="1099">
        <v>-3043.01</v>
      </c>
      <c r="F220" s="249" t="s">
        <v>8</v>
      </c>
      <c r="G220" s="255" t="s">
        <v>85</v>
      </c>
    </row>
    <row r="221" spans="1:7" s="250" customFormat="1" hidden="1" x14ac:dyDescent="0.3">
      <c r="A221" s="316">
        <v>45960</v>
      </c>
      <c r="B221" s="316" t="s">
        <v>211</v>
      </c>
      <c r="C221" s="1097" t="s">
        <v>651</v>
      </c>
      <c r="D221" s="1098" t="s">
        <v>2264</v>
      </c>
      <c r="E221" s="1099">
        <v>-880.85</v>
      </c>
      <c r="F221" s="249" t="s">
        <v>8</v>
      </c>
      <c r="G221" s="255" t="s">
        <v>85</v>
      </c>
    </row>
    <row r="222" spans="1:7" s="250" customFormat="1" hidden="1" x14ac:dyDescent="0.3">
      <c r="A222" s="316">
        <v>45960</v>
      </c>
      <c r="B222" s="316" t="s">
        <v>211</v>
      </c>
      <c r="C222" s="1097" t="s">
        <v>6</v>
      </c>
      <c r="D222" s="1098" t="s">
        <v>2266</v>
      </c>
      <c r="E222" s="1099">
        <v>-1601.6</v>
      </c>
      <c r="F222" s="249" t="s">
        <v>8</v>
      </c>
      <c r="G222" s="255" t="s">
        <v>85</v>
      </c>
    </row>
    <row r="223" spans="1:7" s="250" customFormat="1" ht="13.8" hidden="1" x14ac:dyDescent="0.3">
      <c r="A223" s="384">
        <v>45953</v>
      </c>
      <c r="B223" s="384" t="s">
        <v>211</v>
      </c>
      <c r="C223" s="497" t="s">
        <v>44</v>
      </c>
      <c r="D223" s="435" t="s">
        <v>1849</v>
      </c>
      <c r="E223" s="406">
        <v>-5974.17</v>
      </c>
      <c r="F223" s="402" t="s">
        <v>8</v>
      </c>
      <c r="G223" s="403" t="s">
        <v>46</v>
      </c>
    </row>
    <row r="224" spans="1:7" s="250" customFormat="1" ht="13.8" hidden="1" x14ac:dyDescent="0.3">
      <c r="A224" s="384">
        <v>45945</v>
      </c>
      <c r="B224" s="316" t="s">
        <v>211</v>
      </c>
      <c r="C224" s="299" t="s">
        <v>13</v>
      </c>
      <c r="D224" s="300" t="s">
        <v>87</v>
      </c>
      <c r="E224" s="317">
        <v>-1375</v>
      </c>
      <c r="F224" s="255" t="s">
        <v>8</v>
      </c>
      <c r="G224" s="255" t="s">
        <v>41</v>
      </c>
    </row>
    <row r="225" spans="1:7" s="250" customFormat="1" ht="13.8" hidden="1" x14ac:dyDescent="0.3">
      <c r="A225" s="316">
        <v>45936</v>
      </c>
      <c r="B225" s="316" t="s">
        <v>211</v>
      </c>
      <c r="C225" s="299" t="s">
        <v>6</v>
      </c>
      <c r="D225" s="300" t="s">
        <v>42</v>
      </c>
      <c r="E225" s="317">
        <v>-500</v>
      </c>
      <c r="F225" s="249" t="s">
        <v>8</v>
      </c>
      <c r="G225" s="255" t="s">
        <v>41</v>
      </c>
    </row>
    <row r="226" spans="1:7" s="250" customFormat="1" ht="13.8" hidden="1" x14ac:dyDescent="0.3">
      <c r="A226" s="251">
        <v>45960</v>
      </c>
      <c r="B226" s="316" t="s">
        <v>211</v>
      </c>
      <c r="C226" s="299" t="s">
        <v>25</v>
      </c>
      <c r="D226" s="253" t="s">
        <v>1914</v>
      </c>
      <c r="E226" s="317">
        <v>-3996.89</v>
      </c>
      <c r="F226" s="249" t="s">
        <v>8</v>
      </c>
      <c r="G226" s="249" t="s">
        <v>41</v>
      </c>
    </row>
    <row r="227" spans="1:7" s="587" customFormat="1" ht="13.8" hidden="1" x14ac:dyDescent="0.3">
      <c r="A227" s="135">
        <v>45968</v>
      </c>
      <c r="B227" s="100" t="s">
        <v>212</v>
      </c>
      <c r="C227" s="744" t="s">
        <v>31</v>
      </c>
      <c r="D227" s="744" t="s">
        <v>2156</v>
      </c>
      <c r="E227" s="745">
        <v>-11742.92</v>
      </c>
      <c r="F227" s="586" t="s">
        <v>8</v>
      </c>
      <c r="G227" s="791" t="s">
        <v>124</v>
      </c>
    </row>
    <row r="228" spans="1:7" s="587" customFormat="1" ht="13.8" hidden="1" x14ac:dyDescent="0.3">
      <c r="A228" s="135">
        <v>45968</v>
      </c>
      <c r="B228" s="100" t="s">
        <v>212</v>
      </c>
      <c r="C228" s="744" t="s">
        <v>6</v>
      </c>
      <c r="D228" s="744" t="s">
        <v>2157</v>
      </c>
      <c r="E228" s="745">
        <v>-3210.17</v>
      </c>
      <c r="F228" s="586" t="s">
        <v>8</v>
      </c>
      <c r="G228" s="791" t="s">
        <v>124</v>
      </c>
    </row>
    <row r="229" spans="1:7" s="250" customFormat="1" ht="13.8" hidden="1" x14ac:dyDescent="0.3">
      <c r="A229" s="251">
        <v>45952</v>
      </c>
      <c r="B229" s="316" t="s">
        <v>211</v>
      </c>
      <c r="C229" s="293" t="s">
        <v>44</v>
      </c>
      <c r="D229" s="293" t="s">
        <v>1910</v>
      </c>
      <c r="E229" s="248">
        <v>-3624.43</v>
      </c>
      <c r="F229" s="249" t="s">
        <v>8</v>
      </c>
      <c r="G229" s="374" t="s">
        <v>124</v>
      </c>
    </row>
    <row r="230" spans="1:7" s="587" customFormat="1" ht="13.8" hidden="1" x14ac:dyDescent="0.3">
      <c r="A230" s="135">
        <v>45968</v>
      </c>
      <c r="B230" s="100" t="s">
        <v>212</v>
      </c>
      <c r="C230" s="744" t="s">
        <v>25</v>
      </c>
      <c r="D230" s="744" t="s">
        <v>2158</v>
      </c>
      <c r="E230" s="745">
        <v>-8540.8700000000008</v>
      </c>
      <c r="F230" s="586" t="s">
        <v>8</v>
      </c>
      <c r="G230" s="791" t="s">
        <v>124</v>
      </c>
    </row>
    <row r="231" spans="1:7" s="587" customFormat="1" ht="13.8" hidden="1" x14ac:dyDescent="0.3">
      <c r="A231" s="135">
        <v>45968</v>
      </c>
      <c r="B231" s="100" t="s">
        <v>212</v>
      </c>
      <c r="C231" s="744" t="s">
        <v>33</v>
      </c>
      <c r="D231" s="744" t="s">
        <v>2159</v>
      </c>
      <c r="E231" s="745">
        <v>-3673.63</v>
      </c>
      <c r="F231" s="586" t="s">
        <v>8</v>
      </c>
      <c r="G231" s="791" t="s">
        <v>124</v>
      </c>
    </row>
    <row r="232" spans="1:7" s="250" customFormat="1" ht="13.8" hidden="1" x14ac:dyDescent="0.3">
      <c r="A232" s="251">
        <v>45952</v>
      </c>
      <c r="B232" s="316" t="s">
        <v>211</v>
      </c>
      <c r="C232" s="293" t="s">
        <v>104</v>
      </c>
      <c r="D232" s="293" t="s">
        <v>1911</v>
      </c>
      <c r="E232" s="248">
        <v>-3268.65</v>
      </c>
      <c r="F232" s="249" t="s">
        <v>8</v>
      </c>
      <c r="G232" s="374" t="s">
        <v>124</v>
      </c>
    </row>
    <row r="233" spans="1:7" s="587" customFormat="1" ht="13.8" hidden="1" x14ac:dyDescent="0.3">
      <c r="A233" s="135">
        <v>45968</v>
      </c>
      <c r="B233" s="100" t="s">
        <v>212</v>
      </c>
      <c r="C233" s="744" t="s">
        <v>32</v>
      </c>
      <c r="D233" s="744" t="s">
        <v>2160</v>
      </c>
      <c r="E233" s="745">
        <v>-9364.3799999999992</v>
      </c>
      <c r="F233" s="586" t="s">
        <v>8</v>
      </c>
      <c r="G233" s="791" t="s">
        <v>124</v>
      </c>
    </row>
    <row r="234" spans="1:7" s="250" customFormat="1" ht="13.8" hidden="1" x14ac:dyDescent="0.3">
      <c r="A234" s="316">
        <v>45954</v>
      </c>
      <c r="B234" s="316" t="s">
        <v>211</v>
      </c>
      <c r="C234" s="293" t="s">
        <v>71</v>
      </c>
      <c r="D234" s="293" t="s">
        <v>2182</v>
      </c>
      <c r="E234" s="248">
        <v>-4179.75</v>
      </c>
      <c r="F234" s="249" t="s">
        <v>8</v>
      </c>
      <c r="G234" s="374" t="s">
        <v>124</v>
      </c>
    </row>
    <row r="235" spans="1:7" s="587" customFormat="1" ht="13.8" hidden="1" x14ac:dyDescent="0.3">
      <c r="A235" s="135">
        <v>45968</v>
      </c>
      <c r="B235" s="100" t="s">
        <v>212</v>
      </c>
      <c r="C235" s="744" t="s">
        <v>17</v>
      </c>
      <c r="D235" s="744" t="s">
        <v>2161</v>
      </c>
      <c r="E235" s="745">
        <v>-2728.01</v>
      </c>
      <c r="F235" s="586" t="s">
        <v>8</v>
      </c>
      <c r="G235" s="791" t="s">
        <v>124</v>
      </c>
    </row>
    <row r="236" spans="1:7" s="587" customFormat="1" ht="13.8" hidden="1" x14ac:dyDescent="0.3">
      <c r="A236" s="135">
        <v>45968</v>
      </c>
      <c r="B236" s="100" t="s">
        <v>212</v>
      </c>
      <c r="C236" s="744" t="s">
        <v>31</v>
      </c>
      <c r="D236" s="744" t="s">
        <v>2162</v>
      </c>
      <c r="E236" s="745">
        <v>-8066.66</v>
      </c>
      <c r="F236" s="586" t="s">
        <v>8</v>
      </c>
      <c r="G236" s="791" t="s">
        <v>124</v>
      </c>
    </row>
    <row r="237" spans="1:7" s="587" customFormat="1" ht="13.8" hidden="1" x14ac:dyDescent="0.3">
      <c r="A237" s="135">
        <v>45968</v>
      </c>
      <c r="B237" s="100" t="s">
        <v>212</v>
      </c>
      <c r="C237" s="744" t="s">
        <v>6</v>
      </c>
      <c r="D237" s="744" t="s">
        <v>2163</v>
      </c>
      <c r="E237" s="745">
        <v>-19801.12</v>
      </c>
      <c r="F237" s="586" t="s">
        <v>8</v>
      </c>
      <c r="G237" s="791" t="s">
        <v>124</v>
      </c>
    </row>
    <row r="238" spans="1:7" s="250" customFormat="1" ht="13.8" hidden="1" x14ac:dyDescent="0.3">
      <c r="A238" s="251">
        <v>45952</v>
      </c>
      <c r="B238" s="316" t="s">
        <v>211</v>
      </c>
      <c r="C238" s="293" t="s">
        <v>44</v>
      </c>
      <c r="D238" s="293" t="s">
        <v>1913</v>
      </c>
      <c r="E238" s="248">
        <v>-3714.04</v>
      </c>
      <c r="F238" s="249" t="s">
        <v>8</v>
      </c>
      <c r="G238" s="374" t="s">
        <v>124</v>
      </c>
    </row>
    <row r="239" spans="1:7" s="587" customFormat="1" ht="13.8" hidden="1" x14ac:dyDescent="0.3">
      <c r="A239" s="135">
        <v>45968</v>
      </c>
      <c r="B239" s="100" t="s">
        <v>212</v>
      </c>
      <c r="C239" s="744" t="s">
        <v>25</v>
      </c>
      <c r="D239" s="744" t="s">
        <v>2164</v>
      </c>
      <c r="E239" s="745">
        <v>-6269.78</v>
      </c>
      <c r="F239" s="586" t="s">
        <v>8</v>
      </c>
      <c r="G239" s="791" t="s">
        <v>124</v>
      </c>
    </row>
    <row r="240" spans="1:7" s="587" customFormat="1" ht="13.8" hidden="1" x14ac:dyDescent="0.3">
      <c r="A240" s="135">
        <v>45968</v>
      </c>
      <c r="B240" s="100" t="s">
        <v>212</v>
      </c>
      <c r="C240" s="744" t="s">
        <v>33</v>
      </c>
      <c r="D240" s="744" t="s">
        <v>2165</v>
      </c>
      <c r="E240" s="745">
        <v>-1783.89</v>
      </c>
      <c r="F240" s="586" t="s">
        <v>8</v>
      </c>
      <c r="G240" s="791" t="s">
        <v>124</v>
      </c>
    </row>
    <row r="241" spans="1:7" s="250" customFormat="1" ht="13.8" hidden="1" x14ac:dyDescent="0.3">
      <c r="A241" s="251">
        <v>45952</v>
      </c>
      <c r="B241" s="316" t="s">
        <v>211</v>
      </c>
      <c r="C241" s="296" t="s">
        <v>104</v>
      </c>
      <c r="D241" s="293" t="s">
        <v>1912</v>
      </c>
      <c r="E241" s="248">
        <v>-111.42</v>
      </c>
      <c r="F241" s="249" t="s">
        <v>8</v>
      </c>
      <c r="G241" s="374" t="s">
        <v>124</v>
      </c>
    </row>
    <row r="242" spans="1:7" s="587" customFormat="1" ht="13.8" hidden="1" x14ac:dyDescent="0.3">
      <c r="A242" s="135">
        <v>45968</v>
      </c>
      <c r="B242" s="100" t="s">
        <v>212</v>
      </c>
      <c r="C242" s="744" t="s">
        <v>32</v>
      </c>
      <c r="D242" s="744" t="s">
        <v>2166</v>
      </c>
      <c r="E242" s="745">
        <v>-8953.81</v>
      </c>
      <c r="F242" s="586" t="s">
        <v>8</v>
      </c>
      <c r="G242" s="791" t="s">
        <v>124</v>
      </c>
    </row>
    <row r="243" spans="1:7" s="250" customFormat="1" ht="13.8" hidden="1" x14ac:dyDescent="0.3">
      <c r="A243" s="316">
        <v>45954</v>
      </c>
      <c r="B243" s="316" t="s">
        <v>211</v>
      </c>
      <c r="C243" s="293" t="s">
        <v>71</v>
      </c>
      <c r="D243" s="293" t="s">
        <v>2180</v>
      </c>
      <c r="E243" s="248">
        <v>-2113.61</v>
      </c>
      <c r="F243" s="249" t="s">
        <v>8</v>
      </c>
      <c r="G243" s="374" t="s">
        <v>124</v>
      </c>
    </row>
    <row r="244" spans="1:7" s="587" customFormat="1" ht="13.8" hidden="1" x14ac:dyDescent="0.3">
      <c r="A244" s="135">
        <v>45968</v>
      </c>
      <c r="B244" s="100" t="s">
        <v>212</v>
      </c>
      <c r="C244" s="744" t="s">
        <v>17</v>
      </c>
      <c r="D244" s="744" t="s">
        <v>2167</v>
      </c>
      <c r="E244" s="745">
        <v>-14328.98</v>
      </c>
      <c r="F244" s="586" t="s">
        <v>8</v>
      </c>
      <c r="G244" s="791" t="s">
        <v>124</v>
      </c>
    </row>
    <row r="245" spans="1:7" s="250" customFormat="1" ht="13.8" hidden="1" x14ac:dyDescent="0.3">
      <c r="A245" s="322">
        <v>45945</v>
      </c>
      <c r="B245" s="322" t="s">
        <v>211</v>
      </c>
      <c r="C245" s="818" t="s">
        <v>64</v>
      </c>
      <c r="D245" s="462" t="s">
        <v>1915</v>
      </c>
      <c r="E245" s="461">
        <v>-495.03</v>
      </c>
      <c r="F245" s="373" t="s">
        <v>8</v>
      </c>
      <c r="G245" s="270" t="s">
        <v>39</v>
      </c>
    </row>
    <row r="246" spans="1:7" s="164" customFormat="1" ht="13.8" hidden="1" x14ac:dyDescent="0.3">
      <c r="A246" s="123">
        <v>45950</v>
      </c>
      <c r="B246" s="123" t="s">
        <v>211</v>
      </c>
      <c r="C246" s="720" t="s">
        <v>6</v>
      </c>
      <c r="D246" s="770" t="s">
        <v>1927</v>
      </c>
      <c r="E246" s="473">
        <v>60100</v>
      </c>
      <c r="F246" s="65" t="s">
        <v>161</v>
      </c>
      <c r="G246" s="225" t="s">
        <v>153</v>
      </c>
    </row>
    <row r="247" spans="1:7" s="164" customFormat="1" ht="13.8" hidden="1" x14ac:dyDescent="0.3">
      <c r="A247" s="123">
        <v>45952</v>
      </c>
      <c r="B247" s="123" t="s">
        <v>211</v>
      </c>
      <c r="C247" s="720" t="s">
        <v>6</v>
      </c>
      <c r="D247" s="770" t="s">
        <v>1977</v>
      </c>
      <c r="E247" s="473">
        <v>24000</v>
      </c>
      <c r="F247" s="65" t="s">
        <v>161</v>
      </c>
      <c r="G247" s="225" t="s">
        <v>153</v>
      </c>
    </row>
    <row r="248" spans="1:7" s="164" customFormat="1" ht="13.8" hidden="1" x14ac:dyDescent="0.3">
      <c r="A248" s="123">
        <v>45957</v>
      </c>
      <c r="B248" s="123" t="s">
        <v>211</v>
      </c>
      <c r="C248" s="720" t="s">
        <v>44</v>
      </c>
      <c r="D248" s="770" t="s">
        <v>1974</v>
      </c>
      <c r="E248" s="473">
        <v>1028.77</v>
      </c>
      <c r="F248" s="65" t="s">
        <v>161</v>
      </c>
      <c r="G248" s="225" t="s">
        <v>488</v>
      </c>
    </row>
    <row r="249" spans="1:7" s="164" customFormat="1" ht="13.8" hidden="1" x14ac:dyDescent="0.3">
      <c r="A249" s="123">
        <v>45952</v>
      </c>
      <c r="B249" s="123" t="s">
        <v>211</v>
      </c>
      <c r="C249" s="720" t="s">
        <v>1070</v>
      </c>
      <c r="D249" s="770" t="s">
        <v>1980</v>
      </c>
      <c r="E249" s="906">
        <v>7000</v>
      </c>
      <c r="F249" s="65" t="s">
        <v>161</v>
      </c>
      <c r="G249" s="225" t="s">
        <v>1071</v>
      </c>
    </row>
    <row r="250" spans="1:7" s="164" customFormat="1" ht="13.8" hidden="1" x14ac:dyDescent="0.3">
      <c r="A250" s="123">
        <v>45952</v>
      </c>
      <c r="B250" s="123" t="s">
        <v>211</v>
      </c>
      <c r="C250" s="720" t="s">
        <v>44</v>
      </c>
      <c r="D250" s="770" t="s">
        <v>1987</v>
      </c>
      <c r="E250" s="906">
        <v>231.74</v>
      </c>
      <c r="F250" s="65" t="s">
        <v>161</v>
      </c>
      <c r="G250" s="225" t="s">
        <v>488</v>
      </c>
    </row>
    <row r="251" spans="1:7" s="164" customFormat="1" ht="13.8" hidden="1" x14ac:dyDescent="0.3">
      <c r="A251" s="123">
        <v>45952</v>
      </c>
      <c r="B251" s="123" t="s">
        <v>211</v>
      </c>
      <c r="C251" s="720" t="s">
        <v>44</v>
      </c>
      <c r="D251" s="770" t="s">
        <v>1979</v>
      </c>
      <c r="E251" s="906">
        <v>219.95</v>
      </c>
      <c r="F251" s="65" t="s">
        <v>161</v>
      </c>
      <c r="G251" s="225" t="s">
        <v>488</v>
      </c>
    </row>
    <row r="252" spans="1:7" s="164" customFormat="1" ht="13.8" hidden="1" x14ac:dyDescent="0.3">
      <c r="A252" s="123">
        <v>45953</v>
      </c>
      <c r="B252" s="123" t="s">
        <v>211</v>
      </c>
      <c r="C252" s="720" t="s">
        <v>6</v>
      </c>
      <c r="D252" s="770" t="s">
        <v>1978</v>
      </c>
      <c r="E252" s="906">
        <v>698018.08</v>
      </c>
      <c r="F252" s="65" t="s">
        <v>161</v>
      </c>
      <c r="G252" s="225" t="s">
        <v>162</v>
      </c>
    </row>
    <row r="253" spans="1:7" s="164" customFormat="1" ht="13.8" hidden="1" x14ac:dyDescent="0.3">
      <c r="A253" s="123">
        <v>45950</v>
      </c>
      <c r="B253" s="123" t="s">
        <v>211</v>
      </c>
      <c r="C253" s="720" t="s">
        <v>6</v>
      </c>
      <c r="D253" s="770" t="s">
        <v>1955</v>
      </c>
      <c r="E253" s="473">
        <v>18500</v>
      </c>
      <c r="F253" s="65" t="s">
        <v>161</v>
      </c>
      <c r="G253" s="225" t="s">
        <v>174</v>
      </c>
    </row>
    <row r="254" spans="1:7" s="250" customFormat="1" ht="13.8" hidden="1" x14ac:dyDescent="0.3">
      <c r="A254" s="316">
        <v>45950</v>
      </c>
      <c r="B254" s="316" t="s">
        <v>211</v>
      </c>
      <c r="C254" s="371" t="s">
        <v>6</v>
      </c>
      <c r="D254" s="300" t="s">
        <v>213</v>
      </c>
      <c r="E254" s="317">
        <v>-55067.37</v>
      </c>
      <c r="F254" s="249" t="s">
        <v>8</v>
      </c>
      <c r="G254" s="255" t="s">
        <v>27</v>
      </c>
    </row>
    <row r="255" spans="1:7" s="250" customFormat="1" ht="13.8" hidden="1" x14ac:dyDescent="0.3">
      <c r="A255" s="384">
        <v>45940</v>
      </c>
      <c r="B255" s="384" t="s">
        <v>211</v>
      </c>
      <c r="C255" s="385" t="s">
        <v>13</v>
      </c>
      <c r="D255" s="435" t="s">
        <v>210</v>
      </c>
      <c r="E255" s="406">
        <v>-33617.18</v>
      </c>
      <c r="F255" s="402" t="s">
        <v>8</v>
      </c>
      <c r="G255" s="403" t="s">
        <v>27</v>
      </c>
    </row>
    <row r="256" spans="1:7" s="250" customFormat="1" ht="13.8" hidden="1" x14ac:dyDescent="0.3">
      <c r="A256" s="251">
        <v>45937</v>
      </c>
      <c r="B256" s="316" t="s">
        <v>211</v>
      </c>
      <c r="C256" s="299" t="s">
        <v>13</v>
      </c>
      <c r="D256" s="253" t="s">
        <v>1741</v>
      </c>
      <c r="E256" s="248">
        <v>-1700</v>
      </c>
      <c r="F256" s="249" t="s">
        <v>8</v>
      </c>
      <c r="G256" s="255" t="s">
        <v>27</v>
      </c>
    </row>
    <row r="257" spans="1:8" s="250" customFormat="1" ht="13.8" hidden="1" x14ac:dyDescent="0.3">
      <c r="A257" s="251">
        <v>45937</v>
      </c>
      <c r="B257" s="316" t="s">
        <v>211</v>
      </c>
      <c r="C257" s="299" t="s">
        <v>13</v>
      </c>
      <c r="D257" s="253" t="s">
        <v>1742</v>
      </c>
      <c r="E257" s="248">
        <v>-589</v>
      </c>
      <c r="F257" s="249" t="s">
        <v>8</v>
      </c>
      <c r="G257" s="255" t="s">
        <v>27</v>
      </c>
    </row>
    <row r="258" spans="1:8" s="250" customFormat="1" ht="13.8" hidden="1" x14ac:dyDescent="0.3">
      <c r="A258" s="251">
        <v>45937</v>
      </c>
      <c r="B258" s="316" t="s">
        <v>211</v>
      </c>
      <c r="C258" s="299" t="s">
        <v>13</v>
      </c>
      <c r="D258" s="253" t="s">
        <v>1743</v>
      </c>
      <c r="E258" s="248">
        <v>-630</v>
      </c>
      <c r="F258" s="249" t="s">
        <v>8</v>
      </c>
      <c r="G258" s="255" t="s">
        <v>27</v>
      </c>
    </row>
    <row r="259" spans="1:8" s="250" customFormat="1" ht="13.8" hidden="1" x14ac:dyDescent="0.3">
      <c r="A259" s="251">
        <v>45937</v>
      </c>
      <c r="B259" s="316" t="s">
        <v>211</v>
      </c>
      <c r="C259" s="299" t="s">
        <v>13</v>
      </c>
      <c r="D259" s="253" t="s">
        <v>1744</v>
      </c>
      <c r="E259" s="248">
        <v>-1750</v>
      </c>
      <c r="F259" s="249" t="s">
        <v>8</v>
      </c>
      <c r="G259" s="255" t="s">
        <v>27</v>
      </c>
    </row>
    <row r="260" spans="1:8" s="250" customFormat="1" ht="13.8" hidden="1" x14ac:dyDescent="0.3">
      <c r="A260" s="251">
        <v>45937</v>
      </c>
      <c r="B260" s="316" t="s">
        <v>211</v>
      </c>
      <c r="C260" s="299" t="s">
        <v>13</v>
      </c>
      <c r="D260" s="253" t="s">
        <v>1745</v>
      </c>
      <c r="E260" s="248">
        <v>-1700</v>
      </c>
      <c r="F260" s="249" t="s">
        <v>8</v>
      </c>
      <c r="G260" s="255" t="s">
        <v>27</v>
      </c>
    </row>
    <row r="261" spans="1:8" s="250" customFormat="1" ht="13.8" hidden="1" x14ac:dyDescent="0.3">
      <c r="A261" s="251">
        <v>45937</v>
      </c>
      <c r="B261" s="316" t="s">
        <v>211</v>
      </c>
      <c r="C261" s="299" t="s">
        <v>13</v>
      </c>
      <c r="D261" s="396" t="s">
        <v>1746</v>
      </c>
      <c r="E261" s="344">
        <v>-1140</v>
      </c>
      <c r="F261" s="373" t="s">
        <v>8</v>
      </c>
      <c r="G261" s="270" t="s">
        <v>27</v>
      </c>
    </row>
    <row r="262" spans="1:8" s="250" customFormat="1" ht="13.8" hidden="1" x14ac:dyDescent="0.3">
      <c r="A262" s="322">
        <v>45937</v>
      </c>
      <c r="B262" s="322" t="s">
        <v>211</v>
      </c>
      <c r="C262" s="366" t="s">
        <v>13</v>
      </c>
      <c r="D262" s="462" t="s">
        <v>47</v>
      </c>
      <c r="E262" s="461">
        <v>-6270</v>
      </c>
      <c r="F262" s="373" t="s">
        <v>8</v>
      </c>
      <c r="G262" s="270" t="s">
        <v>27</v>
      </c>
    </row>
    <row r="263" spans="1:8" s="250" customFormat="1" ht="13.8" hidden="1" x14ac:dyDescent="0.3">
      <c r="A263" s="316">
        <v>45954</v>
      </c>
      <c r="B263" s="316" t="s">
        <v>211</v>
      </c>
      <c r="C263" s="299" t="s">
        <v>13</v>
      </c>
      <c r="D263" s="299" t="s">
        <v>2133</v>
      </c>
      <c r="E263" s="317">
        <v>-1080</v>
      </c>
      <c r="F263" s="249" t="s">
        <v>8</v>
      </c>
      <c r="G263" s="255" t="s">
        <v>27</v>
      </c>
      <c r="H263" s="250">
        <v>6475</v>
      </c>
    </row>
    <row r="264" spans="1:8" s="250" customFormat="1" ht="13.8" hidden="1" x14ac:dyDescent="0.3">
      <c r="A264" s="316">
        <v>45953</v>
      </c>
      <c r="B264" s="316" t="s">
        <v>211</v>
      </c>
      <c r="C264" s="371" t="s">
        <v>13</v>
      </c>
      <c r="D264" s="300" t="s">
        <v>2133</v>
      </c>
      <c r="E264" s="317">
        <v>-5395</v>
      </c>
      <c r="F264" s="249" t="s">
        <v>8</v>
      </c>
      <c r="G264" s="255" t="s">
        <v>27</v>
      </c>
      <c r="H264" s="250">
        <v>6475</v>
      </c>
    </row>
    <row r="265" spans="1:8" s="462" customFormat="1" ht="13.8" hidden="1" x14ac:dyDescent="0.3">
      <c r="A265" s="487">
        <v>45959</v>
      </c>
      <c r="B265" s="322" t="s">
        <v>211</v>
      </c>
      <c r="C265" s="372" t="s">
        <v>25</v>
      </c>
      <c r="D265" s="372" t="s">
        <v>1527</v>
      </c>
      <c r="E265" s="344">
        <v>-2522.12</v>
      </c>
      <c r="F265" s="373" t="s">
        <v>8</v>
      </c>
      <c r="G265" s="266" t="s">
        <v>153</v>
      </c>
      <c r="H265" s="1169"/>
    </row>
    <row r="266" spans="1:8" s="1168" customFormat="1" ht="13.8" hidden="1" x14ac:dyDescent="0.3">
      <c r="A266" s="78">
        <v>45988</v>
      </c>
      <c r="B266" s="100" t="s">
        <v>212</v>
      </c>
      <c r="C266" s="14" t="s">
        <v>71</v>
      </c>
      <c r="D266" s="14" t="s">
        <v>229</v>
      </c>
      <c r="E266" s="8">
        <v>-1483.64</v>
      </c>
      <c r="F266" s="13" t="s">
        <v>8</v>
      </c>
      <c r="G266" s="9" t="s">
        <v>227</v>
      </c>
    </row>
    <row r="267" spans="1:8" s="1168" customFormat="1" ht="13.8" hidden="1" x14ac:dyDescent="0.3">
      <c r="A267" s="78">
        <v>45988</v>
      </c>
      <c r="B267" s="100" t="s">
        <v>212</v>
      </c>
      <c r="C267" s="14" t="s">
        <v>25</v>
      </c>
      <c r="D267" s="14" t="s">
        <v>1527</v>
      </c>
      <c r="E267" s="8">
        <v>-2517.84</v>
      </c>
      <c r="F267" s="13" t="s">
        <v>8</v>
      </c>
      <c r="G267" s="9" t="s">
        <v>153</v>
      </c>
    </row>
    <row r="268" spans="1:8" s="109" customFormat="1" ht="13.8" hidden="1" x14ac:dyDescent="0.3">
      <c r="A268" s="87">
        <v>46020</v>
      </c>
      <c r="B268" s="146" t="s">
        <v>216</v>
      </c>
      <c r="C268" s="96" t="s">
        <v>25</v>
      </c>
      <c r="D268" s="96" t="s">
        <v>1527</v>
      </c>
      <c r="E268" s="89">
        <v>-2517.84</v>
      </c>
      <c r="F268" s="110" t="s">
        <v>8</v>
      </c>
      <c r="G268" s="70" t="s">
        <v>153</v>
      </c>
    </row>
    <row r="269" spans="1:8" s="462" customFormat="1" ht="13.8" hidden="1" x14ac:dyDescent="0.3">
      <c r="A269" s="308">
        <v>45959</v>
      </c>
      <c r="B269" s="322" t="s">
        <v>211</v>
      </c>
      <c r="C269" s="372" t="s">
        <v>25</v>
      </c>
      <c r="D269" s="372" t="s">
        <v>1527</v>
      </c>
      <c r="E269" s="344">
        <v>-355.6</v>
      </c>
      <c r="F269" s="373" t="s">
        <v>8</v>
      </c>
      <c r="G269" s="266" t="s">
        <v>153</v>
      </c>
      <c r="H269" s="1169"/>
    </row>
    <row r="270" spans="1:8" s="1168" customFormat="1" ht="13.8" hidden="1" x14ac:dyDescent="0.3">
      <c r="A270" s="78">
        <v>45988</v>
      </c>
      <c r="B270" s="100" t="s">
        <v>212</v>
      </c>
      <c r="C270" s="14" t="s">
        <v>25</v>
      </c>
      <c r="D270" s="14" t="s">
        <v>1527</v>
      </c>
      <c r="E270" s="8">
        <v>-355</v>
      </c>
      <c r="F270" s="13" t="s">
        <v>8</v>
      </c>
      <c r="G270" s="9" t="s">
        <v>153</v>
      </c>
    </row>
    <row r="271" spans="1:8" s="195" customFormat="1" ht="13.8" hidden="1" x14ac:dyDescent="0.3">
      <c r="A271" s="189">
        <v>46020</v>
      </c>
      <c r="B271" s="188" t="s">
        <v>216</v>
      </c>
      <c r="C271" s="102" t="s">
        <v>25</v>
      </c>
      <c r="D271" s="102" t="s">
        <v>1527</v>
      </c>
      <c r="E271" s="190">
        <v>-355</v>
      </c>
      <c r="F271" s="80" t="s">
        <v>8</v>
      </c>
      <c r="G271" s="191" t="s">
        <v>153</v>
      </c>
    </row>
    <row r="272" spans="1:8" s="250" customFormat="1" ht="13.8" hidden="1" x14ac:dyDescent="0.3">
      <c r="A272" s="251">
        <v>45960</v>
      </c>
      <c r="B272" s="316" t="s">
        <v>211</v>
      </c>
      <c r="C272" s="293" t="s">
        <v>44</v>
      </c>
      <c r="D272" s="293" t="s">
        <v>2197</v>
      </c>
      <c r="E272" s="248">
        <v>-4070.92</v>
      </c>
      <c r="F272" s="249" t="s">
        <v>8</v>
      </c>
      <c r="G272" s="254" t="s">
        <v>1279</v>
      </c>
    </row>
    <row r="273" spans="1:7" s="587" customFormat="1" ht="13.8" hidden="1" x14ac:dyDescent="0.3">
      <c r="A273" s="1042">
        <v>45968</v>
      </c>
      <c r="B273" s="585" t="s">
        <v>212</v>
      </c>
      <c r="C273" s="744" t="s">
        <v>71</v>
      </c>
      <c r="D273" s="744" t="s">
        <v>2198</v>
      </c>
      <c r="E273" s="745">
        <v>-643.77007900000001</v>
      </c>
      <c r="F273" s="586" t="s">
        <v>8</v>
      </c>
      <c r="G273" s="1044" t="s">
        <v>1279</v>
      </c>
    </row>
    <row r="274" spans="1:7" s="250" customFormat="1" ht="13.8" hidden="1" x14ac:dyDescent="0.3">
      <c r="A274" s="404">
        <v>45959</v>
      </c>
      <c r="B274" s="384" t="s">
        <v>211</v>
      </c>
      <c r="C274" s="405" t="s">
        <v>25</v>
      </c>
      <c r="D274" s="405" t="s">
        <v>1704</v>
      </c>
      <c r="E274" s="406">
        <v>-321</v>
      </c>
      <c r="F274" s="402" t="s">
        <v>8</v>
      </c>
      <c r="G274" s="403" t="s">
        <v>82</v>
      </c>
    </row>
    <row r="275" spans="1:7" s="250" customFormat="1" ht="13.8" hidden="1" x14ac:dyDescent="0.3">
      <c r="A275" s="404">
        <v>45959</v>
      </c>
      <c r="B275" s="316" t="s">
        <v>211</v>
      </c>
      <c r="C275" s="293" t="s">
        <v>25</v>
      </c>
      <c r="D275" s="296" t="s">
        <v>433</v>
      </c>
      <c r="E275" s="248">
        <v>-177</v>
      </c>
      <c r="F275" s="249" t="s">
        <v>8</v>
      </c>
      <c r="G275" s="254" t="s">
        <v>82</v>
      </c>
    </row>
    <row r="276" spans="1:7" s="250" customFormat="1" ht="13.8" hidden="1" x14ac:dyDescent="0.3">
      <c r="A276" s="404">
        <v>45959</v>
      </c>
      <c r="B276" s="316" t="s">
        <v>211</v>
      </c>
      <c r="C276" s="293" t="s">
        <v>25</v>
      </c>
      <c r="D276" s="296" t="s">
        <v>2185</v>
      </c>
      <c r="E276" s="248">
        <v>-177</v>
      </c>
      <c r="F276" s="249" t="s">
        <v>8</v>
      </c>
      <c r="G276" s="254" t="s">
        <v>82</v>
      </c>
    </row>
    <row r="277" spans="1:7" s="250" customFormat="1" ht="13.8" hidden="1" x14ac:dyDescent="0.3">
      <c r="A277" s="404">
        <v>45959</v>
      </c>
      <c r="B277" s="316" t="s">
        <v>211</v>
      </c>
      <c r="C277" s="293" t="s">
        <v>1571</v>
      </c>
      <c r="D277" s="296" t="s">
        <v>2186</v>
      </c>
      <c r="E277" s="248">
        <v>-2826.2</v>
      </c>
      <c r="F277" s="249" t="s">
        <v>8</v>
      </c>
      <c r="G277" s="254" t="s">
        <v>82</v>
      </c>
    </row>
    <row r="278" spans="1:7" s="250" customFormat="1" ht="13.8" hidden="1" x14ac:dyDescent="0.3">
      <c r="A278" s="404">
        <v>45959</v>
      </c>
      <c r="B278" s="316" t="s">
        <v>211</v>
      </c>
      <c r="C278" s="293" t="s">
        <v>25</v>
      </c>
      <c r="D278" s="293" t="s">
        <v>921</v>
      </c>
      <c r="E278" s="248">
        <v>-240</v>
      </c>
      <c r="F278" s="249" t="s">
        <v>8</v>
      </c>
      <c r="G278" s="254" t="s">
        <v>82</v>
      </c>
    </row>
    <row r="279" spans="1:7" s="250" customFormat="1" ht="13.2" hidden="1" customHeight="1" x14ac:dyDescent="0.3">
      <c r="A279" s="251">
        <v>45959</v>
      </c>
      <c r="B279" s="316" t="s">
        <v>211</v>
      </c>
      <c r="C279" s="293" t="s">
        <v>31</v>
      </c>
      <c r="D279" s="293" t="s">
        <v>1627</v>
      </c>
      <c r="E279" s="248">
        <v>-1500</v>
      </c>
      <c r="F279" s="249" t="s">
        <v>8</v>
      </c>
      <c r="G279" s="254" t="s">
        <v>186</v>
      </c>
    </row>
    <row r="280" spans="1:7" s="139" customFormat="1" ht="13.8" hidden="1" x14ac:dyDescent="0.3">
      <c r="A280" s="78">
        <v>45989</v>
      </c>
      <c r="B280" s="100" t="s">
        <v>212</v>
      </c>
      <c r="C280" s="14" t="s">
        <v>31</v>
      </c>
      <c r="D280" s="14" t="s">
        <v>1630</v>
      </c>
      <c r="E280" s="89">
        <v>-1500</v>
      </c>
      <c r="F280" s="110" t="s">
        <v>8</v>
      </c>
      <c r="G280" s="70" t="s">
        <v>186</v>
      </c>
    </row>
    <row r="281" spans="1:7" s="139" customFormat="1" ht="13.8" hidden="1" x14ac:dyDescent="0.3">
      <c r="A281" s="78">
        <v>46020</v>
      </c>
      <c r="B281" s="100" t="s">
        <v>216</v>
      </c>
      <c r="C281" s="14" t="s">
        <v>31</v>
      </c>
      <c r="D281" s="14" t="s">
        <v>1631</v>
      </c>
      <c r="E281" s="8">
        <v>-1500</v>
      </c>
      <c r="F281" s="13" t="s">
        <v>8</v>
      </c>
      <c r="G281" s="9" t="s">
        <v>186</v>
      </c>
    </row>
    <row r="282" spans="1:7" s="250" customFormat="1" ht="13.8" hidden="1" x14ac:dyDescent="0.3">
      <c r="A282" s="251">
        <v>45959</v>
      </c>
      <c r="B282" s="316" t="s">
        <v>211</v>
      </c>
      <c r="C282" s="293" t="s">
        <v>31</v>
      </c>
      <c r="D282" s="296" t="s">
        <v>1628</v>
      </c>
      <c r="E282" s="248">
        <v>-1000</v>
      </c>
      <c r="F282" s="249" t="s">
        <v>8</v>
      </c>
      <c r="G282" s="254" t="s">
        <v>186</v>
      </c>
    </row>
    <row r="283" spans="1:7" s="139" customFormat="1" ht="27.6" hidden="1" x14ac:dyDescent="0.3">
      <c r="A283" s="78">
        <v>45989</v>
      </c>
      <c r="B283" s="100" t="s">
        <v>212</v>
      </c>
      <c r="C283" s="14" t="s">
        <v>31</v>
      </c>
      <c r="D283" s="14" t="s">
        <v>1628</v>
      </c>
      <c r="E283" s="89">
        <v>-1000</v>
      </c>
      <c r="F283" s="110" t="s">
        <v>8</v>
      </c>
      <c r="G283" s="70" t="s">
        <v>186</v>
      </c>
    </row>
    <row r="284" spans="1:7" s="139" customFormat="1" ht="13.8" hidden="1" x14ac:dyDescent="0.3">
      <c r="A284" s="78">
        <v>46020</v>
      </c>
      <c r="B284" s="100" t="s">
        <v>216</v>
      </c>
      <c r="C284" s="14" t="s">
        <v>31</v>
      </c>
      <c r="D284" s="14" t="s">
        <v>1628</v>
      </c>
      <c r="E284" s="8">
        <v>-1000</v>
      </c>
      <c r="F284" s="13" t="s">
        <v>8</v>
      </c>
      <c r="G284" s="9" t="s">
        <v>186</v>
      </c>
    </row>
    <row r="285" spans="1:7" s="250" customFormat="1" ht="12.6" hidden="1" customHeight="1" x14ac:dyDescent="0.3">
      <c r="A285" s="251">
        <v>45959</v>
      </c>
      <c r="B285" s="316" t="s">
        <v>211</v>
      </c>
      <c r="C285" s="293" t="s">
        <v>6</v>
      </c>
      <c r="D285" s="296" t="s">
        <v>1629</v>
      </c>
      <c r="E285" s="248">
        <v>-1000</v>
      </c>
      <c r="F285" s="249" t="s">
        <v>8</v>
      </c>
      <c r="G285" s="254" t="s">
        <v>186</v>
      </c>
    </row>
    <row r="286" spans="1:7" s="139" customFormat="1" ht="13.8" hidden="1" x14ac:dyDescent="0.3">
      <c r="A286" s="78">
        <v>45989</v>
      </c>
      <c r="B286" s="100" t="s">
        <v>212</v>
      </c>
      <c r="C286" s="14" t="s">
        <v>6</v>
      </c>
      <c r="D286" s="14" t="s">
        <v>1629</v>
      </c>
      <c r="E286" s="89">
        <v>-1000</v>
      </c>
      <c r="F286" s="110" t="s">
        <v>8</v>
      </c>
      <c r="G286" s="70" t="s">
        <v>186</v>
      </c>
    </row>
    <row r="287" spans="1:7" s="139" customFormat="1" ht="13.8" hidden="1" x14ac:dyDescent="0.3">
      <c r="A287" s="78">
        <v>46020</v>
      </c>
      <c r="B287" s="100" t="s">
        <v>216</v>
      </c>
      <c r="C287" s="14" t="s">
        <v>6</v>
      </c>
      <c r="D287" s="14" t="s">
        <v>1629</v>
      </c>
      <c r="E287" s="8">
        <v>-1000</v>
      </c>
      <c r="F287" s="13" t="s">
        <v>8</v>
      </c>
      <c r="G287" s="9" t="s">
        <v>186</v>
      </c>
    </row>
    <row r="288" spans="1:7" s="250" customFormat="1" ht="13.2" hidden="1" customHeight="1" x14ac:dyDescent="0.3">
      <c r="A288" s="404">
        <v>45959</v>
      </c>
      <c r="B288" s="384" t="s">
        <v>211</v>
      </c>
      <c r="C288" s="293" t="s">
        <v>44</v>
      </c>
      <c r="D288" s="296" t="s">
        <v>1633</v>
      </c>
      <c r="E288" s="248">
        <v>-3800</v>
      </c>
      <c r="F288" s="249" t="s">
        <v>8</v>
      </c>
      <c r="G288" s="254" t="s">
        <v>186</v>
      </c>
    </row>
    <row r="289" spans="1:7" s="139" customFormat="1" ht="13.2" hidden="1" customHeight="1" x14ac:dyDescent="0.3">
      <c r="A289" s="87">
        <v>45989</v>
      </c>
      <c r="B289" s="146" t="s">
        <v>212</v>
      </c>
      <c r="C289" s="14" t="s">
        <v>44</v>
      </c>
      <c r="D289" s="14" t="s">
        <v>1632</v>
      </c>
      <c r="E289" s="486">
        <v>-3800</v>
      </c>
      <c r="F289" s="110" t="s">
        <v>8</v>
      </c>
      <c r="G289" s="630" t="s">
        <v>186</v>
      </c>
    </row>
    <row r="290" spans="1:7" s="139" customFormat="1" ht="13.2" hidden="1" customHeight="1" x14ac:dyDescent="0.3">
      <c r="A290" s="189">
        <v>46020</v>
      </c>
      <c r="B290" s="188" t="s">
        <v>216</v>
      </c>
      <c r="C290" s="97" t="s">
        <v>44</v>
      </c>
      <c r="D290" s="97" t="s">
        <v>1634</v>
      </c>
      <c r="E290" s="1020">
        <v>-3800</v>
      </c>
      <c r="F290" s="80" t="s">
        <v>8</v>
      </c>
      <c r="G290" s="1021" t="s">
        <v>186</v>
      </c>
    </row>
    <row r="291" spans="1:7" s="250" customFormat="1" ht="13.8" hidden="1" x14ac:dyDescent="0.3">
      <c r="A291" s="251">
        <v>45961</v>
      </c>
      <c r="B291" s="316" t="s">
        <v>211</v>
      </c>
      <c r="C291" s="299" t="s">
        <v>13</v>
      </c>
      <c r="D291" s="300" t="s">
        <v>2131</v>
      </c>
      <c r="E291" s="317">
        <v>-535.1</v>
      </c>
      <c r="F291" s="249" t="s">
        <v>8</v>
      </c>
      <c r="G291" s="255" t="s">
        <v>68</v>
      </c>
    </row>
    <row r="292" spans="1:7" s="250" customFormat="1" ht="13.8" hidden="1" x14ac:dyDescent="0.3">
      <c r="A292" s="316">
        <v>45960</v>
      </c>
      <c r="B292" s="316" t="s">
        <v>211</v>
      </c>
      <c r="C292" s="299" t="s">
        <v>17</v>
      </c>
      <c r="D292" s="300" t="s">
        <v>2128</v>
      </c>
      <c r="E292" s="317">
        <v>-144.91999999999999</v>
      </c>
      <c r="F292" s="249" t="s">
        <v>8</v>
      </c>
      <c r="G292" s="255" t="s">
        <v>68</v>
      </c>
    </row>
    <row r="293" spans="1:7" s="143" customFormat="1" ht="13.8" hidden="1" x14ac:dyDescent="0.3">
      <c r="A293" s="513">
        <v>45940</v>
      </c>
      <c r="B293" s="513" t="s">
        <v>211</v>
      </c>
      <c r="C293" s="514" t="s">
        <v>174</v>
      </c>
      <c r="D293" s="515" t="s">
        <v>176</v>
      </c>
      <c r="E293" s="516">
        <v>680.03</v>
      </c>
      <c r="F293" s="166" t="s">
        <v>161</v>
      </c>
      <c r="G293" s="517" t="s">
        <v>162</v>
      </c>
    </row>
    <row r="294" spans="1:7" s="267" customFormat="1" ht="13.8" hidden="1" x14ac:dyDescent="0.3">
      <c r="A294" s="251">
        <v>45960</v>
      </c>
      <c r="B294" s="316" t="s">
        <v>211</v>
      </c>
      <c r="C294" s="293" t="s">
        <v>1636</v>
      </c>
      <c r="D294" s="293" t="s">
        <v>1642</v>
      </c>
      <c r="E294" s="248">
        <v>-99.49</v>
      </c>
      <c r="F294" s="254" t="s">
        <v>8</v>
      </c>
      <c r="G294" s="254" t="s">
        <v>58</v>
      </c>
    </row>
    <row r="295" spans="1:7" s="143" customFormat="1" ht="13.8" hidden="1" x14ac:dyDescent="0.3">
      <c r="A295" s="87">
        <v>45989</v>
      </c>
      <c r="B295" s="146" t="s">
        <v>212</v>
      </c>
      <c r="C295" s="96" t="s">
        <v>1636</v>
      </c>
      <c r="D295" s="96" t="s">
        <v>1637</v>
      </c>
      <c r="E295" s="89">
        <v>-99.49</v>
      </c>
      <c r="F295" s="70" t="s">
        <v>8</v>
      </c>
      <c r="G295" s="70" t="s">
        <v>58</v>
      </c>
    </row>
    <row r="296" spans="1:7" s="143" customFormat="1" ht="13.8" hidden="1" x14ac:dyDescent="0.3">
      <c r="A296" s="74">
        <v>46020</v>
      </c>
      <c r="B296" s="113" t="s">
        <v>216</v>
      </c>
      <c r="C296" s="97" t="s">
        <v>1636</v>
      </c>
      <c r="D296" s="97" t="s">
        <v>1637</v>
      </c>
      <c r="E296" s="77">
        <v>-99.49</v>
      </c>
      <c r="F296" s="91" t="s">
        <v>8</v>
      </c>
      <c r="G296" s="91" t="s">
        <v>58</v>
      </c>
    </row>
    <row r="297" spans="1:7" s="210" customFormat="1" ht="13.8" hidden="1" x14ac:dyDescent="0.3">
      <c r="A297" s="429">
        <v>45960</v>
      </c>
      <c r="B297" s="375" t="s">
        <v>211</v>
      </c>
      <c r="C297" s="661" t="s">
        <v>31</v>
      </c>
      <c r="D297" s="661" t="s">
        <v>1638</v>
      </c>
      <c r="E297" s="662">
        <v>-106.54</v>
      </c>
      <c r="F297" s="209" t="s">
        <v>8</v>
      </c>
      <c r="G297" s="431" t="s">
        <v>124</v>
      </c>
    </row>
    <row r="298" spans="1:7" s="250" customFormat="1" ht="13.8" hidden="1" x14ac:dyDescent="0.3">
      <c r="A298" s="251">
        <v>45960</v>
      </c>
      <c r="B298" s="316" t="s">
        <v>211</v>
      </c>
      <c r="C298" s="293" t="s">
        <v>44</v>
      </c>
      <c r="D298" s="293" t="s">
        <v>1640</v>
      </c>
      <c r="E298" s="248">
        <v>-111.85</v>
      </c>
      <c r="F298" s="254" t="s">
        <v>8</v>
      </c>
      <c r="G298" s="374" t="s">
        <v>124</v>
      </c>
    </row>
    <row r="299" spans="1:7" s="210" customFormat="1" ht="13.8" hidden="1" x14ac:dyDescent="0.3">
      <c r="A299" s="429">
        <v>45960</v>
      </c>
      <c r="B299" s="375" t="s">
        <v>211</v>
      </c>
      <c r="C299" s="661" t="s">
        <v>33</v>
      </c>
      <c r="D299" s="661" t="s">
        <v>1639</v>
      </c>
      <c r="E299" s="662">
        <v>-106.55</v>
      </c>
      <c r="F299" s="209" t="s">
        <v>8</v>
      </c>
      <c r="G299" s="431" t="s">
        <v>124</v>
      </c>
    </row>
    <row r="300" spans="1:7" s="267" customFormat="1" ht="13.8" hidden="1" x14ac:dyDescent="0.3">
      <c r="A300" s="251">
        <v>45960</v>
      </c>
      <c r="B300" s="316" t="s">
        <v>211</v>
      </c>
      <c r="C300" s="293" t="s">
        <v>32</v>
      </c>
      <c r="D300" s="293" t="s">
        <v>1641</v>
      </c>
      <c r="E300" s="248">
        <v>-106.54</v>
      </c>
      <c r="F300" s="254" t="s">
        <v>8</v>
      </c>
      <c r="G300" s="374" t="s">
        <v>124</v>
      </c>
    </row>
    <row r="301" spans="1:7" s="267" customFormat="1" ht="13.8" hidden="1" x14ac:dyDescent="0.3">
      <c r="A301" s="251">
        <v>45960</v>
      </c>
      <c r="B301" s="316" t="s">
        <v>211</v>
      </c>
      <c r="C301" s="293" t="s">
        <v>6</v>
      </c>
      <c r="D301" s="293" t="s">
        <v>1874</v>
      </c>
      <c r="E301" s="248">
        <v>-106.58</v>
      </c>
      <c r="F301" s="254" t="s">
        <v>8</v>
      </c>
      <c r="G301" s="374" t="s">
        <v>124</v>
      </c>
    </row>
    <row r="302" spans="1:7" s="143" customFormat="1" ht="13.8" hidden="1" x14ac:dyDescent="0.3">
      <c r="A302" s="87">
        <v>45989</v>
      </c>
      <c r="B302" s="146" t="s">
        <v>212</v>
      </c>
      <c r="C302" s="96" t="s">
        <v>6</v>
      </c>
      <c r="D302" s="96" t="s">
        <v>1644</v>
      </c>
      <c r="E302" s="89">
        <v>-106.58</v>
      </c>
      <c r="F302" s="191" t="s">
        <v>8</v>
      </c>
      <c r="G302" s="1027" t="s">
        <v>124</v>
      </c>
    </row>
    <row r="303" spans="1:7" s="143" customFormat="1" ht="13.8" hidden="1" x14ac:dyDescent="0.3">
      <c r="A303" s="74">
        <v>46020</v>
      </c>
      <c r="B303" s="113" t="s">
        <v>216</v>
      </c>
      <c r="C303" s="97" t="s">
        <v>6</v>
      </c>
      <c r="D303" s="97" t="s">
        <v>1645</v>
      </c>
      <c r="E303" s="77">
        <v>-106.58</v>
      </c>
      <c r="F303" s="91" t="s">
        <v>8</v>
      </c>
      <c r="G303" s="180" t="s">
        <v>124</v>
      </c>
    </row>
    <row r="304" spans="1:7" s="267" customFormat="1" ht="13.8" hidden="1" x14ac:dyDescent="0.3">
      <c r="A304" s="251">
        <v>45964</v>
      </c>
      <c r="B304" s="316" t="s">
        <v>212</v>
      </c>
      <c r="C304" s="299" t="s">
        <v>44</v>
      </c>
      <c r="D304" s="372" t="s">
        <v>2288</v>
      </c>
      <c r="E304" s="344">
        <v>-3832.07</v>
      </c>
      <c r="F304" s="249" t="s">
        <v>8</v>
      </c>
      <c r="G304" s="374" t="s">
        <v>124</v>
      </c>
    </row>
    <row r="305" spans="1:7" s="267" customFormat="1" ht="13.8" hidden="1" x14ac:dyDescent="0.3">
      <c r="A305" s="251">
        <v>45964</v>
      </c>
      <c r="B305" s="316" t="s">
        <v>212</v>
      </c>
      <c r="C305" s="299" t="s">
        <v>44</v>
      </c>
      <c r="D305" s="372" t="s">
        <v>2287</v>
      </c>
      <c r="E305" s="344">
        <v>-824.09</v>
      </c>
      <c r="F305" s="249" t="s">
        <v>8</v>
      </c>
      <c r="G305" s="374" t="s">
        <v>124</v>
      </c>
    </row>
    <row r="306" spans="1:7" s="587" customFormat="1" ht="13.8" hidden="1" x14ac:dyDescent="0.3">
      <c r="A306" s="1042">
        <v>45968</v>
      </c>
      <c r="B306" s="585" t="s">
        <v>212</v>
      </c>
      <c r="C306" s="963" t="s">
        <v>17</v>
      </c>
      <c r="D306" s="1046" t="s">
        <v>2239</v>
      </c>
      <c r="E306" s="822">
        <v>-6698.26</v>
      </c>
      <c r="F306" s="823" t="s">
        <v>8</v>
      </c>
      <c r="G306" s="1047" t="s">
        <v>124</v>
      </c>
    </row>
    <row r="307" spans="1:7" s="587" customFormat="1" ht="13.8" hidden="1" x14ac:dyDescent="0.3">
      <c r="A307" s="1042">
        <v>45968</v>
      </c>
      <c r="B307" s="585" t="s">
        <v>212</v>
      </c>
      <c r="C307" s="590" t="s">
        <v>17</v>
      </c>
      <c r="D307" s="1043" t="s">
        <v>2238</v>
      </c>
      <c r="E307" s="361">
        <v>-4486.37</v>
      </c>
      <c r="F307" s="586" t="s">
        <v>8</v>
      </c>
      <c r="G307" s="791" t="s">
        <v>124</v>
      </c>
    </row>
    <row r="308" spans="1:7" s="250" customFormat="1" ht="13.8" hidden="1" x14ac:dyDescent="0.3">
      <c r="A308" s="316">
        <v>45961</v>
      </c>
      <c r="B308" s="316" t="s">
        <v>211</v>
      </c>
      <c r="C308" s="299" t="s">
        <v>6</v>
      </c>
      <c r="D308" s="300" t="s">
        <v>2219</v>
      </c>
      <c r="E308" s="317">
        <v>-15864</v>
      </c>
      <c r="F308" s="249" t="s">
        <v>8</v>
      </c>
      <c r="G308" s="255" t="s">
        <v>119</v>
      </c>
    </row>
    <row r="309" spans="1:7" s="250" customFormat="1" ht="13.8" hidden="1" x14ac:dyDescent="0.3">
      <c r="A309" s="316">
        <v>45954</v>
      </c>
      <c r="B309" s="316" t="s">
        <v>211</v>
      </c>
      <c r="C309" s="299" t="s">
        <v>64</v>
      </c>
      <c r="D309" s="299" t="s">
        <v>2132</v>
      </c>
      <c r="E309" s="317">
        <v>-9000</v>
      </c>
      <c r="F309" s="373" t="s">
        <v>8</v>
      </c>
      <c r="G309" s="270" t="s">
        <v>39</v>
      </c>
    </row>
    <row r="310" spans="1:7" s="143" customFormat="1" ht="13.8" hidden="1" x14ac:dyDescent="0.3">
      <c r="A310" s="123">
        <v>45944</v>
      </c>
      <c r="B310" s="123" t="s">
        <v>211</v>
      </c>
      <c r="C310" s="120" t="s">
        <v>163</v>
      </c>
      <c r="D310" s="124" t="s">
        <v>179</v>
      </c>
      <c r="E310" s="736">
        <v>918.89</v>
      </c>
      <c r="F310" s="126" t="s">
        <v>161</v>
      </c>
      <c r="G310" s="61" t="s">
        <v>162</v>
      </c>
    </row>
    <row r="311" spans="1:7" s="143" customFormat="1" ht="13.8" hidden="1" x14ac:dyDescent="0.3">
      <c r="A311" s="123">
        <v>45944</v>
      </c>
      <c r="B311" s="123" t="s">
        <v>211</v>
      </c>
      <c r="C311" s="120" t="s">
        <v>163</v>
      </c>
      <c r="D311" s="124" t="s">
        <v>179</v>
      </c>
      <c r="E311" s="736">
        <v>8014.84</v>
      </c>
      <c r="F311" s="126" t="s">
        <v>161</v>
      </c>
      <c r="G311" s="61" t="s">
        <v>162</v>
      </c>
    </row>
    <row r="312" spans="1:7" s="143" customFormat="1" ht="13.8" hidden="1" x14ac:dyDescent="0.3">
      <c r="A312" s="123">
        <v>45931</v>
      </c>
      <c r="B312" s="123" t="s">
        <v>211</v>
      </c>
      <c r="C312" s="120" t="s">
        <v>159</v>
      </c>
      <c r="D312" s="29" t="s">
        <v>160</v>
      </c>
      <c r="E312" s="53">
        <v>23638.67</v>
      </c>
      <c r="F312" s="55" t="s">
        <v>161</v>
      </c>
      <c r="G312" s="61" t="s">
        <v>162</v>
      </c>
    </row>
    <row r="313" spans="1:7" s="250" customFormat="1" ht="13.8" hidden="1" x14ac:dyDescent="0.3">
      <c r="A313" s="704">
        <v>45940</v>
      </c>
      <c r="B313" s="704" t="s">
        <v>211</v>
      </c>
      <c r="C313" s="385" t="s">
        <v>44</v>
      </c>
      <c r="D313" s="489" t="s">
        <v>60</v>
      </c>
      <c r="E313" s="480">
        <v>-6536.85</v>
      </c>
      <c r="F313" s="408" t="s">
        <v>8</v>
      </c>
      <c r="G313" s="493" t="s">
        <v>61</v>
      </c>
    </row>
    <row r="314" spans="1:7" s="250" customFormat="1" ht="13.8" hidden="1" x14ac:dyDescent="0.3">
      <c r="A314" s="322">
        <v>45953</v>
      </c>
      <c r="B314" s="322" t="s">
        <v>211</v>
      </c>
      <c r="C314" s="996" t="s">
        <v>17</v>
      </c>
      <c r="D314" s="462" t="s">
        <v>1942</v>
      </c>
      <c r="E314" s="461">
        <v>-6006</v>
      </c>
      <c r="F314" s="492" t="s">
        <v>8</v>
      </c>
      <c r="G314" s="270" t="s">
        <v>53</v>
      </c>
    </row>
    <row r="315" spans="1:7" s="139" customFormat="1" ht="13.8" hidden="1" x14ac:dyDescent="0.3">
      <c r="A315" s="100">
        <v>45967</v>
      </c>
      <c r="B315" s="100" t="s">
        <v>212</v>
      </c>
      <c r="C315" s="12" t="s">
        <v>17</v>
      </c>
      <c r="D315" s="795" t="s">
        <v>2332</v>
      </c>
      <c r="E315" s="796">
        <v>-2769.41</v>
      </c>
      <c r="F315" s="13" t="s">
        <v>8</v>
      </c>
      <c r="G315" s="5" t="s">
        <v>73</v>
      </c>
    </row>
    <row r="316" spans="1:7" s="250" customFormat="1" ht="13.8" hidden="1" x14ac:dyDescent="0.3">
      <c r="A316" s="316">
        <v>45961</v>
      </c>
      <c r="B316" s="316" t="s">
        <v>211</v>
      </c>
      <c r="C316" s="299" t="s">
        <v>17</v>
      </c>
      <c r="D316" s="300" t="s">
        <v>1855</v>
      </c>
      <c r="E316" s="317">
        <v>-6464.98</v>
      </c>
      <c r="F316" s="249" t="s">
        <v>8</v>
      </c>
      <c r="G316" s="255" t="s">
        <v>73</v>
      </c>
    </row>
    <row r="317" spans="1:7" s="250" customFormat="1" ht="13.8" hidden="1" x14ac:dyDescent="0.3">
      <c r="A317" s="316">
        <v>45961</v>
      </c>
      <c r="B317" s="316" t="s">
        <v>211</v>
      </c>
      <c r="C317" s="299" t="s">
        <v>13</v>
      </c>
      <c r="D317" s="300" t="s">
        <v>1855</v>
      </c>
      <c r="E317" s="317">
        <v>-4295.7700000000004</v>
      </c>
      <c r="F317" s="249" t="s">
        <v>8</v>
      </c>
      <c r="G317" s="255" t="s">
        <v>73</v>
      </c>
    </row>
    <row r="318" spans="1:7" s="587" customFormat="1" ht="13.8" hidden="1" x14ac:dyDescent="0.3">
      <c r="A318" s="1042">
        <v>45968</v>
      </c>
      <c r="B318" s="585" t="s">
        <v>212</v>
      </c>
      <c r="C318" s="744" t="s">
        <v>44</v>
      </c>
      <c r="D318" s="744" t="s">
        <v>2200</v>
      </c>
      <c r="E318" s="361">
        <v>-165</v>
      </c>
      <c r="F318" s="586" t="s">
        <v>8</v>
      </c>
      <c r="G318" s="591" t="s">
        <v>1279</v>
      </c>
    </row>
    <row r="319" spans="1:7" s="587" customFormat="1" ht="13.8" hidden="1" x14ac:dyDescent="0.3">
      <c r="A319" s="1042">
        <v>45968</v>
      </c>
      <c r="B319" s="585" t="s">
        <v>212</v>
      </c>
      <c r="C319" s="744" t="s">
        <v>44</v>
      </c>
      <c r="D319" s="744" t="s">
        <v>2200</v>
      </c>
      <c r="E319" s="361">
        <v>-420</v>
      </c>
      <c r="F319" s="586" t="s">
        <v>8</v>
      </c>
      <c r="G319" s="591" t="s">
        <v>1279</v>
      </c>
    </row>
    <row r="320" spans="1:7" s="587" customFormat="1" ht="13.8" hidden="1" x14ac:dyDescent="0.3">
      <c r="A320" s="1042">
        <v>45968</v>
      </c>
      <c r="B320" s="585" t="s">
        <v>212</v>
      </c>
      <c r="C320" s="744" t="s">
        <v>44</v>
      </c>
      <c r="D320" s="744" t="s">
        <v>2200</v>
      </c>
      <c r="E320" s="745">
        <v>-1127.5</v>
      </c>
      <c r="F320" s="586" t="s">
        <v>8</v>
      </c>
      <c r="G320" s="591" t="s">
        <v>1279</v>
      </c>
    </row>
    <row r="321" spans="1:7" s="250" customFormat="1" ht="13.8" hidden="1" x14ac:dyDescent="0.3">
      <c r="A321" s="704">
        <v>45953</v>
      </c>
      <c r="B321" s="704" t="s">
        <v>211</v>
      </c>
      <c r="C321" s="490" t="s">
        <v>25</v>
      </c>
      <c r="D321" s="489" t="s">
        <v>2171</v>
      </c>
      <c r="E321" s="1028">
        <v>-3072.61</v>
      </c>
      <c r="F321" s="492" t="s">
        <v>8</v>
      </c>
      <c r="G321" s="1029" t="s">
        <v>153</v>
      </c>
    </row>
    <row r="322" spans="1:7" s="250" customFormat="1" ht="13.8" hidden="1" x14ac:dyDescent="0.3">
      <c r="A322" s="251">
        <v>45960</v>
      </c>
      <c r="B322" s="316" t="s">
        <v>211</v>
      </c>
      <c r="C322" s="293" t="s">
        <v>17</v>
      </c>
      <c r="D322" s="293" t="s">
        <v>2201</v>
      </c>
      <c r="E322" s="248">
        <v>-58.78</v>
      </c>
      <c r="F322" s="249" t="s">
        <v>8</v>
      </c>
      <c r="G322" s="255" t="s">
        <v>1279</v>
      </c>
    </row>
    <row r="323" spans="1:7" s="210" customFormat="1" ht="13.8" hidden="1" x14ac:dyDescent="0.3">
      <c r="A323" s="660">
        <v>45958</v>
      </c>
      <c r="B323" s="660" t="s">
        <v>211</v>
      </c>
      <c r="C323" s="1035" t="s">
        <v>25</v>
      </c>
      <c r="D323" s="1036" t="s">
        <v>2203</v>
      </c>
      <c r="E323" s="1037">
        <v>-2001.54</v>
      </c>
      <c r="F323" s="1038" t="s">
        <v>8</v>
      </c>
      <c r="G323" s="1039" t="s">
        <v>153</v>
      </c>
    </row>
    <row r="324" spans="1:7" s="250" customFormat="1" ht="13.8" hidden="1" x14ac:dyDescent="0.3">
      <c r="A324" s="322">
        <v>45940</v>
      </c>
      <c r="B324" s="322" t="s">
        <v>211</v>
      </c>
      <c r="C324" s="291" t="s">
        <v>17</v>
      </c>
      <c r="D324" s="462" t="s">
        <v>484</v>
      </c>
      <c r="E324" s="461">
        <v>-10500</v>
      </c>
      <c r="F324" s="373" t="s">
        <v>8</v>
      </c>
      <c r="G324" s="270" t="s">
        <v>56</v>
      </c>
    </row>
    <row r="325" spans="1:7" s="250" customFormat="1" ht="13.8" hidden="1" x14ac:dyDescent="0.3">
      <c r="A325" s="316">
        <v>45953</v>
      </c>
      <c r="B325" s="316" t="s">
        <v>211</v>
      </c>
      <c r="C325" s="371" t="s">
        <v>6</v>
      </c>
      <c r="D325" s="300" t="s">
        <v>122</v>
      </c>
      <c r="E325" s="317">
        <v>-40.630000000000003</v>
      </c>
      <c r="F325" s="249" t="s">
        <v>8</v>
      </c>
      <c r="G325" s="255" t="s">
        <v>68</v>
      </c>
    </row>
    <row r="326" spans="1:7" s="143" customFormat="1" ht="13.8" hidden="1" x14ac:dyDescent="0.3">
      <c r="A326" s="271">
        <v>45950</v>
      </c>
      <c r="B326" s="271" t="s">
        <v>211</v>
      </c>
      <c r="C326" s="233" t="s">
        <v>163</v>
      </c>
      <c r="D326" s="272" t="s">
        <v>183</v>
      </c>
      <c r="E326" s="825">
        <v>686.4</v>
      </c>
      <c r="F326" s="506" t="s">
        <v>161</v>
      </c>
      <c r="G326" s="236" t="s">
        <v>162</v>
      </c>
    </row>
    <row r="327" spans="1:7" s="143" customFormat="1" ht="13.8" hidden="1" x14ac:dyDescent="0.3">
      <c r="A327" s="271">
        <v>45950</v>
      </c>
      <c r="B327" s="271" t="s">
        <v>211</v>
      </c>
      <c r="C327" s="233" t="s">
        <v>163</v>
      </c>
      <c r="D327" s="272" t="s">
        <v>183</v>
      </c>
      <c r="E327" s="825">
        <v>750</v>
      </c>
      <c r="F327" s="506" t="s">
        <v>161</v>
      </c>
      <c r="G327" s="236" t="s">
        <v>162</v>
      </c>
    </row>
    <row r="328" spans="1:7" s="143" customFormat="1" ht="13.8" hidden="1" x14ac:dyDescent="0.3">
      <c r="A328" s="271">
        <v>45950</v>
      </c>
      <c r="B328" s="271" t="s">
        <v>211</v>
      </c>
      <c r="C328" s="233" t="s">
        <v>163</v>
      </c>
      <c r="D328" s="272" t="s">
        <v>183</v>
      </c>
      <c r="E328" s="221">
        <v>4717.4399999999996</v>
      </c>
      <c r="F328" s="506" t="s">
        <v>161</v>
      </c>
      <c r="G328" s="236" t="s">
        <v>162</v>
      </c>
    </row>
    <row r="329" spans="1:7" s="143" customFormat="1" ht="13.8" hidden="1" x14ac:dyDescent="0.3">
      <c r="A329" s="123">
        <v>45950</v>
      </c>
      <c r="B329" s="123" t="s">
        <v>211</v>
      </c>
      <c r="C329" s="120" t="s">
        <v>163</v>
      </c>
      <c r="D329" s="29" t="s">
        <v>183</v>
      </c>
      <c r="E329" s="53">
        <v>9938.39</v>
      </c>
      <c r="F329" s="126" t="s">
        <v>161</v>
      </c>
      <c r="G329" s="61" t="s">
        <v>162</v>
      </c>
    </row>
    <row r="330" spans="1:7" s="143" customFormat="1" ht="13.8" hidden="1" x14ac:dyDescent="0.3">
      <c r="A330" s="123">
        <v>45950</v>
      </c>
      <c r="B330" s="123" t="s">
        <v>211</v>
      </c>
      <c r="C330" s="120" t="s">
        <v>163</v>
      </c>
      <c r="D330" s="29" t="s">
        <v>183</v>
      </c>
      <c r="E330" s="53">
        <v>22139.98</v>
      </c>
      <c r="F330" s="126" t="s">
        <v>161</v>
      </c>
      <c r="G330" s="61" t="s">
        <v>162</v>
      </c>
    </row>
    <row r="331" spans="1:7" s="250" customFormat="1" ht="13.8" hidden="1" x14ac:dyDescent="0.3">
      <c r="A331" s="316">
        <v>45947</v>
      </c>
      <c r="B331" s="316" t="s">
        <v>211</v>
      </c>
      <c r="C331" s="299" t="s">
        <v>17</v>
      </c>
      <c r="D331" s="362" t="s">
        <v>1943</v>
      </c>
      <c r="E331" s="248">
        <v>-16203.5</v>
      </c>
      <c r="F331" s="255" t="s">
        <v>8</v>
      </c>
      <c r="G331" s="408" t="s">
        <v>58</v>
      </c>
    </row>
    <row r="332" spans="1:7" s="267" customFormat="1" ht="13.8" hidden="1" x14ac:dyDescent="0.3">
      <c r="A332" s="704">
        <v>45947</v>
      </c>
      <c r="B332" s="704" t="s">
        <v>211</v>
      </c>
      <c r="C332" s="293" t="s">
        <v>44</v>
      </c>
      <c r="D332" s="293" t="s">
        <v>1789</v>
      </c>
      <c r="E332" s="248">
        <v>-2846.25</v>
      </c>
      <c r="F332" s="402" t="s">
        <v>8</v>
      </c>
      <c r="G332" s="493" t="s">
        <v>1279</v>
      </c>
    </row>
    <row r="333" spans="1:7" s="139" customFormat="1" ht="13.8" hidden="1" x14ac:dyDescent="0.3">
      <c r="A333" s="100">
        <v>45965</v>
      </c>
      <c r="B333" s="100" t="s">
        <v>212</v>
      </c>
      <c r="C333" s="14" t="s">
        <v>71</v>
      </c>
      <c r="D333" s="7" t="s">
        <v>1937</v>
      </c>
      <c r="E333" s="8">
        <v>-10.130000000000001</v>
      </c>
      <c r="F333" s="13" t="s">
        <v>8</v>
      </c>
      <c r="G333" s="9" t="s">
        <v>73</v>
      </c>
    </row>
    <row r="334" spans="1:7" s="250" customFormat="1" ht="13.8" hidden="1" x14ac:dyDescent="0.3">
      <c r="A334" s="384">
        <v>45943</v>
      </c>
      <c r="B334" s="384" t="s">
        <v>211</v>
      </c>
      <c r="C334" s="293" t="s">
        <v>17</v>
      </c>
      <c r="D334" s="293" t="s">
        <v>1795</v>
      </c>
      <c r="E334" s="248">
        <v>-129.13</v>
      </c>
      <c r="F334" s="249" t="s">
        <v>8</v>
      </c>
      <c r="G334" s="254" t="s">
        <v>73</v>
      </c>
    </row>
    <row r="335" spans="1:7" s="250" customFormat="1" ht="13.8" hidden="1" x14ac:dyDescent="0.3">
      <c r="A335" s="384">
        <v>45947</v>
      </c>
      <c r="B335" s="384" t="s">
        <v>211</v>
      </c>
      <c r="C335" s="296" t="s">
        <v>44</v>
      </c>
      <c r="D335" s="293" t="s">
        <v>1878</v>
      </c>
      <c r="E335" s="248">
        <v>-835.72</v>
      </c>
      <c r="F335" s="249" t="s">
        <v>8</v>
      </c>
      <c r="G335" s="255" t="s">
        <v>1440</v>
      </c>
    </row>
    <row r="336" spans="1:7" s="250" customFormat="1" ht="13.2" hidden="1" customHeight="1" x14ac:dyDescent="0.3">
      <c r="A336" s="997">
        <v>45964</v>
      </c>
      <c r="B336" s="316" t="s">
        <v>212</v>
      </c>
      <c r="C336" s="252" t="s">
        <v>71</v>
      </c>
      <c r="D336" s="253" t="s">
        <v>2284</v>
      </c>
      <c r="E336" s="294">
        <v>-4375.75</v>
      </c>
      <c r="F336" s="249" t="s">
        <v>8</v>
      </c>
      <c r="G336" s="254" t="s">
        <v>73</v>
      </c>
    </row>
    <row r="337" spans="1:7" s="250" customFormat="1" ht="16.8" hidden="1" customHeight="1" x14ac:dyDescent="0.3">
      <c r="A337" s="322">
        <v>45957</v>
      </c>
      <c r="B337" s="322" t="s">
        <v>211</v>
      </c>
      <c r="C337" s="366" t="s">
        <v>71</v>
      </c>
      <c r="D337" s="372" t="s">
        <v>2189</v>
      </c>
      <c r="E337" s="1022">
        <v>-3405.66</v>
      </c>
      <c r="F337" s="373" t="s">
        <v>8</v>
      </c>
      <c r="G337" s="266" t="s">
        <v>73</v>
      </c>
    </row>
    <row r="338" spans="1:7" s="250" customFormat="1" ht="13.8" hidden="1" x14ac:dyDescent="0.3">
      <c r="A338" s="251">
        <v>45960</v>
      </c>
      <c r="B338" s="316" t="s">
        <v>211</v>
      </c>
      <c r="C338" s="252" t="s">
        <v>17</v>
      </c>
      <c r="D338" s="253" t="s">
        <v>2202</v>
      </c>
      <c r="E338" s="248">
        <v>-1615.39</v>
      </c>
      <c r="F338" s="249" t="s">
        <v>8</v>
      </c>
      <c r="G338" s="255" t="s">
        <v>68</v>
      </c>
    </row>
    <row r="339" spans="1:7" s="250" customFormat="1" ht="13.8" hidden="1" x14ac:dyDescent="0.3">
      <c r="A339" s="251">
        <v>45960</v>
      </c>
      <c r="B339" s="316" t="s">
        <v>211</v>
      </c>
      <c r="C339" s="252" t="s">
        <v>17</v>
      </c>
      <c r="D339" s="253" t="s">
        <v>2202</v>
      </c>
      <c r="E339" s="248">
        <v>-3002.16</v>
      </c>
      <c r="F339" s="249" t="s">
        <v>8</v>
      </c>
      <c r="G339" s="255" t="s">
        <v>68</v>
      </c>
    </row>
    <row r="340" spans="1:7" s="250" customFormat="1" ht="13.8" hidden="1" x14ac:dyDescent="0.3">
      <c r="A340" s="384">
        <v>45945</v>
      </c>
      <c r="B340" s="384" t="s">
        <v>211</v>
      </c>
      <c r="C340" s="735" t="s">
        <v>32</v>
      </c>
      <c r="D340" s="386" t="s">
        <v>103</v>
      </c>
      <c r="E340" s="438">
        <v>-261.68</v>
      </c>
      <c r="F340" s="408" t="s">
        <v>8</v>
      </c>
      <c r="G340" s="408" t="s">
        <v>68</v>
      </c>
    </row>
    <row r="341" spans="1:7" s="250" customFormat="1" ht="14.4" hidden="1" customHeight="1" x14ac:dyDescent="0.3">
      <c r="A341" s="316">
        <v>45945</v>
      </c>
      <c r="B341" s="316" t="s">
        <v>211</v>
      </c>
      <c r="C341" s="422" t="s">
        <v>104</v>
      </c>
      <c r="D341" s="300" t="s">
        <v>103</v>
      </c>
      <c r="E341" s="317">
        <v>-300</v>
      </c>
      <c r="F341" s="255" t="s">
        <v>8</v>
      </c>
      <c r="G341" s="255" t="s">
        <v>68</v>
      </c>
    </row>
    <row r="342" spans="1:7" s="250" customFormat="1" ht="13.8" hidden="1" x14ac:dyDescent="0.3">
      <c r="A342" s="316">
        <v>45945</v>
      </c>
      <c r="B342" s="316" t="s">
        <v>211</v>
      </c>
      <c r="C342" s="422" t="s">
        <v>35</v>
      </c>
      <c r="D342" s="300" t="s">
        <v>103</v>
      </c>
      <c r="E342" s="317">
        <v>-300</v>
      </c>
      <c r="F342" s="255" t="s">
        <v>8</v>
      </c>
      <c r="G342" s="255" t="s">
        <v>68</v>
      </c>
    </row>
    <row r="343" spans="1:7" s="250" customFormat="1" ht="13.8" hidden="1" x14ac:dyDescent="0.3">
      <c r="A343" s="316">
        <v>45945</v>
      </c>
      <c r="B343" s="316" t="s">
        <v>211</v>
      </c>
      <c r="C343" s="422" t="s">
        <v>105</v>
      </c>
      <c r="D343" s="300" t="s">
        <v>103</v>
      </c>
      <c r="E343" s="317">
        <v>-300</v>
      </c>
      <c r="F343" s="255" t="s">
        <v>8</v>
      </c>
      <c r="G343" s="255" t="s">
        <v>68</v>
      </c>
    </row>
    <row r="344" spans="1:7" s="250" customFormat="1" ht="13.8" hidden="1" x14ac:dyDescent="0.3">
      <c r="A344" s="316">
        <v>45945</v>
      </c>
      <c r="B344" s="316" t="s">
        <v>211</v>
      </c>
      <c r="C344" s="422" t="s">
        <v>106</v>
      </c>
      <c r="D344" s="300" t="s">
        <v>103</v>
      </c>
      <c r="E344" s="317">
        <v>-294.92099999999999</v>
      </c>
      <c r="F344" s="255" t="s">
        <v>8</v>
      </c>
      <c r="G344" s="255" t="s">
        <v>68</v>
      </c>
    </row>
    <row r="345" spans="1:7" s="250" customFormat="1" ht="13.8" hidden="1" x14ac:dyDescent="0.3">
      <c r="A345" s="316">
        <v>45945</v>
      </c>
      <c r="B345" s="316" t="s">
        <v>211</v>
      </c>
      <c r="C345" s="422" t="s">
        <v>71</v>
      </c>
      <c r="D345" s="300" t="s">
        <v>103</v>
      </c>
      <c r="E345" s="317">
        <v>-300</v>
      </c>
      <c r="F345" s="255" t="s">
        <v>8</v>
      </c>
      <c r="G345" s="255" t="s">
        <v>68</v>
      </c>
    </row>
    <row r="346" spans="1:7" s="250" customFormat="1" ht="13.8" hidden="1" x14ac:dyDescent="0.3">
      <c r="A346" s="316">
        <v>45945</v>
      </c>
      <c r="B346" s="316" t="s">
        <v>211</v>
      </c>
      <c r="C346" s="422" t="s">
        <v>107</v>
      </c>
      <c r="D346" s="300" t="s">
        <v>103</v>
      </c>
      <c r="E346" s="317">
        <v>-300</v>
      </c>
      <c r="F346" s="255" t="s">
        <v>8</v>
      </c>
      <c r="G346" s="255" t="s">
        <v>68</v>
      </c>
    </row>
    <row r="347" spans="1:7" s="250" customFormat="1" ht="13.8" hidden="1" x14ac:dyDescent="0.3">
      <c r="A347" s="316">
        <v>45945</v>
      </c>
      <c r="B347" s="316" t="s">
        <v>211</v>
      </c>
      <c r="C347" s="422" t="s">
        <v>108</v>
      </c>
      <c r="D347" s="300" t="s">
        <v>103</v>
      </c>
      <c r="E347" s="317">
        <v>-350</v>
      </c>
      <c r="F347" s="255" t="s">
        <v>8</v>
      </c>
      <c r="G347" s="255" t="s">
        <v>68</v>
      </c>
    </row>
    <row r="348" spans="1:7" s="250" customFormat="1" ht="13.8" hidden="1" x14ac:dyDescent="0.3">
      <c r="A348" s="316">
        <v>45945</v>
      </c>
      <c r="B348" s="316" t="s">
        <v>211</v>
      </c>
      <c r="C348" s="422" t="s">
        <v>109</v>
      </c>
      <c r="D348" s="300" t="s">
        <v>103</v>
      </c>
      <c r="E348" s="317">
        <v>-373.51</v>
      </c>
      <c r="F348" s="255" t="s">
        <v>8</v>
      </c>
      <c r="G348" s="255" t="s">
        <v>68</v>
      </c>
    </row>
    <row r="349" spans="1:7" s="250" customFormat="1" ht="13.8" hidden="1" x14ac:dyDescent="0.3">
      <c r="A349" s="316">
        <v>45957</v>
      </c>
      <c r="B349" s="316" t="s">
        <v>211</v>
      </c>
      <c r="C349" s="293" t="s">
        <v>44</v>
      </c>
      <c r="D349" s="293" t="s">
        <v>2183</v>
      </c>
      <c r="E349" s="294">
        <v>-250</v>
      </c>
      <c r="F349" s="249" t="s">
        <v>8</v>
      </c>
      <c r="G349" s="254" t="s">
        <v>186</v>
      </c>
    </row>
    <row r="350" spans="1:7" s="250" customFormat="1" ht="13.8" hidden="1" x14ac:dyDescent="0.3">
      <c r="A350" s="322">
        <v>45957</v>
      </c>
      <c r="B350" s="322" t="s">
        <v>211</v>
      </c>
      <c r="C350" s="293" t="s">
        <v>25</v>
      </c>
      <c r="D350" s="293" t="s">
        <v>1526</v>
      </c>
      <c r="E350" s="614">
        <v>-59.2</v>
      </c>
      <c r="F350" s="373" t="s">
        <v>8</v>
      </c>
      <c r="G350" s="254" t="s">
        <v>82</v>
      </c>
    </row>
    <row r="351" spans="1:7" s="210" customFormat="1" ht="13.8" hidden="1" x14ac:dyDescent="0.3">
      <c r="A351" s="375">
        <v>45958</v>
      </c>
      <c r="B351" s="375" t="s">
        <v>211</v>
      </c>
      <c r="C351" s="661" t="s">
        <v>25</v>
      </c>
      <c r="D351" s="661" t="s">
        <v>1866</v>
      </c>
      <c r="E351" s="662">
        <v>-268.8</v>
      </c>
      <c r="F351" s="378" t="s">
        <v>8</v>
      </c>
      <c r="G351" s="209" t="s">
        <v>82</v>
      </c>
    </row>
    <row r="352" spans="1:7" s="210" customFormat="1" ht="13.8" hidden="1" x14ac:dyDescent="0.3">
      <c r="A352" s="375">
        <v>45958</v>
      </c>
      <c r="B352" s="375" t="s">
        <v>211</v>
      </c>
      <c r="C352" s="661" t="s">
        <v>25</v>
      </c>
      <c r="D352" s="661" t="s">
        <v>1305</v>
      </c>
      <c r="E352" s="662">
        <v>-177</v>
      </c>
      <c r="F352" s="378" t="s">
        <v>8</v>
      </c>
      <c r="G352" s="209" t="s">
        <v>82</v>
      </c>
    </row>
    <row r="353" spans="1:7" s="210" customFormat="1" ht="13.8" hidden="1" x14ac:dyDescent="0.3">
      <c r="A353" s="375">
        <v>45958</v>
      </c>
      <c r="B353" s="375" t="s">
        <v>211</v>
      </c>
      <c r="C353" s="661" t="s">
        <v>25</v>
      </c>
      <c r="D353" s="661" t="s">
        <v>2184</v>
      </c>
      <c r="E353" s="662">
        <v>-75</v>
      </c>
      <c r="F353" s="378" t="s">
        <v>8</v>
      </c>
      <c r="G353" s="209" t="s">
        <v>82</v>
      </c>
    </row>
    <row r="354" spans="1:7" s="210" customFormat="1" ht="13.8" hidden="1" x14ac:dyDescent="0.3">
      <c r="A354" s="375">
        <v>45958</v>
      </c>
      <c r="B354" s="375" t="s">
        <v>211</v>
      </c>
      <c r="C354" s="661" t="s">
        <v>25</v>
      </c>
      <c r="D354" s="661" t="s">
        <v>1453</v>
      </c>
      <c r="E354" s="662">
        <v>-209.1</v>
      </c>
      <c r="F354" s="378" t="s">
        <v>8</v>
      </c>
      <c r="G354" s="209" t="s">
        <v>82</v>
      </c>
    </row>
    <row r="355" spans="1:7" s="210" customFormat="1" ht="13.8" hidden="1" x14ac:dyDescent="0.3">
      <c r="A355" s="375">
        <v>45958</v>
      </c>
      <c r="B355" s="375" t="s">
        <v>211</v>
      </c>
      <c r="C355" s="661" t="s">
        <v>71</v>
      </c>
      <c r="D355" s="661" t="s">
        <v>1207</v>
      </c>
      <c r="E355" s="662">
        <v>-162.28</v>
      </c>
      <c r="F355" s="378" t="s">
        <v>8</v>
      </c>
      <c r="G355" s="209" t="s">
        <v>75</v>
      </c>
    </row>
    <row r="356" spans="1:7" s="210" customFormat="1" ht="13.8" hidden="1" x14ac:dyDescent="0.3">
      <c r="A356" s="375">
        <v>45958</v>
      </c>
      <c r="B356" s="375" t="s">
        <v>211</v>
      </c>
      <c r="C356" s="661" t="s">
        <v>71</v>
      </c>
      <c r="D356" s="661" t="s">
        <v>1207</v>
      </c>
      <c r="E356" s="662">
        <v>-2210.5500000000002</v>
      </c>
      <c r="F356" s="378" t="s">
        <v>8</v>
      </c>
      <c r="G356" s="209" t="s">
        <v>75</v>
      </c>
    </row>
    <row r="357" spans="1:7" s="210" customFormat="1" ht="13.2" hidden="1" customHeight="1" x14ac:dyDescent="0.3">
      <c r="A357" s="375">
        <v>45958</v>
      </c>
      <c r="B357" s="375" t="s">
        <v>211</v>
      </c>
      <c r="C357" s="661" t="s">
        <v>25</v>
      </c>
      <c r="D357" s="661" t="s">
        <v>1387</v>
      </c>
      <c r="E357" s="662">
        <v>-1095.07</v>
      </c>
      <c r="F357" s="378" t="s">
        <v>8</v>
      </c>
      <c r="G357" s="209" t="s">
        <v>75</v>
      </c>
    </row>
    <row r="358" spans="1:7" s="250" customFormat="1" ht="13.2" hidden="1" customHeight="1" x14ac:dyDescent="0.3">
      <c r="A358" s="322">
        <v>45957</v>
      </c>
      <c r="B358" s="322" t="s">
        <v>211</v>
      </c>
      <c r="C358" s="291" t="s">
        <v>174</v>
      </c>
      <c r="D358" s="291" t="s">
        <v>135</v>
      </c>
      <c r="E358" s="344">
        <v>-139.9</v>
      </c>
      <c r="F358" s="373" t="s">
        <v>8</v>
      </c>
      <c r="G358" s="270" t="s">
        <v>136</v>
      </c>
    </row>
    <row r="359" spans="1:7" s="250" customFormat="1" ht="13.2" hidden="1" customHeight="1" x14ac:dyDescent="0.3">
      <c r="A359" s="316">
        <v>45960</v>
      </c>
      <c r="B359" s="316" t="s">
        <v>211</v>
      </c>
      <c r="C359" s="293" t="s">
        <v>25</v>
      </c>
      <c r="D359" s="299" t="s">
        <v>2243</v>
      </c>
      <c r="E359" s="248">
        <v>-325</v>
      </c>
      <c r="F359" s="249" t="s">
        <v>8</v>
      </c>
      <c r="G359" s="255" t="s">
        <v>99</v>
      </c>
    </row>
    <row r="360" spans="1:7" s="250" customFormat="1" ht="13.2" hidden="1" customHeight="1" x14ac:dyDescent="0.3">
      <c r="A360" s="316">
        <v>45960</v>
      </c>
      <c r="B360" s="316" t="s">
        <v>211</v>
      </c>
      <c r="C360" s="293" t="s">
        <v>25</v>
      </c>
      <c r="D360" s="299" t="s">
        <v>2211</v>
      </c>
      <c r="E360" s="248">
        <v>-400.68</v>
      </c>
      <c r="F360" s="249" t="s">
        <v>8</v>
      </c>
      <c r="G360" s="255" t="s">
        <v>27</v>
      </c>
    </row>
    <row r="361" spans="1:7" s="250" customFormat="1" ht="13.2" hidden="1" customHeight="1" x14ac:dyDescent="0.3">
      <c r="A361" s="316">
        <v>45960</v>
      </c>
      <c r="B361" s="316" t="s">
        <v>211</v>
      </c>
      <c r="C361" s="293" t="s">
        <v>25</v>
      </c>
      <c r="D361" s="299" t="s">
        <v>2212</v>
      </c>
      <c r="E361" s="248">
        <v>-270</v>
      </c>
      <c r="F361" s="249" t="s">
        <v>8</v>
      </c>
      <c r="G361" s="255" t="s">
        <v>27</v>
      </c>
    </row>
    <row r="362" spans="1:7" s="250" customFormat="1" ht="13.2" hidden="1" customHeight="1" x14ac:dyDescent="0.3">
      <c r="A362" s="384">
        <v>45957</v>
      </c>
      <c r="B362" s="384" t="s">
        <v>211</v>
      </c>
      <c r="C362" s="385" t="s">
        <v>174</v>
      </c>
      <c r="D362" s="385" t="s">
        <v>135</v>
      </c>
      <c r="E362" s="438">
        <v>-154.9</v>
      </c>
      <c r="F362" s="402" t="s">
        <v>8</v>
      </c>
      <c r="G362" s="408" t="s">
        <v>136</v>
      </c>
    </row>
    <row r="363" spans="1:7" s="250" customFormat="1" ht="13.2" hidden="1" customHeight="1" x14ac:dyDescent="0.3">
      <c r="A363" s="316">
        <v>45957</v>
      </c>
      <c r="B363" s="316" t="s">
        <v>211</v>
      </c>
      <c r="C363" s="299" t="s">
        <v>31</v>
      </c>
      <c r="D363" s="299" t="s">
        <v>2194</v>
      </c>
      <c r="E363" s="317">
        <v>-449.24</v>
      </c>
      <c r="F363" s="249" t="s">
        <v>8</v>
      </c>
      <c r="G363" s="255" t="s">
        <v>1071</v>
      </c>
    </row>
    <row r="364" spans="1:7" s="250" customFormat="1" hidden="1" x14ac:dyDescent="0.3">
      <c r="A364" s="316">
        <v>45957</v>
      </c>
      <c r="B364" s="316" t="s">
        <v>211</v>
      </c>
      <c r="C364" s="299" t="s">
        <v>174</v>
      </c>
      <c r="D364" s="299" t="s">
        <v>2193</v>
      </c>
      <c r="E364" s="999">
        <v>-14181.1</v>
      </c>
      <c r="F364" s="249" t="s">
        <v>8</v>
      </c>
      <c r="G364" s="255" t="s">
        <v>1071</v>
      </c>
    </row>
    <row r="365" spans="1:7" s="250" customFormat="1" ht="13.2" hidden="1" customHeight="1" x14ac:dyDescent="0.3">
      <c r="A365" s="384">
        <v>45940</v>
      </c>
      <c r="B365" s="316" t="s">
        <v>211</v>
      </c>
      <c r="C365" s="252" t="s">
        <v>32</v>
      </c>
      <c r="D365" s="253" t="s">
        <v>48</v>
      </c>
      <c r="E365" s="248">
        <v>-2383.04</v>
      </c>
      <c r="F365" s="249" t="s">
        <v>8</v>
      </c>
      <c r="G365" s="254" t="s">
        <v>49</v>
      </c>
    </row>
    <row r="366" spans="1:7" s="250" customFormat="1" ht="13.8" hidden="1" x14ac:dyDescent="0.3">
      <c r="A366" s="251">
        <v>45960</v>
      </c>
      <c r="B366" s="316" t="s">
        <v>211</v>
      </c>
      <c r="C366" s="371" t="s">
        <v>44</v>
      </c>
      <c r="D366" s="300" t="s">
        <v>158</v>
      </c>
      <c r="E366" s="317">
        <v>-1719.53</v>
      </c>
      <c r="F366" s="249" t="s">
        <v>8</v>
      </c>
      <c r="G366" s="249" t="s">
        <v>91</v>
      </c>
    </row>
    <row r="367" spans="1:7" s="250" customFormat="1" ht="13.8" hidden="1" x14ac:dyDescent="0.3">
      <c r="A367" s="251">
        <v>45960</v>
      </c>
      <c r="B367" s="316" t="s">
        <v>211</v>
      </c>
      <c r="C367" s="299" t="s">
        <v>6</v>
      </c>
      <c r="D367" s="300" t="s">
        <v>158</v>
      </c>
      <c r="E367" s="317">
        <v>-1392.65</v>
      </c>
      <c r="F367" s="249" t="s">
        <v>8</v>
      </c>
      <c r="G367" s="249" t="s">
        <v>91</v>
      </c>
    </row>
    <row r="368" spans="1:7" s="143" customFormat="1" x14ac:dyDescent="0.3">
      <c r="A368" s="123">
        <v>45961</v>
      </c>
      <c r="B368" s="220" t="s">
        <v>212</v>
      </c>
      <c r="C368" s="120" t="s">
        <v>170</v>
      </c>
      <c r="D368" s="29" t="s">
        <v>2272</v>
      </c>
      <c r="E368" s="554">
        <v>34130.03</v>
      </c>
      <c r="F368" s="55" t="s">
        <v>161</v>
      </c>
      <c r="G368" s="61" t="s">
        <v>162</v>
      </c>
    </row>
    <row r="369" spans="1:7" s="143" customFormat="1" x14ac:dyDescent="0.3">
      <c r="A369" s="123">
        <v>45961</v>
      </c>
      <c r="B369" s="220" t="s">
        <v>212</v>
      </c>
      <c r="C369" s="120" t="s">
        <v>170</v>
      </c>
      <c r="D369" s="29" t="s">
        <v>2271</v>
      </c>
      <c r="E369" s="554">
        <v>15632.38</v>
      </c>
      <c r="F369" s="55" t="s">
        <v>161</v>
      </c>
      <c r="G369" s="61" t="s">
        <v>162</v>
      </c>
    </row>
    <row r="370" spans="1:7" s="143" customFormat="1" ht="13.8" hidden="1" x14ac:dyDescent="0.3">
      <c r="A370" s="271">
        <v>45961</v>
      </c>
      <c r="B370" s="271" t="s">
        <v>211</v>
      </c>
      <c r="C370" s="233" t="s">
        <v>177</v>
      </c>
      <c r="D370" s="272" t="s">
        <v>184</v>
      </c>
      <c r="E370" s="1107">
        <v>2373.31</v>
      </c>
      <c r="F370" s="67" t="s">
        <v>161</v>
      </c>
      <c r="G370" s="236" t="s">
        <v>162</v>
      </c>
    </row>
    <row r="371" spans="1:7" s="143" customFormat="1" ht="13.8" hidden="1" x14ac:dyDescent="0.3">
      <c r="A371" s="123">
        <v>45961</v>
      </c>
      <c r="B371" s="123" t="s">
        <v>211</v>
      </c>
      <c r="C371" s="120" t="s">
        <v>177</v>
      </c>
      <c r="D371" s="29" t="s">
        <v>184</v>
      </c>
      <c r="E371" s="1108">
        <v>5823.82</v>
      </c>
      <c r="F371" s="55" t="s">
        <v>161</v>
      </c>
      <c r="G371" s="61" t="s">
        <v>162</v>
      </c>
    </row>
    <row r="372" spans="1:7" s="143" customFormat="1" ht="13.8" hidden="1" x14ac:dyDescent="0.3">
      <c r="A372" s="123">
        <v>45961</v>
      </c>
      <c r="B372" s="123" t="s">
        <v>211</v>
      </c>
      <c r="C372" s="120" t="s">
        <v>177</v>
      </c>
      <c r="D372" s="29" t="s">
        <v>184</v>
      </c>
      <c r="E372" s="1108">
        <v>7526.95</v>
      </c>
      <c r="F372" s="55" t="s">
        <v>161</v>
      </c>
      <c r="G372" s="61" t="s">
        <v>162</v>
      </c>
    </row>
    <row r="373" spans="1:7" s="143" customFormat="1" ht="13.8" hidden="1" x14ac:dyDescent="0.3">
      <c r="A373" s="123">
        <v>45961</v>
      </c>
      <c r="B373" s="123" t="s">
        <v>211</v>
      </c>
      <c r="C373" s="120" t="s">
        <v>177</v>
      </c>
      <c r="D373" s="29" t="s">
        <v>184</v>
      </c>
      <c r="E373" s="1108">
        <v>1500</v>
      </c>
      <c r="F373" s="55" t="s">
        <v>161</v>
      </c>
      <c r="G373" s="61" t="s">
        <v>162</v>
      </c>
    </row>
    <row r="374" spans="1:7" s="143" customFormat="1" ht="13.8" hidden="1" x14ac:dyDescent="0.3">
      <c r="A374" s="123">
        <v>45961</v>
      </c>
      <c r="B374" s="123" t="s">
        <v>211</v>
      </c>
      <c r="C374" s="120" t="s">
        <v>177</v>
      </c>
      <c r="D374" s="29" t="s">
        <v>184</v>
      </c>
      <c r="E374" s="1108">
        <v>25756.63</v>
      </c>
      <c r="F374" s="55" t="s">
        <v>161</v>
      </c>
      <c r="G374" s="61" t="s">
        <v>162</v>
      </c>
    </row>
    <row r="375" spans="1:7" s="267" customFormat="1" ht="13.8" hidden="1" x14ac:dyDescent="0.3">
      <c r="A375" s="384">
        <v>45943</v>
      </c>
      <c r="B375" s="384" t="s">
        <v>211</v>
      </c>
      <c r="C375" s="293" t="s">
        <v>6</v>
      </c>
      <c r="D375" s="293" t="s">
        <v>1267</v>
      </c>
      <c r="E375" s="248">
        <v>-82</v>
      </c>
      <c r="F375" s="249" t="s">
        <v>8</v>
      </c>
      <c r="G375" s="254" t="s">
        <v>82</v>
      </c>
    </row>
    <row r="376" spans="1:7" s="267" customFormat="1" ht="13.8" hidden="1" x14ac:dyDescent="0.3">
      <c r="A376" s="384">
        <v>45943</v>
      </c>
      <c r="B376" s="384" t="s">
        <v>211</v>
      </c>
      <c r="C376" s="293" t="s">
        <v>6</v>
      </c>
      <c r="D376" s="293" t="s">
        <v>1268</v>
      </c>
      <c r="E376" s="248">
        <v>-82</v>
      </c>
      <c r="F376" s="249" t="s">
        <v>8</v>
      </c>
      <c r="G376" s="254" t="s">
        <v>82</v>
      </c>
    </row>
    <row r="377" spans="1:7" s="267" customFormat="1" ht="13.8" hidden="1" x14ac:dyDescent="0.3">
      <c r="A377" s="384">
        <v>45943</v>
      </c>
      <c r="B377" s="384" t="s">
        <v>211</v>
      </c>
      <c r="C377" s="293" t="s">
        <v>6</v>
      </c>
      <c r="D377" s="293" t="s">
        <v>1264</v>
      </c>
      <c r="E377" s="248">
        <v>-82</v>
      </c>
      <c r="F377" s="249" t="s">
        <v>8</v>
      </c>
      <c r="G377" s="254" t="s">
        <v>82</v>
      </c>
    </row>
    <row r="378" spans="1:7" s="267" customFormat="1" ht="13.8" hidden="1" x14ac:dyDescent="0.3">
      <c r="A378" s="384">
        <v>45943</v>
      </c>
      <c r="B378" s="384" t="s">
        <v>211</v>
      </c>
      <c r="C378" s="293" t="s">
        <v>6</v>
      </c>
      <c r="D378" s="293" t="s">
        <v>1228</v>
      </c>
      <c r="E378" s="248">
        <v>-82</v>
      </c>
      <c r="F378" s="249" t="s">
        <v>8</v>
      </c>
      <c r="G378" s="254" t="s">
        <v>82</v>
      </c>
    </row>
    <row r="379" spans="1:7" s="267" customFormat="1" ht="13.8" hidden="1" x14ac:dyDescent="0.3">
      <c r="A379" s="384">
        <v>45943</v>
      </c>
      <c r="B379" s="384" t="s">
        <v>211</v>
      </c>
      <c r="C379" s="293" t="s">
        <v>25</v>
      </c>
      <c r="D379" s="293" t="s">
        <v>1790</v>
      </c>
      <c r="E379" s="248">
        <v>-188.8</v>
      </c>
      <c r="F379" s="249" t="s">
        <v>8</v>
      </c>
      <c r="G379" s="254" t="s">
        <v>82</v>
      </c>
    </row>
    <row r="380" spans="1:7" s="250" customFormat="1" ht="14.4" hidden="1" customHeight="1" x14ac:dyDescent="0.3">
      <c r="A380" s="384">
        <v>45943</v>
      </c>
      <c r="B380" s="384" t="s">
        <v>211</v>
      </c>
      <c r="C380" s="385" t="s">
        <v>31</v>
      </c>
      <c r="D380" s="299" t="s">
        <v>775</v>
      </c>
      <c r="E380" s="317">
        <v>-3000</v>
      </c>
      <c r="F380" s="402" t="s">
        <v>8</v>
      </c>
      <c r="G380" s="408" t="s">
        <v>58</v>
      </c>
    </row>
    <row r="381" spans="1:7" s="250" customFormat="1" ht="13.8" hidden="1" x14ac:dyDescent="0.3">
      <c r="A381" s="251">
        <v>45961</v>
      </c>
      <c r="B381" s="316" t="s">
        <v>211</v>
      </c>
      <c r="C381" s="293" t="s">
        <v>17</v>
      </c>
      <c r="D381" s="293" t="s">
        <v>2217</v>
      </c>
      <c r="E381" s="248">
        <v>-76.56</v>
      </c>
      <c r="F381" s="249" t="s">
        <v>8</v>
      </c>
      <c r="G381" s="255" t="s">
        <v>1279</v>
      </c>
    </row>
    <row r="382" spans="1:7" s="250" customFormat="1" ht="13.8" hidden="1" x14ac:dyDescent="0.3">
      <c r="A382" s="251">
        <v>45961</v>
      </c>
      <c r="B382" s="316" t="s">
        <v>211</v>
      </c>
      <c r="C382" s="293" t="s">
        <v>17</v>
      </c>
      <c r="D382" s="293" t="s">
        <v>2215</v>
      </c>
      <c r="E382" s="248">
        <v>-150</v>
      </c>
      <c r="F382" s="249" t="s">
        <v>8</v>
      </c>
      <c r="G382" s="255" t="s">
        <v>1440</v>
      </c>
    </row>
    <row r="383" spans="1:7" s="250" customFormat="1" ht="13.8" hidden="1" x14ac:dyDescent="0.3">
      <c r="A383" s="251">
        <v>45961</v>
      </c>
      <c r="B383" s="316" t="s">
        <v>211</v>
      </c>
      <c r="C383" s="293" t="s">
        <v>44</v>
      </c>
      <c r="D383" s="293" t="s">
        <v>2216</v>
      </c>
      <c r="E383" s="248">
        <v>-58.94</v>
      </c>
      <c r="F383" s="249" t="s">
        <v>8</v>
      </c>
      <c r="G383" s="255" t="s">
        <v>1279</v>
      </c>
    </row>
    <row r="384" spans="1:7" s="139" customFormat="1" ht="13.8" hidden="1" x14ac:dyDescent="0.3">
      <c r="A384" s="271">
        <v>45943</v>
      </c>
      <c r="B384" s="271" t="s">
        <v>211</v>
      </c>
      <c r="C384" s="233" t="s">
        <v>177</v>
      </c>
      <c r="D384" s="505" t="s">
        <v>178</v>
      </c>
      <c r="E384" s="819">
        <v>2284.4499999999998</v>
      </c>
      <c r="F384" s="67" t="s">
        <v>161</v>
      </c>
      <c r="G384" s="236" t="s">
        <v>162</v>
      </c>
    </row>
    <row r="385" spans="1:7" s="139" customFormat="1" ht="13.8" hidden="1" x14ac:dyDescent="0.3">
      <c r="A385" s="123">
        <v>45943</v>
      </c>
      <c r="B385" s="123" t="s">
        <v>211</v>
      </c>
      <c r="C385" s="120" t="s">
        <v>177</v>
      </c>
      <c r="D385" s="122" t="s">
        <v>178</v>
      </c>
      <c r="E385" s="736">
        <v>11513.81</v>
      </c>
      <c r="F385" s="67" t="s">
        <v>161</v>
      </c>
      <c r="G385" s="236" t="s">
        <v>162</v>
      </c>
    </row>
    <row r="386" spans="1:7" s="139" customFormat="1" ht="13.8" hidden="1" x14ac:dyDescent="0.3">
      <c r="A386" s="123">
        <v>45943</v>
      </c>
      <c r="B386" s="123" t="s">
        <v>211</v>
      </c>
      <c r="C386" s="120" t="s">
        <v>177</v>
      </c>
      <c r="D386" s="122" t="s">
        <v>178</v>
      </c>
      <c r="E386" s="736">
        <v>797.59</v>
      </c>
      <c r="F386" s="67" t="s">
        <v>161</v>
      </c>
      <c r="G386" s="236" t="s">
        <v>162</v>
      </c>
    </row>
    <row r="387" spans="1:7" s="143" customFormat="1" ht="13.8" hidden="1" x14ac:dyDescent="0.3">
      <c r="A387" s="271">
        <v>45943</v>
      </c>
      <c r="B387" s="271" t="s">
        <v>211</v>
      </c>
      <c r="C387" s="233" t="s">
        <v>177</v>
      </c>
      <c r="D387" s="505" t="s">
        <v>178</v>
      </c>
      <c r="E387" s="221">
        <v>24988.71</v>
      </c>
      <c r="F387" s="67" t="s">
        <v>161</v>
      </c>
      <c r="G387" s="236" t="s">
        <v>162</v>
      </c>
    </row>
    <row r="388" spans="1:7" s="143" customFormat="1" ht="13.8" hidden="1" x14ac:dyDescent="0.3">
      <c r="A388" s="123">
        <v>45943</v>
      </c>
      <c r="B388" s="123" t="s">
        <v>211</v>
      </c>
      <c r="C388" s="120" t="s">
        <v>177</v>
      </c>
      <c r="D388" s="122" t="s">
        <v>178</v>
      </c>
      <c r="E388" s="53">
        <v>16834.330000000002</v>
      </c>
      <c r="F388" s="55" t="s">
        <v>161</v>
      </c>
      <c r="G388" s="61" t="s">
        <v>162</v>
      </c>
    </row>
    <row r="389" spans="1:7" s="143" customFormat="1" ht="13.8" hidden="1" x14ac:dyDescent="0.3">
      <c r="A389" s="123">
        <v>45943</v>
      </c>
      <c r="B389" s="123" t="s">
        <v>211</v>
      </c>
      <c r="C389" s="120" t="s">
        <v>177</v>
      </c>
      <c r="D389" s="122" t="s">
        <v>178</v>
      </c>
      <c r="E389" s="53">
        <v>268.13</v>
      </c>
      <c r="F389" s="55" t="s">
        <v>161</v>
      </c>
      <c r="G389" s="61" t="s">
        <v>162</v>
      </c>
    </row>
    <row r="390" spans="1:7" s="250" customFormat="1" ht="13.8" hidden="1" x14ac:dyDescent="0.3">
      <c r="A390" s="704">
        <v>45940</v>
      </c>
      <c r="B390" s="704" t="s">
        <v>211</v>
      </c>
      <c r="C390" s="1023" t="s">
        <v>66</v>
      </c>
      <c r="D390" s="462" t="s">
        <v>67</v>
      </c>
      <c r="E390" s="344">
        <v>-395.73</v>
      </c>
      <c r="F390" s="492" t="s">
        <v>8</v>
      </c>
      <c r="G390" s="493" t="s">
        <v>68</v>
      </c>
    </row>
    <row r="391" spans="1:7" s="250" customFormat="1" ht="13.8" hidden="1" x14ac:dyDescent="0.3">
      <c r="A391" s="316">
        <v>45960</v>
      </c>
      <c r="B391" s="316" t="s">
        <v>211</v>
      </c>
      <c r="C391" s="299" t="s">
        <v>6</v>
      </c>
      <c r="D391" s="300" t="s">
        <v>1885</v>
      </c>
      <c r="E391" s="317">
        <v>-138.5</v>
      </c>
      <c r="F391" s="249" t="s">
        <v>8</v>
      </c>
      <c r="G391" s="255" t="s">
        <v>99</v>
      </c>
    </row>
    <row r="392" spans="1:7" s="250" customFormat="1" ht="13.8" hidden="1" x14ac:dyDescent="0.3">
      <c r="A392" s="316">
        <v>45960</v>
      </c>
      <c r="B392" s="316" t="s">
        <v>211</v>
      </c>
      <c r="C392" s="299" t="s">
        <v>6</v>
      </c>
      <c r="D392" s="300" t="s">
        <v>1884</v>
      </c>
      <c r="E392" s="317">
        <v>-141.52000000000001</v>
      </c>
      <c r="F392" s="249" t="s">
        <v>8</v>
      </c>
      <c r="G392" s="255" t="s">
        <v>99</v>
      </c>
    </row>
    <row r="393" spans="1:7" s="250" customFormat="1" ht="13.8" hidden="1" x14ac:dyDescent="0.3">
      <c r="A393" s="316">
        <v>45960</v>
      </c>
      <c r="B393" s="316" t="s">
        <v>211</v>
      </c>
      <c r="C393" s="299" t="s">
        <v>6</v>
      </c>
      <c r="D393" s="300" t="s">
        <v>1884</v>
      </c>
      <c r="E393" s="317">
        <v>-141.52000000000001</v>
      </c>
      <c r="F393" s="249" t="s">
        <v>8</v>
      </c>
      <c r="G393" s="255" t="s">
        <v>99</v>
      </c>
    </row>
    <row r="394" spans="1:7" s="250" customFormat="1" ht="13.8" hidden="1" x14ac:dyDescent="0.3">
      <c r="A394" s="316">
        <v>45960</v>
      </c>
      <c r="B394" s="316" t="s">
        <v>211</v>
      </c>
      <c r="C394" s="299" t="s">
        <v>6</v>
      </c>
      <c r="D394" s="300" t="s">
        <v>1884</v>
      </c>
      <c r="E394" s="317">
        <v>-141.52000000000001</v>
      </c>
      <c r="F394" s="249" t="s">
        <v>8</v>
      </c>
      <c r="G394" s="255" t="s">
        <v>99</v>
      </c>
    </row>
    <row r="395" spans="1:7" s="250" customFormat="1" ht="13.8" hidden="1" x14ac:dyDescent="0.3">
      <c r="A395" s="384">
        <v>45936</v>
      </c>
      <c r="B395" s="384" t="s">
        <v>211</v>
      </c>
      <c r="C395" s="385" t="s">
        <v>6</v>
      </c>
      <c r="D395" s="386" t="s">
        <v>40</v>
      </c>
      <c r="E395" s="430">
        <v>-452122.85</v>
      </c>
      <c r="F395" s="402" t="s">
        <v>8</v>
      </c>
      <c r="G395" s="408" t="s">
        <v>41</v>
      </c>
    </row>
    <row r="396" spans="1:7" s="210" customFormat="1" hidden="1" x14ac:dyDescent="0.3">
      <c r="A396" s="375">
        <v>45945</v>
      </c>
      <c r="B396" s="375" t="s">
        <v>211</v>
      </c>
      <c r="C396" s="376" t="s">
        <v>6</v>
      </c>
      <c r="D396" s="377" t="s">
        <v>1063</v>
      </c>
      <c r="E396" s="811">
        <v>-8138.32</v>
      </c>
      <c r="F396" s="379" t="s">
        <v>8</v>
      </c>
      <c r="G396" s="379" t="s">
        <v>63</v>
      </c>
    </row>
    <row r="397" spans="1:7" s="250" customFormat="1" ht="13.8" hidden="1" x14ac:dyDescent="0.3">
      <c r="A397" s="384">
        <v>45940</v>
      </c>
      <c r="B397" s="316" t="s">
        <v>211</v>
      </c>
      <c r="C397" s="299" t="s">
        <v>6</v>
      </c>
      <c r="D397" s="300" t="s">
        <v>52</v>
      </c>
      <c r="E397" s="317">
        <v>-342.9</v>
      </c>
      <c r="F397" s="249" t="s">
        <v>8</v>
      </c>
      <c r="G397" s="255" t="s">
        <v>53</v>
      </c>
    </row>
    <row r="398" spans="1:7" s="250" customFormat="1" ht="13.2" hidden="1" customHeight="1" x14ac:dyDescent="0.3">
      <c r="A398" s="322">
        <v>45945</v>
      </c>
      <c r="B398" s="322" t="s">
        <v>211</v>
      </c>
      <c r="C398" s="291" t="s">
        <v>6</v>
      </c>
      <c r="D398" s="462" t="s">
        <v>566</v>
      </c>
      <c r="E398" s="461">
        <v>-2012.45</v>
      </c>
      <c r="F398" s="373" t="s">
        <v>8</v>
      </c>
      <c r="G398" s="266" t="s">
        <v>46</v>
      </c>
    </row>
    <row r="399" spans="1:7" s="250" customFormat="1" ht="13.2" hidden="1" customHeight="1" x14ac:dyDescent="0.3">
      <c r="A399" s="369">
        <v>45952</v>
      </c>
      <c r="B399" s="316" t="s">
        <v>211</v>
      </c>
      <c r="C399" s="339" t="s">
        <v>32</v>
      </c>
      <c r="D399" s="293" t="s">
        <v>1939</v>
      </c>
      <c r="E399" s="248">
        <v>-493.2</v>
      </c>
      <c r="F399" s="249" t="s">
        <v>8</v>
      </c>
      <c r="G399" s="254" t="s">
        <v>82</v>
      </c>
    </row>
    <row r="400" spans="1:7" s="250" customFormat="1" ht="13.8" hidden="1" x14ac:dyDescent="0.3">
      <c r="A400" s="369">
        <v>45952</v>
      </c>
      <c r="B400" s="316" t="s">
        <v>211</v>
      </c>
      <c r="C400" s="296" t="s">
        <v>32</v>
      </c>
      <c r="D400" s="293" t="s">
        <v>1947</v>
      </c>
      <c r="E400" s="248">
        <v>-83.68</v>
      </c>
      <c r="F400" s="249" t="s">
        <v>8</v>
      </c>
      <c r="G400" s="254" t="s">
        <v>386</v>
      </c>
    </row>
    <row r="401" spans="1:7" s="250" customFormat="1" ht="13.8" hidden="1" x14ac:dyDescent="0.3">
      <c r="A401" s="384">
        <v>45950</v>
      </c>
      <c r="B401" s="384" t="s">
        <v>211</v>
      </c>
      <c r="C401" s="296" t="s">
        <v>17</v>
      </c>
      <c r="D401" s="293" t="s">
        <v>1872</v>
      </c>
      <c r="E401" s="248">
        <v>-313.77</v>
      </c>
      <c r="F401" s="249" t="s">
        <v>8</v>
      </c>
      <c r="G401" s="255" t="s">
        <v>186</v>
      </c>
    </row>
    <row r="402" spans="1:7" s="250" customFormat="1" ht="13.8" hidden="1" x14ac:dyDescent="0.3">
      <c r="A402" s="316">
        <v>45950</v>
      </c>
      <c r="B402" s="316" t="s">
        <v>211</v>
      </c>
      <c r="C402" s="296" t="s">
        <v>31</v>
      </c>
      <c r="D402" s="293" t="s">
        <v>1564</v>
      </c>
      <c r="E402" s="248">
        <v>-1240</v>
      </c>
      <c r="F402" s="249" t="s">
        <v>8</v>
      </c>
      <c r="G402" s="255" t="s">
        <v>186</v>
      </c>
    </row>
    <row r="403" spans="1:7" s="587" customFormat="1" ht="13.8" hidden="1" x14ac:dyDescent="0.3">
      <c r="A403" s="1042">
        <v>45968</v>
      </c>
      <c r="B403" s="585" t="s">
        <v>212</v>
      </c>
      <c r="C403" s="590" t="s">
        <v>6</v>
      </c>
      <c r="D403" s="360" t="s">
        <v>2169</v>
      </c>
      <c r="E403" s="361">
        <v>-20000</v>
      </c>
      <c r="F403" s="586" t="s">
        <v>8</v>
      </c>
      <c r="G403" s="1048" t="s">
        <v>124</v>
      </c>
    </row>
    <row r="404" spans="1:7" s="587" customFormat="1" ht="13.8" hidden="1" x14ac:dyDescent="0.3">
      <c r="A404" s="1042">
        <v>45968</v>
      </c>
      <c r="B404" s="585" t="s">
        <v>212</v>
      </c>
      <c r="C404" s="590" t="s">
        <v>6</v>
      </c>
      <c r="D404" s="360" t="s">
        <v>144</v>
      </c>
      <c r="E404" s="361">
        <v>-35000</v>
      </c>
      <c r="F404" s="586" t="s">
        <v>8</v>
      </c>
      <c r="G404" s="791" t="s">
        <v>124</v>
      </c>
    </row>
    <row r="405" spans="1:7" s="250" customFormat="1" ht="13.8" hidden="1" x14ac:dyDescent="0.3">
      <c r="A405" s="384">
        <v>45953</v>
      </c>
      <c r="B405" s="384" t="s">
        <v>211</v>
      </c>
      <c r="C405" s="1013" t="s">
        <v>13</v>
      </c>
      <c r="D405" s="386" t="s">
        <v>2134</v>
      </c>
      <c r="E405" s="438">
        <v>-500</v>
      </c>
      <c r="F405" s="402" t="s">
        <v>8</v>
      </c>
      <c r="G405" s="408" t="s">
        <v>27</v>
      </c>
    </row>
    <row r="406" spans="1:7" s="250" customFormat="1" ht="13.8" hidden="1" x14ac:dyDescent="0.3">
      <c r="A406" s="316">
        <v>45953</v>
      </c>
      <c r="B406" s="316" t="s">
        <v>211</v>
      </c>
      <c r="C406" s="371" t="s">
        <v>13</v>
      </c>
      <c r="D406" s="300" t="s">
        <v>2135</v>
      </c>
      <c r="E406" s="317">
        <v>-500</v>
      </c>
      <c r="F406" s="249" t="s">
        <v>8</v>
      </c>
      <c r="G406" s="255" t="s">
        <v>27</v>
      </c>
    </row>
    <row r="407" spans="1:7" s="250" customFormat="1" ht="13.8" hidden="1" x14ac:dyDescent="0.3">
      <c r="A407" s="316">
        <v>45953</v>
      </c>
      <c r="B407" s="316" t="s">
        <v>211</v>
      </c>
      <c r="C407" s="371" t="s">
        <v>13</v>
      </c>
      <c r="D407" s="300" t="s">
        <v>2137</v>
      </c>
      <c r="E407" s="317">
        <v>-720</v>
      </c>
      <c r="F407" s="249" t="s">
        <v>8</v>
      </c>
      <c r="G407" s="255" t="s">
        <v>27</v>
      </c>
    </row>
    <row r="408" spans="1:7" s="250" customFormat="1" ht="13.8" hidden="1" x14ac:dyDescent="0.3">
      <c r="A408" s="316">
        <v>45953</v>
      </c>
      <c r="B408" s="316" t="s">
        <v>211</v>
      </c>
      <c r="C408" s="371" t="s">
        <v>13</v>
      </c>
      <c r="D408" s="300" t="s">
        <v>2138</v>
      </c>
      <c r="E408" s="317">
        <v>-1120</v>
      </c>
      <c r="F408" s="249" t="s">
        <v>8</v>
      </c>
      <c r="G408" s="255" t="s">
        <v>27</v>
      </c>
    </row>
    <row r="409" spans="1:7" s="250" customFormat="1" ht="13.8" hidden="1" x14ac:dyDescent="0.3">
      <c r="A409" s="316">
        <v>45953</v>
      </c>
      <c r="B409" s="316" t="s">
        <v>211</v>
      </c>
      <c r="C409" s="293" t="s">
        <v>25</v>
      </c>
      <c r="D409" s="293" t="s">
        <v>1941</v>
      </c>
      <c r="E409" s="248">
        <v>-1484.05</v>
      </c>
      <c r="F409" s="249" t="s">
        <v>8</v>
      </c>
      <c r="G409" s="374" t="s">
        <v>75</v>
      </c>
    </row>
    <row r="410" spans="1:7" s="250" customFormat="1" ht="14.4" hidden="1" customHeight="1" x14ac:dyDescent="0.3">
      <c r="A410" s="316">
        <v>45953</v>
      </c>
      <c r="B410" s="316" t="s">
        <v>211</v>
      </c>
      <c r="C410" s="293" t="s">
        <v>1571</v>
      </c>
      <c r="D410" s="293" t="s">
        <v>1956</v>
      </c>
      <c r="E410" s="248">
        <v>-300</v>
      </c>
      <c r="F410" s="249" t="s">
        <v>8</v>
      </c>
      <c r="G410" s="374" t="s">
        <v>78</v>
      </c>
    </row>
    <row r="411" spans="1:7" s="250" customFormat="1" ht="13.8" hidden="1" x14ac:dyDescent="0.3">
      <c r="A411" s="316">
        <v>45953</v>
      </c>
      <c r="B411" s="322" t="s">
        <v>211</v>
      </c>
      <c r="C411" s="293" t="s">
        <v>31</v>
      </c>
      <c r="D411" s="293" t="s">
        <v>1957</v>
      </c>
      <c r="E411" s="344">
        <v>-50</v>
      </c>
      <c r="F411" s="373" t="s">
        <v>8</v>
      </c>
      <c r="G411" s="817" t="s">
        <v>111</v>
      </c>
    </row>
    <row r="412" spans="1:7" s="250" customFormat="1" ht="13.8" hidden="1" x14ac:dyDescent="0.3">
      <c r="A412" s="322">
        <v>45953</v>
      </c>
      <c r="B412" s="322" t="s">
        <v>211</v>
      </c>
      <c r="C412" s="372" t="s">
        <v>1571</v>
      </c>
      <c r="D412" s="372" t="s">
        <v>1958</v>
      </c>
      <c r="E412" s="344">
        <v>-519</v>
      </c>
      <c r="F412" s="373" t="s">
        <v>8</v>
      </c>
      <c r="G412" s="817" t="s">
        <v>19</v>
      </c>
    </row>
    <row r="413" spans="1:7" s="587" customFormat="1" ht="13.8" hidden="1" x14ac:dyDescent="0.3">
      <c r="A413" s="1042">
        <v>45968</v>
      </c>
      <c r="B413" s="585" t="s">
        <v>212</v>
      </c>
      <c r="C413" s="590" t="s">
        <v>6</v>
      </c>
      <c r="D413" s="360" t="s">
        <v>2213</v>
      </c>
      <c r="E413" s="361">
        <v>-10513.26</v>
      </c>
      <c r="F413" s="586" t="s">
        <v>8</v>
      </c>
      <c r="G413" s="591" t="s">
        <v>51</v>
      </c>
    </row>
    <row r="414" spans="1:7" s="250" customFormat="1" ht="13.8" hidden="1" x14ac:dyDescent="0.3">
      <c r="A414" s="384">
        <v>45946</v>
      </c>
      <c r="B414" s="384" t="s">
        <v>211</v>
      </c>
      <c r="C414" s="405" t="s">
        <v>17</v>
      </c>
      <c r="D414" s="405" t="s">
        <v>1563</v>
      </c>
      <c r="E414" s="1030">
        <v>-1000</v>
      </c>
      <c r="F414" s="402" t="s">
        <v>8</v>
      </c>
      <c r="G414" s="408" t="s">
        <v>186</v>
      </c>
    </row>
    <row r="415" spans="1:7" s="250" customFormat="1" ht="13.8" hidden="1" x14ac:dyDescent="0.3">
      <c r="A415" s="322">
        <v>45946</v>
      </c>
      <c r="B415" s="322" t="s">
        <v>211</v>
      </c>
      <c r="C415" s="372" t="s">
        <v>31</v>
      </c>
      <c r="D415" s="372" t="s">
        <v>1809</v>
      </c>
      <c r="E415" s="614">
        <v>-100</v>
      </c>
      <c r="F415" s="373" t="s">
        <v>8</v>
      </c>
      <c r="G415" s="270" t="s">
        <v>111</v>
      </c>
    </row>
    <row r="416" spans="1:7" s="250" customFormat="1" ht="13.2" hidden="1" customHeight="1" x14ac:dyDescent="0.3">
      <c r="A416" s="316">
        <v>45961</v>
      </c>
      <c r="B416" s="316" t="s">
        <v>211</v>
      </c>
      <c r="C416" s="293" t="s">
        <v>44</v>
      </c>
      <c r="D416" s="293" t="s">
        <v>1851</v>
      </c>
      <c r="E416" s="248">
        <v>-930.49</v>
      </c>
      <c r="F416" s="249" t="s">
        <v>8</v>
      </c>
      <c r="G416" s="255" t="s">
        <v>46</v>
      </c>
    </row>
    <row r="417" spans="1:7" s="250" customFormat="1" ht="13.8" hidden="1" x14ac:dyDescent="0.3">
      <c r="A417" s="384">
        <v>45953</v>
      </c>
      <c r="B417" s="384" t="s">
        <v>211</v>
      </c>
      <c r="C417" s="405" t="s">
        <v>17</v>
      </c>
      <c r="D417" s="405" t="s">
        <v>1938</v>
      </c>
      <c r="E417" s="1030">
        <v>-474</v>
      </c>
      <c r="F417" s="402" t="s">
        <v>8</v>
      </c>
      <c r="G417" s="408" t="s">
        <v>1440</v>
      </c>
    </row>
    <row r="418" spans="1:7" s="250" customFormat="1" ht="13.8" hidden="1" x14ac:dyDescent="0.3">
      <c r="A418" s="704">
        <v>45946</v>
      </c>
      <c r="B418" s="704" t="s">
        <v>211</v>
      </c>
      <c r="C418" s="293" t="s">
        <v>44</v>
      </c>
      <c r="D418" s="293" t="s">
        <v>1932</v>
      </c>
      <c r="E418" s="294">
        <v>-675</v>
      </c>
      <c r="F418" s="249" t="s">
        <v>8</v>
      </c>
      <c r="G418" s="270" t="s">
        <v>1064</v>
      </c>
    </row>
    <row r="419" spans="1:7" s="250" customFormat="1" ht="0.6" hidden="1" customHeight="1" x14ac:dyDescent="0.3">
      <c r="A419" s="316">
        <v>45953</v>
      </c>
      <c r="B419" s="316" t="s">
        <v>211</v>
      </c>
      <c r="C419" s="293" t="s">
        <v>44</v>
      </c>
      <c r="D419" s="293" t="s">
        <v>1886</v>
      </c>
      <c r="E419" s="294">
        <v>-1695.95</v>
      </c>
      <c r="F419" s="249" t="s">
        <v>8</v>
      </c>
      <c r="G419" s="255" t="s">
        <v>1279</v>
      </c>
    </row>
    <row r="420" spans="1:7" s="250" customFormat="1" hidden="1" x14ac:dyDescent="0.3">
      <c r="A420" s="316">
        <v>45957</v>
      </c>
      <c r="B420" s="316" t="s">
        <v>211</v>
      </c>
      <c r="C420" s="293" t="s">
        <v>17</v>
      </c>
      <c r="D420" s="293" t="s">
        <v>2192</v>
      </c>
      <c r="E420" s="1001">
        <v>-87452.75</v>
      </c>
      <c r="F420" s="249" t="s">
        <v>8</v>
      </c>
      <c r="G420" s="255" t="s">
        <v>1931</v>
      </c>
    </row>
    <row r="421" spans="1:7" s="250" customFormat="1" ht="13.8" hidden="1" x14ac:dyDescent="0.3">
      <c r="A421" s="316">
        <v>45953</v>
      </c>
      <c r="B421" s="316" t="s">
        <v>211</v>
      </c>
      <c r="C421" s="293" t="s">
        <v>71</v>
      </c>
      <c r="D421" s="293" t="s">
        <v>1929</v>
      </c>
      <c r="E421" s="294">
        <v>-477.4</v>
      </c>
      <c r="F421" s="249" t="s">
        <v>8</v>
      </c>
      <c r="G421" s="255" t="s">
        <v>1279</v>
      </c>
    </row>
    <row r="422" spans="1:7" s="250" customFormat="1" ht="13.8" hidden="1" x14ac:dyDescent="0.3">
      <c r="A422" s="316">
        <v>45952</v>
      </c>
      <c r="B422" s="316" t="s">
        <v>211</v>
      </c>
      <c r="C422" s="293" t="s">
        <v>71</v>
      </c>
      <c r="D422" s="293" t="s">
        <v>1928</v>
      </c>
      <c r="E422" s="294">
        <v>-835.35</v>
      </c>
      <c r="F422" s="249" t="s">
        <v>8</v>
      </c>
      <c r="G422" s="255" t="s">
        <v>1279</v>
      </c>
    </row>
    <row r="423" spans="1:7" s="250" customFormat="1" ht="15" hidden="1" customHeight="1" x14ac:dyDescent="0.3">
      <c r="A423" s="316">
        <v>45953</v>
      </c>
      <c r="B423" s="316" t="s">
        <v>211</v>
      </c>
      <c r="C423" s="293" t="s">
        <v>17</v>
      </c>
      <c r="D423" s="293" t="s">
        <v>1934</v>
      </c>
      <c r="E423" s="248">
        <v>-113.4</v>
      </c>
      <c r="F423" s="249" t="s">
        <v>8</v>
      </c>
      <c r="G423" s="255" t="s">
        <v>1279</v>
      </c>
    </row>
    <row r="424" spans="1:7" s="250" customFormat="1" ht="13.8" hidden="1" x14ac:dyDescent="0.3">
      <c r="A424" s="384">
        <v>45947</v>
      </c>
      <c r="B424" s="384" t="s">
        <v>211</v>
      </c>
      <c r="C424" s="293" t="s">
        <v>25</v>
      </c>
      <c r="D424" s="729" t="s">
        <v>1811</v>
      </c>
      <c r="E424" s="248">
        <v>-230.79</v>
      </c>
      <c r="F424" s="249" t="s">
        <v>8</v>
      </c>
      <c r="G424" s="254" t="s">
        <v>75</v>
      </c>
    </row>
    <row r="425" spans="1:7" s="250" customFormat="1" ht="13.8" hidden="1" x14ac:dyDescent="0.3">
      <c r="A425" s="316">
        <v>45947</v>
      </c>
      <c r="B425" s="316" t="s">
        <v>211</v>
      </c>
      <c r="C425" s="293" t="s">
        <v>25</v>
      </c>
      <c r="D425" s="729" t="s">
        <v>1318</v>
      </c>
      <c r="E425" s="248">
        <v>-605.48</v>
      </c>
      <c r="F425" s="249" t="s">
        <v>8</v>
      </c>
      <c r="G425" s="254" t="s">
        <v>75</v>
      </c>
    </row>
    <row r="426" spans="1:7" s="250" customFormat="1" ht="13.8" hidden="1" x14ac:dyDescent="0.3">
      <c r="A426" s="316">
        <v>45947</v>
      </c>
      <c r="B426" s="316" t="s">
        <v>211</v>
      </c>
      <c r="C426" s="296" t="s">
        <v>32</v>
      </c>
      <c r="D426" s="293" t="s">
        <v>1812</v>
      </c>
      <c r="E426" s="248">
        <v>-2812.52</v>
      </c>
      <c r="F426" s="249" t="s">
        <v>8</v>
      </c>
      <c r="G426" s="254" t="s">
        <v>75</v>
      </c>
    </row>
    <row r="427" spans="1:7" s="250" customFormat="1" ht="13.8" hidden="1" x14ac:dyDescent="0.3">
      <c r="A427" s="322">
        <v>45947</v>
      </c>
      <c r="B427" s="322" t="s">
        <v>211</v>
      </c>
      <c r="C427" s="296" t="s">
        <v>31</v>
      </c>
      <c r="D427" s="293" t="s">
        <v>1871</v>
      </c>
      <c r="E427" s="248">
        <v>-181</v>
      </c>
      <c r="F427" s="249" t="s">
        <v>8</v>
      </c>
      <c r="G427" s="254" t="s">
        <v>111</v>
      </c>
    </row>
    <row r="428" spans="1:7" s="210" customFormat="1" ht="13.8" hidden="1" x14ac:dyDescent="0.3">
      <c r="A428" s="375">
        <v>45951</v>
      </c>
      <c r="B428" s="375" t="s">
        <v>211</v>
      </c>
      <c r="C428" s="661" t="s">
        <v>25</v>
      </c>
      <c r="D428" s="661" t="s">
        <v>1965</v>
      </c>
      <c r="E428" s="662">
        <v>-1000</v>
      </c>
      <c r="F428" s="378" t="s">
        <v>8</v>
      </c>
      <c r="G428" s="209" t="s">
        <v>15</v>
      </c>
    </row>
    <row r="429" spans="1:7" s="250" customFormat="1" ht="13.8" hidden="1" x14ac:dyDescent="0.3">
      <c r="A429" s="316">
        <v>45953</v>
      </c>
      <c r="B429" s="316" t="s">
        <v>211</v>
      </c>
      <c r="C429" s="296" t="s">
        <v>44</v>
      </c>
      <c r="D429" s="293" t="s">
        <v>1935</v>
      </c>
      <c r="E429" s="248">
        <v>-1685.66</v>
      </c>
      <c r="F429" s="249" t="s">
        <v>8</v>
      </c>
      <c r="G429" s="255" t="s">
        <v>1064</v>
      </c>
    </row>
    <row r="430" spans="1:7" s="250" customFormat="1" ht="13.8" hidden="1" x14ac:dyDescent="0.3">
      <c r="A430" s="384">
        <v>45947</v>
      </c>
      <c r="B430" s="384" t="s">
        <v>211</v>
      </c>
      <c r="C430" s="296" t="s">
        <v>25</v>
      </c>
      <c r="D430" s="293" t="s">
        <v>1527</v>
      </c>
      <c r="E430" s="248">
        <v>-200</v>
      </c>
      <c r="F430" s="249" t="s">
        <v>8</v>
      </c>
      <c r="G430" s="255" t="s">
        <v>153</v>
      </c>
    </row>
    <row r="431" spans="1:7" s="250" customFormat="1" ht="13.8" hidden="1" x14ac:dyDescent="0.3">
      <c r="A431" s="316">
        <v>45953</v>
      </c>
      <c r="B431" s="316" t="s">
        <v>211</v>
      </c>
      <c r="C431" s="296" t="s">
        <v>17</v>
      </c>
      <c r="D431" s="293" t="s">
        <v>1936</v>
      </c>
      <c r="E431" s="248">
        <v>-189</v>
      </c>
      <c r="F431" s="249" t="s">
        <v>8</v>
      </c>
      <c r="G431" s="255" t="s">
        <v>1440</v>
      </c>
    </row>
    <row r="432" spans="1:7" s="250" customFormat="1" ht="13.8" hidden="1" x14ac:dyDescent="0.3">
      <c r="A432" s="316">
        <v>45950</v>
      </c>
      <c r="B432" s="316" t="s">
        <v>211</v>
      </c>
      <c r="C432" s="424" t="s">
        <v>6</v>
      </c>
      <c r="D432" s="293" t="s">
        <v>1933</v>
      </c>
      <c r="E432" s="248">
        <v>-159.80000000000001</v>
      </c>
      <c r="F432" s="249" t="s">
        <v>8</v>
      </c>
      <c r="G432" s="255" t="s">
        <v>186</v>
      </c>
    </row>
    <row r="433" spans="1:7" s="250" customFormat="1" ht="13.8" hidden="1" x14ac:dyDescent="0.3">
      <c r="A433" s="316">
        <v>45947</v>
      </c>
      <c r="B433" s="316" t="s">
        <v>211</v>
      </c>
      <c r="C433" s="296" t="s">
        <v>25</v>
      </c>
      <c r="D433" s="293" t="s">
        <v>753</v>
      </c>
      <c r="E433" s="248">
        <v>-123</v>
      </c>
      <c r="F433" s="249" t="s">
        <v>8</v>
      </c>
      <c r="G433" s="255" t="s">
        <v>82</v>
      </c>
    </row>
    <row r="434" spans="1:7" s="250" customFormat="1" ht="13.8" hidden="1" x14ac:dyDescent="0.3">
      <c r="A434" s="316">
        <v>45947</v>
      </c>
      <c r="B434" s="316" t="s">
        <v>211</v>
      </c>
      <c r="C434" s="296" t="s">
        <v>25</v>
      </c>
      <c r="D434" s="293" t="s">
        <v>749</v>
      </c>
      <c r="E434" s="248">
        <v>-233</v>
      </c>
      <c r="F434" s="249" t="s">
        <v>8</v>
      </c>
      <c r="G434" s="255" t="s">
        <v>82</v>
      </c>
    </row>
    <row r="435" spans="1:7" s="250" customFormat="1" ht="13.8" hidden="1" x14ac:dyDescent="0.3">
      <c r="A435" s="316">
        <v>45947</v>
      </c>
      <c r="B435" s="316" t="s">
        <v>211</v>
      </c>
      <c r="C435" s="296" t="s">
        <v>25</v>
      </c>
      <c r="D435" s="293" t="s">
        <v>1139</v>
      </c>
      <c r="E435" s="248">
        <v>-135.30000000000001</v>
      </c>
      <c r="F435" s="249" t="s">
        <v>8</v>
      </c>
      <c r="G435" s="255" t="s">
        <v>82</v>
      </c>
    </row>
    <row r="436" spans="1:7" s="250" customFormat="1" ht="13.8" hidden="1" x14ac:dyDescent="0.3">
      <c r="A436" s="316">
        <v>45947</v>
      </c>
      <c r="B436" s="316" t="s">
        <v>211</v>
      </c>
      <c r="C436" s="423" t="s">
        <v>13</v>
      </c>
      <c r="D436" s="300" t="s">
        <v>1624</v>
      </c>
      <c r="E436" s="317">
        <v>-4956.07</v>
      </c>
      <c r="F436" s="249" t="s">
        <v>8</v>
      </c>
      <c r="G436" s="254" t="s">
        <v>46</v>
      </c>
    </row>
    <row r="437" spans="1:7" s="752" customFormat="1" ht="13.8" hidden="1" x14ac:dyDescent="0.3">
      <c r="A437" s="746">
        <v>45944</v>
      </c>
      <c r="B437" s="746" t="s">
        <v>211</v>
      </c>
      <c r="C437" s="747" t="s">
        <v>25</v>
      </c>
      <c r="D437" s="748" t="s">
        <v>1799</v>
      </c>
      <c r="E437" s="749">
        <v>-459.29</v>
      </c>
      <c r="F437" s="750" t="s">
        <v>8</v>
      </c>
      <c r="G437" s="751" t="s">
        <v>51</v>
      </c>
    </row>
    <row r="438" spans="1:7" s="752" customFormat="1" ht="13.8" hidden="1" x14ac:dyDescent="0.3">
      <c r="A438" s="746">
        <v>45944</v>
      </c>
      <c r="B438" s="746" t="s">
        <v>211</v>
      </c>
      <c r="C438" s="747" t="s">
        <v>32</v>
      </c>
      <c r="D438" s="748" t="s">
        <v>1799</v>
      </c>
      <c r="E438" s="749">
        <v>-105.99</v>
      </c>
      <c r="F438" s="750" t="s">
        <v>8</v>
      </c>
      <c r="G438" s="751" t="s">
        <v>51</v>
      </c>
    </row>
    <row r="439" spans="1:7" s="752" customFormat="1" ht="15.6" hidden="1" customHeight="1" x14ac:dyDescent="0.3">
      <c r="A439" s="746">
        <v>45944</v>
      </c>
      <c r="B439" s="746" t="s">
        <v>211</v>
      </c>
      <c r="C439" s="747" t="s">
        <v>17</v>
      </c>
      <c r="D439" s="748" t="s">
        <v>1800</v>
      </c>
      <c r="E439" s="749">
        <v>-105.99</v>
      </c>
      <c r="F439" s="750" t="s">
        <v>8</v>
      </c>
      <c r="G439" s="751" t="s">
        <v>51</v>
      </c>
    </row>
    <row r="440" spans="1:7" s="250" customFormat="1" ht="13.8" hidden="1" x14ac:dyDescent="0.3">
      <c r="A440" s="316">
        <v>45944</v>
      </c>
      <c r="B440" s="316" t="s">
        <v>211</v>
      </c>
      <c r="C440" s="293" t="s">
        <v>25</v>
      </c>
      <c r="D440" s="253" t="s">
        <v>1138</v>
      </c>
      <c r="E440" s="248">
        <v>-165</v>
      </c>
      <c r="F440" s="249" t="s">
        <v>8</v>
      </c>
      <c r="G440" s="254" t="s">
        <v>82</v>
      </c>
    </row>
    <row r="441" spans="1:7" s="250" customFormat="1" ht="13.8" hidden="1" x14ac:dyDescent="0.3">
      <c r="A441" s="316">
        <v>45944</v>
      </c>
      <c r="B441" s="316" t="s">
        <v>211</v>
      </c>
      <c r="C441" s="293" t="s">
        <v>25</v>
      </c>
      <c r="D441" s="253" t="s">
        <v>1801</v>
      </c>
      <c r="E441" s="248">
        <v>-187.5</v>
      </c>
      <c r="F441" s="249" t="s">
        <v>8</v>
      </c>
      <c r="G441" s="254" t="s">
        <v>82</v>
      </c>
    </row>
    <row r="442" spans="1:7" s="250" customFormat="1" ht="13.8" hidden="1" x14ac:dyDescent="0.3">
      <c r="A442" s="316">
        <v>45944</v>
      </c>
      <c r="B442" s="316" t="s">
        <v>211</v>
      </c>
      <c r="C442" s="293" t="s">
        <v>17</v>
      </c>
      <c r="D442" s="253" t="s">
        <v>1802</v>
      </c>
      <c r="E442" s="248">
        <v>-184.5</v>
      </c>
      <c r="F442" s="249" t="s">
        <v>8</v>
      </c>
      <c r="G442" s="254" t="s">
        <v>82</v>
      </c>
    </row>
    <row r="443" spans="1:7" s="250" customFormat="1" ht="13.8" hidden="1" x14ac:dyDescent="0.3">
      <c r="A443" s="316">
        <v>45944</v>
      </c>
      <c r="B443" s="316" t="s">
        <v>211</v>
      </c>
      <c r="C443" s="293" t="s">
        <v>17</v>
      </c>
      <c r="D443" s="253" t="s">
        <v>1617</v>
      </c>
      <c r="E443" s="248">
        <v>-184.5</v>
      </c>
      <c r="F443" s="249" t="s">
        <v>8</v>
      </c>
      <c r="G443" s="254" t="s">
        <v>82</v>
      </c>
    </row>
    <row r="444" spans="1:7" s="250" customFormat="1" ht="13.8" hidden="1" x14ac:dyDescent="0.3">
      <c r="A444" s="316">
        <v>45944</v>
      </c>
      <c r="B444" s="316" t="s">
        <v>211</v>
      </c>
      <c r="C444" s="293" t="s">
        <v>17</v>
      </c>
      <c r="D444" s="253" t="s">
        <v>1619</v>
      </c>
      <c r="E444" s="248">
        <v>-184.5</v>
      </c>
      <c r="F444" s="249" t="s">
        <v>8</v>
      </c>
      <c r="G444" s="254" t="s">
        <v>82</v>
      </c>
    </row>
    <row r="445" spans="1:7" s="139" customFormat="1" ht="13.8" hidden="1" x14ac:dyDescent="0.3">
      <c r="A445" s="100">
        <v>45932</v>
      </c>
      <c r="B445" s="100" t="s">
        <v>211</v>
      </c>
      <c r="C445" s="12" t="s">
        <v>32</v>
      </c>
      <c r="D445" s="4" t="s">
        <v>28</v>
      </c>
      <c r="E445" s="16">
        <v>-389</v>
      </c>
      <c r="F445" s="13" t="s">
        <v>8</v>
      </c>
      <c r="G445" s="5" t="s">
        <v>29</v>
      </c>
    </row>
    <row r="446" spans="1:7" s="139" customFormat="1" ht="13.8" hidden="1" x14ac:dyDescent="0.3">
      <c r="A446" s="113">
        <v>45932</v>
      </c>
      <c r="B446" s="113" t="s">
        <v>211</v>
      </c>
      <c r="C446" s="690" t="s">
        <v>33</v>
      </c>
      <c r="D446" s="107" t="s">
        <v>28</v>
      </c>
      <c r="E446" s="145">
        <v>-389</v>
      </c>
      <c r="F446" s="27" t="s">
        <v>8</v>
      </c>
      <c r="G446" s="41" t="s">
        <v>29</v>
      </c>
    </row>
    <row r="447" spans="1:7" s="250" customFormat="1" ht="13.8" hidden="1" x14ac:dyDescent="0.3">
      <c r="A447" s="316">
        <v>45953</v>
      </c>
      <c r="B447" s="316" t="s">
        <v>211</v>
      </c>
      <c r="C447" s="293" t="s">
        <v>6</v>
      </c>
      <c r="D447" s="293" t="s">
        <v>1264</v>
      </c>
      <c r="E447" s="248">
        <v>-44</v>
      </c>
      <c r="F447" s="249" t="s">
        <v>8</v>
      </c>
      <c r="G447" s="254" t="s">
        <v>82</v>
      </c>
    </row>
    <row r="448" spans="1:7" s="250" customFormat="1" ht="13.8" hidden="1" x14ac:dyDescent="0.3">
      <c r="A448" s="316">
        <v>45953</v>
      </c>
      <c r="B448" s="316" t="s">
        <v>211</v>
      </c>
      <c r="C448" s="293" t="s">
        <v>6</v>
      </c>
      <c r="D448" s="293" t="s">
        <v>1267</v>
      </c>
      <c r="E448" s="248">
        <v>-44</v>
      </c>
      <c r="F448" s="249" t="s">
        <v>8</v>
      </c>
      <c r="G448" s="254" t="s">
        <v>82</v>
      </c>
    </row>
    <row r="449" spans="1:7" s="250" customFormat="1" ht="13.8" hidden="1" x14ac:dyDescent="0.3">
      <c r="A449" s="316">
        <v>45953</v>
      </c>
      <c r="B449" s="316" t="s">
        <v>211</v>
      </c>
      <c r="C449" s="293" t="s">
        <v>6</v>
      </c>
      <c r="D449" s="293" t="s">
        <v>1228</v>
      </c>
      <c r="E449" s="248">
        <v>-44</v>
      </c>
      <c r="F449" s="249" t="s">
        <v>8</v>
      </c>
      <c r="G449" s="254" t="s">
        <v>82</v>
      </c>
    </row>
    <row r="450" spans="1:7" s="250" customFormat="1" ht="13.8" hidden="1" x14ac:dyDescent="0.3">
      <c r="A450" s="316">
        <v>45953</v>
      </c>
      <c r="B450" s="316" t="s">
        <v>211</v>
      </c>
      <c r="C450" s="293" t="s">
        <v>6</v>
      </c>
      <c r="D450" s="293" t="s">
        <v>1268</v>
      </c>
      <c r="E450" s="248">
        <v>-44</v>
      </c>
      <c r="F450" s="249" t="s">
        <v>8</v>
      </c>
      <c r="G450" s="254" t="s">
        <v>82</v>
      </c>
    </row>
    <row r="451" spans="1:7" s="250" customFormat="1" ht="13.8" hidden="1" x14ac:dyDescent="0.3">
      <c r="A451" s="316">
        <v>45953</v>
      </c>
      <c r="B451" s="316" t="s">
        <v>211</v>
      </c>
      <c r="C451" s="293" t="s">
        <v>25</v>
      </c>
      <c r="D451" s="293" t="s">
        <v>1959</v>
      </c>
      <c r="E451" s="248">
        <v>-181.6</v>
      </c>
      <c r="F451" s="249" t="s">
        <v>8</v>
      </c>
      <c r="G451" s="254" t="s">
        <v>82</v>
      </c>
    </row>
    <row r="452" spans="1:7" s="250" customFormat="1" ht="13.8" hidden="1" x14ac:dyDescent="0.3">
      <c r="A452" s="316">
        <v>45953</v>
      </c>
      <c r="B452" s="316" t="s">
        <v>211</v>
      </c>
      <c r="C452" s="293" t="s">
        <v>25</v>
      </c>
      <c r="D452" s="293" t="s">
        <v>1960</v>
      </c>
      <c r="E452" s="248">
        <v>-123</v>
      </c>
      <c r="F452" s="249" t="s">
        <v>8</v>
      </c>
      <c r="G452" s="254" t="s">
        <v>82</v>
      </c>
    </row>
    <row r="453" spans="1:7" s="250" customFormat="1" ht="13.8" hidden="1" x14ac:dyDescent="0.3">
      <c r="A453" s="316">
        <v>45953</v>
      </c>
      <c r="B453" s="316" t="s">
        <v>211</v>
      </c>
      <c r="C453" s="293" t="s">
        <v>25</v>
      </c>
      <c r="D453" s="293" t="s">
        <v>1961</v>
      </c>
      <c r="E453" s="248">
        <v>-123</v>
      </c>
      <c r="F453" s="249" t="s">
        <v>8</v>
      </c>
      <c r="G453" s="254" t="s">
        <v>82</v>
      </c>
    </row>
    <row r="454" spans="1:7" s="250" customFormat="1" ht="13.8" hidden="1" x14ac:dyDescent="0.3">
      <c r="A454" s="316">
        <v>45953</v>
      </c>
      <c r="B454" s="316" t="s">
        <v>211</v>
      </c>
      <c r="C454" s="299" t="s">
        <v>6</v>
      </c>
      <c r="D454" s="300" t="s">
        <v>92</v>
      </c>
      <c r="E454" s="317">
        <v>-177.05</v>
      </c>
      <c r="F454" s="249" t="s">
        <v>8</v>
      </c>
      <c r="G454" s="255" t="s">
        <v>29</v>
      </c>
    </row>
    <row r="455" spans="1:7" s="250" customFormat="1" ht="13.8" hidden="1" x14ac:dyDescent="0.3">
      <c r="A455" s="316">
        <v>45953</v>
      </c>
      <c r="B455" s="316" t="s">
        <v>211</v>
      </c>
      <c r="C455" s="299" t="s">
        <v>44</v>
      </c>
      <c r="D455" s="300" t="s">
        <v>92</v>
      </c>
      <c r="E455" s="317">
        <v>-177.05</v>
      </c>
      <c r="F455" s="249" t="s">
        <v>8</v>
      </c>
      <c r="G455" s="255" t="s">
        <v>29</v>
      </c>
    </row>
    <row r="456" spans="1:7" s="250" customFormat="1" ht="13.8" hidden="1" x14ac:dyDescent="0.3">
      <c r="A456" s="316">
        <v>45953</v>
      </c>
      <c r="B456" s="316" t="s">
        <v>211</v>
      </c>
      <c r="C456" s="299" t="s">
        <v>13</v>
      </c>
      <c r="D456" s="300" t="s">
        <v>92</v>
      </c>
      <c r="E456" s="317">
        <v>-177.05</v>
      </c>
      <c r="F456" s="249" t="s">
        <v>8</v>
      </c>
      <c r="G456" s="255" t="s">
        <v>29</v>
      </c>
    </row>
    <row r="457" spans="1:7" s="250" customFormat="1" ht="13.8" hidden="1" x14ac:dyDescent="0.3">
      <c r="A457" s="316">
        <v>45953</v>
      </c>
      <c r="B457" s="316" t="s">
        <v>211</v>
      </c>
      <c r="C457" s="299" t="s">
        <v>648</v>
      </c>
      <c r="D457" s="300" t="s">
        <v>92</v>
      </c>
      <c r="E457" s="317">
        <v>-177.05</v>
      </c>
      <c r="F457" s="249" t="s">
        <v>8</v>
      </c>
      <c r="G457" s="255" t="s">
        <v>29</v>
      </c>
    </row>
    <row r="458" spans="1:7" s="250" customFormat="1" ht="13.8" hidden="1" x14ac:dyDescent="0.3">
      <c r="A458" s="316">
        <v>45953</v>
      </c>
      <c r="B458" s="316" t="s">
        <v>211</v>
      </c>
      <c r="C458" s="299" t="s">
        <v>31</v>
      </c>
      <c r="D458" s="300" t="s">
        <v>92</v>
      </c>
      <c r="E458" s="317">
        <v>-177.05</v>
      </c>
      <c r="F458" s="249" t="s">
        <v>8</v>
      </c>
      <c r="G458" s="255" t="s">
        <v>29</v>
      </c>
    </row>
    <row r="459" spans="1:7" s="250" customFormat="1" ht="13.8" hidden="1" x14ac:dyDescent="0.3">
      <c r="A459" s="316">
        <v>45953</v>
      </c>
      <c r="B459" s="384" t="s">
        <v>211</v>
      </c>
      <c r="C459" s="385" t="s">
        <v>64</v>
      </c>
      <c r="D459" s="386" t="s">
        <v>92</v>
      </c>
      <c r="E459" s="438">
        <v>-177.05</v>
      </c>
      <c r="F459" s="402" t="s">
        <v>8</v>
      </c>
      <c r="G459" s="408" t="s">
        <v>29</v>
      </c>
    </row>
    <row r="460" spans="1:7" s="250" customFormat="1" ht="13.8" hidden="1" x14ac:dyDescent="0.3">
      <c r="A460" s="316">
        <v>45953</v>
      </c>
      <c r="B460" s="316" t="s">
        <v>211</v>
      </c>
      <c r="C460" s="252" t="s">
        <v>17</v>
      </c>
      <c r="D460" s="300" t="s">
        <v>92</v>
      </c>
      <c r="E460" s="317">
        <v>-177.05</v>
      </c>
      <c r="F460" s="249" t="s">
        <v>8</v>
      </c>
      <c r="G460" s="255" t="s">
        <v>29</v>
      </c>
    </row>
    <row r="461" spans="1:7" s="250" customFormat="1" ht="13.8" hidden="1" x14ac:dyDescent="0.3">
      <c r="A461" s="316">
        <v>45953</v>
      </c>
      <c r="B461" s="316" t="s">
        <v>211</v>
      </c>
      <c r="C461" s="252" t="s">
        <v>647</v>
      </c>
      <c r="D461" s="300" t="s">
        <v>92</v>
      </c>
      <c r="E461" s="317">
        <v>-177.05</v>
      </c>
      <c r="F461" s="249" t="s">
        <v>8</v>
      </c>
      <c r="G461" s="255" t="s">
        <v>29</v>
      </c>
    </row>
    <row r="462" spans="1:7" s="250" customFormat="1" ht="13.8" hidden="1" x14ac:dyDescent="0.3">
      <c r="A462" s="316">
        <v>45950</v>
      </c>
      <c r="B462" s="316" t="s">
        <v>211</v>
      </c>
      <c r="C462" s="252" t="s">
        <v>30</v>
      </c>
      <c r="D462" s="300" t="s">
        <v>92</v>
      </c>
      <c r="E462" s="317">
        <v>-177.05</v>
      </c>
      <c r="F462" s="249" t="s">
        <v>8</v>
      </c>
      <c r="G462" s="255" t="s">
        <v>29</v>
      </c>
    </row>
    <row r="463" spans="1:7" s="250" customFormat="1" ht="13.8" hidden="1" x14ac:dyDescent="0.3">
      <c r="A463" s="316">
        <v>45950</v>
      </c>
      <c r="B463" s="316" t="s">
        <v>211</v>
      </c>
      <c r="C463" s="252" t="s">
        <v>33</v>
      </c>
      <c r="D463" s="300" t="s">
        <v>1954</v>
      </c>
      <c r="E463" s="317">
        <v>-36835.56</v>
      </c>
      <c r="F463" s="249" t="s">
        <v>8</v>
      </c>
      <c r="G463" s="255" t="s">
        <v>153</v>
      </c>
    </row>
    <row r="464" spans="1:7" s="250" customFormat="1" ht="13.8" hidden="1" x14ac:dyDescent="0.3">
      <c r="A464" s="316">
        <v>45953</v>
      </c>
      <c r="B464" s="316" t="s">
        <v>211</v>
      </c>
      <c r="C464" s="252" t="s">
        <v>93</v>
      </c>
      <c r="D464" s="300" t="s">
        <v>92</v>
      </c>
      <c r="E464" s="317">
        <v>-177.05</v>
      </c>
      <c r="F464" s="249" t="s">
        <v>8</v>
      </c>
      <c r="G464" s="255" t="s">
        <v>29</v>
      </c>
    </row>
    <row r="465" spans="1:7" s="250" customFormat="1" ht="13.8" hidden="1" x14ac:dyDescent="0.3">
      <c r="A465" s="316">
        <v>45953</v>
      </c>
      <c r="B465" s="316" t="s">
        <v>211</v>
      </c>
      <c r="C465" s="252" t="s">
        <v>33</v>
      </c>
      <c r="D465" s="269" t="s">
        <v>92</v>
      </c>
      <c r="E465" s="317">
        <v>-177.05</v>
      </c>
      <c r="F465" s="249" t="s">
        <v>8</v>
      </c>
      <c r="G465" s="255" t="s">
        <v>29</v>
      </c>
    </row>
    <row r="466" spans="1:7" s="250" customFormat="1" ht="13.8" hidden="1" x14ac:dyDescent="0.3">
      <c r="A466" s="316">
        <v>45953</v>
      </c>
      <c r="B466" s="316" t="s">
        <v>211</v>
      </c>
      <c r="C466" s="252" t="s">
        <v>32</v>
      </c>
      <c r="D466" s="300" t="s">
        <v>92</v>
      </c>
      <c r="E466" s="317">
        <v>-177.05</v>
      </c>
      <c r="F466" s="249" t="s">
        <v>8</v>
      </c>
      <c r="G466" s="255" t="s">
        <v>29</v>
      </c>
    </row>
    <row r="467" spans="1:7" s="250" customFormat="1" ht="13.8" hidden="1" x14ac:dyDescent="0.3">
      <c r="A467" s="316">
        <v>45953</v>
      </c>
      <c r="B467" s="316" t="s">
        <v>211</v>
      </c>
      <c r="C467" s="252" t="s">
        <v>34</v>
      </c>
      <c r="D467" s="300" t="s">
        <v>92</v>
      </c>
      <c r="E467" s="317">
        <v>-177.05</v>
      </c>
      <c r="F467" s="249" t="s">
        <v>8</v>
      </c>
      <c r="G467" s="255" t="s">
        <v>29</v>
      </c>
    </row>
    <row r="468" spans="1:7" s="139" customFormat="1" ht="13.8" hidden="1" x14ac:dyDescent="0.3">
      <c r="A468" s="123">
        <v>45931</v>
      </c>
      <c r="B468" s="123" t="s">
        <v>211</v>
      </c>
      <c r="C468" s="621" t="s">
        <v>44</v>
      </c>
      <c r="D468" s="621" t="s">
        <v>917</v>
      </c>
      <c r="E468" s="30">
        <v>300</v>
      </c>
      <c r="F468" s="55" t="s">
        <v>161</v>
      </c>
      <c r="G468" s="61" t="s">
        <v>162</v>
      </c>
    </row>
    <row r="469" spans="1:7" s="143" customFormat="1" ht="12" hidden="1" customHeight="1" x14ac:dyDescent="0.3">
      <c r="A469" s="123">
        <v>45954</v>
      </c>
      <c r="B469" s="123" t="s">
        <v>211</v>
      </c>
      <c r="C469" s="120" t="s">
        <v>165</v>
      </c>
      <c r="D469" s="29" t="s">
        <v>2175</v>
      </c>
      <c r="E469" s="906">
        <v>11225.95</v>
      </c>
      <c r="F469" s="55" t="s">
        <v>161</v>
      </c>
      <c r="G469" s="61" t="s">
        <v>162</v>
      </c>
    </row>
    <row r="470" spans="1:7" s="143" customFormat="1" ht="12" hidden="1" customHeight="1" x14ac:dyDescent="0.3">
      <c r="A470" s="123">
        <v>45954</v>
      </c>
      <c r="B470" s="123" t="s">
        <v>211</v>
      </c>
      <c r="C470" s="120" t="s">
        <v>177</v>
      </c>
      <c r="D470" s="29" t="s">
        <v>2177</v>
      </c>
      <c r="E470" s="906">
        <v>433.37</v>
      </c>
      <c r="F470" s="55" t="s">
        <v>161</v>
      </c>
      <c r="G470" s="61" t="s">
        <v>488</v>
      </c>
    </row>
    <row r="471" spans="1:7" s="143" customFormat="1" ht="12" customHeight="1" x14ac:dyDescent="0.3">
      <c r="A471" s="123">
        <v>45985</v>
      </c>
      <c r="B471" s="123" t="s">
        <v>212</v>
      </c>
      <c r="C471" s="120" t="s">
        <v>165</v>
      </c>
      <c r="D471" s="29" t="s">
        <v>2176</v>
      </c>
      <c r="E471" s="906">
        <v>11225.96</v>
      </c>
      <c r="F471" s="55" t="s">
        <v>161</v>
      </c>
      <c r="G471" s="61" t="s">
        <v>162</v>
      </c>
    </row>
    <row r="472" spans="1:7" s="143" customFormat="1" ht="12" hidden="1" customHeight="1" x14ac:dyDescent="0.3">
      <c r="A472" s="123">
        <v>45957</v>
      </c>
      <c r="B472" s="271" t="s">
        <v>211</v>
      </c>
      <c r="C472" s="120" t="s">
        <v>44</v>
      </c>
      <c r="D472" s="29" t="s">
        <v>2241</v>
      </c>
      <c r="E472" s="1015">
        <v>797.58</v>
      </c>
      <c r="F472" s="55" t="s">
        <v>161</v>
      </c>
      <c r="G472" s="61" t="s">
        <v>488</v>
      </c>
    </row>
    <row r="473" spans="1:7" s="143" customFormat="1" ht="12" hidden="1" customHeight="1" x14ac:dyDescent="0.3">
      <c r="A473" s="368">
        <v>45957</v>
      </c>
      <c r="B473" s="513" t="s">
        <v>211</v>
      </c>
      <c r="C473" s="407" t="s">
        <v>44</v>
      </c>
      <c r="D473" s="437" t="s">
        <v>2240</v>
      </c>
      <c r="E473" s="1016">
        <v>6</v>
      </c>
      <c r="F473" s="65" t="s">
        <v>161</v>
      </c>
      <c r="G473" s="225" t="s">
        <v>488</v>
      </c>
    </row>
    <row r="474" spans="1:7" s="227" customFormat="1" ht="12" hidden="1" customHeight="1" x14ac:dyDescent="0.3">
      <c r="A474" s="123">
        <v>45958</v>
      </c>
      <c r="B474" s="123" t="s">
        <v>211</v>
      </c>
      <c r="C474" s="120" t="s">
        <v>44</v>
      </c>
      <c r="D474" s="1017" t="s">
        <v>1386</v>
      </c>
      <c r="E474" s="1017">
        <v>180.06</v>
      </c>
      <c r="F474" s="55" t="s">
        <v>161</v>
      </c>
      <c r="G474" s="61" t="s">
        <v>488</v>
      </c>
    </row>
    <row r="475" spans="1:7" s="143" customFormat="1" ht="13.8" x14ac:dyDescent="0.3">
      <c r="A475" s="123">
        <v>45985</v>
      </c>
      <c r="B475" s="271" t="s">
        <v>212</v>
      </c>
      <c r="C475" s="233" t="s">
        <v>170</v>
      </c>
      <c r="D475" s="234" t="s">
        <v>2337</v>
      </c>
      <c r="E475" s="439">
        <v>11000</v>
      </c>
      <c r="F475" s="67" t="s">
        <v>161</v>
      </c>
      <c r="G475" s="236" t="s">
        <v>162</v>
      </c>
    </row>
    <row r="476" spans="1:7" s="143" customFormat="1" ht="13.8" hidden="1" x14ac:dyDescent="0.3">
      <c r="A476" s="123">
        <v>45943</v>
      </c>
      <c r="B476" s="123" t="s">
        <v>211</v>
      </c>
      <c r="C476" s="120" t="s">
        <v>167</v>
      </c>
      <c r="D476" s="29" t="s">
        <v>173</v>
      </c>
      <c r="E476" s="121">
        <v>300</v>
      </c>
      <c r="F476" s="55" t="s">
        <v>161</v>
      </c>
      <c r="G476" s="61" t="s">
        <v>162</v>
      </c>
    </row>
    <row r="477" spans="1:7" s="143" customFormat="1" ht="13.8" hidden="1" x14ac:dyDescent="0.3">
      <c r="A477" s="123">
        <v>45943</v>
      </c>
      <c r="B477" s="123" t="s">
        <v>211</v>
      </c>
      <c r="C477" s="120" t="s">
        <v>167</v>
      </c>
      <c r="D477" s="29" t="s">
        <v>173</v>
      </c>
      <c r="E477" s="121">
        <v>603.26</v>
      </c>
      <c r="F477" s="55" t="s">
        <v>161</v>
      </c>
      <c r="G477" s="61" t="s">
        <v>162</v>
      </c>
    </row>
    <row r="478" spans="1:7" s="143" customFormat="1" ht="13.8" hidden="1" x14ac:dyDescent="0.3">
      <c r="A478" s="123">
        <v>45943</v>
      </c>
      <c r="B478" s="123" t="s">
        <v>211</v>
      </c>
      <c r="C478" s="120" t="s">
        <v>167</v>
      </c>
      <c r="D478" s="29" t="s">
        <v>173</v>
      </c>
      <c r="E478" s="121">
        <v>1106.1400000000001</v>
      </c>
      <c r="F478" s="55" t="s">
        <v>161</v>
      </c>
      <c r="G478" s="61" t="s">
        <v>162</v>
      </c>
    </row>
    <row r="479" spans="1:7" s="143" customFormat="1" ht="13.8" hidden="1" x14ac:dyDescent="0.3">
      <c r="A479" s="123">
        <v>45943</v>
      </c>
      <c r="B479" s="123" t="s">
        <v>211</v>
      </c>
      <c r="C479" s="120" t="s">
        <v>167</v>
      </c>
      <c r="D479" s="29" t="s">
        <v>173</v>
      </c>
      <c r="E479" s="121">
        <v>9631</v>
      </c>
      <c r="F479" s="55" t="s">
        <v>161</v>
      </c>
      <c r="G479" s="61" t="s">
        <v>162</v>
      </c>
    </row>
    <row r="480" spans="1:7" s="250" customFormat="1" ht="13.2" hidden="1" customHeight="1" x14ac:dyDescent="0.3">
      <c r="A480" s="316">
        <v>45945</v>
      </c>
      <c r="B480" s="316" t="s">
        <v>211</v>
      </c>
      <c r="C480" s="293" t="s">
        <v>25</v>
      </c>
      <c r="D480" s="293" t="s">
        <v>491</v>
      </c>
      <c r="E480" s="294">
        <v>-1139.25</v>
      </c>
      <c r="F480" s="249" t="s">
        <v>8</v>
      </c>
      <c r="G480" s="254" t="s">
        <v>1473</v>
      </c>
    </row>
    <row r="481" spans="1:8" s="250" customFormat="1" ht="13.8" hidden="1" x14ac:dyDescent="0.3">
      <c r="A481" s="316">
        <v>45946</v>
      </c>
      <c r="B481" s="316" t="s">
        <v>211</v>
      </c>
      <c r="C481" s="293" t="s">
        <v>44</v>
      </c>
      <c r="D481" s="293" t="s">
        <v>1587</v>
      </c>
      <c r="E481" s="248">
        <v>-477.48</v>
      </c>
      <c r="F481" s="249" t="s">
        <v>8</v>
      </c>
      <c r="G481" s="255" t="s">
        <v>19</v>
      </c>
    </row>
    <row r="482" spans="1:8" s="250" customFormat="1" ht="13.8" hidden="1" x14ac:dyDescent="0.3">
      <c r="A482" s="316">
        <v>45946</v>
      </c>
      <c r="B482" s="316" t="s">
        <v>211</v>
      </c>
      <c r="C482" s="293" t="s">
        <v>25</v>
      </c>
      <c r="D482" s="293" t="s">
        <v>384</v>
      </c>
      <c r="E482" s="248">
        <v>-456.72</v>
      </c>
      <c r="F482" s="249" t="s">
        <v>8</v>
      </c>
      <c r="G482" s="255" t="s">
        <v>19</v>
      </c>
    </row>
    <row r="483" spans="1:8" s="250" customFormat="1" ht="13.8" hidden="1" x14ac:dyDescent="0.3">
      <c r="A483" s="316">
        <v>45946</v>
      </c>
      <c r="B483" s="316" t="s">
        <v>211</v>
      </c>
      <c r="C483" s="293" t="s">
        <v>17</v>
      </c>
      <c r="D483" s="293" t="s">
        <v>491</v>
      </c>
      <c r="E483" s="248">
        <v>-477.48</v>
      </c>
      <c r="F483" s="249" t="s">
        <v>8</v>
      </c>
      <c r="G483" s="255" t="s">
        <v>19</v>
      </c>
    </row>
    <row r="484" spans="1:8" s="250" customFormat="1" ht="13.8" hidden="1" x14ac:dyDescent="0.3">
      <c r="A484" s="316">
        <v>45946</v>
      </c>
      <c r="B484" s="316" t="s">
        <v>211</v>
      </c>
      <c r="C484" s="293" t="s">
        <v>17</v>
      </c>
      <c r="D484" s="293" t="s">
        <v>494</v>
      </c>
      <c r="E484" s="248">
        <v>-477.48</v>
      </c>
      <c r="F484" s="249" t="s">
        <v>8</v>
      </c>
      <c r="G484" s="255" t="s">
        <v>19</v>
      </c>
    </row>
    <row r="485" spans="1:8" s="300" customFormat="1" ht="13.8" hidden="1" x14ac:dyDescent="0.3">
      <c r="A485" s="316">
        <v>45946</v>
      </c>
      <c r="B485" s="316" t="s">
        <v>211</v>
      </c>
      <c r="C485" s="293" t="s">
        <v>17</v>
      </c>
      <c r="D485" s="293" t="s">
        <v>1804</v>
      </c>
      <c r="E485" s="248">
        <v>-37249.019999999997</v>
      </c>
      <c r="F485" s="249" t="s">
        <v>8</v>
      </c>
      <c r="G485" s="255" t="s">
        <v>19</v>
      </c>
    </row>
    <row r="486" spans="1:8" s="300" customFormat="1" ht="13.8" hidden="1" x14ac:dyDescent="0.3">
      <c r="A486" s="322">
        <v>45946</v>
      </c>
      <c r="B486" s="322" t="s">
        <v>211</v>
      </c>
      <c r="C486" s="372" t="s">
        <v>17</v>
      </c>
      <c r="D486" s="372" t="s">
        <v>1804</v>
      </c>
      <c r="E486" s="344">
        <v>-46403.64</v>
      </c>
      <c r="F486" s="373" t="s">
        <v>8</v>
      </c>
      <c r="G486" s="270" t="s">
        <v>19</v>
      </c>
    </row>
    <row r="487" spans="1:8" s="250" customFormat="1" ht="13.8" hidden="1" x14ac:dyDescent="0.3">
      <c r="A487" s="316">
        <v>45961</v>
      </c>
      <c r="B487" s="316" t="s">
        <v>211</v>
      </c>
      <c r="C487" s="293" t="s">
        <v>1571</v>
      </c>
      <c r="D487" s="293" t="s">
        <v>2275</v>
      </c>
      <c r="E487" s="248">
        <v>-1641.7</v>
      </c>
      <c r="F487" s="249" t="s">
        <v>8</v>
      </c>
      <c r="G487" s="255" t="s">
        <v>97</v>
      </c>
    </row>
    <row r="488" spans="1:8" s="250" customFormat="1" ht="13.8" hidden="1" x14ac:dyDescent="0.3">
      <c r="A488" s="316">
        <v>45961</v>
      </c>
      <c r="B488" s="316" t="s">
        <v>211</v>
      </c>
      <c r="C488" s="293" t="s">
        <v>1571</v>
      </c>
      <c r="D488" s="293" t="s">
        <v>2274</v>
      </c>
      <c r="E488" s="248">
        <v>-7829.5</v>
      </c>
      <c r="F488" s="249" t="s">
        <v>8</v>
      </c>
      <c r="G488" s="255" t="s">
        <v>97</v>
      </c>
    </row>
    <row r="489" spans="1:8" s="300" customFormat="1" ht="13.8" hidden="1" x14ac:dyDescent="0.3">
      <c r="A489" s="384">
        <v>45946</v>
      </c>
      <c r="B489" s="384" t="s">
        <v>211</v>
      </c>
      <c r="C489" s="405" t="s">
        <v>17</v>
      </c>
      <c r="D489" s="405" t="s">
        <v>376</v>
      </c>
      <c r="E489" s="406">
        <v>-9009.58</v>
      </c>
      <c r="F489" s="402" t="s">
        <v>8</v>
      </c>
      <c r="G489" s="408" t="s">
        <v>19</v>
      </c>
    </row>
    <row r="490" spans="1:8" s="250" customFormat="1" ht="13.8" hidden="1" x14ac:dyDescent="0.3">
      <c r="A490" s="316">
        <v>45946</v>
      </c>
      <c r="B490" s="316" t="s">
        <v>211</v>
      </c>
      <c r="C490" s="293" t="s">
        <v>17</v>
      </c>
      <c r="D490" s="293" t="s">
        <v>1808</v>
      </c>
      <c r="E490" s="248">
        <v>-800</v>
      </c>
      <c r="F490" s="249" t="s">
        <v>8</v>
      </c>
      <c r="G490" s="255" t="s">
        <v>1473</v>
      </c>
    </row>
    <row r="491" spans="1:8" s="300" customFormat="1" ht="13.8" hidden="1" x14ac:dyDescent="0.3">
      <c r="A491" s="316">
        <v>45946</v>
      </c>
      <c r="B491" s="316" t="s">
        <v>211</v>
      </c>
      <c r="C491" s="293" t="s">
        <v>71</v>
      </c>
      <c r="D491" s="293" t="s">
        <v>1174</v>
      </c>
      <c r="E491" s="248">
        <v>-12.39</v>
      </c>
      <c r="F491" s="249" t="s">
        <v>8</v>
      </c>
      <c r="G491" s="255" t="s">
        <v>75</v>
      </c>
      <c r="H491" s="583"/>
    </row>
    <row r="492" spans="1:8" s="250" customFormat="1" ht="13.8" hidden="1" x14ac:dyDescent="0.3">
      <c r="A492" s="316">
        <v>45946</v>
      </c>
      <c r="B492" s="316" t="s">
        <v>211</v>
      </c>
      <c r="C492" s="293" t="s">
        <v>25</v>
      </c>
      <c r="D492" s="293" t="s">
        <v>751</v>
      </c>
      <c r="E492" s="248">
        <v>-369</v>
      </c>
      <c r="F492" s="249" t="s">
        <v>8</v>
      </c>
      <c r="G492" s="254" t="s">
        <v>82</v>
      </c>
    </row>
    <row r="493" spans="1:8" s="250" customFormat="1" ht="13.8" hidden="1" x14ac:dyDescent="0.3">
      <c r="A493" s="316">
        <v>45946</v>
      </c>
      <c r="B493" s="316" t="s">
        <v>211</v>
      </c>
      <c r="C493" s="293" t="s">
        <v>32</v>
      </c>
      <c r="D493" s="293" t="s">
        <v>1140</v>
      </c>
      <c r="E493" s="248">
        <v>-315.10000000000002</v>
      </c>
      <c r="F493" s="249" t="s">
        <v>8</v>
      </c>
      <c r="G493" s="254" t="s">
        <v>82</v>
      </c>
    </row>
    <row r="494" spans="1:8" s="250" customFormat="1" ht="13.8" hidden="1" x14ac:dyDescent="0.3">
      <c r="A494" s="316">
        <v>45946</v>
      </c>
      <c r="B494" s="316" t="s">
        <v>211</v>
      </c>
      <c r="C494" s="293" t="s">
        <v>25</v>
      </c>
      <c r="D494" s="293" t="s">
        <v>1866</v>
      </c>
      <c r="E494" s="248">
        <v>-67.2</v>
      </c>
      <c r="F494" s="249" t="s">
        <v>8</v>
      </c>
      <c r="G494" s="254" t="s">
        <v>82</v>
      </c>
    </row>
    <row r="495" spans="1:8" s="250" customFormat="1" ht="13.8" hidden="1" x14ac:dyDescent="0.3">
      <c r="A495" s="316">
        <v>45946</v>
      </c>
      <c r="B495" s="316" t="s">
        <v>211</v>
      </c>
      <c r="C495" s="293" t="s">
        <v>33</v>
      </c>
      <c r="D495" s="293" t="s">
        <v>1867</v>
      </c>
      <c r="E495" s="248">
        <v>-72</v>
      </c>
      <c r="F495" s="249" t="s">
        <v>8</v>
      </c>
      <c r="G495" s="254" t="s">
        <v>82</v>
      </c>
    </row>
    <row r="496" spans="1:8" s="250" customFormat="1" ht="13.8" hidden="1" x14ac:dyDescent="0.3">
      <c r="A496" s="316">
        <v>45946</v>
      </c>
      <c r="B496" s="316" t="s">
        <v>211</v>
      </c>
      <c r="C496" s="293" t="s">
        <v>17</v>
      </c>
      <c r="D496" s="293" t="s">
        <v>1868</v>
      </c>
      <c r="E496" s="248">
        <v>-433.55</v>
      </c>
      <c r="F496" s="249" t="s">
        <v>8</v>
      </c>
      <c r="G496" s="254" t="s">
        <v>82</v>
      </c>
    </row>
    <row r="497" spans="1:7" s="250" customFormat="1" ht="13.8" hidden="1" x14ac:dyDescent="0.3">
      <c r="A497" s="316">
        <v>45946</v>
      </c>
      <c r="B497" s="316" t="s">
        <v>211</v>
      </c>
      <c r="C497" s="293" t="s">
        <v>17</v>
      </c>
      <c r="D497" s="293" t="s">
        <v>1869</v>
      </c>
      <c r="E497" s="248">
        <v>-383.6</v>
      </c>
      <c r="F497" s="249" t="s">
        <v>8</v>
      </c>
      <c r="G497" s="254" t="s">
        <v>82</v>
      </c>
    </row>
    <row r="498" spans="1:7" s="250" customFormat="1" ht="13.8" hidden="1" x14ac:dyDescent="0.3">
      <c r="A498" s="316">
        <v>45946</v>
      </c>
      <c r="B498" s="316" t="s">
        <v>211</v>
      </c>
      <c r="C498" s="293" t="s">
        <v>17</v>
      </c>
      <c r="D498" s="293" t="s">
        <v>1870</v>
      </c>
      <c r="E498" s="248">
        <v>-161.19999999999999</v>
      </c>
      <c r="F498" s="249" t="s">
        <v>8</v>
      </c>
      <c r="G498" s="254" t="s">
        <v>82</v>
      </c>
    </row>
    <row r="499" spans="1:7" s="250" customFormat="1" ht="13.8" hidden="1" x14ac:dyDescent="0.3">
      <c r="A499" s="316">
        <v>45946</v>
      </c>
      <c r="B499" s="316" t="s">
        <v>211</v>
      </c>
      <c r="C499" s="293" t="s">
        <v>17</v>
      </c>
      <c r="D499" s="372" t="s">
        <v>1845</v>
      </c>
      <c r="E499" s="335">
        <v>-18291.02</v>
      </c>
      <c r="F499" s="373" t="s">
        <v>8</v>
      </c>
      <c r="G499" s="817" t="s">
        <v>124</v>
      </c>
    </row>
    <row r="500" spans="1:7" s="250" customFormat="1" ht="13.2" hidden="1" customHeight="1" x14ac:dyDescent="0.3">
      <c r="A500" s="316">
        <v>45946</v>
      </c>
      <c r="B500" s="316" t="s">
        <v>211</v>
      </c>
      <c r="C500" s="293" t="s">
        <v>31</v>
      </c>
      <c r="D500" s="253" t="s">
        <v>1842</v>
      </c>
      <c r="E500" s="248">
        <v>-7910.69</v>
      </c>
      <c r="F500" s="249" t="s">
        <v>8</v>
      </c>
      <c r="G500" s="254" t="s">
        <v>124</v>
      </c>
    </row>
    <row r="501" spans="1:7" s="250" customFormat="1" ht="13.8" hidden="1" x14ac:dyDescent="0.3">
      <c r="A501" s="316">
        <v>45946</v>
      </c>
      <c r="B501" s="316" t="s">
        <v>211</v>
      </c>
      <c r="C501" s="293" t="s">
        <v>6</v>
      </c>
      <c r="D501" s="253" t="s">
        <v>1843</v>
      </c>
      <c r="E501" s="248">
        <v>-13221.22</v>
      </c>
      <c r="F501" s="249" t="s">
        <v>8</v>
      </c>
      <c r="G501" s="254" t="s">
        <v>124</v>
      </c>
    </row>
    <row r="502" spans="1:7" s="250" customFormat="1" ht="15" hidden="1" customHeight="1" x14ac:dyDescent="0.3">
      <c r="A502" s="316">
        <v>45946</v>
      </c>
      <c r="B502" s="316" t="s">
        <v>211</v>
      </c>
      <c r="C502" s="293" t="s">
        <v>32</v>
      </c>
      <c r="D502" s="253" t="s">
        <v>1844</v>
      </c>
      <c r="E502" s="248">
        <v>-8302.85</v>
      </c>
      <c r="F502" s="249" t="s">
        <v>8</v>
      </c>
      <c r="G502" s="254" t="s">
        <v>124</v>
      </c>
    </row>
    <row r="503" spans="1:7" s="250" customFormat="1" ht="13.8" hidden="1" x14ac:dyDescent="0.3">
      <c r="A503" s="316">
        <v>45946</v>
      </c>
      <c r="B503" s="316" t="s">
        <v>211</v>
      </c>
      <c r="C503" s="293" t="s">
        <v>13</v>
      </c>
      <c r="D503" s="253" t="s">
        <v>1922</v>
      </c>
      <c r="E503" s="248">
        <v>-120</v>
      </c>
      <c r="F503" s="249" t="s">
        <v>8</v>
      </c>
      <c r="G503" s="254" t="s">
        <v>27</v>
      </c>
    </row>
    <row r="504" spans="1:7" s="250" customFormat="1" ht="13.8" hidden="1" x14ac:dyDescent="0.3">
      <c r="A504" s="316">
        <v>45946</v>
      </c>
      <c r="B504" s="316" t="s">
        <v>211</v>
      </c>
      <c r="C504" s="293" t="s">
        <v>13</v>
      </c>
      <c r="D504" s="253" t="s">
        <v>1923</v>
      </c>
      <c r="E504" s="248">
        <v>-120</v>
      </c>
      <c r="F504" s="249" t="s">
        <v>8</v>
      </c>
      <c r="G504" s="254" t="s">
        <v>27</v>
      </c>
    </row>
    <row r="505" spans="1:7" s="250" customFormat="1" ht="13.8" hidden="1" x14ac:dyDescent="0.3">
      <c r="A505" s="316">
        <v>45946</v>
      </c>
      <c r="B505" s="316" t="s">
        <v>211</v>
      </c>
      <c r="C505" s="293" t="s">
        <v>13</v>
      </c>
      <c r="D505" s="253" t="s">
        <v>1924</v>
      </c>
      <c r="E505" s="248">
        <v>-120</v>
      </c>
      <c r="F505" s="249" t="s">
        <v>8</v>
      </c>
      <c r="G505" s="254" t="s">
        <v>27</v>
      </c>
    </row>
    <row r="506" spans="1:7" s="250" customFormat="1" ht="15" hidden="1" customHeight="1" x14ac:dyDescent="0.3">
      <c r="A506" s="316">
        <v>45946</v>
      </c>
      <c r="B506" s="316" t="s">
        <v>211</v>
      </c>
      <c r="C506" s="293" t="s">
        <v>1571</v>
      </c>
      <c r="D506" s="293" t="s">
        <v>376</v>
      </c>
      <c r="E506" s="248">
        <v>-1275</v>
      </c>
      <c r="F506" s="249" t="s">
        <v>8</v>
      </c>
      <c r="G506" s="255" t="s">
        <v>97</v>
      </c>
    </row>
    <row r="507" spans="1:7" s="250" customFormat="1" ht="13.8" hidden="1" x14ac:dyDescent="0.3">
      <c r="A507" s="384">
        <v>45946</v>
      </c>
      <c r="B507" s="384" t="s">
        <v>211</v>
      </c>
      <c r="C507" s="293" t="s">
        <v>1571</v>
      </c>
      <c r="D507" s="293" t="s">
        <v>1804</v>
      </c>
      <c r="E507" s="248">
        <v>-5707.41</v>
      </c>
      <c r="F507" s="249" t="s">
        <v>8</v>
      </c>
      <c r="G507" s="255" t="s">
        <v>97</v>
      </c>
    </row>
    <row r="508" spans="1:7" s="250" customFormat="1" ht="13.8" hidden="1" x14ac:dyDescent="0.3">
      <c r="A508" s="316">
        <v>45936</v>
      </c>
      <c r="B508" s="316" t="s">
        <v>211</v>
      </c>
      <c r="C508" s="296" t="s">
        <v>44</v>
      </c>
      <c r="D508" s="293" t="s">
        <v>226</v>
      </c>
      <c r="E508" s="248">
        <v>-2510.44</v>
      </c>
      <c r="F508" s="249" t="s">
        <v>8</v>
      </c>
      <c r="G508" s="254" t="s">
        <v>227</v>
      </c>
    </row>
    <row r="509" spans="1:7" s="250" customFormat="1" ht="13.8" hidden="1" x14ac:dyDescent="0.3">
      <c r="A509" s="316">
        <v>45936</v>
      </c>
      <c r="B509" s="316" t="s">
        <v>211</v>
      </c>
      <c r="C509" s="296" t="s">
        <v>71</v>
      </c>
      <c r="D509" s="293" t="s">
        <v>229</v>
      </c>
      <c r="E509" s="248">
        <v>-725.7</v>
      </c>
      <c r="F509" s="249" t="s">
        <v>8</v>
      </c>
      <c r="G509" s="254" t="s">
        <v>227</v>
      </c>
    </row>
    <row r="510" spans="1:7" s="250" customFormat="1" ht="13.8" hidden="1" x14ac:dyDescent="0.3">
      <c r="A510" s="316">
        <v>45936</v>
      </c>
      <c r="B510" s="316" t="s">
        <v>211</v>
      </c>
      <c r="C510" s="296" t="s">
        <v>71</v>
      </c>
      <c r="D510" s="293" t="s">
        <v>1326</v>
      </c>
      <c r="E510" s="248">
        <v>-1101.8399999999999</v>
      </c>
      <c r="F510" s="249" t="s">
        <v>8</v>
      </c>
      <c r="G510" s="254" t="s">
        <v>227</v>
      </c>
    </row>
    <row r="511" spans="1:7" s="250" customFormat="1" ht="13.8" hidden="1" x14ac:dyDescent="0.3">
      <c r="A511" s="316">
        <v>45936</v>
      </c>
      <c r="B511" s="316" t="s">
        <v>211</v>
      </c>
      <c r="C511" s="296" t="s">
        <v>17</v>
      </c>
      <c r="D511" s="293" t="s">
        <v>389</v>
      </c>
      <c r="E511" s="248">
        <v>-59.35</v>
      </c>
      <c r="F511" s="249" t="s">
        <v>8</v>
      </c>
      <c r="G511" s="254" t="s">
        <v>227</v>
      </c>
    </row>
    <row r="512" spans="1:7" s="250" customFormat="1" ht="13.8" hidden="1" x14ac:dyDescent="0.3">
      <c r="A512" s="316">
        <v>45936</v>
      </c>
      <c r="B512" s="316" t="s">
        <v>211</v>
      </c>
      <c r="C512" s="293" t="s">
        <v>17</v>
      </c>
      <c r="D512" s="293" t="s">
        <v>500</v>
      </c>
      <c r="E512" s="248">
        <v>-2207.67</v>
      </c>
      <c r="F512" s="249" t="s">
        <v>8</v>
      </c>
      <c r="G512" s="254" t="s">
        <v>75</v>
      </c>
    </row>
    <row r="513" spans="1:7" s="210" customFormat="1" ht="13.8" hidden="1" x14ac:dyDescent="0.3">
      <c r="A513" s="375">
        <v>45936</v>
      </c>
      <c r="B513" s="375" t="s">
        <v>211</v>
      </c>
      <c r="C513" s="661" t="s">
        <v>32</v>
      </c>
      <c r="D513" s="695" t="s">
        <v>1271</v>
      </c>
      <c r="E513" s="696">
        <v>-2561.04</v>
      </c>
      <c r="F513" s="665" t="s">
        <v>8</v>
      </c>
      <c r="G513" s="597" t="s">
        <v>75</v>
      </c>
    </row>
    <row r="514" spans="1:7" s="250" customFormat="1" ht="13.8" hidden="1" x14ac:dyDescent="0.3">
      <c r="A514" s="322">
        <v>45937</v>
      </c>
      <c r="B514" s="322" t="s">
        <v>211</v>
      </c>
      <c r="C514" s="293" t="s">
        <v>25</v>
      </c>
      <c r="D514" s="293" t="s">
        <v>1703</v>
      </c>
      <c r="E514" s="248">
        <v>-231</v>
      </c>
      <c r="F514" s="254" t="s">
        <v>8</v>
      </c>
      <c r="G514" s="254" t="s">
        <v>82</v>
      </c>
    </row>
    <row r="515" spans="1:7" s="250" customFormat="1" ht="13.8" hidden="1" x14ac:dyDescent="0.3">
      <c r="A515" s="322">
        <v>45937</v>
      </c>
      <c r="B515" s="322" t="s">
        <v>211</v>
      </c>
      <c r="C515" s="293" t="s">
        <v>25</v>
      </c>
      <c r="D515" s="293" t="s">
        <v>1368</v>
      </c>
      <c r="E515" s="248">
        <v>-205</v>
      </c>
      <c r="F515" s="254" t="s">
        <v>8</v>
      </c>
      <c r="G515" s="254" t="s">
        <v>82</v>
      </c>
    </row>
    <row r="516" spans="1:7" s="250" customFormat="1" ht="13.8" hidden="1" x14ac:dyDescent="0.3">
      <c r="A516" s="322">
        <v>45937</v>
      </c>
      <c r="B516" s="322" t="s">
        <v>211</v>
      </c>
      <c r="C516" s="293" t="s">
        <v>25</v>
      </c>
      <c r="D516" s="293" t="s">
        <v>1704</v>
      </c>
      <c r="E516" s="248">
        <v>-163.1</v>
      </c>
      <c r="F516" s="254" t="s">
        <v>8</v>
      </c>
      <c r="G516" s="254" t="s">
        <v>82</v>
      </c>
    </row>
    <row r="517" spans="1:7" s="250" customFormat="1" ht="13.8" hidden="1" x14ac:dyDescent="0.3">
      <c r="A517" s="316">
        <v>45937</v>
      </c>
      <c r="B517" s="316" t="s">
        <v>211</v>
      </c>
      <c r="C517" s="293" t="s">
        <v>32</v>
      </c>
      <c r="D517" s="293" t="s">
        <v>1271</v>
      </c>
      <c r="E517" s="248">
        <v>-211.3</v>
      </c>
      <c r="F517" s="254" t="s">
        <v>8</v>
      </c>
      <c r="G517" s="254" t="s">
        <v>82</v>
      </c>
    </row>
    <row r="518" spans="1:7" s="250" customFormat="1" ht="13.8" hidden="1" x14ac:dyDescent="0.3">
      <c r="A518" s="316">
        <v>45937</v>
      </c>
      <c r="B518" s="316" t="s">
        <v>211</v>
      </c>
      <c r="C518" s="293" t="s">
        <v>32</v>
      </c>
      <c r="D518" s="293" t="s">
        <v>1747</v>
      </c>
      <c r="E518" s="248">
        <v>-509.14</v>
      </c>
      <c r="F518" s="249" t="s">
        <v>8</v>
      </c>
      <c r="G518" s="254" t="s">
        <v>1748</v>
      </c>
    </row>
    <row r="519" spans="1:7" s="250" customFormat="1" ht="13.8" hidden="1" x14ac:dyDescent="0.3">
      <c r="A519" s="316">
        <v>45936</v>
      </c>
      <c r="B519" s="316" t="s">
        <v>211</v>
      </c>
      <c r="C519" s="293" t="s">
        <v>6</v>
      </c>
      <c r="D519" s="405" t="s">
        <v>1620</v>
      </c>
      <c r="E519" s="406">
        <v>-250</v>
      </c>
      <c r="F519" s="402" t="s">
        <v>8</v>
      </c>
      <c r="G519" s="403" t="s">
        <v>186</v>
      </c>
    </row>
    <row r="520" spans="1:7" s="250" customFormat="1" ht="13.8" hidden="1" x14ac:dyDescent="0.3">
      <c r="A520" s="316">
        <v>45936</v>
      </c>
      <c r="B520" s="316" t="s">
        <v>211</v>
      </c>
      <c r="C520" s="293" t="s">
        <v>25</v>
      </c>
      <c r="D520" s="293" t="s">
        <v>1700</v>
      </c>
      <c r="E520" s="248">
        <v>-220</v>
      </c>
      <c r="F520" s="249" t="s">
        <v>8</v>
      </c>
      <c r="G520" s="254" t="s">
        <v>82</v>
      </c>
    </row>
    <row r="521" spans="1:7" s="250" customFormat="1" ht="13.8" hidden="1" x14ac:dyDescent="0.3">
      <c r="A521" s="316">
        <v>45936</v>
      </c>
      <c r="B521" s="316" t="s">
        <v>211</v>
      </c>
      <c r="C521" s="293" t="s">
        <v>25</v>
      </c>
      <c r="D521" s="293" t="s">
        <v>1701</v>
      </c>
      <c r="E521" s="248">
        <v>-220</v>
      </c>
      <c r="F521" s="249" t="s">
        <v>8</v>
      </c>
      <c r="G521" s="254" t="s">
        <v>82</v>
      </c>
    </row>
    <row r="522" spans="1:7" s="250" customFormat="1" ht="13.8" hidden="1" x14ac:dyDescent="0.3">
      <c r="A522" s="316">
        <v>45936</v>
      </c>
      <c r="B522" s="316" t="s">
        <v>211</v>
      </c>
      <c r="C522" s="293" t="s">
        <v>25</v>
      </c>
      <c r="D522" s="293" t="s">
        <v>1702</v>
      </c>
      <c r="E522" s="248">
        <v>-220</v>
      </c>
      <c r="F522" s="249" t="s">
        <v>8</v>
      </c>
      <c r="G522" s="254" t="s">
        <v>82</v>
      </c>
    </row>
    <row r="523" spans="1:7" s="250" customFormat="1" ht="13.8" hidden="1" x14ac:dyDescent="0.3">
      <c r="A523" s="316">
        <v>45936</v>
      </c>
      <c r="B523" s="316" t="s">
        <v>211</v>
      </c>
      <c r="C523" s="293" t="s">
        <v>17</v>
      </c>
      <c r="D523" s="293" t="s">
        <v>1703</v>
      </c>
      <c r="E523" s="248">
        <v>-165</v>
      </c>
      <c r="F523" s="249" t="s">
        <v>8</v>
      </c>
      <c r="G523" s="254" t="s">
        <v>82</v>
      </c>
    </row>
    <row r="524" spans="1:7" s="250" customFormat="1" ht="13.8" hidden="1" x14ac:dyDescent="0.3">
      <c r="A524" s="316">
        <v>45936</v>
      </c>
      <c r="B524" s="316" t="s">
        <v>211</v>
      </c>
      <c r="C524" s="293" t="s">
        <v>17</v>
      </c>
      <c r="D524" s="293" t="s">
        <v>1191</v>
      </c>
      <c r="E524" s="248">
        <v>-396</v>
      </c>
      <c r="F524" s="249" t="s">
        <v>8</v>
      </c>
      <c r="G524" s="254" t="s">
        <v>82</v>
      </c>
    </row>
    <row r="525" spans="1:7" s="250" customFormat="1" ht="13.8" hidden="1" x14ac:dyDescent="0.3">
      <c r="A525" s="322">
        <v>45938</v>
      </c>
      <c r="B525" s="322" t="s">
        <v>211</v>
      </c>
      <c r="C525" s="717" t="s">
        <v>32</v>
      </c>
      <c r="D525" s="300" t="s">
        <v>1759</v>
      </c>
      <c r="E525" s="383">
        <v>-785.34</v>
      </c>
      <c r="F525" s="249" t="s">
        <v>8</v>
      </c>
      <c r="G525" s="254" t="s">
        <v>51</v>
      </c>
    </row>
    <row r="526" spans="1:7" s="250" customFormat="1" ht="13.8" hidden="1" x14ac:dyDescent="0.3">
      <c r="A526" s="322">
        <v>45938</v>
      </c>
      <c r="B526" s="322" t="s">
        <v>211</v>
      </c>
      <c r="C526" s="717" t="s">
        <v>107</v>
      </c>
      <c r="D526" s="300" t="s">
        <v>1759</v>
      </c>
      <c r="E526" s="383">
        <v>-267.54000000000002</v>
      </c>
      <c r="F526" s="249" t="s">
        <v>8</v>
      </c>
      <c r="G526" s="254" t="s">
        <v>51</v>
      </c>
    </row>
    <row r="527" spans="1:7" s="250" customFormat="1" ht="13.8" hidden="1" x14ac:dyDescent="0.3">
      <c r="A527" s="322">
        <v>45938</v>
      </c>
      <c r="B527" s="322" t="s">
        <v>211</v>
      </c>
      <c r="C527" s="717" t="s">
        <v>1592</v>
      </c>
      <c r="D527" s="300" t="s">
        <v>1759</v>
      </c>
      <c r="E527" s="383">
        <v>-428.34</v>
      </c>
      <c r="F527" s="249" t="s">
        <v>8</v>
      </c>
      <c r="G527" s="254" t="s">
        <v>51</v>
      </c>
    </row>
    <row r="528" spans="1:7" s="250" customFormat="1" ht="13.8" hidden="1" x14ac:dyDescent="0.3">
      <c r="A528" s="322">
        <v>45938</v>
      </c>
      <c r="B528" s="322" t="s">
        <v>211</v>
      </c>
      <c r="C528" s="717" t="s">
        <v>651</v>
      </c>
      <c r="D528" s="300" t="s">
        <v>1759</v>
      </c>
      <c r="E528" s="383">
        <v>-321.32</v>
      </c>
      <c r="F528" s="249" t="s">
        <v>8</v>
      </c>
      <c r="G528" s="254" t="s">
        <v>51</v>
      </c>
    </row>
    <row r="529" spans="1:7" s="250" customFormat="1" ht="13.8" hidden="1" x14ac:dyDescent="0.3">
      <c r="A529" s="322">
        <v>45938</v>
      </c>
      <c r="B529" s="322" t="s">
        <v>211</v>
      </c>
      <c r="C529" s="717" t="s">
        <v>88</v>
      </c>
      <c r="D529" s="300" t="s">
        <v>1759</v>
      </c>
      <c r="E529" s="383">
        <v>-892.64</v>
      </c>
      <c r="F529" s="249" t="s">
        <v>8</v>
      </c>
      <c r="G529" s="254" t="s">
        <v>51</v>
      </c>
    </row>
    <row r="530" spans="1:7" s="250" customFormat="1" ht="13.8" hidden="1" x14ac:dyDescent="0.3">
      <c r="A530" s="322">
        <v>45938</v>
      </c>
      <c r="B530" s="322" t="s">
        <v>211</v>
      </c>
      <c r="C530" s="717" t="s">
        <v>422</v>
      </c>
      <c r="D530" s="300" t="s">
        <v>1759</v>
      </c>
      <c r="E530" s="383">
        <v>-178.36</v>
      </c>
      <c r="F530" s="249" t="s">
        <v>8</v>
      </c>
      <c r="G530" s="254" t="s">
        <v>51</v>
      </c>
    </row>
    <row r="531" spans="1:7" s="250" customFormat="1" ht="13.8" hidden="1" x14ac:dyDescent="0.3">
      <c r="A531" s="322">
        <v>45938</v>
      </c>
      <c r="B531" s="322" t="s">
        <v>211</v>
      </c>
      <c r="C531" s="717" t="s">
        <v>658</v>
      </c>
      <c r="D531" s="300" t="s">
        <v>1759</v>
      </c>
      <c r="E531" s="383">
        <v>-428.34</v>
      </c>
      <c r="F531" s="249" t="s">
        <v>8</v>
      </c>
      <c r="G531" s="254" t="s">
        <v>51</v>
      </c>
    </row>
    <row r="532" spans="1:7" s="250" customFormat="1" ht="13.8" hidden="1" x14ac:dyDescent="0.3">
      <c r="A532" s="322">
        <v>45938</v>
      </c>
      <c r="B532" s="322" t="s">
        <v>211</v>
      </c>
      <c r="C532" s="717" t="s">
        <v>17</v>
      </c>
      <c r="D532" s="300" t="s">
        <v>1759</v>
      </c>
      <c r="E532" s="383">
        <v>-499.68</v>
      </c>
      <c r="F532" s="249" t="s">
        <v>8</v>
      </c>
      <c r="G532" s="254" t="s">
        <v>51</v>
      </c>
    </row>
    <row r="533" spans="1:7" s="250" customFormat="1" ht="13.8" hidden="1" x14ac:dyDescent="0.3">
      <c r="A533" s="322">
        <v>45938</v>
      </c>
      <c r="B533" s="322" t="s">
        <v>211</v>
      </c>
      <c r="C533" s="717" t="s">
        <v>35</v>
      </c>
      <c r="D533" s="300" t="s">
        <v>1759</v>
      </c>
      <c r="E533" s="383">
        <v>-410.5</v>
      </c>
      <c r="F533" s="249" t="s">
        <v>8</v>
      </c>
      <c r="G533" s="254" t="s">
        <v>51</v>
      </c>
    </row>
    <row r="534" spans="1:7" s="250" customFormat="1" ht="13.8" hidden="1" x14ac:dyDescent="0.3">
      <c r="A534" s="251">
        <v>45938</v>
      </c>
      <c r="B534" s="316" t="s">
        <v>211</v>
      </c>
      <c r="C534" s="293" t="s">
        <v>31</v>
      </c>
      <c r="D534" s="293" t="s">
        <v>1556</v>
      </c>
      <c r="E534" s="406">
        <v>-100</v>
      </c>
      <c r="F534" s="249" t="s">
        <v>8</v>
      </c>
      <c r="G534" s="254" t="s">
        <v>186</v>
      </c>
    </row>
    <row r="535" spans="1:7" s="250" customFormat="1" ht="13.8" hidden="1" x14ac:dyDescent="0.3">
      <c r="A535" s="251">
        <v>45961</v>
      </c>
      <c r="B535" s="316" t="s">
        <v>211</v>
      </c>
      <c r="C535" s="299" t="s">
        <v>80</v>
      </c>
      <c r="D535" s="300" t="s">
        <v>81</v>
      </c>
      <c r="E535" s="317">
        <v>-10716.7</v>
      </c>
      <c r="F535" s="249" t="s">
        <v>8</v>
      </c>
      <c r="G535" s="255" t="s">
        <v>82</v>
      </c>
    </row>
    <row r="536" spans="1:7" s="250" customFormat="1" hidden="1" x14ac:dyDescent="0.3">
      <c r="A536" s="704">
        <v>45953</v>
      </c>
      <c r="B536" s="384" t="s">
        <v>211</v>
      </c>
      <c r="C536" s="1013" t="s">
        <v>6</v>
      </c>
      <c r="D536" s="386" t="s">
        <v>2136</v>
      </c>
      <c r="E536" s="499">
        <v>-33674.620000000003</v>
      </c>
      <c r="F536" s="402" t="s">
        <v>8</v>
      </c>
      <c r="G536" s="408" t="s">
        <v>82</v>
      </c>
    </row>
    <row r="537" spans="1:7" s="250" customFormat="1" hidden="1" x14ac:dyDescent="0.3">
      <c r="A537" s="322">
        <v>45953</v>
      </c>
      <c r="B537" s="316" t="s">
        <v>211</v>
      </c>
      <c r="C537" s="371" t="s">
        <v>421</v>
      </c>
      <c r="D537" s="300" t="s">
        <v>2172</v>
      </c>
      <c r="E537" s="367">
        <v>-35750</v>
      </c>
      <c r="F537" s="249" t="s">
        <v>8</v>
      </c>
      <c r="G537" s="255" t="s">
        <v>153</v>
      </c>
    </row>
    <row r="538" spans="1:7" s="143" customFormat="1" ht="13.8" hidden="1" x14ac:dyDescent="0.3">
      <c r="A538" s="123">
        <v>45931</v>
      </c>
      <c r="B538" s="123" t="s">
        <v>211</v>
      </c>
      <c r="C538" s="120" t="s">
        <v>167</v>
      </c>
      <c r="D538" s="29" t="s">
        <v>168</v>
      </c>
      <c r="E538" s="53">
        <v>1500</v>
      </c>
      <c r="F538" s="55" t="s">
        <v>161</v>
      </c>
      <c r="G538" s="61" t="s">
        <v>162</v>
      </c>
    </row>
    <row r="539" spans="1:7" s="143" customFormat="1" ht="13.8" hidden="1" x14ac:dyDescent="0.3">
      <c r="A539" s="123">
        <v>45931</v>
      </c>
      <c r="B539" s="123" t="s">
        <v>211</v>
      </c>
      <c r="C539" s="120" t="s">
        <v>167</v>
      </c>
      <c r="D539" s="29" t="s">
        <v>168</v>
      </c>
      <c r="E539" s="53">
        <v>1200</v>
      </c>
      <c r="F539" s="55" t="s">
        <v>161</v>
      </c>
      <c r="G539" s="61" t="s">
        <v>162</v>
      </c>
    </row>
    <row r="540" spans="1:7" s="143" customFormat="1" ht="13.8" hidden="1" x14ac:dyDescent="0.3">
      <c r="A540" s="123">
        <v>45931</v>
      </c>
      <c r="B540" s="123" t="s">
        <v>211</v>
      </c>
      <c r="C540" s="120" t="s">
        <v>167</v>
      </c>
      <c r="D540" s="29" t="s">
        <v>168</v>
      </c>
      <c r="E540" s="53">
        <v>14482.07</v>
      </c>
      <c r="F540" s="55" t="s">
        <v>161</v>
      </c>
      <c r="G540" s="61" t="s">
        <v>162</v>
      </c>
    </row>
    <row r="541" spans="1:7" s="143" customFormat="1" ht="13.8" hidden="1" x14ac:dyDescent="0.3">
      <c r="A541" s="123">
        <v>45931</v>
      </c>
      <c r="B541" s="123" t="s">
        <v>211</v>
      </c>
      <c r="C541" s="120" t="s">
        <v>167</v>
      </c>
      <c r="D541" s="29" t="s">
        <v>168</v>
      </c>
      <c r="E541" s="53">
        <v>23943.3</v>
      </c>
      <c r="F541" s="55" t="s">
        <v>161</v>
      </c>
      <c r="G541" s="61" t="s">
        <v>162</v>
      </c>
    </row>
    <row r="542" spans="1:7" s="143" customFormat="1" ht="13.8" hidden="1" x14ac:dyDescent="0.3">
      <c r="A542" s="123">
        <v>45931</v>
      </c>
      <c r="B542" s="123" t="s">
        <v>211</v>
      </c>
      <c r="C542" s="120" t="s">
        <v>167</v>
      </c>
      <c r="D542" s="29" t="s">
        <v>168</v>
      </c>
      <c r="E542" s="53">
        <v>21852.37</v>
      </c>
      <c r="F542" s="55" t="s">
        <v>161</v>
      </c>
      <c r="G542" s="61" t="s">
        <v>162</v>
      </c>
    </row>
    <row r="543" spans="1:7" s="143" customFormat="1" ht="13.8" hidden="1" x14ac:dyDescent="0.3">
      <c r="A543" s="123">
        <v>45931</v>
      </c>
      <c r="B543" s="123" t="s">
        <v>211</v>
      </c>
      <c r="C543" s="120" t="s">
        <v>167</v>
      </c>
      <c r="D543" s="29" t="s">
        <v>168</v>
      </c>
      <c r="E543" s="30">
        <v>4983</v>
      </c>
      <c r="F543" s="55" t="s">
        <v>161</v>
      </c>
      <c r="G543" s="61" t="s">
        <v>162</v>
      </c>
    </row>
    <row r="544" spans="1:7" s="267" customFormat="1" ht="13.8" hidden="1" x14ac:dyDescent="0.3">
      <c r="A544" s="384">
        <v>45933</v>
      </c>
      <c r="B544" s="384" t="s">
        <v>211</v>
      </c>
      <c r="C544" s="293" t="s">
        <v>44</v>
      </c>
      <c r="D544" s="293" t="s">
        <v>1708</v>
      </c>
      <c r="E544" s="248">
        <v>-2045.3</v>
      </c>
      <c r="F544" s="249" t="s">
        <v>8</v>
      </c>
      <c r="G544" s="254" t="s">
        <v>227</v>
      </c>
    </row>
    <row r="545" spans="1:7" s="250" customFormat="1" ht="13.8" hidden="1" x14ac:dyDescent="0.3">
      <c r="A545" s="384">
        <v>45933</v>
      </c>
      <c r="B545" s="384" t="s">
        <v>211</v>
      </c>
      <c r="C545" s="293" t="s">
        <v>17</v>
      </c>
      <c r="D545" s="293" t="s">
        <v>1471</v>
      </c>
      <c r="E545" s="248">
        <v>-1846.33</v>
      </c>
      <c r="F545" s="249" t="s">
        <v>8</v>
      </c>
      <c r="G545" s="254" t="s">
        <v>1472</v>
      </c>
    </row>
    <row r="546" spans="1:7" s="267" customFormat="1" ht="13.8" hidden="1" x14ac:dyDescent="0.3">
      <c r="A546" s="384">
        <v>45933</v>
      </c>
      <c r="B546" s="384" t="s">
        <v>211</v>
      </c>
      <c r="C546" s="293" t="s">
        <v>6</v>
      </c>
      <c r="D546" s="293" t="s">
        <v>1436</v>
      </c>
      <c r="E546" s="248">
        <v>-2000</v>
      </c>
      <c r="F546" s="249" t="s">
        <v>8</v>
      </c>
      <c r="G546" s="254" t="s">
        <v>186</v>
      </c>
    </row>
    <row r="547" spans="1:7" s="143" customFormat="1" ht="13.8" hidden="1" x14ac:dyDescent="0.3">
      <c r="A547" s="123">
        <v>45931</v>
      </c>
      <c r="B547" s="123" t="s">
        <v>211</v>
      </c>
      <c r="C547" s="120" t="s">
        <v>167</v>
      </c>
      <c r="D547" s="29" t="s">
        <v>168</v>
      </c>
      <c r="E547" s="53">
        <v>196</v>
      </c>
      <c r="F547" s="55" t="s">
        <v>161</v>
      </c>
      <c r="G547" s="61" t="s">
        <v>162</v>
      </c>
    </row>
    <row r="548" spans="1:7" s="618" customFormat="1" hidden="1" x14ac:dyDescent="0.3">
      <c r="A548" s="381">
        <v>45933</v>
      </c>
      <c r="B548" s="381" t="s">
        <v>211</v>
      </c>
      <c r="C548" s="364" t="s">
        <v>31</v>
      </c>
      <c r="D548" s="364" t="s">
        <v>1687</v>
      </c>
      <c r="E548" s="367">
        <v>-184.76</v>
      </c>
      <c r="F548" s="420" t="s">
        <v>8</v>
      </c>
      <c r="G548" s="428" t="s">
        <v>124</v>
      </c>
    </row>
    <row r="549" spans="1:7" s="618" customFormat="1" hidden="1" x14ac:dyDescent="0.3">
      <c r="A549" s="381">
        <v>45933</v>
      </c>
      <c r="B549" s="381" t="s">
        <v>211</v>
      </c>
      <c r="C549" s="364" t="s">
        <v>31</v>
      </c>
      <c r="D549" s="364" t="s">
        <v>1688</v>
      </c>
      <c r="E549" s="367">
        <v>-192.15</v>
      </c>
      <c r="F549" s="420" t="s">
        <v>8</v>
      </c>
      <c r="G549" s="428" t="s">
        <v>124</v>
      </c>
    </row>
    <row r="550" spans="1:7" s="618" customFormat="1" hidden="1" x14ac:dyDescent="0.3">
      <c r="A550" s="381">
        <v>45933</v>
      </c>
      <c r="B550" s="381" t="s">
        <v>211</v>
      </c>
      <c r="C550" s="364" t="s">
        <v>31</v>
      </c>
      <c r="D550" s="364" t="s">
        <v>1689</v>
      </c>
      <c r="E550" s="367">
        <v>-183.87</v>
      </c>
      <c r="F550" s="420" t="s">
        <v>8</v>
      </c>
      <c r="G550" s="428" t="s">
        <v>124</v>
      </c>
    </row>
    <row r="551" spans="1:7" s="618" customFormat="1" hidden="1" x14ac:dyDescent="0.3">
      <c r="A551" s="381">
        <v>45933</v>
      </c>
      <c r="B551" s="381" t="s">
        <v>211</v>
      </c>
      <c r="C551" s="364" t="s">
        <v>31</v>
      </c>
      <c r="D551" s="364" t="s">
        <v>1690</v>
      </c>
      <c r="E551" s="367">
        <v>-301.2</v>
      </c>
      <c r="F551" s="420" t="s">
        <v>8</v>
      </c>
      <c r="G551" s="428" t="s">
        <v>124</v>
      </c>
    </row>
    <row r="552" spans="1:7" s="618" customFormat="1" hidden="1" x14ac:dyDescent="0.3">
      <c r="A552" s="381">
        <v>45933</v>
      </c>
      <c r="B552" s="381" t="s">
        <v>211</v>
      </c>
      <c r="C552" s="364" t="s">
        <v>31</v>
      </c>
      <c r="D552" s="364" t="s">
        <v>1691</v>
      </c>
      <c r="E552" s="367">
        <v>-194.32</v>
      </c>
      <c r="F552" s="420" t="s">
        <v>8</v>
      </c>
      <c r="G552" s="428" t="s">
        <v>124</v>
      </c>
    </row>
    <row r="553" spans="1:7" s="618" customFormat="1" hidden="1" x14ac:dyDescent="0.3">
      <c r="A553" s="381">
        <v>45933</v>
      </c>
      <c r="B553" s="381" t="s">
        <v>211</v>
      </c>
      <c r="C553" s="364" t="s">
        <v>31</v>
      </c>
      <c r="D553" s="364" t="s">
        <v>1692</v>
      </c>
      <c r="E553" s="367">
        <v>-185.68</v>
      </c>
      <c r="F553" s="420" t="s">
        <v>8</v>
      </c>
      <c r="G553" s="428" t="s">
        <v>124</v>
      </c>
    </row>
    <row r="554" spans="1:7" s="618" customFormat="1" hidden="1" x14ac:dyDescent="0.3">
      <c r="A554" s="381">
        <v>45933</v>
      </c>
      <c r="B554" s="381" t="s">
        <v>211</v>
      </c>
      <c r="C554" s="364" t="s">
        <v>31</v>
      </c>
      <c r="D554" s="364" t="s">
        <v>1693</v>
      </c>
      <c r="E554" s="367">
        <v>-188.8</v>
      </c>
      <c r="F554" s="420" t="s">
        <v>8</v>
      </c>
      <c r="G554" s="428" t="s">
        <v>124</v>
      </c>
    </row>
    <row r="555" spans="1:7" s="618" customFormat="1" hidden="1" x14ac:dyDescent="0.3">
      <c r="A555" s="381">
        <v>45933</v>
      </c>
      <c r="B555" s="381" t="s">
        <v>211</v>
      </c>
      <c r="C555" s="364" t="s">
        <v>31</v>
      </c>
      <c r="D555" s="364" t="s">
        <v>1694</v>
      </c>
      <c r="E555" s="367">
        <v>-197.63</v>
      </c>
      <c r="F555" s="420" t="s">
        <v>8</v>
      </c>
      <c r="G555" s="428" t="s">
        <v>124</v>
      </c>
    </row>
    <row r="556" spans="1:7" s="618" customFormat="1" hidden="1" x14ac:dyDescent="0.3">
      <c r="A556" s="381">
        <v>45933</v>
      </c>
      <c r="B556" s="381" t="s">
        <v>211</v>
      </c>
      <c r="C556" s="364" t="s">
        <v>31</v>
      </c>
      <c r="D556" s="364" t="s">
        <v>1695</v>
      </c>
      <c r="E556" s="367">
        <v>-196.45</v>
      </c>
      <c r="F556" s="420" t="s">
        <v>8</v>
      </c>
      <c r="G556" s="428" t="s">
        <v>124</v>
      </c>
    </row>
    <row r="557" spans="1:7" s="618" customFormat="1" hidden="1" x14ac:dyDescent="0.3">
      <c r="A557" s="381">
        <v>45933</v>
      </c>
      <c r="B557" s="381" t="s">
        <v>211</v>
      </c>
      <c r="C557" s="364" t="s">
        <v>31</v>
      </c>
      <c r="D557" s="364" t="s">
        <v>1696</v>
      </c>
      <c r="E557" s="367">
        <v>-195.28</v>
      </c>
      <c r="F557" s="420" t="s">
        <v>8</v>
      </c>
      <c r="G557" s="428" t="s">
        <v>124</v>
      </c>
    </row>
    <row r="558" spans="1:7" s="618" customFormat="1" hidden="1" x14ac:dyDescent="0.3">
      <c r="A558" s="381">
        <v>45933</v>
      </c>
      <c r="B558" s="381" t="s">
        <v>211</v>
      </c>
      <c r="C558" s="364" t="s">
        <v>31</v>
      </c>
      <c r="D558" s="364" t="s">
        <v>1697</v>
      </c>
      <c r="E558" s="367">
        <v>-193.08</v>
      </c>
      <c r="F558" s="420" t="s">
        <v>8</v>
      </c>
      <c r="G558" s="428" t="s">
        <v>124</v>
      </c>
    </row>
    <row r="559" spans="1:7" s="618" customFormat="1" hidden="1" x14ac:dyDescent="0.3">
      <c r="A559" s="381">
        <v>45933</v>
      </c>
      <c r="B559" s="381" t="s">
        <v>211</v>
      </c>
      <c r="C559" s="364" t="s">
        <v>31</v>
      </c>
      <c r="D559" s="364" t="s">
        <v>1698</v>
      </c>
      <c r="E559" s="367">
        <v>-187.63</v>
      </c>
      <c r="F559" s="420" t="s">
        <v>8</v>
      </c>
      <c r="G559" s="428" t="s">
        <v>124</v>
      </c>
    </row>
    <row r="560" spans="1:7" s="618" customFormat="1" hidden="1" x14ac:dyDescent="0.3">
      <c r="A560" s="381">
        <v>45933</v>
      </c>
      <c r="B560" s="381" t="s">
        <v>211</v>
      </c>
      <c r="C560" s="364" t="s">
        <v>31</v>
      </c>
      <c r="D560" s="364" t="s">
        <v>1699</v>
      </c>
      <c r="E560" s="367">
        <v>-186.63</v>
      </c>
      <c r="F560" s="420" t="s">
        <v>8</v>
      </c>
      <c r="G560" s="428" t="s">
        <v>124</v>
      </c>
    </row>
    <row r="561" spans="1:7" s="267" customFormat="1" ht="13.8" hidden="1" x14ac:dyDescent="0.3">
      <c r="A561" s="384">
        <v>45933</v>
      </c>
      <c r="B561" s="384" t="s">
        <v>211</v>
      </c>
      <c r="C561" s="405" t="s">
        <v>32</v>
      </c>
      <c r="D561" s="666" t="s">
        <v>1369</v>
      </c>
      <c r="E561" s="600">
        <v>-7022.51</v>
      </c>
      <c r="F561" s="402" t="s">
        <v>8</v>
      </c>
      <c r="G561" s="408" t="s">
        <v>75</v>
      </c>
    </row>
    <row r="562" spans="1:7" s="267" customFormat="1" ht="13.8" hidden="1" x14ac:dyDescent="0.3">
      <c r="A562" s="384">
        <v>45933</v>
      </c>
      <c r="B562" s="384" t="s">
        <v>211</v>
      </c>
      <c r="C562" s="296" t="s">
        <v>17</v>
      </c>
      <c r="D562" s="293" t="s">
        <v>1192</v>
      </c>
      <c r="E562" s="248">
        <v>-329.28</v>
      </c>
      <c r="F562" s="249" t="s">
        <v>8</v>
      </c>
      <c r="G562" s="408" t="s">
        <v>75</v>
      </c>
    </row>
    <row r="563" spans="1:7" s="267" customFormat="1" ht="13.8" hidden="1" x14ac:dyDescent="0.3">
      <c r="A563" s="384">
        <v>45933</v>
      </c>
      <c r="B563" s="384" t="s">
        <v>211</v>
      </c>
      <c r="C563" s="296" t="s">
        <v>17</v>
      </c>
      <c r="D563" s="293" t="s">
        <v>1192</v>
      </c>
      <c r="E563" s="248">
        <v>-89.27</v>
      </c>
      <c r="F563" s="249" t="s">
        <v>8</v>
      </c>
      <c r="G563" s="408" t="s">
        <v>75</v>
      </c>
    </row>
    <row r="564" spans="1:7" s="250" customFormat="1" ht="13.8" hidden="1" x14ac:dyDescent="0.3">
      <c r="A564" s="384">
        <v>45933</v>
      </c>
      <c r="B564" s="384" t="s">
        <v>211</v>
      </c>
      <c r="C564" s="405" t="s">
        <v>32</v>
      </c>
      <c r="D564" s="293" t="s">
        <v>1589</v>
      </c>
      <c r="E564" s="335">
        <v>-1213.26</v>
      </c>
      <c r="F564" s="249" t="s">
        <v>8</v>
      </c>
      <c r="G564" s="408" t="s">
        <v>75</v>
      </c>
    </row>
    <row r="565" spans="1:7" s="250" customFormat="1" ht="13.8" hidden="1" x14ac:dyDescent="0.3">
      <c r="A565" s="384">
        <v>45933</v>
      </c>
      <c r="B565" s="384" t="s">
        <v>211</v>
      </c>
      <c r="C565" s="424" t="s">
        <v>31</v>
      </c>
      <c r="D565" s="372" t="s">
        <v>1614</v>
      </c>
      <c r="E565" s="344">
        <v>-145.32</v>
      </c>
      <c r="F565" s="373" t="s">
        <v>8</v>
      </c>
      <c r="G565" s="343" t="s">
        <v>19</v>
      </c>
    </row>
    <row r="566" spans="1:7" s="210" customFormat="1" ht="13.8" hidden="1" x14ac:dyDescent="0.3">
      <c r="A566" s="660">
        <v>45933</v>
      </c>
      <c r="B566" s="660" t="s">
        <v>211</v>
      </c>
      <c r="C566" s="661" t="s">
        <v>6</v>
      </c>
      <c r="D566" s="661" t="s">
        <v>497</v>
      </c>
      <c r="E566" s="662">
        <v>-529</v>
      </c>
      <c r="F566" s="665" t="s">
        <v>8</v>
      </c>
      <c r="G566" s="209" t="s">
        <v>82</v>
      </c>
    </row>
    <row r="567" spans="1:7" s="250" customFormat="1" ht="13.8" hidden="1" x14ac:dyDescent="0.3">
      <c r="A567" s="384">
        <v>45933</v>
      </c>
      <c r="B567" s="384" t="s">
        <v>211</v>
      </c>
      <c r="C567" s="293" t="s">
        <v>25</v>
      </c>
      <c r="D567" s="293" t="s">
        <v>468</v>
      </c>
      <c r="E567" s="248">
        <v>-319.8</v>
      </c>
      <c r="F567" s="373" t="s">
        <v>8</v>
      </c>
      <c r="G567" s="254" t="s">
        <v>82</v>
      </c>
    </row>
    <row r="568" spans="1:7" s="250" customFormat="1" ht="13.8" hidden="1" x14ac:dyDescent="0.3">
      <c r="A568" s="384">
        <v>45933</v>
      </c>
      <c r="B568" s="384" t="s">
        <v>211</v>
      </c>
      <c r="C568" s="293" t="s">
        <v>25</v>
      </c>
      <c r="D568" s="293" t="s">
        <v>1139</v>
      </c>
      <c r="E568" s="248">
        <v>-184.5</v>
      </c>
      <c r="F568" s="373" t="s">
        <v>8</v>
      </c>
      <c r="G568" s="254" t="s">
        <v>82</v>
      </c>
    </row>
    <row r="569" spans="1:7" s="250" customFormat="1" ht="13.8" hidden="1" x14ac:dyDescent="0.3">
      <c r="A569" s="384">
        <v>45933</v>
      </c>
      <c r="B569" s="384" t="s">
        <v>211</v>
      </c>
      <c r="C569" s="293" t="s">
        <v>32</v>
      </c>
      <c r="D569" s="293" t="s">
        <v>1615</v>
      </c>
      <c r="E569" s="248">
        <v>-147.6</v>
      </c>
      <c r="F569" s="373" t="s">
        <v>8</v>
      </c>
      <c r="G569" s="254" t="s">
        <v>82</v>
      </c>
    </row>
    <row r="570" spans="1:7" s="250" customFormat="1" ht="13.8" hidden="1" x14ac:dyDescent="0.3">
      <c r="A570" s="384">
        <v>45933</v>
      </c>
      <c r="B570" s="384" t="s">
        <v>211</v>
      </c>
      <c r="C570" s="293" t="s">
        <v>32</v>
      </c>
      <c r="D570" s="293" t="s">
        <v>1616</v>
      </c>
      <c r="E570" s="248">
        <v>-89.6</v>
      </c>
      <c r="F570" s="373" t="s">
        <v>8</v>
      </c>
      <c r="G570" s="254" t="s">
        <v>82</v>
      </c>
    </row>
    <row r="571" spans="1:7" s="250" customFormat="1" ht="13.8" hidden="1" x14ac:dyDescent="0.3">
      <c r="A571" s="384">
        <v>45933</v>
      </c>
      <c r="B571" s="384" t="s">
        <v>211</v>
      </c>
      <c r="C571" s="293" t="s">
        <v>71</v>
      </c>
      <c r="D571" s="293" t="s">
        <v>1176</v>
      </c>
      <c r="E571" s="248">
        <v>-140</v>
      </c>
      <c r="F571" s="373" t="s">
        <v>8</v>
      </c>
      <c r="G571" s="254" t="s">
        <v>82</v>
      </c>
    </row>
    <row r="572" spans="1:7" s="250" customFormat="1" ht="13.8" hidden="1" x14ac:dyDescent="0.3">
      <c r="A572" s="384">
        <v>45933</v>
      </c>
      <c r="B572" s="384" t="s">
        <v>211</v>
      </c>
      <c r="C572" s="293" t="s">
        <v>17</v>
      </c>
      <c r="D572" s="293" t="s">
        <v>1617</v>
      </c>
      <c r="E572" s="248">
        <v>-86.1</v>
      </c>
      <c r="F572" s="373" t="s">
        <v>8</v>
      </c>
      <c r="G572" s="254" t="s">
        <v>82</v>
      </c>
    </row>
    <row r="573" spans="1:7" s="250" customFormat="1" ht="13.8" hidden="1" x14ac:dyDescent="0.3">
      <c r="A573" s="384">
        <v>45933</v>
      </c>
      <c r="B573" s="384" t="s">
        <v>211</v>
      </c>
      <c r="C573" s="293" t="s">
        <v>17</v>
      </c>
      <c r="D573" s="293" t="s">
        <v>1618</v>
      </c>
      <c r="E573" s="248">
        <v>-120</v>
      </c>
      <c r="F573" s="373" t="s">
        <v>8</v>
      </c>
      <c r="G573" s="254" t="s">
        <v>82</v>
      </c>
    </row>
    <row r="574" spans="1:7" s="250" customFormat="1" ht="13.8" hidden="1" x14ac:dyDescent="0.3">
      <c r="A574" s="384">
        <v>45933</v>
      </c>
      <c r="B574" s="384" t="s">
        <v>211</v>
      </c>
      <c r="C574" s="293" t="s">
        <v>17</v>
      </c>
      <c r="D574" s="293" t="s">
        <v>693</v>
      </c>
      <c r="E574" s="248">
        <v>-307.5</v>
      </c>
      <c r="F574" s="373" t="s">
        <v>8</v>
      </c>
      <c r="G574" s="254" t="s">
        <v>82</v>
      </c>
    </row>
    <row r="575" spans="1:7" s="250" customFormat="1" ht="13.8" hidden="1" x14ac:dyDescent="0.3">
      <c r="A575" s="384">
        <v>45933</v>
      </c>
      <c r="B575" s="384" t="s">
        <v>211</v>
      </c>
      <c r="C575" s="293" t="s">
        <v>25</v>
      </c>
      <c r="D575" s="296" t="s">
        <v>1713</v>
      </c>
      <c r="E575" s="248">
        <v>-600</v>
      </c>
      <c r="F575" s="373" t="s">
        <v>8</v>
      </c>
      <c r="G575" s="403" t="s">
        <v>27</v>
      </c>
    </row>
    <row r="576" spans="1:7" s="250" customFormat="1" ht="13.8" hidden="1" x14ac:dyDescent="0.3">
      <c r="A576" s="384">
        <v>45933</v>
      </c>
      <c r="B576" s="384" t="s">
        <v>211</v>
      </c>
      <c r="C576" s="299" t="s">
        <v>17</v>
      </c>
      <c r="D576" s="269" t="s">
        <v>18</v>
      </c>
      <c r="E576" s="319">
        <v>-17235</v>
      </c>
      <c r="F576" s="249" t="s">
        <v>8</v>
      </c>
      <c r="G576" s="408" t="s">
        <v>19</v>
      </c>
    </row>
    <row r="577" spans="1:7" s="250" customFormat="1" ht="13.8" hidden="1" x14ac:dyDescent="0.3">
      <c r="A577" s="316">
        <v>45940</v>
      </c>
      <c r="B577" s="316" t="s">
        <v>211</v>
      </c>
      <c r="C577" s="293" t="s">
        <v>25</v>
      </c>
      <c r="D577" s="253" t="s">
        <v>1231</v>
      </c>
      <c r="E577" s="248">
        <v>-6102.07</v>
      </c>
      <c r="F577" s="249" t="s">
        <v>8</v>
      </c>
      <c r="G577" s="254" t="s">
        <v>75</v>
      </c>
    </row>
    <row r="578" spans="1:7" s="250" customFormat="1" ht="13.8" hidden="1" x14ac:dyDescent="0.3">
      <c r="A578" s="316">
        <v>45943</v>
      </c>
      <c r="B578" s="316" t="s">
        <v>211</v>
      </c>
      <c r="C578" s="293" t="s">
        <v>25</v>
      </c>
      <c r="D578" s="293" t="s">
        <v>1441</v>
      </c>
      <c r="E578" s="335">
        <v>-3598.97</v>
      </c>
      <c r="F578" s="249" t="s">
        <v>8</v>
      </c>
      <c r="G578" s="254" t="s">
        <v>75</v>
      </c>
    </row>
    <row r="579" spans="1:7" s="250" customFormat="1" ht="13.8" hidden="1" x14ac:dyDescent="0.3">
      <c r="A579" s="316">
        <v>45940</v>
      </c>
      <c r="B579" s="316" t="s">
        <v>211</v>
      </c>
      <c r="C579" s="293" t="s">
        <v>31</v>
      </c>
      <c r="D579" s="293" t="s">
        <v>1783</v>
      </c>
      <c r="E579" s="393">
        <v>-166.21</v>
      </c>
      <c r="F579" s="249" t="s">
        <v>8</v>
      </c>
      <c r="G579" s="254" t="s">
        <v>124</v>
      </c>
    </row>
    <row r="580" spans="1:7" s="250" customFormat="1" ht="13.8" hidden="1" x14ac:dyDescent="0.3">
      <c r="A580" s="316">
        <v>45940</v>
      </c>
      <c r="B580" s="316" t="s">
        <v>211</v>
      </c>
      <c r="C580" s="293" t="s">
        <v>31</v>
      </c>
      <c r="D580" s="293" t="s">
        <v>1772</v>
      </c>
      <c r="E580" s="393">
        <v>-167.01</v>
      </c>
      <c r="F580" s="249" t="s">
        <v>8</v>
      </c>
      <c r="G580" s="254" t="s">
        <v>124</v>
      </c>
    </row>
    <row r="581" spans="1:7" s="250" customFormat="1" ht="13.8" hidden="1" x14ac:dyDescent="0.3">
      <c r="A581" s="316">
        <v>45940</v>
      </c>
      <c r="B581" s="316" t="s">
        <v>211</v>
      </c>
      <c r="C581" s="293" t="s">
        <v>31</v>
      </c>
      <c r="D581" s="293" t="s">
        <v>1773</v>
      </c>
      <c r="E581" s="393">
        <v>-170.66</v>
      </c>
      <c r="F581" s="249" t="s">
        <v>8</v>
      </c>
      <c r="G581" s="254" t="s">
        <v>124</v>
      </c>
    </row>
    <row r="582" spans="1:7" s="250" customFormat="1" ht="13.8" hidden="1" x14ac:dyDescent="0.3">
      <c r="A582" s="316">
        <v>45940</v>
      </c>
      <c r="B582" s="316" t="s">
        <v>211</v>
      </c>
      <c r="C582" s="293" t="s">
        <v>31</v>
      </c>
      <c r="D582" s="293" t="s">
        <v>1774</v>
      </c>
      <c r="E582" s="393">
        <v>-176.52</v>
      </c>
      <c r="F582" s="249" t="s">
        <v>8</v>
      </c>
      <c r="G582" s="254" t="s">
        <v>124</v>
      </c>
    </row>
    <row r="583" spans="1:7" s="250" customFormat="1" ht="13.8" hidden="1" x14ac:dyDescent="0.3">
      <c r="A583" s="316">
        <v>45940</v>
      </c>
      <c r="B583" s="316" t="s">
        <v>211</v>
      </c>
      <c r="C583" s="293" t="s">
        <v>31</v>
      </c>
      <c r="D583" s="293" t="s">
        <v>1775</v>
      </c>
      <c r="E583" s="393">
        <v>-173.69</v>
      </c>
      <c r="F583" s="249" t="s">
        <v>8</v>
      </c>
      <c r="G583" s="254" t="s">
        <v>124</v>
      </c>
    </row>
    <row r="584" spans="1:7" s="250" customFormat="1" ht="13.8" hidden="1" x14ac:dyDescent="0.3">
      <c r="A584" s="316">
        <v>45940</v>
      </c>
      <c r="B584" s="316" t="s">
        <v>211</v>
      </c>
      <c r="C584" s="293" t="s">
        <v>31</v>
      </c>
      <c r="D584" s="293" t="s">
        <v>1776</v>
      </c>
      <c r="E584" s="393">
        <v>-167.84</v>
      </c>
      <c r="F584" s="249" t="s">
        <v>8</v>
      </c>
      <c r="G584" s="254" t="s">
        <v>124</v>
      </c>
    </row>
    <row r="585" spans="1:7" s="250" customFormat="1" ht="13.8" hidden="1" x14ac:dyDescent="0.3">
      <c r="A585" s="316">
        <v>45940</v>
      </c>
      <c r="B585" s="316" t="s">
        <v>211</v>
      </c>
      <c r="C585" s="293" t="s">
        <v>31</v>
      </c>
      <c r="D585" s="293" t="s">
        <v>1777</v>
      </c>
      <c r="E585" s="393">
        <v>-174.53</v>
      </c>
      <c r="F585" s="249" t="s">
        <v>8</v>
      </c>
      <c r="G585" s="254" t="s">
        <v>124</v>
      </c>
    </row>
    <row r="586" spans="1:7" s="250" customFormat="1" ht="13.8" hidden="1" x14ac:dyDescent="0.3">
      <c r="A586" s="316">
        <v>45940</v>
      </c>
      <c r="B586" s="316" t="s">
        <v>211</v>
      </c>
      <c r="C586" s="293" t="s">
        <v>31</v>
      </c>
      <c r="D586" s="293" t="s">
        <v>1778</v>
      </c>
      <c r="E586" s="393">
        <v>-175.65</v>
      </c>
      <c r="F586" s="249" t="s">
        <v>8</v>
      </c>
      <c r="G586" s="254" t="s">
        <v>124</v>
      </c>
    </row>
    <row r="587" spans="1:7" s="250" customFormat="1" ht="13.8" hidden="1" x14ac:dyDescent="0.3">
      <c r="A587" s="316">
        <v>45940</v>
      </c>
      <c r="B587" s="316" t="s">
        <v>211</v>
      </c>
      <c r="C587" s="293" t="s">
        <v>31</v>
      </c>
      <c r="D587" s="293" t="s">
        <v>1779</v>
      </c>
      <c r="E587" s="393">
        <v>-168.71</v>
      </c>
      <c r="F587" s="249" t="s">
        <v>8</v>
      </c>
      <c r="G587" s="254" t="s">
        <v>124</v>
      </c>
    </row>
    <row r="588" spans="1:7" s="250" customFormat="1" ht="13.8" hidden="1" x14ac:dyDescent="0.3">
      <c r="A588" s="316">
        <v>45940</v>
      </c>
      <c r="B588" s="316" t="s">
        <v>211</v>
      </c>
      <c r="C588" s="293" t="s">
        <v>31</v>
      </c>
      <c r="D588" s="293" t="s">
        <v>1780</v>
      </c>
      <c r="E588" s="393">
        <v>-178.65</v>
      </c>
      <c r="F588" s="249" t="s">
        <v>8</v>
      </c>
      <c r="G588" s="254" t="s">
        <v>124</v>
      </c>
    </row>
    <row r="589" spans="1:7" s="250" customFormat="1" ht="13.8" hidden="1" x14ac:dyDescent="0.3">
      <c r="A589" s="316">
        <v>45940</v>
      </c>
      <c r="B589" s="316" t="s">
        <v>211</v>
      </c>
      <c r="C589" s="293" t="s">
        <v>31</v>
      </c>
      <c r="D589" s="293" t="s">
        <v>1781</v>
      </c>
      <c r="E589" s="393">
        <v>-169.6</v>
      </c>
      <c r="F589" s="249" t="s">
        <v>8</v>
      </c>
      <c r="G589" s="254" t="s">
        <v>124</v>
      </c>
    </row>
    <row r="590" spans="1:7" s="250" customFormat="1" ht="13.8" hidden="1" x14ac:dyDescent="0.3">
      <c r="A590" s="316">
        <v>45940</v>
      </c>
      <c r="B590" s="316" t="s">
        <v>211</v>
      </c>
      <c r="C590" s="293" t="s">
        <v>31</v>
      </c>
      <c r="D590" s="293" t="s">
        <v>1782</v>
      </c>
      <c r="E590" s="393">
        <v>-177.57</v>
      </c>
      <c r="F590" s="249" t="s">
        <v>8</v>
      </c>
      <c r="G590" s="254" t="s">
        <v>124</v>
      </c>
    </row>
    <row r="591" spans="1:7" s="250" customFormat="1" ht="13.8" hidden="1" x14ac:dyDescent="0.3">
      <c r="A591" s="316">
        <v>45940</v>
      </c>
      <c r="B591" s="316" t="s">
        <v>211</v>
      </c>
      <c r="C591" s="293" t="s">
        <v>32</v>
      </c>
      <c r="D591" s="253" t="s">
        <v>1247</v>
      </c>
      <c r="E591" s="248">
        <v>-5068.3500000000004</v>
      </c>
      <c r="F591" s="249" t="s">
        <v>8</v>
      </c>
      <c r="G591" s="254" t="s">
        <v>75</v>
      </c>
    </row>
    <row r="592" spans="1:7" s="250" customFormat="1" ht="13.8" hidden="1" x14ac:dyDescent="0.3">
      <c r="A592" s="316">
        <v>45940</v>
      </c>
      <c r="B592" s="316" t="s">
        <v>211</v>
      </c>
      <c r="C592" s="293" t="s">
        <v>32</v>
      </c>
      <c r="D592" s="253" t="s">
        <v>1443</v>
      </c>
      <c r="E592" s="248">
        <v>-1571.65</v>
      </c>
      <c r="F592" s="249" t="s">
        <v>8</v>
      </c>
      <c r="G592" s="254" t="s">
        <v>75</v>
      </c>
    </row>
    <row r="593" spans="1:7" s="250" customFormat="1" ht="13.8" hidden="1" x14ac:dyDescent="0.3">
      <c r="A593" s="316">
        <v>45940</v>
      </c>
      <c r="B593" s="316" t="s">
        <v>211</v>
      </c>
      <c r="C593" s="293" t="s">
        <v>71</v>
      </c>
      <c r="D593" s="253" t="s">
        <v>86</v>
      </c>
      <c r="E593" s="248">
        <v>-5118.76</v>
      </c>
      <c r="F593" s="249" t="s">
        <v>8</v>
      </c>
      <c r="G593" s="254" t="s">
        <v>75</v>
      </c>
    </row>
    <row r="594" spans="1:7" s="250" customFormat="1" ht="13.8" hidden="1" x14ac:dyDescent="0.3">
      <c r="A594" s="316">
        <v>45943</v>
      </c>
      <c r="B594" s="316" t="s">
        <v>211</v>
      </c>
      <c r="C594" s="293" t="s">
        <v>71</v>
      </c>
      <c r="D594" s="293" t="s">
        <v>1621</v>
      </c>
      <c r="E594" s="335">
        <v>-1820.76</v>
      </c>
      <c r="F594" s="249" t="s">
        <v>8</v>
      </c>
      <c r="G594" s="254" t="s">
        <v>75</v>
      </c>
    </row>
    <row r="595" spans="1:7" s="250" customFormat="1" ht="13.8" hidden="1" x14ac:dyDescent="0.3">
      <c r="A595" s="316">
        <v>45940</v>
      </c>
      <c r="B595" s="316" t="s">
        <v>211</v>
      </c>
      <c r="C595" s="293" t="s">
        <v>17</v>
      </c>
      <c r="D595" s="253" t="s">
        <v>500</v>
      </c>
      <c r="E595" s="248">
        <v>-149.74</v>
      </c>
      <c r="F595" s="249" t="s">
        <v>8</v>
      </c>
      <c r="G595" s="254" t="s">
        <v>75</v>
      </c>
    </row>
    <row r="596" spans="1:7" s="250" customFormat="1" ht="13.8" hidden="1" x14ac:dyDescent="0.3">
      <c r="A596" s="704">
        <v>45943</v>
      </c>
      <c r="B596" s="704" t="s">
        <v>211</v>
      </c>
      <c r="C596" s="293" t="s">
        <v>31</v>
      </c>
      <c r="D596" s="293" t="s">
        <v>1791</v>
      </c>
      <c r="E596" s="248">
        <v>-144.44999999999999</v>
      </c>
      <c r="F596" s="373" t="s">
        <v>8</v>
      </c>
      <c r="G596" s="266" t="s">
        <v>111</v>
      </c>
    </row>
    <row r="597" spans="1:7" s="250" customFormat="1" ht="13.8" hidden="1" x14ac:dyDescent="0.3">
      <c r="A597" s="316">
        <v>45943</v>
      </c>
      <c r="B597" s="316" t="s">
        <v>211</v>
      </c>
      <c r="C597" s="293" t="s">
        <v>31</v>
      </c>
      <c r="D597" s="293" t="s">
        <v>1792</v>
      </c>
      <c r="E597" s="248">
        <v>-165</v>
      </c>
      <c r="F597" s="249" t="s">
        <v>8</v>
      </c>
      <c r="G597" s="254" t="s">
        <v>111</v>
      </c>
    </row>
    <row r="598" spans="1:7" s="250" customFormat="1" ht="13.8" hidden="1" x14ac:dyDescent="0.3">
      <c r="A598" s="316">
        <v>45943</v>
      </c>
      <c r="B598" s="316" t="s">
        <v>211</v>
      </c>
      <c r="C598" s="293" t="s">
        <v>31</v>
      </c>
      <c r="D598" s="293" t="s">
        <v>1765</v>
      </c>
      <c r="E598" s="248">
        <v>-190</v>
      </c>
      <c r="F598" s="249" t="s">
        <v>8</v>
      </c>
      <c r="G598" s="254" t="s">
        <v>111</v>
      </c>
    </row>
    <row r="599" spans="1:7" s="250" customFormat="1" ht="13.8" hidden="1" x14ac:dyDescent="0.3">
      <c r="A599" s="704">
        <v>45944</v>
      </c>
      <c r="B599" s="704" t="s">
        <v>211</v>
      </c>
      <c r="C599" s="395" t="s">
        <v>31</v>
      </c>
      <c r="D599" s="253" t="s">
        <v>1767</v>
      </c>
      <c r="E599" s="248">
        <v>-190.02</v>
      </c>
      <c r="F599" s="492" t="s">
        <v>8</v>
      </c>
      <c r="G599" s="266" t="s">
        <v>75</v>
      </c>
    </row>
    <row r="600" spans="1:7" s="250" customFormat="1" ht="13.2" hidden="1" customHeight="1" x14ac:dyDescent="0.3">
      <c r="A600" s="316">
        <v>45943</v>
      </c>
      <c r="B600" s="316" t="s">
        <v>211</v>
      </c>
      <c r="C600" s="293" t="s">
        <v>17</v>
      </c>
      <c r="D600" s="293" t="s">
        <v>1768</v>
      </c>
      <c r="E600" s="600">
        <v>-80.040000000000006</v>
      </c>
      <c r="F600" s="249" t="s">
        <v>8</v>
      </c>
      <c r="G600" s="254" t="s">
        <v>75</v>
      </c>
    </row>
    <row r="601" spans="1:7" s="250" customFormat="1" ht="15" hidden="1" customHeight="1" x14ac:dyDescent="0.3">
      <c r="A601" s="316">
        <v>45943</v>
      </c>
      <c r="B601" s="316" t="s">
        <v>211</v>
      </c>
      <c r="C601" s="293" t="s">
        <v>31</v>
      </c>
      <c r="D601" s="293" t="s">
        <v>1736</v>
      </c>
      <c r="E601" s="248">
        <v>-1154.1500000000001</v>
      </c>
      <c r="F601" s="249" t="s">
        <v>8</v>
      </c>
      <c r="G601" s="254" t="s">
        <v>75</v>
      </c>
    </row>
    <row r="602" spans="1:7" s="250" customFormat="1" ht="13.8" hidden="1" x14ac:dyDescent="0.3">
      <c r="A602" s="384">
        <v>45940</v>
      </c>
      <c r="B602" s="384" t="s">
        <v>211</v>
      </c>
      <c r="C602" s="296" t="s">
        <v>17</v>
      </c>
      <c r="D602" s="253" t="s">
        <v>1190</v>
      </c>
      <c r="E602" s="248">
        <v>-127.89</v>
      </c>
      <c r="F602" s="402" t="s">
        <v>8</v>
      </c>
      <c r="G602" s="254" t="s">
        <v>75</v>
      </c>
    </row>
    <row r="603" spans="1:7" s="250" customFormat="1" ht="13.8" hidden="1" x14ac:dyDescent="0.3">
      <c r="A603" s="704">
        <v>45944</v>
      </c>
      <c r="B603" s="704" t="s">
        <v>211</v>
      </c>
      <c r="C603" s="395" t="s">
        <v>17</v>
      </c>
      <c r="D603" s="253" t="s">
        <v>1766</v>
      </c>
      <c r="E603" s="248">
        <v>-302.82</v>
      </c>
      <c r="F603" s="492" t="s">
        <v>8</v>
      </c>
      <c r="G603" s="266" t="s">
        <v>75</v>
      </c>
    </row>
    <row r="604" spans="1:7" s="250" customFormat="1" ht="13.8" hidden="1" x14ac:dyDescent="0.3">
      <c r="A604" s="316">
        <v>45943</v>
      </c>
      <c r="B604" s="316" t="s">
        <v>211</v>
      </c>
      <c r="C604" s="293" t="s">
        <v>17</v>
      </c>
      <c r="D604" s="293" t="s">
        <v>1706</v>
      </c>
      <c r="E604" s="406">
        <v>-1863.75</v>
      </c>
      <c r="F604" s="249" t="s">
        <v>8</v>
      </c>
      <c r="G604" s="254" t="s">
        <v>75</v>
      </c>
    </row>
    <row r="605" spans="1:7" s="250" customFormat="1" ht="13.8" hidden="1" x14ac:dyDescent="0.3">
      <c r="A605" s="316">
        <v>45940</v>
      </c>
      <c r="B605" s="316" t="s">
        <v>211</v>
      </c>
      <c r="C605" s="293" t="s">
        <v>17</v>
      </c>
      <c r="D605" s="293" t="s">
        <v>389</v>
      </c>
      <c r="E605" s="294">
        <v>-97.33</v>
      </c>
      <c r="F605" s="249" t="s">
        <v>8</v>
      </c>
      <c r="G605" s="255" t="s">
        <v>1440</v>
      </c>
    </row>
    <row r="606" spans="1:7" s="250" customFormat="1" ht="13.8" hidden="1" x14ac:dyDescent="0.3">
      <c r="A606" s="316">
        <v>45940</v>
      </c>
      <c r="B606" s="316" t="s">
        <v>211</v>
      </c>
      <c r="C606" s="293" t="s">
        <v>25</v>
      </c>
      <c r="D606" s="253" t="s">
        <v>1558</v>
      </c>
      <c r="E606" s="294">
        <v>-900</v>
      </c>
      <c r="F606" s="249" t="s">
        <v>8</v>
      </c>
      <c r="G606" s="254" t="s">
        <v>27</v>
      </c>
    </row>
    <row r="607" spans="1:7" s="250" customFormat="1" ht="13.8" hidden="1" x14ac:dyDescent="0.3">
      <c r="A607" s="316">
        <v>45940</v>
      </c>
      <c r="B607" s="316" t="s">
        <v>211</v>
      </c>
      <c r="C607" s="296" t="s">
        <v>25</v>
      </c>
      <c r="D607" s="253" t="s">
        <v>1590</v>
      </c>
      <c r="E607" s="248">
        <v>-3750</v>
      </c>
      <c r="F607" s="249" t="s">
        <v>8</v>
      </c>
      <c r="G607" s="254" t="s">
        <v>27</v>
      </c>
    </row>
    <row r="608" spans="1:7" s="250" customFormat="1" ht="13.8" hidden="1" x14ac:dyDescent="0.3">
      <c r="A608" s="316">
        <v>45940</v>
      </c>
      <c r="B608" s="316" t="s">
        <v>211</v>
      </c>
      <c r="C608" s="371" t="s">
        <v>17</v>
      </c>
      <c r="D608" s="300" t="s">
        <v>18</v>
      </c>
      <c r="E608" s="319">
        <v>-17971</v>
      </c>
      <c r="F608" s="249" t="s">
        <v>8</v>
      </c>
      <c r="G608" s="255" t="s">
        <v>19</v>
      </c>
    </row>
    <row r="609" spans="1:7" s="210" customFormat="1" ht="13.8" hidden="1" x14ac:dyDescent="0.3">
      <c r="A609" s="375">
        <v>45947</v>
      </c>
      <c r="B609" s="375" t="s">
        <v>211</v>
      </c>
      <c r="C609" s="376" t="s">
        <v>17</v>
      </c>
      <c r="D609" s="377" t="s">
        <v>18</v>
      </c>
      <c r="E609" s="824">
        <v>-17235</v>
      </c>
      <c r="F609" s="378" t="s">
        <v>8</v>
      </c>
      <c r="G609" s="379" t="s">
        <v>19</v>
      </c>
    </row>
    <row r="610" spans="1:7" s="250" customFormat="1" ht="14.4" hidden="1" customHeight="1" x14ac:dyDescent="0.3">
      <c r="A610" s="316">
        <v>45954</v>
      </c>
      <c r="B610" s="316" t="s">
        <v>211</v>
      </c>
      <c r="C610" s="293" t="s">
        <v>31</v>
      </c>
      <c r="D610" s="293" t="s">
        <v>2173</v>
      </c>
      <c r="E610" s="248">
        <v>-105</v>
      </c>
      <c r="F610" s="249" t="s">
        <v>8</v>
      </c>
      <c r="G610" s="255" t="s">
        <v>111</v>
      </c>
    </row>
    <row r="611" spans="1:7" s="250" customFormat="1" ht="13.2" hidden="1" customHeight="1" x14ac:dyDescent="0.3">
      <c r="A611" s="316">
        <v>45954</v>
      </c>
      <c r="B611" s="316" t="s">
        <v>211</v>
      </c>
      <c r="C611" s="293" t="s">
        <v>1571</v>
      </c>
      <c r="D611" s="293" t="s">
        <v>2174</v>
      </c>
      <c r="E611" s="248">
        <v>-107</v>
      </c>
      <c r="F611" s="249" t="s">
        <v>8</v>
      </c>
      <c r="G611" s="255" t="s">
        <v>111</v>
      </c>
    </row>
    <row r="612" spans="1:7" s="210" customFormat="1" ht="13.8" hidden="1" x14ac:dyDescent="0.3">
      <c r="A612" s="375">
        <v>45958</v>
      </c>
      <c r="B612" s="375" t="s">
        <v>211</v>
      </c>
      <c r="C612" s="661" t="s">
        <v>25</v>
      </c>
      <c r="D612" s="661" t="s">
        <v>1565</v>
      </c>
      <c r="E612" s="662">
        <v>-1501.45</v>
      </c>
      <c r="F612" s="378" t="s">
        <v>8</v>
      </c>
      <c r="G612" s="209" t="s">
        <v>153</v>
      </c>
    </row>
    <row r="613" spans="1:7" s="139" customFormat="1" ht="13.8" hidden="1" x14ac:dyDescent="0.3">
      <c r="A613" s="100">
        <v>45965</v>
      </c>
      <c r="B613" s="100" t="s">
        <v>212</v>
      </c>
      <c r="C613" s="328" t="s">
        <v>71</v>
      </c>
      <c r="D613" s="1128" t="s">
        <v>74</v>
      </c>
      <c r="E613" s="329">
        <v>-195.23</v>
      </c>
      <c r="F613" s="13" t="s">
        <v>8</v>
      </c>
      <c r="G613" s="448" t="s">
        <v>73</v>
      </c>
    </row>
    <row r="614" spans="1:7" s="139" customFormat="1" ht="13.8" hidden="1" x14ac:dyDescent="0.3">
      <c r="A614" s="100">
        <v>45989</v>
      </c>
      <c r="B614" s="100" t="s">
        <v>212</v>
      </c>
      <c r="C614" s="328" t="s">
        <v>71</v>
      </c>
      <c r="D614" s="328" t="s">
        <v>2244</v>
      </c>
      <c r="E614" s="329">
        <v>-1400</v>
      </c>
      <c r="F614" s="13" t="s">
        <v>8</v>
      </c>
      <c r="G614" s="448" t="s">
        <v>1064</v>
      </c>
    </row>
    <row r="615" spans="1:7" s="250" customFormat="1" ht="13.8" hidden="1" x14ac:dyDescent="0.3">
      <c r="A615" s="316">
        <v>45960</v>
      </c>
      <c r="B615" s="316" t="s">
        <v>211</v>
      </c>
      <c r="C615" s="293" t="s">
        <v>71</v>
      </c>
      <c r="D615" s="293" t="s">
        <v>2244</v>
      </c>
      <c r="E615" s="248">
        <v>-1400</v>
      </c>
      <c r="F615" s="249" t="s">
        <v>8</v>
      </c>
      <c r="G615" s="254" t="s">
        <v>1064</v>
      </c>
    </row>
    <row r="616" spans="1:7" s="587" customFormat="1" ht="14.4" hidden="1" customHeight="1" x14ac:dyDescent="0.3">
      <c r="A616" s="1042">
        <v>45968</v>
      </c>
      <c r="B616" s="585" t="s">
        <v>212</v>
      </c>
      <c r="C616" s="744" t="s">
        <v>71</v>
      </c>
      <c r="D616" s="744" t="s">
        <v>2204</v>
      </c>
      <c r="E616" s="745">
        <v>-457.16</v>
      </c>
      <c r="F616" s="586" t="s">
        <v>8</v>
      </c>
      <c r="G616" s="591" t="s">
        <v>1279</v>
      </c>
    </row>
    <row r="617" spans="1:7" s="250" customFormat="1" ht="14.4" hidden="1" customHeight="1" x14ac:dyDescent="0.3">
      <c r="A617" s="316">
        <v>45960</v>
      </c>
      <c r="B617" s="316" t="s">
        <v>211</v>
      </c>
      <c r="C617" s="299" t="s">
        <v>421</v>
      </c>
      <c r="D617" s="293" t="s">
        <v>2190</v>
      </c>
      <c r="E617" s="248">
        <v>-7381.7</v>
      </c>
      <c r="F617" s="249" t="s">
        <v>8</v>
      </c>
      <c r="G617" s="255" t="s">
        <v>58</v>
      </c>
    </row>
    <row r="618" spans="1:7" s="210" customFormat="1" ht="13.8" hidden="1" x14ac:dyDescent="0.3">
      <c r="A618" s="375">
        <v>45958</v>
      </c>
      <c r="B618" s="375" t="s">
        <v>211</v>
      </c>
      <c r="C618" s="661" t="s">
        <v>17</v>
      </c>
      <c r="D618" s="661" t="s">
        <v>2191</v>
      </c>
      <c r="E618" s="662">
        <v>-87452.75</v>
      </c>
      <c r="F618" s="378" t="s">
        <v>8</v>
      </c>
      <c r="G618" s="379" t="s">
        <v>1931</v>
      </c>
    </row>
    <row r="619" spans="1:7" s="250" customFormat="1" hidden="1" x14ac:dyDescent="0.3">
      <c r="A619" s="316">
        <v>45961</v>
      </c>
      <c r="B619" s="316" t="s">
        <v>211</v>
      </c>
      <c r="C619" s="293" t="s">
        <v>17</v>
      </c>
      <c r="D619" s="293" t="s">
        <v>2282</v>
      </c>
      <c r="E619" s="1127">
        <v>-20000</v>
      </c>
      <c r="F619" s="249" t="s">
        <v>8</v>
      </c>
      <c r="G619" s="255" t="s">
        <v>1931</v>
      </c>
    </row>
    <row r="620" spans="1:7" s="210" customFormat="1" hidden="1" x14ac:dyDescent="0.3">
      <c r="A620" s="375">
        <v>45961</v>
      </c>
      <c r="B620" s="375" t="s">
        <v>211</v>
      </c>
      <c r="C620" s="661" t="s">
        <v>17</v>
      </c>
      <c r="D620" s="661" t="s">
        <v>2283</v>
      </c>
      <c r="E620" s="1112">
        <v>-40517.96</v>
      </c>
      <c r="F620" s="378" t="s">
        <v>8</v>
      </c>
      <c r="G620" s="379" t="s">
        <v>1931</v>
      </c>
    </row>
    <row r="621" spans="1:7" s="210" customFormat="1" ht="13.8" hidden="1" x14ac:dyDescent="0.3">
      <c r="A621" s="375">
        <v>45958</v>
      </c>
      <c r="B621" s="375" t="s">
        <v>211</v>
      </c>
      <c r="C621" s="661" t="s">
        <v>33</v>
      </c>
      <c r="D621" s="661" t="s">
        <v>2236</v>
      </c>
      <c r="E621" s="1034">
        <v>-111.06</v>
      </c>
      <c r="F621" s="378" t="s">
        <v>8</v>
      </c>
      <c r="G621" s="379" t="s">
        <v>746</v>
      </c>
    </row>
    <row r="622" spans="1:7" s="210" customFormat="1" ht="13.8" hidden="1" x14ac:dyDescent="0.3">
      <c r="A622" s="375">
        <v>45958</v>
      </c>
      <c r="B622" s="375" t="s">
        <v>211</v>
      </c>
      <c r="C622" s="376" t="s">
        <v>17</v>
      </c>
      <c r="D622" s="376" t="s">
        <v>18</v>
      </c>
      <c r="E622" s="824">
        <v>-13041.15</v>
      </c>
      <c r="F622" s="378" t="s">
        <v>8</v>
      </c>
      <c r="G622" s="379" t="s">
        <v>19</v>
      </c>
    </row>
    <row r="623" spans="1:7" s="250" customFormat="1" ht="13.8" hidden="1" x14ac:dyDescent="0.3">
      <c r="A623" s="251">
        <v>45961</v>
      </c>
      <c r="B623" s="316" t="s">
        <v>211</v>
      </c>
      <c r="C623" s="293" t="s">
        <v>44</v>
      </c>
      <c r="D623" s="293" t="s">
        <v>561</v>
      </c>
      <c r="E623" s="248">
        <v>-3968.99</v>
      </c>
      <c r="F623" s="249" t="s">
        <v>8</v>
      </c>
      <c r="G623" s="254" t="s">
        <v>186</v>
      </c>
    </row>
    <row r="624" spans="1:7" s="1111" customFormat="1" ht="13.8" hidden="1" x14ac:dyDescent="0.3">
      <c r="A624" s="404">
        <v>45961</v>
      </c>
      <c r="B624" s="384" t="s">
        <v>211</v>
      </c>
      <c r="C624" s="405" t="s">
        <v>17</v>
      </c>
      <c r="D624" s="293" t="s">
        <v>2218</v>
      </c>
      <c r="E624" s="248">
        <v>-2570.75</v>
      </c>
      <c r="F624" s="402" t="s">
        <v>8</v>
      </c>
      <c r="G624" s="403" t="s">
        <v>186</v>
      </c>
    </row>
    <row r="625" spans="1:7" s="151" customFormat="1" ht="13.8" hidden="1" x14ac:dyDescent="0.3">
      <c r="A625" s="78">
        <v>45992</v>
      </c>
      <c r="B625" s="100" t="s">
        <v>216</v>
      </c>
      <c r="C625" s="328" t="s">
        <v>17</v>
      </c>
      <c r="D625" s="328" t="s">
        <v>1876</v>
      </c>
      <c r="E625" s="725">
        <v>-2570.75</v>
      </c>
      <c r="F625" s="13" t="s">
        <v>8</v>
      </c>
      <c r="G625" s="9" t="s">
        <v>186</v>
      </c>
    </row>
    <row r="626" spans="1:7" s="151" customFormat="1" ht="13.8" hidden="1" x14ac:dyDescent="0.3">
      <c r="A626" s="782">
        <v>46022</v>
      </c>
      <c r="B626" s="146" t="s">
        <v>216</v>
      </c>
      <c r="C626" s="739" t="s">
        <v>17</v>
      </c>
      <c r="D626" s="739" t="s">
        <v>1877</v>
      </c>
      <c r="E626" s="783">
        <v>-2570.75</v>
      </c>
      <c r="F626" s="110" t="s">
        <v>8</v>
      </c>
      <c r="G626" s="70" t="s">
        <v>186</v>
      </c>
    </row>
    <row r="627" spans="1:7" s="1111" customFormat="1" ht="13.8" hidden="1" x14ac:dyDescent="0.3">
      <c r="A627" s="251">
        <v>45961</v>
      </c>
      <c r="B627" s="316" t="s">
        <v>211</v>
      </c>
      <c r="C627" s="293" t="s">
        <v>25</v>
      </c>
      <c r="D627" s="293" t="s">
        <v>2188</v>
      </c>
      <c r="E627" s="248">
        <v>-167.82</v>
      </c>
      <c r="F627" s="249" t="s">
        <v>8</v>
      </c>
      <c r="G627" s="403" t="s">
        <v>75</v>
      </c>
    </row>
    <row r="628" spans="1:7" s="1111" customFormat="1" ht="13.8" hidden="1" x14ac:dyDescent="0.3">
      <c r="A628" s="251">
        <v>45961</v>
      </c>
      <c r="B628" s="316" t="s">
        <v>211</v>
      </c>
      <c r="C628" s="293" t="s">
        <v>25</v>
      </c>
      <c r="D628" s="293" t="s">
        <v>1409</v>
      </c>
      <c r="E628" s="248">
        <v>-286.27999999999997</v>
      </c>
      <c r="F628" s="249" t="s">
        <v>8</v>
      </c>
      <c r="G628" s="403" t="s">
        <v>75</v>
      </c>
    </row>
    <row r="629" spans="1:7" s="1111" customFormat="1" ht="13.8" hidden="1" x14ac:dyDescent="0.3">
      <c r="A629" s="251">
        <v>45961</v>
      </c>
      <c r="B629" s="316" t="s">
        <v>211</v>
      </c>
      <c r="C629" s="293" t="s">
        <v>25</v>
      </c>
      <c r="D629" s="293" t="s">
        <v>1388</v>
      </c>
      <c r="E629" s="248">
        <v>-380.1</v>
      </c>
      <c r="F629" s="249" t="s">
        <v>8</v>
      </c>
      <c r="G629" s="403" t="s">
        <v>75</v>
      </c>
    </row>
    <row r="630" spans="1:7" s="1111" customFormat="1" ht="13.8" hidden="1" x14ac:dyDescent="0.3">
      <c r="A630" s="251">
        <v>45961</v>
      </c>
      <c r="B630" s="316" t="s">
        <v>211</v>
      </c>
      <c r="C630" s="293" t="s">
        <v>6</v>
      </c>
      <c r="D630" s="293" t="s">
        <v>1365</v>
      </c>
      <c r="E630" s="248">
        <v>-3069.44</v>
      </c>
      <c r="F630" s="249" t="s">
        <v>8</v>
      </c>
      <c r="G630" s="403" t="s">
        <v>75</v>
      </c>
    </row>
    <row r="631" spans="1:7" s="1111" customFormat="1" ht="13.8" hidden="1" x14ac:dyDescent="0.3">
      <c r="A631" s="251">
        <v>45961</v>
      </c>
      <c r="B631" s="316" t="s">
        <v>211</v>
      </c>
      <c r="C631" s="293" t="s">
        <v>71</v>
      </c>
      <c r="D631" s="293" t="s">
        <v>2204</v>
      </c>
      <c r="E631" s="248">
        <v>-462.41</v>
      </c>
      <c r="F631" s="249" t="s">
        <v>8</v>
      </c>
      <c r="G631" s="403" t="s">
        <v>1279</v>
      </c>
    </row>
    <row r="632" spans="1:7" s="1111" customFormat="1" ht="13.8" hidden="1" x14ac:dyDescent="0.3">
      <c r="A632" s="251">
        <v>45961</v>
      </c>
      <c r="B632" s="316" t="s">
        <v>211</v>
      </c>
      <c r="C632" s="293" t="s">
        <v>32</v>
      </c>
      <c r="D632" s="293" t="s">
        <v>1616</v>
      </c>
      <c r="E632" s="248">
        <v>-715.58</v>
      </c>
      <c r="F632" s="249" t="s">
        <v>8</v>
      </c>
      <c r="G632" s="403" t="s">
        <v>75</v>
      </c>
    </row>
    <row r="633" spans="1:7" s="250" customFormat="1" ht="13.8" hidden="1" x14ac:dyDescent="0.3">
      <c r="A633" s="997">
        <v>45964</v>
      </c>
      <c r="B633" s="384" t="s">
        <v>212</v>
      </c>
      <c r="C633" s="385" t="s">
        <v>17</v>
      </c>
      <c r="D633" s="386" t="s">
        <v>2281</v>
      </c>
      <c r="E633" s="430">
        <v>-13041.15</v>
      </c>
      <c r="F633" s="402" t="s">
        <v>8</v>
      </c>
      <c r="G633" s="408" t="s">
        <v>19</v>
      </c>
    </row>
    <row r="634" spans="1:7" s="143" customFormat="1" ht="13.8" hidden="1" x14ac:dyDescent="0.3">
      <c r="A634" s="123">
        <v>45961</v>
      </c>
      <c r="B634" s="123" t="s">
        <v>211</v>
      </c>
      <c r="C634" s="120" t="s">
        <v>163</v>
      </c>
      <c r="D634" s="29" t="s">
        <v>164</v>
      </c>
      <c r="E634" s="53">
        <v>799.2</v>
      </c>
      <c r="F634" s="55" t="s">
        <v>161</v>
      </c>
      <c r="G634" s="61" t="s">
        <v>162</v>
      </c>
    </row>
    <row r="635" spans="1:7" s="143" customFormat="1" ht="13.8" hidden="1" x14ac:dyDescent="0.3">
      <c r="A635" s="123">
        <v>45961</v>
      </c>
      <c r="B635" s="123" t="s">
        <v>211</v>
      </c>
      <c r="C635" s="120" t="s">
        <v>163</v>
      </c>
      <c r="D635" s="29" t="s">
        <v>164</v>
      </c>
      <c r="E635" s="1104">
        <v>18532.8</v>
      </c>
      <c r="F635" s="55" t="s">
        <v>161</v>
      </c>
      <c r="G635" s="61" t="s">
        <v>162</v>
      </c>
    </row>
    <row r="636" spans="1:7" s="143" customFormat="1" ht="13.8" hidden="1" x14ac:dyDescent="0.3">
      <c r="A636" s="123">
        <v>45961</v>
      </c>
      <c r="B636" s="123" t="s">
        <v>211</v>
      </c>
      <c r="C636" s="120" t="s">
        <v>159</v>
      </c>
      <c r="D636" s="29" t="s">
        <v>160</v>
      </c>
      <c r="E636" s="1104">
        <v>23638.67</v>
      </c>
      <c r="F636" s="55" t="s">
        <v>161</v>
      </c>
      <c r="G636" s="61" t="s">
        <v>162</v>
      </c>
    </row>
    <row r="637" spans="1:7" s="143" customFormat="1" hidden="1" x14ac:dyDescent="0.3">
      <c r="A637" s="123">
        <v>45961</v>
      </c>
      <c r="B637" s="123" t="s">
        <v>211</v>
      </c>
      <c r="C637" s="120" t="s">
        <v>177</v>
      </c>
      <c r="D637" s="604" t="s">
        <v>183</v>
      </c>
      <c r="E637" s="1109">
        <v>1248.68</v>
      </c>
      <c r="F637" s="55" t="s">
        <v>161</v>
      </c>
      <c r="G637" s="61" t="s">
        <v>162</v>
      </c>
    </row>
    <row r="638" spans="1:7" s="143" customFormat="1" hidden="1" x14ac:dyDescent="0.3">
      <c r="A638" s="123">
        <v>45961</v>
      </c>
      <c r="B638" s="123" t="s">
        <v>211</v>
      </c>
      <c r="C638" s="120" t="s">
        <v>17</v>
      </c>
      <c r="D638" s="604" t="s">
        <v>2270</v>
      </c>
      <c r="E638" s="1109">
        <v>8705.7000000000007</v>
      </c>
      <c r="F638" s="55" t="s">
        <v>161</v>
      </c>
      <c r="G638" s="61" t="s">
        <v>162</v>
      </c>
    </row>
    <row r="639" spans="1:7" s="143" customFormat="1" ht="13.8" x14ac:dyDescent="0.3">
      <c r="A639" s="123">
        <v>45985</v>
      </c>
      <c r="B639" s="123" t="s">
        <v>212</v>
      </c>
      <c r="C639" s="120" t="s">
        <v>165</v>
      </c>
      <c r="D639" s="29" t="s">
        <v>2338</v>
      </c>
      <c r="E639" s="53">
        <v>22451.91</v>
      </c>
      <c r="F639" s="55" t="s">
        <v>161</v>
      </c>
      <c r="G639" s="61" t="s">
        <v>162</v>
      </c>
    </row>
    <row r="640" spans="1:7" s="143" customFormat="1" ht="13.8" hidden="1" x14ac:dyDescent="0.3">
      <c r="A640" s="123">
        <v>45961</v>
      </c>
      <c r="B640" s="123" t="s">
        <v>211</v>
      </c>
      <c r="C640" s="120" t="s">
        <v>167</v>
      </c>
      <c r="D640" s="29" t="s">
        <v>168</v>
      </c>
      <c r="E640" s="1104">
        <v>14482.07</v>
      </c>
      <c r="F640" s="55" t="s">
        <v>161</v>
      </c>
      <c r="G640" s="61" t="s">
        <v>162</v>
      </c>
    </row>
    <row r="641" spans="1:7" s="143" customFormat="1" hidden="1" x14ac:dyDescent="0.3">
      <c r="A641" s="123">
        <v>45961</v>
      </c>
      <c r="B641" s="123" t="s">
        <v>211</v>
      </c>
      <c r="C641" s="120" t="s">
        <v>167</v>
      </c>
      <c r="D641" s="29" t="s">
        <v>168</v>
      </c>
      <c r="E641" s="211">
        <v>23943.3</v>
      </c>
      <c r="F641" s="55" t="s">
        <v>161</v>
      </c>
      <c r="G641" s="61" t="s">
        <v>162</v>
      </c>
    </row>
    <row r="642" spans="1:7" s="143" customFormat="1" ht="13.8" hidden="1" x14ac:dyDescent="0.3">
      <c r="A642" s="123">
        <v>45961</v>
      </c>
      <c r="B642" s="123" t="s">
        <v>211</v>
      </c>
      <c r="C642" s="120" t="s">
        <v>167</v>
      </c>
      <c r="D642" s="29" t="s">
        <v>168</v>
      </c>
      <c r="E642" s="1105">
        <v>21852.37</v>
      </c>
      <c r="F642" s="55" t="s">
        <v>161</v>
      </c>
      <c r="G642" s="61" t="s">
        <v>162</v>
      </c>
    </row>
    <row r="643" spans="1:7" s="143" customFormat="1" hidden="1" x14ac:dyDescent="0.3">
      <c r="A643" s="123">
        <v>45961</v>
      </c>
      <c r="B643" s="123" t="s">
        <v>211</v>
      </c>
      <c r="C643" s="120" t="s">
        <v>167</v>
      </c>
      <c r="D643" s="29" t="s">
        <v>168</v>
      </c>
      <c r="E643" s="211">
        <v>4983</v>
      </c>
      <c r="F643" s="55" t="s">
        <v>161</v>
      </c>
      <c r="G643" s="61" t="s">
        <v>162</v>
      </c>
    </row>
    <row r="644" spans="1:7" s="143" customFormat="1" hidden="1" x14ac:dyDescent="0.3">
      <c r="A644" s="123">
        <v>45961</v>
      </c>
      <c r="B644" s="123" t="s">
        <v>211</v>
      </c>
      <c r="C644" s="120" t="s">
        <v>167</v>
      </c>
      <c r="D644" s="29" t="s">
        <v>168</v>
      </c>
      <c r="E644" s="211">
        <v>1200</v>
      </c>
      <c r="F644" s="55" t="s">
        <v>161</v>
      </c>
      <c r="G644" s="61" t="s">
        <v>162</v>
      </c>
    </row>
    <row r="645" spans="1:7" s="143" customFormat="1" hidden="1" x14ac:dyDescent="0.3">
      <c r="A645" s="123">
        <v>45961</v>
      </c>
      <c r="B645" s="123" t="s">
        <v>211</v>
      </c>
      <c r="C645" s="120" t="s">
        <v>167</v>
      </c>
      <c r="D645" s="29" t="s">
        <v>168</v>
      </c>
      <c r="E645" s="211">
        <v>1500</v>
      </c>
      <c r="F645" s="55" t="s">
        <v>161</v>
      </c>
      <c r="G645" s="61" t="s">
        <v>162</v>
      </c>
    </row>
    <row r="646" spans="1:7" s="143" customFormat="1" ht="13.8" hidden="1" x14ac:dyDescent="0.3">
      <c r="A646" s="123">
        <v>45961</v>
      </c>
      <c r="B646" s="123" t="s">
        <v>211</v>
      </c>
      <c r="C646" s="120" t="s">
        <v>167</v>
      </c>
      <c r="D646" s="29" t="s">
        <v>168</v>
      </c>
      <c r="E646" s="1105">
        <v>196</v>
      </c>
      <c r="F646" s="55" t="s">
        <v>161</v>
      </c>
      <c r="G646" s="61" t="s">
        <v>162</v>
      </c>
    </row>
    <row r="647" spans="1:7" s="267" customFormat="1" ht="13.8" hidden="1" x14ac:dyDescent="0.3">
      <c r="A647" s="316">
        <v>45940</v>
      </c>
      <c r="B647" s="316" t="s">
        <v>211</v>
      </c>
      <c r="C647" s="296" t="s">
        <v>25</v>
      </c>
      <c r="D647" s="293" t="s">
        <v>1787</v>
      </c>
      <c r="E647" s="248">
        <v>-471.72</v>
      </c>
      <c r="F647" s="249" t="s">
        <v>8</v>
      </c>
      <c r="G647" s="254" t="s">
        <v>51</v>
      </c>
    </row>
    <row r="648" spans="1:7" s="267" customFormat="1" ht="13.8" hidden="1" x14ac:dyDescent="0.3">
      <c r="A648" s="316">
        <v>45940</v>
      </c>
      <c r="B648" s="316" t="s">
        <v>211</v>
      </c>
      <c r="C648" s="296" t="s">
        <v>25</v>
      </c>
      <c r="D648" s="293" t="s">
        <v>1788</v>
      </c>
      <c r="E648" s="248">
        <v>-30</v>
      </c>
      <c r="F648" s="249" t="s">
        <v>8</v>
      </c>
      <c r="G648" s="254" t="s">
        <v>51</v>
      </c>
    </row>
    <row r="649" spans="1:7" s="267" customFormat="1" ht="13.8" hidden="1" x14ac:dyDescent="0.3">
      <c r="A649" s="316">
        <v>45940</v>
      </c>
      <c r="B649" s="316" t="s">
        <v>211</v>
      </c>
      <c r="C649" s="296" t="s">
        <v>31</v>
      </c>
      <c r="D649" s="293" t="s">
        <v>1735</v>
      </c>
      <c r="E649" s="248">
        <v>-10</v>
      </c>
      <c r="F649" s="249" t="s">
        <v>8</v>
      </c>
      <c r="G649" s="254" t="s">
        <v>51</v>
      </c>
    </row>
    <row r="650" spans="1:7" s="267" customFormat="1" ht="13.8" hidden="1" x14ac:dyDescent="0.3">
      <c r="A650" s="316">
        <v>45940</v>
      </c>
      <c r="B650" s="316" t="s">
        <v>211</v>
      </c>
      <c r="C650" s="296" t="s">
        <v>1571</v>
      </c>
      <c r="D650" s="293" t="s">
        <v>1771</v>
      </c>
      <c r="E650" s="248">
        <v>-115.18</v>
      </c>
      <c r="F650" s="249" t="s">
        <v>8</v>
      </c>
      <c r="G650" s="254" t="s">
        <v>51</v>
      </c>
    </row>
    <row r="651" spans="1:7" s="250" customFormat="1" ht="13.8" hidden="1" x14ac:dyDescent="0.3">
      <c r="A651" s="316">
        <v>45940</v>
      </c>
      <c r="B651" s="316" t="s">
        <v>211</v>
      </c>
      <c r="C651" s="296" t="s">
        <v>31</v>
      </c>
      <c r="D651" s="293" t="s">
        <v>1786</v>
      </c>
      <c r="E651" s="248">
        <v>-103.02</v>
      </c>
      <c r="F651" s="249" t="s">
        <v>8</v>
      </c>
      <c r="G651" s="254" t="s">
        <v>51</v>
      </c>
    </row>
    <row r="652" spans="1:7" s="250" customFormat="1" ht="13.8" hidden="1" x14ac:dyDescent="0.3">
      <c r="A652" s="316">
        <v>45940</v>
      </c>
      <c r="B652" s="316" t="s">
        <v>211</v>
      </c>
      <c r="C652" s="296" t="s">
        <v>31</v>
      </c>
      <c r="D652" s="293" t="s">
        <v>1785</v>
      </c>
      <c r="E652" s="248">
        <v>-96</v>
      </c>
      <c r="F652" s="249" t="s">
        <v>8</v>
      </c>
      <c r="G652" s="254" t="s">
        <v>51</v>
      </c>
    </row>
    <row r="653" spans="1:7" s="250" customFormat="1" ht="13.8" hidden="1" x14ac:dyDescent="0.3">
      <c r="A653" s="316">
        <v>45940</v>
      </c>
      <c r="B653" s="316" t="s">
        <v>211</v>
      </c>
      <c r="C653" s="296" t="s">
        <v>33</v>
      </c>
      <c r="D653" s="293" t="s">
        <v>1732</v>
      </c>
      <c r="E653" s="248">
        <v>-34.340000000000003</v>
      </c>
      <c r="F653" s="249" t="s">
        <v>8</v>
      </c>
      <c r="G653" s="254" t="s">
        <v>51</v>
      </c>
    </row>
    <row r="654" spans="1:7" s="250" customFormat="1" ht="13.8" hidden="1" x14ac:dyDescent="0.3">
      <c r="A654" s="316">
        <v>45940</v>
      </c>
      <c r="B654" s="316" t="s">
        <v>211</v>
      </c>
      <c r="C654" s="293" t="s">
        <v>25</v>
      </c>
      <c r="D654" s="253" t="s">
        <v>695</v>
      </c>
      <c r="E654" s="248">
        <v>-295.2</v>
      </c>
      <c r="F654" s="249" t="s">
        <v>8</v>
      </c>
      <c r="G654" s="254" t="s">
        <v>82</v>
      </c>
    </row>
    <row r="655" spans="1:7" s="250" customFormat="1" ht="13.8" hidden="1" x14ac:dyDescent="0.3">
      <c r="A655" s="316">
        <v>45940</v>
      </c>
      <c r="B655" s="316" t="s">
        <v>211</v>
      </c>
      <c r="C655" s="293" t="s">
        <v>17</v>
      </c>
      <c r="D655" s="253" t="s">
        <v>1763</v>
      </c>
      <c r="E655" s="248">
        <v>-233.7</v>
      </c>
      <c r="F655" s="249" t="s">
        <v>8</v>
      </c>
      <c r="G655" s="254" t="s">
        <v>82</v>
      </c>
    </row>
    <row r="656" spans="1:7" s="250" customFormat="1" ht="13.8" hidden="1" x14ac:dyDescent="0.3">
      <c r="A656" s="316">
        <v>45940</v>
      </c>
      <c r="B656" s="316" t="s">
        <v>211</v>
      </c>
      <c r="C656" s="293" t="s">
        <v>17</v>
      </c>
      <c r="D656" s="253" t="s">
        <v>1764</v>
      </c>
      <c r="E656" s="248">
        <v>-233.7</v>
      </c>
      <c r="F656" s="249" t="s">
        <v>8</v>
      </c>
      <c r="G656" s="254" t="s">
        <v>82</v>
      </c>
    </row>
    <row r="657" spans="1:7" s="250" customFormat="1" ht="13.8" hidden="1" x14ac:dyDescent="0.3">
      <c r="A657" s="316">
        <v>45940</v>
      </c>
      <c r="B657" s="316" t="s">
        <v>211</v>
      </c>
      <c r="C657" s="293" t="s">
        <v>32</v>
      </c>
      <c r="D657" s="293" t="s">
        <v>1771</v>
      </c>
      <c r="E657" s="248">
        <v>-148.34</v>
      </c>
      <c r="F657" s="249" t="s">
        <v>8</v>
      </c>
      <c r="G657" s="254" t="s">
        <v>51</v>
      </c>
    </row>
    <row r="658" spans="1:7" s="250" customFormat="1" ht="13.8" hidden="1" x14ac:dyDescent="0.3">
      <c r="A658" s="316">
        <v>45940</v>
      </c>
      <c r="B658" s="316" t="s">
        <v>211</v>
      </c>
      <c r="C658" s="293" t="s">
        <v>32</v>
      </c>
      <c r="D658" s="293" t="s">
        <v>1762</v>
      </c>
      <c r="E658" s="248">
        <v>-150</v>
      </c>
      <c r="F658" s="249" t="s">
        <v>8</v>
      </c>
      <c r="G658" s="254" t="s">
        <v>111</v>
      </c>
    </row>
    <row r="659" spans="1:7" s="250" customFormat="1" ht="13.8" hidden="1" x14ac:dyDescent="0.3">
      <c r="A659" s="404">
        <v>45940</v>
      </c>
      <c r="B659" s="384" t="s">
        <v>211</v>
      </c>
      <c r="C659" s="731" t="s">
        <v>31</v>
      </c>
      <c r="D659" s="405" t="s">
        <v>1784</v>
      </c>
      <c r="E659" s="406">
        <v>-1133.3399999999999</v>
      </c>
      <c r="F659" s="402" t="s">
        <v>8</v>
      </c>
      <c r="G659" s="403" t="s">
        <v>186</v>
      </c>
    </row>
    <row r="660" spans="1:7" s="250" customFormat="1" ht="13.8" hidden="1" x14ac:dyDescent="0.3">
      <c r="A660" s="404">
        <v>45940</v>
      </c>
      <c r="B660" s="384" t="s">
        <v>211</v>
      </c>
      <c r="C660" s="731" t="s">
        <v>31</v>
      </c>
      <c r="D660" s="435" t="s">
        <v>609</v>
      </c>
      <c r="E660" s="406">
        <v>-1000</v>
      </c>
      <c r="F660" s="402" t="s">
        <v>8</v>
      </c>
      <c r="G660" s="403" t="s">
        <v>186</v>
      </c>
    </row>
    <row r="661" spans="1:7" s="250" customFormat="1" ht="14.4" hidden="1" customHeight="1" x14ac:dyDescent="0.3">
      <c r="A661" s="316">
        <v>45945</v>
      </c>
      <c r="B661" s="316" t="s">
        <v>211</v>
      </c>
      <c r="C661" s="293" t="s">
        <v>17</v>
      </c>
      <c r="D661" s="293" t="s">
        <v>84</v>
      </c>
      <c r="E661" s="248">
        <v>-5127.8599999999997</v>
      </c>
      <c r="F661" s="249" t="s">
        <v>8</v>
      </c>
      <c r="G661" s="254" t="s">
        <v>75</v>
      </c>
    </row>
    <row r="662" spans="1:7" s="250" customFormat="1" ht="13.8" hidden="1" x14ac:dyDescent="0.3">
      <c r="A662" s="316">
        <v>45945</v>
      </c>
      <c r="B662" s="316" t="s">
        <v>211</v>
      </c>
      <c r="C662" s="293" t="s">
        <v>6</v>
      </c>
      <c r="D662" s="293" t="s">
        <v>1921</v>
      </c>
      <c r="E662" s="248">
        <v>-1154.57</v>
      </c>
      <c r="F662" s="249" t="s">
        <v>8</v>
      </c>
      <c r="G662" s="254" t="s">
        <v>68</v>
      </c>
    </row>
    <row r="663" spans="1:7" s="250" customFormat="1" ht="13.8" hidden="1" x14ac:dyDescent="0.3">
      <c r="A663" s="316">
        <v>45945</v>
      </c>
      <c r="B663" s="316" t="s">
        <v>211</v>
      </c>
      <c r="C663" s="293" t="s">
        <v>17</v>
      </c>
      <c r="D663" s="293" t="s">
        <v>1803</v>
      </c>
      <c r="E663" s="248">
        <v>-107</v>
      </c>
      <c r="F663" s="249" t="s">
        <v>8</v>
      </c>
      <c r="G663" s="254" t="s">
        <v>111</v>
      </c>
    </row>
    <row r="664" spans="1:7" s="250" customFormat="1" ht="13.8" hidden="1" x14ac:dyDescent="0.3">
      <c r="A664" s="316">
        <v>45945</v>
      </c>
      <c r="B664" s="316" t="s">
        <v>211</v>
      </c>
      <c r="C664" s="293" t="s">
        <v>44</v>
      </c>
      <c r="D664" s="293" t="s">
        <v>1920</v>
      </c>
      <c r="E664" s="248">
        <v>-130</v>
      </c>
      <c r="F664" s="249" t="s">
        <v>8</v>
      </c>
      <c r="G664" s="255" t="s">
        <v>82</v>
      </c>
    </row>
    <row r="665" spans="1:7" s="250" customFormat="1" ht="13.8" hidden="1" x14ac:dyDescent="0.3">
      <c r="A665" s="316">
        <v>45945</v>
      </c>
      <c r="B665" s="316" t="s">
        <v>211</v>
      </c>
      <c r="C665" s="293" t="s">
        <v>25</v>
      </c>
      <c r="D665" s="293" t="s">
        <v>384</v>
      </c>
      <c r="E665" s="248">
        <v>-287.7</v>
      </c>
      <c r="F665" s="249" t="s">
        <v>8</v>
      </c>
      <c r="G665" s="255" t="s">
        <v>82</v>
      </c>
    </row>
    <row r="666" spans="1:7" s="250" customFormat="1" ht="13.8" hidden="1" x14ac:dyDescent="0.3">
      <c r="A666" s="316">
        <v>45945</v>
      </c>
      <c r="B666" s="316" t="s">
        <v>211</v>
      </c>
      <c r="C666" s="293" t="s">
        <v>32</v>
      </c>
      <c r="D666" s="293" t="s">
        <v>26</v>
      </c>
      <c r="E666" s="248">
        <v>-55</v>
      </c>
      <c r="F666" s="249" t="s">
        <v>8</v>
      </c>
      <c r="G666" s="255" t="s">
        <v>82</v>
      </c>
    </row>
    <row r="667" spans="1:7" s="250" customFormat="1" ht="13.8" hidden="1" x14ac:dyDescent="0.3">
      <c r="A667" s="316">
        <v>45945</v>
      </c>
      <c r="B667" s="316" t="s">
        <v>211</v>
      </c>
      <c r="C667" s="293" t="s">
        <v>71</v>
      </c>
      <c r="D667" s="293" t="s">
        <v>498</v>
      </c>
      <c r="E667" s="248">
        <v>-85</v>
      </c>
      <c r="F667" s="249" t="s">
        <v>8</v>
      </c>
      <c r="G667" s="255" t="s">
        <v>82</v>
      </c>
    </row>
    <row r="668" spans="1:7" s="250" customFormat="1" ht="13.8" hidden="1" x14ac:dyDescent="0.3">
      <c r="A668" s="316">
        <v>45945</v>
      </c>
      <c r="B668" s="316" t="s">
        <v>211</v>
      </c>
      <c r="C668" s="293" t="s">
        <v>17</v>
      </c>
      <c r="D668" s="293" t="s">
        <v>491</v>
      </c>
      <c r="E668" s="248">
        <v>-115</v>
      </c>
      <c r="F668" s="249" t="s">
        <v>8</v>
      </c>
      <c r="G668" s="255" t="s">
        <v>82</v>
      </c>
    </row>
    <row r="669" spans="1:7" s="250" customFormat="1" ht="13.8" hidden="1" x14ac:dyDescent="0.3">
      <c r="A669" s="322">
        <v>45945</v>
      </c>
      <c r="B669" s="322" t="s">
        <v>211</v>
      </c>
      <c r="C669" s="372" t="s">
        <v>71</v>
      </c>
      <c r="D669" s="372" t="s">
        <v>1026</v>
      </c>
      <c r="E669" s="248">
        <v>-900</v>
      </c>
      <c r="F669" s="249" t="s">
        <v>8</v>
      </c>
      <c r="G669" s="254" t="s">
        <v>1064</v>
      </c>
    </row>
    <row r="670" spans="1:7" s="250" customFormat="1" ht="14.4" hidden="1" customHeight="1" x14ac:dyDescent="0.3">
      <c r="A670" s="316">
        <v>45954</v>
      </c>
      <c r="B670" s="316" t="s">
        <v>211</v>
      </c>
      <c r="C670" s="293" t="s">
        <v>1571</v>
      </c>
      <c r="D670" s="293" t="s">
        <v>1945</v>
      </c>
      <c r="E670" s="248">
        <v>-524.16</v>
      </c>
      <c r="F670" s="249" t="s">
        <v>8</v>
      </c>
      <c r="G670" s="254" t="s">
        <v>75</v>
      </c>
    </row>
    <row r="671" spans="1:7" s="250" customFormat="1" ht="13.8" hidden="1" x14ac:dyDescent="0.3">
      <c r="A671" s="316">
        <v>45954</v>
      </c>
      <c r="B671" s="316" t="s">
        <v>211</v>
      </c>
      <c r="C671" s="293" t="s">
        <v>71</v>
      </c>
      <c r="D671" s="293" t="s">
        <v>1946</v>
      </c>
      <c r="E671" s="248">
        <v>-1221.99</v>
      </c>
      <c r="F671" s="249" t="s">
        <v>8</v>
      </c>
      <c r="G671" s="254" t="s">
        <v>75</v>
      </c>
    </row>
    <row r="672" spans="1:7" s="250" customFormat="1" ht="13.8" hidden="1" x14ac:dyDescent="0.3">
      <c r="A672" s="251">
        <v>45954</v>
      </c>
      <c r="B672" s="316" t="s">
        <v>211</v>
      </c>
      <c r="C672" s="293" t="s">
        <v>25</v>
      </c>
      <c r="D672" s="293" t="s">
        <v>1963</v>
      </c>
      <c r="E672" s="248">
        <v>-1078.6600000000001</v>
      </c>
      <c r="F672" s="249" t="s">
        <v>8</v>
      </c>
      <c r="G672" s="254" t="s">
        <v>75</v>
      </c>
    </row>
    <row r="673" spans="1:7" s="250" customFormat="1" ht="13.8" hidden="1" x14ac:dyDescent="0.3">
      <c r="A673" s="316">
        <v>45954</v>
      </c>
      <c r="B673" s="316" t="s">
        <v>211</v>
      </c>
      <c r="C673" s="293" t="s">
        <v>1571</v>
      </c>
      <c r="D673" s="293" t="s">
        <v>1971</v>
      </c>
      <c r="E673" s="248">
        <v>-18</v>
      </c>
      <c r="F673" s="249" t="s">
        <v>8</v>
      </c>
      <c r="G673" s="254" t="s">
        <v>82</v>
      </c>
    </row>
    <row r="674" spans="1:7" s="250" customFormat="1" ht="13.8" hidden="1" x14ac:dyDescent="0.3">
      <c r="A674" s="316">
        <v>45954</v>
      </c>
      <c r="B674" s="316" t="s">
        <v>211</v>
      </c>
      <c r="C674" s="293" t="s">
        <v>1571</v>
      </c>
      <c r="D674" s="293" t="s">
        <v>1804</v>
      </c>
      <c r="E674" s="248">
        <v>-456.72</v>
      </c>
      <c r="F674" s="249" t="s">
        <v>8</v>
      </c>
      <c r="G674" s="255" t="s">
        <v>19</v>
      </c>
    </row>
    <row r="675" spans="1:7" s="250" customFormat="1" ht="13.8" hidden="1" x14ac:dyDescent="0.3">
      <c r="A675" s="316">
        <v>45954</v>
      </c>
      <c r="B675" s="316" t="s">
        <v>211</v>
      </c>
      <c r="C675" s="293" t="s">
        <v>1571</v>
      </c>
      <c r="D675" s="293" t="s">
        <v>1869</v>
      </c>
      <c r="E675" s="248">
        <v>-290.64</v>
      </c>
      <c r="F675" s="249" t="s">
        <v>8</v>
      </c>
      <c r="G675" s="255" t="s">
        <v>19</v>
      </c>
    </row>
    <row r="676" spans="1:7" s="250" customFormat="1" ht="13.8" hidden="1" x14ac:dyDescent="0.3">
      <c r="A676" s="251">
        <v>45954</v>
      </c>
      <c r="B676" s="316" t="s">
        <v>211</v>
      </c>
      <c r="C676" s="293" t="s">
        <v>25</v>
      </c>
      <c r="D676" s="293" t="s">
        <v>1962</v>
      </c>
      <c r="E676" s="248">
        <v>-1500</v>
      </c>
      <c r="F676" s="254" t="s">
        <v>8</v>
      </c>
      <c r="G676" s="254" t="s">
        <v>186</v>
      </c>
    </row>
    <row r="677" spans="1:7" s="250" customFormat="1" ht="13.8" hidden="1" x14ac:dyDescent="0.3">
      <c r="A677" s="251">
        <v>45954</v>
      </c>
      <c r="B677" s="316" t="s">
        <v>211</v>
      </c>
      <c r="C677" s="296" t="s">
        <v>25</v>
      </c>
      <c r="D677" s="293" t="s">
        <v>2179</v>
      </c>
      <c r="E677" s="335">
        <v>-1005.8</v>
      </c>
      <c r="F677" s="254" t="s">
        <v>8</v>
      </c>
      <c r="G677" s="254" t="s">
        <v>186</v>
      </c>
    </row>
    <row r="678" spans="1:7" s="250" customFormat="1" ht="13.8" hidden="1" x14ac:dyDescent="0.3">
      <c r="A678" s="251">
        <v>45954</v>
      </c>
      <c r="B678" s="316" t="s">
        <v>211</v>
      </c>
      <c r="C678" s="296" t="s">
        <v>25</v>
      </c>
      <c r="D678" s="293" t="s">
        <v>2178</v>
      </c>
      <c r="E678" s="248">
        <v>-200</v>
      </c>
      <c r="F678" s="254" t="s">
        <v>8</v>
      </c>
      <c r="G678" s="254" t="s">
        <v>186</v>
      </c>
    </row>
    <row r="679" spans="1:7" s="250" customFormat="1" ht="13.8" hidden="1" x14ac:dyDescent="0.3">
      <c r="A679" s="251">
        <v>45954</v>
      </c>
      <c r="B679" s="316" t="s">
        <v>211</v>
      </c>
      <c r="C679" s="296" t="s">
        <v>25</v>
      </c>
      <c r="D679" s="293" t="s">
        <v>1561</v>
      </c>
      <c r="E679" s="248">
        <v>-3000</v>
      </c>
      <c r="F679" s="254" t="s">
        <v>8</v>
      </c>
      <c r="G679" s="254" t="s">
        <v>186</v>
      </c>
    </row>
    <row r="680" spans="1:7" s="250" customFormat="1" ht="13.8" hidden="1" x14ac:dyDescent="0.3">
      <c r="A680" s="487">
        <v>45945</v>
      </c>
      <c r="B680" s="704" t="s">
        <v>211</v>
      </c>
      <c r="C680" s="850" t="s">
        <v>6</v>
      </c>
      <c r="D680" s="851" t="s">
        <v>618</v>
      </c>
      <c r="E680" s="344">
        <v>-10000</v>
      </c>
      <c r="F680" s="266" t="s">
        <v>8</v>
      </c>
      <c r="G680" s="266" t="s">
        <v>186</v>
      </c>
    </row>
    <row r="681" spans="1:7" s="250" customFormat="1" ht="13.8" hidden="1" x14ac:dyDescent="0.3">
      <c r="A681" s="251">
        <v>45960</v>
      </c>
      <c r="B681" s="316" t="s">
        <v>211</v>
      </c>
      <c r="C681" s="299" t="s">
        <v>6</v>
      </c>
      <c r="D681" s="293" t="s">
        <v>2268</v>
      </c>
      <c r="E681" s="248">
        <v>-2220</v>
      </c>
      <c r="F681" s="254" t="s">
        <v>8</v>
      </c>
      <c r="G681" s="254" t="s">
        <v>1064</v>
      </c>
    </row>
    <row r="682" spans="1:7" s="250" customFormat="1" ht="13.8" hidden="1" x14ac:dyDescent="0.3">
      <c r="A682" s="251">
        <v>45960</v>
      </c>
      <c r="B682" s="316" t="s">
        <v>211</v>
      </c>
      <c r="C682" s="293" t="s">
        <v>6</v>
      </c>
      <c r="D682" s="293" t="s">
        <v>586</v>
      </c>
      <c r="E682" s="248">
        <v>-3200</v>
      </c>
      <c r="F682" s="249" t="s">
        <v>8</v>
      </c>
      <c r="G682" s="254" t="s">
        <v>186</v>
      </c>
    </row>
    <row r="683" spans="1:7" s="250" customFormat="1" ht="13.8" hidden="1" x14ac:dyDescent="0.3">
      <c r="A683" s="251">
        <v>45960</v>
      </c>
      <c r="B683" s="316" t="s">
        <v>211</v>
      </c>
      <c r="C683" s="293" t="s">
        <v>6</v>
      </c>
      <c r="D683" s="293" t="s">
        <v>187</v>
      </c>
      <c r="E683" s="248">
        <v>-2000</v>
      </c>
      <c r="F683" s="249" t="s">
        <v>8</v>
      </c>
      <c r="G683" s="254" t="s">
        <v>186</v>
      </c>
    </row>
    <row r="684" spans="1:7" s="250" customFormat="1" ht="13.8" hidden="1" x14ac:dyDescent="0.3">
      <c r="A684" s="251">
        <v>45960</v>
      </c>
      <c r="B684" s="316" t="s">
        <v>211</v>
      </c>
      <c r="C684" s="293" t="s">
        <v>6</v>
      </c>
      <c r="D684" s="293" t="s">
        <v>585</v>
      </c>
      <c r="E684" s="248">
        <v>-3836.54</v>
      </c>
      <c r="F684" s="249" t="s">
        <v>8</v>
      </c>
      <c r="G684" s="254" t="s">
        <v>186</v>
      </c>
    </row>
    <row r="685" spans="1:7" s="250" customFormat="1" ht="13.8" hidden="1" x14ac:dyDescent="0.3">
      <c r="A685" s="251">
        <v>45960</v>
      </c>
      <c r="B685" s="316" t="s">
        <v>211</v>
      </c>
      <c r="C685" s="293" t="s">
        <v>44</v>
      </c>
      <c r="D685" s="293" t="s">
        <v>189</v>
      </c>
      <c r="E685" s="248">
        <v>-2500</v>
      </c>
      <c r="F685" s="249" t="s">
        <v>8</v>
      </c>
      <c r="G685" s="254" t="s">
        <v>186</v>
      </c>
    </row>
    <row r="686" spans="1:7" s="250" customFormat="1" ht="13.8" hidden="1" x14ac:dyDescent="0.3">
      <c r="A686" s="251">
        <v>45960</v>
      </c>
      <c r="B686" s="316" t="s">
        <v>211</v>
      </c>
      <c r="C686" s="293" t="s">
        <v>33</v>
      </c>
      <c r="D686" s="293" t="s">
        <v>587</v>
      </c>
      <c r="E686" s="248">
        <v>-1000</v>
      </c>
      <c r="F686" s="249" t="s">
        <v>8</v>
      </c>
      <c r="G686" s="254" t="s">
        <v>186</v>
      </c>
    </row>
    <row r="687" spans="1:7" s="250" customFormat="1" ht="13.8" hidden="1" x14ac:dyDescent="0.3">
      <c r="A687" s="251">
        <v>45960</v>
      </c>
      <c r="B687" s="316" t="s">
        <v>211</v>
      </c>
      <c r="C687" s="293" t="s">
        <v>17</v>
      </c>
      <c r="D687" s="293" t="s">
        <v>191</v>
      </c>
      <c r="E687" s="248">
        <v>-1916.67</v>
      </c>
      <c r="F687" s="249" t="s">
        <v>8</v>
      </c>
      <c r="G687" s="254" t="s">
        <v>186</v>
      </c>
    </row>
    <row r="688" spans="1:7" s="250" customFormat="1" ht="13.8" hidden="1" x14ac:dyDescent="0.3">
      <c r="A688" s="251">
        <v>45960</v>
      </c>
      <c r="B688" s="316" t="s">
        <v>211</v>
      </c>
      <c r="C688" s="293" t="s">
        <v>17</v>
      </c>
      <c r="D688" s="293" t="s">
        <v>588</v>
      </c>
      <c r="E688" s="248">
        <v>-2907.7</v>
      </c>
      <c r="F688" s="249" t="s">
        <v>8</v>
      </c>
      <c r="G688" s="254" t="s">
        <v>186</v>
      </c>
    </row>
    <row r="689" spans="1:7" s="250" customFormat="1" ht="13.8" hidden="1" x14ac:dyDescent="0.3">
      <c r="A689" s="251">
        <v>45960</v>
      </c>
      <c r="B689" s="316" t="s">
        <v>211</v>
      </c>
      <c r="C689" s="293" t="s">
        <v>17</v>
      </c>
      <c r="D689" s="293" t="s">
        <v>1652</v>
      </c>
      <c r="E689" s="248">
        <v>-2000</v>
      </c>
      <c r="F689" s="249" t="s">
        <v>8</v>
      </c>
      <c r="G689" s="254" t="s">
        <v>186</v>
      </c>
    </row>
    <row r="690" spans="1:7" s="139" customFormat="1" ht="13.8" hidden="1" x14ac:dyDescent="0.3">
      <c r="A690" s="189">
        <v>45989</v>
      </c>
      <c r="B690" s="188" t="s">
        <v>212</v>
      </c>
      <c r="C690" s="96" t="s">
        <v>17</v>
      </c>
      <c r="D690" s="96" t="s">
        <v>1653</v>
      </c>
      <c r="E690" s="89">
        <v>-2000</v>
      </c>
      <c r="F690" s="80" t="s">
        <v>8</v>
      </c>
      <c r="G690" s="191" t="s">
        <v>186</v>
      </c>
    </row>
    <row r="691" spans="1:7" s="139" customFormat="1" ht="13.8" hidden="1" x14ac:dyDescent="0.3">
      <c r="A691" s="74">
        <v>46021</v>
      </c>
      <c r="B691" s="113" t="s">
        <v>216</v>
      </c>
      <c r="C691" s="97" t="s">
        <v>17</v>
      </c>
      <c r="D691" s="97" t="s">
        <v>1654</v>
      </c>
      <c r="E691" s="77">
        <v>-2000</v>
      </c>
      <c r="F691" s="27" t="s">
        <v>8</v>
      </c>
      <c r="G691" s="91" t="s">
        <v>186</v>
      </c>
    </row>
    <row r="692" spans="1:7" s="250" customFormat="1" ht="13.8" hidden="1" x14ac:dyDescent="0.3">
      <c r="A692" s="251">
        <v>45960</v>
      </c>
      <c r="B692" s="316" t="s">
        <v>211</v>
      </c>
      <c r="C692" s="293" t="s">
        <v>17</v>
      </c>
      <c r="D692" s="293" t="s">
        <v>1649</v>
      </c>
      <c r="E692" s="248">
        <v>-3933.34</v>
      </c>
      <c r="F692" s="249" t="s">
        <v>8</v>
      </c>
      <c r="G692" s="254" t="s">
        <v>186</v>
      </c>
    </row>
    <row r="693" spans="1:7" s="139" customFormat="1" ht="27.6" hidden="1" x14ac:dyDescent="0.3">
      <c r="A693" s="189">
        <v>45989</v>
      </c>
      <c r="B693" s="188" t="s">
        <v>212</v>
      </c>
      <c r="C693" s="96" t="s">
        <v>17</v>
      </c>
      <c r="D693" s="96" t="s">
        <v>1650</v>
      </c>
      <c r="E693" s="89">
        <v>-3933.34</v>
      </c>
      <c r="F693" s="80" t="s">
        <v>8</v>
      </c>
      <c r="G693" s="191" t="s">
        <v>186</v>
      </c>
    </row>
    <row r="694" spans="1:7" s="139" customFormat="1" ht="27.6" hidden="1" x14ac:dyDescent="0.3">
      <c r="A694" s="74">
        <v>46021</v>
      </c>
      <c r="B694" s="113" t="s">
        <v>216</v>
      </c>
      <c r="C694" s="97" t="s">
        <v>17</v>
      </c>
      <c r="D694" s="97" t="s">
        <v>1651</v>
      </c>
      <c r="E694" s="77">
        <v>-3933.34</v>
      </c>
      <c r="F694" s="27" t="s">
        <v>8</v>
      </c>
      <c r="G694" s="91" t="s">
        <v>186</v>
      </c>
    </row>
    <row r="695" spans="1:7" s="250" customFormat="1" ht="13.8" hidden="1" x14ac:dyDescent="0.3">
      <c r="A695" s="251">
        <v>45960</v>
      </c>
      <c r="B695" s="316" t="s">
        <v>211</v>
      </c>
      <c r="C695" s="293" t="s">
        <v>104</v>
      </c>
      <c r="D695" s="293" t="s">
        <v>2187</v>
      </c>
      <c r="E695" s="248">
        <v>-1000</v>
      </c>
      <c r="F695" s="249" t="s">
        <v>8</v>
      </c>
      <c r="G695" s="254" t="s">
        <v>186</v>
      </c>
    </row>
    <row r="696" spans="1:7" s="250" customFormat="1" ht="13.8" hidden="1" x14ac:dyDescent="0.3">
      <c r="A696" s="251">
        <v>45960</v>
      </c>
      <c r="B696" s="316" t="s">
        <v>211</v>
      </c>
      <c r="C696" s="293" t="s">
        <v>6</v>
      </c>
      <c r="D696" s="293" t="s">
        <v>1646</v>
      </c>
      <c r="E696" s="248">
        <v>-3000</v>
      </c>
      <c r="F696" s="249" t="s">
        <v>8</v>
      </c>
      <c r="G696" s="254" t="s">
        <v>186</v>
      </c>
    </row>
    <row r="697" spans="1:7" s="139" customFormat="1" ht="27.6" hidden="1" x14ac:dyDescent="0.3">
      <c r="A697" s="189">
        <v>45989</v>
      </c>
      <c r="B697" s="188" t="s">
        <v>212</v>
      </c>
      <c r="C697" s="96" t="s">
        <v>6</v>
      </c>
      <c r="D697" s="96" t="s">
        <v>1647</v>
      </c>
      <c r="E697" s="89">
        <v>-3000</v>
      </c>
      <c r="F697" s="110" t="s">
        <v>8</v>
      </c>
      <c r="G697" s="70" t="s">
        <v>186</v>
      </c>
    </row>
    <row r="698" spans="1:7" s="139" customFormat="1" ht="27.6" hidden="1" x14ac:dyDescent="0.3">
      <c r="A698" s="74">
        <v>46021</v>
      </c>
      <c r="B698" s="113" t="s">
        <v>216</v>
      </c>
      <c r="C698" s="97" t="s">
        <v>6</v>
      </c>
      <c r="D698" s="97" t="s">
        <v>1648</v>
      </c>
      <c r="E698" s="77">
        <v>-3000</v>
      </c>
      <c r="F698" s="27" t="s">
        <v>8</v>
      </c>
      <c r="G698" s="91" t="s">
        <v>186</v>
      </c>
    </row>
    <row r="699" spans="1:7" s="587" customFormat="1" ht="13.8" hidden="1" x14ac:dyDescent="0.3">
      <c r="A699" s="1042">
        <v>45968</v>
      </c>
      <c r="B699" s="585" t="s">
        <v>212</v>
      </c>
      <c r="C699" s="744" t="s">
        <v>44</v>
      </c>
      <c r="D699" s="744" t="s">
        <v>2207</v>
      </c>
      <c r="E699" s="745">
        <v>-278</v>
      </c>
      <c r="F699" s="1044" t="s">
        <v>8</v>
      </c>
      <c r="G699" s="1044" t="s">
        <v>1279</v>
      </c>
    </row>
    <row r="700" spans="1:7" s="250" customFormat="1" ht="13.8" hidden="1" x14ac:dyDescent="0.3">
      <c r="A700" s="251">
        <v>45960</v>
      </c>
      <c r="B700" s="316" t="s">
        <v>211</v>
      </c>
      <c r="C700" s="293" t="s">
        <v>17</v>
      </c>
      <c r="D700" s="293" t="s">
        <v>2199</v>
      </c>
      <c r="E700" s="248">
        <v>-107.14</v>
      </c>
      <c r="F700" s="254" t="s">
        <v>8</v>
      </c>
      <c r="G700" s="254" t="s">
        <v>1279</v>
      </c>
    </row>
    <row r="701" spans="1:7" s="587" customFormat="1" ht="13.8" hidden="1" x14ac:dyDescent="0.3">
      <c r="A701" s="1042">
        <v>45968</v>
      </c>
      <c r="B701" s="585" t="s">
        <v>212</v>
      </c>
      <c r="C701" s="744" t="s">
        <v>31</v>
      </c>
      <c r="D701" s="744" t="s">
        <v>546</v>
      </c>
      <c r="E701" s="745">
        <v>-630</v>
      </c>
      <c r="F701" s="1044" t="s">
        <v>8</v>
      </c>
      <c r="G701" s="1044" t="s">
        <v>51</v>
      </c>
    </row>
    <row r="702" spans="1:7" s="250" customFormat="1" ht="13.8" hidden="1" x14ac:dyDescent="0.3">
      <c r="A702" s="251">
        <v>45960</v>
      </c>
      <c r="B702" s="316" t="s">
        <v>211</v>
      </c>
      <c r="C702" s="293" t="s">
        <v>17</v>
      </c>
      <c r="D702" s="293" t="s">
        <v>2214</v>
      </c>
      <c r="E702" s="248">
        <v>-2625</v>
      </c>
      <c r="F702" s="254" t="s">
        <v>8</v>
      </c>
      <c r="G702" s="254" t="s">
        <v>152</v>
      </c>
    </row>
    <row r="703" spans="1:7" s="250" customFormat="1" ht="13.8" hidden="1" x14ac:dyDescent="0.3">
      <c r="A703" s="251">
        <v>45960</v>
      </c>
      <c r="B703" s="316" t="s">
        <v>211</v>
      </c>
      <c r="C703" s="293" t="s">
        <v>31</v>
      </c>
      <c r="D703" s="293" t="s">
        <v>1875</v>
      </c>
      <c r="E703" s="248">
        <v>-1133.3399999999999</v>
      </c>
      <c r="F703" s="249" t="s">
        <v>8</v>
      </c>
      <c r="G703" s="254" t="s">
        <v>186</v>
      </c>
    </row>
    <row r="704" spans="1:7" s="250" customFormat="1" ht="13.8" hidden="1" x14ac:dyDescent="0.3">
      <c r="A704" s="251">
        <v>45960</v>
      </c>
      <c r="B704" s="316" t="s">
        <v>211</v>
      </c>
      <c r="C704" s="293" t="s">
        <v>17</v>
      </c>
      <c r="D704" s="293" t="s">
        <v>193</v>
      </c>
      <c r="E704" s="248">
        <v>-1400</v>
      </c>
      <c r="F704" s="249" t="s">
        <v>8</v>
      </c>
      <c r="G704" s="254" t="s">
        <v>186</v>
      </c>
    </row>
    <row r="705" spans="1:7" s="250" customFormat="1" ht="13.8" hidden="1" x14ac:dyDescent="0.3">
      <c r="A705" s="251">
        <v>45940</v>
      </c>
      <c r="B705" s="316" t="s">
        <v>211</v>
      </c>
      <c r="C705" s="293" t="s">
        <v>44</v>
      </c>
      <c r="D705" s="729" t="s">
        <v>204</v>
      </c>
      <c r="E705" s="248">
        <v>-4499.6400000000003</v>
      </c>
      <c r="F705" s="254" t="s">
        <v>8</v>
      </c>
      <c r="G705" s="254" t="s">
        <v>227</v>
      </c>
    </row>
    <row r="706" spans="1:7" s="250" customFormat="1" ht="15.6" hidden="1" customHeight="1" x14ac:dyDescent="0.3">
      <c r="A706" s="251">
        <v>45940</v>
      </c>
      <c r="B706" s="316" t="s">
        <v>211</v>
      </c>
      <c r="C706" s="293" t="s">
        <v>44</v>
      </c>
      <c r="D706" s="729" t="s">
        <v>1439</v>
      </c>
      <c r="E706" s="248">
        <v>-142.46</v>
      </c>
      <c r="F706" s="254" t="s">
        <v>8</v>
      </c>
      <c r="G706" s="254" t="s">
        <v>1064</v>
      </c>
    </row>
    <row r="707" spans="1:7" s="250" customFormat="1" ht="13.8" hidden="1" x14ac:dyDescent="0.3">
      <c r="A707" s="251">
        <v>45940</v>
      </c>
      <c r="B707" s="316" t="s">
        <v>211</v>
      </c>
      <c r="C707" s="293" t="s">
        <v>71</v>
      </c>
      <c r="D707" s="729" t="s">
        <v>205</v>
      </c>
      <c r="E707" s="248">
        <v>-828.5</v>
      </c>
      <c r="F707" s="254" t="s">
        <v>8</v>
      </c>
      <c r="G707" s="254" t="s">
        <v>227</v>
      </c>
    </row>
    <row r="708" spans="1:7" s="250" customFormat="1" ht="13.2" hidden="1" customHeight="1" x14ac:dyDescent="0.3">
      <c r="A708" s="247">
        <v>45940</v>
      </c>
      <c r="B708" s="316" t="s">
        <v>211</v>
      </c>
      <c r="C708" s="268" t="s">
        <v>17</v>
      </c>
      <c r="D708" s="732" t="s">
        <v>385</v>
      </c>
      <c r="E708" s="733">
        <v>-712.59</v>
      </c>
      <c r="F708" s="734" t="s">
        <v>8</v>
      </c>
      <c r="G708" s="734" t="s">
        <v>386</v>
      </c>
    </row>
    <row r="709" spans="1:7" s="250" customFormat="1" ht="13.8" hidden="1" x14ac:dyDescent="0.3">
      <c r="A709" s="251">
        <v>45940</v>
      </c>
      <c r="B709" s="316" t="s">
        <v>211</v>
      </c>
      <c r="C709" s="293" t="s">
        <v>71</v>
      </c>
      <c r="D709" s="729" t="s">
        <v>202</v>
      </c>
      <c r="E709" s="248">
        <v>-905.8</v>
      </c>
      <c r="F709" s="254" t="s">
        <v>8</v>
      </c>
      <c r="G709" s="254" t="s">
        <v>1064</v>
      </c>
    </row>
    <row r="710" spans="1:7" s="250" customFormat="1" ht="13.8" hidden="1" x14ac:dyDescent="0.3">
      <c r="A710" s="251">
        <v>45939</v>
      </c>
      <c r="B710" s="316" t="s">
        <v>211</v>
      </c>
      <c r="C710" s="293" t="s">
        <v>32</v>
      </c>
      <c r="D710" s="730" t="s">
        <v>1705</v>
      </c>
      <c r="E710" s="335">
        <v>-150</v>
      </c>
      <c r="F710" s="254" t="s">
        <v>8</v>
      </c>
      <c r="G710" s="254" t="s">
        <v>111</v>
      </c>
    </row>
    <row r="711" spans="1:7" s="250" customFormat="1" ht="13.8" hidden="1" x14ac:dyDescent="0.3">
      <c r="A711" s="251">
        <v>45940</v>
      </c>
      <c r="B711" s="316" t="s">
        <v>211</v>
      </c>
      <c r="C711" s="293" t="s">
        <v>17</v>
      </c>
      <c r="D711" s="729" t="s">
        <v>201</v>
      </c>
      <c r="E711" s="248">
        <v>-384.4</v>
      </c>
      <c r="F711" s="254" t="s">
        <v>8</v>
      </c>
      <c r="G711" s="254" t="s">
        <v>1440</v>
      </c>
    </row>
    <row r="712" spans="1:7" s="250" customFormat="1" ht="13.8" hidden="1" x14ac:dyDescent="0.3">
      <c r="A712" s="251">
        <v>45939</v>
      </c>
      <c r="B712" s="316" t="s">
        <v>211</v>
      </c>
      <c r="C712" s="293" t="s">
        <v>25</v>
      </c>
      <c r="D712" s="729" t="s">
        <v>1526</v>
      </c>
      <c r="E712" s="248">
        <v>-140.6</v>
      </c>
      <c r="F712" s="254" t="s">
        <v>8</v>
      </c>
      <c r="G712" s="254" t="s">
        <v>82</v>
      </c>
    </row>
    <row r="713" spans="1:7" s="210" customFormat="1" ht="13.8" hidden="1" x14ac:dyDescent="0.3">
      <c r="A713" s="429">
        <v>45939</v>
      </c>
      <c r="B713" s="375" t="s">
        <v>211</v>
      </c>
      <c r="C713" s="661" t="s">
        <v>17</v>
      </c>
      <c r="D713" s="727" t="s">
        <v>1761</v>
      </c>
      <c r="E713" s="662">
        <v>-224.2</v>
      </c>
      <c r="F713" s="728" t="s">
        <v>8</v>
      </c>
      <c r="G713" s="728" t="s">
        <v>97</v>
      </c>
    </row>
    <row r="714" spans="1:7" s="250" customFormat="1" ht="13.8" hidden="1" x14ac:dyDescent="0.3">
      <c r="A714" s="308">
        <v>45939</v>
      </c>
      <c r="B714" s="322" t="s">
        <v>211</v>
      </c>
      <c r="C714" s="372" t="s">
        <v>17</v>
      </c>
      <c r="D714" s="1032" t="s">
        <v>1720</v>
      </c>
      <c r="E714" s="344">
        <v>-185</v>
      </c>
      <c r="F714" s="1033" t="s">
        <v>8</v>
      </c>
      <c r="G714" s="1033" t="s">
        <v>97</v>
      </c>
    </row>
    <row r="715" spans="1:7" s="250" customFormat="1" ht="13.8" hidden="1" x14ac:dyDescent="0.3">
      <c r="A715" s="251">
        <v>45960</v>
      </c>
      <c r="B715" s="316" t="s">
        <v>211</v>
      </c>
      <c r="C715" s="293" t="s">
        <v>25</v>
      </c>
      <c r="D715" s="253" t="s">
        <v>1769</v>
      </c>
      <c r="E715" s="248">
        <v>-1866.46</v>
      </c>
      <c r="F715" s="254" t="s">
        <v>8</v>
      </c>
      <c r="G715" s="254" t="s">
        <v>815</v>
      </c>
    </row>
    <row r="716" spans="1:7" s="250" customFormat="1" ht="13.2" hidden="1" customHeight="1" x14ac:dyDescent="0.3">
      <c r="A716" s="251">
        <v>45939</v>
      </c>
      <c r="B716" s="316" t="s">
        <v>211</v>
      </c>
      <c r="C716" s="423" t="s">
        <v>104</v>
      </c>
      <c r="D716" s="293" t="s">
        <v>604</v>
      </c>
      <c r="E716" s="248">
        <v>-2000</v>
      </c>
      <c r="F716" s="254" t="s">
        <v>8</v>
      </c>
      <c r="G716" s="254" t="s">
        <v>186</v>
      </c>
    </row>
    <row r="717" spans="1:7" s="250" customFormat="1" ht="13.8" hidden="1" x14ac:dyDescent="0.3">
      <c r="A717" s="251">
        <v>45945</v>
      </c>
      <c r="B717" s="316" t="s">
        <v>211</v>
      </c>
      <c r="C717" s="252" t="s">
        <v>104</v>
      </c>
      <c r="D717" s="268" t="s">
        <v>619</v>
      </c>
      <c r="E717" s="248">
        <v>-2000</v>
      </c>
      <c r="F717" s="254" t="s">
        <v>8</v>
      </c>
      <c r="G717" s="254" t="s">
        <v>186</v>
      </c>
    </row>
    <row r="718" spans="1:7" s="139" customFormat="1" ht="13.8" hidden="1" x14ac:dyDescent="0.3">
      <c r="A718" s="100">
        <v>45931</v>
      </c>
      <c r="B718" s="100" t="s">
        <v>211</v>
      </c>
      <c r="C718" s="14" t="s">
        <v>25</v>
      </c>
      <c r="D718" s="14" t="s">
        <v>1549</v>
      </c>
      <c r="E718" s="8">
        <v>-469.2</v>
      </c>
      <c r="F718" s="13" t="s">
        <v>8</v>
      </c>
      <c r="G718" s="9" t="s">
        <v>82</v>
      </c>
    </row>
    <row r="719" spans="1:7" s="139" customFormat="1" ht="13.8" hidden="1" x14ac:dyDescent="0.3">
      <c r="A719" s="100">
        <v>45931</v>
      </c>
      <c r="B719" s="100" t="s">
        <v>211</v>
      </c>
      <c r="C719" s="14" t="s">
        <v>25</v>
      </c>
      <c r="D719" s="14" t="s">
        <v>987</v>
      </c>
      <c r="E719" s="8">
        <v>-306.8</v>
      </c>
      <c r="F719" s="13" t="s">
        <v>8</v>
      </c>
      <c r="G719" s="9" t="s">
        <v>82</v>
      </c>
    </row>
    <row r="720" spans="1:7" s="139" customFormat="1" ht="13.8" hidden="1" x14ac:dyDescent="0.3">
      <c r="A720" s="100">
        <v>45931</v>
      </c>
      <c r="B720" s="100" t="s">
        <v>211</v>
      </c>
      <c r="C720" s="14" t="s">
        <v>25</v>
      </c>
      <c r="D720" s="14" t="s">
        <v>1179</v>
      </c>
      <c r="E720" s="8">
        <v>-306.8</v>
      </c>
      <c r="F720" s="13" t="s">
        <v>8</v>
      </c>
      <c r="G720" s="9" t="s">
        <v>82</v>
      </c>
    </row>
    <row r="721" spans="1:7" s="139" customFormat="1" ht="13.8" hidden="1" x14ac:dyDescent="0.3">
      <c r="A721" s="100">
        <v>45931</v>
      </c>
      <c r="B721" s="100" t="s">
        <v>211</v>
      </c>
      <c r="C721" s="14" t="s">
        <v>17</v>
      </c>
      <c r="D721" s="14" t="s">
        <v>1586</v>
      </c>
      <c r="E721" s="77">
        <v>-62.28</v>
      </c>
      <c r="F721" s="27" t="s">
        <v>8</v>
      </c>
      <c r="G721" s="354" t="s">
        <v>386</v>
      </c>
    </row>
    <row r="722" spans="1:7" s="139" customFormat="1" ht="13.8" hidden="1" x14ac:dyDescent="0.3">
      <c r="A722" s="100">
        <v>45931</v>
      </c>
      <c r="B722" s="100" t="s">
        <v>211</v>
      </c>
      <c r="C722" s="14" t="s">
        <v>44</v>
      </c>
      <c r="D722" s="14" t="s">
        <v>1587</v>
      </c>
      <c r="E722" s="8">
        <v>-100</v>
      </c>
      <c r="F722" s="13" t="s">
        <v>8</v>
      </c>
      <c r="G722" s="9" t="s">
        <v>82</v>
      </c>
    </row>
    <row r="723" spans="1:7" s="139" customFormat="1" ht="13.8" hidden="1" x14ac:dyDescent="0.3">
      <c r="A723" s="100">
        <v>45931</v>
      </c>
      <c r="B723" s="100" t="s">
        <v>211</v>
      </c>
      <c r="C723" s="14" t="s">
        <v>25</v>
      </c>
      <c r="D723" s="14" t="s">
        <v>1521</v>
      </c>
      <c r="E723" s="8">
        <v>-116.4</v>
      </c>
      <c r="F723" s="13" t="s">
        <v>8</v>
      </c>
      <c r="G723" s="9" t="s">
        <v>82</v>
      </c>
    </row>
    <row r="724" spans="1:7" s="139" customFormat="1" ht="13.8" hidden="1" x14ac:dyDescent="0.3">
      <c r="A724" s="100">
        <v>45931</v>
      </c>
      <c r="B724" s="100" t="s">
        <v>211</v>
      </c>
      <c r="C724" s="14" t="s">
        <v>6</v>
      </c>
      <c r="D724" s="14" t="s">
        <v>1555</v>
      </c>
      <c r="E724" s="8">
        <v>-337.84</v>
      </c>
      <c r="F724" s="13" t="s">
        <v>8</v>
      </c>
      <c r="G724" s="9" t="s">
        <v>82</v>
      </c>
    </row>
    <row r="725" spans="1:7" s="139" customFormat="1" ht="13.8" hidden="1" x14ac:dyDescent="0.3">
      <c r="A725" s="100">
        <v>45931</v>
      </c>
      <c r="B725" s="100" t="s">
        <v>211</v>
      </c>
      <c r="C725" s="14" t="s">
        <v>31</v>
      </c>
      <c r="D725" s="14" t="s">
        <v>1550</v>
      </c>
      <c r="E725" s="8">
        <v>-1263.33</v>
      </c>
      <c r="F725" s="13" t="s">
        <v>8</v>
      </c>
      <c r="G725" s="92" t="s">
        <v>75</v>
      </c>
    </row>
    <row r="726" spans="1:7" s="139" customFormat="1" ht="13.8" hidden="1" x14ac:dyDescent="0.3">
      <c r="A726" s="100">
        <v>45931</v>
      </c>
      <c r="B726" s="100" t="s">
        <v>211</v>
      </c>
      <c r="C726" s="14" t="s">
        <v>32</v>
      </c>
      <c r="D726" s="14" t="s">
        <v>1551</v>
      </c>
      <c r="E726" s="276">
        <v>-593.25</v>
      </c>
      <c r="F726" s="13" t="s">
        <v>8</v>
      </c>
      <c r="G726" s="9" t="s">
        <v>75</v>
      </c>
    </row>
    <row r="727" spans="1:7" s="139" customFormat="1" ht="13.8" hidden="1" x14ac:dyDescent="0.3">
      <c r="A727" s="78">
        <v>45931</v>
      </c>
      <c r="B727" s="100" t="s">
        <v>211</v>
      </c>
      <c r="C727" s="6" t="s">
        <v>17</v>
      </c>
      <c r="D727" s="14" t="s">
        <v>1609</v>
      </c>
      <c r="E727" s="8">
        <v>-1848.63</v>
      </c>
      <c r="F727" s="9" t="s">
        <v>8</v>
      </c>
      <c r="G727" s="9" t="s">
        <v>186</v>
      </c>
    </row>
    <row r="728" spans="1:7" s="139" customFormat="1" ht="13.8" hidden="1" x14ac:dyDescent="0.3">
      <c r="A728" s="100">
        <v>45931</v>
      </c>
      <c r="B728" s="100" t="s">
        <v>211</v>
      </c>
      <c r="C728" s="14" t="s">
        <v>71</v>
      </c>
      <c r="D728" s="14" t="s">
        <v>1604</v>
      </c>
      <c r="E728" s="8">
        <v>-985.45</v>
      </c>
      <c r="F728" s="9" t="s">
        <v>8</v>
      </c>
      <c r="G728" s="9" t="s">
        <v>1279</v>
      </c>
    </row>
    <row r="729" spans="1:7" s="139" customFormat="1" ht="13.8" hidden="1" x14ac:dyDescent="0.3">
      <c r="A729" s="78">
        <v>45931</v>
      </c>
      <c r="B729" s="100" t="s">
        <v>211</v>
      </c>
      <c r="C729" s="6" t="s">
        <v>17</v>
      </c>
      <c r="D729" s="14" t="s">
        <v>597</v>
      </c>
      <c r="E729" s="8">
        <v>-1848.63</v>
      </c>
      <c r="F729" s="9" t="s">
        <v>8</v>
      </c>
      <c r="G729" s="9" t="s">
        <v>186</v>
      </c>
    </row>
    <row r="730" spans="1:7" s="250" customFormat="1" ht="13.8" hidden="1" x14ac:dyDescent="0.3">
      <c r="A730" s="251">
        <v>45964</v>
      </c>
      <c r="B730" s="316" t="s">
        <v>212</v>
      </c>
      <c r="C730" s="293" t="s">
        <v>31</v>
      </c>
      <c r="D730" s="253" t="s">
        <v>2220</v>
      </c>
      <c r="E730" s="248">
        <v>-2187.31</v>
      </c>
      <c r="F730" s="249" t="s">
        <v>8</v>
      </c>
      <c r="G730" s="249" t="s">
        <v>152</v>
      </c>
    </row>
    <row r="731" spans="1:7" s="250" customFormat="1" ht="13.8" hidden="1" x14ac:dyDescent="0.3">
      <c r="A731" s="251">
        <v>45964</v>
      </c>
      <c r="B731" s="316" t="s">
        <v>212</v>
      </c>
      <c r="C731" s="293" t="s">
        <v>31</v>
      </c>
      <c r="D731" s="253" t="s">
        <v>2221</v>
      </c>
      <c r="E731" s="248">
        <v>-2222.06</v>
      </c>
      <c r="F731" s="249" t="s">
        <v>8</v>
      </c>
      <c r="G731" s="249" t="s">
        <v>152</v>
      </c>
    </row>
    <row r="732" spans="1:7" s="250" customFormat="1" ht="13.8" hidden="1" x14ac:dyDescent="0.3">
      <c r="A732" s="251">
        <v>45964</v>
      </c>
      <c r="B732" s="316" t="s">
        <v>212</v>
      </c>
      <c r="C732" s="293" t="s">
        <v>31</v>
      </c>
      <c r="D732" s="253" t="s">
        <v>1260</v>
      </c>
      <c r="E732" s="248">
        <v>-2198.9</v>
      </c>
      <c r="F732" s="249" t="s">
        <v>8</v>
      </c>
      <c r="G732" s="249" t="s">
        <v>152</v>
      </c>
    </row>
    <row r="733" spans="1:7" s="250" customFormat="1" ht="13.8" hidden="1" x14ac:dyDescent="0.3">
      <c r="A733" s="251">
        <v>45964</v>
      </c>
      <c r="B733" s="316" t="s">
        <v>212</v>
      </c>
      <c r="C733" s="293" t="s">
        <v>31</v>
      </c>
      <c r="D733" s="253" t="s">
        <v>2222</v>
      </c>
      <c r="E733" s="248">
        <v>-2164.1799999999998</v>
      </c>
      <c r="F733" s="249" t="s">
        <v>8</v>
      </c>
      <c r="G733" s="249" t="s">
        <v>152</v>
      </c>
    </row>
    <row r="734" spans="1:7" s="250" customFormat="1" ht="13.8" hidden="1" x14ac:dyDescent="0.3">
      <c r="A734" s="251">
        <v>45964</v>
      </c>
      <c r="B734" s="316" t="s">
        <v>212</v>
      </c>
      <c r="C734" s="293" t="s">
        <v>31</v>
      </c>
      <c r="D734" s="253" t="s">
        <v>1253</v>
      </c>
      <c r="E734" s="248">
        <v>-1708.12</v>
      </c>
      <c r="F734" s="249" t="s">
        <v>8</v>
      </c>
      <c r="G734" s="249" t="s">
        <v>152</v>
      </c>
    </row>
    <row r="735" spans="1:7" s="250" customFormat="1" ht="13.8" hidden="1" x14ac:dyDescent="0.3">
      <c r="A735" s="251">
        <v>45964</v>
      </c>
      <c r="B735" s="316" t="s">
        <v>212</v>
      </c>
      <c r="C735" s="293" t="s">
        <v>6</v>
      </c>
      <c r="D735" s="253" t="s">
        <v>1264</v>
      </c>
      <c r="E735" s="248">
        <v>-2616.37</v>
      </c>
      <c r="F735" s="249" t="s">
        <v>8</v>
      </c>
      <c r="G735" s="249" t="s">
        <v>152</v>
      </c>
    </row>
    <row r="736" spans="1:7" s="250" customFormat="1" ht="13.8" hidden="1" x14ac:dyDescent="0.3">
      <c r="A736" s="251">
        <v>45964</v>
      </c>
      <c r="B736" s="316" t="s">
        <v>212</v>
      </c>
      <c r="C736" s="293" t="s">
        <v>6</v>
      </c>
      <c r="D736" s="253" t="s">
        <v>2223</v>
      </c>
      <c r="E736" s="248">
        <v>-2358.9499999999998</v>
      </c>
      <c r="F736" s="249" t="s">
        <v>8</v>
      </c>
      <c r="G736" s="249" t="s">
        <v>152</v>
      </c>
    </row>
    <row r="737" spans="1:7" s="250" customFormat="1" ht="13.8" hidden="1" x14ac:dyDescent="0.3">
      <c r="A737" s="251">
        <v>45964</v>
      </c>
      <c r="B737" s="316" t="s">
        <v>212</v>
      </c>
      <c r="C737" s="293" t="s">
        <v>25</v>
      </c>
      <c r="D737" s="253" t="s">
        <v>2224</v>
      </c>
      <c r="E737" s="248">
        <v>-2186.06</v>
      </c>
      <c r="F737" s="249" t="s">
        <v>8</v>
      </c>
      <c r="G737" s="249" t="s">
        <v>152</v>
      </c>
    </row>
    <row r="738" spans="1:7" s="250" customFormat="1" ht="13.8" hidden="1" x14ac:dyDescent="0.3">
      <c r="A738" s="251">
        <v>45964</v>
      </c>
      <c r="B738" s="316" t="s">
        <v>212</v>
      </c>
      <c r="C738" s="293" t="s">
        <v>33</v>
      </c>
      <c r="D738" s="253" t="s">
        <v>2225</v>
      </c>
      <c r="E738" s="248">
        <v>-2137.1799999999998</v>
      </c>
      <c r="F738" s="249" t="s">
        <v>8</v>
      </c>
      <c r="G738" s="249" t="s">
        <v>152</v>
      </c>
    </row>
    <row r="739" spans="1:7" s="250" customFormat="1" ht="14.4" hidden="1" customHeight="1" x14ac:dyDescent="0.3">
      <c r="A739" s="251">
        <v>45964</v>
      </c>
      <c r="B739" s="316" t="s">
        <v>212</v>
      </c>
      <c r="C739" s="293" t="s">
        <v>33</v>
      </c>
      <c r="D739" s="253" t="s">
        <v>2226</v>
      </c>
      <c r="E739" s="248">
        <v>-712.39</v>
      </c>
      <c r="F739" s="249" t="s">
        <v>8</v>
      </c>
      <c r="G739" s="249" t="s">
        <v>152</v>
      </c>
    </row>
    <row r="740" spans="1:7" s="250" customFormat="1" ht="13.2" hidden="1" customHeight="1" x14ac:dyDescent="0.3">
      <c r="A740" s="251">
        <v>45964</v>
      </c>
      <c r="B740" s="316" t="s">
        <v>212</v>
      </c>
      <c r="C740" s="293" t="s">
        <v>104</v>
      </c>
      <c r="D740" s="253" t="s">
        <v>2227</v>
      </c>
      <c r="E740" s="248">
        <v>-2548.35</v>
      </c>
      <c r="F740" s="249" t="s">
        <v>8</v>
      </c>
      <c r="G740" s="249" t="s">
        <v>152</v>
      </c>
    </row>
    <row r="741" spans="1:7" s="250" customFormat="1" ht="13.8" hidden="1" x14ac:dyDescent="0.3">
      <c r="A741" s="251">
        <v>45964</v>
      </c>
      <c r="B741" s="316" t="s">
        <v>212</v>
      </c>
      <c r="C741" s="293" t="s">
        <v>32</v>
      </c>
      <c r="D741" s="253" t="s">
        <v>2228</v>
      </c>
      <c r="E741" s="248">
        <v>-2197.1799999999998</v>
      </c>
      <c r="F741" s="249" t="s">
        <v>8</v>
      </c>
      <c r="G741" s="249" t="s">
        <v>152</v>
      </c>
    </row>
    <row r="742" spans="1:7" s="250" customFormat="1" ht="13.8" hidden="1" x14ac:dyDescent="0.3">
      <c r="A742" s="251">
        <v>45964</v>
      </c>
      <c r="B742" s="316" t="s">
        <v>212</v>
      </c>
      <c r="C742" s="293" t="s">
        <v>32</v>
      </c>
      <c r="D742" s="253" t="s">
        <v>2229</v>
      </c>
      <c r="E742" s="248">
        <v>-2175.73</v>
      </c>
      <c r="F742" s="249" t="s">
        <v>8</v>
      </c>
      <c r="G742" s="249" t="s">
        <v>152</v>
      </c>
    </row>
    <row r="743" spans="1:7" s="250" customFormat="1" ht="13.8" hidden="1" x14ac:dyDescent="0.3">
      <c r="A743" s="251">
        <v>45964</v>
      </c>
      <c r="B743" s="316" t="s">
        <v>212</v>
      </c>
      <c r="C743" s="293" t="s">
        <v>32</v>
      </c>
      <c r="D743" s="253" t="s">
        <v>2230</v>
      </c>
      <c r="E743" s="248">
        <v>-2198.89</v>
      </c>
      <c r="F743" s="249" t="s">
        <v>8</v>
      </c>
      <c r="G743" s="249" t="s">
        <v>152</v>
      </c>
    </row>
    <row r="744" spans="1:7" s="250" customFormat="1" ht="13.8" hidden="1" x14ac:dyDescent="0.3">
      <c r="A744" s="251">
        <v>45964</v>
      </c>
      <c r="B744" s="316" t="s">
        <v>212</v>
      </c>
      <c r="C744" s="293" t="s">
        <v>32</v>
      </c>
      <c r="D744" s="253" t="s">
        <v>2231</v>
      </c>
      <c r="E744" s="248">
        <v>-1890.19</v>
      </c>
      <c r="F744" s="249" t="s">
        <v>8</v>
      </c>
      <c r="G744" s="249" t="s">
        <v>152</v>
      </c>
    </row>
    <row r="745" spans="1:7" s="250" customFormat="1" ht="13.8" hidden="1" x14ac:dyDescent="0.3">
      <c r="A745" s="251">
        <v>45964</v>
      </c>
      <c r="B745" s="316" t="s">
        <v>212</v>
      </c>
      <c r="C745" s="293" t="s">
        <v>71</v>
      </c>
      <c r="D745" s="253" t="s">
        <v>2232</v>
      </c>
      <c r="E745" s="248">
        <v>-2106.31</v>
      </c>
      <c r="F745" s="249" t="s">
        <v>8</v>
      </c>
      <c r="G745" s="249" t="s">
        <v>152</v>
      </c>
    </row>
    <row r="746" spans="1:7" s="250" customFormat="1" ht="13.8" hidden="1" x14ac:dyDescent="0.3">
      <c r="A746" s="251">
        <v>45964</v>
      </c>
      <c r="B746" s="316" t="s">
        <v>212</v>
      </c>
      <c r="C746" s="293" t="s">
        <v>71</v>
      </c>
      <c r="D746" s="253" t="s">
        <v>498</v>
      </c>
      <c r="E746" s="248">
        <v>-3245.39</v>
      </c>
      <c r="F746" s="249" t="s">
        <v>8</v>
      </c>
      <c r="G746" s="249" t="s">
        <v>152</v>
      </c>
    </row>
    <row r="747" spans="1:7" s="250" customFormat="1" ht="13.8" hidden="1" x14ac:dyDescent="0.3">
      <c r="A747" s="316">
        <v>45964</v>
      </c>
      <c r="B747" s="316" t="s">
        <v>212</v>
      </c>
      <c r="C747" s="422" t="s">
        <v>6</v>
      </c>
      <c r="D747" s="300" t="s">
        <v>7</v>
      </c>
      <c r="E747" s="317">
        <v>-315.63</v>
      </c>
      <c r="F747" s="249" t="s">
        <v>8</v>
      </c>
      <c r="G747" s="255" t="s">
        <v>9</v>
      </c>
    </row>
    <row r="748" spans="1:7" s="250" customFormat="1" ht="13.8" hidden="1" x14ac:dyDescent="0.3">
      <c r="A748" s="316">
        <v>45964</v>
      </c>
      <c r="B748" s="316" t="s">
        <v>212</v>
      </c>
      <c r="C748" s="422" t="s">
        <v>6</v>
      </c>
      <c r="D748" s="300" t="s">
        <v>10</v>
      </c>
      <c r="E748" s="317">
        <v>-240.76</v>
      </c>
      <c r="F748" s="249" t="s">
        <v>8</v>
      </c>
      <c r="G748" s="255" t="s">
        <v>9</v>
      </c>
    </row>
    <row r="749" spans="1:7" s="250" customFormat="1" ht="13.8" hidden="1" x14ac:dyDescent="0.3">
      <c r="A749" s="316">
        <v>45964</v>
      </c>
      <c r="B749" s="316" t="s">
        <v>212</v>
      </c>
      <c r="C749" s="422" t="s">
        <v>6</v>
      </c>
      <c r="D749" s="300" t="s">
        <v>11</v>
      </c>
      <c r="E749" s="317">
        <v>-186.6</v>
      </c>
      <c r="F749" s="249" t="s">
        <v>8</v>
      </c>
      <c r="G749" s="255" t="s">
        <v>9</v>
      </c>
    </row>
    <row r="750" spans="1:7" s="250" customFormat="1" ht="13.8" hidden="1" x14ac:dyDescent="0.3">
      <c r="A750" s="316">
        <v>45964</v>
      </c>
      <c r="B750" s="316" t="s">
        <v>212</v>
      </c>
      <c r="C750" s="299" t="s">
        <v>6</v>
      </c>
      <c r="D750" s="300" t="s">
        <v>12</v>
      </c>
      <c r="E750" s="317">
        <v>-210.81</v>
      </c>
      <c r="F750" s="249" t="s">
        <v>8</v>
      </c>
      <c r="G750" s="255" t="s">
        <v>9</v>
      </c>
    </row>
    <row r="751" spans="1:7" s="139" customFormat="1" ht="13.8" hidden="1" x14ac:dyDescent="0.3">
      <c r="A751" s="100">
        <v>45968</v>
      </c>
      <c r="B751" s="100" t="s">
        <v>212</v>
      </c>
      <c r="C751" s="12" t="s">
        <v>13</v>
      </c>
      <c r="D751" s="4" t="s">
        <v>14</v>
      </c>
      <c r="E751" s="16">
        <v>-2000</v>
      </c>
      <c r="F751" s="13" t="s">
        <v>8</v>
      </c>
      <c r="G751" s="5" t="s">
        <v>15</v>
      </c>
    </row>
    <row r="752" spans="1:7" s="139" customFormat="1" ht="13.8" hidden="1" x14ac:dyDescent="0.3">
      <c r="A752" s="100">
        <v>45968</v>
      </c>
      <c r="B752" s="100" t="s">
        <v>212</v>
      </c>
      <c r="C752" s="12" t="s">
        <v>13</v>
      </c>
      <c r="D752" s="4" t="s">
        <v>16</v>
      </c>
      <c r="E752" s="16">
        <v>-5000</v>
      </c>
      <c r="F752" s="13" t="s">
        <v>8</v>
      </c>
      <c r="G752" s="5" t="s">
        <v>15</v>
      </c>
    </row>
    <row r="753" spans="1:7" s="139" customFormat="1" ht="13.8" hidden="1" x14ac:dyDescent="0.3">
      <c r="A753" s="100">
        <v>45968</v>
      </c>
      <c r="B753" s="100" t="s">
        <v>212</v>
      </c>
      <c r="C753" s="12" t="s">
        <v>17</v>
      </c>
      <c r="D753" s="4" t="s">
        <v>18</v>
      </c>
      <c r="E753" s="200">
        <v>-13041.15</v>
      </c>
      <c r="F753" s="13" t="s">
        <v>8</v>
      </c>
      <c r="G753" s="5" t="s">
        <v>19</v>
      </c>
    </row>
    <row r="754" spans="1:7" s="139" customFormat="1" ht="13.2" hidden="1" customHeight="1" x14ac:dyDescent="0.3">
      <c r="A754" s="100">
        <v>45985</v>
      </c>
      <c r="B754" s="100" t="s">
        <v>212</v>
      </c>
      <c r="C754" s="328" t="s">
        <v>25</v>
      </c>
      <c r="D754" s="788" t="s">
        <v>2331</v>
      </c>
      <c r="E754" s="789">
        <v>-8680.1200000000008</v>
      </c>
      <c r="F754" s="13" t="s">
        <v>8</v>
      </c>
      <c r="G754" s="448" t="s">
        <v>73</v>
      </c>
    </row>
    <row r="755" spans="1:7" s="250" customFormat="1" ht="13.8" hidden="1" x14ac:dyDescent="0.3">
      <c r="A755" s="316">
        <v>45964</v>
      </c>
      <c r="B755" s="316" t="s">
        <v>212</v>
      </c>
      <c r="C755" s="293" t="s">
        <v>71</v>
      </c>
      <c r="D755" s="334" t="s">
        <v>2289</v>
      </c>
      <c r="E755" s="248">
        <v>-293.45999999999998</v>
      </c>
      <c r="F755" s="249" t="s">
        <v>8</v>
      </c>
      <c r="G755" s="254" t="s">
        <v>73</v>
      </c>
    </row>
    <row r="756" spans="1:7" s="250" customFormat="1" ht="13.8" hidden="1" x14ac:dyDescent="0.3">
      <c r="A756" s="316">
        <v>45964</v>
      </c>
      <c r="B756" s="316" t="s">
        <v>212</v>
      </c>
      <c r="C756" s="293" t="s">
        <v>71</v>
      </c>
      <c r="D756" s="334" t="s">
        <v>2290</v>
      </c>
      <c r="E756" s="248">
        <v>-195.23</v>
      </c>
      <c r="F756" s="249" t="s">
        <v>8</v>
      </c>
      <c r="G756" s="254" t="s">
        <v>73</v>
      </c>
    </row>
    <row r="757" spans="1:7" s="250" customFormat="1" ht="13.8" hidden="1" x14ac:dyDescent="0.3">
      <c r="A757" s="316">
        <v>45964</v>
      </c>
      <c r="B757" s="316" t="s">
        <v>212</v>
      </c>
      <c r="C757" s="338" t="s">
        <v>31</v>
      </c>
      <c r="D757" s="1129" t="s">
        <v>2276</v>
      </c>
      <c r="E757" s="248">
        <v>-115</v>
      </c>
      <c r="F757" s="249" t="s">
        <v>8</v>
      </c>
      <c r="G757" s="254" t="s">
        <v>111</v>
      </c>
    </row>
    <row r="758" spans="1:7" s="250" customFormat="1" ht="13.8" hidden="1" x14ac:dyDescent="0.3">
      <c r="A758" s="316">
        <v>45964</v>
      </c>
      <c r="B758" s="316" t="s">
        <v>212</v>
      </c>
      <c r="C758" s="293" t="s">
        <v>6</v>
      </c>
      <c r="D758" s="334" t="s">
        <v>1656</v>
      </c>
      <c r="E758" s="248">
        <v>-2000</v>
      </c>
      <c r="F758" s="249" t="s">
        <v>8</v>
      </c>
      <c r="G758" s="254" t="s">
        <v>186</v>
      </c>
    </row>
    <row r="759" spans="1:7" s="139" customFormat="1" ht="13.8" hidden="1" x14ac:dyDescent="0.3">
      <c r="A759" s="100">
        <v>45994</v>
      </c>
      <c r="B759" s="100" t="s">
        <v>216</v>
      </c>
      <c r="C759" s="14" t="s">
        <v>6</v>
      </c>
      <c r="D759" s="14" t="s">
        <v>1657</v>
      </c>
      <c r="E759" s="8">
        <v>-2000</v>
      </c>
      <c r="F759" s="13" t="s">
        <v>8</v>
      </c>
      <c r="G759" s="9" t="s">
        <v>186</v>
      </c>
    </row>
    <row r="760" spans="1:7" s="139" customFormat="1" ht="13.8" hidden="1" x14ac:dyDescent="0.3">
      <c r="A760" s="100">
        <v>45994</v>
      </c>
      <c r="B760" s="100" t="s">
        <v>216</v>
      </c>
      <c r="C760" s="14" t="s">
        <v>44</v>
      </c>
      <c r="D760" s="14" t="s">
        <v>1659</v>
      </c>
      <c r="E760" s="8">
        <v>-279</v>
      </c>
      <c r="F760" s="13" t="s">
        <v>8</v>
      </c>
      <c r="G760" s="9" t="s">
        <v>29</v>
      </c>
    </row>
    <row r="761" spans="1:7" s="250" customFormat="1" ht="13.8" hidden="1" x14ac:dyDescent="0.3">
      <c r="A761" s="316">
        <v>45964</v>
      </c>
      <c r="B761" s="316" t="s">
        <v>212</v>
      </c>
      <c r="C761" s="293" t="s">
        <v>25</v>
      </c>
      <c r="D761" s="334" t="s">
        <v>1388</v>
      </c>
      <c r="E761" s="248">
        <v>-16.13</v>
      </c>
      <c r="F761" s="249" t="s">
        <v>8</v>
      </c>
      <c r="G761" s="254" t="s">
        <v>75</v>
      </c>
    </row>
    <row r="762" spans="1:7" s="250" customFormat="1" ht="13.8" hidden="1" x14ac:dyDescent="0.3">
      <c r="A762" s="316">
        <v>45964</v>
      </c>
      <c r="B762" s="316" t="s">
        <v>212</v>
      </c>
      <c r="C762" s="293" t="s">
        <v>25</v>
      </c>
      <c r="D762" s="253" t="s">
        <v>2188</v>
      </c>
      <c r="E762" s="248">
        <v>-4.57</v>
      </c>
      <c r="F762" s="249" t="s">
        <v>8</v>
      </c>
      <c r="G762" s="254" t="s">
        <v>75</v>
      </c>
    </row>
    <row r="763" spans="1:7" s="250" customFormat="1" ht="13.8" hidden="1" x14ac:dyDescent="0.3">
      <c r="A763" s="316">
        <v>45964</v>
      </c>
      <c r="B763" s="316" t="s">
        <v>212</v>
      </c>
      <c r="C763" s="293" t="s">
        <v>6</v>
      </c>
      <c r="D763" s="253" t="s">
        <v>1297</v>
      </c>
      <c r="E763" s="248">
        <v>-275</v>
      </c>
      <c r="F763" s="249" t="s">
        <v>8</v>
      </c>
      <c r="G763" s="254" t="s">
        <v>82</v>
      </c>
    </row>
    <row r="764" spans="1:7" s="250" customFormat="1" ht="13.8" hidden="1" x14ac:dyDescent="0.3">
      <c r="A764" s="316">
        <v>45964</v>
      </c>
      <c r="B764" s="316" t="s">
        <v>212</v>
      </c>
      <c r="C764" s="293" t="s">
        <v>25</v>
      </c>
      <c r="D764" s="253" t="s">
        <v>1790</v>
      </c>
      <c r="E764" s="248">
        <v>-295</v>
      </c>
      <c r="F764" s="249" t="s">
        <v>8</v>
      </c>
      <c r="G764" s="254" t="s">
        <v>82</v>
      </c>
    </row>
    <row r="765" spans="1:7" s="250" customFormat="1" ht="13.8" hidden="1" x14ac:dyDescent="0.3">
      <c r="A765" s="316">
        <v>45964</v>
      </c>
      <c r="B765" s="316" t="s">
        <v>212</v>
      </c>
      <c r="C765" s="293" t="s">
        <v>25</v>
      </c>
      <c r="D765" s="253" t="s">
        <v>1959</v>
      </c>
      <c r="E765" s="248">
        <v>-113.5</v>
      </c>
      <c r="F765" s="249" t="s">
        <v>8</v>
      </c>
      <c r="G765" s="254" t="s">
        <v>82</v>
      </c>
    </row>
    <row r="766" spans="1:7" s="250" customFormat="1" ht="12" hidden="1" customHeight="1" x14ac:dyDescent="0.3">
      <c r="A766" s="316">
        <v>45964</v>
      </c>
      <c r="B766" s="316" t="s">
        <v>212</v>
      </c>
      <c r="C766" s="293" t="s">
        <v>25</v>
      </c>
      <c r="D766" s="253" t="s">
        <v>1702</v>
      </c>
      <c r="E766" s="248">
        <v>-200</v>
      </c>
      <c r="F766" s="249" t="s">
        <v>8</v>
      </c>
      <c r="G766" s="254" t="s">
        <v>82</v>
      </c>
    </row>
    <row r="767" spans="1:7" s="250" customFormat="1" ht="13.8" hidden="1" x14ac:dyDescent="0.3">
      <c r="A767" s="316">
        <v>45964</v>
      </c>
      <c r="B767" s="316" t="s">
        <v>212</v>
      </c>
      <c r="C767" s="293" t="s">
        <v>1571</v>
      </c>
      <c r="D767" s="253" t="s">
        <v>1802</v>
      </c>
      <c r="E767" s="248">
        <v>-171.5</v>
      </c>
      <c r="F767" s="249" t="s">
        <v>8</v>
      </c>
      <c r="G767" s="254" t="s">
        <v>82</v>
      </c>
    </row>
    <row r="768" spans="1:7" s="250" customFormat="1" ht="13.8" hidden="1" x14ac:dyDescent="0.3">
      <c r="A768" s="316">
        <v>45964</v>
      </c>
      <c r="B768" s="316" t="s">
        <v>212</v>
      </c>
      <c r="C768" s="293" t="s">
        <v>1571</v>
      </c>
      <c r="D768" s="253" t="s">
        <v>1617</v>
      </c>
      <c r="E768" s="248">
        <v>-61.5</v>
      </c>
      <c r="F768" s="249" t="s">
        <v>8</v>
      </c>
      <c r="G768" s="254" t="s">
        <v>82</v>
      </c>
    </row>
    <row r="769" spans="1:7" s="250" customFormat="1" ht="13.8" hidden="1" x14ac:dyDescent="0.3">
      <c r="A769" s="316">
        <v>45964</v>
      </c>
      <c r="B769" s="316" t="s">
        <v>212</v>
      </c>
      <c r="C769" s="293" t="s">
        <v>32</v>
      </c>
      <c r="D769" s="253" t="s">
        <v>1235</v>
      </c>
      <c r="E769" s="248">
        <v>-420</v>
      </c>
      <c r="F769" s="249" t="s">
        <v>8</v>
      </c>
      <c r="G769" s="254" t="s">
        <v>82</v>
      </c>
    </row>
    <row r="770" spans="1:7" s="250" customFormat="1" ht="13.8" hidden="1" x14ac:dyDescent="0.3">
      <c r="A770" s="316">
        <v>45964</v>
      </c>
      <c r="B770" s="316" t="s">
        <v>212</v>
      </c>
      <c r="C770" s="293" t="s">
        <v>31</v>
      </c>
      <c r="D770" s="293" t="s">
        <v>2291</v>
      </c>
      <c r="E770" s="248">
        <v>-185.64</v>
      </c>
      <c r="F770" s="254" t="s">
        <v>8</v>
      </c>
      <c r="G770" s="254" t="s">
        <v>124</v>
      </c>
    </row>
    <row r="771" spans="1:7" s="250" customFormat="1" ht="13.8" hidden="1" x14ac:dyDescent="0.3">
      <c r="A771" s="316">
        <v>45964</v>
      </c>
      <c r="B771" s="316" t="s">
        <v>212</v>
      </c>
      <c r="C771" s="293" t="s">
        <v>31</v>
      </c>
      <c r="D771" s="293" t="s">
        <v>2292</v>
      </c>
      <c r="E771" s="248">
        <v>-187.66</v>
      </c>
      <c r="F771" s="254" t="s">
        <v>8</v>
      </c>
      <c r="G771" s="254" t="s">
        <v>124</v>
      </c>
    </row>
    <row r="772" spans="1:7" s="250" customFormat="1" ht="13.8" hidden="1" x14ac:dyDescent="0.3">
      <c r="A772" s="316">
        <v>45964</v>
      </c>
      <c r="B772" s="316" t="s">
        <v>212</v>
      </c>
      <c r="C772" s="293" t="s">
        <v>31</v>
      </c>
      <c r="D772" s="293" t="s">
        <v>2293</v>
      </c>
      <c r="E772" s="248">
        <v>-180.38</v>
      </c>
      <c r="F772" s="254" t="s">
        <v>8</v>
      </c>
      <c r="G772" s="254" t="s">
        <v>124</v>
      </c>
    </row>
    <row r="773" spans="1:7" s="250" customFormat="1" ht="13.8" hidden="1" x14ac:dyDescent="0.3">
      <c r="A773" s="316">
        <v>45964</v>
      </c>
      <c r="B773" s="316" t="s">
        <v>212</v>
      </c>
      <c r="C773" s="293" t="s">
        <v>31</v>
      </c>
      <c r="D773" s="293" t="s">
        <v>2294</v>
      </c>
      <c r="E773" s="248">
        <v>-177.41</v>
      </c>
      <c r="F773" s="254" t="s">
        <v>8</v>
      </c>
      <c r="G773" s="254" t="s">
        <v>124</v>
      </c>
    </row>
    <row r="774" spans="1:7" s="250" customFormat="1" ht="13.8" hidden="1" x14ac:dyDescent="0.3">
      <c r="A774" s="316">
        <v>45964</v>
      </c>
      <c r="B774" s="316" t="s">
        <v>212</v>
      </c>
      <c r="C774" s="293" t="s">
        <v>31</v>
      </c>
      <c r="D774" s="293" t="s">
        <v>2295</v>
      </c>
      <c r="E774" s="248">
        <v>-188.8</v>
      </c>
      <c r="F774" s="254" t="s">
        <v>8</v>
      </c>
      <c r="G774" s="254" t="s">
        <v>124</v>
      </c>
    </row>
    <row r="775" spans="1:7" s="250" customFormat="1" ht="13.8" hidden="1" x14ac:dyDescent="0.3">
      <c r="A775" s="316">
        <v>45964</v>
      </c>
      <c r="B775" s="316" t="s">
        <v>212</v>
      </c>
      <c r="C775" s="293" t="s">
        <v>31</v>
      </c>
      <c r="D775" s="293" t="s">
        <v>2296</v>
      </c>
      <c r="E775" s="248">
        <v>-179.26</v>
      </c>
      <c r="F775" s="254" t="s">
        <v>8</v>
      </c>
      <c r="G775" s="254" t="s">
        <v>124</v>
      </c>
    </row>
    <row r="776" spans="1:7" s="250" customFormat="1" ht="13.8" hidden="1" x14ac:dyDescent="0.3">
      <c r="A776" s="316">
        <v>45964</v>
      </c>
      <c r="B776" s="316" t="s">
        <v>212</v>
      </c>
      <c r="C776" s="293" t="s">
        <v>31</v>
      </c>
      <c r="D776" s="293" t="s">
        <v>2297</v>
      </c>
      <c r="E776" s="248">
        <v>-178.32</v>
      </c>
      <c r="F776" s="254" t="s">
        <v>8</v>
      </c>
      <c r="G776" s="254" t="s">
        <v>124</v>
      </c>
    </row>
    <row r="777" spans="1:7" s="250" customFormat="1" ht="13.8" hidden="1" x14ac:dyDescent="0.3">
      <c r="A777" s="316">
        <v>45964</v>
      </c>
      <c r="B777" s="316" t="s">
        <v>212</v>
      </c>
      <c r="C777" s="293" t="s">
        <v>31</v>
      </c>
      <c r="D777" s="293" t="s">
        <v>2298</v>
      </c>
      <c r="E777" s="248">
        <v>-175.69</v>
      </c>
      <c r="F777" s="254" t="s">
        <v>8</v>
      </c>
      <c r="G777" s="254" t="s">
        <v>124</v>
      </c>
    </row>
    <row r="778" spans="1:7" s="250" customFormat="1" ht="13.8" hidden="1" x14ac:dyDescent="0.3">
      <c r="A778" s="316">
        <v>45964</v>
      </c>
      <c r="B778" s="316" t="s">
        <v>212</v>
      </c>
      <c r="C778" s="293" t="s">
        <v>31</v>
      </c>
      <c r="D778" s="293" t="s">
        <v>2299</v>
      </c>
      <c r="E778" s="248">
        <v>-183.57</v>
      </c>
      <c r="F778" s="254" t="s">
        <v>8</v>
      </c>
      <c r="G778" s="254" t="s">
        <v>124</v>
      </c>
    </row>
    <row r="779" spans="1:7" s="250" customFormat="1" ht="13.8" hidden="1" x14ac:dyDescent="0.3">
      <c r="A779" s="316">
        <v>45964</v>
      </c>
      <c r="B779" s="316" t="s">
        <v>212</v>
      </c>
      <c r="C779" s="293" t="s">
        <v>31</v>
      </c>
      <c r="D779" s="293" t="s">
        <v>2300</v>
      </c>
      <c r="E779" s="248">
        <v>-176.53</v>
      </c>
      <c r="F779" s="254" t="s">
        <v>8</v>
      </c>
      <c r="G779" s="254" t="s">
        <v>124</v>
      </c>
    </row>
    <row r="780" spans="1:7" s="250" customFormat="1" ht="13.8" hidden="1" x14ac:dyDescent="0.3">
      <c r="A780" s="316">
        <v>45964</v>
      </c>
      <c r="B780" s="316" t="s">
        <v>212</v>
      </c>
      <c r="C780" s="293" t="s">
        <v>1571</v>
      </c>
      <c r="D780" s="253" t="s">
        <v>1471</v>
      </c>
      <c r="E780" s="248">
        <v>-1846.33</v>
      </c>
      <c r="F780" s="249" t="s">
        <v>8</v>
      </c>
      <c r="G780" s="255" t="s">
        <v>1472</v>
      </c>
    </row>
    <row r="781" spans="1:7" s="139" customFormat="1" ht="13.8" hidden="1" x14ac:dyDescent="0.3">
      <c r="A781" s="100">
        <v>45994</v>
      </c>
      <c r="B781" s="100" t="s">
        <v>216</v>
      </c>
      <c r="C781" s="14" t="s">
        <v>17</v>
      </c>
      <c r="D781" s="14" t="s">
        <v>1471</v>
      </c>
      <c r="E781" s="8">
        <v>-1846.33</v>
      </c>
      <c r="F781" s="13" t="s">
        <v>8</v>
      </c>
      <c r="G781" s="5" t="s">
        <v>1472</v>
      </c>
    </row>
    <row r="782" spans="1:7" s="250" customFormat="1" ht="13.8" hidden="1" x14ac:dyDescent="0.3">
      <c r="A782" s="316">
        <v>45964</v>
      </c>
      <c r="B782" s="316" t="s">
        <v>212</v>
      </c>
      <c r="C782" s="252" t="s">
        <v>20</v>
      </c>
      <c r="D782" s="253" t="s">
        <v>21</v>
      </c>
      <c r="E782" s="317">
        <v>-971.84</v>
      </c>
      <c r="F782" s="249" t="s">
        <v>8</v>
      </c>
      <c r="G782" s="255" t="s">
        <v>22</v>
      </c>
    </row>
    <row r="783" spans="1:7" s="139" customFormat="1" ht="13.8" hidden="1" x14ac:dyDescent="0.3">
      <c r="A783" s="100">
        <v>45965</v>
      </c>
      <c r="B783" s="100" t="s">
        <v>212</v>
      </c>
      <c r="C783" s="15" t="s">
        <v>6</v>
      </c>
      <c r="D783" s="4" t="s">
        <v>23</v>
      </c>
      <c r="E783" s="16">
        <v>-3809.98</v>
      </c>
      <c r="F783" s="13" t="s">
        <v>8</v>
      </c>
      <c r="G783" s="5" t="s">
        <v>24</v>
      </c>
    </row>
    <row r="784" spans="1:7" s="139" customFormat="1" ht="13.8" hidden="1" x14ac:dyDescent="0.3">
      <c r="A784" s="100">
        <v>45966</v>
      </c>
      <c r="B784" s="100" t="s">
        <v>212</v>
      </c>
      <c r="C784" s="328" t="s">
        <v>71</v>
      </c>
      <c r="D784" s="328" t="s">
        <v>205</v>
      </c>
      <c r="E784" s="8">
        <v>-834.01</v>
      </c>
      <c r="F784" s="13" t="s">
        <v>8</v>
      </c>
      <c r="G784" s="448" t="s">
        <v>227</v>
      </c>
    </row>
    <row r="785" spans="1:7" s="139" customFormat="1" ht="13.8" hidden="1" x14ac:dyDescent="0.3">
      <c r="A785" s="100">
        <v>45965</v>
      </c>
      <c r="B785" s="100" t="s">
        <v>212</v>
      </c>
      <c r="C785" s="328" t="s">
        <v>25</v>
      </c>
      <c r="D785" s="328" t="s">
        <v>2277</v>
      </c>
      <c r="E785" s="329">
        <v>-186</v>
      </c>
      <c r="F785" s="13" t="s">
        <v>8</v>
      </c>
      <c r="G785" s="448" t="s">
        <v>82</v>
      </c>
    </row>
    <row r="786" spans="1:7" s="139" customFormat="1" ht="13.8" hidden="1" x14ac:dyDescent="0.3">
      <c r="A786" s="100">
        <v>45965</v>
      </c>
      <c r="B786" s="100" t="s">
        <v>212</v>
      </c>
      <c r="C786" s="328" t="s">
        <v>25</v>
      </c>
      <c r="D786" s="328" t="s">
        <v>2278</v>
      </c>
      <c r="E786" s="329">
        <v>-184.5</v>
      </c>
      <c r="F786" s="13" t="s">
        <v>8</v>
      </c>
      <c r="G786" s="448" t="s">
        <v>82</v>
      </c>
    </row>
    <row r="787" spans="1:7" s="139" customFormat="1" ht="13.8" hidden="1" x14ac:dyDescent="0.3">
      <c r="A787" s="100">
        <v>45965</v>
      </c>
      <c r="B787" s="100" t="s">
        <v>212</v>
      </c>
      <c r="C787" s="328" t="s">
        <v>25</v>
      </c>
      <c r="D787" s="328" t="s">
        <v>2279</v>
      </c>
      <c r="E787" s="329">
        <v>-349.5</v>
      </c>
      <c r="F787" s="13" t="s">
        <v>8</v>
      </c>
      <c r="G787" s="448" t="s">
        <v>82</v>
      </c>
    </row>
    <row r="788" spans="1:7" s="139" customFormat="1" ht="13.8" hidden="1" x14ac:dyDescent="0.3">
      <c r="A788" s="100">
        <v>45965</v>
      </c>
      <c r="B788" s="100" t="s">
        <v>212</v>
      </c>
      <c r="C788" s="328" t="s">
        <v>25</v>
      </c>
      <c r="D788" s="328" t="s">
        <v>2280</v>
      </c>
      <c r="E788" s="329">
        <v>-90.3</v>
      </c>
      <c r="F788" s="13" t="s">
        <v>8</v>
      </c>
      <c r="G788" s="448" t="s">
        <v>82</v>
      </c>
    </row>
    <row r="789" spans="1:7" s="139" customFormat="1" ht="13.8" hidden="1" x14ac:dyDescent="0.3">
      <c r="A789" s="100">
        <v>45965</v>
      </c>
      <c r="B789" s="100" t="s">
        <v>212</v>
      </c>
      <c r="C789" s="328" t="s">
        <v>71</v>
      </c>
      <c r="D789" s="328" t="s">
        <v>205</v>
      </c>
      <c r="E789" s="329">
        <v>-2367.3597629999999</v>
      </c>
      <c r="F789" s="13" t="s">
        <v>8</v>
      </c>
      <c r="G789" s="448" t="s">
        <v>227</v>
      </c>
    </row>
    <row r="790" spans="1:7" s="139" customFormat="1" ht="13.8" hidden="1" x14ac:dyDescent="0.3">
      <c r="A790" s="100">
        <v>45965</v>
      </c>
      <c r="B790" s="100" t="s">
        <v>212</v>
      </c>
      <c r="C790" s="12" t="s">
        <v>6</v>
      </c>
      <c r="D790" s="4" t="s">
        <v>1879</v>
      </c>
      <c r="E790" s="16">
        <v>-349</v>
      </c>
      <c r="F790" s="13" t="s">
        <v>8</v>
      </c>
      <c r="G790" s="5" t="s">
        <v>29</v>
      </c>
    </row>
    <row r="791" spans="1:7" s="139" customFormat="1" ht="13.8" hidden="1" x14ac:dyDescent="0.3">
      <c r="A791" s="100">
        <v>45965</v>
      </c>
      <c r="B791" s="100" t="s">
        <v>212</v>
      </c>
      <c r="C791" s="12" t="s">
        <v>30</v>
      </c>
      <c r="D791" s="4" t="s">
        <v>1879</v>
      </c>
      <c r="E791" s="16">
        <v>-389</v>
      </c>
      <c r="F791" s="13" t="s">
        <v>8</v>
      </c>
      <c r="G791" s="5" t="s">
        <v>29</v>
      </c>
    </row>
    <row r="792" spans="1:7" s="139" customFormat="1" ht="13.8" hidden="1" x14ac:dyDescent="0.3">
      <c r="A792" s="100">
        <v>45965</v>
      </c>
      <c r="B792" s="100" t="s">
        <v>212</v>
      </c>
      <c r="C792" s="12" t="s">
        <v>25</v>
      </c>
      <c r="D792" s="4" t="s">
        <v>1879</v>
      </c>
      <c r="E792" s="16">
        <v>-349</v>
      </c>
      <c r="F792" s="13" t="s">
        <v>8</v>
      </c>
      <c r="G792" s="5" t="s">
        <v>29</v>
      </c>
    </row>
    <row r="793" spans="1:7" s="139" customFormat="1" ht="13.8" hidden="1" x14ac:dyDescent="0.3">
      <c r="A793" s="100">
        <v>45965</v>
      </c>
      <c r="B793" s="100" t="s">
        <v>212</v>
      </c>
      <c r="C793" s="12" t="s">
        <v>31</v>
      </c>
      <c r="D793" s="4" t="s">
        <v>1879</v>
      </c>
      <c r="E793" s="16">
        <v>-349</v>
      </c>
      <c r="F793" s="13" t="s">
        <v>8</v>
      </c>
      <c r="G793" s="5" t="s">
        <v>29</v>
      </c>
    </row>
    <row r="794" spans="1:7" s="139" customFormat="1" ht="13.8" hidden="1" x14ac:dyDescent="0.3">
      <c r="A794" s="100">
        <v>45967</v>
      </c>
      <c r="B794" s="100" t="s">
        <v>212</v>
      </c>
      <c r="C794" s="328" t="s">
        <v>17</v>
      </c>
      <c r="D794" s="328" t="s">
        <v>389</v>
      </c>
      <c r="E794" s="329">
        <v>-11.459645999999999</v>
      </c>
      <c r="F794" s="448" t="s">
        <v>8</v>
      </c>
      <c r="G794" s="5" t="s">
        <v>1279</v>
      </c>
    </row>
    <row r="795" spans="1:7" s="139" customFormat="1" ht="13.8" hidden="1" x14ac:dyDescent="0.3">
      <c r="A795" s="100">
        <v>45967</v>
      </c>
      <c r="B795" s="100" t="s">
        <v>212</v>
      </c>
      <c r="C795" s="328" t="s">
        <v>17</v>
      </c>
      <c r="D795" s="328" t="s">
        <v>389</v>
      </c>
      <c r="E795" s="329">
        <v>-91.450354000000004</v>
      </c>
      <c r="F795" s="448" t="s">
        <v>8</v>
      </c>
      <c r="G795" s="5" t="s">
        <v>1279</v>
      </c>
    </row>
    <row r="796" spans="1:7" s="139" customFormat="1" ht="13.8" hidden="1" x14ac:dyDescent="0.3">
      <c r="A796" s="100">
        <v>45965</v>
      </c>
      <c r="B796" s="100" t="s">
        <v>212</v>
      </c>
      <c r="C796" s="12" t="s">
        <v>33</v>
      </c>
      <c r="D796" s="4" t="s">
        <v>1879</v>
      </c>
      <c r="E796" s="16">
        <v>-389</v>
      </c>
      <c r="F796" s="13" t="s">
        <v>8</v>
      </c>
      <c r="G796" s="5" t="s">
        <v>29</v>
      </c>
    </row>
    <row r="797" spans="1:7" s="139" customFormat="1" ht="13.8" hidden="1" x14ac:dyDescent="0.3">
      <c r="A797" s="100">
        <v>45965</v>
      </c>
      <c r="B797" s="100" t="s">
        <v>212</v>
      </c>
      <c r="C797" s="12" t="s">
        <v>34</v>
      </c>
      <c r="D797" s="4" t="s">
        <v>1879</v>
      </c>
      <c r="E797" s="16">
        <v>-389</v>
      </c>
      <c r="F797" s="13" t="s">
        <v>8</v>
      </c>
      <c r="G797" s="5" t="s">
        <v>29</v>
      </c>
    </row>
    <row r="798" spans="1:7" s="139" customFormat="1" ht="13.8" hidden="1" x14ac:dyDescent="0.3">
      <c r="A798" s="100">
        <v>45966</v>
      </c>
      <c r="B798" s="100" t="s">
        <v>212</v>
      </c>
      <c r="C798" s="14" t="s">
        <v>44</v>
      </c>
      <c r="D798" s="14" t="s">
        <v>204</v>
      </c>
      <c r="E798" s="8">
        <v>-4057.41</v>
      </c>
      <c r="F798" s="13" t="s">
        <v>8</v>
      </c>
      <c r="G798" s="9" t="s">
        <v>227</v>
      </c>
    </row>
    <row r="799" spans="1:7" s="139" customFormat="1" ht="13.8" hidden="1" x14ac:dyDescent="0.3">
      <c r="A799" s="100">
        <v>45966</v>
      </c>
      <c r="B799" s="100" t="s">
        <v>212</v>
      </c>
      <c r="C799" s="328" t="s">
        <v>25</v>
      </c>
      <c r="D799" s="328" t="s">
        <v>2233</v>
      </c>
      <c r="E799" s="329">
        <v>-45</v>
      </c>
      <c r="F799" s="13" t="s">
        <v>8</v>
      </c>
      <c r="G799" s="448" t="s">
        <v>111</v>
      </c>
    </row>
    <row r="800" spans="1:7" s="139" customFormat="1" ht="13.8" hidden="1" x14ac:dyDescent="0.3">
      <c r="A800" s="113">
        <v>45966</v>
      </c>
      <c r="B800" s="113" t="s">
        <v>212</v>
      </c>
      <c r="C800" s="97" t="s">
        <v>71</v>
      </c>
      <c r="D800" s="97" t="s">
        <v>1326</v>
      </c>
      <c r="E800" s="77">
        <v>-643.75984300000005</v>
      </c>
      <c r="F800" s="27" t="s">
        <v>8</v>
      </c>
      <c r="G800" s="91" t="s">
        <v>227</v>
      </c>
    </row>
    <row r="801" spans="1:7" s="4" customFormat="1" ht="13.8" hidden="1" x14ac:dyDescent="0.3">
      <c r="A801" s="100">
        <v>45966</v>
      </c>
      <c r="B801" s="100" t="s">
        <v>212</v>
      </c>
      <c r="C801" s="328" t="s">
        <v>25</v>
      </c>
      <c r="D801" s="328" t="s">
        <v>2302</v>
      </c>
      <c r="E801" s="329">
        <v>-118</v>
      </c>
      <c r="F801" s="27" t="s">
        <v>8</v>
      </c>
      <c r="G801" s="448" t="s">
        <v>82</v>
      </c>
    </row>
    <row r="802" spans="1:7" s="4" customFormat="1" ht="13.8" hidden="1" x14ac:dyDescent="0.3">
      <c r="A802" s="100">
        <v>45966</v>
      </c>
      <c r="B802" s="100" t="s">
        <v>212</v>
      </c>
      <c r="C802" s="328" t="s">
        <v>25</v>
      </c>
      <c r="D802" s="328" t="s">
        <v>2303</v>
      </c>
      <c r="E802" s="329">
        <v>-118</v>
      </c>
      <c r="F802" s="27" t="s">
        <v>8</v>
      </c>
      <c r="G802" s="448" t="s">
        <v>82</v>
      </c>
    </row>
    <row r="803" spans="1:7" s="4" customFormat="1" ht="13.8" hidden="1" x14ac:dyDescent="0.3">
      <c r="A803" s="100">
        <v>45966</v>
      </c>
      <c r="B803" s="100" t="s">
        <v>212</v>
      </c>
      <c r="C803" s="328" t="s">
        <v>25</v>
      </c>
      <c r="D803" s="328" t="s">
        <v>445</v>
      </c>
      <c r="E803" s="329">
        <v>-118</v>
      </c>
      <c r="F803" s="27" t="s">
        <v>8</v>
      </c>
      <c r="G803" s="448" t="s">
        <v>82</v>
      </c>
    </row>
    <row r="804" spans="1:7" s="4" customFormat="1" ht="13.8" hidden="1" x14ac:dyDescent="0.3">
      <c r="A804" s="100">
        <v>45966</v>
      </c>
      <c r="B804" s="100" t="s">
        <v>212</v>
      </c>
      <c r="C804" s="328" t="s">
        <v>1571</v>
      </c>
      <c r="D804" s="328" t="s">
        <v>2304</v>
      </c>
      <c r="E804" s="329">
        <v>-86.1</v>
      </c>
      <c r="F804" s="27" t="s">
        <v>8</v>
      </c>
      <c r="G804" s="448" t="s">
        <v>82</v>
      </c>
    </row>
    <row r="805" spans="1:7" s="4" customFormat="1" ht="13.8" hidden="1" x14ac:dyDescent="0.3">
      <c r="A805" s="100">
        <v>45966</v>
      </c>
      <c r="B805" s="100" t="s">
        <v>212</v>
      </c>
      <c r="C805" s="328" t="s">
        <v>1571</v>
      </c>
      <c r="D805" s="328" t="s">
        <v>2305</v>
      </c>
      <c r="E805" s="329">
        <v>-86.1</v>
      </c>
      <c r="F805" s="27" t="s">
        <v>8</v>
      </c>
      <c r="G805" s="448" t="s">
        <v>82</v>
      </c>
    </row>
    <row r="806" spans="1:7" s="4" customFormat="1" ht="13.8" hidden="1" x14ac:dyDescent="0.3">
      <c r="A806" s="100">
        <v>45966</v>
      </c>
      <c r="B806" s="100" t="s">
        <v>212</v>
      </c>
      <c r="C806" s="328" t="s">
        <v>1571</v>
      </c>
      <c r="D806" s="328" t="s">
        <v>2306</v>
      </c>
      <c r="E806" s="329">
        <v>-205.1</v>
      </c>
      <c r="F806" s="27" t="s">
        <v>8</v>
      </c>
      <c r="G806" s="448" t="s">
        <v>82</v>
      </c>
    </row>
    <row r="807" spans="1:7" s="4" customFormat="1" ht="13.8" hidden="1" x14ac:dyDescent="0.3">
      <c r="A807" s="100">
        <v>45966</v>
      </c>
      <c r="B807" s="100" t="s">
        <v>212</v>
      </c>
      <c r="C807" s="328" t="s">
        <v>71</v>
      </c>
      <c r="D807" s="328" t="s">
        <v>228</v>
      </c>
      <c r="E807" s="329">
        <v>-376.15</v>
      </c>
      <c r="F807" s="13" t="s">
        <v>8</v>
      </c>
      <c r="G807" s="5" t="s">
        <v>37</v>
      </c>
    </row>
    <row r="808" spans="1:7" s="139" customFormat="1" ht="13.8" hidden="1" x14ac:dyDescent="0.3">
      <c r="A808" s="146">
        <v>45967</v>
      </c>
      <c r="B808" s="146" t="s">
        <v>212</v>
      </c>
      <c r="C808" s="108" t="s">
        <v>6</v>
      </c>
      <c r="D808" s="575" t="s">
        <v>2234</v>
      </c>
      <c r="E808" s="10">
        <v>-471455.19</v>
      </c>
      <c r="F808" s="13" t="s">
        <v>8</v>
      </c>
      <c r="G808" s="5" t="s">
        <v>41</v>
      </c>
    </row>
    <row r="809" spans="1:7" s="139" customFormat="1" ht="13.8" hidden="1" x14ac:dyDescent="0.3">
      <c r="A809" s="100">
        <v>45967</v>
      </c>
      <c r="B809" s="100" t="s">
        <v>212</v>
      </c>
      <c r="C809" s="328" t="s">
        <v>25</v>
      </c>
      <c r="D809" s="1165" t="s">
        <v>1452</v>
      </c>
      <c r="E809" s="329">
        <v>-1934.06</v>
      </c>
      <c r="F809" s="448" t="s">
        <v>8</v>
      </c>
      <c r="G809" s="448" t="s">
        <v>75</v>
      </c>
    </row>
    <row r="810" spans="1:7" s="139" customFormat="1" ht="13.8" hidden="1" x14ac:dyDescent="0.3">
      <c r="A810" s="100">
        <v>45967</v>
      </c>
      <c r="B810" s="100" t="s">
        <v>212</v>
      </c>
      <c r="C810" s="328" t="s">
        <v>25</v>
      </c>
      <c r="D810" s="1165" t="s">
        <v>1179</v>
      </c>
      <c r="E810" s="329">
        <v>-1829.89</v>
      </c>
      <c r="F810" s="13" t="s">
        <v>8</v>
      </c>
      <c r="G810" s="448" t="s">
        <v>75</v>
      </c>
    </row>
    <row r="811" spans="1:7" s="139" customFormat="1" ht="13.8" hidden="1" x14ac:dyDescent="0.3">
      <c r="A811" s="100">
        <v>45967</v>
      </c>
      <c r="B811" s="100" t="s">
        <v>212</v>
      </c>
      <c r="C811" s="328" t="s">
        <v>31</v>
      </c>
      <c r="D811" s="328" t="s">
        <v>2309</v>
      </c>
      <c r="E811" s="329">
        <v>-6022.53</v>
      </c>
      <c r="F811" s="13" t="s">
        <v>8</v>
      </c>
      <c r="G811" s="448" t="s">
        <v>75</v>
      </c>
    </row>
    <row r="812" spans="1:7" s="139" customFormat="1" ht="13.8" hidden="1" x14ac:dyDescent="0.3">
      <c r="A812" s="100">
        <v>45967</v>
      </c>
      <c r="B812" s="100" t="s">
        <v>212</v>
      </c>
      <c r="C812" s="12" t="s">
        <v>6</v>
      </c>
      <c r="D812" s="4" t="s">
        <v>42</v>
      </c>
      <c r="E812" s="16">
        <v>-500</v>
      </c>
      <c r="F812" s="13" t="s">
        <v>8</v>
      </c>
      <c r="G812" s="5" t="s">
        <v>41</v>
      </c>
    </row>
    <row r="813" spans="1:7" s="139" customFormat="1" ht="13.8" hidden="1" x14ac:dyDescent="0.3">
      <c r="A813" s="100">
        <v>45967</v>
      </c>
      <c r="B813" s="100" t="s">
        <v>212</v>
      </c>
      <c r="C813" s="328" t="s">
        <v>1571</v>
      </c>
      <c r="D813" s="328" t="s">
        <v>1804</v>
      </c>
      <c r="E813" s="329">
        <v>-10</v>
      </c>
      <c r="F813" s="13" t="s">
        <v>8</v>
      </c>
      <c r="G813" s="448" t="s">
        <v>386</v>
      </c>
    </row>
    <row r="814" spans="1:7" s="139" customFormat="1" ht="13.8" hidden="1" x14ac:dyDescent="0.3">
      <c r="A814" s="100">
        <v>45967</v>
      </c>
      <c r="B814" s="100" t="s">
        <v>212</v>
      </c>
      <c r="C814" s="328" t="s">
        <v>1571</v>
      </c>
      <c r="D814" s="328" t="s">
        <v>1804</v>
      </c>
      <c r="E814" s="329">
        <v>-10</v>
      </c>
      <c r="F814" s="13" t="s">
        <v>8</v>
      </c>
      <c r="G814" s="448" t="s">
        <v>386</v>
      </c>
    </row>
    <row r="815" spans="1:7" s="139" customFormat="1" ht="13.8" hidden="1" x14ac:dyDescent="0.3">
      <c r="A815" s="100">
        <v>45967</v>
      </c>
      <c r="B815" s="100" t="s">
        <v>212</v>
      </c>
      <c r="C815" s="328" t="s">
        <v>31</v>
      </c>
      <c r="D815" s="328" t="s">
        <v>2310</v>
      </c>
      <c r="E815" s="329">
        <v>-250</v>
      </c>
      <c r="F815" s="13" t="s">
        <v>8</v>
      </c>
      <c r="G815" s="448" t="s">
        <v>82</v>
      </c>
    </row>
    <row r="816" spans="1:7" s="139" customFormat="1" ht="13.8" hidden="1" x14ac:dyDescent="0.3">
      <c r="A816" s="100">
        <v>45967</v>
      </c>
      <c r="B816" s="100" t="s">
        <v>212</v>
      </c>
      <c r="C816" s="328" t="s">
        <v>25</v>
      </c>
      <c r="D816" s="328" t="s">
        <v>701</v>
      </c>
      <c r="E816" s="329">
        <v>-118</v>
      </c>
      <c r="F816" s="13" t="s">
        <v>8</v>
      </c>
      <c r="G816" s="448" t="s">
        <v>82</v>
      </c>
    </row>
    <row r="817" spans="1:7" s="139" customFormat="1" ht="13.8" hidden="1" x14ac:dyDescent="0.3">
      <c r="A817" s="100">
        <v>45967</v>
      </c>
      <c r="B817" s="100" t="s">
        <v>212</v>
      </c>
      <c r="C817" s="328" t="s">
        <v>1571</v>
      </c>
      <c r="D817" s="328" t="s">
        <v>2311</v>
      </c>
      <c r="E817" s="329">
        <v>-168</v>
      </c>
      <c r="F817" s="13" t="s">
        <v>8</v>
      </c>
      <c r="G817" s="448" t="s">
        <v>82</v>
      </c>
    </row>
    <row r="818" spans="1:7" s="139" customFormat="1" ht="13.8" hidden="1" x14ac:dyDescent="0.3">
      <c r="A818" s="100">
        <v>45967</v>
      </c>
      <c r="B818" s="100" t="s">
        <v>212</v>
      </c>
      <c r="C818" s="328" t="s">
        <v>31</v>
      </c>
      <c r="D818" s="328" t="s">
        <v>2307</v>
      </c>
      <c r="E818" s="1014">
        <v>-150</v>
      </c>
      <c r="F818" s="13" t="s">
        <v>8</v>
      </c>
      <c r="G818" s="5" t="s">
        <v>111</v>
      </c>
    </row>
    <row r="819" spans="1:7" s="139" customFormat="1" ht="13.8" hidden="1" x14ac:dyDescent="0.3">
      <c r="A819" s="100">
        <v>45967</v>
      </c>
      <c r="B819" s="100" t="s">
        <v>212</v>
      </c>
      <c r="C819" s="328" t="s">
        <v>1571</v>
      </c>
      <c r="D819" s="328" t="s">
        <v>1705</v>
      </c>
      <c r="E819" s="1014">
        <v>-260</v>
      </c>
      <c r="F819" s="13" t="s">
        <v>8</v>
      </c>
      <c r="G819" s="5" t="s">
        <v>111</v>
      </c>
    </row>
    <row r="820" spans="1:7" s="139" customFormat="1" ht="13.8" hidden="1" x14ac:dyDescent="0.3">
      <c r="A820" s="100">
        <v>45967</v>
      </c>
      <c r="B820" s="100" t="s">
        <v>212</v>
      </c>
      <c r="C820" s="328" t="s">
        <v>1571</v>
      </c>
      <c r="D820" s="328" t="s">
        <v>2308</v>
      </c>
      <c r="E820" s="1014">
        <v>-242</v>
      </c>
      <c r="F820" s="13" t="s">
        <v>8</v>
      </c>
      <c r="G820" s="5" t="s">
        <v>111</v>
      </c>
    </row>
    <row r="821" spans="1:7" s="139" customFormat="1" ht="13.8" hidden="1" x14ac:dyDescent="0.3">
      <c r="A821" s="100">
        <v>45966</v>
      </c>
      <c r="B821" s="100" t="s">
        <v>212</v>
      </c>
      <c r="C821" s="287" t="s">
        <v>6</v>
      </c>
      <c r="D821" s="115" t="s">
        <v>1664</v>
      </c>
      <c r="E821" s="16">
        <v>-15000</v>
      </c>
      <c r="F821" s="13" t="s">
        <v>8</v>
      </c>
      <c r="G821" s="5" t="s">
        <v>41</v>
      </c>
    </row>
    <row r="822" spans="1:7" s="139" customFormat="1" ht="13.8" hidden="1" x14ac:dyDescent="0.3">
      <c r="A822" s="100">
        <v>45975</v>
      </c>
      <c r="B822" s="100" t="s">
        <v>212</v>
      </c>
      <c r="C822" s="6" t="s">
        <v>44</v>
      </c>
      <c r="D822" s="7" t="s">
        <v>209</v>
      </c>
      <c r="E822" s="8">
        <v>-5523.75</v>
      </c>
      <c r="F822" s="13" t="s">
        <v>8</v>
      </c>
      <c r="G822" s="9" t="s">
        <v>46</v>
      </c>
    </row>
    <row r="823" spans="1:7" s="139" customFormat="1" ht="13.8" hidden="1" x14ac:dyDescent="0.3">
      <c r="A823" s="100">
        <v>45968</v>
      </c>
      <c r="B823" s="100" t="s">
        <v>212</v>
      </c>
      <c r="C823" s="84" t="s">
        <v>13</v>
      </c>
      <c r="D823" s="4" t="s">
        <v>1948</v>
      </c>
      <c r="E823" s="16">
        <v>-8000</v>
      </c>
      <c r="F823" s="13" t="s">
        <v>8</v>
      </c>
      <c r="G823" s="5" t="s">
        <v>27</v>
      </c>
    </row>
    <row r="824" spans="1:7" s="139" customFormat="1" ht="13.8" hidden="1" x14ac:dyDescent="0.3">
      <c r="A824" s="100">
        <v>45975</v>
      </c>
      <c r="B824" s="100" t="s">
        <v>212</v>
      </c>
      <c r="C824" s="12" t="s">
        <v>17</v>
      </c>
      <c r="D824" s="784" t="s">
        <v>18</v>
      </c>
      <c r="E824" s="200">
        <v>-13041.15</v>
      </c>
      <c r="F824" s="277" t="s">
        <v>8</v>
      </c>
      <c r="G824" s="5" t="s">
        <v>19</v>
      </c>
    </row>
    <row r="825" spans="1:7" s="139" customFormat="1" ht="13.8" hidden="1" x14ac:dyDescent="0.3">
      <c r="A825" s="78">
        <v>45971</v>
      </c>
      <c r="B825" s="100" t="s">
        <v>212</v>
      </c>
      <c r="C825" s="6" t="s">
        <v>32</v>
      </c>
      <c r="D825" s="643" t="s">
        <v>48</v>
      </c>
      <c r="E825" s="329">
        <v>-733.61</v>
      </c>
      <c r="F825" s="13" t="s">
        <v>8</v>
      </c>
      <c r="G825" s="9" t="s">
        <v>49</v>
      </c>
    </row>
    <row r="826" spans="1:7" s="139" customFormat="1" ht="13.8" hidden="1" x14ac:dyDescent="0.3">
      <c r="A826" s="100">
        <v>45971</v>
      </c>
      <c r="B826" s="100" t="s">
        <v>212</v>
      </c>
      <c r="C826" s="12" t="s">
        <v>13</v>
      </c>
      <c r="D826" s="115" t="s">
        <v>2320</v>
      </c>
      <c r="E826" s="16">
        <v>-8443.8700000000008</v>
      </c>
      <c r="F826" s="13" t="s">
        <v>8</v>
      </c>
      <c r="G826" s="5" t="s">
        <v>51</v>
      </c>
    </row>
    <row r="827" spans="1:7" s="139" customFormat="1" ht="13.8" hidden="1" x14ac:dyDescent="0.3">
      <c r="A827" s="100">
        <v>46001</v>
      </c>
      <c r="B827" s="100" t="s">
        <v>216</v>
      </c>
      <c r="C827" s="12" t="s">
        <v>13</v>
      </c>
      <c r="D827" s="1176" t="s">
        <v>2336</v>
      </c>
      <c r="E827" s="16">
        <v>-3000</v>
      </c>
      <c r="F827" s="13" t="s">
        <v>8</v>
      </c>
      <c r="G827" s="5" t="s">
        <v>58</v>
      </c>
    </row>
    <row r="828" spans="1:7" s="139" customFormat="1" ht="13.8" hidden="1" x14ac:dyDescent="0.3">
      <c r="A828" s="100">
        <v>45971</v>
      </c>
      <c r="B828" s="100" t="s">
        <v>212</v>
      </c>
      <c r="C828" s="12" t="s">
        <v>13</v>
      </c>
      <c r="D828" s="1176" t="s">
        <v>2336</v>
      </c>
      <c r="E828" s="16">
        <v>-3000</v>
      </c>
      <c r="F828" s="13" t="s">
        <v>8</v>
      </c>
      <c r="G828" s="5" t="s">
        <v>58</v>
      </c>
    </row>
    <row r="829" spans="1:7" s="139" customFormat="1" ht="13.8" hidden="1" x14ac:dyDescent="0.3">
      <c r="A829" s="100">
        <v>45971</v>
      </c>
      <c r="B829" s="100" t="s">
        <v>212</v>
      </c>
      <c r="C829" s="12" t="s">
        <v>6</v>
      </c>
      <c r="D829" s="115" t="s">
        <v>52</v>
      </c>
      <c r="E829" s="329">
        <v>-278.13</v>
      </c>
      <c r="F829" s="13" t="s">
        <v>8</v>
      </c>
      <c r="G829" s="5" t="s">
        <v>53</v>
      </c>
    </row>
    <row r="830" spans="1:7" s="139" customFormat="1" ht="13.8" hidden="1" x14ac:dyDescent="0.3">
      <c r="A830" s="100">
        <v>45986</v>
      </c>
      <c r="B830" s="100" t="s">
        <v>212</v>
      </c>
      <c r="C830" s="12" t="s">
        <v>13</v>
      </c>
      <c r="D830" s="4" t="s">
        <v>54</v>
      </c>
      <c r="E830" s="16">
        <v>-1000</v>
      </c>
      <c r="F830" s="13" t="s">
        <v>8</v>
      </c>
      <c r="G830" s="5" t="s">
        <v>55</v>
      </c>
    </row>
    <row r="831" spans="1:7" s="139" customFormat="1" ht="13.8" hidden="1" x14ac:dyDescent="0.3">
      <c r="A831" s="100">
        <v>45971</v>
      </c>
      <c r="B831" s="100" t="s">
        <v>212</v>
      </c>
      <c r="C831" s="12" t="s">
        <v>6</v>
      </c>
      <c r="D831" s="115" t="s">
        <v>2335</v>
      </c>
      <c r="E831" s="16">
        <v>-898.4</v>
      </c>
      <c r="F831" s="13" t="s">
        <v>8</v>
      </c>
      <c r="G831" s="5" t="s">
        <v>58</v>
      </c>
    </row>
    <row r="832" spans="1:7" s="139" customFormat="1" ht="13.8" hidden="1" x14ac:dyDescent="0.3">
      <c r="A832" s="100">
        <v>45971</v>
      </c>
      <c r="B832" s="100" t="s">
        <v>212</v>
      </c>
      <c r="C832" s="12" t="s">
        <v>17</v>
      </c>
      <c r="D832" s="115" t="s">
        <v>484</v>
      </c>
      <c r="E832" s="16">
        <v>-10500</v>
      </c>
      <c r="F832" s="13" t="s">
        <v>8</v>
      </c>
      <c r="G832" s="5" t="s">
        <v>56</v>
      </c>
    </row>
    <row r="833" spans="1:7" s="139" customFormat="1" ht="13.8" hidden="1" x14ac:dyDescent="0.3">
      <c r="A833" s="100">
        <v>45978</v>
      </c>
      <c r="B833" s="100" t="s">
        <v>212</v>
      </c>
      <c r="C833" s="12" t="s">
        <v>13</v>
      </c>
      <c r="D833" s="4" t="s">
        <v>57</v>
      </c>
      <c r="E833" s="16">
        <v>-1000</v>
      </c>
      <c r="F833" s="13" t="s">
        <v>8</v>
      </c>
      <c r="G833" s="5" t="s">
        <v>55</v>
      </c>
    </row>
    <row r="834" spans="1:7" s="139" customFormat="1" ht="13.8" hidden="1" x14ac:dyDescent="0.3">
      <c r="A834" s="100">
        <v>45971</v>
      </c>
      <c r="B834" s="100" t="s">
        <v>212</v>
      </c>
      <c r="C834" s="12" t="s">
        <v>44</v>
      </c>
      <c r="D834" s="115" t="s">
        <v>60</v>
      </c>
      <c r="E834" s="8">
        <v>-7530.4</v>
      </c>
      <c r="F834" s="5" t="s">
        <v>8</v>
      </c>
      <c r="G834" s="5" t="s">
        <v>61</v>
      </c>
    </row>
    <row r="835" spans="1:7" s="139" customFormat="1" ht="13.8" hidden="1" x14ac:dyDescent="0.3">
      <c r="A835" s="100">
        <v>45971</v>
      </c>
      <c r="B835" s="100" t="s">
        <v>212</v>
      </c>
      <c r="C835" s="12" t="s">
        <v>6</v>
      </c>
      <c r="D835" s="115" t="s">
        <v>1027</v>
      </c>
      <c r="E835" s="329">
        <v>-6551.88</v>
      </c>
      <c r="F835" s="13" t="s">
        <v>8</v>
      </c>
      <c r="G835" s="5" t="s">
        <v>63</v>
      </c>
    </row>
    <row r="836" spans="1:7" s="139" customFormat="1" ht="13.8" hidden="1" x14ac:dyDescent="0.3">
      <c r="A836" s="100">
        <v>45971</v>
      </c>
      <c r="B836" s="100" t="s">
        <v>212</v>
      </c>
      <c r="C836" s="15" t="s">
        <v>64</v>
      </c>
      <c r="D836" s="115" t="s">
        <v>65</v>
      </c>
      <c r="E836" s="16">
        <v>-432</v>
      </c>
      <c r="F836" s="13" t="s">
        <v>8</v>
      </c>
      <c r="G836" s="5" t="s">
        <v>39</v>
      </c>
    </row>
    <row r="837" spans="1:7" s="139" customFormat="1" ht="13.8" hidden="1" x14ac:dyDescent="0.3">
      <c r="A837" s="100">
        <v>45971</v>
      </c>
      <c r="B837" s="100" t="s">
        <v>212</v>
      </c>
      <c r="C837" s="15" t="s">
        <v>66</v>
      </c>
      <c r="D837" s="4" t="s">
        <v>67</v>
      </c>
      <c r="E837" s="8">
        <v>-395.73</v>
      </c>
      <c r="F837" s="13" t="s">
        <v>8</v>
      </c>
      <c r="G837" s="5" t="s">
        <v>68</v>
      </c>
    </row>
    <row r="838" spans="1:7" s="139" customFormat="1" ht="13.8" hidden="1" x14ac:dyDescent="0.3">
      <c r="A838" s="100">
        <v>45978</v>
      </c>
      <c r="B838" s="100" t="s">
        <v>212</v>
      </c>
      <c r="C838" s="6" t="s">
        <v>71</v>
      </c>
      <c r="D838" s="7" t="s">
        <v>72</v>
      </c>
      <c r="E838" s="8">
        <v>-4375.75</v>
      </c>
      <c r="F838" s="13" t="s">
        <v>8</v>
      </c>
      <c r="G838" s="9" t="s">
        <v>73</v>
      </c>
    </row>
    <row r="839" spans="1:7" s="139" customFormat="1" ht="13.8" hidden="1" x14ac:dyDescent="0.3">
      <c r="A839" s="100">
        <v>45978</v>
      </c>
      <c r="B839" s="100" t="s">
        <v>212</v>
      </c>
      <c r="C839" s="6" t="s">
        <v>71</v>
      </c>
      <c r="D839" s="7" t="s">
        <v>72</v>
      </c>
      <c r="E839" s="8">
        <v>-2173.96</v>
      </c>
      <c r="F839" s="13" t="s">
        <v>8</v>
      </c>
      <c r="G839" s="9" t="s">
        <v>73</v>
      </c>
    </row>
    <row r="840" spans="1:7" s="139" customFormat="1" ht="13.8" hidden="1" x14ac:dyDescent="0.3">
      <c r="A840" s="100">
        <v>45978</v>
      </c>
      <c r="B840" s="100" t="s">
        <v>212</v>
      </c>
      <c r="C840" s="12" t="s">
        <v>6</v>
      </c>
      <c r="D840" s="4" t="s">
        <v>1664</v>
      </c>
      <c r="E840" s="16">
        <v>-55000</v>
      </c>
      <c r="F840" s="5" t="s">
        <v>8</v>
      </c>
      <c r="G840" s="5" t="s">
        <v>41</v>
      </c>
    </row>
    <row r="841" spans="1:7" s="139" customFormat="1" ht="13.8" hidden="1" x14ac:dyDescent="0.3">
      <c r="A841" s="100">
        <v>45978</v>
      </c>
      <c r="B841" s="100" t="s">
        <v>212</v>
      </c>
      <c r="C841" s="12" t="s">
        <v>6</v>
      </c>
      <c r="D841" s="4" t="s">
        <v>78</v>
      </c>
      <c r="E841" s="16">
        <v>-45000</v>
      </c>
      <c r="F841" s="13" t="s">
        <v>8</v>
      </c>
      <c r="G841" s="5" t="s">
        <v>78</v>
      </c>
    </row>
    <row r="842" spans="1:7" s="139" customFormat="1" ht="13.8" hidden="1" x14ac:dyDescent="0.3">
      <c r="A842" s="100">
        <v>45978</v>
      </c>
      <c r="B842" s="100" t="s">
        <v>212</v>
      </c>
      <c r="C842" s="12" t="s">
        <v>6</v>
      </c>
      <c r="D842" s="4" t="s">
        <v>1882</v>
      </c>
      <c r="E842" s="16">
        <v>-95000</v>
      </c>
      <c r="F842" s="13" t="s">
        <v>8</v>
      </c>
      <c r="G842" s="5" t="s">
        <v>19</v>
      </c>
    </row>
    <row r="843" spans="1:7" s="139" customFormat="1" ht="13.8" hidden="1" x14ac:dyDescent="0.3">
      <c r="A843" s="100">
        <v>45978</v>
      </c>
      <c r="B843" s="100" t="s">
        <v>212</v>
      </c>
      <c r="C843" s="12" t="s">
        <v>80</v>
      </c>
      <c r="D843" s="4" t="s">
        <v>81</v>
      </c>
      <c r="E843" s="16">
        <v>-10000</v>
      </c>
      <c r="F843" s="13" t="s">
        <v>8</v>
      </c>
      <c r="G843" s="5" t="s">
        <v>82</v>
      </c>
    </row>
    <row r="844" spans="1:7" s="139" customFormat="1" ht="13.8" hidden="1" x14ac:dyDescent="0.3">
      <c r="A844" s="100">
        <v>45978</v>
      </c>
      <c r="B844" s="100" t="s">
        <v>212</v>
      </c>
      <c r="C844" s="12" t="s">
        <v>17</v>
      </c>
      <c r="D844" s="4" t="s">
        <v>83</v>
      </c>
      <c r="E844" s="16">
        <v>-20000</v>
      </c>
      <c r="F844" s="13" t="s">
        <v>8</v>
      </c>
      <c r="G844" s="5" t="s">
        <v>58</v>
      </c>
    </row>
    <row r="845" spans="1:7" s="139" customFormat="1" ht="13.8" hidden="1" x14ac:dyDescent="0.3">
      <c r="A845" s="100">
        <v>45978</v>
      </c>
      <c r="B845" s="100" t="s">
        <v>212</v>
      </c>
      <c r="C845" s="6" t="s">
        <v>17</v>
      </c>
      <c r="D845" s="7" t="s">
        <v>86</v>
      </c>
      <c r="E845" s="16">
        <v>-145</v>
      </c>
      <c r="F845" s="5" t="s">
        <v>8</v>
      </c>
      <c r="G845" s="5" t="s">
        <v>85</v>
      </c>
    </row>
    <row r="846" spans="1:7" s="139" customFormat="1" ht="13.8" hidden="1" x14ac:dyDescent="0.3">
      <c r="A846" s="100">
        <v>45978</v>
      </c>
      <c r="B846" s="100" t="s">
        <v>212</v>
      </c>
      <c r="C846" s="12" t="s">
        <v>13</v>
      </c>
      <c r="D846" s="4" t="s">
        <v>87</v>
      </c>
      <c r="E846" s="16">
        <v>-1375</v>
      </c>
      <c r="F846" s="5" t="s">
        <v>8</v>
      </c>
      <c r="G846" s="5" t="s">
        <v>41</v>
      </c>
    </row>
    <row r="847" spans="1:7" s="139" customFormat="1" ht="13.8" hidden="1" x14ac:dyDescent="0.3">
      <c r="A847" s="100">
        <v>45978</v>
      </c>
      <c r="B847" s="100" t="s">
        <v>212</v>
      </c>
      <c r="C847" s="12" t="s">
        <v>6</v>
      </c>
      <c r="D847" s="4" t="s">
        <v>89</v>
      </c>
      <c r="E847" s="16">
        <v>-6500</v>
      </c>
      <c r="F847" s="5" t="s">
        <v>8</v>
      </c>
      <c r="G847" s="5" t="s">
        <v>63</v>
      </c>
    </row>
    <row r="848" spans="1:7" s="139" customFormat="1" ht="13.8" hidden="1" x14ac:dyDescent="0.3">
      <c r="A848" s="100">
        <v>45978</v>
      </c>
      <c r="B848" s="100" t="s">
        <v>212</v>
      </c>
      <c r="C848" s="12" t="s">
        <v>17</v>
      </c>
      <c r="D848" s="4" t="s">
        <v>90</v>
      </c>
      <c r="E848" s="16">
        <v>-12000</v>
      </c>
      <c r="F848" s="13" t="s">
        <v>8</v>
      </c>
      <c r="G848" s="5" t="s">
        <v>91</v>
      </c>
    </row>
    <row r="849" spans="1:7" s="139" customFormat="1" ht="13.8" hidden="1" x14ac:dyDescent="0.3">
      <c r="A849" s="100">
        <v>45978</v>
      </c>
      <c r="B849" s="100" t="s">
        <v>212</v>
      </c>
      <c r="C849" s="6" t="s">
        <v>31</v>
      </c>
      <c r="D849" s="104" t="s">
        <v>91</v>
      </c>
      <c r="E849" s="16">
        <v>-2302.0500000000002</v>
      </c>
      <c r="F849" s="13" t="s">
        <v>8</v>
      </c>
      <c r="G849" s="5" t="s">
        <v>91</v>
      </c>
    </row>
    <row r="850" spans="1:7" s="139" customFormat="1" ht="13.8" hidden="1" x14ac:dyDescent="0.3">
      <c r="A850" s="100">
        <v>45978</v>
      </c>
      <c r="B850" s="100" t="s">
        <v>212</v>
      </c>
      <c r="C850" s="15" t="s">
        <v>25</v>
      </c>
      <c r="D850" s="104" t="s">
        <v>91</v>
      </c>
      <c r="E850" s="16">
        <v>-1248.99</v>
      </c>
      <c r="F850" s="13" t="s">
        <v>8</v>
      </c>
      <c r="G850" s="5" t="s">
        <v>91</v>
      </c>
    </row>
    <row r="851" spans="1:7" s="139" customFormat="1" ht="13.8" hidden="1" x14ac:dyDescent="0.3">
      <c r="A851" s="100">
        <v>45974</v>
      </c>
      <c r="B851" s="100" t="s">
        <v>212</v>
      </c>
      <c r="C851" s="330" t="s">
        <v>1571</v>
      </c>
      <c r="D851" s="330" t="s">
        <v>201</v>
      </c>
      <c r="E851" s="1012">
        <v>-324</v>
      </c>
      <c r="F851" s="13" t="s">
        <v>8</v>
      </c>
      <c r="G851" s="5" t="s">
        <v>1440</v>
      </c>
    </row>
    <row r="852" spans="1:7" s="139" customFormat="1" ht="13.8" hidden="1" x14ac:dyDescent="0.3">
      <c r="A852" s="100">
        <v>45974</v>
      </c>
      <c r="B852" s="100" t="s">
        <v>212</v>
      </c>
      <c r="C852" s="12" t="s">
        <v>6</v>
      </c>
      <c r="D852" s="4" t="s">
        <v>566</v>
      </c>
      <c r="E852" s="16">
        <v>-2012.45</v>
      </c>
      <c r="F852" s="13" t="s">
        <v>8</v>
      </c>
      <c r="G852" s="9" t="s">
        <v>46</v>
      </c>
    </row>
    <row r="853" spans="1:7" s="139" customFormat="1" ht="13.8" hidden="1" x14ac:dyDescent="0.3">
      <c r="A853" s="100">
        <v>45978</v>
      </c>
      <c r="B853" s="100" t="s">
        <v>212</v>
      </c>
      <c r="C853" s="12" t="s">
        <v>6</v>
      </c>
      <c r="D853" s="4" t="s">
        <v>92</v>
      </c>
      <c r="E853" s="16">
        <v>-171.1</v>
      </c>
      <c r="F853" s="13" t="s">
        <v>8</v>
      </c>
      <c r="G853" s="5" t="s">
        <v>29</v>
      </c>
    </row>
    <row r="854" spans="1:7" s="139" customFormat="1" ht="13.8" hidden="1" x14ac:dyDescent="0.3">
      <c r="A854" s="100">
        <v>45978</v>
      </c>
      <c r="B854" s="100" t="s">
        <v>212</v>
      </c>
      <c r="C854" s="12" t="s">
        <v>44</v>
      </c>
      <c r="D854" s="4" t="s">
        <v>92</v>
      </c>
      <c r="E854" s="16">
        <v>-171.1</v>
      </c>
      <c r="F854" s="13" t="s">
        <v>8</v>
      </c>
      <c r="G854" s="5" t="s">
        <v>29</v>
      </c>
    </row>
    <row r="855" spans="1:7" s="139" customFormat="1" ht="13.8" hidden="1" x14ac:dyDescent="0.3">
      <c r="A855" s="100">
        <v>45978</v>
      </c>
      <c r="B855" s="100" t="s">
        <v>212</v>
      </c>
      <c r="C855" s="12" t="s">
        <v>13</v>
      </c>
      <c r="D855" s="4" t="s">
        <v>92</v>
      </c>
      <c r="E855" s="16">
        <v>-171.1</v>
      </c>
      <c r="F855" s="13" t="s">
        <v>8</v>
      </c>
      <c r="G855" s="5" t="s">
        <v>29</v>
      </c>
    </row>
    <row r="856" spans="1:7" s="139" customFormat="1" ht="13.8" hidden="1" x14ac:dyDescent="0.3">
      <c r="A856" s="100">
        <v>45978</v>
      </c>
      <c r="B856" s="100" t="s">
        <v>212</v>
      </c>
      <c r="C856" s="12" t="s">
        <v>648</v>
      </c>
      <c r="D856" s="4" t="s">
        <v>92</v>
      </c>
      <c r="E856" s="16">
        <v>-171.1</v>
      </c>
      <c r="F856" s="13" t="s">
        <v>8</v>
      </c>
      <c r="G856" s="5" t="s">
        <v>29</v>
      </c>
    </row>
    <row r="857" spans="1:7" s="139" customFormat="1" ht="13.8" hidden="1" x14ac:dyDescent="0.3">
      <c r="A857" s="100">
        <v>45978</v>
      </c>
      <c r="B857" s="100" t="s">
        <v>212</v>
      </c>
      <c r="C857" s="12" t="s">
        <v>31</v>
      </c>
      <c r="D857" s="4" t="s">
        <v>92</v>
      </c>
      <c r="E857" s="16">
        <v>-171.1</v>
      </c>
      <c r="F857" s="13" t="s">
        <v>8</v>
      </c>
      <c r="G857" s="5" t="s">
        <v>29</v>
      </c>
    </row>
    <row r="858" spans="1:7" s="139" customFormat="1" ht="13.8" hidden="1" x14ac:dyDescent="0.3">
      <c r="A858" s="100">
        <v>45978</v>
      </c>
      <c r="B858" s="100" t="s">
        <v>212</v>
      </c>
      <c r="C858" s="12" t="s">
        <v>64</v>
      </c>
      <c r="D858" s="4" t="s">
        <v>92</v>
      </c>
      <c r="E858" s="16">
        <v>-171.1</v>
      </c>
      <c r="F858" s="13" t="s">
        <v>8</v>
      </c>
      <c r="G858" s="5" t="s">
        <v>29</v>
      </c>
    </row>
    <row r="859" spans="1:7" s="139" customFormat="1" ht="13.8" hidden="1" x14ac:dyDescent="0.3">
      <c r="A859" s="100">
        <v>45978</v>
      </c>
      <c r="B859" s="100" t="s">
        <v>212</v>
      </c>
      <c r="C859" s="6" t="s">
        <v>647</v>
      </c>
      <c r="D859" s="4" t="s">
        <v>92</v>
      </c>
      <c r="E859" s="16">
        <v>-171.1</v>
      </c>
      <c r="F859" s="13" t="s">
        <v>8</v>
      </c>
      <c r="G859" s="5" t="s">
        <v>29</v>
      </c>
    </row>
    <row r="860" spans="1:7" s="139" customFormat="1" ht="13.8" hidden="1" x14ac:dyDescent="0.3">
      <c r="A860" s="100">
        <v>45978</v>
      </c>
      <c r="B860" s="100" t="s">
        <v>212</v>
      </c>
      <c r="C860" s="6" t="s">
        <v>17</v>
      </c>
      <c r="D860" s="4" t="s">
        <v>92</v>
      </c>
      <c r="E860" s="16">
        <v>-171.1</v>
      </c>
      <c r="F860" s="13" t="s">
        <v>8</v>
      </c>
      <c r="G860" s="5" t="s">
        <v>29</v>
      </c>
    </row>
    <row r="861" spans="1:7" s="139" customFormat="1" ht="13.8" hidden="1" x14ac:dyDescent="0.3">
      <c r="A861" s="100">
        <v>45978</v>
      </c>
      <c r="B861" s="100" t="s">
        <v>212</v>
      </c>
      <c r="C861" s="6" t="s">
        <v>30</v>
      </c>
      <c r="D861" s="4" t="s">
        <v>92</v>
      </c>
      <c r="E861" s="16">
        <v>-171.1</v>
      </c>
      <c r="F861" s="13" t="s">
        <v>8</v>
      </c>
      <c r="G861" s="5" t="s">
        <v>29</v>
      </c>
    </row>
    <row r="862" spans="1:7" s="139" customFormat="1" ht="13.8" hidden="1" x14ac:dyDescent="0.3">
      <c r="A862" s="100">
        <v>45978</v>
      </c>
      <c r="B862" s="100" t="s">
        <v>212</v>
      </c>
      <c r="C862" s="6" t="s">
        <v>93</v>
      </c>
      <c r="D862" s="4" t="s">
        <v>92</v>
      </c>
      <c r="E862" s="16">
        <v>-171.1</v>
      </c>
      <c r="F862" s="13" t="s">
        <v>8</v>
      </c>
      <c r="G862" s="5" t="s">
        <v>29</v>
      </c>
    </row>
    <row r="863" spans="1:7" s="139" customFormat="1" ht="13.8" hidden="1" x14ac:dyDescent="0.3">
      <c r="A863" s="100">
        <v>45978</v>
      </c>
      <c r="B863" s="100" t="s">
        <v>212</v>
      </c>
      <c r="C863" s="6" t="s">
        <v>33</v>
      </c>
      <c r="D863" s="4" t="s">
        <v>92</v>
      </c>
      <c r="E863" s="16">
        <v>-171.1</v>
      </c>
      <c r="F863" s="13" t="s">
        <v>8</v>
      </c>
      <c r="G863" s="5" t="s">
        <v>29</v>
      </c>
    </row>
    <row r="864" spans="1:7" s="139" customFormat="1" ht="13.8" hidden="1" x14ac:dyDescent="0.3">
      <c r="A864" s="100">
        <v>45978</v>
      </c>
      <c r="B864" s="100" t="s">
        <v>212</v>
      </c>
      <c r="C864" s="6" t="s">
        <v>94</v>
      </c>
      <c r="D864" s="4" t="s">
        <v>92</v>
      </c>
      <c r="E864" s="16">
        <v>-171.1</v>
      </c>
      <c r="F864" s="13" t="s">
        <v>8</v>
      </c>
      <c r="G864" s="5" t="s">
        <v>29</v>
      </c>
    </row>
    <row r="865" spans="1:7" s="139" customFormat="1" ht="13.8" hidden="1" x14ac:dyDescent="0.3">
      <c r="A865" s="100">
        <v>45978</v>
      </c>
      <c r="B865" s="100" t="s">
        <v>212</v>
      </c>
      <c r="C865" s="6" t="s">
        <v>32</v>
      </c>
      <c r="D865" s="4" t="s">
        <v>92</v>
      </c>
      <c r="E865" s="16">
        <v>-171.1</v>
      </c>
      <c r="F865" s="13" t="s">
        <v>8</v>
      </c>
      <c r="G865" s="5" t="s">
        <v>29</v>
      </c>
    </row>
    <row r="866" spans="1:7" s="139" customFormat="1" ht="13.8" hidden="1" x14ac:dyDescent="0.3">
      <c r="A866" s="100">
        <v>45978</v>
      </c>
      <c r="B866" s="100" t="s">
        <v>212</v>
      </c>
      <c r="C866" s="6" t="s">
        <v>34</v>
      </c>
      <c r="D866" s="4" t="s">
        <v>92</v>
      </c>
      <c r="E866" s="16">
        <v>-171.1</v>
      </c>
      <c r="F866" s="13" t="s">
        <v>8</v>
      </c>
      <c r="G866" s="5" t="s">
        <v>29</v>
      </c>
    </row>
    <row r="867" spans="1:7" s="139" customFormat="1" ht="13.8" hidden="1" x14ac:dyDescent="0.3">
      <c r="A867" s="100">
        <v>45978</v>
      </c>
      <c r="B867" s="100" t="s">
        <v>212</v>
      </c>
      <c r="C867" s="12" t="s">
        <v>6</v>
      </c>
      <c r="D867" s="4" t="s">
        <v>1671</v>
      </c>
      <c r="E867" s="16">
        <v>-8000</v>
      </c>
      <c r="F867" s="13" t="s">
        <v>8</v>
      </c>
      <c r="G867" s="5" t="s">
        <v>97</v>
      </c>
    </row>
    <row r="868" spans="1:7" s="139" customFormat="1" ht="13.8" hidden="1" x14ac:dyDescent="0.3">
      <c r="A868" s="100">
        <v>45978</v>
      </c>
      <c r="B868" s="100" t="s">
        <v>212</v>
      </c>
      <c r="C868" s="12" t="s">
        <v>6</v>
      </c>
      <c r="D868" s="4" t="s">
        <v>98</v>
      </c>
      <c r="E868" s="16">
        <v>-141.69999999999999</v>
      </c>
      <c r="F868" s="13" t="s">
        <v>8</v>
      </c>
      <c r="G868" s="5" t="s">
        <v>99</v>
      </c>
    </row>
    <row r="869" spans="1:7" s="139" customFormat="1" ht="13.8" hidden="1" x14ac:dyDescent="0.3">
      <c r="A869" s="100">
        <v>45978</v>
      </c>
      <c r="B869" s="100" t="s">
        <v>212</v>
      </c>
      <c r="C869" s="12" t="s">
        <v>6</v>
      </c>
      <c r="D869" s="4" t="s">
        <v>100</v>
      </c>
      <c r="E869" s="16">
        <v>-141.69999999999999</v>
      </c>
      <c r="F869" s="13" t="s">
        <v>8</v>
      </c>
      <c r="G869" s="5" t="s">
        <v>99</v>
      </c>
    </row>
    <row r="870" spans="1:7" s="139" customFormat="1" ht="13.8" hidden="1" x14ac:dyDescent="0.3">
      <c r="A870" s="100">
        <v>45978</v>
      </c>
      <c r="B870" s="100" t="s">
        <v>212</v>
      </c>
      <c r="C870" s="12" t="s">
        <v>6</v>
      </c>
      <c r="D870" s="4" t="s">
        <v>101</v>
      </c>
      <c r="E870" s="16">
        <v>-141.69999999999999</v>
      </c>
      <c r="F870" s="13" t="s">
        <v>8</v>
      </c>
      <c r="G870" s="5" t="s">
        <v>99</v>
      </c>
    </row>
    <row r="871" spans="1:7" s="139" customFormat="1" ht="13.8" hidden="1" x14ac:dyDescent="0.3">
      <c r="A871" s="100">
        <v>45978</v>
      </c>
      <c r="B871" s="100" t="s">
        <v>212</v>
      </c>
      <c r="C871" s="12" t="s">
        <v>6</v>
      </c>
      <c r="D871" s="4" t="s">
        <v>102</v>
      </c>
      <c r="E871" s="16">
        <v>-139.25</v>
      </c>
      <c r="F871" s="13" t="s">
        <v>8</v>
      </c>
      <c r="G871" s="5" t="s">
        <v>99</v>
      </c>
    </row>
    <row r="872" spans="1:7" s="139" customFormat="1" ht="13.8" hidden="1" x14ac:dyDescent="0.3">
      <c r="A872" s="100">
        <v>45978</v>
      </c>
      <c r="B872" s="100" t="s">
        <v>212</v>
      </c>
      <c r="C872" s="15" t="s">
        <v>32</v>
      </c>
      <c r="D872" s="4" t="s">
        <v>103</v>
      </c>
      <c r="E872" s="1012">
        <v>-261.68</v>
      </c>
      <c r="F872" s="5" t="s">
        <v>8</v>
      </c>
      <c r="G872" s="5" t="s">
        <v>68</v>
      </c>
    </row>
    <row r="873" spans="1:7" s="139" customFormat="1" ht="13.8" hidden="1" x14ac:dyDescent="0.3">
      <c r="A873" s="100">
        <v>45978</v>
      </c>
      <c r="B873" s="100" t="s">
        <v>212</v>
      </c>
      <c r="C873" s="15" t="s">
        <v>104</v>
      </c>
      <c r="D873" s="4" t="s">
        <v>103</v>
      </c>
      <c r="E873" s="16">
        <v>-300</v>
      </c>
      <c r="F873" s="5" t="s">
        <v>8</v>
      </c>
      <c r="G873" s="5" t="s">
        <v>68</v>
      </c>
    </row>
    <row r="874" spans="1:7" s="139" customFormat="1" ht="13.8" hidden="1" x14ac:dyDescent="0.3">
      <c r="A874" s="100">
        <v>45978</v>
      </c>
      <c r="B874" s="100" t="s">
        <v>212</v>
      </c>
      <c r="C874" s="15" t="s">
        <v>35</v>
      </c>
      <c r="D874" s="4" t="s">
        <v>103</v>
      </c>
      <c r="E874" s="16">
        <v>-300</v>
      </c>
      <c r="F874" s="5" t="s">
        <v>8</v>
      </c>
      <c r="G874" s="5" t="s">
        <v>68</v>
      </c>
    </row>
    <row r="875" spans="1:7" s="139" customFormat="1" ht="13.8" hidden="1" x14ac:dyDescent="0.3">
      <c r="A875" s="100">
        <v>45978</v>
      </c>
      <c r="B875" s="100" t="s">
        <v>212</v>
      </c>
      <c r="C875" s="15" t="s">
        <v>105</v>
      </c>
      <c r="D875" s="4" t="s">
        <v>103</v>
      </c>
      <c r="E875" s="16">
        <v>-300</v>
      </c>
      <c r="F875" s="5" t="s">
        <v>8</v>
      </c>
      <c r="G875" s="5" t="s">
        <v>68</v>
      </c>
    </row>
    <row r="876" spans="1:7" s="139" customFormat="1" ht="13.8" hidden="1" x14ac:dyDescent="0.3">
      <c r="A876" s="100">
        <v>45978</v>
      </c>
      <c r="B876" s="100" t="s">
        <v>212</v>
      </c>
      <c r="C876" s="15" t="s">
        <v>106</v>
      </c>
      <c r="D876" s="4" t="s">
        <v>103</v>
      </c>
      <c r="E876" s="1012">
        <v>-294.32</v>
      </c>
      <c r="F876" s="5" t="s">
        <v>8</v>
      </c>
      <c r="G876" s="5" t="s">
        <v>68</v>
      </c>
    </row>
    <row r="877" spans="1:7" s="139" customFormat="1" ht="13.8" hidden="1" x14ac:dyDescent="0.3">
      <c r="A877" s="100">
        <v>45978</v>
      </c>
      <c r="B877" s="100" t="s">
        <v>212</v>
      </c>
      <c r="C877" s="15" t="s">
        <v>71</v>
      </c>
      <c r="D877" s="4" t="s">
        <v>103</v>
      </c>
      <c r="E877" s="16">
        <v>-300</v>
      </c>
      <c r="F877" s="5" t="s">
        <v>8</v>
      </c>
      <c r="G877" s="5" t="s">
        <v>68</v>
      </c>
    </row>
    <row r="878" spans="1:7" s="139" customFormat="1" ht="13.8" hidden="1" x14ac:dyDescent="0.3">
      <c r="A878" s="100">
        <v>45978</v>
      </c>
      <c r="B878" s="100" t="s">
        <v>212</v>
      </c>
      <c r="C878" s="15" t="s">
        <v>107</v>
      </c>
      <c r="D878" s="4" t="s">
        <v>103</v>
      </c>
      <c r="E878" s="16">
        <v>-300</v>
      </c>
      <c r="F878" s="5" t="s">
        <v>8</v>
      </c>
      <c r="G878" s="5" t="s">
        <v>68</v>
      </c>
    </row>
    <row r="879" spans="1:7" s="139" customFormat="1" ht="13.8" hidden="1" x14ac:dyDescent="0.3">
      <c r="A879" s="100">
        <v>45978</v>
      </c>
      <c r="B879" s="100" t="s">
        <v>212</v>
      </c>
      <c r="C879" s="15" t="s">
        <v>108</v>
      </c>
      <c r="D879" s="4" t="s">
        <v>103</v>
      </c>
      <c r="E879" s="16">
        <v>-350</v>
      </c>
      <c r="F879" s="5" t="s">
        <v>8</v>
      </c>
      <c r="G879" s="5" t="s">
        <v>68</v>
      </c>
    </row>
    <row r="880" spans="1:7" s="139" customFormat="1" ht="13.8" hidden="1" x14ac:dyDescent="0.3">
      <c r="A880" s="100">
        <v>45978</v>
      </c>
      <c r="B880" s="100" t="s">
        <v>212</v>
      </c>
      <c r="C880" s="15" t="s">
        <v>109</v>
      </c>
      <c r="D880" s="4" t="s">
        <v>103</v>
      </c>
      <c r="E880" s="16">
        <v>-373.51</v>
      </c>
      <c r="F880" s="5" t="s">
        <v>8</v>
      </c>
      <c r="G880" s="5" t="s">
        <v>68</v>
      </c>
    </row>
    <row r="881" spans="1:7" s="139" customFormat="1" ht="13.8" hidden="1" x14ac:dyDescent="0.3">
      <c r="A881" s="100">
        <v>45978</v>
      </c>
      <c r="B881" s="100" t="s">
        <v>212</v>
      </c>
      <c r="C881" s="328" t="s">
        <v>31</v>
      </c>
      <c r="D881" s="328" t="s">
        <v>197</v>
      </c>
      <c r="E881" s="329">
        <v>-852.44</v>
      </c>
      <c r="F881" s="13" t="s">
        <v>8</v>
      </c>
      <c r="G881" s="9" t="s">
        <v>85</v>
      </c>
    </row>
    <row r="882" spans="1:7" s="139" customFormat="1" ht="13.8" hidden="1" x14ac:dyDescent="0.3">
      <c r="A882" s="100">
        <v>45978</v>
      </c>
      <c r="B882" s="100" t="s">
        <v>212</v>
      </c>
      <c r="C882" s="328" t="s">
        <v>6</v>
      </c>
      <c r="D882" s="328" t="s">
        <v>197</v>
      </c>
      <c r="E882" s="329">
        <v>-1549.9</v>
      </c>
      <c r="F882" s="13" t="s">
        <v>8</v>
      </c>
      <c r="G882" s="9" t="s">
        <v>85</v>
      </c>
    </row>
    <row r="883" spans="1:7" s="139" customFormat="1" ht="13.8" hidden="1" x14ac:dyDescent="0.3">
      <c r="A883" s="100">
        <v>45978</v>
      </c>
      <c r="B883" s="100" t="s">
        <v>212</v>
      </c>
      <c r="C883" s="328" t="s">
        <v>44</v>
      </c>
      <c r="D883" s="328" t="s">
        <v>197</v>
      </c>
      <c r="E883" s="329">
        <v>-1007.43</v>
      </c>
      <c r="F883" s="13" t="s">
        <v>8</v>
      </c>
      <c r="G883" s="9" t="s">
        <v>85</v>
      </c>
    </row>
    <row r="884" spans="1:7" s="139" customFormat="1" ht="13.8" hidden="1" x14ac:dyDescent="0.3">
      <c r="A884" s="100">
        <v>45978</v>
      </c>
      <c r="B884" s="100" t="s">
        <v>212</v>
      </c>
      <c r="C884" s="328" t="s">
        <v>44</v>
      </c>
      <c r="D884" s="328" t="s">
        <v>197</v>
      </c>
      <c r="E884" s="329">
        <v>-4882.18</v>
      </c>
      <c r="F884" s="13" t="s">
        <v>8</v>
      </c>
      <c r="G884" s="9" t="s">
        <v>85</v>
      </c>
    </row>
    <row r="885" spans="1:7" s="139" customFormat="1" ht="13.8" hidden="1" x14ac:dyDescent="0.3">
      <c r="A885" s="100">
        <v>45978</v>
      </c>
      <c r="B885" s="100" t="s">
        <v>212</v>
      </c>
      <c r="C885" s="328" t="s">
        <v>25</v>
      </c>
      <c r="D885" s="328" t="s">
        <v>197</v>
      </c>
      <c r="E885" s="329">
        <v>-2557.33</v>
      </c>
      <c r="F885" s="13" t="s">
        <v>8</v>
      </c>
      <c r="G885" s="9" t="s">
        <v>85</v>
      </c>
    </row>
    <row r="886" spans="1:7" s="139" customFormat="1" ht="13.8" hidden="1" x14ac:dyDescent="0.3">
      <c r="A886" s="100">
        <v>45978</v>
      </c>
      <c r="B886" s="100" t="s">
        <v>212</v>
      </c>
      <c r="C886" s="328" t="s">
        <v>33</v>
      </c>
      <c r="D886" s="328" t="s">
        <v>197</v>
      </c>
      <c r="E886" s="329">
        <v>-852.44</v>
      </c>
      <c r="F886" s="13" t="s">
        <v>8</v>
      </c>
      <c r="G886" s="9" t="s">
        <v>85</v>
      </c>
    </row>
    <row r="887" spans="1:7" s="139" customFormat="1" ht="13.8" hidden="1" x14ac:dyDescent="0.3">
      <c r="A887" s="100">
        <v>45978</v>
      </c>
      <c r="B887" s="100" t="s">
        <v>212</v>
      </c>
      <c r="C887" s="328" t="s">
        <v>1571</v>
      </c>
      <c r="D887" s="328" t="s">
        <v>197</v>
      </c>
      <c r="E887" s="329">
        <v>-309.98</v>
      </c>
      <c r="F887" s="13" t="s">
        <v>8</v>
      </c>
      <c r="G887" s="9" t="s">
        <v>85</v>
      </c>
    </row>
    <row r="888" spans="1:7" s="139" customFormat="1" ht="13.8" hidden="1" x14ac:dyDescent="0.3">
      <c r="A888" s="100">
        <v>45978</v>
      </c>
      <c r="B888" s="100" t="s">
        <v>212</v>
      </c>
      <c r="C888" s="328" t="s">
        <v>104</v>
      </c>
      <c r="D888" s="328" t="s">
        <v>197</v>
      </c>
      <c r="E888" s="329">
        <v>-697.45</v>
      </c>
      <c r="F888" s="13" t="s">
        <v>8</v>
      </c>
      <c r="G888" s="9" t="s">
        <v>85</v>
      </c>
    </row>
    <row r="889" spans="1:7" s="139" customFormat="1" ht="13.8" hidden="1" x14ac:dyDescent="0.3">
      <c r="A889" s="100">
        <v>45978</v>
      </c>
      <c r="B889" s="100" t="s">
        <v>212</v>
      </c>
      <c r="C889" s="328" t="s">
        <v>32</v>
      </c>
      <c r="D889" s="328" t="s">
        <v>197</v>
      </c>
      <c r="E889" s="329">
        <v>-2092.36</v>
      </c>
      <c r="F889" s="13" t="s">
        <v>8</v>
      </c>
      <c r="G889" s="9" t="s">
        <v>85</v>
      </c>
    </row>
    <row r="890" spans="1:7" s="139" customFormat="1" ht="13.8" hidden="1" x14ac:dyDescent="0.3">
      <c r="A890" s="100">
        <v>45978</v>
      </c>
      <c r="B890" s="100" t="s">
        <v>212</v>
      </c>
      <c r="C890" s="328" t="s">
        <v>71</v>
      </c>
      <c r="D890" s="328" t="s">
        <v>197</v>
      </c>
      <c r="E890" s="329">
        <v>-1084.93</v>
      </c>
      <c r="F890" s="13" t="s">
        <v>8</v>
      </c>
      <c r="G890" s="9" t="s">
        <v>85</v>
      </c>
    </row>
    <row r="891" spans="1:7" s="139" customFormat="1" ht="13.8" hidden="1" x14ac:dyDescent="0.3">
      <c r="A891" s="100">
        <v>45978</v>
      </c>
      <c r="B891" s="100" t="s">
        <v>212</v>
      </c>
      <c r="C891" s="14" t="s">
        <v>44</v>
      </c>
      <c r="D891" s="14" t="s">
        <v>1674</v>
      </c>
      <c r="E891" s="8">
        <v>-930.49</v>
      </c>
      <c r="F891" s="13" t="s">
        <v>8</v>
      </c>
      <c r="G891" s="9" t="s">
        <v>1658</v>
      </c>
    </row>
    <row r="892" spans="1:7" s="139" customFormat="1" ht="13.8" hidden="1" x14ac:dyDescent="0.3">
      <c r="A892" s="100">
        <v>45978</v>
      </c>
      <c r="B892" s="100" t="s">
        <v>212</v>
      </c>
      <c r="C892" s="12" t="s">
        <v>17</v>
      </c>
      <c r="D892" s="795" t="s">
        <v>2333</v>
      </c>
      <c r="E892" s="796">
        <v>-4344.07</v>
      </c>
      <c r="F892" s="13" t="s">
        <v>8</v>
      </c>
      <c r="G892" s="5" t="s">
        <v>73</v>
      </c>
    </row>
    <row r="893" spans="1:7" s="139" customFormat="1" ht="13.8" hidden="1" x14ac:dyDescent="0.3">
      <c r="A893" s="100">
        <v>45978</v>
      </c>
      <c r="B893" s="100" t="s">
        <v>212</v>
      </c>
      <c r="C893" s="12" t="s">
        <v>17</v>
      </c>
      <c r="D893" s="4" t="s">
        <v>2334</v>
      </c>
      <c r="E893" s="16">
        <v>-6410.64</v>
      </c>
      <c r="F893" s="13" t="s">
        <v>8</v>
      </c>
      <c r="G893" s="5" t="s">
        <v>73</v>
      </c>
    </row>
    <row r="894" spans="1:7" s="139" customFormat="1" ht="13.8" hidden="1" x14ac:dyDescent="0.3">
      <c r="A894" s="100">
        <v>45978</v>
      </c>
      <c r="B894" s="100" t="s">
        <v>212</v>
      </c>
      <c r="C894" s="12" t="s">
        <v>13</v>
      </c>
      <c r="D894" s="4" t="s">
        <v>2334</v>
      </c>
      <c r="E894" s="16">
        <v>-4368.78</v>
      </c>
      <c r="F894" s="13" t="s">
        <v>8</v>
      </c>
      <c r="G894" s="5" t="s">
        <v>73</v>
      </c>
    </row>
    <row r="895" spans="1:7" s="139" customFormat="1" ht="13.8" hidden="1" x14ac:dyDescent="0.3">
      <c r="A895" s="100">
        <v>45982</v>
      </c>
      <c r="B895" s="100" t="s">
        <v>212</v>
      </c>
      <c r="C895" s="12" t="s">
        <v>17</v>
      </c>
      <c r="D895" s="4" t="s">
        <v>18</v>
      </c>
      <c r="E895" s="200">
        <v>-13041.15</v>
      </c>
      <c r="F895" s="13" t="s">
        <v>8</v>
      </c>
      <c r="G895" s="5" t="s">
        <v>19</v>
      </c>
    </row>
    <row r="896" spans="1:7" s="139" customFormat="1" ht="13.8" hidden="1" x14ac:dyDescent="0.3">
      <c r="A896" s="100">
        <v>45978</v>
      </c>
      <c r="B896" s="100" t="s">
        <v>212</v>
      </c>
      <c r="C896" s="12" t="s">
        <v>6</v>
      </c>
      <c r="D896" s="4" t="s">
        <v>689</v>
      </c>
      <c r="E896" s="16">
        <v>-4500</v>
      </c>
      <c r="F896" s="13" t="s">
        <v>8</v>
      </c>
      <c r="G896" s="5" t="s">
        <v>111</v>
      </c>
    </row>
    <row r="897" spans="1:7" s="139" customFormat="1" ht="13.8" hidden="1" x14ac:dyDescent="0.3">
      <c r="A897" s="100">
        <v>45987</v>
      </c>
      <c r="B897" s="100" t="s">
        <v>212</v>
      </c>
      <c r="C897" s="15" t="s">
        <v>6</v>
      </c>
      <c r="D897" s="4" t="s">
        <v>112</v>
      </c>
      <c r="E897" s="16">
        <v>-35714.57</v>
      </c>
      <c r="F897" s="5" t="s">
        <v>8</v>
      </c>
      <c r="G897" s="9" t="s">
        <v>46</v>
      </c>
    </row>
    <row r="898" spans="1:7" s="139" customFormat="1" ht="13.8" hidden="1" x14ac:dyDescent="0.3">
      <c r="A898" s="100">
        <v>45978</v>
      </c>
      <c r="B898" s="100" t="s">
        <v>212</v>
      </c>
      <c r="C898" s="12" t="s">
        <v>6</v>
      </c>
      <c r="D898" s="4" t="s">
        <v>114</v>
      </c>
      <c r="E898" s="241">
        <v>-10000</v>
      </c>
      <c r="F898" s="13" t="s">
        <v>8</v>
      </c>
      <c r="G898" s="5" t="s">
        <v>51</v>
      </c>
    </row>
    <row r="899" spans="1:7" s="139" customFormat="1" ht="13.8" hidden="1" x14ac:dyDescent="0.3">
      <c r="A899" s="100">
        <v>45978</v>
      </c>
      <c r="B899" s="100" t="s">
        <v>212</v>
      </c>
      <c r="C899" s="14" t="s">
        <v>71</v>
      </c>
      <c r="D899" s="14" t="s">
        <v>228</v>
      </c>
      <c r="E899" s="242">
        <v>-376.15</v>
      </c>
      <c r="F899" s="13" t="s">
        <v>8</v>
      </c>
      <c r="G899" s="354" t="s">
        <v>227</v>
      </c>
    </row>
    <row r="900" spans="1:7" s="139" customFormat="1" ht="13.8" hidden="1" x14ac:dyDescent="0.3">
      <c r="A900" s="100">
        <v>45978</v>
      </c>
      <c r="B900" s="100" t="s">
        <v>212</v>
      </c>
      <c r="C900" s="12" t="s">
        <v>6</v>
      </c>
      <c r="D900" s="4" t="s">
        <v>1810</v>
      </c>
      <c r="E900" s="241">
        <v>-4500</v>
      </c>
      <c r="F900" s="13" t="s">
        <v>8</v>
      </c>
      <c r="G900" s="5" t="s">
        <v>51</v>
      </c>
    </row>
    <row r="901" spans="1:7" s="139" customFormat="1" ht="13.8" hidden="1" x14ac:dyDescent="0.3">
      <c r="A901" s="100">
        <v>45978</v>
      </c>
      <c r="B901" s="100" t="s">
        <v>212</v>
      </c>
      <c r="C901" s="328" t="s">
        <v>44</v>
      </c>
      <c r="D901" s="328" t="s">
        <v>138</v>
      </c>
      <c r="E901" s="1110">
        <v>-538</v>
      </c>
      <c r="F901" s="13" t="s">
        <v>8</v>
      </c>
      <c r="G901" s="1167" t="s">
        <v>139</v>
      </c>
    </row>
    <row r="902" spans="1:7" s="139" customFormat="1" ht="13.8" hidden="1" x14ac:dyDescent="0.3">
      <c r="A902" s="100">
        <v>45978</v>
      </c>
      <c r="B902" s="100" t="s">
        <v>212</v>
      </c>
      <c r="C902" s="14" t="s">
        <v>31</v>
      </c>
      <c r="D902" s="14" t="s">
        <v>1917</v>
      </c>
      <c r="E902" s="240">
        <v>-1133.3399999999999</v>
      </c>
      <c r="F902" s="13" t="s">
        <v>8</v>
      </c>
      <c r="G902" s="9" t="s">
        <v>186</v>
      </c>
    </row>
    <row r="903" spans="1:7" s="139" customFormat="1" ht="13.8" hidden="1" x14ac:dyDescent="0.3">
      <c r="A903" s="100">
        <v>46008</v>
      </c>
      <c r="B903" s="100" t="s">
        <v>216</v>
      </c>
      <c r="C903" s="337" t="s">
        <v>31</v>
      </c>
      <c r="D903" s="96" t="s">
        <v>1916</v>
      </c>
      <c r="E903" s="8">
        <v>-1133.3399999999999</v>
      </c>
      <c r="F903" s="13" t="s">
        <v>8</v>
      </c>
      <c r="G903" s="9" t="s">
        <v>186</v>
      </c>
    </row>
    <row r="904" spans="1:7" s="139" customFormat="1" ht="13.8" hidden="1" x14ac:dyDescent="0.3">
      <c r="A904" s="100">
        <v>45978</v>
      </c>
      <c r="B904" s="100" t="s">
        <v>212</v>
      </c>
      <c r="C904" s="12" t="s">
        <v>17</v>
      </c>
      <c r="D904" s="4" t="s">
        <v>116</v>
      </c>
      <c r="E904" s="241">
        <v>-5460</v>
      </c>
      <c r="F904" s="13" t="s">
        <v>8</v>
      </c>
      <c r="G904" s="5" t="s">
        <v>53</v>
      </c>
    </row>
    <row r="905" spans="1:7" s="139" customFormat="1" ht="13.8" hidden="1" x14ac:dyDescent="0.3">
      <c r="A905" s="100">
        <v>45979</v>
      </c>
      <c r="B905" s="100" t="s">
        <v>212</v>
      </c>
      <c r="C905" s="96" t="s">
        <v>17</v>
      </c>
      <c r="D905" s="96" t="s">
        <v>389</v>
      </c>
      <c r="E905" s="8">
        <v>-9.8528009999999995</v>
      </c>
      <c r="F905" s="13" t="s">
        <v>8</v>
      </c>
      <c r="G905" s="5" t="s">
        <v>1279</v>
      </c>
    </row>
    <row r="906" spans="1:7" s="139" customFormat="1" ht="13.8" hidden="1" x14ac:dyDescent="0.3">
      <c r="A906" s="100">
        <v>45979</v>
      </c>
      <c r="B906" s="100" t="s">
        <v>212</v>
      </c>
      <c r="C906" s="14" t="s">
        <v>17</v>
      </c>
      <c r="D906" s="14" t="s">
        <v>389</v>
      </c>
      <c r="E906" s="8">
        <v>-55.277199000000003</v>
      </c>
      <c r="F906" s="13" t="s">
        <v>8</v>
      </c>
      <c r="G906" s="5" t="s">
        <v>1279</v>
      </c>
    </row>
    <row r="907" spans="1:7" s="139" customFormat="1" ht="13.8" hidden="1" x14ac:dyDescent="0.3">
      <c r="A907" s="100">
        <v>45979</v>
      </c>
      <c r="B907" s="100" t="s">
        <v>212</v>
      </c>
      <c r="C907" s="328" t="s">
        <v>1571</v>
      </c>
      <c r="D907" s="328" t="s">
        <v>2322</v>
      </c>
      <c r="E907" s="329">
        <v>-1425.23</v>
      </c>
      <c r="F907" s="13" t="s">
        <v>8</v>
      </c>
      <c r="G907" s="448" t="s">
        <v>75</v>
      </c>
    </row>
    <row r="908" spans="1:7" s="139" customFormat="1" ht="13.8" hidden="1" x14ac:dyDescent="0.3">
      <c r="A908" s="100">
        <v>45979</v>
      </c>
      <c r="B908" s="100" t="s">
        <v>212</v>
      </c>
      <c r="C908" s="328" t="s">
        <v>1571</v>
      </c>
      <c r="D908" s="328" t="s">
        <v>2323</v>
      </c>
      <c r="E908" s="329">
        <v>-259.23</v>
      </c>
      <c r="F908" s="13" t="s">
        <v>8</v>
      </c>
      <c r="G908" s="448" t="s">
        <v>75</v>
      </c>
    </row>
    <row r="909" spans="1:7" s="139" customFormat="1" ht="13.8" hidden="1" x14ac:dyDescent="0.3">
      <c r="A909" s="100">
        <v>45979</v>
      </c>
      <c r="B909" s="100" t="s">
        <v>212</v>
      </c>
      <c r="C909" s="328" t="s">
        <v>1571</v>
      </c>
      <c r="D909" s="328" t="s">
        <v>2324</v>
      </c>
      <c r="E909" s="329">
        <v>-1201.23</v>
      </c>
      <c r="F909" s="13" t="s">
        <v>8</v>
      </c>
      <c r="G909" s="448" t="s">
        <v>75</v>
      </c>
    </row>
    <row r="910" spans="1:7" s="139" customFormat="1" ht="13.8" hidden="1" x14ac:dyDescent="0.3">
      <c r="A910" s="100">
        <v>45979</v>
      </c>
      <c r="B910" s="100" t="s">
        <v>212</v>
      </c>
      <c r="C910" s="328" t="s">
        <v>1571</v>
      </c>
      <c r="D910" s="328" t="s">
        <v>1191</v>
      </c>
      <c r="E910" s="329">
        <v>-1535.76</v>
      </c>
      <c r="F910" s="13" t="s">
        <v>8</v>
      </c>
      <c r="G910" s="448" t="s">
        <v>75</v>
      </c>
    </row>
    <row r="911" spans="1:7" s="139" customFormat="1" ht="13.8" hidden="1" x14ac:dyDescent="0.3">
      <c r="A911" s="100">
        <v>45979</v>
      </c>
      <c r="B911" s="100" t="s">
        <v>212</v>
      </c>
      <c r="C911" s="328" t="s">
        <v>1571</v>
      </c>
      <c r="D911" s="328" t="s">
        <v>2325</v>
      </c>
      <c r="E911" s="329">
        <v>-240</v>
      </c>
      <c r="F911" s="13" t="s">
        <v>8</v>
      </c>
      <c r="G911" s="448" t="s">
        <v>75</v>
      </c>
    </row>
    <row r="912" spans="1:7" s="139" customFormat="1" ht="13.8" hidden="1" x14ac:dyDescent="0.3">
      <c r="A912" s="100">
        <v>45979</v>
      </c>
      <c r="B912" s="100" t="s">
        <v>212</v>
      </c>
      <c r="C912" s="328" t="s">
        <v>1571</v>
      </c>
      <c r="D912" s="328" t="s">
        <v>2326</v>
      </c>
      <c r="E912" s="329">
        <v>-205.23</v>
      </c>
      <c r="F912" s="13" t="s">
        <v>8</v>
      </c>
      <c r="G912" s="448" t="s">
        <v>75</v>
      </c>
    </row>
    <row r="913" spans="1:7" s="139" customFormat="1" ht="13.8" hidden="1" x14ac:dyDescent="0.3">
      <c r="A913" s="100">
        <v>45979</v>
      </c>
      <c r="B913" s="100" t="s">
        <v>212</v>
      </c>
      <c r="C913" s="328" t="s">
        <v>71</v>
      </c>
      <c r="D913" s="328" t="s">
        <v>205</v>
      </c>
      <c r="E913" s="329">
        <v>-834.01</v>
      </c>
      <c r="F913" s="13" t="s">
        <v>8</v>
      </c>
      <c r="G913" s="5" t="s">
        <v>1279</v>
      </c>
    </row>
    <row r="914" spans="1:7" s="139" customFormat="1" ht="13.8" hidden="1" x14ac:dyDescent="0.3">
      <c r="A914" s="100">
        <v>45979</v>
      </c>
      <c r="B914" s="100" t="s">
        <v>212</v>
      </c>
      <c r="C914" s="328" t="s">
        <v>71</v>
      </c>
      <c r="D914" s="328" t="s">
        <v>1026</v>
      </c>
      <c r="E914" s="329">
        <v>-987.07</v>
      </c>
      <c r="F914" s="13" t="s">
        <v>8</v>
      </c>
      <c r="G914" s="5" t="s">
        <v>1279</v>
      </c>
    </row>
    <row r="915" spans="1:7" s="807" customFormat="1" ht="13.8" hidden="1" x14ac:dyDescent="0.3">
      <c r="A915" s="100">
        <v>45979</v>
      </c>
      <c r="B915" s="100" t="s">
        <v>212</v>
      </c>
      <c r="C915" s="328" t="s">
        <v>71</v>
      </c>
      <c r="D915" s="328" t="s">
        <v>205</v>
      </c>
      <c r="E915" s="329">
        <v>-2367.3604730000002</v>
      </c>
      <c r="F915" s="13" t="s">
        <v>8</v>
      </c>
      <c r="G915" s="5" t="s">
        <v>1279</v>
      </c>
    </row>
    <row r="916" spans="1:7" s="139" customFormat="1" ht="13.8" hidden="1" x14ac:dyDescent="0.3">
      <c r="A916" s="146">
        <v>45979</v>
      </c>
      <c r="B916" s="146" t="s">
        <v>212</v>
      </c>
      <c r="C916" s="95" t="s">
        <v>13</v>
      </c>
      <c r="D916" s="109" t="s">
        <v>117</v>
      </c>
      <c r="E916" s="101">
        <v>-5996.67</v>
      </c>
      <c r="F916" s="110" t="s">
        <v>8</v>
      </c>
      <c r="G916" s="70" t="s">
        <v>46</v>
      </c>
    </row>
    <row r="917" spans="1:7" s="139" customFormat="1" ht="13.8" hidden="1" x14ac:dyDescent="0.3">
      <c r="A917" s="100">
        <v>45981</v>
      </c>
      <c r="B917" s="100" t="s">
        <v>212</v>
      </c>
      <c r="C917" s="12" t="s">
        <v>6</v>
      </c>
      <c r="D917" s="4" t="s">
        <v>118</v>
      </c>
      <c r="E917" s="16">
        <v>-15086.65</v>
      </c>
      <c r="F917" s="13" t="s">
        <v>8</v>
      </c>
      <c r="G917" s="5" t="s">
        <v>119</v>
      </c>
    </row>
    <row r="918" spans="1:7" s="139" customFormat="1" ht="13.8" hidden="1" x14ac:dyDescent="0.3">
      <c r="A918" s="100">
        <v>45981</v>
      </c>
      <c r="B918" s="100" t="s">
        <v>212</v>
      </c>
      <c r="C918" s="15" t="s">
        <v>6</v>
      </c>
      <c r="D918" s="4" t="s">
        <v>120</v>
      </c>
      <c r="E918" s="16">
        <v>-600</v>
      </c>
      <c r="F918" s="13" t="s">
        <v>8</v>
      </c>
      <c r="G918" s="5" t="s">
        <v>19</v>
      </c>
    </row>
    <row r="919" spans="1:7" s="139" customFormat="1" ht="13.8" hidden="1" x14ac:dyDescent="0.3">
      <c r="A919" s="100">
        <v>45981</v>
      </c>
      <c r="B919" s="100" t="s">
        <v>212</v>
      </c>
      <c r="C919" s="12" t="s">
        <v>6</v>
      </c>
      <c r="D919" s="4" t="s">
        <v>121</v>
      </c>
      <c r="E919" s="1012">
        <v>-1114.33</v>
      </c>
      <c r="F919" s="13" t="s">
        <v>8</v>
      </c>
      <c r="G919" s="5" t="s">
        <v>68</v>
      </c>
    </row>
    <row r="920" spans="1:7" s="139" customFormat="1" ht="13.8" hidden="1" x14ac:dyDescent="0.3">
      <c r="A920" s="100">
        <v>45981</v>
      </c>
      <c r="B920" s="100" t="s">
        <v>212</v>
      </c>
      <c r="C920" s="12" t="s">
        <v>6</v>
      </c>
      <c r="D920" s="4" t="s">
        <v>122</v>
      </c>
      <c r="E920" s="16">
        <v>-39.799999999999997</v>
      </c>
      <c r="F920" s="13" t="s">
        <v>8</v>
      </c>
      <c r="G920" s="5" t="s">
        <v>68</v>
      </c>
    </row>
    <row r="921" spans="1:7" s="139" customFormat="1" ht="13.8" hidden="1" x14ac:dyDescent="0.3">
      <c r="A921" s="100">
        <v>45981</v>
      </c>
      <c r="B921" s="100" t="s">
        <v>212</v>
      </c>
      <c r="C921" s="12" t="s">
        <v>6</v>
      </c>
      <c r="D921" s="4" t="s">
        <v>123</v>
      </c>
      <c r="E921" s="16">
        <v>-20000</v>
      </c>
      <c r="F921" s="13" t="s">
        <v>8</v>
      </c>
      <c r="G921" s="105" t="s">
        <v>124</v>
      </c>
    </row>
    <row r="922" spans="1:7" s="139" customFormat="1" ht="13.8" hidden="1" x14ac:dyDescent="0.3">
      <c r="A922" s="100">
        <v>45981</v>
      </c>
      <c r="B922" s="100" t="s">
        <v>212</v>
      </c>
      <c r="C922" s="6" t="s">
        <v>17</v>
      </c>
      <c r="D922" s="7" t="s">
        <v>2327</v>
      </c>
      <c r="E922" s="16">
        <v>-15000</v>
      </c>
      <c r="F922" s="13" t="s">
        <v>8</v>
      </c>
      <c r="G922" s="105" t="s">
        <v>124</v>
      </c>
    </row>
    <row r="923" spans="1:7" s="139" customFormat="1" ht="13.8" hidden="1" x14ac:dyDescent="0.3">
      <c r="A923" s="100">
        <v>45981</v>
      </c>
      <c r="B923" s="100" t="s">
        <v>212</v>
      </c>
      <c r="C923" s="6" t="s">
        <v>17</v>
      </c>
      <c r="D923" s="7" t="s">
        <v>126</v>
      </c>
      <c r="E923" s="16">
        <v>-3000</v>
      </c>
      <c r="F923" s="13" t="s">
        <v>8</v>
      </c>
      <c r="G923" s="105" t="s">
        <v>124</v>
      </c>
    </row>
    <row r="924" spans="1:7" s="139" customFormat="1" ht="13.8" hidden="1" x14ac:dyDescent="0.3">
      <c r="A924" s="100">
        <v>45981</v>
      </c>
      <c r="B924" s="100" t="s">
        <v>212</v>
      </c>
      <c r="C924" s="12" t="s">
        <v>6</v>
      </c>
      <c r="D924" s="4" t="s">
        <v>127</v>
      </c>
      <c r="E924" s="10">
        <v>-55000</v>
      </c>
      <c r="F924" s="13" t="s">
        <v>8</v>
      </c>
      <c r="G924" s="105" t="s">
        <v>124</v>
      </c>
    </row>
    <row r="925" spans="1:7" s="139" customFormat="1" ht="13.8" hidden="1" x14ac:dyDescent="0.3">
      <c r="A925" s="100">
        <v>45981</v>
      </c>
      <c r="B925" s="100" t="s">
        <v>212</v>
      </c>
      <c r="C925" s="12" t="s">
        <v>6</v>
      </c>
      <c r="D925" s="7" t="s">
        <v>128</v>
      </c>
      <c r="E925" s="16">
        <v>-50000</v>
      </c>
      <c r="F925" s="13" t="s">
        <v>8</v>
      </c>
      <c r="G925" s="105" t="s">
        <v>124</v>
      </c>
    </row>
    <row r="926" spans="1:7" s="139" customFormat="1" ht="13.8" hidden="1" x14ac:dyDescent="0.3">
      <c r="A926" s="100">
        <v>45981</v>
      </c>
      <c r="B926" s="100" t="s">
        <v>212</v>
      </c>
      <c r="C926" s="12" t="s">
        <v>6</v>
      </c>
      <c r="D926" s="4" t="s">
        <v>213</v>
      </c>
      <c r="E926" s="16">
        <v>-110000</v>
      </c>
      <c r="F926" s="13" t="s">
        <v>8</v>
      </c>
      <c r="G926" s="5" t="s">
        <v>27</v>
      </c>
    </row>
    <row r="927" spans="1:7" s="139" customFormat="1" ht="13.8" hidden="1" x14ac:dyDescent="0.3">
      <c r="A927" s="100">
        <v>45981</v>
      </c>
      <c r="B927" s="100" t="s">
        <v>212</v>
      </c>
      <c r="C927" s="12" t="s">
        <v>6</v>
      </c>
      <c r="D927" s="4" t="s">
        <v>129</v>
      </c>
      <c r="E927" s="10">
        <v>-41000</v>
      </c>
      <c r="F927" s="13" t="s">
        <v>8</v>
      </c>
      <c r="G927" s="5" t="s">
        <v>82</v>
      </c>
    </row>
    <row r="928" spans="1:7" s="139" customFormat="1" ht="13.8" hidden="1" x14ac:dyDescent="0.3">
      <c r="A928" s="100">
        <v>45981</v>
      </c>
      <c r="B928" s="100" t="s">
        <v>212</v>
      </c>
      <c r="C928" s="14" t="s">
        <v>31</v>
      </c>
      <c r="D928" s="14" t="s">
        <v>197</v>
      </c>
      <c r="E928" s="8">
        <v>-464.97</v>
      </c>
      <c r="F928" s="13" t="s">
        <v>8</v>
      </c>
      <c r="G928" s="5" t="s">
        <v>85</v>
      </c>
    </row>
    <row r="929" spans="1:7" s="139" customFormat="1" ht="13.8" hidden="1" x14ac:dyDescent="0.3">
      <c r="A929" s="100">
        <v>45981</v>
      </c>
      <c r="B929" s="100" t="s">
        <v>212</v>
      </c>
      <c r="C929" s="14" t="s">
        <v>6</v>
      </c>
      <c r="D929" s="14" t="s">
        <v>197</v>
      </c>
      <c r="E929" s="8">
        <v>-1239.92</v>
      </c>
      <c r="F929" s="13" t="s">
        <v>8</v>
      </c>
      <c r="G929" s="5" t="s">
        <v>85</v>
      </c>
    </row>
    <row r="930" spans="1:7" s="139" customFormat="1" ht="13.8" hidden="1" x14ac:dyDescent="0.3">
      <c r="A930" s="100">
        <v>45981</v>
      </c>
      <c r="B930" s="100" t="s">
        <v>212</v>
      </c>
      <c r="C930" s="14" t="s">
        <v>44</v>
      </c>
      <c r="D930" s="14" t="s">
        <v>197</v>
      </c>
      <c r="E930" s="8">
        <v>-3099.8</v>
      </c>
      <c r="F930" s="13" t="s">
        <v>8</v>
      </c>
      <c r="G930" s="5" t="s">
        <v>85</v>
      </c>
    </row>
    <row r="931" spans="1:7" s="139" customFormat="1" ht="13.8" hidden="1" x14ac:dyDescent="0.3">
      <c r="A931" s="100">
        <v>45981</v>
      </c>
      <c r="B931" s="100" t="s">
        <v>212</v>
      </c>
      <c r="C931" s="14" t="s">
        <v>44</v>
      </c>
      <c r="D931" s="14" t="s">
        <v>197</v>
      </c>
      <c r="E931" s="8">
        <v>-1007.44</v>
      </c>
      <c r="F931" s="13" t="s">
        <v>8</v>
      </c>
      <c r="G931" s="5" t="s">
        <v>85</v>
      </c>
    </row>
    <row r="932" spans="1:7" s="139" customFormat="1" ht="13.8" hidden="1" x14ac:dyDescent="0.3">
      <c r="A932" s="100">
        <v>45981</v>
      </c>
      <c r="B932" s="100" t="s">
        <v>212</v>
      </c>
      <c r="C932" s="14" t="s">
        <v>25</v>
      </c>
      <c r="D932" s="14" t="s">
        <v>197</v>
      </c>
      <c r="E932" s="8">
        <v>-2944.81</v>
      </c>
      <c r="F932" s="13" t="s">
        <v>8</v>
      </c>
      <c r="G932" s="5" t="s">
        <v>85</v>
      </c>
    </row>
    <row r="933" spans="1:7" s="139" customFormat="1" ht="13.8" hidden="1" x14ac:dyDescent="0.3">
      <c r="A933" s="100">
        <v>45981</v>
      </c>
      <c r="B933" s="100" t="s">
        <v>212</v>
      </c>
      <c r="C933" s="14" t="s">
        <v>33</v>
      </c>
      <c r="D933" s="14" t="s">
        <v>197</v>
      </c>
      <c r="E933" s="8">
        <v>-929.94</v>
      </c>
      <c r="F933" s="13" t="s">
        <v>8</v>
      </c>
      <c r="G933" s="5" t="s">
        <v>85</v>
      </c>
    </row>
    <row r="934" spans="1:7" s="139" customFormat="1" ht="13.8" hidden="1" x14ac:dyDescent="0.3">
      <c r="A934" s="100">
        <v>45981</v>
      </c>
      <c r="B934" s="100" t="s">
        <v>212</v>
      </c>
      <c r="C934" s="14" t="s">
        <v>1571</v>
      </c>
      <c r="D934" s="14" t="s">
        <v>197</v>
      </c>
      <c r="E934" s="8">
        <v>-774.95</v>
      </c>
      <c r="F934" s="13" t="s">
        <v>8</v>
      </c>
      <c r="G934" s="5" t="s">
        <v>85</v>
      </c>
    </row>
    <row r="935" spans="1:7" s="139" customFormat="1" ht="13.8" hidden="1" x14ac:dyDescent="0.3">
      <c r="A935" s="100">
        <v>45981</v>
      </c>
      <c r="B935" s="100" t="s">
        <v>212</v>
      </c>
      <c r="C935" s="14" t="s">
        <v>104</v>
      </c>
      <c r="D935" s="14" t="s">
        <v>197</v>
      </c>
      <c r="E935" s="8">
        <v>-1084.93</v>
      </c>
      <c r="F935" s="13" t="s">
        <v>8</v>
      </c>
      <c r="G935" s="5" t="s">
        <v>85</v>
      </c>
    </row>
    <row r="936" spans="1:7" s="139" customFormat="1" ht="13.8" hidden="1" x14ac:dyDescent="0.3">
      <c r="A936" s="100">
        <v>45981</v>
      </c>
      <c r="B936" s="100" t="s">
        <v>212</v>
      </c>
      <c r="C936" s="14" t="s">
        <v>32</v>
      </c>
      <c r="D936" s="14" t="s">
        <v>197</v>
      </c>
      <c r="E936" s="8">
        <v>-2479.84</v>
      </c>
      <c r="F936" s="13" t="s">
        <v>8</v>
      </c>
      <c r="G936" s="5" t="s">
        <v>85</v>
      </c>
    </row>
    <row r="937" spans="1:7" s="139" customFormat="1" ht="13.8" hidden="1" x14ac:dyDescent="0.3">
      <c r="A937" s="100">
        <v>45981</v>
      </c>
      <c r="B937" s="100" t="s">
        <v>212</v>
      </c>
      <c r="C937" s="14" t="s">
        <v>71</v>
      </c>
      <c r="D937" s="14" t="s">
        <v>197</v>
      </c>
      <c r="E937" s="8">
        <v>-1317.42</v>
      </c>
      <c r="F937" s="13" t="s">
        <v>8</v>
      </c>
      <c r="G937" s="5" t="s">
        <v>85</v>
      </c>
    </row>
    <row r="938" spans="1:7" s="139" customFormat="1" ht="13.8" hidden="1" x14ac:dyDescent="0.3">
      <c r="A938" s="100">
        <v>45981</v>
      </c>
      <c r="B938" s="100" t="s">
        <v>212</v>
      </c>
      <c r="C938" s="328" t="s">
        <v>44</v>
      </c>
      <c r="D938" s="328" t="s">
        <v>1439</v>
      </c>
      <c r="E938" s="329">
        <v>-81.599999999999994</v>
      </c>
      <c r="F938" s="13" t="s">
        <v>8</v>
      </c>
      <c r="G938" s="5" t="s">
        <v>1279</v>
      </c>
    </row>
    <row r="939" spans="1:7" s="139" customFormat="1" ht="13.8" hidden="1" x14ac:dyDescent="0.3">
      <c r="A939" s="100">
        <v>45981</v>
      </c>
      <c r="B939" s="100" t="s">
        <v>212</v>
      </c>
      <c r="C939" s="328" t="s">
        <v>6</v>
      </c>
      <c r="D939" s="328" t="s">
        <v>353</v>
      </c>
      <c r="E939" s="329">
        <v>-225</v>
      </c>
      <c r="F939" s="13" t="s">
        <v>8</v>
      </c>
      <c r="G939" s="5" t="s">
        <v>203</v>
      </c>
    </row>
    <row r="940" spans="1:7" s="139" customFormat="1" ht="13.2" hidden="1" customHeight="1" x14ac:dyDescent="0.3">
      <c r="A940" s="100">
        <v>45981</v>
      </c>
      <c r="B940" s="100" t="s">
        <v>212</v>
      </c>
      <c r="C940" s="98" t="s">
        <v>31</v>
      </c>
      <c r="D940" s="14" t="s">
        <v>1675</v>
      </c>
      <c r="E940" s="8">
        <v>-1240</v>
      </c>
      <c r="F940" s="13" t="s">
        <v>8</v>
      </c>
      <c r="G940" s="5" t="s">
        <v>186</v>
      </c>
    </row>
    <row r="941" spans="1:7" s="139" customFormat="1" ht="13.8" hidden="1" x14ac:dyDescent="0.3">
      <c r="A941" s="100">
        <v>46010</v>
      </c>
      <c r="B941" s="100" t="s">
        <v>216</v>
      </c>
      <c r="C941" s="14" t="s">
        <v>31</v>
      </c>
      <c r="D941" s="14" t="s">
        <v>1676</v>
      </c>
      <c r="E941" s="8">
        <v>-1240</v>
      </c>
      <c r="F941" s="13" t="s">
        <v>8</v>
      </c>
      <c r="G941" s="5" t="s">
        <v>186</v>
      </c>
    </row>
    <row r="942" spans="1:7" s="139" customFormat="1" ht="13.8" hidden="1" x14ac:dyDescent="0.3">
      <c r="A942" s="100">
        <v>45981</v>
      </c>
      <c r="B942" s="100" t="s">
        <v>212</v>
      </c>
      <c r="C942" s="287" t="s">
        <v>6</v>
      </c>
      <c r="D942" s="4" t="s">
        <v>47</v>
      </c>
      <c r="E942" s="16">
        <v>-8000</v>
      </c>
      <c r="F942" s="13" t="s">
        <v>8</v>
      </c>
      <c r="G942" s="5" t="s">
        <v>27</v>
      </c>
    </row>
    <row r="943" spans="1:7" s="139" customFormat="1" ht="13.8" hidden="1" x14ac:dyDescent="0.3">
      <c r="A943" s="100">
        <v>45981</v>
      </c>
      <c r="B943" s="100" t="s">
        <v>212</v>
      </c>
      <c r="C943" s="12" t="s">
        <v>25</v>
      </c>
      <c r="D943" s="4" t="s">
        <v>130</v>
      </c>
      <c r="E943" s="16">
        <v>-3005</v>
      </c>
      <c r="F943" s="13" t="s">
        <v>8</v>
      </c>
      <c r="G943" s="82" t="s">
        <v>153</v>
      </c>
    </row>
    <row r="944" spans="1:7" s="139" customFormat="1" ht="13.8" hidden="1" x14ac:dyDescent="0.3">
      <c r="A944" s="100">
        <v>45985</v>
      </c>
      <c r="B944" s="100" t="s">
        <v>212</v>
      </c>
      <c r="C944" s="328" t="s">
        <v>44</v>
      </c>
      <c r="D944" s="328" t="s">
        <v>226</v>
      </c>
      <c r="E944" s="329">
        <v>-5576.15</v>
      </c>
      <c r="F944" s="13" t="s">
        <v>8</v>
      </c>
      <c r="G944" s="448" t="s">
        <v>227</v>
      </c>
    </row>
    <row r="945" spans="1:7" s="139" customFormat="1" ht="13.8" hidden="1" x14ac:dyDescent="0.3">
      <c r="A945" s="100">
        <v>45985</v>
      </c>
      <c r="B945" s="100" t="s">
        <v>212</v>
      </c>
      <c r="C945" s="328" t="s">
        <v>44</v>
      </c>
      <c r="D945" s="328" t="s">
        <v>560</v>
      </c>
      <c r="E945" s="329">
        <v>-1249.47</v>
      </c>
      <c r="F945" s="13" t="s">
        <v>8</v>
      </c>
      <c r="G945" s="448" t="s">
        <v>1626</v>
      </c>
    </row>
    <row r="946" spans="1:7" s="139" customFormat="1" ht="13.8" hidden="1" x14ac:dyDescent="0.3">
      <c r="A946" s="78">
        <v>45985</v>
      </c>
      <c r="B946" s="100" t="s">
        <v>212</v>
      </c>
      <c r="C946" s="6" t="s">
        <v>17</v>
      </c>
      <c r="D946" s="4" t="s">
        <v>131</v>
      </c>
      <c r="E946" s="16">
        <v>-1560</v>
      </c>
      <c r="F946" s="13" t="s">
        <v>8</v>
      </c>
      <c r="G946" s="5" t="s">
        <v>132</v>
      </c>
    </row>
    <row r="947" spans="1:7" s="139" customFormat="1" ht="13.8" hidden="1" x14ac:dyDescent="0.3">
      <c r="A947" s="100">
        <v>45981</v>
      </c>
      <c r="B947" s="100" t="s">
        <v>212</v>
      </c>
      <c r="C947" s="12" t="s">
        <v>64</v>
      </c>
      <c r="D947" s="4" t="s">
        <v>133</v>
      </c>
      <c r="E947" s="16">
        <v>-8937.32</v>
      </c>
      <c r="F947" s="13" t="s">
        <v>8</v>
      </c>
      <c r="G947" s="5" t="s">
        <v>39</v>
      </c>
    </row>
    <row r="948" spans="1:7" s="139" customFormat="1" ht="13.8" hidden="1" x14ac:dyDescent="0.3">
      <c r="A948" s="100">
        <v>45989</v>
      </c>
      <c r="B948" s="100" t="s">
        <v>212</v>
      </c>
      <c r="C948" s="12" t="s">
        <v>17</v>
      </c>
      <c r="D948" s="4" t="s">
        <v>18</v>
      </c>
      <c r="E948" s="200">
        <v>-13041.15</v>
      </c>
      <c r="F948" s="13" t="s">
        <v>8</v>
      </c>
      <c r="G948" s="5" t="s">
        <v>19</v>
      </c>
    </row>
    <row r="949" spans="1:7" s="139" customFormat="1" ht="13.8" hidden="1" x14ac:dyDescent="0.3">
      <c r="A949" s="100">
        <v>45986</v>
      </c>
      <c r="B949" s="100" t="s">
        <v>212</v>
      </c>
      <c r="C949" s="328" t="s">
        <v>6</v>
      </c>
      <c r="D949" s="328" t="s">
        <v>353</v>
      </c>
      <c r="E949" s="329">
        <v>-225</v>
      </c>
      <c r="F949" s="13" t="s">
        <v>8</v>
      </c>
      <c r="G949" s="5" t="s">
        <v>203</v>
      </c>
    </row>
    <row r="950" spans="1:7" s="139" customFormat="1" ht="13.8" hidden="1" x14ac:dyDescent="0.3">
      <c r="A950" s="100">
        <v>45986</v>
      </c>
      <c r="B950" s="100" t="s">
        <v>212</v>
      </c>
      <c r="C950" s="328" t="s">
        <v>44</v>
      </c>
      <c r="D950" s="328" t="s">
        <v>204</v>
      </c>
      <c r="E950" s="329">
        <v>-11785.16</v>
      </c>
      <c r="F950" s="13" t="s">
        <v>8</v>
      </c>
      <c r="G950" s="5" t="s">
        <v>1279</v>
      </c>
    </row>
    <row r="951" spans="1:7" s="139" customFormat="1" ht="13.8" hidden="1" x14ac:dyDescent="0.3">
      <c r="A951" s="100">
        <v>45986</v>
      </c>
      <c r="B951" s="100" t="s">
        <v>212</v>
      </c>
      <c r="C951" s="328" t="s">
        <v>31</v>
      </c>
      <c r="D951" s="328" t="s">
        <v>1918</v>
      </c>
      <c r="E951" s="329">
        <v>-4387.83</v>
      </c>
      <c r="F951" s="13" t="s">
        <v>8</v>
      </c>
      <c r="G951" s="448" t="s">
        <v>75</v>
      </c>
    </row>
    <row r="952" spans="1:7" s="139" customFormat="1" ht="13.8" hidden="1" x14ac:dyDescent="0.3">
      <c r="A952" s="100">
        <v>45986</v>
      </c>
      <c r="B952" s="100" t="s">
        <v>212</v>
      </c>
      <c r="C952" s="328" t="s">
        <v>31</v>
      </c>
      <c r="D952" s="328" t="s">
        <v>1918</v>
      </c>
      <c r="E952" s="329">
        <v>-654.9</v>
      </c>
      <c r="F952" s="13" t="s">
        <v>8</v>
      </c>
      <c r="G952" s="448" t="s">
        <v>75</v>
      </c>
    </row>
    <row r="953" spans="1:7" s="139" customFormat="1" ht="13.8" hidden="1" x14ac:dyDescent="0.3">
      <c r="A953" s="78">
        <v>45986</v>
      </c>
      <c r="B953" s="100" t="s">
        <v>212</v>
      </c>
      <c r="C953" s="12" t="s">
        <v>6</v>
      </c>
      <c r="D953" s="4" t="s">
        <v>62</v>
      </c>
      <c r="E953" s="16">
        <v>-9000</v>
      </c>
      <c r="F953" s="13" t="s">
        <v>8</v>
      </c>
      <c r="G953" s="5" t="s">
        <v>63</v>
      </c>
    </row>
    <row r="954" spans="1:7" s="139" customFormat="1" ht="13.8" hidden="1" x14ac:dyDescent="0.3">
      <c r="A954" s="78">
        <v>45986</v>
      </c>
      <c r="B954" s="100" t="s">
        <v>212</v>
      </c>
      <c r="C954" s="12" t="s">
        <v>17</v>
      </c>
      <c r="D954" s="4" t="s">
        <v>134</v>
      </c>
      <c r="E954" s="16">
        <v>-500</v>
      </c>
      <c r="F954" s="13" t="s">
        <v>8</v>
      </c>
      <c r="G954" s="5" t="s">
        <v>68</v>
      </c>
    </row>
    <row r="955" spans="1:7" s="139" customFormat="1" ht="14.4" hidden="1" customHeight="1" x14ac:dyDescent="0.3">
      <c r="A955" s="78">
        <v>45986</v>
      </c>
      <c r="B955" s="100" t="s">
        <v>212</v>
      </c>
      <c r="C955" s="12" t="s">
        <v>6</v>
      </c>
      <c r="D955" s="4" t="s">
        <v>135</v>
      </c>
      <c r="E955" s="16">
        <v>-294.8</v>
      </c>
      <c r="F955" s="13" t="s">
        <v>8</v>
      </c>
      <c r="G955" s="5" t="s">
        <v>136</v>
      </c>
    </row>
    <row r="956" spans="1:7" s="139" customFormat="1" ht="14.4" hidden="1" customHeight="1" x14ac:dyDescent="0.3">
      <c r="A956" s="78">
        <v>45986</v>
      </c>
      <c r="B956" s="100" t="s">
        <v>212</v>
      </c>
      <c r="C956" s="286" t="s">
        <v>17</v>
      </c>
      <c r="D956" s="286" t="s">
        <v>389</v>
      </c>
      <c r="E956" s="276">
        <v>-57.259995000000004</v>
      </c>
      <c r="F956" s="13" t="s">
        <v>8</v>
      </c>
      <c r="G956" s="5" t="s">
        <v>1279</v>
      </c>
    </row>
    <row r="957" spans="1:7" s="139" customFormat="1" ht="13.8" hidden="1" x14ac:dyDescent="0.3">
      <c r="A957" s="78">
        <v>45986</v>
      </c>
      <c r="B957" s="100" t="s">
        <v>212</v>
      </c>
      <c r="C957" s="12" t="s">
        <v>25</v>
      </c>
      <c r="D957" s="4" t="s">
        <v>137</v>
      </c>
      <c r="E957" s="16">
        <v>-1957</v>
      </c>
      <c r="F957" s="13" t="s">
        <v>8</v>
      </c>
      <c r="G957" s="82" t="s">
        <v>153</v>
      </c>
    </row>
    <row r="958" spans="1:7" s="139" customFormat="1" ht="13.8" hidden="1" x14ac:dyDescent="0.3">
      <c r="A958" s="100">
        <v>45975</v>
      </c>
      <c r="B958" s="100" t="s">
        <v>212</v>
      </c>
      <c r="C958" s="12" t="s">
        <v>17</v>
      </c>
      <c r="D958" s="784" t="s">
        <v>140</v>
      </c>
      <c r="E958" s="16">
        <v>-9980</v>
      </c>
      <c r="F958" s="277" t="s">
        <v>8</v>
      </c>
      <c r="G958" s="5" t="s">
        <v>58</v>
      </c>
    </row>
    <row r="959" spans="1:7" s="139" customFormat="1" ht="13.8" hidden="1" x14ac:dyDescent="0.3">
      <c r="A959" s="78">
        <v>45989</v>
      </c>
      <c r="B959" s="100" t="s">
        <v>212</v>
      </c>
      <c r="C959" s="12" t="s">
        <v>13</v>
      </c>
      <c r="D959" s="4" t="s">
        <v>141</v>
      </c>
      <c r="E959" s="101">
        <v>-500</v>
      </c>
      <c r="F959" s="13" t="s">
        <v>8</v>
      </c>
      <c r="G959" s="5" t="s">
        <v>68</v>
      </c>
    </row>
    <row r="960" spans="1:7" s="250" customFormat="1" ht="13.8" hidden="1" x14ac:dyDescent="0.3">
      <c r="A960" s="251">
        <v>45954</v>
      </c>
      <c r="B960" s="316" t="s">
        <v>211</v>
      </c>
      <c r="C960" s="422" t="s">
        <v>64</v>
      </c>
      <c r="D960" s="300" t="s">
        <v>95</v>
      </c>
      <c r="E960" s="317">
        <v>-762.15</v>
      </c>
      <c r="F960" s="255" t="s">
        <v>8</v>
      </c>
      <c r="G960" s="255" t="s">
        <v>39</v>
      </c>
    </row>
    <row r="961" spans="1:7" s="250" customFormat="1" ht="13.8" hidden="1" x14ac:dyDescent="0.3">
      <c r="A961" s="251">
        <v>45959</v>
      </c>
      <c r="B961" s="316" t="s">
        <v>211</v>
      </c>
      <c r="C961" s="422" t="s">
        <v>64</v>
      </c>
      <c r="D961" s="299" t="s">
        <v>95</v>
      </c>
      <c r="E961" s="317">
        <v>-2801.62</v>
      </c>
      <c r="F961" s="255" t="s">
        <v>8</v>
      </c>
      <c r="G961" s="255" t="s">
        <v>39</v>
      </c>
    </row>
    <row r="962" spans="1:7" s="139" customFormat="1" ht="13.8" hidden="1" x14ac:dyDescent="0.3">
      <c r="A962" s="78">
        <v>45989</v>
      </c>
      <c r="B962" s="100" t="s">
        <v>212</v>
      </c>
      <c r="C962" s="6" t="s">
        <v>17</v>
      </c>
      <c r="D962" s="7" t="s">
        <v>142</v>
      </c>
      <c r="E962" s="16">
        <v>-2530.4299999999998</v>
      </c>
      <c r="F962" s="13" t="s">
        <v>8</v>
      </c>
      <c r="G962" s="5" t="s">
        <v>68</v>
      </c>
    </row>
    <row r="963" spans="1:7" s="139" customFormat="1" ht="13.8" hidden="1" x14ac:dyDescent="0.3">
      <c r="A963" s="78">
        <v>45989</v>
      </c>
      <c r="B963" s="100" t="s">
        <v>212</v>
      </c>
      <c r="C963" s="6" t="s">
        <v>17</v>
      </c>
      <c r="D963" s="7" t="s">
        <v>142</v>
      </c>
      <c r="E963" s="16">
        <v>-1339.5</v>
      </c>
      <c r="F963" s="13" t="s">
        <v>8</v>
      </c>
      <c r="G963" s="5" t="s">
        <v>68</v>
      </c>
    </row>
    <row r="964" spans="1:7" s="139" customFormat="1" ht="13.8" hidden="1" x14ac:dyDescent="0.3">
      <c r="A964" s="78">
        <v>45989</v>
      </c>
      <c r="B964" s="100" t="s">
        <v>212</v>
      </c>
      <c r="C964" s="108" t="s">
        <v>80</v>
      </c>
      <c r="D964" s="109" t="s">
        <v>81</v>
      </c>
      <c r="E964" s="101">
        <v>-15000</v>
      </c>
      <c r="F964" s="110" t="s">
        <v>8</v>
      </c>
      <c r="G964" s="5" t="s">
        <v>82</v>
      </c>
    </row>
    <row r="965" spans="1:7" s="139" customFormat="1" ht="13.8" hidden="1" x14ac:dyDescent="0.3">
      <c r="A965" s="100">
        <v>45982</v>
      </c>
      <c r="B965" s="100" t="s">
        <v>212</v>
      </c>
      <c r="C965" s="12" t="s">
        <v>17</v>
      </c>
      <c r="D965" s="4" t="s">
        <v>140</v>
      </c>
      <c r="E965" s="16">
        <v>-9980</v>
      </c>
      <c r="F965" s="13" t="s">
        <v>8</v>
      </c>
      <c r="G965" s="5" t="s">
        <v>58</v>
      </c>
    </row>
    <row r="966" spans="1:7" s="139" customFormat="1" ht="13.8" hidden="1" x14ac:dyDescent="0.3">
      <c r="A966" s="78">
        <v>45989</v>
      </c>
      <c r="B966" s="100" t="s">
        <v>212</v>
      </c>
      <c r="C966" s="12" t="s">
        <v>17</v>
      </c>
      <c r="D966" s="4" t="s">
        <v>140</v>
      </c>
      <c r="E966" s="16">
        <v>-23498.18</v>
      </c>
      <c r="F966" s="13" t="s">
        <v>8</v>
      </c>
      <c r="G966" s="5" t="s">
        <v>58</v>
      </c>
    </row>
    <row r="967" spans="1:7" s="139" customFormat="1" ht="13.8" hidden="1" x14ac:dyDescent="0.3">
      <c r="A967" s="78">
        <v>45989</v>
      </c>
      <c r="B967" s="100" t="s">
        <v>212</v>
      </c>
      <c r="C967" s="12" t="s">
        <v>6</v>
      </c>
      <c r="D967" s="4" t="s">
        <v>144</v>
      </c>
      <c r="E967" s="16">
        <v>-35000</v>
      </c>
      <c r="F967" s="13" t="s">
        <v>8</v>
      </c>
      <c r="G967" s="105" t="s">
        <v>124</v>
      </c>
    </row>
    <row r="968" spans="1:7" s="139" customFormat="1" ht="13.8" hidden="1" x14ac:dyDescent="0.3">
      <c r="A968" s="78">
        <v>45989</v>
      </c>
      <c r="B968" s="100" t="s">
        <v>212</v>
      </c>
      <c r="C968" s="12" t="s">
        <v>6</v>
      </c>
      <c r="D968" s="4" t="s">
        <v>1677</v>
      </c>
      <c r="E968" s="16">
        <v>-7000</v>
      </c>
      <c r="F968" s="13" t="s">
        <v>8</v>
      </c>
      <c r="G968" s="5" t="s">
        <v>97</v>
      </c>
    </row>
    <row r="969" spans="1:7" s="139" customFormat="1" ht="13.8" hidden="1" x14ac:dyDescent="0.3">
      <c r="A969" s="78">
        <v>46021</v>
      </c>
      <c r="B969" s="100" t="s">
        <v>216</v>
      </c>
      <c r="C969" s="12" t="s">
        <v>17</v>
      </c>
      <c r="D969" s="7" t="s">
        <v>146</v>
      </c>
      <c r="E969" s="16">
        <v>-2000</v>
      </c>
      <c r="F969" s="13" t="s">
        <v>8</v>
      </c>
      <c r="G969" s="5" t="s">
        <v>147</v>
      </c>
    </row>
    <row r="970" spans="1:7" s="139" customFormat="1" ht="13.8" hidden="1" x14ac:dyDescent="0.3">
      <c r="A970" s="78">
        <v>45989</v>
      </c>
      <c r="B970" s="100" t="s">
        <v>212</v>
      </c>
      <c r="C970" s="287" t="s">
        <v>17</v>
      </c>
      <c r="D970" s="7" t="s">
        <v>146</v>
      </c>
      <c r="E970" s="16">
        <v>-2000</v>
      </c>
      <c r="F970" s="13" t="s">
        <v>8</v>
      </c>
      <c r="G970" s="5" t="s">
        <v>147</v>
      </c>
    </row>
    <row r="971" spans="1:7" s="139" customFormat="1" ht="13.8" hidden="1" x14ac:dyDescent="0.3">
      <c r="A971" s="78">
        <v>45989</v>
      </c>
      <c r="B971" s="100" t="s">
        <v>212</v>
      </c>
      <c r="C971" s="12" t="s">
        <v>17</v>
      </c>
      <c r="D971" s="7" t="s">
        <v>148</v>
      </c>
      <c r="E971" s="16">
        <v>-50</v>
      </c>
      <c r="F971" s="13" t="s">
        <v>8</v>
      </c>
      <c r="G971" s="5" t="s">
        <v>147</v>
      </c>
    </row>
    <row r="972" spans="1:7" s="139" customFormat="1" ht="13.8" hidden="1" x14ac:dyDescent="0.3">
      <c r="A972" s="78">
        <v>45989</v>
      </c>
      <c r="B972" s="100" t="s">
        <v>212</v>
      </c>
      <c r="C972" s="12" t="s">
        <v>13</v>
      </c>
      <c r="D972" s="4" t="s">
        <v>149</v>
      </c>
      <c r="E972" s="16">
        <v>-800</v>
      </c>
      <c r="F972" s="13" t="s">
        <v>8</v>
      </c>
      <c r="G972" s="5" t="s">
        <v>150</v>
      </c>
    </row>
    <row r="973" spans="1:7" s="139" customFormat="1" ht="13.8" hidden="1" x14ac:dyDescent="0.3">
      <c r="A973" s="78">
        <v>45989</v>
      </c>
      <c r="B973" s="100" t="s">
        <v>212</v>
      </c>
      <c r="C973" s="14" t="s">
        <v>17</v>
      </c>
      <c r="D973" s="14" t="s">
        <v>499</v>
      </c>
      <c r="E973" s="8">
        <v>-8500</v>
      </c>
      <c r="F973" s="13" t="s">
        <v>8</v>
      </c>
      <c r="G973" s="13" t="s">
        <v>152</v>
      </c>
    </row>
    <row r="974" spans="1:7" s="139" customFormat="1" ht="13.8" hidden="1" x14ac:dyDescent="0.3">
      <c r="A974" s="78">
        <v>45989</v>
      </c>
      <c r="B974" s="100" t="s">
        <v>212</v>
      </c>
      <c r="C974" s="328" t="s">
        <v>1571</v>
      </c>
      <c r="D974" s="328" t="s">
        <v>201</v>
      </c>
      <c r="E974" s="725">
        <v>-384</v>
      </c>
      <c r="F974" s="13" t="s">
        <v>8</v>
      </c>
      <c r="G974" s="13" t="s">
        <v>139</v>
      </c>
    </row>
    <row r="975" spans="1:7" s="139" customFormat="1" ht="13.8" hidden="1" x14ac:dyDescent="0.3">
      <c r="A975" s="78">
        <v>45989</v>
      </c>
      <c r="B975" s="100" t="s">
        <v>212</v>
      </c>
      <c r="C975" s="328" t="s">
        <v>25</v>
      </c>
      <c r="D975" s="328" t="s">
        <v>198</v>
      </c>
      <c r="E975" s="329">
        <v>-584.62</v>
      </c>
      <c r="F975" s="13" t="s">
        <v>8</v>
      </c>
      <c r="G975" s="448" t="s">
        <v>73</v>
      </c>
    </row>
    <row r="976" spans="1:7" s="139" customFormat="1" ht="13.8" hidden="1" x14ac:dyDescent="0.3">
      <c r="A976" s="78">
        <v>45989</v>
      </c>
      <c r="B976" s="100" t="s">
        <v>212</v>
      </c>
      <c r="C976" s="14" t="s">
        <v>1571</v>
      </c>
      <c r="D976" s="14" t="s">
        <v>389</v>
      </c>
      <c r="E976" s="8">
        <v>-56.88</v>
      </c>
      <c r="F976" s="13" t="s">
        <v>8</v>
      </c>
      <c r="G976" s="448" t="s">
        <v>1279</v>
      </c>
    </row>
    <row r="977" spans="1:7" s="139" customFormat="1" ht="13.8" hidden="1" x14ac:dyDescent="0.3">
      <c r="A977" s="78">
        <v>45989</v>
      </c>
      <c r="B977" s="100" t="s">
        <v>212</v>
      </c>
      <c r="C977" s="12" t="s">
        <v>6</v>
      </c>
      <c r="D977" s="7" t="s">
        <v>1678</v>
      </c>
      <c r="E977" s="16">
        <v>-31500</v>
      </c>
      <c r="F977" s="13" t="s">
        <v>8</v>
      </c>
      <c r="G977" s="13" t="s">
        <v>152</v>
      </c>
    </row>
    <row r="978" spans="1:7" s="139" customFormat="1" ht="13.8" hidden="1" x14ac:dyDescent="0.3">
      <c r="A978" s="78">
        <v>45989</v>
      </c>
      <c r="B978" s="100" t="s">
        <v>212</v>
      </c>
      <c r="C978" s="12" t="s">
        <v>17</v>
      </c>
      <c r="D978" s="7" t="s">
        <v>154</v>
      </c>
      <c r="E978" s="16">
        <v>-7000</v>
      </c>
      <c r="F978" s="13" t="s">
        <v>8</v>
      </c>
      <c r="G978" s="105" t="s">
        <v>124</v>
      </c>
    </row>
    <row r="979" spans="1:7" s="139" customFormat="1" ht="13.8" hidden="1" x14ac:dyDescent="0.3">
      <c r="A979" s="78">
        <v>45989</v>
      </c>
      <c r="B979" s="100" t="s">
        <v>212</v>
      </c>
      <c r="C979" s="12" t="s">
        <v>44</v>
      </c>
      <c r="D979" s="7" t="s">
        <v>155</v>
      </c>
      <c r="E979" s="16">
        <v>-600</v>
      </c>
      <c r="F979" s="13" t="s">
        <v>8</v>
      </c>
      <c r="G979" s="105" t="s">
        <v>124</v>
      </c>
    </row>
    <row r="980" spans="1:7" s="139" customFormat="1" ht="13.8" hidden="1" x14ac:dyDescent="0.3">
      <c r="A980" s="78">
        <v>45989</v>
      </c>
      <c r="B980" s="100" t="s">
        <v>212</v>
      </c>
      <c r="C980" s="12" t="s">
        <v>44</v>
      </c>
      <c r="D980" s="7" t="s">
        <v>156</v>
      </c>
      <c r="E980" s="16">
        <v>-4000</v>
      </c>
      <c r="F980" s="13" t="s">
        <v>8</v>
      </c>
      <c r="G980" s="105" t="s">
        <v>124</v>
      </c>
    </row>
    <row r="981" spans="1:7" s="139" customFormat="1" ht="13.8" hidden="1" x14ac:dyDescent="0.3">
      <c r="A981" s="78">
        <v>45989</v>
      </c>
      <c r="B981" s="100" t="s">
        <v>212</v>
      </c>
      <c r="C981" s="12" t="s">
        <v>80</v>
      </c>
      <c r="D981" s="4" t="s">
        <v>157</v>
      </c>
      <c r="E981" s="16">
        <v>-9000</v>
      </c>
      <c r="F981" s="13" t="s">
        <v>8</v>
      </c>
      <c r="G981" s="105" t="s">
        <v>124</v>
      </c>
    </row>
    <row r="982" spans="1:7" s="139" customFormat="1" ht="13.8" hidden="1" x14ac:dyDescent="0.3">
      <c r="A982" s="78">
        <v>45989</v>
      </c>
      <c r="B982" s="100" t="s">
        <v>212</v>
      </c>
      <c r="C982" s="12" t="s">
        <v>44</v>
      </c>
      <c r="D982" s="4" t="s">
        <v>158</v>
      </c>
      <c r="E982" s="16">
        <v>-1719.53</v>
      </c>
      <c r="F982" s="13" t="s">
        <v>8</v>
      </c>
      <c r="G982" s="13" t="s">
        <v>91</v>
      </c>
    </row>
    <row r="983" spans="1:7" s="139" customFormat="1" ht="13.8" hidden="1" x14ac:dyDescent="0.3">
      <c r="A983" s="78">
        <v>45989</v>
      </c>
      <c r="B983" s="100" t="s">
        <v>212</v>
      </c>
      <c r="C983" s="12" t="s">
        <v>6</v>
      </c>
      <c r="D983" s="4" t="s">
        <v>158</v>
      </c>
      <c r="E983" s="16">
        <v>-1392.65</v>
      </c>
      <c r="F983" s="13" t="s">
        <v>8</v>
      </c>
      <c r="G983" s="13" t="s">
        <v>91</v>
      </c>
    </row>
    <row r="984" spans="1:7" s="139" customFormat="1" ht="13.8" hidden="1" x14ac:dyDescent="0.3">
      <c r="A984" s="100">
        <v>45971</v>
      </c>
      <c r="B984" s="100" t="s">
        <v>212</v>
      </c>
      <c r="C984" s="14" t="s">
        <v>32</v>
      </c>
      <c r="D984" s="14" t="s">
        <v>1665</v>
      </c>
      <c r="E984" s="8">
        <v>-1085.8699999999999</v>
      </c>
      <c r="F984" s="13" t="s">
        <v>8</v>
      </c>
      <c r="G984" s="9" t="s">
        <v>75</v>
      </c>
    </row>
    <row r="985" spans="1:7" s="139" customFormat="1" ht="13.8" hidden="1" x14ac:dyDescent="0.3">
      <c r="A985" s="100">
        <v>45971</v>
      </c>
      <c r="B985" s="100" t="s">
        <v>212</v>
      </c>
      <c r="C985" s="14" t="s">
        <v>32</v>
      </c>
      <c r="D985" s="14" t="s">
        <v>1236</v>
      </c>
      <c r="E985" s="8">
        <v>-2860.6</v>
      </c>
      <c r="F985" s="13" t="s">
        <v>8</v>
      </c>
      <c r="G985" s="9" t="s">
        <v>75</v>
      </c>
    </row>
    <row r="986" spans="1:7" s="139" customFormat="1" ht="13.8" hidden="1" x14ac:dyDescent="0.3">
      <c r="A986" s="100">
        <v>45971</v>
      </c>
      <c r="B986" s="100" t="s">
        <v>212</v>
      </c>
      <c r="C986" s="328" t="s">
        <v>44</v>
      </c>
      <c r="D986" s="328" t="s">
        <v>226</v>
      </c>
      <c r="E986" s="329">
        <v>-2339.06</v>
      </c>
      <c r="F986" s="13" t="s">
        <v>8</v>
      </c>
      <c r="G986" s="448" t="s">
        <v>227</v>
      </c>
    </row>
    <row r="987" spans="1:7" s="139" customFormat="1" ht="13.8" hidden="1" x14ac:dyDescent="0.3">
      <c r="A987" s="100">
        <v>45971</v>
      </c>
      <c r="B987" s="100" t="s">
        <v>212</v>
      </c>
      <c r="C987" s="328" t="s">
        <v>25</v>
      </c>
      <c r="D987" s="328" t="s">
        <v>2312</v>
      </c>
      <c r="E987" s="329">
        <v>-155</v>
      </c>
      <c r="F987" s="13" t="s">
        <v>8</v>
      </c>
      <c r="G987" s="448" t="s">
        <v>111</v>
      </c>
    </row>
    <row r="988" spans="1:7" s="139" customFormat="1" ht="13.8" hidden="1" x14ac:dyDescent="0.3">
      <c r="A988" s="100">
        <v>45971</v>
      </c>
      <c r="B988" s="100" t="s">
        <v>212</v>
      </c>
      <c r="C988" s="328" t="s">
        <v>71</v>
      </c>
      <c r="D988" s="328" t="s">
        <v>1880</v>
      </c>
      <c r="E988" s="329">
        <v>-779.30998799999998</v>
      </c>
      <c r="F988" s="13" t="s">
        <v>8</v>
      </c>
      <c r="G988" s="448" t="s">
        <v>227</v>
      </c>
    </row>
    <row r="989" spans="1:7" s="139" customFormat="1" ht="13.8" hidden="1" x14ac:dyDescent="0.3">
      <c r="A989" s="100">
        <v>45971</v>
      </c>
      <c r="B989" s="100" t="s">
        <v>212</v>
      </c>
      <c r="C989" s="328" t="s">
        <v>71</v>
      </c>
      <c r="D989" s="328" t="s">
        <v>74</v>
      </c>
      <c r="E989" s="329">
        <v>-195.23</v>
      </c>
      <c r="F989" s="13" t="s">
        <v>8</v>
      </c>
      <c r="G989" s="448" t="s">
        <v>73</v>
      </c>
    </row>
    <row r="990" spans="1:7" s="139" customFormat="1" ht="13.8" hidden="1" x14ac:dyDescent="0.3">
      <c r="A990" s="100">
        <v>45971</v>
      </c>
      <c r="B990" s="100" t="s">
        <v>212</v>
      </c>
      <c r="C990" s="1165" t="s">
        <v>17</v>
      </c>
      <c r="D990" s="328" t="s">
        <v>198</v>
      </c>
      <c r="E990" s="329">
        <v>-494.56</v>
      </c>
      <c r="F990" s="13" t="s">
        <v>8</v>
      </c>
      <c r="G990" s="448" t="s">
        <v>73</v>
      </c>
    </row>
    <row r="991" spans="1:7" s="139" customFormat="1" ht="13.8" hidden="1" x14ac:dyDescent="0.3">
      <c r="A991" s="113">
        <v>45971</v>
      </c>
      <c r="B991" s="113" t="s">
        <v>212</v>
      </c>
      <c r="C991" s="106" t="s">
        <v>13</v>
      </c>
      <c r="D991" s="76" t="s">
        <v>214</v>
      </c>
      <c r="E991" s="8">
        <v>-50000</v>
      </c>
      <c r="F991" s="13" t="s">
        <v>8</v>
      </c>
      <c r="G991" s="9" t="s">
        <v>27</v>
      </c>
    </row>
    <row r="992" spans="1:7" s="143" customFormat="1" ht="13.8" x14ac:dyDescent="0.3">
      <c r="A992" s="123">
        <v>45972</v>
      </c>
      <c r="B992" s="123" t="s">
        <v>212</v>
      </c>
      <c r="C992" s="120" t="s">
        <v>170</v>
      </c>
      <c r="D992" s="29" t="s">
        <v>172</v>
      </c>
      <c r="E992" s="121">
        <v>4880.1400000000003</v>
      </c>
      <c r="F992" s="55" t="s">
        <v>161</v>
      </c>
      <c r="G992" s="61" t="s">
        <v>162</v>
      </c>
    </row>
    <row r="993" spans="1:7" s="143" customFormat="1" ht="13.8" x14ac:dyDescent="0.3">
      <c r="A993" s="123">
        <v>45972</v>
      </c>
      <c r="B993" s="123" t="s">
        <v>212</v>
      </c>
      <c r="C993" s="120" t="s">
        <v>167</v>
      </c>
      <c r="D993" s="29" t="s">
        <v>173</v>
      </c>
      <c r="E993" s="121">
        <v>603.26</v>
      </c>
      <c r="F993" s="55" t="s">
        <v>161</v>
      </c>
      <c r="G993" s="61" t="s">
        <v>162</v>
      </c>
    </row>
    <row r="994" spans="1:7" s="143" customFormat="1" ht="13.8" x14ac:dyDescent="0.3">
      <c r="A994" s="123">
        <v>45972</v>
      </c>
      <c r="B994" s="123" t="s">
        <v>212</v>
      </c>
      <c r="C994" s="120" t="s">
        <v>167</v>
      </c>
      <c r="D994" s="29" t="s">
        <v>173</v>
      </c>
      <c r="E994" s="121">
        <v>1106.1400000000001</v>
      </c>
      <c r="F994" s="55" t="s">
        <v>161</v>
      </c>
      <c r="G994" s="61" t="s">
        <v>162</v>
      </c>
    </row>
    <row r="995" spans="1:7" s="143" customFormat="1" ht="13.8" x14ac:dyDescent="0.3">
      <c r="A995" s="123">
        <v>45972</v>
      </c>
      <c r="B995" s="123" t="s">
        <v>212</v>
      </c>
      <c r="C995" s="120" t="s">
        <v>167</v>
      </c>
      <c r="D995" s="29" t="s">
        <v>173</v>
      </c>
      <c r="E995" s="121">
        <v>9631</v>
      </c>
      <c r="F995" s="55" t="s">
        <v>161</v>
      </c>
      <c r="G995" s="61" t="s">
        <v>162</v>
      </c>
    </row>
    <row r="996" spans="1:7" s="143" customFormat="1" ht="13.8" x14ac:dyDescent="0.3">
      <c r="A996" s="123">
        <v>45972</v>
      </c>
      <c r="B996" s="123" t="s">
        <v>212</v>
      </c>
      <c r="C996" s="120" t="s">
        <v>174</v>
      </c>
      <c r="D996" s="29" t="s">
        <v>175</v>
      </c>
      <c r="E996" s="58">
        <v>257.81</v>
      </c>
      <c r="F996" s="55" t="s">
        <v>161</v>
      </c>
      <c r="G996" s="61" t="s">
        <v>162</v>
      </c>
    </row>
    <row r="997" spans="1:7" s="143" customFormat="1" ht="13.8" x14ac:dyDescent="0.3">
      <c r="A997" s="123">
        <v>45972</v>
      </c>
      <c r="B997" s="123" t="s">
        <v>212</v>
      </c>
      <c r="C997" s="120" t="s">
        <v>174</v>
      </c>
      <c r="D997" s="29" t="s">
        <v>176</v>
      </c>
      <c r="E997" s="121">
        <v>680.03</v>
      </c>
      <c r="F997" s="55" t="s">
        <v>161</v>
      </c>
      <c r="G997" s="61" t="s">
        <v>162</v>
      </c>
    </row>
    <row r="998" spans="1:7" s="143" customFormat="1" ht="13.8" x14ac:dyDescent="0.3">
      <c r="A998" s="123">
        <v>45972</v>
      </c>
      <c r="B998" s="123" t="s">
        <v>212</v>
      </c>
      <c r="C998" s="120" t="s">
        <v>177</v>
      </c>
      <c r="D998" s="122" t="s">
        <v>178</v>
      </c>
      <c r="E998" s="53">
        <v>24988.71</v>
      </c>
      <c r="F998" s="55" t="s">
        <v>161</v>
      </c>
      <c r="G998" s="61" t="s">
        <v>162</v>
      </c>
    </row>
    <row r="999" spans="1:7" s="143" customFormat="1" ht="13.8" x14ac:dyDescent="0.3">
      <c r="A999" s="123">
        <v>45972</v>
      </c>
      <c r="B999" s="123" t="s">
        <v>212</v>
      </c>
      <c r="C999" s="120" t="s">
        <v>177</v>
      </c>
      <c r="D999" s="122" t="s">
        <v>178</v>
      </c>
      <c r="E999" s="53">
        <v>16834.330000000002</v>
      </c>
      <c r="F999" s="55" t="s">
        <v>161</v>
      </c>
      <c r="G999" s="61" t="s">
        <v>162</v>
      </c>
    </row>
    <row r="1000" spans="1:7" s="143" customFormat="1" ht="13.8" x14ac:dyDescent="0.3">
      <c r="A1000" s="123">
        <v>45972</v>
      </c>
      <c r="B1000" s="123" t="s">
        <v>212</v>
      </c>
      <c r="C1000" s="120" t="s">
        <v>177</v>
      </c>
      <c r="D1000" s="122" t="s">
        <v>178</v>
      </c>
      <c r="E1000" s="53">
        <v>268.13</v>
      </c>
      <c r="F1000" s="55" t="s">
        <v>161</v>
      </c>
      <c r="G1000" s="61" t="s">
        <v>162</v>
      </c>
    </row>
    <row r="1001" spans="1:7" s="143" customFormat="1" ht="13.8" x14ac:dyDescent="0.3">
      <c r="A1001" s="51">
        <v>45982</v>
      </c>
      <c r="B1001" s="123" t="s">
        <v>212</v>
      </c>
      <c r="C1001" s="120" t="s">
        <v>177</v>
      </c>
      <c r="D1001" s="122" t="s">
        <v>178</v>
      </c>
      <c r="E1001" s="53">
        <v>2284.4499999999998</v>
      </c>
      <c r="F1001" s="55" t="s">
        <v>161</v>
      </c>
      <c r="G1001" s="61" t="s">
        <v>162</v>
      </c>
    </row>
    <row r="1002" spans="1:7" s="143" customFormat="1" ht="13.8" hidden="1" x14ac:dyDescent="0.3">
      <c r="A1002" s="100">
        <v>45972</v>
      </c>
      <c r="B1002" s="100" t="s">
        <v>212</v>
      </c>
      <c r="C1002" s="328" t="s">
        <v>71</v>
      </c>
      <c r="D1002" s="328" t="s">
        <v>205</v>
      </c>
      <c r="E1002" s="329">
        <v>-834.01</v>
      </c>
      <c r="F1002" s="9" t="s">
        <v>8</v>
      </c>
      <c r="G1002" s="448" t="s">
        <v>227</v>
      </c>
    </row>
    <row r="1003" spans="1:7" s="143" customFormat="1" ht="13.8" hidden="1" x14ac:dyDescent="0.3">
      <c r="A1003" s="100">
        <v>45972</v>
      </c>
      <c r="B1003" s="100" t="s">
        <v>212</v>
      </c>
      <c r="C1003" s="328" t="s">
        <v>71</v>
      </c>
      <c r="D1003" s="328" t="s">
        <v>205</v>
      </c>
      <c r="E1003" s="329">
        <v>-2367.3597629999999</v>
      </c>
      <c r="F1003" s="9" t="s">
        <v>8</v>
      </c>
      <c r="G1003" s="448" t="s">
        <v>227</v>
      </c>
    </row>
    <row r="1004" spans="1:7" s="143" customFormat="1" ht="13.8" hidden="1" x14ac:dyDescent="0.3">
      <c r="A1004" s="100">
        <v>45972</v>
      </c>
      <c r="B1004" s="100" t="s">
        <v>212</v>
      </c>
      <c r="C1004" s="14" t="s">
        <v>17</v>
      </c>
      <c r="D1004" s="14" t="s">
        <v>2235</v>
      </c>
      <c r="E1004" s="8">
        <v>-88.44</v>
      </c>
      <c r="F1004" s="9" t="s">
        <v>8</v>
      </c>
      <c r="G1004" s="9" t="s">
        <v>186</v>
      </c>
    </row>
    <row r="1005" spans="1:7" s="143" customFormat="1" ht="13.8" hidden="1" x14ac:dyDescent="0.3">
      <c r="A1005" s="100">
        <v>45972</v>
      </c>
      <c r="B1005" s="100" t="s">
        <v>212</v>
      </c>
      <c r="C1005" s="14" t="s">
        <v>17</v>
      </c>
      <c r="D1005" s="14" t="s">
        <v>1667</v>
      </c>
      <c r="E1005" s="8">
        <v>-260</v>
      </c>
      <c r="F1005" s="9" t="s">
        <v>8</v>
      </c>
      <c r="G1005" s="9" t="s">
        <v>186</v>
      </c>
    </row>
    <row r="1006" spans="1:7" s="143" customFormat="1" ht="13.8" x14ac:dyDescent="0.3">
      <c r="A1006" s="123">
        <v>45972</v>
      </c>
      <c r="B1006" s="123" t="s">
        <v>212</v>
      </c>
      <c r="C1006" s="120" t="s">
        <v>163</v>
      </c>
      <c r="D1006" s="124" t="s">
        <v>179</v>
      </c>
      <c r="E1006" s="125">
        <v>7850</v>
      </c>
      <c r="F1006" s="126" t="s">
        <v>161</v>
      </c>
      <c r="G1006" s="61" t="s">
        <v>162</v>
      </c>
    </row>
    <row r="1007" spans="1:7" s="143" customFormat="1" ht="13.8" hidden="1" x14ac:dyDescent="0.3">
      <c r="A1007" s="123">
        <v>45961</v>
      </c>
      <c r="B1007" s="123" t="s">
        <v>211</v>
      </c>
      <c r="C1007" s="120" t="s">
        <v>17</v>
      </c>
      <c r="D1007" s="29" t="s">
        <v>180</v>
      </c>
      <c r="E1007" s="1106">
        <v>340539.96</v>
      </c>
      <c r="F1007" s="55" t="s">
        <v>161</v>
      </c>
      <c r="G1007" s="61" t="s">
        <v>162</v>
      </c>
    </row>
    <row r="1008" spans="1:7" s="143" customFormat="1" ht="13.8" x14ac:dyDescent="0.3">
      <c r="A1008" s="123">
        <v>45979</v>
      </c>
      <c r="B1008" s="123" t="s">
        <v>212</v>
      </c>
      <c r="C1008" s="120" t="s">
        <v>181</v>
      </c>
      <c r="D1008" s="29" t="s">
        <v>182</v>
      </c>
      <c r="E1008" s="127">
        <v>17956.39</v>
      </c>
      <c r="F1008" s="55" t="s">
        <v>161</v>
      </c>
      <c r="G1008" s="61" t="s">
        <v>162</v>
      </c>
    </row>
    <row r="1009" spans="1:7" s="143" customFormat="1" ht="13.8" x14ac:dyDescent="0.3">
      <c r="A1009" s="51">
        <v>45979</v>
      </c>
      <c r="B1009" s="123" t="s">
        <v>212</v>
      </c>
      <c r="C1009" s="120" t="s">
        <v>163</v>
      </c>
      <c r="D1009" s="29" t="s">
        <v>183</v>
      </c>
      <c r="E1009" s="53">
        <v>4717.4399999999996</v>
      </c>
      <c r="F1009" s="126" t="s">
        <v>161</v>
      </c>
      <c r="G1009" s="61" t="s">
        <v>162</v>
      </c>
    </row>
    <row r="1010" spans="1:7" s="143" customFormat="1" ht="13.8" x14ac:dyDescent="0.3">
      <c r="A1010" s="51">
        <v>45979</v>
      </c>
      <c r="B1010" s="123" t="s">
        <v>212</v>
      </c>
      <c r="C1010" s="120" t="s">
        <v>163</v>
      </c>
      <c r="D1010" s="29" t="s">
        <v>183</v>
      </c>
      <c r="E1010" s="53">
        <v>9938.39</v>
      </c>
      <c r="F1010" s="126" t="s">
        <v>161</v>
      </c>
      <c r="G1010" s="61" t="s">
        <v>162</v>
      </c>
    </row>
    <row r="1011" spans="1:7" s="143" customFormat="1" ht="13.8" x14ac:dyDescent="0.3">
      <c r="A1011" s="51">
        <v>45979</v>
      </c>
      <c r="B1011" s="123" t="s">
        <v>212</v>
      </c>
      <c r="C1011" s="120" t="s">
        <v>163</v>
      </c>
      <c r="D1011" s="29" t="s">
        <v>183</v>
      </c>
      <c r="E1011" s="53">
        <v>22139.98</v>
      </c>
      <c r="F1011" s="126" t="s">
        <v>161</v>
      </c>
      <c r="G1011" s="61" t="s">
        <v>162</v>
      </c>
    </row>
    <row r="1012" spans="1:7" s="143" customFormat="1" ht="13.8" x14ac:dyDescent="0.3">
      <c r="A1012" s="123">
        <v>45989</v>
      </c>
      <c r="B1012" s="123" t="s">
        <v>212</v>
      </c>
      <c r="C1012" s="120" t="s">
        <v>177</v>
      </c>
      <c r="D1012" s="29" t="s">
        <v>184</v>
      </c>
      <c r="E1012" s="58">
        <v>2373.8200000000002</v>
      </c>
      <c r="F1012" s="55" t="s">
        <v>161</v>
      </c>
      <c r="G1012" s="61" t="s">
        <v>162</v>
      </c>
    </row>
    <row r="1013" spans="1:7" s="143" customFormat="1" ht="13.8" x14ac:dyDescent="0.3">
      <c r="A1013" s="123">
        <v>45989</v>
      </c>
      <c r="B1013" s="147" t="s">
        <v>212</v>
      </c>
      <c r="C1013" s="120" t="s">
        <v>177</v>
      </c>
      <c r="D1013" s="29" t="s">
        <v>184</v>
      </c>
      <c r="E1013" s="58">
        <v>5823.82</v>
      </c>
      <c r="F1013" s="55" t="s">
        <v>161</v>
      </c>
      <c r="G1013" s="61" t="s">
        <v>162</v>
      </c>
    </row>
    <row r="1014" spans="1:7" s="143" customFormat="1" ht="13.8" x14ac:dyDescent="0.3">
      <c r="A1014" s="123">
        <v>45989</v>
      </c>
      <c r="B1014" s="147" t="s">
        <v>212</v>
      </c>
      <c r="C1014" s="120" t="s">
        <v>177</v>
      </c>
      <c r="D1014" s="29" t="s">
        <v>184</v>
      </c>
      <c r="E1014" s="58">
        <v>7526.95</v>
      </c>
      <c r="F1014" s="55" t="s">
        <v>161</v>
      </c>
      <c r="G1014" s="61" t="s">
        <v>162</v>
      </c>
    </row>
    <row r="1015" spans="1:7" s="143" customFormat="1" ht="13.8" x14ac:dyDescent="0.3">
      <c r="A1015" s="123">
        <v>45989</v>
      </c>
      <c r="B1015" s="147" t="s">
        <v>212</v>
      </c>
      <c r="C1015" s="120" t="s">
        <v>177</v>
      </c>
      <c r="D1015" s="29" t="s">
        <v>184</v>
      </c>
      <c r="E1015" s="58">
        <v>25756.63</v>
      </c>
      <c r="F1015" s="55" t="s">
        <v>161</v>
      </c>
      <c r="G1015" s="61" t="s">
        <v>162</v>
      </c>
    </row>
    <row r="1016" spans="1:7" s="143" customFormat="1" ht="13.8" x14ac:dyDescent="0.3">
      <c r="A1016" s="50">
        <v>45989</v>
      </c>
      <c r="B1016" s="147" t="s">
        <v>212</v>
      </c>
      <c r="C1016" s="120" t="s">
        <v>170</v>
      </c>
      <c r="D1016" s="29" t="s">
        <v>185</v>
      </c>
      <c r="E1016" s="128">
        <v>814517.81</v>
      </c>
      <c r="F1016" s="55" t="s">
        <v>161</v>
      </c>
      <c r="G1016" s="61" t="s">
        <v>162</v>
      </c>
    </row>
    <row r="1017" spans="1:7" s="143" customFormat="1" ht="13.8" hidden="1" x14ac:dyDescent="0.3">
      <c r="A1017" s="78">
        <v>45985</v>
      </c>
      <c r="B1017" s="100" t="s">
        <v>212</v>
      </c>
      <c r="C1017" s="328" t="s">
        <v>31</v>
      </c>
      <c r="D1017" s="328" t="s">
        <v>1252</v>
      </c>
      <c r="E1017" s="329">
        <v>-6007.83</v>
      </c>
      <c r="F1017" s="13" t="s">
        <v>8</v>
      </c>
      <c r="G1017" s="448" t="s">
        <v>75</v>
      </c>
    </row>
    <row r="1018" spans="1:7" s="143" customFormat="1" ht="13.8" hidden="1" x14ac:dyDescent="0.3">
      <c r="A1018" s="78">
        <v>45985</v>
      </c>
      <c r="B1018" s="100" t="s">
        <v>212</v>
      </c>
      <c r="C1018" s="328" t="s">
        <v>31</v>
      </c>
      <c r="D1018" s="328" t="s">
        <v>1919</v>
      </c>
      <c r="E1018" s="329">
        <v>-2125.88</v>
      </c>
      <c r="F1018" s="13" t="s">
        <v>8</v>
      </c>
      <c r="G1018" s="448" t="s">
        <v>75</v>
      </c>
    </row>
    <row r="1019" spans="1:7" s="139" customFormat="1" ht="13.8" hidden="1" x14ac:dyDescent="0.3">
      <c r="A1019" s="78">
        <v>45985</v>
      </c>
      <c r="B1019" s="100" t="s">
        <v>212</v>
      </c>
      <c r="C1019" s="328" t="s">
        <v>1571</v>
      </c>
      <c r="D1019" s="328" t="s">
        <v>2329</v>
      </c>
      <c r="E1019" s="329">
        <v>-1859.23</v>
      </c>
      <c r="F1019" s="13" t="s">
        <v>8</v>
      </c>
      <c r="G1019" s="448" t="s">
        <v>124</v>
      </c>
    </row>
    <row r="1020" spans="1:7" s="139" customFormat="1" ht="13.8" hidden="1" x14ac:dyDescent="0.3">
      <c r="A1020" s="87">
        <v>45985</v>
      </c>
      <c r="B1020" s="146" t="s">
        <v>212</v>
      </c>
      <c r="C1020" s="287" t="s">
        <v>31</v>
      </c>
      <c r="D1020" s="4" t="s">
        <v>578</v>
      </c>
      <c r="E1020" s="16">
        <v>-7000</v>
      </c>
      <c r="F1020" s="13" t="s">
        <v>8</v>
      </c>
      <c r="G1020" s="9" t="s">
        <v>46</v>
      </c>
    </row>
    <row r="1021" spans="1:7" s="139" customFormat="1" ht="13.8" hidden="1" x14ac:dyDescent="0.3">
      <c r="A1021" s="87">
        <v>45985</v>
      </c>
      <c r="B1021" s="100" t="s">
        <v>212</v>
      </c>
      <c r="C1021" s="12" t="s">
        <v>25</v>
      </c>
      <c r="D1021" s="4" t="s">
        <v>194</v>
      </c>
      <c r="E1021" s="16">
        <v>-7000</v>
      </c>
      <c r="F1021" s="13" t="s">
        <v>8</v>
      </c>
      <c r="G1021" s="9" t="s">
        <v>46</v>
      </c>
    </row>
    <row r="1022" spans="1:7" s="139" customFormat="1" ht="13.8" hidden="1" x14ac:dyDescent="0.3">
      <c r="A1022" s="100">
        <v>45989</v>
      </c>
      <c r="B1022" s="100" t="s">
        <v>212</v>
      </c>
      <c r="C1022" s="12" t="s">
        <v>31</v>
      </c>
      <c r="D1022" s="111" t="s">
        <v>195</v>
      </c>
      <c r="E1022" s="112">
        <v>-630</v>
      </c>
      <c r="F1022" s="13" t="s">
        <v>8</v>
      </c>
      <c r="G1022" s="5" t="s">
        <v>51</v>
      </c>
    </row>
    <row r="1023" spans="1:7" s="139" customFormat="1" ht="13.8" hidden="1" x14ac:dyDescent="0.3">
      <c r="A1023" s="74">
        <v>45989</v>
      </c>
      <c r="B1023" s="113" t="s">
        <v>212</v>
      </c>
      <c r="C1023" s="11" t="s">
        <v>6</v>
      </c>
      <c r="D1023" s="7" t="s">
        <v>215</v>
      </c>
      <c r="E1023" s="8">
        <v>-261861.65</v>
      </c>
      <c r="F1023" s="9" t="s">
        <v>8</v>
      </c>
      <c r="G1023" s="9" t="s">
        <v>225</v>
      </c>
    </row>
    <row r="1024" spans="1:7" s="4" customFormat="1" ht="13.8" hidden="1" x14ac:dyDescent="0.3">
      <c r="A1024" s="100">
        <v>45971</v>
      </c>
      <c r="B1024" s="100" t="s">
        <v>212</v>
      </c>
      <c r="C1024" s="328" t="s">
        <v>1571</v>
      </c>
      <c r="D1024" s="328" t="s">
        <v>385</v>
      </c>
      <c r="E1024" s="329">
        <v>-718.12</v>
      </c>
      <c r="F1024" s="13" t="s">
        <v>8</v>
      </c>
      <c r="G1024" s="9" t="s">
        <v>19</v>
      </c>
    </row>
    <row r="1025" spans="1:7" s="139" customFormat="1" ht="13.8" hidden="1" x14ac:dyDescent="0.3">
      <c r="A1025" s="87">
        <v>45971</v>
      </c>
      <c r="B1025" s="146" t="s">
        <v>212</v>
      </c>
      <c r="C1025" s="95" t="s">
        <v>31</v>
      </c>
      <c r="D1025" s="96" t="s">
        <v>610</v>
      </c>
      <c r="E1025" s="89">
        <v>-1000</v>
      </c>
      <c r="F1025" s="70" t="s">
        <v>8</v>
      </c>
      <c r="G1025" s="70" t="s">
        <v>186</v>
      </c>
    </row>
    <row r="1026" spans="1:7" s="139" customFormat="1" ht="13.8" hidden="1" x14ac:dyDescent="0.3">
      <c r="A1026" s="100">
        <v>45975</v>
      </c>
      <c r="B1026" s="100" t="s">
        <v>212</v>
      </c>
      <c r="C1026" s="328" t="s">
        <v>25</v>
      </c>
      <c r="D1026" s="785" t="s">
        <v>1881</v>
      </c>
      <c r="E1026" s="329">
        <v>-1800</v>
      </c>
      <c r="F1026" s="781" t="s">
        <v>8</v>
      </c>
      <c r="G1026" s="9" t="s">
        <v>124</v>
      </c>
    </row>
    <row r="1027" spans="1:7" s="139" customFormat="1" ht="13.8" hidden="1" x14ac:dyDescent="0.3">
      <c r="A1027" s="100">
        <v>45975</v>
      </c>
      <c r="B1027" s="100" t="s">
        <v>212</v>
      </c>
      <c r="C1027" s="14" t="s">
        <v>17</v>
      </c>
      <c r="D1027" s="786" t="s">
        <v>1672</v>
      </c>
      <c r="E1027" s="8">
        <v>-1000</v>
      </c>
      <c r="F1027" s="92" t="s">
        <v>8</v>
      </c>
      <c r="G1027" s="9" t="s">
        <v>186</v>
      </c>
    </row>
    <row r="1028" spans="1:7" s="139" customFormat="1" ht="13.8" hidden="1" x14ac:dyDescent="0.3">
      <c r="A1028" s="100">
        <v>46007</v>
      </c>
      <c r="B1028" s="100" t="s">
        <v>216</v>
      </c>
      <c r="C1028" s="14" t="s">
        <v>17</v>
      </c>
      <c r="D1028" s="14" t="s">
        <v>1673</v>
      </c>
      <c r="E1028" s="486">
        <v>-1000</v>
      </c>
      <c r="F1028" s="9" t="s">
        <v>8</v>
      </c>
      <c r="G1028" s="9" t="s">
        <v>186</v>
      </c>
    </row>
    <row r="1029" spans="1:7" s="139" customFormat="1" ht="13.8" hidden="1" x14ac:dyDescent="0.3">
      <c r="A1029" s="78">
        <v>45975</v>
      </c>
      <c r="B1029" s="100" t="s">
        <v>212</v>
      </c>
      <c r="C1029" s="6" t="s">
        <v>6</v>
      </c>
      <c r="D1029" s="786" t="s">
        <v>1669</v>
      </c>
      <c r="E1029" s="8">
        <v>-10000</v>
      </c>
      <c r="F1029" s="92" t="s">
        <v>8</v>
      </c>
      <c r="G1029" s="9" t="s">
        <v>186</v>
      </c>
    </row>
    <row r="1030" spans="1:7" s="139" customFormat="1" ht="13.8" hidden="1" x14ac:dyDescent="0.3">
      <c r="A1030" s="100">
        <v>45968</v>
      </c>
      <c r="B1030" s="100" t="s">
        <v>212</v>
      </c>
      <c r="C1030" s="328" t="s">
        <v>25</v>
      </c>
      <c r="D1030" s="328" t="s">
        <v>987</v>
      </c>
      <c r="E1030" s="329">
        <v>-1323.08</v>
      </c>
      <c r="F1030" s="13" t="s">
        <v>8</v>
      </c>
      <c r="G1030" s="448" t="s">
        <v>75</v>
      </c>
    </row>
    <row r="1031" spans="1:7" s="139" customFormat="1" ht="13.8" hidden="1" x14ac:dyDescent="0.3">
      <c r="A1031" s="100">
        <v>45968</v>
      </c>
      <c r="B1031" s="100" t="s">
        <v>212</v>
      </c>
      <c r="C1031" s="328" t="s">
        <v>25</v>
      </c>
      <c r="D1031" s="328" t="s">
        <v>1452</v>
      </c>
      <c r="E1031" s="329">
        <v>-170.46</v>
      </c>
      <c r="F1031" s="13" t="s">
        <v>8</v>
      </c>
      <c r="G1031" s="448" t="s">
        <v>75</v>
      </c>
    </row>
    <row r="1032" spans="1:7" s="139" customFormat="1" ht="13.8" hidden="1" x14ac:dyDescent="0.3">
      <c r="A1032" s="100">
        <v>45968</v>
      </c>
      <c r="B1032" s="100" t="s">
        <v>212</v>
      </c>
      <c r="C1032" s="108" t="s">
        <v>17</v>
      </c>
      <c r="D1032" s="96" t="s">
        <v>389</v>
      </c>
      <c r="E1032" s="89">
        <v>-97.34</v>
      </c>
      <c r="F1032" s="110" t="s">
        <v>8</v>
      </c>
      <c r="G1032" s="9" t="s">
        <v>1279</v>
      </c>
    </row>
    <row r="1033" spans="1:7" s="139" customFormat="1" ht="13.8" hidden="1" x14ac:dyDescent="0.3">
      <c r="A1033" s="100">
        <v>45968</v>
      </c>
      <c r="B1033" s="100" t="s">
        <v>212</v>
      </c>
      <c r="C1033" s="14" t="s">
        <v>71</v>
      </c>
      <c r="D1033" s="14" t="s">
        <v>1662</v>
      </c>
      <c r="E1033" s="8">
        <v>-1000</v>
      </c>
      <c r="F1033" s="9" t="s">
        <v>8</v>
      </c>
      <c r="G1033" s="9" t="s">
        <v>186</v>
      </c>
    </row>
    <row r="1034" spans="1:7" s="139" customFormat="1" ht="13.8" hidden="1" x14ac:dyDescent="0.3">
      <c r="A1034" s="100">
        <v>45999</v>
      </c>
      <c r="B1034" s="100" t="s">
        <v>216</v>
      </c>
      <c r="C1034" s="14" t="s">
        <v>71</v>
      </c>
      <c r="D1034" s="14" t="s">
        <v>1663</v>
      </c>
      <c r="E1034" s="8">
        <v>-1000</v>
      </c>
      <c r="F1034" s="9" t="s">
        <v>8</v>
      </c>
      <c r="G1034" s="9" t="s">
        <v>186</v>
      </c>
    </row>
    <row r="1035" spans="1:7" s="139" customFormat="1" ht="13.8" hidden="1" x14ac:dyDescent="0.3">
      <c r="A1035" s="100">
        <v>45968</v>
      </c>
      <c r="B1035" s="100" t="s">
        <v>212</v>
      </c>
      <c r="C1035" s="98" t="s">
        <v>17</v>
      </c>
      <c r="D1035" s="14" t="s">
        <v>1660</v>
      </c>
      <c r="E1035" s="8">
        <v>-1000</v>
      </c>
      <c r="F1035" s="9" t="s">
        <v>8</v>
      </c>
      <c r="G1035" s="9" t="s">
        <v>186</v>
      </c>
    </row>
    <row r="1036" spans="1:7" s="139" customFormat="1" ht="13.8" hidden="1" x14ac:dyDescent="0.3">
      <c r="A1036" s="100">
        <v>45999</v>
      </c>
      <c r="B1036" s="100" t="s">
        <v>216</v>
      </c>
      <c r="C1036" s="14" t="s">
        <v>17</v>
      </c>
      <c r="D1036" s="14" t="s">
        <v>1661</v>
      </c>
      <c r="E1036" s="8">
        <v>-1000</v>
      </c>
      <c r="F1036" s="9" t="s">
        <v>8</v>
      </c>
      <c r="G1036" s="9" t="s">
        <v>186</v>
      </c>
    </row>
    <row r="1037" spans="1:7" s="139" customFormat="1" ht="13.8" hidden="1" x14ac:dyDescent="0.3">
      <c r="A1037" s="78">
        <v>45968</v>
      </c>
      <c r="B1037" s="100" t="s">
        <v>212</v>
      </c>
      <c r="C1037" s="6" t="s">
        <v>104</v>
      </c>
      <c r="D1037" s="14" t="s">
        <v>605</v>
      </c>
      <c r="E1037" s="8">
        <v>-2000</v>
      </c>
      <c r="F1037" s="9" t="s">
        <v>8</v>
      </c>
      <c r="G1037" s="9" t="s">
        <v>186</v>
      </c>
    </row>
    <row r="1038" spans="1:7" s="139" customFormat="1" ht="13.8" hidden="1" x14ac:dyDescent="0.3">
      <c r="A1038" s="78">
        <v>45975</v>
      </c>
      <c r="B1038" s="100" t="s">
        <v>212</v>
      </c>
      <c r="C1038" s="6" t="s">
        <v>104</v>
      </c>
      <c r="D1038" s="98" t="s">
        <v>1670</v>
      </c>
      <c r="E1038" s="8">
        <v>-2000</v>
      </c>
      <c r="F1038" s="92" t="s">
        <v>8</v>
      </c>
      <c r="G1038" s="9" t="s">
        <v>186</v>
      </c>
    </row>
    <row r="1039" spans="1:7" s="139" customFormat="1" ht="13.8" hidden="1" x14ac:dyDescent="0.3">
      <c r="A1039" s="78">
        <v>45989</v>
      </c>
      <c r="B1039" s="100" t="s">
        <v>212</v>
      </c>
      <c r="C1039" s="14" t="s">
        <v>6</v>
      </c>
      <c r="D1039" s="14" t="s">
        <v>187</v>
      </c>
      <c r="E1039" s="8">
        <v>-2000</v>
      </c>
      <c r="F1039" s="9" t="s">
        <v>8</v>
      </c>
      <c r="G1039" s="9" t="s">
        <v>186</v>
      </c>
    </row>
    <row r="1040" spans="1:7" s="139" customFormat="1" ht="13.8" hidden="1" x14ac:dyDescent="0.3">
      <c r="A1040" s="78">
        <v>45989</v>
      </c>
      <c r="B1040" s="100" t="s">
        <v>212</v>
      </c>
      <c r="C1040" s="14" t="s">
        <v>6</v>
      </c>
      <c r="D1040" s="14" t="s">
        <v>585</v>
      </c>
      <c r="E1040" s="8">
        <v>-3836.54</v>
      </c>
      <c r="F1040" s="9" t="s">
        <v>8</v>
      </c>
      <c r="G1040" s="9" t="s">
        <v>186</v>
      </c>
    </row>
    <row r="1041" spans="1:7" s="139" customFormat="1" ht="13.8" hidden="1" x14ac:dyDescent="0.3">
      <c r="A1041" s="78">
        <v>45989</v>
      </c>
      <c r="B1041" s="100" t="s">
        <v>212</v>
      </c>
      <c r="C1041" s="14" t="s">
        <v>6</v>
      </c>
      <c r="D1041" s="14" t="s">
        <v>586</v>
      </c>
      <c r="E1041" s="8">
        <v>-3200</v>
      </c>
      <c r="F1041" s="9" t="s">
        <v>8</v>
      </c>
      <c r="G1041" s="9" t="s">
        <v>186</v>
      </c>
    </row>
    <row r="1042" spans="1:7" s="139" customFormat="1" ht="13.8" hidden="1" x14ac:dyDescent="0.3">
      <c r="A1042" s="78">
        <v>45989</v>
      </c>
      <c r="B1042" s="100" t="s">
        <v>212</v>
      </c>
      <c r="C1042" s="14" t="s">
        <v>33</v>
      </c>
      <c r="D1042" s="14" t="s">
        <v>587</v>
      </c>
      <c r="E1042" s="8">
        <v>-1000</v>
      </c>
      <c r="F1042" s="9" t="s">
        <v>8</v>
      </c>
      <c r="G1042" s="9" t="s">
        <v>186</v>
      </c>
    </row>
    <row r="1043" spans="1:7" s="139" customFormat="1" ht="13.8" hidden="1" x14ac:dyDescent="0.3">
      <c r="A1043" s="78">
        <v>45989</v>
      </c>
      <c r="B1043" s="100" t="s">
        <v>212</v>
      </c>
      <c r="C1043" s="14" t="s">
        <v>17</v>
      </c>
      <c r="D1043" s="14" t="s">
        <v>193</v>
      </c>
      <c r="E1043" s="8">
        <v>-1400</v>
      </c>
      <c r="F1043" s="9" t="s">
        <v>8</v>
      </c>
      <c r="G1043" s="9" t="s">
        <v>186</v>
      </c>
    </row>
    <row r="1044" spans="1:7" s="139" customFormat="1" ht="13.8" hidden="1" x14ac:dyDescent="0.3">
      <c r="A1044" s="78">
        <v>45989</v>
      </c>
      <c r="B1044" s="100" t="s">
        <v>212</v>
      </c>
      <c r="C1044" s="14" t="s">
        <v>17</v>
      </c>
      <c r="D1044" s="14" t="s">
        <v>191</v>
      </c>
      <c r="E1044" s="8">
        <v>-1916.67</v>
      </c>
      <c r="F1044" s="9" t="s">
        <v>8</v>
      </c>
      <c r="G1044" s="9" t="s">
        <v>186</v>
      </c>
    </row>
    <row r="1045" spans="1:7" s="139" customFormat="1" ht="13.8" hidden="1" x14ac:dyDescent="0.3">
      <c r="A1045" s="78">
        <v>45989</v>
      </c>
      <c r="B1045" s="100" t="s">
        <v>212</v>
      </c>
      <c r="C1045" s="14" t="s">
        <v>17</v>
      </c>
      <c r="D1045" s="14" t="s">
        <v>588</v>
      </c>
      <c r="E1045" s="8">
        <v>-2864.92</v>
      </c>
      <c r="F1045" s="9" t="s">
        <v>8</v>
      </c>
      <c r="G1045" s="9" t="s">
        <v>186</v>
      </c>
    </row>
    <row r="1046" spans="1:7" s="139" customFormat="1" ht="13.8" hidden="1" x14ac:dyDescent="0.3">
      <c r="A1046" s="100">
        <v>45992</v>
      </c>
      <c r="B1046" s="100" t="s">
        <v>216</v>
      </c>
      <c r="C1046" s="17" t="s">
        <v>6</v>
      </c>
      <c r="D1046" s="4" t="s">
        <v>7</v>
      </c>
      <c r="E1046" s="16">
        <v>-650</v>
      </c>
      <c r="F1046" s="13" t="s">
        <v>8</v>
      </c>
      <c r="G1046" s="5" t="s">
        <v>9</v>
      </c>
    </row>
    <row r="1047" spans="1:7" s="139" customFormat="1" ht="13.8" hidden="1" x14ac:dyDescent="0.3">
      <c r="A1047" s="100">
        <v>45992</v>
      </c>
      <c r="B1047" s="100" t="s">
        <v>216</v>
      </c>
      <c r="C1047" s="17" t="s">
        <v>6</v>
      </c>
      <c r="D1047" s="4" t="s">
        <v>10</v>
      </c>
      <c r="E1047" s="16">
        <v>-320</v>
      </c>
      <c r="F1047" s="13" t="s">
        <v>8</v>
      </c>
      <c r="G1047" s="5" t="s">
        <v>9</v>
      </c>
    </row>
    <row r="1048" spans="1:7" s="139" customFormat="1" ht="13.8" hidden="1" x14ac:dyDescent="0.3">
      <c r="A1048" s="100">
        <v>45992</v>
      </c>
      <c r="B1048" s="100" t="s">
        <v>216</v>
      </c>
      <c r="C1048" s="17" t="s">
        <v>6</v>
      </c>
      <c r="D1048" s="4" t="s">
        <v>11</v>
      </c>
      <c r="E1048" s="16">
        <v>-350</v>
      </c>
      <c r="F1048" s="13" t="s">
        <v>8</v>
      </c>
      <c r="G1048" s="5" t="s">
        <v>9</v>
      </c>
    </row>
    <row r="1049" spans="1:7" s="139" customFormat="1" ht="13.8" hidden="1" x14ac:dyDescent="0.3">
      <c r="A1049" s="100">
        <v>45992</v>
      </c>
      <c r="B1049" s="100" t="s">
        <v>216</v>
      </c>
      <c r="C1049" s="11" t="s">
        <v>6</v>
      </c>
      <c r="D1049" s="4" t="s">
        <v>12</v>
      </c>
      <c r="E1049" s="16">
        <v>-201</v>
      </c>
      <c r="F1049" s="13" t="s">
        <v>8</v>
      </c>
      <c r="G1049" s="5" t="s">
        <v>9</v>
      </c>
    </row>
    <row r="1050" spans="1:7" s="139" customFormat="1" ht="13.8" hidden="1" x14ac:dyDescent="0.3">
      <c r="A1050" s="100">
        <v>45992</v>
      </c>
      <c r="B1050" s="100" t="s">
        <v>216</v>
      </c>
      <c r="C1050" s="11" t="s">
        <v>13</v>
      </c>
      <c r="D1050" s="4" t="s">
        <v>14</v>
      </c>
      <c r="E1050" s="16">
        <v>-2000</v>
      </c>
      <c r="F1050" s="13" t="s">
        <v>8</v>
      </c>
      <c r="G1050" s="5" t="s">
        <v>15</v>
      </c>
    </row>
    <row r="1051" spans="1:7" s="139" customFormat="1" ht="13.8" hidden="1" x14ac:dyDescent="0.3">
      <c r="A1051" s="100">
        <v>45992</v>
      </c>
      <c r="B1051" s="100" t="s">
        <v>216</v>
      </c>
      <c r="C1051" s="11" t="s">
        <v>13</v>
      </c>
      <c r="D1051" s="4" t="s">
        <v>16</v>
      </c>
      <c r="E1051" s="16">
        <v>-5000</v>
      </c>
      <c r="F1051" s="13" t="s">
        <v>8</v>
      </c>
      <c r="G1051" s="5" t="s">
        <v>15</v>
      </c>
    </row>
    <row r="1052" spans="1:7" s="139" customFormat="1" ht="13.8" hidden="1" x14ac:dyDescent="0.3">
      <c r="A1052" s="113">
        <v>45996</v>
      </c>
      <c r="B1052" s="113" t="s">
        <v>216</v>
      </c>
      <c r="C1052" s="175" t="s">
        <v>17</v>
      </c>
      <c r="D1052" s="107" t="s">
        <v>18</v>
      </c>
      <c r="E1052" s="1170">
        <v>-13041.15</v>
      </c>
      <c r="F1052" s="27" t="s">
        <v>8</v>
      </c>
      <c r="G1052" s="41" t="s">
        <v>19</v>
      </c>
    </row>
    <row r="1053" spans="1:7" s="1168" customFormat="1" ht="13.8" hidden="1" x14ac:dyDescent="0.3">
      <c r="A1053" s="100">
        <v>45993</v>
      </c>
      <c r="B1053" s="100" t="s">
        <v>216</v>
      </c>
      <c r="C1053" s="328" t="s">
        <v>44</v>
      </c>
      <c r="D1053" s="328" t="s">
        <v>226</v>
      </c>
      <c r="E1053" s="329">
        <v>-1125.3</v>
      </c>
      <c r="F1053" s="13" t="s">
        <v>8</v>
      </c>
      <c r="G1053" s="448" t="s">
        <v>227</v>
      </c>
    </row>
    <row r="1054" spans="1:7" s="1168" customFormat="1" ht="13.8" hidden="1" x14ac:dyDescent="0.3">
      <c r="A1054" s="100">
        <v>45993</v>
      </c>
      <c r="B1054" s="100" t="s">
        <v>216</v>
      </c>
      <c r="C1054" s="328" t="s">
        <v>44</v>
      </c>
      <c r="D1054" s="328" t="s">
        <v>204</v>
      </c>
      <c r="E1054" s="329">
        <v>-11785.15</v>
      </c>
      <c r="F1054" s="13" t="s">
        <v>8</v>
      </c>
      <c r="G1054" s="448" t="s">
        <v>227</v>
      </c>
    </row>
    <row r="1055" spans="1:7" s="1168" customFormat="1" ht="13.8" hidden="1" x14ac:dyDescent="0.3">
      <c r="A1055" s="100">
        <v>45993</v>
      </c>
      <c r="B1055" s="100" t="s">
        <v>216</v>
      </c>
      <c r="C1055" s="328" t="s">
        <v>1571</v>
      </c>
      <c r="D1055" s="328" t="s">
        <v>201</v>
      </c>
      <c r="E1055" s="329">
        <v>-180</v>
      </c>
      <c r="F1055" s="13" t="s">
        <v>8</v>
      </c>
      <c r="G1055" s="448" t="s">
        <v>139</v>
      </c>
    </row>
    <row r="1056" spans="1:7" s="139" customFormat="1" ht="13.8" hidden="1" x14ac:dyDescent="0.3">
      <c r="A1056" s="100">
        <v>45993</v>
      </c>
      <c r="B1056" s="100" t="s">
        <v>216</v>
      </c>
      <c r="C1056" s="14" t="s">
        <v>20</v>
      </c>
      <c r="D1056" s="7" t="s">
        <v>21</v>
      </c>
      <c r="E1056" s="16">
        <v>-900</v>
      </c>
      <c r="F1056" s="13" t="s">
        <v>8</v>
      </c>
      <c r="G1056" s="5" t="s">
        <v>22</v>
      </c>
    </row>
    <row r="1057" spans="1:7" s="139" customFormat="1" ht="13.8" hidden="1" x14ac:dyDescent="0.3">
      <c r="A1057" s="100">
        <v>45995</v>
      </c>
      <c r="B1057" s="100" t="s">
        <v>216</v>
      </c>
      <c r="C1057" s="17" t="s">
        <v>6</v>
      </c>
      <c r="D1057" s="4" t="s">
        <v>23</v>
      </c>
      <c r="E1057" s="16">
        <v>-3809.98</v>
      </c>
      <c r="F1057" s="13" t="s">
        <v>8</v>
      </c>
      <c r="G1057" s="5" t="s">
        <v>24</v>
      </c>
    </row>
    <row r="1058" spans="1:7" s="139" customFormat="1" ht="13.8" hidden="1" x14ac:dyDescent="0.3">
      <c r="A1058" s="100">
        <v>45995</v>
      </c>
      <c r="B1058" s="100" t="s">
        <v>216</v>
      </c>
      <c r="C1058" s="328" t="s">
        <v>25</v>
      </c>
      <c r="D1058" s="328" t="s">
        <v>198</v>
      </c>
      <c r="E1058" s="329">
        <v>-573.54</v>
      </c>
      <c r="F1058" s="13" t="s">
        <v>8</v>
      </c>
      <c r="G1058" s="448" t="s">
        <v>73</v>
      </c>
    </row>
    <row r="1059" spans="1:7" s="139" customFormat="1" ht="13.8" hidden="1" x14ac:dyDescent="0.3">
      <c r="A1059" s="100">
        <v>45995</v>
      </c>
      <c r="B1059" s="100" t="s">
        <v>216</v>
      </c>
      <c r="C1059" s="328" t="s">
        <v>25</v>
      </c>
      <c r="D1059" s="328" t="s">
        <v>198</v>
      </c>
      <c r="E1059" s="329">
        <v>-95.14</v>
      </c>
      <c r="F1059" s="13" t="s">
        <v>8</v>
      </c>
      <c r="G1059" s="448" t="s">
        <v>73</v>
      </c>
    </row>
    <row r="1060" spans="1:7" s="139" customFormat="1" ht="13.8" hidden="1" x14ac:dyDescent="0.3">
      <c r="A1060" s="100">
        <v>45995</v>
      </c>
      <c r="B1060" s="100" t="s">
        <v>216</v>
      </c>
      <c r="C1060" s="328" t="s">
        <v>25</v>
      </c>
      <c r="D1060" s="328" t="s">
        <v>198</v>
      </c>
      <c r="E1060" s="329">
        <v>-233.26</v>
      </c>
      <c r="F1060" s="13" t="s">
        <v>8</v>
      </c>
      <c r="G1060" s="448" t="s">
        <v>73</v>
      </c>
    </row>
    <row r="1061" spans="1:7" s="139" customFormat="1" ht="13.8" hidden="1" x14ac:dyDescent="0.3">
      <c r="A1061" s="100">
        <v>45995</v>
      </c>
      <c r="B1061" s="100" t="s">
        <v>216</v>
      </c>
      <c r="C1061" s="328" t="s">
        <v>1571</v>
      </c>
      <c r="D1061" s="328" t="s">
        <v>389</v>
      </c>
      <c r="E1061" s="329">
        <v>-91.450354000000004</v>
      </c>
      <c r="F1061" s="13" t="s">
        <v>8</v>
      </c>
      <c r="G1061" s="5" t="s">
        <v>1279</v>
      </c>
    </row>
    <row r="1062" spans="1:7" s="139" customFormat="1" ht="13.8" hidden="1" x14ac:dyDescent="0.3">
      <c r="A1062" s="100">
        <v>45995</v>
      </c>
      <c r="B1062" s="100" t="s">
        <v>216</v>
      </c>
      <c r="C1062" s="328" t="s">
        <v>71</v>
      </c>
      <c r="D1062" s="328" t="s">
        <v>1026</v>
      </c>
      <c r="E1062" s="329">
        <v>-987.07</v>
      </c>
      <c r="F1062" s="13" t="s">
        <v>8</v>
      </c>
      <c r="G1062" s="5" t="s">
        <v>203</v>
      </c>
    </row>
    <row r="1063" spans="1:7" s="139" customFormat="1" ht="13.8" hidden="1" x14ac:dyDescent="0.3">
      <c r="A1063" s="100">
        <v>45995</v>
      </c>
      <c r="B1063" s="100" t="s">
        <v>216</v>
      </c>
      <c r="C1063" s="11" t="s">
        <v>6</v>
      </c>
      <c r="D1063" s="4" t="s">
        <v>28</v>
      </c>
      <c r="E1063" s="16">
        <v>-349</v>
      </c>
      <c r="F1063" s="13" t="s">
        <v>8</v>
      </c>
      <c r="G1063" s="5" t="s">
        <v>29</v>
      </c>
    </row>
    <row r="1064" spans="1:7" s="139" customFormat="1" ht="13.8" hidden="1" x14ac:dyDescent="0.3">
      <c r="A1064" s="100">
        <v>45995</v>
      </c>
      <c r="B1064" s="100" t="s">
        <v>216</v>
      </c>
      <c r="C1064" s="11" t="s">
        <v>30</v>
      </c>
      <c r="D1064" s="4" t="s">
        <v>28</v>
      </c>
      <c r="E1064" s="16">
        <v>-389</v>
      </c>
      <c r="F1064" s="13" t="s">
        <v>8</v>
      </c>
      <c r="G1064" s="5" t="s">
        <v>29</v>
      </c>
    </row>
    <row r="1065" spans="1:7" s="139" customFormat="1" ht="13.8" hidden="1" x14ac:dyDescent="0.3">
      <c r="A1065" s="100">
        <v>45995</v>
      </c>
      <c r="B1065" s="100" t="s">
        <v>216</v>
      </c>
      <c r="C1065" s="11" t="s">
        <v>25</v>
      </c>
      <c r="D1065" s="4" t="s">
        <v>28</v>
      </c>
      <c r="E1065" s="16">
        <v>-349</v>
      </c>
      <c r="F1065" s="13" t="s">
        <v>8</v>
      </c>
      <c r="G1065" s="5" t="s">
        <v>29</v>
      </c>
    </row>
    <row r="1066" spans="1:7" s="139" customFormat="1" ht="13.8" hidden="1" x14ac:dyDescent="0.3">
      <c r="A1066" s="100">
        <v>45995</v>
      </c>
      <c r="B1066" s="100" t="s">
        <v>216</v>
      </c>
      <c r="C1066" s="11" t="s">
        <v>31</v>
      </c>
      <c r="D1066" s="4" t="s">
        <v>28</v>
      </c>
      <c r="E1066" s="16">
        <v>-349</v>
      </c>
      <c r="F1066" s="13" t="s">
        <v>8</v>
      </c>
      <c r="G1066" s="5" t="s">
        <v>29</v>
      </c>
    </row>
    <row r="1067" spans="1:7" s="139" customFormat="1" ht="13.8" hidden="1" x14ac:dyDescent="0.3">
      <c r="A1067" s="100">
        <v>45995</v>
      </c>
      <c r="B1067" s="100" t="s">
        <v>216</v>
      </c>
      <c r="C1067" s="11" t="s">
        <v>32</v>
      </c>
      <c r="D1067" s="4" t="s">
        <v>28</v>
      </c>
      <c r="E1067" s="16">
        <v>-389</v>
      </c>
      <c r="F1067" s="13" t="s">
        <v>8</v>
      </c>
      <c r="G1067" s="5" t="s">
        <v>29</v>
      </c>
    </row>
    <row r="1068" spans="1:7" s="139" customFormat="1" ht="13.8" hidden="1" x14ac:dyDescent="0.3">
      <c r="A1068" s="100">
        <v>45995</v>
      </c>
      <c r="B1068" s="100" t="s">
        <v>216</v>
      </c>
      <c r="C1068" s="11" t="s">
        <v>33</v>
      </c>
      <c r="D1068" s="4" t="s">
        <v>28</v>
      </c>
      <c r="E1068" s="16">
        <v>-389</v>
      </c>
      <c r="F1068" s="13" t="s">
        <v>8</v>
      </c>
      <c r="G1068" s="5" t="s">
        <v>29</v>
      </c>
    </row>
    <row r="1069" spans="1:7" s="139" customFormat="1" ht="13.8" hidden="1" x14ac:dyDescent="0.3">
      <c r="A1069" s="100">
        <v>45995</v>
      </c>
      <c r="B1069" s="100" t="s">
        <v>216</v>
      </c>
      <c r="C1069" s="11" t="s">
        <v>34</v>
      </c>
      <c r="D1069" s="4" t="s">
        <v>28</v>
      </c>
      <c r="E1069" s="16">
        <v>-389</v>
      </c>
      <c r="F1069" s="13" t="s">
        <v>8</v>
      </c>
      <c r="G1069" s="5" t="s">
        <v>29</v>
      </c>
    </row>
    <row r="1070" spans="1:7" s="139" customFormat="1" ht="13.8" hidden="1" x14ac:dyDescent="0.3">
      <c r="A1070" s="100">
        <v>45996</v>
      </c>
      <c r="B1070" s="100" t="s">
        <v>216</v>
      </c>
      <c r="C1070" s="17" t="s">
        <v>35</v>
      </c>
      <c r="D1070" s="4" t="s">
        <v>36</v>
      </c>
      <c r="E1070" s="16">
        <v>-2000</v>
      </c>
      <c r="F1070" s="13" t="s">
        <v>8</v>
      </c>
      <c r="G1070" s="5" t="s">
        <v>37</v>
      </c>
    </row>
    <row r="1071" spans="1:7" s="139" customFormat="1" ht="13.8" hidden="1" x14ac:dyDescent="0.3">
      <c r="A1071" s="100">
        <v>45996</v>
      </c>
      <c r="B1071" s="100" t="s">
        <v>216</v>
      </c>
      <c r="C1071" s="11" t="s">
        <v>6</v>
      </c>
      <c r="D1071" s="4" t="s">
        <v>40</v>
      </c>
      <c r="E1071" s="10">
        <v>-475000</v>
      </c>
      <c r="F1071" s="13" t="s">
        <v>8</v>
      </c>
      <c r="G1071" s="5" t="s">
        <v>41</v>
      </c>
    </row>
    <row r="1072" spans="1:7" s="139" customFormat="1" ht="13.8" hidden="1" x14ac:dyDescent="0.3">
      <c r="A1072" s="100">
        <v>45996</v>
      </c>
      <c r="B1072" s="100" t="s">
        <v>216</v>
      </c>
      <c r="C1072" s="11" t="s">
        <v>6</v>
      </c>
      <c r="D1072" s="4" t="s">
        <v>42</v>
      </c>
      <c r="E1072" s="16">
        <v>-500</v>
      </c>
      <c r="F1072" s="13" t="s">
        <v>8</v>
      </c>
      <c r="G1072" s="5" t="s">
        <v>41</v>
      </c>
    </row>
    <row r="1073" spans="1:7" s="139" customFormat="1" ht="13.8" hidden="1" x14ac:dyDescent="0.3">
      <c r="A1073" s="100">
        <v>45996</v>
      </c>
      <c r="B1073" s="100" t="s">
        <v>216</v>
      </c>
      <c r="C1073" s="11" t="s">
        <v>6</v>
      </c>
      <c r="D1073" s="4" t="s">
        <v>1664</v>
      </c>
      <c r="E1073" s="16">
        <v>-15000</v>
      </c>
      <c r="F1073" s="13" t="s">
        <v>8</v>
      </c>
      <c r="G1073" s="5" t="s">
        <v>41</v>
      </c>
    </row>
    <row r="1074" spans="1:7" s="139" customFormat="1" ht="13.8" hidden="1" x14ac:dyDescent="0.3">
      <c r="A1074" s="100">
        <v>46006</v>
      </c>
      <c r="B1074" s="100" t="s">
        <v>216</v>
      </c>
      <c r="C1074" s="14" t="s">
        <v>44</v>
      </c>
      <c r="D1074" s="7" t="s">
        <v>209</v>
      </c>
      <c r="E1074" s="8">
        <v>-5523.75</v>
      </c>
      <c r="F1074" s="13" t="s">
        <v>8</v>
      </c>
      <c r="G1074" s="9" t="s">
        <v>46</v>
      </c>
    </row>
    <row r="1075" spans="1:7" s="139" customFormat="1" ht="13.8" hidden="1" x14ac:dyDescent="0.3">
      <c r="A1075" s="100">
        <v>45996</v>
      </c>
      <c r="B1075" s="100" t="s">
        <v>216</v>
      </c>
      <c r="C1075" s="14" t="s">
        <v>17</v>
      </c>
      <c r="D1075" s="7" t="s">
        <v>1035</v>
      </c>
      <c r="E1075" s="8">
        <v>-226.68</v>
      </c>
      <c r="F1075" s="13" t="s">
        <v>8</v>
      </c>
      <c r="G1075" s="9" t="s">
        <v>153</v>
      </c>
    </row>
    <row r="1076" spans="1:7" s="139" customFormat="1" ht="13.8" hidden="1" x14ac:dyDescent="0.3">
      <c r="A1076" s="100">
        <v>45996</v>
      </c>
      <c r="B1076" s="100" t="s">
        <v>216</v>
      </c>
      <c r="C1076" s="14" t="s">
        <v>13</v>
      </c>
      <c r="D1076" s="4" t="s">
        <v>1948</v>
      </c>
      <c r="E1076" s="16">
        <v>-7000</v>
      </c>
      <c r="F1076" s="13" t="s">
        <v>8</v>
      </c>
      <c r="G1076" s="5" t="s">
        <v>27</v>
      </c>
    </row>
    <row r="1077" spans="1:7" s="139" customFormat="1" ht="13.8" hidden="1" x14ac:dyDescent="0.3">
      <c r="A1077" s="100">
        <v>46003</v>
      </c>
      <c r="B1077" s="100" t="s">
        <v>216</v>
      </c>
      <c r="C1077" s="11" t="s">
        <v>17</v>
      </c>
      <c r="D1077" s="4" t="s">
        <v>18</v>
      </c>
      <c r="E1077" s="10">
        <v>-13041.15</v>
      </c>
      <c r="F1077" s="13" t="s">
        <v>8</v>
      </c>
      <c r="G1077" s="5" t="s">
        <v>19</v>
      </c>
    </row>
    <row r="1078" spans="1:7" s="139" customFormat="1" ht="13.8" hidden="1" x14ac:dyDescent="0.3">
      <c r="A1078" s="78">
        <v>46001</v>
      </c>
      <c r="B1078" s="100" t="s">
        <v>216</v>
      </c>
      <c r="C1078" s="14" t="s">
        <v>32</v>
      </c>
      <c r="D1078" s="7" t="s">
        <v>48</v>
      </c>
      <c r="E1078" s="8">
        <v>-700</v>
      </c>
      <c r="F1078" s="13" t="s">
        <v>8</v>
      </c>
      <c r="G1078" s="9" t="s">
        <v>49</v>
      </c>
    </row>
    <row r="1079" spans="1:7" s="139" customFormat="1" ht="13.8" hidden="1" x14ac:dyDescent="0.3">
      <c r="A1079" s="100">
        <v>46001</v>
      </c>
      <c r="B1079" s="100" t="s">
        <v>216</v>
      </c>
      <c r="C1079" s="11" t="s">
        <v>13</v>
      </c>
      <c r="D1079" s="4" t="s">
        <v>50</v>
      </c>
      <c r="E1079" s="16">
        <v>-9000</v>
      </c>
      <c r="F1079" s="13" t="s">
        <v>8</v>
      </c>
      <c r="G1079" s="5" t="s">
        <v>51</v>
      </c>
    </row>
    <row r="1080" spans="1:7" s="139" customFormat="1" ht="13.8" hidden="1" x14ac:dyDescent="0.3">
      <c r="A1080" s="100">
        <v>46001</v>
      </c>
      <c r="B1080" s="100" t="s">
        <v>216</v>
      </c>
      <c r="C1080" s="11" t="s">
        <v>6</v>
      </c>
      <c r="D1080" s="4" t="s">
        <v>52</v>
      </c>
      <c r="E1080" s="16">
        <v>-290</v>
      </c>
      <c r="F1080" s="13" t="s">
        <v>8</v>
      </c>
      <c r="G1080" s="5" t="s">
        <v>53</v>
      </c>
    </row>
    <row r="1081" spans="1:7" s="139" customFormat="1" ht="13.8" hidden="1" x14ac:dyDescent="0.3">
      <c r="A1081" s="100">
        <v>46001</v>
      </c>
      <c r="B1081" s="100" t="s">
        <v>216</v>
      </c>
      <c r="C1081" s="11" t="s">
        <v>13</v>
      </c>
      <c r="D1081" s="4" t="s">
        <v>54</v>
      </c>
      <c r="E1081" s="16">
        <v>-1000</v>
      </c>
      <c r="F1081" s="13" t="s">
        <v>8</v>
      </c>
      <c r="G1081" s="5" t="s">
        <v>55</v>
      </c>
    </row>
    <row r="1082" spans="1:7" s="139" customFormat="1" ht="13.8" hidden="1" x14ac:dyDescent="0.3">
      <c r="A1082" s="100">
        <v>46001</v>
      </c>
      <c r="B1082" s="100" t="s">
        <v>216</v>
      </c>
      <c r="C1082" s="11" t="s">
        <v>17</v>
      </c>
      <c r="D1082" s="4" t="s">
        <v>484</v>
      </c>
      <c r="E1082" s="16">
        <v>-10500</v>
      </c>
      <c r="F1082" s="13" t="s">
        <v>8</v>
      </c>
      <c r="G1082" s="5" t="s">
        <v>56</v>
      </c>
    </row>
    <row r="1083" spans="1:7" s="139" customFormat="1" ht="13.8" hidden="1" x14ac:dyDescent="0.3">
      <c r="A1083" s="100">
        <v>46001</v>
      </c>
      <c r="B1083" s="100" t="s">
        <v>216</v>
      </c>
      <c r="C1083" s="11" t="s">
        <v>13</v>
      </c>
      <c r="D1083" s="4" t="s">
        <v>57</v>
      </c>
      <c r="E1083" s="16">
        <v>-1000</v>
      </c>
      <c r="F1083" s="13" t="s">
        <v>8</v>
      </c>
      <c r="G1083" s="5" t="s">
        <v>55</v>
      </c>
    </row>
    <row r="1084" spans="1:7" s="139" customFormat="1" hidden="1" x14ac:dyDescent="0.3">
      <c r="A1084" s="100">
        <v>46001</v>
      </c>
      <c r="B1084" s="100" t="s">
        <v>216</v>
      </c>
      <c r="C1084" s="1171" t="s">
        <v>44</v>
      </c>
      <c r="D1084" s="4" t="s">
        <v>60</v>
      </c>
      <c r="E1084" s="1174">
        <v>-7530.4</v>
      </c>
      <c r="F1084" s="5" t="s">
        <v>8</v>
      </c>
      <c r="G1084" s="5" t="s">
        <v>61</v>
      </c>
    </row>
    <row r="1085" spans="1:7" s="139" customFormat="1" ht="13.8" hidden="1" x14ac:dyDescent="0.3">
      <c r="A1085" s="100">
        <v>46001</v>
      </c>
      <c r="B1085" s="100" t="s">
        <v>216</v>
      </c>
      <c r="C1085" s="1171" t="s">
        <v>6</v>
      </c>
      <c r="D1085" s="4" t="s">
        <v>62</v>
      </c>
      <c r="E1085" s="16">
        <v>-8000</v>
      </c>
      <c r="F1085" s="13" t="s">
        <v>8</v>
      </c>
      <c r="G1085" s="5" t="s">
        <v>63</v>
      </c>
    </row>
    <row r="1086" spans="1:7" s="139" customFormat="1" ht="13.8" hidden="1" x14ac:dyDescent="0.3">
      <c r="A1086" s="100">
        <v>46001</v>
      </c>
      <c r="B1086" s="100" t="s">
        <v>216</v>
      </c>
      <c r="C1086" s="1172" t="s">
        <v>64</v>
      </c>
      <c r="D1086" s="4" t="s">
        <v>65</v>
      </c>
      <c r="E1086" s="16">
        <v>-432</v>
      </c>
      <c r="F1086" s="13" t="s">
        <v>8</v>
      </c>
      <c r="G1086" s="5" t="s">
        <v>39</v>
      </c>
    </row>
    <row r="1087" spans="1:7" s="139" customFormat="1" ht="13.8" hidden="1" x14ac:dyDescent="0.3">
      <c r="A1087" s="100">
        <v>46001</v>
      </c>
      <c r="B1087" s="100" t="s">
        <v>216</v>
      </c>
      <c r="C1087" s="1172" t="s">
        <v>66</v>
      </c>
      <c r="D1087" s="4" t="s">
        <v>67</v>
      </c>
      <c r="E1087" s="16">
        <v>-553.25</v>
      </c>
      <c r="F1087" s="13" t="s">
        <v>8</v>
      </c>
      <c r="G1087" s="5" t="s">
        <v>68</v>
      </c>
    </row>
    <row r="1088" spans="1:7" s="139" customFormat="1" ht="13.8" hidden="1" x14ac:dyDescent="0.3">
      <c r="A1088" s="100">
        <v>46008</v>
      </c>
      <c r="B1088" s="100" t="s">
        <v>216</v>
      </c>
      <c r="C1088" s="14" t="s">
        <v>71</v>
      </c>
      <c r="D1088" s="7" t="s">
        <v>72</v>
      </c>
      <c r="E1088" s="8">
        <v>-4375.75</v>
      </c>
      <c r="F1088" s="13" t="s">
        <v>8</v>
      </c>
      <c r="G1088" s="9" t="s">
        <v>73</v>
      </c>
    </row>
    <row r="1089" spans="1:7" s="139" customFormat="1" ht="13.8" hidden="1" x14ac:dyDescent="0.3">
      <c r="A1089" s="100">
        <v>46008</v>
      </c>
      <c r="B1089" s="100" t="s">
        <v>216</v>
      </c>
      <c r="C1089" s="14" t="s">
        <v>71</v>
      </c>
      <c r="D1089" s="7" t="s">
        <v>72</v>
      </c>
      <c r="E1089" s="8">
        <v>-2173.96</v>
      </c>
      <c r="F1089" s="13" t="s">
        <v>8</v>
      </c>
      <c r="G1089" s="9" t="s">
        <v>73</v>
      </c>
    </row>
    <row r="1090" spans="1:7" s="139" customFormat="1" ht="13.8" hidden="1" x14ac:dyDescent="0.3">
      <c r="A1090" s="100">
        <v>46002</v>
      </c>
      <c r="B1090" s="100" t="s">
        <v>216</v>
      </c>
      <c r="C1090" s="14" t="s">
        <v>6</v>
      </c>
      <c r="D1090" s="7" t="s">
        <v>75</v>
      </c>
      <c r="E1090" s="8">
        <v>-40000</v>
      </c>
      <c r="F1090" s="13" t="s">
        <v>8</v>
      </c>
      <c r="G1090" s="9" t="s">
        <v>75</v>
      </c>
    </row>
    <row r="1091" spans="1:7" s="139" customFormat="1" ht="13.8" hidden="1" x14ac:dyDescent="0.3">
      <c r="A1091" s="100">
        <v>46006</v>
      </c>
      <c r="B1091" s="100" t="s">
        <v>216</v>
      </c>
      <c r="C1091" s="11" t="s">
        <v>6</v>
      </c>
      <c r="D1091" s="4" t="s">
        <v>1664</v>
      </c>
      <c r="E1091" s="16">
        <v>-60000</v>
      </c>
      <c r="F1091" s="5" t="s">
        <v>8</v>
      </c>
      <c r="G1091" s="5" t="s">
        <v>41</v>
      </c>
    </row>
    <row r="1092" spans="1:7" s="139" customFormat="1" ht="13.8" hidden="1" x14ac:dyDescent="0.3">
      <c r="A1092" s="100">
        <v>46006</v>
      </c>
      <c r="B1092" s="100" t="s">
        <v>216</v>
      </c>
      <c r="C1092" s="11" t="s">
        <v>6</v>
      </c>
      <c r="D1092" s="4" t="s">
        <v>78</v>
      </c>
      <c r="E1092" s="16">
        <v>-45000</v>
      </c>
      <c r="F1092" s="13" t="s">
        <v>8</v>
      </c>
      <c r="G1092" s="5" t="s">
        <v>78</v>
      </c>
    </row>
    <row r="1093" spans="1:7" s="139" customFormat="1" ht="13.8" hidden="1" x14ac:dyDescent="0.3">
      <c r="A1093" s="100">
        <v>46006</v>
      </c>
      <c r="B1093" s="100" t="s">
        <v>216</v>
      </c>
      <c r="C1093" s="11" t="s">
        <v>6</v>
      </c>
      <c r="D1093" s="4" t="s">
        <v>79</v>
      </c>
      <c r="E1093" s="16">
        <v>-95000</v>
      </c>
      <c r="F1093" s="13" t="s">
        <v>8</v>
      </c>
      <c r="G1093" s="5" t="s">
        <v>19</v>
      </c>
    </row>
    <row r="1094" spans="1:7" s="139" customFormat="1" ht="13.8" hidden="1" x14ac:dyDescent="0.3">
      <c r="A1094" s="100">
        <v>46006</v>
      </c>
      <c r="B1094" s="100" t="s">
        <v>216</v>
      </c>
      <c r="C1094" s="11" t="s">
        <v>80</v>
      </c>
      <c r="D1094" s="4" t="s">
        <v>81</v>
      </c>
      <c r="E1094" s="16">
        <v>-10000</v>
      </c>
      <c r="F1094" s="13" t="s">
        <v>8</v>
      </c>
      <c r="G1094" s="5" t="s">
        <v>82</v>
      </c>
    </row>
    <row r="1095" spans="1:7" s="139" customFormat="1" ht="13.8" hidden="1" x14ac:dyDescent="0.3">
      <c r="A1095" s="100">
        <v>46006</v>
      </c>
      <c r="B1095" s="100" t="s">
        <v>216</v>
      </c>
      <c r="C1095" s="11" t="s">
        <v>17</v>
      </c>
      <c r="D1095" s="4" t="s">
        <v>83</v>
      </c>
      <c r="E1095" s="16">
        <v>-20000</v>
      </c>
      <c r="F1095" s="13" t="s">
        <v>8</v>
      </c>
      <c r="G1095" s="5" t="s">
        <v>58</v>
      </c>
    </row>
    <row r="1096" spans="1:7" s="139" customFormat="1" ht="13.8" hidden="1" x14ac:dyDescent="0.3">
      <c r="A1096" s="100">
        <v>46006</v>
      </c>
      <c r="B1096" s="100" t="s">
        <v>216</v>
      </c>
      <c r="C1096" s="11" t="s">
        <v>13</v>
      </c>
      <c r="D1096" s="4" t="s">
        <v>87</v>
      </c>
      <c r="E1096" s="16">
        <v>-1375</v>
      </c>
      <c r="F1096" s="5" t="s">
        <v>8</v>
      </c>
      <c r="G1096" s="5" t="s">
        <v>41</v>
      </c>
    </row>
    <row r="1097" spans="1:7" s="139" customFormat="1" ht="13.8" hidden="1" x14ac:dyDescent="0.3">
      <c r="A1097" s="100">
        <v>46006</v>
      </c>
      <c r="B1097" s="100" t="s">
        <v>216</v>
      </c>
      <c r="C1097" s="11" t="s">
        <v>6</v>
      </c>
      <c r="D1097" s="4" t="s">
        <v>89</v>
      </c>
      <c r="E1097" s="16">
        <v>-6500</v>
      </c>
      <c r="F1097" s="5" t="s">
        <v>8</v>
      </c>
      <c r="G1097" s="5" t="s">
        <v>63</v>
      </c>
    </row>
    <row r="1098" spans="1:7" s="139" customFormat="1" ht="13.8" hidden="1" x14ac:dyDescent="0.3">
      <c r="A1098" s="100">
        <v>46006</v>
      </c>
      <c r="B1098" s="100" t="s">
        <v>216</v>
      </c>
      <c r="C1098" s="11" t="s">
        <v>17</v>
      </c>
      <c r="D1098" s="4" t="s">
        <v>1623</v>
      </c>
      <c r="E1098" s="16">
        <v>-12000</v>
      </c>
      <c r="F1098" s="13" t="s">
        <v>8</v>
      </c>
      <c r="G1098" s="5" t="s">
        <v>91</v>
      </c>
    </row>
    <row r="1099" spans="1:7" s="139" customFormat="1" ht="13.8" hidden="1" x14ac:dyDescent="0.3">
      <c r="A1099" s="100">
        <v>46006</v>
      </c>
      <c r="B1099" s="100" t="s">
        <v>216</v>
      </c>
      <c r="C1099" s="14" t="s">
        <v>31</v>
      </c>
      <c r="D1099" s="104" t="s">
        <v>91</v>
      </c>
      <c r="E1099" s="16">
        <v>-2302.0500000000002</v>
      </c>
      <c r="F1099" s="13" t="s">
        <v>8</v>
      </c>
      <c r="G1099" s="5" t="s">
        <v>91</v>
      </c>
    </row>
    <row r="1100" spans="1:7" s="139" customFormat="1" ht="13.8" hidden="1" x14ac:dyDescent="0.3">
      <c r="A1100" s="100">
        <v>46006</v>
      </c>
      <c r="B1100" s="100" t="s">
        <v>216</v>
      </c>
      <c r="C1100" s="17" t="s">
        <v>25</v>
      </c>
      <c r="D1100" s="104" t="s">
        <v>91</v>
      </c>
      <c r="E1100" s="16">
        <v>-1248.99</v>
      </c>
      <c r="F1100" s="13" t="s">
        <v>8</v>
      </c>
      <c r="G1100" s="5" t="s">
        <v>91</v>
      </c>
    </row>
    <row r="1101" spans="1:7" s="139" customFormat="1" ht="13.8" hidden="1" x14ac:dyDescent="0.3">
      <c r="A1101" s="100">
        <v>46003</v>
      </c>
      <c r="B1101" s="100" t="s">
        <v>216</v>
      </c>
      <c r="C1101" s="328" t="s">
        <v>31</v>
      </c>
      <c r="D1101" s="328" t="s">
        <v>2222</v>
      </c>
      <c r="E1101" s="329">
        <v>-4378.37</v>
      </c>
      <c r="F1101" s="13" t="s">
        <v>8</v>
      </c>
      <c r="G1101" s="5" t="s">
        <v>75</v>
      </c>
    </row>
    <row r="1102" spans="1:7" s="139" customFormat="1" ht="13.8" hidden="1" x14ac:dyDescent="0.3">
      <c r="A1102" s="100">
        <v>46003</v>
      </c>
      <c r="B1102" s="100" t="s">
        <v>216</v>
      </c>
      <c r="C1102" s="328" t="s">
        <v>31</v>
      </c>
      <c r="D1102" s="328" t="s">
        <v>2222</v>
      </c>
      <c r="E1102" s="329">
        <v>-1202.94</v>
      </c>
      <c r="F1102" s="13" t="s">
        <v>8</v>
      </c>
      <c r="G1102" s="5" t="s">
        <v>75</v>
      </c>
    </row>
    <row r="1103" spans="1:7" s="139" customFormat="1" ht="13.8" hidden="1" x14ac:dyDescent="0.3">
      <c r="A1103" s="100">
        <v>46003</v>
      </c>
      <c r="B1103" s="100" t="s">
        <v>216</v>
      </c>
      <c r="C1103" s="328" t="s">
        <v>104</v>
      </c>
      <c r="D1103" s="328" t="s">
        <v>2227</v>
      </c>
      <c r="E1103" s="329">
        <v>-1004.44</v>
      </c>
      <c r="F1103" s="13" t="s">
        <v>8</v>
      </c>
      <c r="G1103" s="5" t="s">
        <v>75</v>
      </c>
    </row>
    <row r="1104" spans="1:7" s="139" customFormat="1" ht="13.8" hidden="1" x14ac:dyDescent="0.3">
      <c r="A1104" s="100">
        <v>46003</v>
      </c>
      <c r="B1104" s="100" t="s">
        <v>216</v>
      </c>
      <c r="C1104" s="328" t="s">
        <v>104</v>
      </c>
      <c r="D1104" s="328" t="s">
        <v>2227</v>
      </c>
      <c r="E1104" s="329">
        <v>-4486.08</v>
      </c>
      <c r="F1104" s="13" t="s">
        <v>8</v>
      </c>
      <c r="G1104" s="5" t="s">
        <v>75</v>
      </c>
    </row>
    <row r="1105" spans="1:7" s="139" customFormat="1" ht="13.8" hidden="1" x14ac:dyDescent="0.3">
      <c r="A1105" s="100">
        <v>46003</v>
      </c>
      <c r="B1105" s="100" t="s">
        <v>216</v>
      </c>
      <c r="C1105" s="11" t="s">
        <v>6</v>
      </c>
      <c r="D1105" s="4" t="s">
        <v>566</v>
      </c>
      <c r="E1105" s="16">
        <v>-2012.45</v>
      </c>
      <c r="F1105" s="13" t="s">
        <v>8</v>
      </c>
      <c r="G1105" s="9" t="s">
        <v>46</v>
      </c>
    </row>
    <row r="1106" spans="1:7" s="139" customFormat="1" ht="13.8" hidden="1" x14ac:dyDescent="0.3">
      <c r="A1106" s="100">
        <v>46006</v>
      </c>
      <c r="B1106" s="100" t="s">
        <v>216</v>
      </c>
      <c r="C1106" s="11" t="s">
        <v>6</v>
      </c>
      <c r="D1106" s="4" t="s">
        <v>92</v>
      </c>
      <c r="E1106" s="16">
        <v>-171.1</v>
      </c>
      <c r="F1106" s="13" t="s">
        <v>8</v>
      </c>
      <c r="G1106" s="5" t="s">
        <v>29</v>
      </c>
    </row>
    <row r="1107" spans="1:7" s="139" customFormat="1" ht="13.8" hidden="1" x14ac:dyDescent="0.3">
      <c r="A1107" s="100">
        <v>46006</v>
      </c>
      <c r="B1107" s="100" t="s">
        <v>216</v>
      </c>
      <c r="C1107" s="11" t="s">
        <v>44</v>
      </c>
      <c r="D1107" s="4" t="s">
        <v>92</v>
      </c>
      <c r="E1107" s="16">
        <v>-171.1</v>
      </c>
      <c r="F1107" s="13" t="s">
        <v>8</v>
      </c>
      <c r="G1107" s="5" t="s">
        <v>29</v>
      </c>
    </row>
    <row r="1108" spans="1:7" s="139" customFormat="1" ht="13.8" hidden="1" x14ac:dyDescent="0.3">
      <c r="A1108" s="100">
        <v>46006</v>
      </c>
      <c r="B1108" s="100" t="s">
        <v>216</v>
      </c>
      <c r="C1108" s="11" t="s">
        <v>13</v>
      </c>
      <c r="D1108" s="4" t="s">
        <v>92</v>
      </c>
      <c r="E1108" s="16">
        <v>-171.1</v>
      </c>
      <c r="F1108" s="13" t="s">
        <v>8</v>
      </c>
      <c r="G1108" s="5" t="s">
        <v>29</v>
      </c>
    </row>
    <row r="1109" spans="1:7" s="139" customFormat="1" ht="13.8" hidden="1" x14ac:dyDescent="0.3">
      <c r="A1109" s="100">
        <v>46006</v>
      </c>
      <c r="B1109" s="100" t="s">
        <v>216</v>
      </c>
      <c r="C1109" s="11" t="s">
        <v>420</v>
      </c>
      <c r="D1109" s="4" t="s">
        <v>92</v>
      </c>
      <c r="E1109" s="16">
        <v>-171.1</v>
      </c>
      <c r="F1109" s="13" t="s">
        <v>8</v>
      </c>
      <c r="G1109" s="5" t="s">
        <v>29</v>
      </c>
    </row>
    <row r="1110" spans="1:7" s="139" customFormat="1" ht="13.8" hidden="1" x14ac:dyDescent="0.3">
      <c r="A1110" s="100">
        <v>46006</v>
      </c>
      <c r="B1110" s="100" t="s">
        <v>216</v>
      </c>
      <c r="C1110" s="11" t="s">
        <v>31</v>
      </c>
      <c r="D1110" s="4" t="s">
        <v>92</v>
      </c>
      <c r="E1110" s="16">
        <v>-171.1</v>
      </c>
      <c r="F1110" s="13" t="s">
        <v>8</v>
      </c>
      <c r="G1110" s="5" t="s">
        <v>29</v>
      </c>
    </row>
    <row r="1111" spans="1:7" s="139" customFormat="1" ht="13.8" hidden="1" x14ac:dyDescent="0.3">
      <c r="A1111" s="100">
        <v>46006</v>
      </c>
      <c r="B1111" s="100" t="s">
        <v>216</v>
      </c>
      <c r="C1111" s="11" t="s">
        <v>64</v>
      </c>
      <c r="D1111" s="4" t="s">
        <v>92</v>
      </c>
      <c r="E1111" s="16">
        <v>-171.1</v>
      </c>
      <c r="F1111" s="13" t="s">
        <v>8</v>
      </c>
      <c r="G1111" s="5" t="s">
        <v>29</v>
      </c>
    </row>
    <row r="1112" spans="1:7" s="139" customFormat="1" ht="13.8" hidden="1" x14ac:dyDescent="0.3">
      <c r="A1112" s="100">
        <v>46006</v>
      </c>
      <c r="B1112" s="100" t="s">
        <v>216</v>
      </c>
      <c r="C1112" s="14" t="s">
        <v>17</v>
      </c>
      <c r="D1112" s="4" t="s">
        <v>92</v>
      </c>
      <c r="E1112" s="16">
        <v>-171.1</v>
      </c>
      <c r="F1112" s="13" t="s">
        <v>8</v>
      </c>
      <c r="G1112" s="5" t="s">
        <v>29</v>
      </c>
    </row>
    <row r="1113" spans="1:7" s="139" customFormat="1" ht="13.8" hidden="1" x14ac:dyDescent="0.3">
      <c r="A1113" s="100">
        <v>46006</v>
      </c>
      <c r="B1113" s="100" t="s">
        <v>216</v>
      </c>
      <c r="C1113" s="14" t="s">
        <v>647</v>
      </c>
      <c r="D1113" s="4" t="s">
        <v>92</v>
      </c>
      <c r="E1113" s="16">
        <v>-171.1</v>
      </c>
      <c r="F1113" s="13" t="s">
        <v>8</v>
      </c>
      <c r="G1113" s="5" t="s">
        <v>29</v>
      </c>
    </row>
    <row r="1114" spans="1:7" s="139" customFormat="1" ht="13.8" hidden="1" x14ac:dyDescent="0.3">
      <c r="A1114" s="100">
        <v>46006</v>
      </c>
      <c r="B1114" s="100" t="s">
        <v>216</v>
      </c>
      <c r="C1114" s="14" t="s">
        <v>30</v>
      </c>
      <c r="D1114" s="4" t="s">
        <v>92</v>
      </c>
      <c r="E1114" s="16">
        <v>-171.1</v>
      </c>
      <c r="F1114" s="13" t="s">
        <v>8</v>
      </c>
      <c r="G1114" s="5" t="s">
        <v>29</v>
      </c>
    </row>
    <row r="1115" spans="1:7" s="139" customFormat="1" ht="13.8" hidden="1" x14ac:dyDescent="0.3">
      <c r="A1115" s="100">
        <v>46006</v>
      </c>
      <c r="B1115" s="100" t="s">
        <v>216</v>
      </c>
      <c r="C1115" s="14" t="s">
        <v>93</v>
      </c>
      <c r="D1115" s="4" t="s">
        <v>92</v>
      </c>
      <c r="E1115" s="16">
        <v>-171.1</v>
      </c>
      <c r="F1115" s="13" t="s">
        <v>8</v>
      </c>
      <c r="G1115" s="5" t="s">
        <v>29</v>
      </c>
    </row>
    <row r="1116" spans="1:7" s="139" customFormat="1" ht="13.8" hidden="1" x14ac:dyDescent="0.3">
      <c r="A1116" s="100">
        <v>46006</v>
      </c>
      <c r="B1116" s="100" t="s">
        <v>216</v>
      </c>
      <c r="C1116" s="14" t="s">
        <v>33</v>
      </c>
      <c r="D1116" s="4" t="s">
        <v>92</v>
      </c>
      <c r="E1116" s="16">
        <v>-171.1</v>
      </c>
      <c r="F1116" s="13" t="s">
        <v>8</v>
      </c>
      <c r="G1116" s="5" t="s">
        <v>29</v>
      </c>
    </row>
    <row r="1117" spans="1:7" s="139" customFormat="1" ht="13.8" hidden="1" x14ac:dyDescent="0.3">
      <c r="A1117" s="100">
        <v>46006</v>
      </c>
      <c r="B1117" s="100" t="s">
        <v>216</v>
      </c>
      <c r="C1117" s="14" t="s">
        <v>94</v>
      </c>
      <c r="D1117" s="4" t="s">
        <v>92</v>
      </c>
      <c r="E1117" s="16">
        <v>-171.1</v>
      </c>
      <c r="F1117" s="13" t="s">
        <v>8</v>
      </c>
      <c r="G1117" s="5" t="s">
        <v>29</v>
      </c>
    </row>
    <row r="1118" spans="1:7" s="139" customFormat="1" ht="13.8" hidden="1" x14ac:dyDescent="0.3">
      <c r="A1118" s="100">
        <v>46006</v>
      </c>
      <c r="B1118" s="100" t="s">
        <v>216</v>
      </c>
      <c r="C1118" s="14" t="s">
        <v>32</v>
      </c>
      <c r="D1118" s="4" t="s">
        <v>92</v>
      </c>
      <c r="E1118" s="16">
        <v>-171.1</v>
      </c>
      <c r="F1118" s="13" t="s">
        <v>8</v>
      </c>
      <c r="G1118" s="5" t="s">
        <v>29</v>
      </c>
    </row>
    <row r="1119" spans="1:7" s="139" customFormat="1" ht="13.8" hidden="1" x14ac:dyDescent="0.3">
      <c r="A1119" s="100">
        <v>46006</v>
      </c>
      <c r="B1119" s="100" t="s">
        <v>216</v>
      </c>
      <c r="C1119" s="14" t="s">
        <v>34</v>
      </c>
      <c r="D1119" s="4" t="s">
        <v>92</v>
      </c>
      <c r="E1119" s="16">
        <v>-171.1</v>
      </c>
      <c r="F1119" s="13" t="s">
        <v>8</v>
      </c>
      <c r="G1119" s="5" t="s">
        <v>29</v>
      </c>
    </row>
    <row r="1120" spans="1:7" s="139" customFormat="1" ht="13.8" hidden="1" x14ac:dyDescent="0.3">
      <c r="A1120" s="100">
        <v>46006</v>
      </c>
      <c r="B1120" s="100" t="s">
        <v>216</v>
      </c>
      <c r="C1120" s="11" t="s">
        <v>6</v>
      </c>
      <c r="D1120" s="4" t="s">
        <v>1671</v>
      </c>
      <c r="E1120" s="16">
        <v>-8000</v>
      </c>
      <c r="F1120" s="13" t="s">
        <v>8</v>
      </c>
      <c r="G1120" s="5" t="s">
        <v>97</v>
      </c>
    </row>
    <row r="1121" spans="1:7" s="139" customFormat="1" ht="13.8" hidden="1" x14ac:dyDescent="0.3">
      <c r="A1121" s="100">
        <v>46008</v>
      </c>
      <c r="B1121" s="100" t="s">
        <v>216</v>
      </c>
      <c r="C1121" s="11" t="s">
        <v>6</v>
      </c>
      <c r="D1121" s="4" t="s">
        <v>98</v>
      </c>
      <c r="E1121" s="16">
        <v>-141.69999999999999</v>
      </c>
      <c r="F1121" s="13" t="s">
        <v>8</v>
      </c>
      <c r="G1121" s="5" t="s">
        <v>99</v>
      </c>
    </row>
    <row r="1122" spans="1:7" s="139" customFormat="1" ht="13.8" hidden="1" x14ac:dyDescent="0.3">
      <c r="A1122" s="100">
        <v>46008</v>
      </c>
      <c r="B1122" s="100" t="s">
        <v>216</v>
      </c>
      <c r="C1122" s="11" t="s">
        <v>6</v>
      </c>
      <c r="D1122" s="4" t="s">
        <v>100</v>
      </c>
      <c r="E1122" s="16">
        <v>-141.69999999999999</v>
      </c>
      <c r="F1122" s="13" t="s">
        <v>8</v>
      </c>
      <c r="G1122" s="5" t="s">
        <v>99</v>
      </c>
    </row>
    <row r="1123" spans="1:7" s="139" customFormat="1" ht="13.8" hidden="1" x14ac:dyDescent="0.3">
      <c r="A1123" s="100">
        <v>46008</v>
      </c>
      <c r="B1123" s="100" t="s">
        <v>216</v>
      </c>
      <c r="C1123" s="11" t="s">
        <v>6</v>
      </c>
      <c r="D1123" s="4" t="s">
        <v>101</v>
      </c>
      <c r="E1123" s="16">
        <v>-141.69999999999999</v>
      </c>
      <c r="F1123" s="13" t="s">
        <v>8</v>
      </c>
      <c r="G1123" s="5" t="s">
        <v>99</v>
      </c>
    </row>
    <row r="1124" spans="1:7" s="139" customFormat="1" ht="13.8" hidden="1" x14ac:dyDescent="0.3">
      <c r="A1124" s="100">
        <v>46008</v>
      </c>
      <c r="B1124" s="100" t="s">
        <v>216</v>
      </c>
      <c r="C1124" s="11" t="s">
        <v>6</v>
      </c>
      <c r="D1124" s="4" t="s">
        <v>102</v>
      </c>
      <c r="E1124" s="16">
        <v>-139.25</v>
      </c>
      <c r="F1124" s="13" t="s">
        <v>8</v>
      </c>
      <c r="G1124" s="5" t="s">
        <v>99</v>
      </c>
    </row>
    <row r="1125" spans="1:7" s="139" customFormat="1" ht="13.8" hidden="1" x14ac:dyDescent="0.3">
      <c r="A1125" s="100">
        <v>46006</v>
      </c>
      <c r="B1125" s="100" t="s">
        <v>216</v>
      </c>
      <c r="C1125" s="17" t="s">
        <v>32</v>
      </c>
      <c r="D1125" s="4" t="s">
        <v>103</v>
      </c>
      <c r="E1125" s="16">
        <v>-244.5</v>
      </c>
      <c r="F1125" s="5" t="s">
        <v>8</v>
      </c>
      <c r="G1125" s="5" t="s">
        <v>68</v>
      </c>
    </row>
    <row r="1126" spans="1:7" s="139" customFormat="1" ht="13.8" hidden="1" x14ac:dyDescent="0.3">
      <c r="A1126" s="100">
        <v>46006</v>
      </c>
      <c r="B1126" s="100" t="s">
        <v>216</v>
      </c>
      <c r="C1126" s="17" t="s">
        <v>104</v>
      </c>
      <c r="D1126" s="4" t="s">
        <v>103</v>
      </c>
      <c r="E1126" s="16">
        <v>-300</v>
      </c>
      <c r="F1126" s="5" t="s">
        <v>8</v>
      </c>
      <c r="G1126" s="5" t="s">
        <v>68</v>
      </c>
    </row>
    <row r="1127" spans="1:7" s="139" customFormat="1" ht="13.8" hidden="1" x14ac:dyDescent="0.3">
      <c r="A1127" s="100">
        <v>46006</v>
      </c>
      <c r="B1127" s="100" t="s">
        <v>216</v>
      </c>
      <c r="C1127" s="17" t="s">
        <v>35</v>
      </c>
      <c r="D1127" s="4" t="s">
        <v>103</v>
      </c>
      <c r="E1127" s="16">
        <v>-300</v>
      </c>
      <c r="F1127" s="5" t="s">
        <v>8</v>
      </c>
      <c r="G1127" s="5" t="s">
        <v>68</v>
      </c>
    </row>
    <row r="1128" spans="1:7" s="139" customFormat="1" ht="13.8" hidden="1" x14ac:dyDescent="0.3">
      <c r="A1128" s="100">
        <v>46006</v>
      </c>
      <c r="B1128" s="100" t="s">
        <v>216</v>
      </c>
      <c r="C1128" s="17" t="s">
        <v>105</v>
      </c>
      <c r="D1128" s="4" t="s">
        <v>103</v>
      </c>
      <c r="E1128" s="16">
        <v>-300</v>
      </c>
      <c r="F1128" s="5" t="s">
        <v>8</v>
      </c>
      <c r="G1128" s="5" t="s">
        <v>68</v>
      </c>
    </row>
    <row r="1129" spans="1:7" s="139" customFormat="1" ht="13.8" hidden="1" x14ac:dyDescent="0.3">
      <c r="A1129" s="100">
        <v>46006</v>
      </c>
      <c r="B1129" s="100" t="s">
        <v>216</v>
      </c>
      <c r="C1129" s="17" t="s">
        <v>106</v>
      </c>
      <c r="D1129" s="4" t="s">
        <v>103</v>
      </c>
      <c r="E1129" s="16">
        <v>-275</v>
      </c>
      <c r="F1129" s="5" t="s">
        <v>8</v>
      </c>
      <c r="G1129" s="5" t="s">
        <v>68</v>
      </c>
    </row>
    <row r="1130" spans="1:7" s="139" customFormat="1" ht="13.8" hidden="1" x14ac:dyDescent="0.3">
      <c r="A1130" s="100">
        <v>46006</v>
      </c>
      <c r="B1130" s="100" t="s">
        <v>216</v>
      </c>
      <c r="C1130" s="17" t="s">
        <v>71</v>
      </c>
      <c r="D1130" s="4" t="s">
        <v>103</v>
      </c>
      <c r="E1130" s="16">
        <v>-300</v>
      </c>
      <c r="F1130" s="5" t="s">
        <v>8</v>
      </c>
      <c r="G1130" s="5" t="s">
        <v>68</v>
      </c>
    </row>
    <row r="1131" spans="1:7" s="139" customFormat="1" ht="13.8" hidden="1" x14ac:dyDescent="0.3">
      <c r="A1131" s="100">
        <v>46006</v>
      </c>
      <c r="B1131" s="100" t="s">
        <v>216</v>
      </c>
      <c r="C1131" s="17" t="s">
        <v>107</v>
      </c>
      <c r="D1131" s="4" t="s">
        <v>103</v>
      </c>
      <c r="E1131" s="16">
        <v>-300</v>
      </c>
      <c r="F1131" s="5" t="s">
        <v>8</v>
      </c>
      <c r="G1131" s="5" t="s">
        <v>68</v>
      </c>
    </row>
    <row r="1132" spans="1:7" s="139" customFormat="1" ht="13.8" hidden="1" x14ac:dyDescent="0.3">
      <c r="A1132" s="100">
        <v>46006</v>
      </c>
      <c r="B1132" s="100" t="s">
        <v>216</v>
      </c>
      <c r="C1132" s="17" t="s">
        <v>108</v>
      </c>
      <c r="D1132" s="4" t="s">
        <v>103</v>
      </c>
      <c r="E1132" s="16">
        <v>-350</v>
      </c>
      <c r="F1132" s="5" t="s">
        <v>8</v>
      </c>
      <c r="G1132" s="5" t="s">
        <v>68</v>
      </c>
    </row>
    <row r="1133" spans="1:7" s="139" customFormat="1" ht="13.8" hidden="1" x14ac:dyDescent="0.3">
      <c r="A1133" s="100">
        <v>46006</v>
      </c>
      <c r="B1133" s="100" t="s">
        <v>216</v>
      </c>
      <c r="C1133" s="17" t="s">
        <v>109</v>
      </c>
      <c r="D1133" s="4" t="s">
        <v>103</v>
      </c>
      <c r="E1133" s="16">
        <v>-373.51</v>
      </c>
      <c r="F1133" s="5" t="s">
        <v>8</v>
      </c>
      <c r="G1133" s="5" t="s">
        <v>68</v>
      </c>
    </row>
    <row r="1134" spans="1:7" s="139" customFormat="1" ht="13.8" hidden="1" x14ac:dyDescent="0.3">
      <c r="A1134" s="100">
        <v>46007</v>
      </c>
      <c r="B1134" s="100" t="s">
        <v>216</v>
      </c>
      <c r="C1134" s="14" t="s">
        <v>31</v>
      </c>
      <c r="D1134" s="7" t="s">
        <v>197</v>
      </c>
      <c r="E1134" s="8">
        <v>-3022.31</v>
      </c>
      <c r="F1134" s="13" t="s">
        <v>8</v>
      </c>
      <c r="G1134" s="9" t="s">
        <v>85</v>
      </c>
    </row>
    <row r="1135" spans="1:7" s="139" customFormat="1" ht="13.8" hidden="1" x14ac:dyDescent="0.3">
      <c r="A1135" s="100">
        <v>46007</v>
      </c>
      <c r="B1135" s="100" t="s">
        <v>216</v>
      </c>
      <c r="C1135" s="14" t="s">
        <v>6</v>
      </c>
      <c r="D1135" s="7" t="s">
        <v>197</v>
      </c>
      <c r="E1135" s="8">
        <v>-3952.25</v>
      </c>
      <c r="F1135" s="13" t="s">
        <v>8</v>
      </c>
      <c r="G1135" s="9" t="s">
        <v>85</v>
      </c>
    </row>
    <row r="1136" spans="1:7" s="139" customFormat="1" ht="13.8" hidden="1" x14ac:dyDescent="0.3">
      <c r="A1136" s="100">
        <v>46007</v>
      </c>
      <c r="B1136" s="100" t="s">
        <v>216</v>
      </c>
      <c r="C1136" s="14" t="s">
        <v>44</v>
      </c>
      <c r="D1136" s="7" t="s">
        <v>197</v>
      </c>
      <c r="E1136" s="8">
        <v>-3409.78</v>
      </c>
      <c r="F1136" s="13" t="s">
        <v>8</v>
      </c>
      <c r="G1136" s="9" t="s">
        <v>85</v>
      </c>
    </row>
    <row r="1137" spans="1:7" s="139" customFormat="1" ht="13.8" hidden="1" x14ac:dyDescent="0.3">
      <c r="A1137" s="100">
        <v>46007</v>
      </c>
      <c r="B1137" s="100" t="s">
        <v>216</v>
      </c>
      <c r="C1137" s="14" t="s">
        <v>44</v>
      </c>
      <c r="D1137" s="7" t="s">
        <v>197</v>
      </c>
      <c r="E1137" s="8">
        <v>-852.45</v>
      </c>
      <c r="F1137" s="13" t="s">
        <v>8</v>
      </c>
      <c r="G1137" s="9" t="s">
        <v>85</v>
      </c>
    </row>
    <row r="1138" spans="1:7" s="139" customFormat="1" ht="13.8" hidden="1" x14ac:dyDescent="0.3">
      <c r="A1138" s="100">
        <v>46007</v>
      </c>
      <c r="B1138" s="100" t="s">
        <v>216</v>
      </c>
      <c r="C1138" s="14" t="s">
        <v>25</v>
      </c>
      <c r="D1138" s="7" t="s">
        <v>197</v>
      </c>
      <c r="E1138" s="8">
        <v>-2944.81</v>
      </c>
      <c r="F1138" s="13" t="s">
        <v>8</v>
      </c>
      <c r="G1138" s="9" t="s">
        <v>85</v>
      </c>
    </row>
    <row r="1139" spans="1:7" s="139" customFormat="1" ht="13.8" hidden="1" x14ac:dyDescent="0.3">
      <c r="A1139" s="100">
        <v>46007</v>
      </c>
      <c r="B1139" s="100" t="s">
        <v>216</v>
      </c>
      <c r="C1139" s="14" t="s">
        <v>33</v>
      </c>
      <c r="D1139" s="7" t="s">
        <v>197</v>
      </c>
      <c r="E1139" s="8">
        <v>-852.45</v>
      </c>
      <c r="F1139" s="13" t="s">
        <v>8</v>
      </c>
      <c r="G1139" s="9" t="s">
        <v>85</v>
      </c>
    </row>
    <row r="1140" spans="1:7" s="139" customFormat="1" ht="13.8" hidden="1" x14ac:dyDescent="0.3">
      <c r="A1140" s="100">
        <v>46007</v>
      </c>
      <c r="B1140" s="100" t="s">
        <v>216</v>
      </c>
      <c r="C1140" s="14" t="s">
        <v>104</v>
      </c>
      <c r="D1140" s="7" t="s">
        <v>197</v>
      </c>
      <c r="E1140" s="8">
        <v>-929.94</v>
      </c>
      <c r="F1140" s="13" t="s">
        <v>8</v>
      </c>
      <c r="G1140" s="9" t="s">
        <v>85</v>
      </c>
    </row>
    <row r="1141" spans="1:7" s="139" customFormat="1" ht="13.8" hidden="1" x14ac:dyDescent="0.3">
      <c r="A1141" s="100">
        <v>46007</v>
      </c>
      <c r="B1141" s="100" t="s">
        <v>216</v>
      </c>
      <c r="C1141" s="14" t="s">
        <v>32</v>
      </c>
      <c r="D1141" s="7" t="s">
        <v>197</v>
      </c>
      <c r="E1141" s="8">
        <v>-232.49</v>
      </c>
      <c r="F1141" s="13" t="s">
        <v>8</v>
      </c>
      <c r="G1141" s="9" t="s">
        <v>85</v>
      </c>
    </row>
    <row r="1142" spans="1:7" s="139" customFormat="1" ht="13.8" hidden="1" x14ac:dyDescent="0.3">
      <c r="A1142" s="100">
        <v>46007</v>
      </c>
      <c r="B1142" s="100" t="s">
        <v>216</v>
      </c>
      <c r="C1142" s="14" t="s">
        <v>71</v>
      </c>
      <c r="D1142" s="7" t="s">
        <v>197</v>
      </c>
      <c r="E1142" s="8">
        <v>-464.97</v>
      </c>
      <c r="F1142" s="13" t="s">
        <v>8</v>
      </c>
      <c r="G1142" s="9" t="s">
        <v>85</v>
      </c>
    </row>
    <row r="1143" spans="1:7" s="139" customFormat="1" ht="13.8" hidden="1" x14ac:dyDescent="0.3">
      <c r="A1143" s="100">
        <v>46007</v>
      </c>
      <c r="B1143" s="100" t="s">
        <v>216</v>
      </c>
      <c r="C1143" s="14" t="s">
        <v>17</v>
      </c>
      <c r="D1143" s="7" t="s">
        <v>197</v>
      </c>
      <c r="E1143" s="8">
        <v>-542.47</v>
      </c>
      <c r="F1143" s="13" t="s">
        <v>8</v>
      </c>
      <c r="G1143" s="9" t="s">
        <v>85</v>
      </c>
    </row>
    <row r="1144" spans="1:7" s="139" customFormat="1" ht="13.8" hidden="1" x14ac:dyDescent="0.3">
      <c r="A1144" s="100">
        <v>46008</v>
      </c>
      <c r="B1144" s="100" t="s">
        <v>216</v>
      </c>
      <c r="C1144" s="11" t="s">
        <v>17</v>
      </c>
      <c r="D1144" s="4" t="s">
        <v>110</v>
      </c>
      <c r="E1144" s="16">
        <v>-3760</v>
      </c>
      <c r="F1144" s="13" t="s">
        <v>8</v>
      </c>
      <c r="G1144" s="5" t="s">
        <v>73</v>
      </c>
    </row>
    <row r="1145" spans="1:7" s="139" customFormat="1" ht="13.8" hidden="1" x14ac:dyDescent="0.3">
      <c r="A1145" s="100">
        <v>46008</v>
      </c>
      <c r="B1145" s="100" t="s">
        <v>216</v>
      </c>
      <c r="C1145" s="11" t="s">
        <v>17</v>
      </c>
      <c r="D1145" s="4" t="s">
        <v>110</v>
      </c>
      <c r="E1145" s="16">
        <v>-5800</v>
      </c>
      <c r="F1145" s="13" t="s">
        <v>8</v>
      </c>
      <c r="G1145" s="5" t="s">
        <v>73</v>
      </c>
    </row>
    <row r="1146" spans="1:7" s="139" customFormat="1" ht="13.8" hidden="1" x14ac:dyDescent="0.3">
      <c r="A1146" s="100">
        <v>46008</v>
      </c>
      <c r="B1146" s="100" t="s">
        <v>216</v>
      </c>
      <c r="C1146" s="11" t="s">
        <v>13</v>
      </c>
      <c r="D1146" s="4" t="s">
        <v>110</v>
      </c>
      <c r="E1146" s="16">
        <v>-5460</v>
      </c>
      <c r="F1146" s="13" t="s">
        <v>8</v>
      </c>
      <c r="G1146" s="5" t="s">
        <v>73</v>
      </c>
    </row>
    <row r="1147" spans="1:7" s="139" customFormat="1" ht="13.8" hidden="1" x14ac:dyDescent="0.3">
      <c r="A1147" s="100">
        <v>46010</v>
      </c>
      <c r="B1147" s="100" t="s">
        <v>216</v>
      </c>
      <c r="C1147" s="11" t="s">
        <v>17</v>
      </c>
      <c r="D1147" s="4" t="s">
        <v>18</v>
      </c>
      <c r="E1147" s="200">
        <v>-13041.15</v>
      </c>
      <c r="F1147" s="13" t="s">
        <v>8</v>
      </c>
      <c r="G1147" s="5" t="s">
        <v>19</v>
      </c>
    </row>
    <row r="1148" spans="1:7" s="139" customFormat="1" ht="13.8" hidden="1" x14ac:dyDescent="0.3">
      <c r="A1148" s="100">
        <v>46008</v>
      </c>
      <c r="B1148" s="100" t="s">
        <v>216</v>
      </c>
      <c r="C1148" s="14" t="s">
        <v>17</v>
      </c>
      <c r="D1148" s="14" t="s">
        <v>389</v>
      </c>
      <c r="E1148" s="8">
        <v>-55.285685999999998</v>
      </c>
      <c r="F1148" s="13" t="s">
        <v>8</v>
      </c>
      <c r="G1148" s="5" t="s">
        <v>1279</v>
      </c>
    </row>
    <row r="1149" spans="1:7" s="139" customFormat="1" ht="13.8" hidden="1" x14ac:dyDescent="0.3">
      <c r="A1149" s="100">
        <v>46008</v>
      </c>
      <c r="B1149" s="100" t="s">
        <v>216</v>
      </c>
      <c r="C1149" s="14" t="s">
        <v>17</v>
      </c>
      <c r="D1149" s="14" t="s">
        <v>389</v>
      </c>
      <c r="E1149" s="8">
        <v>-9.8543140000000005</v>
      </c>
      <c r="F1149" s="13" t="s">
        <v>8</v>
      </c>
      <c r="G1149" s="5" t="s">
        <v>1279</v>
      </c>
    </row>
    <row r="1150" spans="1:7" s="139" customFormat="1" ht="13.8" hidden="1" x14ac:dyDescent="0.3">
      <c r="A1150" s="100">
        <v>46008</v>
      </c>
      <c r="B1150" s="100" t="s">
        <v>216</v>
      </c>
      <c r="C1150" s="11" t="s">
        <v>6</v>
      </c>
      <c r="D1150" s="4" t="s">
        <v>1680</v>
      </c>
      <c r="E1150" s="16">
        <v>-4500</v>
      </c>
      <c r="F1150" s="13" t="s">
        <v>8</v>
      </c>
      <c r="G1150" s="5" t="s">
        <v>111</v>
      </c>
    </row>
    <row r="1151" spans="1:7" s="139" customFormat="1" ht="13.8" hidden="1" x14ac:dyDescent="0.3">
      <c r="A1151" s="100">
        <v>46017</v>
      </c>
      <c r="B1151" s="100" t="s">
        <v>216</v>
      </c>
      <c r="C1151" s="17" t="s">
        <v>6</v>
      </c>
      <c r="D1151" s="4" t="s">
        <v>112</v>
      </c>
      <c r="E1151" s="16">
        <v>-35714.57</v>
      </c>
      <c r="F1151" s="5" t="s">
        <v>8</v>
      </c>
      <c r="G1151" s="9" t="s">
        <v>46</v>
      </c>
    </row>
    <row r="1152" spans="1:7" s="139" customFormat="1" ht="13.8" hidden="1" x14ac:dyDescent="0.3">
      <c r="A1152" s="100">
        <v>46008</v>
      </c>
      <c r="B1152" s="100" t="s">
        <v>216</v>
      </c>
      <c r="C1152" s="11" t="s">
        <v>6</v>
      </c>
      <c r="D1152" s="4" t="s">
        <v>113</v>
      </c>
      <c r="E1152" s="16">
        <v>-30</v>
      </c>
      <c r="F1152" s="13" t="s">
        <v>8</v>
      </c>
      <c r="G1152" s="5" t="s">
        <v>51</v>
      </c>
    </row>
    <row r="1153" spans="1:7" s="139" customFormat="1" ht="13.8" hidden="1" x14ac:dyDescent="0.3">
      <c r="A1153" s="100">
        <v>46008</v>
      </c>
      <c r="B1153" s="100" t="s">
        <v>216</v>
      </c>
      <c r="C1153" s="11" t="s">
        <v>6</v>
      </c>
      <c r="D1153" s="4" t="s">
        <v>114</v>
      </c>
      <c r="E1153" s="16">
        <v>-10000</v>
      </c>
      <c r="F1153" s="13" t="s">
        <v>8</v>
      </c>
      <c r="G1153" s="5" t="s">
        <v>51</v>
      </c>
    </row>
    <row r="1154" spans="1:7" s="139" customFormat="1" ht="13.8" hidden="1" x14ac:dyDescent="0.3">
      <c r="A1154" s="100">
        <v>46008</v>
      </c>
      <c r="B1154" s="100" t="s">
        <v>216</v>
      </c>
      <c r="C1154" s="11" t="s">
        <v>6</v>
      </c>
      <c r="D1154" s="4" t="s">
        <v>115</v>
      </c>
      <c r="E1154" s="16">
        <v>-4500</v>
      </c>
      <c r="F1154" s="13" t="s">
        <v>8</v>
      </c>
      <c r="G1154" s="5" t="s">
        <v>51</v>
      </c>
    </row>
    <row r="1155" spans="1:7" s="139" customFormat="1" ht="13.8" hidden="1" x14ac:dyDescent="0.3">
      <c r="A1155" s="100">
        <v>46008</v>
      </c>
      <c r="B1155" s="100" t="s">
        <v>216</v>
      </c>
      <c r="C1155" s="11" t="s">
        <v>17</v>
      </c>
      <c r="D1155" s="4" t="s">
        <v>116</v>
      </c>
      <c r="E1155" s="16">
        <v>-5460</v>
      </c>
      <c r="F1155" s="13" t="s">
        <v>8</v>
      </c>
      <c r="G1155" s="5" t="s">
        <v>53</v>
      </c>
    </row>
    <row r="1156" spans="1:7" s="139" customFormat="1" ht="13.8" hidden="1" x14ac:dyDescent="0.3">
      <c r="A1156" s="100">
        <v>46009</v>
      </c>
      <c r="B1156" s="100" t="s">
        <v>216</v>
      </c>
      <c r="C1156" s="14" t="s">
        <v>13</v>
      </c>
      <c r="D1156" s="4" t="s">
        <v>117</v>
      </c>
      <c r="E1156" s="16">
        <v>-5996.67</v>
      </c>
      <c r="F1156" s="13" t="s">
        <v>8</v>
      </c>
      <c r="G1156" s="9" t="s">
        <v>46</v>
      </c>
    </row>
    <row r="1157" spans="1:7" s="139" customFormat="1" ht="13.8" hidden="1" x14ac:dyDescent="0.3">
      <c r="A1157" s="100">
        <v>46013</v>
      </c>
      <c r="B1157" s="100" t="s">
        <v>216</v>
      </c>
      <c r="C1157" s="11" t="s">
        <v>6</v>
      </c>
      <c r="D1157" s="4" t="s">
        <v>118</v>
      </c>
      <c r="E1157" s="16">
        <v>-15086.65</v>
      </c>
      <c r="F1157" s="13" t="s">
        <v>8</v>
      </c>
      <c r="G1157" s="5" t="s">
        <v>119</v>
      </c>
    </row>
    <row r="1158" spans="1:7" s="139" customFormat="1" ht="13.8" hidden="1" x14ac:dyDescent="0.3">
      <c r="A1158" s="100">
        <v>46013</v>
      </c>
      <c r="B1158" s="100" t="s">
        <v>216</v>
      </c>
      <c r="C1158" s="17" t="s">
        <v>6</v>
      </c>
      <c r="D1158" s="4" t="s">
        <v>120</v>
      </c>
      <c r="E1158" s="16">
        <v>-718</v>
      </c>
      <c r="F1158" s="13" t="s">
        <v>8</v>
      </c>
      <c r="G1158" s="5" t="s">
        <v>19</v>
      </c>
    </row>
    <row r="1159" spans="1:7" s="139" customFormat="1" ht="13.8" hidden="1" x14ac:dyDescent="0.3">
      <c r="A1159" s="100">
        <v>46013</v>
      </c>
      <c r="B1159" s="100" t="s">
        <v>216</v>
      </c>
      <c r="C1159" s="11" t="s">
        <v>6</v>
      </c>
      <c r="D1159" s="4" t="s">
        <v>121</v>
      </c>
      <c r="E1159" s="16">
        <v>-1114</v>
      </c>
      <c r="F1159" s="13" t="s">
        <v>8</v>
      </c>
      <c r="G1159" s="5" t="s">
        <v>68</v>
      </c>
    </row>
    <row r="1160" spans="1:7" s="139" customFormat="1" ht="13.8" hidden="1" x14ac:dyDescent="0.3">
      <c r="A1160" s="100">
        <v>46013</v>
      </c>
      <c r="B1160" s="100" t="s">
        <v>216</v>
      </c>
      <c r="C1160" s="11" t="s">
        <v>6</v>
      </c>
      <c r="D1160" s="4" t="s">
        <v>122</v>
      </c>
      <c r="E1160" s="16">
        <v>-39.799999999999997</v>
      </c>
      <c r="F1160" s="13" t="s">
        <v>8</v>
      </c>
      <c r="G1160" s="5" t="s">
        <v>68</v>
      </c>
    </row>
    <row r="1161" spans="1:7" s="139" customFormat="1" ht="13.8" hidden="1" x14ac:dyDescent="0.3">
      <c r="A1161" s="100">
        <v>46010</v>
      </c>
      <c r="B1161" s="100" t="s">
        <v>216</v>
      </c>
      <c r="C1161" s="11" t="s">
        <v>6</v>
      </c>
      <c r="D1161" s="4" t="s">
        <v>123</v>
      </c>
      <c r="E1161" s="16">
        <v>-20000</v>
      </c>
      <c r="F1161" s="13" t="s">
        <v>8</v>
      </c>
      <c r="G1161" s="105" t="s">
        <v>124</v>
      </c>
    </row>
    <row r="1162" spans="1:7" s="139" customFormat="1" ht="13.8" hidden="1" x14ac:dyDescent="0.3">
      <c r="A1162" s="100">
        <v>46010</v>
      </c>
      <c r="B1162" s="100" t="s">
        <v>216</v>
      </c>
      <c r="C1162" s="14" t="s">
        <v>17</v>
      </c>
      <c r="D1162" s="7" t="s">
        <v>2330</v>
      </c>
      <c r="E1162" s="16">
        <v>-15000</v>
      </c>
      <c r="F1162" s="13" t="s">
        <v>8</v>
      </c>
      <c r="G1162" s="105" t="s">
        <v>124</v>
      </c>
    </row>
    <row r="1163" spans="1:7" s="139" customFormat="1" ht="13.8" hidden="1" x14ac:dyDescent="0.3">
      <c r="A1163" s="100">
        <v>46010</v>
      </c>
      <c r="B1163" s="100" t="s">
        <v>216</v>
      </c>
      <c r="C1163" s="14" t="s">
        <v>17</v>
      </c>
      <c r="D1163" s="7" t="s">
        <v>126</v>
      </c>
      <c r="E1163" s="16">
        <v>-3000</v>
      </c>
      <c r="F1163" s="13" t="s">
        <v>8</v>
      </c>
      <c r="G1163" s="105" t="s">
        <v>124</v>
      </c>
    </row>
    <row r="1164" spans="1:7" s="139" customFormat="1" ht="13.8" hidden="1" x14ac:dyDescent="0.3">
      <c r="A1164" s="100">
        <v>46010</v>
      </c>
      <c r="B1164" s="100" t="s">
        <v>216</v>
      </c>
      <c r="C1164" s="11" t="s">
        <v>6</v>
      </c>
      <c r="D1164" s="4" t="s">
        <v>127</v>
      </c>
      <c r="E1164" s="10">
        <v>-55000</v>
      </c>
      <c r="F1164" s="13" t="s">
        <v>8</v>
      </c>
      <c r="G1164" s="105" t="s">
        <v>124</v>
      </c>
    </row>
    <row r="1165" spans="1:7" s="139" customFormat="1" ht="13.8" hidden="1" x14ac:dyDescent="0.3">
      <c r="A1165" s="100">
        <v>46010</v>
      </c>
      <c r="B1165" s="100" t="s">
        <v>216</v>
      </c>
      <c r="C1165" s="11" t="s">
        <v>6</v>
      </c>
      <c r="D1165" s="643" t="s">
        <v>128</v>
      </c>
      <c r="E1165" s="16">
        <v>-50000</v>
      </c>
      <c r="F1165" s="13" t="s">
        <v>8</v>
      </c>
      <c r="G1165" s="105" t="s">
        <v>124</v>
      </c>
    </row>
    <row r="1166" spans="1:7" s="139" customFormat="1" ht="13.8" hidden="1" x14ac:dyDescent="0.3">
      <c r="A1166" s="100">
        <v>46013</v>
      </c>
      <c r="B1166" s="100" t="s">
        <v>216</v>
      </c>
      <c r="C1166" s="11" t="s">
        <v>6</v>
      </c>
      <c r="D1166" s="4" t="s">
        <v>213</v>
      </c>
      <c r="E1166" s="16">
        <v>-110000</v>
      </c>
      <c r="F1166" s="13" t="s">
        <v>8</v>
      </c>
      <c r="G1166" s="5" t="s">
        <v>27</v>
      </c>
    </row>
    <row r="1167" spans="1:7" s="139" customFormat="1" ht="13.8" hidden="1" x14ac:dyDescent="0.3">
      <c r="A1167" s="100">
        <v>46010</v>
      </c>
      <c r="B1167" s="100" t="s">
        <v>216</v>
      </c>
      <c r="C1167" s="11" t="s">
        <v>6</v>
      </c>
      <c r="D1167" s="115" t="s">
        <v>129</v>
      </c>
      <c r="E1167" s="10">
        <v>-41000</v>
      </c>
      <c r="F1167" s="13" t="s">
        <v>8</v>
      </c>
      <c r="G1167" s="5" t="s">
        <v>82</v>
      </c>
    </row>
    <row r="1168" spans="1:7" s="139" customFormat="1" ht="13.8" hidden="1" x14ac:dyDescent="0.3">
      <c r="A1168" s="100">
        <v>46013</v>
      </c>
      <c r="B1168" s="100" t="s">
        <v>216</v>
      </c>
      <c r="C1168" s="14" t="s">
        <v>31</v>
      </c>
      <c r="D1168" s="14" t="s">
        <v>197</v>
      </c>
      <c r="E1168" s="8">
        <v>-464.97</v>
      </c>
      <c r="F1168" s="13" t="s">
        <v>8</v>
      </c>
      <c r="G1168" s="5" t="s">
        <v>85</v>
      </c>
    </row>
    <row r="1169" spans="1:7" s="139" customFormat="1" ht="13.8" hidden="1" x14ac:dyDescent="0.3">
      <c r="A1169" s="100">
        <v>46013</v>
      </c>
      <c r="B1169" s="100" t="s">
        <v>216</v>
      </c>
      <c r="C1169" s="14" t="s">
        <v>6</v>
      </c>
      <c r="D1169" s="14" t="s">
        <v>197</v>
      </c>
      <c r="E1169" s="8">
        <v>-1239.92</v>
      </c>
      <c r="F1169" s="13" t="s">
        <v>8</v>
      </c>
      <c r="G1169" s="5" t="s">
        <v>85</v>
      </c>
    </row>
    <row r="1170" spans="1:7" s="139" customFormat="1" ht="13.8" hidden="1" x14ac:dyDescent="0.3">
      <c r="A1170" s="100">
        <v>46013</v>
      </c>
      <c r="B1170" s="100" t="s">
        <v>216</v>
      </c>
      <c r="C1170" s="14" t="s">
        <v>44</v>
      </c>
      <c r="D1170" s="14" t="s">
        <v>197</v>
      </c>
      <c r="E1170" s="8">
        <v>-1007.43</v>
      </c>
      <c r="F1170" s="13" t="s">
        <v>8</v>
      </c>
      <c r="G1170" s="5" t="s">
        <v>85</v>
      </c>
    </row>
    <row r="1171" spans="1:7" s="139" customFormat="1" ht="13.8" hidden="1" x14ac:dyDescent="0.3">
      <c r="A1171" s="100">
        <v>46013</v>
      </c>
      <c r="B1171" s="100" t="s">
        <v>216</v>
      </c>
      <c r="C1171" s="14" t="s">
        <v>44</v>
      </c>
      <c r="D1171" s="14" t="s">
        <v>197</v>
      </c>
      <c r="E1171" s="8">
        <v>-3099.8</v>
      </c>
      <c r="F1171" s="13" t="s">
        <v>8</v>
      </c>
      <c r="G1171" s="5" t="s">
        <v>85</v>
      </c>
    </row>
    <row r="1172" spans="1:7" s="139" customFormat="1" ht="13.8" hidden="1" x14ac:dyDescent="0.3">
      <c r="A1172" s="100">
        <v>46013</v>
      </c>
      <c r="B1172" s="100" t="s">
        <v>216</v>
      </c>
      <c r="C1172" s="14" t="s">
        <v>25</v>
      </c>
      <c r="D1172" s="14" t="s">
        <v>197</v>
      </c>
      <c r="E1172" s="8">
        <v>-2944.81</v>
      </c>
      <c r="F1172" s="13" t="s">
        <v>8</v>
      </c>
      <c r="G1172" s="5" t="s">
        <v>85</v>
      </c>
    </row>
    <row r="1173" spans="1:7" s="139" customFormat="1" ht="13.8" hidden="1" x14ac:dyDescent="0.3">
      <c r="A1173" s="100">
        <v>46013</v>
      </c>
      <c r="B1173" s="100" t="s">
        <v>216</v>
      </c>
      <c r="C1173" s="14" t="s">
        <v>33</v>
      </c>
      <c r="D1173" s="14" t="s">
        <v>197</v>
      </c>
      <c r="E1173" s="8">
        <v>-929.94</v>
      </c>
      <c r="F1173" s="13" t="s">
        <v>8</v>
      </c>
      <c r="G1173" s="5" t="s">
        <v>85</v>
      </c>
    </row>
    <row r="1174" spans="1:7" s="139" customFormat="1" ht="13.8" hidden="1" x14ac:dyDescent="0.3">
      <c r="A1174" s="100">
        <v>46013</v>
      </c>
      <c r="B1174" s="100" t="s">
        <v>216</v>
      </c>
      <c r="C1174" s="14" t="s">
        <v>1571</v>
      </c>
      <c r="D1174" s="14" t="s">
        <v>197</v>
      </c>
      <c r="E1174" s="8">
        <v>-774.95</v>
      </c>
      <c r="F1174" s="13" t="s">
        <v>8</v>
      </c>
      <c r="G1174" s="5" t="s">
        <v>85</v>
      </c>
    </row>
    <row r="1175" spans="1:7" s="139" customFormat="1" ht="13.8" hidden="1" x14ac:dyDescent="0.3">
      <c r="A1175" s="100">
        <v>46013</v>
      </c>
      <c r="B1175" s="100" t="s">
        <v>216</v>
      </c>
      <c r="C1175" s="14" t="s">
        <v>104</v>
      </c>
      <c r="D1175" s="14" t="s">
        <v>197</v>
      </c>
      <c r="E1175" s="8">
        <v>-1084.93</v>
      </c>
      <c r="F1175" s="13" t="s">
        <v>8</v>
      </c>
      <c r="G1175" s="5" t="s">
        <v>85</v>
      </c>
    </row>
    <row r="1176" spans="1:7" s="139" customFormat="1" ht="13.8" hidden="1" x14ac:dyDescent="0.3">
      <c r="A1176" s="100">
        <v>46013</v>
      </c>
      <c r="B1176" s="100" t="s">
        <v>216</v>
      </c>
      <c r="C1176" s="14" t="s">
        <v>32</v>
      </c>
      <c r="D1176" s="14" t="s">
        <v>197</v>
      </c>
      <c r="E1176" s="8">
        <v>-2479.84</v>
      </c>
      <c r="F1176" s="13" t="s">
        <v>8</v>
      </c>
      <c r="G1176" s="5" t="s">
        <v>85</v>
      </c>
    </row>
    <row r="1177" spans="1:7" s="139" customFormat="1" ht="13.8" hidden="1" x14ac:dyDescent="0.3">
      <c r="A1177" s="100">
        <v>46013</v>
      </c>
      <c r="B1177" s="100" t="s">
        <v>216</v>
      </c>
      <c r="C1177" s="14" t="s">
        <v>71</v>
      </c>
      <c r="D1177" s="14" t="s">
        <v>197</v>
      </c>
      <c r="E1177" s="8">
        <v>-1317.41</v>
      </c>
      <c r="F1177" s="13" t="s">
        <v>8</v>
      </c>
      <c r="G1177" s="5" t="s">
        <v>85</v>
      </c>
    </row>
    <row r="1178" spans="1:7" s="139" customFormat="1" ht="13.8" hidden="1" x14ac:dyDescent="0.3">
      <c r="A1178" s="100">
        <v>46013</v>
      </c>
      <c r="B1178" s="100" t="s">
        <v>216</v>
      </c>
      <c r="C1178" s="11" t="s">
        <v>6</v>
      </c>
      <c r="D1178" s="4" t="s">
        <v>47</v>
      </c>
      <c r="E1178" s="16">
        <v>-8000</v>
      </c>
      <c r="F1178" s="13" t="s">
        <v>8</v>
      </c>
      <c r="G1178" s="5" t="s">
        <v>27</v>
      </c>
    </row>
    <row r="1179" spans="1:7" s="139" customFormat="1" ht="13.8" hidden="1" x14ac:dyDescent="0.3">
      <c r="A1179" s="100">
        <v>46013</v>
      </c>
      <c r="B1179" s="100" t="s">
        <v>216</v>
      </c>
      <c r="C1179" s="11" t="s">
        <v>25</v>
      </c>
      <c r="D1179" s="4" t="s">
        <v>130</v>
      </c>
      <c r="E1179" s="16">
        <v>-2756.99</v>
      </c>
      <c r="F1179" s="13" t="s">
        <v>8</v>
      </c>
      <c r="G1179" s="82" t="s">
        <v>153</v>
      </c>
    </row>
    <row r="1180" spans="1:7" s="139" customFormat="1" ht="13.8" hidden="1" x14ac:dyDescent="0.3">
      <c r="A1180" s="78">
        <v>46013</v>
      </c>
      <c r="B1180" s="100" t="s">
        <v>216</v>
      </c>
      <c r="C1180" s="14" t="s">
        <v>17</v>
      </c>
      <c r="D1180" s="4" t="s">
        <v>131</v>
      </c>
      <c r="E1180" s="16">
        <v>-1700</v>
      </c>
      <c r="F1180" s="13" t="s">
        <v>8</v>
      </c>
      <c r="G1180" s="5" t="s">
        <v>132</v>
      </c>
    </row>
    <row r="1181" spans="1:7" s="139" customFormat="1" ht="13.8" hidden="1" x14ac:dyDescent="0.3">
      <c r="A1181" s="100">
        <v>46010</v>
      </c>
      <c r="B1181" s="100" t="s">
        <v>216</v>
      </c>
      <c r="C1181" s="11" t="s">
        <v>64</v>
      </c>
      <c r="D1181" s="115" t="s">
        <v>133</v>
      </c>
      <c r="E1181" s="16">
        <v>-8937.32</v>
      </c>
      <c r="F1181" s="13" t="s">
        <v>8</v>
      </c>
      <c r="G1181" s="5" t="s">
        <v>39</v>
      </c>
    </row>
    <row r="1182" spans="1:7" s="139" customFormat="1" ht="13.8" hidden="1" x14ac:dyDescent="0.3">
      <c r="A1182" s="100">
        <v>46017</v>
      </c>
      <c r="B1182" s="100" t="s">
        <v>216</v>
      </c>
      <c r="C1182" s="11" t="s">
        <v>17</v>
      </c>
      <c r="D1182" s="4" t="s">
        <v>18</v>
      </c>
      <c r="E1182" s="200">
        <v>-13041.15</v>
      </c>
      <c r="F1182" s="13" t="s">
        <v>8</v>
      </c>
      <c r="G1182" s="5" t="s">
        <v>19</v>
      </c>
    </row>
    <row r="1183" spans="1:7" s="139" customFormat="1" ht="13.8" hidden="1" x14ac:dyDescent="0.3">
      <c r="A1183" s="78">
        <v>46017</v>
      </c>
      <c r="B1183" s="100" t="s">
        <v>216</v>
      </c>
      <c r="C1183" s="11" t="s">
        <v>6</v>
      </c>
      <c r="D1183" s="4" t="s">
        <v>62</v>
      </c>
      <c r="E1183" s="16">
        <v>-8000</v>
      </c>
      <c r="F1183" s="13" t="s">
        <v>8</v>
      </c>
      <c r="G1183" s="5" t="s">
        <v>63</v>
      </c>
    </row>
    <row r="1184" spans="1:7" s="139" customFormat="1" ht="13.8" hidden="1" x14ac:dyDescent="0.3">
      <c r="A1184" s="78">
        <v>46017</v>
      </c>
      <c r="B1184" s="100" t="s">
        <v>216</v>
      </c>
      <c r="C1184" s="11" t="s">
        <v>17</v>
      </c>
      <c r="D1184" s="4" t="s">
        <v>134</v>
      </c>
      <c r="E1184" s="16">
        <v>-500</v>
      </c>
      <c r="F1184" s="13" t="s">
        <v>8</v>
      </c>
      <c r="G1184" s="5" t="s">
        <v>68</v>
      </c>
    </row>
    <row r="1185" spans="1:7" s="139" customFormat="1" ht="13.8" hidden="1" x14ac:dyDescent="0.3">
      <c r="A1185" s="78">
        <v>46017</v>
      </c>
      <c r="B1185" s="100" t="s">
        <v>216</v>
      </c>
      <c r="C1185" s="11" t="s">
        <v>6</v>
      </c>
      <c r="D1185" s="4" t="s">
        <v>135</v>
      </c>
      <c r="E1185" s="16">
        <v>-294.8</v>
      </c>
      <c r="F1185" s="13" t="s">
        <v>8</v>
      </c>
      <c r="G1185" s="5" t="s">
        <v>136</v>
      </c>
    </row>
    <row r="1186" spans="1:7" s="139" customFormat="1" ht="13.8" hidden="1" x14ac:dyDescent="0.3">
      <c r="A1186" s="78">
        <v>46017</v>
      </c>
      <c r="B1186" s="100" t="s">
        <v>216</v>
      </c>
      <c r="C1186" s="11" t="s">
        <v>25</v>
      </c>
      <c r="D1186" s="4" t="s">
        <v>137</v>
      </c>
      <c r="E1186" s="16">
        <v>-1812.64</v>
      </c>
      <c r="F1186" s="13" t="s">
        <v>8</v>
      </c>
      <c r="G1186" s="82" t="s">
        <v>153</v>
      </c>
    </row>
    <row r="1187" spans="1:7" s="139" customFormat="1" ht="13.8" hidden="1" x14ac:dyDescent="0.3">
      <c r="A1187" s="100">
        <v>46010</v>
      </c>
      <c r="B1187" s="100" t="s">
        <v>216</v>
      </c>
      <c r="C1187" s="330" t="s">
        <v>71</v>
      </c>
      <c r="D1187" s="1166" t="s">
        <v>1026</v>
      </c>
      <c r="E1187" s="1175">
        <v>-987.36</v>
      </c>
      <c r="F1187" s="13" t="s">
        <v>8</v>
      </c>
      <c r="G1187" s="82" t="s">
        <v>1279</v>
      </c>
    </row>
    <row r="1188" spans="1:7" s="139" customFormat="1" ht="13.8" hidden="1" x14ac:dyDescent="0.3">
      <c r="A1188" s="100">
        <v>46010</v>
      </c>
      <c r="B1188" s="100" t="s">
        <v>216</v>
      </c>
      <c r="C1188" s="11" t="s">
        <v>6</v>
      </c>
      <c r="D1188" s="643" t="s">
        <v>215</v>
      </c>
      <c r="E1188" s="8">
        <v>-217558.83</v>
      </c>
      <c r="F1188" s="13" t="s">
        <v>8</v>
      </c>
      <c r="G1188" s="9" t="s">
        <v>225</v>
      </c>
    </row>
    <row r="1189" spans="1:7" s="139" customFormat="1" ht="13.8" hidden="1" x14ac:dyDescent="0.3">
      <c r="A1189" s="100">
        <v>46010</v>
      </c>
      <c r="B1189" s="100" t="s">
        <v>216</v>
      </c>
      <c r="C1189" s="11" t="s">
        <v>17</v>
      </c>
      <c r="D1189" s="4" t="s">
        <v>140</v>
      </c>
      <c r="E1189" s="16">
        <v>-9980</v>
      </c>
      <c r="F1189" s="13" t="s">
        <v>8</v>
      </c>
      <c r="G1189" s="5" t="s">
        <v>58</v>
      </c>
    </row>
    <row r="1190" spans="1:7" s="139" customFormat="1" ht="13.8" hidden="1" x14ac:dyDescent="0.3">
      <c r="A1190" s="78">
        <v>46020</v>
      </c>
      <c r="B1190" s="100" t="s">
        <v>216</v>
      </c>
      <c r="C1190" s="11" t="s">
        <v>13</v>
      </c>
      <c r="D1190" s="4" t="s">
        <v>141</v>
      </c>
      <c r="E1190" s="16">
        <v>-500</v>
      </c>
      <c r="F1190" s="13" t="s">
        <v>8</v>
      </c>
      <c r="G1190" s="5" t="s">
        <v>68</v>
      </c>
    </row>
    <row r="1191" spans="1:7" s="139" customFormat="1" ht="13.8" hidden="1" x14ac:dyDescent="0.3">
      <c r="A1191" s="78">
        <v>46021</v>
      </c>
      <c r="B1191" s="100" t="s">
        <v>216</v>
      </c>
      <c r="C1191" s="14" t="s">
        <v>17</v>
      </c>
      <c r="D1191" s="7" t="s">
        <v>142</v>
      </c>
      <c r="E1191" s="16">
        <v>-2530.4299999999998</v>
      </c>
      <c r="F1191" s="13" t="s">
        <v>8</v>
      </c>
      <c r="G1191" s="5" t="s">
        <v>68</v>
      </c>
    </row>
    <row r="1192" spans="1:7" s="139" customFormat="1" ht="13.8" hidden="1" x14ac:dyDescent="0.3">
      <c r="A1192" s="78">
        <v>46021</v>
      </c>
      <c r="B1192" s="100" t="s">
        <v>216</v>
      </c>
      <c r="C1192" s="14" t="s">
        <v>17</v>
      </c>
      <c r="D1192" s="7" t="s">
        <v>142</v>
      </c>
      <c r="E1192" s="16">
        <v>-1339.5</v>
      </c>
      <c r="F1192" s="13" t="s">
        <v>8</v>
      </c>
      <c r="G1192" s="5" t="s">
        <v>68</v>
      </c>
    </row>
    <row r="1193" spans="1:7" s="139" customFormat="1" ht="13.8" hidden="1" x14ac:dyDescent="0.3">
      <c r="A1193" s="100">
        <v>45996</v>
      </c>
      <c r="B1193" s="100" t="s">
        <v>216</v>
      </c>
      <c r="C1193" s="11" t="s">
        <v>80</v>
      </c>
      <c r="D1193" s="4" t="s">
        <v>143</v>
      </c>
      <c r="E1193" s="16">
        <v>-5000</v>
      </c>
      <c r="F1193" s="13" t="s">
        <v>8</v>
      </c>
      <c r="G1193" s="5" t="s">
        <v>82</v>
      </c>
    </row>
    <row r="1194" spans="1:7" s="139" customFormat="1" ht="13.8" hidden="1" x14ac:dyDescent="0.3">
      <c r="A1194" s="78">
        <v>46021</v>
      </c>
      <c r="B1194" s="100" t="s">
        <v>216</v>
      </c>
      <c r="C1194" s="11" t="s">
        <v>80</v>
      </c>
      <c r="D1194" s="4" t="s">
        <v>81</v>
      </c>
      <c r="E1194" s="16">
        <v>-15000</v>
      </c>
      <c r="F1194" s="13" t="s">
        <v>8</v>
      </c>
      <c r="G1194" s="5" t="s">
        <v>82</v>
      </c>
    </row>
    <row r="1195" spans="1:7" s="139" customFormat="1" ht="13.8" hidden="1" x14ac:dyDescent="0.3">
      <c r="A1195" s="100">
        <v>46017</v>
      </c>
      <c r="B1195" s="100" t="s">
        <v>216</v>
      </c>
      <c r="C1195" s="11" t="s">
        <v>17</v>
      </c>
      <c r="D1195" s="4" t="s">
        <v>140</v>
      </c>
      <c r="E1195" s="16">
        <v>-9980</v>
      </c>
      <c r="F1195" s="13" t="s">
        <v>8</v>
      </c>
      <c r="G1195" s="5" t="s">
        <v>58</v>
      </c>
    </row>
    <row r="1196" spans="1:7" s="139" customFormat="1" ht="13.8" hidden="1" x14ac:dyDescent="0.3">
      <c r="A1196" s="78">
        <v>46021</v>
      </c>
      <c r="B1196" s="100" t="s">
        <v>216</v>
      </c>
      <c r="C1196" s="11" t="s">
        <v>17</v>
      </c>
      <c r="D1196" s="4" t="s">
        <v>140</v>
      </c>
      <c r="E1196" s="16">
        <v>-23498.18</v>
      </c>
      <c r="F1196" s="13" t="s">
        <v>8</v>
      </c>
      <c r="G1196" s="5" t="s">
        <v>58</v>
      </c>
    </row>
    <row r="1197" spans="1:7" s="139" customFormat="1" ht="13.8" hidden="1" x14ac:dyDescent="0.3">
      <c r="A1197" s="78">
        <v>46021</v>
      </c>
      <c r="B1197" s="100" t="s">
        <v>216</v>
      </c>
      <c r="C1197" s="11" t="s">
        <v>6</v>
      </c>
      <c r="D1197" s="4" t="s">
        <v>144</v>
      </c>
      <c r="E1197" s="16">
        <v>-35000</v>
      </c>
      <c r="F1197" s="13" t="s">
        <v>8</v>
      </c>
      <c r="G1197" s="105" t="s">
        <v>124</v>
      </c>
    </row>
    <row r="1198" spans="1:7" s="139" customFormat="1" ht="13.8" hidden="1" x14ac:dyDescent="0.3">
      <c r="A1198" s="78">
        <v>46021</v>
      </c>
      <c r="B1198" s="100" t="s">
        <v>216</v>
      </c>
      <c r="C1198" s="11" t="s">
        <v>6</v>
      </c>
      <c r="D1198" s="4" t="s">
        <v>1683</v>
      </c>
      <c r="E1198" s="16">
        <v>-7000</v>
      </c>
      <c r="F1198" s="13" t="s">
        <v>8</v>
      </c>
      <c r="G1198" s="5" t="s">
        <v>97</v>
      </c>
    </row>
    <row r="1199" spans="1:7" s="139" customFormat="1" ht="13.8" hidden="1" x14ac:dyDescent="0.3">
      <c r="A1199" s="78">
        <v>46021</v>
      </c>
      <c r="B1199" s="100" t="s">
        <v>216</v>
      </c>
      <c r="C1199" s="11" t="s">
        <v>17</v>
      </c>
      <c r="D1199" s="7" t="s">
        <v>148</v>
      </c>
      <c r="E1199" s="16">
        <v>-50</v>
      </c>
      <c r="F1199" s="13" t="s">
        <v>8</v>
      </c>
      <c r="G1199" s="5" t="s">
        <v>147</v>
      </c>
    </row>
    <row r="1200" spans="1:7" s="139" customFormat="1" ht="13.8" hidden="1" x14ac:dyDescent="0.3">
      <c r="A1200" s="78">
        <v>46021</v>
      </c>
      <c r="B1200" s="100" t="s">
        <v>216</v>
      </c>
      <c r="C1200" s="11" t="s">
        <v>13</v>
      </c>
      <c r="D1200" s="4" t="s">
        <v>149</v>
      </c>
      <c r="E1200" s="16">
        <v>-800</v>
      </c>
      <c r="F1200" s="13" t="s">
        <v>8</v>
      </c>
      <c r="G1200" s="5" t="s">
        <v>150</v>
      </c>
    </row>
    <row r="1201" spans="1:7" s="139" customFormat="1" ht="13.8" hidden="1" x14ac:dyDescent="0.3">
      <c r="A1201" s="78">
        <v>46021</v>
      </c>
      <c r="B1201" s="100" t="s">
        <v>216</v>
      </c>
      <c r="C1201" s="11" t="s">
        <v>17</v>
      </c>
      <c r="D1201" s="7" t="s">
        <v>154</v>
      </c>
      <c r="E1201" s="16">
        <v>-7000</v>
      </c>
      <c r="F1201" s="13" t="s">
        <v>8</v>
      </c>
      <c r="G1201" s="105" t="s">
        <v>124</v>
      </c>
    </row>
    <row r="1202" spans="1:7" s="139" customFormat="1" ht="13.8" hidden="1" x14ac:dyDescent="0.3">
      <c r="A1202" s="78">
        <v>46021</v>
      </c>
      <c r="B1202" s="100" t="s">
        <v>216</v>
      </c>
      <c r="C1202" s="11" t="s">
        <v>44</v>
      </c>
      <c r="D1202" s="7" t="s">
        <v>155</v>
      </c>
      <c r="E1202" s="16">
        <v>-600</v>
      </c>
      <c r="F1202" s="13" t="s">
        <v>8</v>
      </c>
      <c r="G1202" s="105" t="s">
        <v>124</v>
      </c>
    </row>
    <row r="1203" spans="1:7" s="139" customFormat="1" ht="13.8" hidden="1" x14ac:dyDescent="0.3">
      <c r="A1203" s="78">
        <v>46021</v>
      </c>
      <c r="B1203" s="100" t="s">
        <v>216</v>
      </c>
      <c r="C1203" s="11" t="s">
        <v>80</v>
      </c>
      <c r="D1203" s="7" t="s">
        <v>1682</v>
      </c>
      <c r="E1203" s="16">
        <v>-6000</v>
      </c>
      <c r="F1203" s="13" t="s">
        <v>8</v>
      </c>
      <c r="G1203" s="105" t="s">
        <v>124</v>
      </c>
    </row>
    <row r="1204" spans="1:7" s="139" customFormat="1" ht="13.8" hidden="1" x14ac:dyDescent="0.3">
      <c r="A1204" s="78">
        <v>46021</v>
      </c>
      <c r="B1204" s="100" t="s">
        <v>216</v>
      </c>
      <c r="C1204" s="12" t="s">
        <v>44</v>
      </c>
      <c r="D1204" s="4" t="s">
        <v>158</v>
      </c>
      <c r="E1204" s="16">
        <v>-1719.53</v>
      </c>
      <c r="F1204" s="13" t="s">
        <v>8</v>
      </c>
      <c r="G1204" s="13" t="s">
        <v>91</v>
      </c>
    </row>
    <row r="1205" spans="1:7" s="139" customFormat="1" ht="13.8" hidden="1" x14ac:dyDescent="0.3">
      <c r="A1205" s="74">
        <v>46021</v>
      </c>
      <c r="B1205" s="113" t="s">
        <v>216</v>
      </c>
      <c r="C1205" s="106" t="s">
        <v>6</v>
      </c>
      <c r="D1205" s="107" t="s">
        <v>158</v>
      </c>
      <c r="E1205" s="145">
        <v>-1392.65</v>
      </c>
      <c r="F1205" s="27" t="s">
        <v>8</v>
      </c>
      <c r="G1205" s="27" t="s">
        <v>91</v>
      </c>
    </row>
    <row r="1206" spans="1:7" s="143" customFormat="1" ht="13.8" hidden="1" x14ac:dyDescent="0.3">
      <c r="A1206" s="123">
        <v>45993</v>
      </c>
      <c r="B1206" s="147" t="s">
        <v>216</v>
      </c>
      <c r="C1206" s="57" t="s">
        <v>159</v>
      </c>
      <c r="D1206" s="29" t="s">
        <v>160</v>
      </c>
      <c r="E1206" s="53">
        <v>23638.67</v>
      </c>
      <c r="F1206" s="55" t="s">
        <v>161</v>
      </c>
      <c r="G1206" s="61" t="s">
        <v>162</v>
      </c>
    </row>
    <row r="1207" spans="1:7" s="143" customFormat="1" ht="13.8" hidden="1" x14ac:dyDescent="0.3">
      <c r="A1207" s="123">
        <v>45993</v>
      </c>
      <c r="B1207" s="147" t="s">
        <v>216</v>
      </c>
      <c r="C1207" s="57" t="s">
        <v>163</v>
      </c>
      <c r="D1207" s="29" t="s">
        <v>164</v>
      </c>
      <c r="E1207" s="53">
        <v>799.2</v>
      </c>
      <c r="F1207" s="55" t="s">
        <v>161</v>
      </c>
      <c r="G1207" s="61" t="s">
        <v>162</v>
      </c>
    </row>
    <row r="1208" spans="1:7" s="143" customFormat="1" ht="13.8" hidden="1" x14ac:dyDescent="0.3">
      <c r="A1208" s="123">
        <v>45993</v>
      </c>
      <c r="B1208" s="147" t="s">
        <v>216</v>
      </c>
      <c r="C1208" s="57" t="s">
        <v>163</v>
      </c>
      <c r="D1208" s="29" t="s">
        <v>164</v>
      </c>
      <c r="E1208" s="53">
        <v>18532.8</v>
      </c>
      <c r="F1208" s="55" t="s">
        <v>161</v>
      </c>
      <c r="G1208" s="61" t="s">
        <v>162</v>
      </c>
    </row>
    <row r="1209" spans="1:7" s="143" customFormat="1" ht="13.8" hidden="1" x14ac:dyDescent="0.3">
      <c r="A1209" s="123">
        <v>45993</v>
      </c>
      <c r="B1209" s="147" t="s">
        <v>216</v>
      </c>
      <c r="C1209" s="57" t="s">
        <v>165</v>
      </c>
      <c r="D1209" s="29" t="s">
        <v>166</v>
      </c>
      <c r="E1209" s="53">
        <v>22451.91</v>
      </c>
      <c r="F1209" s="55" t="s">
        <v>161</v>
      </c>
      <c r="G1209" s="61" t="s">
        <v>162</v>
      </c>
    </row>
    <row r="1210" spans="1:7" s="143" customFormat="1" ht="13.8" hidden="1" x14ac:dyDescent="0.3">
      <c r="A1210" s="123">
        <v>45993</v>
      </c>
      <c r="B1210" s="147" t="s">
        <v>216</v>
      </c>
      <c r="C1210" s="57" t="s">
        <v>167</v>
      </c>
      <c r="D1210" s="29" t="s">
        <v>168</v>
      </c>
      <c r="E1210" s="53">
        <v>14482.07</v>
      </c>
      <c r="F1210" s="55" t="s">
        <v>161</v>
      </c>
      <c r="G1210" s="61" t="s">
        <v>162</v>
      </c>
    </row>
    <row r="1211" spans="1:7" s="143" customFormat="1" ht="13.8" hidden="1" x14ac:dyDescent="0.3">
      <c r="A1211" s="123">
        <v>45993</v>
      </c>
      <c r="B1211" s="147" t="s">
        <v>216</v>
      </c>
      <c r="C1211" s="57" t="s">
        <v>167</v>
      </c>
      <c r="D1211" s="29" t="s">
        <v>168</v>
      </c>
      <c r="E1211" s="53">
        <v>23943.3</v>
      </c>
      <c r="F1211" s="55" t="s">
        <v>161</v>
      </c>
      <c r="G1211" s="61" t="s">
        <v>162</v>
      </c>
    </row>
    <row r="1212" spans="1:7" s="143" customFormat="1" ht="13.8" hidden="1" x14ac:dyDescent="0.3">
      <c r="A1212" s="123">
        <v>45993</v>
      </c>
      <c r="B1212" s="147" t="s">
        <v>216</v>
      </c>
      <c r="C1212" s="57" t="s">
        <v>167</v>
      </c>
      <c r="D1212" s="29" t="s">
        <v>168</v>
      </c>
      <c r="E1212" s="53">
        <v>21852.37</v>
      </c>
      <c r="F1212" s="55" t="s">
        <v>161</v>
      </c>
      <c r="G1212" s="61" t="s">
        <v>162</v>
      </c>
    </row>
    <row r="1213" spans="1:7" s="143" customFormat="1" ht="13.8" hidden="1" x14ac:dyDescent="0.3">
      <c r="A1213" s="123">
        <v>45993</v>
      </c>
      <c r="B1213" s="147" t="s">
        <v>216</v>
      </c>
      <c r="C1213" s="57" t="s">
        <v>167</v>
      </c>
      <c r="D1213" s="29" t="s">
        <v>168</v>
      </c>
      <c r="E1213" s="30">
        <v>4683.53</v>
      </c>
      <c r="F1213" s="55" t="s">
        <v>161</v>
      </c>
      <c r="G1213" s="61" t="s">
        <v>162</v>
      </c>
    </row>
    <row r="1214" spans="1:7" s="143" customFormat="1" ht="13.8" hidden="1" x14ac:dyDescent="0.3">
      <c r="A1214" s="123">
        <v>45993</v>
      </c>
      <c r="B1214" s="147" t="s">
        <v>216</v>
      </c>
      <c r="C1214" s="57" t="s">
        <v>167</v>
      </c>
      <c r="D1214" s="29" t="s">
        <v>168</v>
      </c>
      <c r="E1214" s="53">
        <v>196</v>
      </c>
      <c r="F1214" s="55" t="s">
        <v>161</v>
      </c>
      <c r="G1214" s="61" t="s">
        <v>162</v>
      </c>
    </row>
    <row r="1215" spans="1:7" s="139" customFormat="1" ht="13.8" hidden="1" x14ac:dyDescent="0.3">
      <c r="A1215" s="100">
        <v>46001</v>
      </c>
      <c r="B1215" s="100" t="s">
        <v>216</v>
      </c>
      <c r="C1215" s="1166" t="s">
        <v>71</v>
      </c>
      <c r="D1215" s="328" t="s">
        <v>1880</v>
      </c>
      <c r="E1215" s="329">
        <v>-779.3</v>
      </c>
      <c r="F1215" s="13" t="s">
        <v>8</v>
      </c>
      <c r="G1215" s="5" t="s">
        <v>1279</v>
      </c>
    </row>
    <row r="1216" spans="1:7" s="139" customFormat="1" ht="13.8" hidden="1" x14ac:dyDescent="0.3">
      <c r="A1216" s="188">
        <v>46001</v>
      </c>
      <c r="B1216" s="188" t="s">
        <v>216</v>
      </c>
      <c r="C1216" s="1173" t="s">
        <v>13</v>
      </c>
      <c r="D1216" s="7" t="s">
        <v>210</v>
      </c>
      <c r="E1216" s="8">
        <v>-50000</v>
      </c>
      <c r="F1216" s="13" t="s">
        <v>8</v>
      </c>
      <c r="G1216" s="9" t="s">
        <v>27</v>
      </c>
    </row>
    <row r="1217" spans="1:7" s="143" customFormat="1" ht="13.8" hidden="1" x14ac:dyDescent="0.3">
      <c r="A1217" s="123">
        <v>46002</v>
      </c>
      <c r="B1217" s="147" t="s">
        <v>216</v>
      </c>
      <c r="C1217" s="57" t="s">
        <v>170</v>
      </c>
      <c r="D1217" s="29" t="s">
        <v>172</v>
      </c>
      <c r="E1217" s="121">
        <v>4880.1400000000003</v>
      </c>
      <c r="F1217" s="55" t="s">
        <v>161</v>
      </c>
      <c r="G1217" s="61" t="s">
        <v>162</v>
      </c>
    </row>
    <row r="1218" spans="1:7" s="143" customFormat="1" ht="13.8" hidden="1" x14ac:dyDescent="0.3">
      <c r="A1218" s="123">
        <v>46002</v>
      </c>
      <c r="B1218" s="147" t="s">
        <v>216</v>
      </c>
      <c r="C1218" s="57" t="s">
        <v>167</v>
      </c>
      <c r="D1218" s="29" t="s">
        <v>173</v>
      </c>
      <c r="E1218" s="121">
        <v>603.26</v>
      </c>
      <c r="F1218" s="55" t="s">
        <v>161</v>
      </c>
      <c r="G1218" s="61" t="s">
        <v>162</v>
      </c>
    </row>
    <row r="1219" spans="1:7" s="143" customFormat="1" ht="13.8" hidden="1" x14ac:dyDescent="0.3">
      <c r="A1219" s="123">
        <v>46002</v>
      </c>
      <c r="B1219" s="147" t="s">
        <v>216</v>
      </c>
      <c r="C1219" s="57" t="s">
        <v>167</v>
      </c>
      <c r="D1219" s="29" t="s">
        <v>173</v>
      </c>
      <c r="E1219" s="121">
        <v>1106.1400000000001</v>
      </c>
      <c r="F1219" s="55" t="s">
        <v>161</v>
      </c>
      <c r="G1219" s="61" t="s">
        <v>162</v>
      </c>
    </row>
    <row r="1220" spans="1:7" s="143" customFormat="1" ht="13.8" hidden="1" x14ac:dyDescent="0.3">
      <c r="A1220" s="123">
        <v>46002</v>
      </c>
      <c r="B1220" s="147" t="s">
        <v>216</v>
      </c>
      <c r="C1220" s="57" t="s">
        <v>167</v>
      </c>
      <c r="D1220" s="29" t="s">
        <v>173</v>
      </c>
      <c r="E1220" s="121">
        <v>9631</v>
      </c>
      <c r="F1220" s="55" t="s">
        <v>161</v>
      </c>
      <c r="G1220" s="61" t="s">
        <v>162</v>
      </c>
    </row>
    <row r="1221" spans="1:7" s="143" customFormat="1" ht="13.8" hidden="1" x14ac:dyDescent="0.3">
      <c r="A1221" s="123">
        <v>46002</v>
      </c>
      <c r="B1221" s="147" t="s">
        <v>216</v>
      </c>
      <c r="C1221" s="57" t="s">
        <v>174</v>
      </c>
      <c r="D1221" s="29" t="s">
        <v>175</v>
      </c>
      <c r="E1221" s="58">
        <v>257.81</v>
      </c>
      <c r="F1221" s="55" t="s">
        <v>161</v>
      </c>
      <c r="G1221" s="61" t="s">
        <v>162</v>
      </c>
    </row>
    <row r="1222" spans="1:7" s="143" customFormat="1" ht="13.8" hidden="1" x14ac:dyDescent="0.3">
      <c r="A1222" s="123">
        <v>46002</v>
      </c>
      <c r="B1222" s="147" t="s">
        <v>216</v>
      </c>
      <c r="C1222" s="57" t="s">
        <v>174</v>
      </c>
      <c r="D1222" s="29" t="s">
        <v>176</v>
      </c>
      <c r="E1222" s="121">
        <v>680.03</v>
      </c>
      <c r="F1222" s="55" t="s">
        <v>161</v>
      </c>
      <c r="G1222" s="61" t="s">
        <v>162</v>
      </c>
    </row>
    <row r="1223" spans="1:7" s="143" customFormat="1" ht="13.8" x14ac:dyDescent="0.3">
      <c r="A1223" s="51">
        <v>45982</v>
      </c>
      <c r="B1223" s="123" t="s">
        <v>212</v>
      </c>
      <c r="C1223" s="120" t="s">
        <v>177</v>
      </c>
      <c r="D1223" s="122" t="s">
        <v>178</v>
      </c>
      <c r="E1223" s="121">
        <v>12459.61</v>
      </c>
      <c r="F1223" s="55" t="s">
        <v>161</v>
      </c>
      <c r="G1223" s="61" t="s">
        <v>162</v>
      </c>
    </row>
    <row r="1224" spans="1:7" s="143" customFormat="1" ht="13.8" hidden="1" x14ac:dyDescent="0.3">
      <c r="A1224" s="123">
        <v>46002</v>
      </c>
      <c r="B1224" s="147" t="s">
        <v>216</v>
      </c>
      <c r="C1224" s="57" t="s">
        <v>177</v>
      </c>
      <c r="D1224" s="122" t="s">
        <v>178</v>
      </c>
      <c r="E1224" s="53">
        <v>24988.71</v>
      </c>
      <c r="F1224" s="55" t="s">
        <v>161</v>
      </c>
      <c r="G1224" s="61" t="s">
        <v>162</v>
      </c>
    </row>
    <row r="1225" spans="1:7" s="143" customFormat="1" ht="13.8" hidden="1" x14ac:dyDescent="0.3">
      <c r="A1225" s="123">
        <v>46002</v>
      </c>
      <c r="B1225" s="147" t="s">
        <v>216</v>
      </c>
      <c r="C1225" s="57" t="s">
        <v>177</v>
      </c>
      <c r="D1225" s="122" t="s">
        <v>178</v>
      </c>
      <c r="E1225" s="121">
        <v>12459.61</v>
      </c>
      <c r="F1225" s="55" t="s">
        <v>161</v>
      </c>
      <c r="G1225" s="61" t="s">
        <v>162</v>
      </c>
    </row>
    <row r="1226" spans="1:7" s="143" customFormat="1" ht="13.8" hidden="1" x14ac:dyDescent="0.3">
      <c r="A1226" s="123">
        <v>46002</v>
      </c>
      <c r="B1226" s="147" t="s">
        <v>216</v>
      </c>
      <c r="C1226" s="57" t="s">
        <v>177</v>
      </c>
      <c r="D1226" s="122" t="s">
        <v>178</v>
      </c>
      <c r="E1226" s="53">
        <v>16834.330000000002</v>
      </c>
      <c r="F1226" s="55" t="s">
        <v>161</v>
      </c>
      <c r="G1226" s="61" t="s">
        <v>162</v>
      </c>
    </row>
    <row r="1227" spans="1:7" s="143" customFormat="1" ht="13.8" hidden="1" x14ac:dyDescent="0.3">
      <c r="A1227" s="123">
        <v>46002</v>
      </c>
      <c r="B1227" s="147" t="s">
        <v>216</v>
      </c>
      <c r="C1227" s="57" t="s">
        <v>177</v>
      </c>
      <c r="D1227" s="122" t="s">
        <v>178</v>
      </c>
      <c r="E1227" s="53">
        <v>268.13</v>
      </c>
      <c r="F1227" s="55" t="s">
        <v>161</v>
      </c>
      <c r="G1227" s="61" t="s">
        <v>162</v>
      </c>
    </row>
    <row r="1228" spans="1:7" s="143" customFormat="1" ht="13.8" hidden="1" x14ac:dyDescent="0.3">
      <c r="A1228" s="123">
        <v>46014</v>
      </c>
      <c r="B1228" s="147" t="s">
        <v>216</v>
      </c>
      <c r="C1228" s="57" t="s">
        <v>177</v>
      </c>
      <c r="D1228" s="122" t="s">
        <v>178</v>
      </c>
      <c r="E1228" s="53">
        <v>2284.4499999999998</v>
      </c>
      <c r="F1228" s="55" t="s">
        <v>161</v>
      </c>
      <c r="G1228" s="61" t="s">
        <v>162</v>
      </c>
    </row>
    <row r="1229" spans="1:7" s="143" customFormat="1" ht="13.8" hidden="1" x14ac:dyDescent="0.3">
      <c r="A1229" s="123">
        <v>46002</v>
      </c>
      <c r="B1229" s="147" t="s">
        <v>216</v>
      </c>
      <c r="C1229" s="57" t="s">
        <v>163</v>
      </c>
      <c r="D1229" s="124" t="s">
        <v>179</v>
      </c>
      <c r="E1229" s="125">
        <v>7850</v>
      </c>
      <c r="F1229" s="126" t="s">
        <v>161</v>
      </c>
      <c r="G1229" s="61" t="s">
        <v>162</v>
      </c>
    </row>
    <row r="1230" spans="1:7" s="143" customFormat="1" ht="13.8" hidden="1" x14ac:dyDescent="0.3">
      <c r="A1230" s="123">
        <v>45995</v>
      </c>
      <c r="B1230" s="147" t="s">
        <v>216</v>
      </c>
      <c r="C1230" s="57" t="s">
        <v>17</v>
      </c>
      <c r="D1230" s="29" t="s">
        <v>180</v>
      </c>
      <c r="E1230" s="121">
        <v>345280</v>
      </c>
      <c r="F1230" s="55" t="s">
        <v>161</v>
      </c>
      <c r="G1230" s="61" t="s">
        <v>162</v>
      </c>
    </row>
    <row r="1231" spans="1:7" s="143" customFormat="1" ht="13.8" hidden="1" x14ac:dyDescent="0.3">
      <c r="A1231" s="123">
        <v>46007</v>
      </c>
      <c r="B1231" s="147" t="s">
        <v>216</v>
      </c>
      <c r="C1231" s="57" t="s">
        <v>181</v>
      </c>
      <c r="D1231" s="29" t="s">
        <v>182</v>
      </c>
      <c r="E1231" s="127">
        <v>17956.39</v>
      </c>
      <c r="F1231" s="55" t="s">
        <v>161</v>
      </c>
      <c r="G1231" s="61" t="s">
        <v>162</v>
      </c>
    </row>
    <row r="1232" spans="1:7" s="143" customFormat="1" ht="13.8" hidden="1" x14ac:dyDescent="0.3">
      <c r="A1232" s="123">
        <v>46009</v>
      </c>
      <c r="B1232" s="147" t="s">
        <v>216</v>
      </c>
      <c r="C1232" s="57" t="s">
        <v>163</v>
      </c>
      <c r="D1232" s="29" t="s">
        <v>183</v>
      </c>
      <c r="E1232" s="53">
        <v>4717.4399999999996</v>
      </c>
      <c r="F1232" s="126" t="s">
        <v>161</v>
      </c>
      <c r="G1232" s="61" t="s">
        <v>162</v>
      </c>
    </row>
    <row r="1233" spans="1:7" s="143" customFormat="1" ht="13.8" hidden="1" x14ac:dyDescent="0.3">
      <c r="A1233" s="123">
        <v>46009</v>
      </c>
      <c r="B1233" s="147" t="s">
        <v>216</v>
      </c>
      <c r="C1233" s="57" t="s">
        <v>163</v>
      </c>
      <c r="D1233" s="29" t="s">
        <v>183</v>
      </c>
      <c r="E1233" s="53">
        <v>9938.39</v>
      </c>
      <c r="F1233" s="126" t="s">
        <v>161</v>
      </c>
      <c r="G1233" s="61" t="s">
        <v>162</v>
      </c>
    </row>
    <row r="1234" spans="1:7" s="143" customFormat="1" ht="13.8" hidden="1" x14ac:dyDescent="0.3">
      <c r="A1234" s="123">
        <v>46009</v>
      </c>
      <c r="B1234" s="147" t="s">
        <v>216</v>
      </c>
      <c r="C1234" s="57" t="s">
        <v>163</v>
      </c>
      <c r="D1234" s="29" t="s">
        <v>183</v>
      </c>
      <c r="E1234" s="53">
        <v>22139.98</v>
      </c>
      <c r="F1234" s="126" t="s">
        <v>161</v>
      </c>
      <c r="G1234" s="61" t="s">
        <v>162</v>
      </c>
    </row>
    <row r="1235" spans="1:7" s="143" customFormat="1" ht="13.8" hidden="1" x14ac:dyDescent="0.3">
      <c r="A1235" s="50">
        <v>46020</v>
      </c>
      <c r="B1235" s="147" t="s">
        <v>216</v>
      </c>
      <c r="C1235" s="57" t="s">
        <v>177</v>
      </c>
      <c r="D1235" s="29" t="s">
        <v>184</v>
      </c>
      <c r="E1235" s="58">
        <v>2373.8200000000002</v>
      </c>
      <c r="F1235" s="55" t="s">
        <v>161</v>
      </c>
      <c r="G1235" s="61" t="s">
        <v>162</v>
      </c>
    </row>
    <row r="1236" spans="1:7" s="143" customFormat="1" ht="13.8" hidden="1" x14ac:dyDescent="0.3">
      <c r="A1236" s="50">
        <v>46020</v>
      </c>
      <c r="B1236" s="147" t="s">
        <v>216</v>
      </c>
      <c r="C1236" s="57" t="s">
        <v>177</v>
      </c>
      <c r="D1236" s="29" t="s">
        <v>184</v>
      </c>
      <c r="E1236" s="58">
        <v>5823.82</v>
      </c>
      <c r="F1236" s="55" t="s">
        <v>161</v>
      </c>
      <c r="G1236" s="61" t="s">
        <v>162</v>
      </c>
    </row>
    <row r="1237" spans="1:7" s="143" customFormat="1" ht="13.8" hidden="1" x14ac:dyDescent="0.3">
      <c r="A1237" s="50">
        <v>46020</v>
      </c>
      <c r="B1237" s="147" t="s">
        <v>216</v>
      </c>
      <c r="C1237" s="57" t="s">
        <v>177</v>
      </c>
      <c r="D1237" s="29" t="s">
        <v>184</v>
      </c>
      <c r="E1237" s="58">
        <v>7526.95</v>
      </c>
      <c r="F1237" s="55" t="s">
        <v>161</v>
      </c>
      <c r="G1237" s="61" t="s">
        <v>162</v>
      </c>
    </row>
    <row r="1238" spans="1:7" s="143" customFormat="1" ht="13.8" hidden="1" x14ac:dyDescent="0.3">
      <c r="A1238" s="50">
        <v>46020</v>
      </c>
      <c r="B1238" s="147" t="s">
        <v>216</v>
      </c>
      <c r="C1238" s="57" t="s">
        <v>177</v>
      </c>
      <c r="D1238" s="29" t="s">
        <v>184</v>
      </c>
      <c r="E1238" s="58">
        <v>25756.63</v>
      </c>
      <c r="F1238" s="55" t="s">
        <v>161</v>
      </c>
      <c r="G1238" s="61" t="s">
        <v>162</v>
      </c>
    </row>
    <row r="1239" spans="1:7" s="143" customFormat="1" ht="13.8" hidden="1" x14ac:dyDescent="0.3">
      <c r="A1239" s="50">
        <v>46021</v>
      </c>
      <c r="B1239" s="147" t="s">
        <v>216</v>
      </c>
      <c r="C1239" s="57" t="s">
        <v>170</v>
      </c>
      <c r="D1239" s="29" t="s">
        <v>185</v>
      </c>
      <c r="E1239" s="128">
        <v>816717.89</v>
      </c>
      <c r="F1239" s="55" t="s">
        <v>161</v>
      </c>
      <c r="G1239" s="61" t="s">
        <v>162</v>
      </c>
    </row>
    <row r="1240" spans="1:7" s="139" customFormat="1" ht="13.8" hidden="1" x14ac:dyDescent="0.3">
      <c r="A1240" s="87">
        <v>46014</v>
      </c>
      <c r="B1240" s="146" t="s">
        <v>216</v>
      </c>
      <c r="C1240" s="623" t="s">
        <v>31</v>
      </c>
      <c r="D1240" s="4" t="s">
        <v>578</v>
      </c>
      <c r="E1240" s="16">
        <v>-7000</v>
      </c>
      <c r="F1240" s="110" t="s">
        <v>8</v>
      </c>
      <c r="G1240" s="70" t="s">
        <v>46</v>
      </c>
    </row>
    <row r="1241" spans="1:7" s="139" customFormat="1" ht="13.8" hidden="1" x14ac:dyDescent="0.3">
      <c r="A1241" s="87">
        <v>46014</v>
      </c>
      <c r="B1241" s="146" t="s">
        <v>216</v>
      </c>
      <c r="C1241" s="357" t="s">
        <v>17</v>
      </c>
      <c r="D1241" s="14" t="s">
        <v>389</v>
      </c>
      <c r="E1241" s="8">
        <v>-57.280009999999997</v>
      </c>
      <c r="F1241" s="110" t="s">
        <v>8</v>
      </c>
      <c r="G1241" s="70" t="s">
        <v>1279</v>
      </c>
    </row>
    <row r="1242" spans="1:7" s="139" customFormat="1" ht="13.8" hidden="1" x14ac:dyDescent="0.3">
      <c r="A1242" s="87">
        <v>46014</v>
      </c>
      <c r="B1242" s="100" t="s">
        <v>216</v>
      </c>
      <c r="C1242" s="12" t="s">
        <v>25</v>
      </c>
      <c r="D1242" s="4" t="s">
        <v>194</v>
      </c>
      <c r="E1242" s="16">
        <v>-7000</v>
      </c>
      <c r="F1242" s="13" t="s">
        <v>8</v>
      </c>
      <c r="G1242" s="9" t="s">
        <v>46</v>
      </c>
    </row>
    <row r="1243" spans="1:7" s="139" customFormat="1" ht="13.8" hidden="1" x14ac:dyDescent="0.3">
      <c r="A1243" s="100">
        <v>46008</v>
      </c>
      <c r="B1243" s="100" t="s">
        <v>216</v>
      </c>
      <c r="C1243" s="11" t="s">
        <v>31</v>
      </c>
      <c r="D1243" s="111" t="s">
        <v>195</v>
      </c>
      <c r="E1243" s="112">
        <v>-630</v>
      </c>
      <c r="F1243" s="13" t="s">
        <v>8</v>
      </c>
      <c r="G1243" s="5" t="s">
        <v>51</v>
      </c>
    </row>
    <row r="1244" spans="1:7" s="139" customFormat="1" ht="27.6" hidden="1" x14ac:dyDescent="0.3">
      <c r="A1244" s="78">
        <v>46001</v>
      </c>
      <c r="B1244" s="100" t="s">
        <v>216</v>
      </c>
      <c r="C1244" s="98" t="s">
        <v>31</v>
      </c>
      <c r="D1244" s="14" t="s">
        <v>611</v>
      </c>
      <c r="E1244" s="8">
        <v>-1000</v>
      </c>
      <c r="F1244" s="9" t="s">
        <v>8</v>
      </c>
      <c r="G1244" s="9" t="s">
        <v>186</v>
      </c>
    </row>
    <row r="1245" spans="1:7" s="139" customFormat="1" ht="13.8" hidden="1" x14ac:dyDescent="0.3">
      <c r="A1245" s="100">
        <v>46006</v>
      </c>
      <c r="B1245" s="100" t="s">
        <v>216</v>
      </c>
      <c r="C1245" s="328" t="s">
        <v>44</v>
      </c>
      <c r="D1245" s="328" t="s">
        <v>138</v>
      </c>
      <c r="E1245" s="329">
        <v>-538</v>
      </c>
      <c r="F1245" s="5" t="s">
        <v>8</v>
      </c>
      <c r="G1245" s="448" t="s">
        <v>139</v>
      </c>
    </row>
    <row r="1246" spans="1:7" s="139" customFormat="1" ht="13.8" hidden="1" x14ac:dyDescent="0.3">
      <c r="A1246" s="100">
        <v>46006</v>
      </c>
      <c r="B1246" s="100" t="s">
        <v>216</v>
      </c>
      <c r="C1246" s="14" t="s">
        <v>44</v>
      </c>
      <c r="D1246" s="14" t="s">
        <v>1679</v>
      </c>
      <c r="E1246" s="8">
        <v>-930.49</v>
      </c>
      <c r="F1246" s="5" t="s">
        <v>8</v>
      </c>
      <c r="G1246" s="9" t="s">
        <v>1658</v>
      </c>
    </row>
    <row r="1247" spans="1:7" s="139" customFormat="1" ht="13.8" hidden="1" x14ac:dyDescent="0.3">
      <c r="A1247" s="78">
        <v>46006</v>
      </c>
      <c r="B1247" s="100" t="s">
        <v>216</v>
      </c>
      <c r="C1247" s="14" t="s">
        <v>104</v>
      </c>
      <c r="D1247" s="14" t="s">
        <v>190</v>
      </c>
      <c r="E1247" s="8">
        <v>-2000</v>
      </c>
      <c r="F1247" s="9" t="s">
        <v>8</v>
      </c>
      <c r="G1247" s="9" t="s">
        <v>186</v>
      </c>
    </row>
    <row r="1248" spans="1:7" s="139" customFormat="1" ht="13.8" hidden="1" x14ac:dyDescent="0.3">
      <c r="A1248" s="78">
        <v>46000</v>
      </c>
      <c r="B1248" s="100" t="s">
        <v>216</v>
      </c>
      <c r="C1248" s="330" t="s">
        <v>44</v>
      </c>
      <c r="D1248" s="330" t="s">
        <v>204</v>
      </c>
      <c r="E1248" s="1012">
        <v>-11785.19</v>
      </c>
      <c r="F1248" s="9" t="s">
        <v>8</v>
      </c>
      <c r="G1248" s="330" t="s">
        <v>227</v>
      </c>
    </row>
    <row r="1249" spans="1:7" s="139" customFormat="1" ht="13.8" hidden="1" x14ac:dyDescent="0.3">
      <c r="A1249" s="78">
        <v>46000</v>
      </c>
      <c r="B1249" s="100" t="s">
        <v>216</v>
      </c>
      <c r="C1249" s="14" t="s">
        <v>104</v>
      </c>
      <c r="D1249" s="14" t="s">
        <v>606</v>
      </c>
      <c r="E1249" s="8">
        <v>-2000</v>
      </c>
      <c r="F1249" s="9" t="s">
        <v>8</v>
      </c>
      <c r="G1249" s="9" t="s">
        <v>186</v>
      </c>
    </row>
    <row r="1250" spans="1:7" s="139" customFormat="1" ht="13.8" hidden="1" x14ac:dyDescent="0.3">
      <c r="A1250" s="78">
        <v>46021</v>
      </c>
      <c r="B1250" s="100" t="s">
        <v>216</v>
      </c>
      <c r="C1250" s="14" t="s">
        <v>6</v>
      </c>
      <c r="D1250" s="14" t="s">
        <v>586</v>
      </c>
      <c r="E1250" s="8">
        <v>-3200</v>
      </c>
      <c r="F1250" s="9" t="s">
        <v>8</v>
      </c>
      <c r="G1250" s="9" t="s">
        <v>186</v>
      </c>
    </row>
    <row r="1251" spans="1:7" s="139" customFormat="1" ht="13.8" hidden="1" x14ac:dyDescent="0.3">
      <c r="A1251" s="78">
        <v>46021</v>
      </c>
      <c r="B1251" s="100" t="s">
        <v>216</v>
      </c>
      <c r="C1251" s="14" t="s">
        <v>6</v>
      </c>
      <c r="D1251" s="14" t="s">
        <v>187</v>
      </c>
      <c r="E1251" s="8">
        <v>-2000</v>
      </c>
      <c r="F1251" s="9" t="s">
        <v>8</v>
      </c>
      <c r="G1251" s="9" t="s">
        <v>186</v>
      </c>
    </row>
    <row r="1252" spans="1:7" s="139" customFormat="1" ht="13.8" hidden="1" x14ac:dyDescent="0.3">
      <c r="A1252" s="78">
        <v>46021</v>
      </c>
      <c r="B1252" s="100" t="s">
        <v>216</v>
      </c>
      <c r="C1252" s="14" t="s">
        <v>6</v>
      </c>
      <c r="D1252" s="14" t="s">
        <v>585</v>
      </c>
      <c r="E1252" s="8">
        <v>-3836.54</v>
      </c>
      <c r="F1252" s="9" t="s">
        <v>8</v>
      </c>
      <c r="G1252" s="9" t="s">
        <v>186</v>
      </c>
    </row>
    <row r="1253" spans="1:7" s="139" customFormat="1" ht="13.8" hidden="1" x14ac:dyDescent="0.3">
      <c r="A1253" s="78">
        <v>46021</v>
      </c>
      <c r="B1253" s="100" t="s">
        <v>216</v>
      </c>
      <c r="C1253" s="14" t="s">
        <v>33</v>
      </c>
      <c r="D1253" s="14" t="s">
        <v>587</v>
      </c>
      <c r="E1253" s="8">
        <v>-1000</v>
      </c>
      <c r="F1253" s="9" t="s">
        <v>8</v>
      </c>
      <c r="G1253" s="9" t="s">
        <v>186</v>
      </c>
    </row>
    <row r="1254" spans="1:7" s="139" customFormat="1" ht="13.8" hidden="1" x14ac:dyDescent="0.3">
      <c r="A1254" s="78">
        <v>46021</v>
      </c>
      <c r="B1254" s="100" t="s">
        <v>216</v>
      </c>
      <c r="C1254" s="14" t="s">
        <v>17</v>
      </c>
      <c r="D1254" s="14" t="s">
        <v>193</v>
      </c>
      <c r="E1254" s="8">
        <v>-1400</v>
      </c>
      <c r="F1254" s="9" t="s">
        <v>8</v>
      </c>
      <c r="G1254" s="9" t="s">
        <v>186</v>
      </c>
    </row>
    <row r="1255" spans="1:7" s="139" customFormat="1" ht="13.8" hidden="1" x14ac:dyDescent="0.3">
      <c r="A1255" s="78">
        <v>46021</v>
      </c>
      <c r="B1255" s="100" t="s">
        <v>216</v>
      </c>
      <c r="C1255" s="14" t="s">
        <v>17</v>
      </c>
      <c r="D1255" s="14" t="s">
        <v>191</v>
      </c>
      <c r="E1255" s="8">
        <v>-1916.67</v>
      </c>
      <c r="F1255" s="9" t="s">
        <v>8</v>
      </c>
      <c r="G1255" s="9" t="s">
        <v>186</v>
      </c>
    </row>
    <row r="1256" spans="1:7" s="139" customFormat="1" ht="13.8" hidden="1" x14ac:dyDescent="0.3">
      <c r="A1256" s="78">
        <v>46021</v>
      </c>
      <c r="B1256" s="100" t="s">
        <v>216</v>
      </c>
      <c r="C1256" s="14" t="s">
        <v>17</v>
      </c>
      <c r="D1256" s="14" t="s">
        <v>588</v>
      </c>
      <c r="E1256" s="8">
        <v>-2864.92</v>
      </c>
      <c r="F1256" s="9" t="s">
        <v>8</v>
      </c>
      <c r="G1256" s="9" t="s">
        <v>186</v>
      </c>
    </row>
    <row r="1257" spans="1:7" s="139" customFormat="1" ht="13.8" hidden="1" x14ac:dyDescent="0.3">
      <c r="A1257" s="100">
        <v>46021</v>
      </c>
      <c r="B1257" s="100" t="s">
        <v>216</v>
      </c>
      <c r="C1257" s="14" t="s">
        <v>25</v>
      </c>
      <c r="D1257" s="7" t="s">
        <v>217</v>
      </c>
      <c r="E1257" s="8">
        <v>-10000</v>
      </c>
      <c r="F1257" s="9" t="s">
        <v>8</v>
      </c>
      <c r="G1257" s="9" t="s">
        <v>27</v>
      </c>
    </row>
    <row r="1258" spans="1:7" s="139" customFormat="1" ht="13.8" hidden="1" x14ac:dyDescent="0.3">
      <c r="A1258" s="100">
        <v>46015</v>
      </c>
      <c r="B1258" s="100" t="s">
        <v>216</v>
      </c>
      <c r="C1258" s="14" t="s">
        <v>25</v>
      </c>
      <c r="D1258" s="7" t="s">
        <v>218</v>
      </c>
      <c r="E1258" s="8">
        <v>-10000</v>
      </c>
      <c r="F1258" s="9" t="s">
        <v>8</v>
      </c>
      <c r="G1258" s="9" t="s">
        <v>27</v>
      </c>
    </row>
    <row r="1259" spans="1:7" x14ac:dyDescent="0.3">
      <c r="C1259" s="707"/>
      <c r="D1259" s="998"/>
      <c r="E1259" s="716"/>
    </row>
  </sheetData>
  <autoFilter ref="A1:H1258" xr:uid="{B5060D09-D852-4ECC-BA17-8AAE7C38B459}">
    <filterColumn colId="1">
      <filters>
        <filter val="NOVEMBRO"/>
      </filters>
    </filterColumn>
    <filterColumn colId="5">
      <filters>
        <filter val="RECEITAS"/>
      </filters>
    </filterColumn>
  </autoFilter>
  <conditionalFormatting sqref="E390">
    <cfRule type="colorScale" priority="174">
      <colorScale>
        <cfvo type="min"/>
        <cfvo type="max"/>
        <color rgb="FFF8696B"/>
        <color rgb="FFFCFCFF"/>
      </colorScale>
    </cfRule>
  </conditionalFormatting>
  <conditionalFormatting sqref="E897">
    <cfRule type="colorScale" priority="160">
      <colorScale>
        <cfvo type="min"/>
        <cfvo type="max"/>
        <color rgb="FFF8696B"/>
        <color rgb="FFFCFCFF"/>
      </colorScale>
    </cfRule>
  </conditionalFormatting>
  <conditionalFormatting sqref="E982">
    <cfRule type="colorScale" priority="161">
      <colorScale>
        <cfvo type="min"/>
        <cfvo type="max"/>
        <color rgb="FFF8696B"/>
        <color rgb="FFFCFCFF"/>
      </colorScale>
    </cfRule>
  </conditionalFormatting>
  <conditionalFormatting sqref="E1151">
    <cfRule type="colorScale" priority="147">
      <colorScale>
        <cfvo type="min"/>
        <cfvo type="max"/>
        <color rgb="FFF8696B"/>
        <color rgb="FFFCFCFF"/>
      </colorScale>
    </cfRule>
  </conditionalFormatting>
  <conditionalFormatting sqref="E1204">
    <cfRule type="colorScale" priority="148">
      <colorScale>
        <cfvo type="min"/>
        <cfvo type="max"/>
        <color rgb="FFF8696B"/>
        <color rgb="FFFCFCFF"/>
      </colorScale>
    </cfRule>
  </conditionalFormatting>
  <conditionalFormatting sqref="F1:F20">
    <cfRule type="colorScale" priority="10305">
      <colorScale>
        <cfvo type="min"/>
        <cfvo type="max"/>
        <color rgb="FFF8696B"/>
        <color rgb="FFFCFCFF"/>
      </colorScale>
    </cfRule>
  </conditionalFormatting>
  <conditionalFormatting sqref="F21:F23">
    <cfRule type="colorScale" priority="261">
      <colorScale>
        <cfvo type="min"/>
        <cfvo type="max"/>
        <color rgb="FFF8696B"/>
        <color rgb="FFFCFCFF"/>
      </colorScale>
    </cfRule>
  </conditionalFormatting>
  <conditionalFormatting sqref="F24">
    <cfRule type="colorScale" priority="260">
      <colorScale>
        <cfvo type="min"/>
        <cfvo type="max"/>
        <color rgb="FFF8696B"/>
        <color rgb="FFFCFCFF"/>
      </colorScale>
    </cfRule>
  </conditionalFormatting>
  <conditionalFormatting sqref="F25">
    <cfRule type="colorScale" priority="79">
      <colorScale>
        <cfvo type="min"/>
        <cfvo type="max"/>
        <color rgb="FFF8696B"/>
        <color rgb="FFFCFCFF"/>
      </colorScale>
    </cfRule>
  </conditionalFormatting>
  <conditionalFormatting sqref="F27">
    <cfRule type="colorScale" priority="47">
      <colorScale>
        <cfvo type="min"/>
        <cfvo type="max"/>
        <color rgb="FFF8696B"/>
        <color rgb="FFFCFCFF"/>
      </colorScale>
    </cfRule>
  </conditionalFormatting>
  <conditionalFormatting sqref="F28:F34 F26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35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36:F37">
    <cfRule type="colorScale" priority="251">
      <colorScale>
        <cfvo type="min"/>
        <cfvo type="max"/>
        <color rgb="FFF8696B"/>
        <color rgb="FFFCFCFF"/>
      </colorScale>
    </cfRule>
  </conditionalFormatting>
  <conditionalFormatting sqref="F38">
    <cfRule type="colorScale" priority="249">
      <colorScale>
        <cfvo type="min"/>
        <cfvo type="max"/>
        <color rgb="FFF8696B"/>
        <color rgb="FFFCFCFF"/>
      </colorScale>
    </cfRule>
  </conditionalFormatting>
  <conditionalFormatting sqref="F39">
    <cfRule type="colorScale" priority="248">
      <colorScale>
        <cfvo type="min"/>
        <cfvo type="max"/>
        <color rgb="FFF8696B"/>
        <color rgb="FFFCFCFF"/>
      </colorScale>
    </cfRule>
  </conditionalFormatting>
  <conditionalFormatting sqref="F41:F42">
    <cfRule type="colorScale" priority="246">
      <colorScale>
        <cfvo type="min"/>
        <cfvo type="max"/>
        <color rgb="FFF8696B"/>
        <color rgb="FFFCFCFF"/>
      </colorScale>
    </cfRule>
  </conditionalFormatting>
  <conditionalFormatting sqref="F43">
    <cfRule type="colorScale" priority="245">
      <colorScale>
        <cfvo type="min"/>
        <cfvo type="max"/>
        <color rgb="FFF8696B"/>
        <color rgb="FFFCFCFF"/>
      </colorScale>
    </cfRule>
  </conditionalFormatting>
  <conditionalFormatting sqref="F44">
    <cfRule type="colorScale" priority="247">
      <colorScale>
        <cfvo type="min"/>
        <cfvo type="max"/>
        <color rgb="FFF8696B"/>
        <color rgb="FFFCFCFF"/>
      </colorScale>
    </cfRule>
  </conditionalFormatting>
  <conditionalFormatting sqref="F45:F46">
    <cfRule type="colorScale" priority="244">
      <colorScale>
        <cfvo type="min"/>
        <cfvo type="max"/>
        <color rgb="FFF8696B"/>
        <color rgb="FFFCFCFF"/>
      </colorScale>
    </cfRule>
  </conditionalFormatting>
  <conditionalFormatting sqref="F47">
    <cfRule type="colorScale" priority="243">
      <colorScale>
        <cfvo type="min"/>
        <cfvo type="max"/>
        <color rgb="FFF8696B"/>
        <color rgb="FFFCFCFF"/>
      </colorScale>
    </cfRule>
  </conditionalFormatting>
  <conditionalFormatting sqref="F48:F55 F40">
    <cfRule type="colorScale" priority="250">
      <colorScale>
        <cfvo type="min"/>
        <cfvo type="max"/>
        <color rgb="FFF8696B"/>
        <color rgb="FFFCFCFF"/>
      </colorScale>
    </cfRule>
  </conditionalFormatting>
  <conditionalFormatting sqref="F63">
    <cfRule type="colorScale" priority="240">
      <colorScale>
        <cfvo type="min"/>
        <cfvo type="max"/>
        <color rgb="FFF8696B"/>
        <color rgb="FFFCFCFF"/>
      </colorScale>
    </cfRule>
  </conditionalFormatting>
  <conditionalFormatting sqref="F64">
    <cfRule type="colorScale" priority="238">
      <colorScale>
        <cfvo type="min"/>
        <cfvo type="max"/>
        <color rgb="FFF8696B"/>
        <color rgb="FFFCFCFF"/>
      </colorScale>
    </cfRule>
  </conditionalFormatting>
  <conditionalFormatting sqref="F67:F98 F122">
    <cfRule type="colorScale" priority="10170">
      <colorScale>
        <cfvo type="min"/>
        <cfvo type="max"/>
        <color rgb="FFF8696B"/>
        <color rgb="FFFCFCFF"/>
      </colorScale>
    </cfRule>
  </conditionalFormatting>
  <conditionalFormatting sqref="F99:F118">
    <cfRule type="colorScale" priority="236">
      <colorScale>
        <cfvo type="min"/>
        <cfvo type="max"/>
        <color rgb="FFF8696B"/>
        <color rgb="FFFCFCFF"/>
      </colorScale>
    </cfRule>
  </conditionalFormatting>
  <conditionalFormatting sqref="F119:F120">
    <cfRule type="colorScale" priority="234">
      <colorScale>
        <cfvo type="min"/>
        <cfvo type="max"/>
        <color rgb="FFF8696B"/>
        <color rgb="FFFCFCFF"/>
      </colorScale>
    </cfRule>
  </conditionalFormatting>
  <conditionalFormatting sqref="F121">
    <cfRule type="colorScale" priority="9586">
      <colorScale>
        <cfvo type="min"/>
        <cfvo type="max"/>
        <color rgb="FFF8696B"/>
        <color rgb="FFFCFCFF"/>
      </colorScale>
    </cfRule>
  </conditionalFormatting>
  <conditionalFormatting sqref="F124:F125">
    <cfRule type="colorScale" priority="232">
      <colorScale>
        <cfvo type="min"/>
        <cfvo type="max"/>
        <color rgb="FFF8696B"/>
        <color rgb="FFFCFCFF"/>
      </colorScale>
    </cfRule>
  </conditionalFormatting>
  <conditionalFormatting sqref="F126">
    <cfRule type="dataBar" priority="2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{3251D2B7-B7C7-4029-A634-8D24ACE1502F}</x14:id>
        </ext>
      </extLst>
    </cfRule>
  </conditionalFormatting>
  <conditionalFormatting sqref="F128">
    <cfRule type="colorScale" priority="225">
      <colorScale>
        <cfvo type="min"/>
        <cfvo type="max"/>
        <color rgb="FFF8696B"/>
        <color rgb="FFFCFCFF"/>
      </colorScale>
    </cfRule>
  </conditionalFormatting>
  <conditionalFormatting sqref="F129">
    <cfRule type="colorScale" priority="227">
      <colorScale>
        <cfvo type="min"/>
        <cfvo type="max"/>
        <color rgb="FFF8696B"/>
        <color rgb="FFFCFCFF"/>
      </colorScale>
    </cfRule>
  </conditionalFormatting>
  <conditionalFormatting sqref="F131">
    <cfRule type="colorScale" priority="223">
      <colorScale>
        <cfvo type="min"/>
        <cfvo type="max"/>
        <color rgb="FFF8696B"/>
        <color rgb="FFFCFCFF"/>
      </colorScale>
    </cfRule>
  </conditionalFormatting>
  <conditionalFormatting sqref="F132:F136 F130">
    <cfRule type="colorScale" priority="229">
      <colorScale>
        <cfvo type="min"/>
        <cfvo type="max"/>
        <color rgb="FFF8696B"/>
        <color rgb="FFFCFCFF"/>
      </colorScale>
    </cfRule>
  </conditionalFormatting>
  <conditionalFormatting sqref="F155">
    <cfRule type="colorScale" priority="220">
      <colorScale>
        <cfvo type="min"/>
        <cfvo type="max"/>
        <color rgb="FFF8696B"/>
        <color rgb="FFFCFCFF"/>
      </colorScale>
    </cfRule>
  </conditionalFormatting>
  <conditionalFormatting sqref="F158:F159">
    <cfRule type="colorScale" priority="206">
      <colorScale>
        <cfvo type="min"/>
        <cfvo type="max"/>
        <color rgb="FFF8696B"/>
        <color rgb="FFFCFCFF"/>
      </colorScale>
    </cfRule>
  </conditionalFormatting>
  <conditionalFormatting sqref="F160">
    <cfRule type="colorScale" priority="205">
      <colorScale>
        <cfvo type="min"/>
        <cfvo type="max"/>
        <color rgb="FFF8696B"/>
        <color rgb="FFFCFCFF"/>
      </colorScale>
    </cfRule>
  </conditionalFormatting>
  <conditionalFormatting sqref="F161">
    <cfRule type="colorScale" priority="214">
      <colorScale>
        <cfvo type="min"/>
        <cfvo type="max"/>
        <color rgb="FFF8696B"/>
        <color rgb="FFFCFCFF"/>
      </colorScale>
    </cfRule>
  </conditionalFormatting>
  <conditionalFormatting sqref="F187:F189">
    <cfRule type="colorScale" priority="9286">
      <colorScale>
        <cfvo type="min"/>
        <cfvo type="max"/>
        <color rgb="FFF8696B"/>
        <color rgb="FFFCFCFF"/>
      </colorScale>
    </cfRule>
  </conditionalFormatting>
  <conditionalFormatting sqref="F190">
    <cfRule type="colorScale" priority="217">
      <colorScale>
        <cfvo type="min"/>
        <cfvo type="max"/>
        <color rgb="FFF8696B"/>
        <color rgb="FFFCFCFF"/>
      </colorScale>
    </cfRule>
  </conditionalFormatting>
  <conditionalFormatting sqref="F191">
    <cfRule type="colorScale" priority="210">
      <colorScale>
        <cfvo type="min"/>
        <cfvo type="max"/>
        <color rgb="FFF8696B"/>
        <color rgb="FFFCFCFF"/>
      </colorScale>
    </cfRule>
  </conditionalFormatting>
  <conditionalFormatting sqref="F199">
    <cfRule type="colorScale" priority="211">
      <colorScale>
        <cfvo type="min"/>
        <cfvo type="max"/>
        <color rgb="FFF8696B"/>
        <color rgb="FFFCFCFF"/>
      </colorScale>
    </cfRule>
  </conditionalFormatting>
  <conditionalFormatting sqref="F304">
    <cfRule type="colorScale" priority="16">
      <colorScale>
        <cfvo type="min"/>
        <cfvo type="max"/>
        <color rgb="FFF8696B"/>
        <color rgb="FFFCFCFF"/>
      </colorScale>
    </cfRule>
  </conditionalFormatting>
  <conditionalFormatting sqref="F368:F369">
    <cfRule type="colorScale" priority="21">
      <colorScale>
        <cfvo type="min"/>
        <cfvo type="max"/>
        <color rgb="FFF8696B"/>
        <color rgb="FFFCFCFF"/>
      </colorScale>
    </cfRule>
  </conditionalFormatting>
  <conditionalFormatting sqref="F384">
    <cfRule type="colorScale" priority="93">
      <colorScale>
        <cfvo type="min"/>
        <cfvo type="max"/>
        <color rgb="FFF8696B"/>
        <color rgb="FFFCFCFF"/>
      </colorScale>
    </cfRule>
  </conditionalFormatting>
  <conditionalFormatting sqref="F385">
    <cfRule type="colorScale" priority="92">
      <colorScale>
        <cfvo type="min"/>
        <cfvo type="max"/>
        <color rgb="FFF8696B"/>
        <color rgb="FFFCFCFF"/>
      </colorScale>
    </cfRule>
  </conditionalFormatting>
  <conditionalFormatting sqref="F386:F389">
    <cfRule type="colorScale" priority="181">
      <colorScale>
        <cfvo type="min"/>
        <cfvo type="max"/>
        <color rgb="FFF8696B"/>
        <color rgb="FFFCFCFF"/>
      </colorScale>
    </cfRule>
  </conditionalFormatting>
  <conditionalFormatting sqref="F401">
    <cfRule type="colorScale" priority="58">
      <colorScale>
        <cfvo type="min"/>
        <cfvo type="max"/>
        <color rgb="FFF8696B"/>
        <color rgb="FFFCFCFF"/>
      </colorScale>
    </cfRule>
  </conditionalFormatting>
  <conditionalFormatting sqref="F402">
    <cfRule type="colorScale" priority="124">
      <colorScale>
        <cfvo type="min"/>
        <cfvo type="max"/>
        <color rgb="FFF8696B"/>
        <color rgb="FFFCFCFF"/>
      </colorScale>
    </cfRule>
  </conditionalFormatting>
  <conditionalFormatting sqref="F404">
    <cfRule type="colorScale" priority="9892">
      <colorScale>
        <cfvo type="min"/>
        <cfvo type="max"/>
        <color rgb="FFF8696B"/>
        <color rgb="FFFCFCFF"/>
      </colorScale>
    </cfRule>
  </conditionalFormatting>
  <conditionalFormatting sqref="F405:F408">
    <cfRule type="colorScale" priority="40">
      <colorScale>
        <cfvo type="min"/>
        <cfvo type="max"/>
        <color rgb="FFF8696B"/>
        <color rgb="FFFCFCFF"/>
      </colorScale>
    </cfRule>
  </conditionalFormatting>
  <conditionalFormatting sqref="F409:F412">
    <cfRule type="colorScale" priority="9824">
      <colorScale>
        <cfvo type="min"/>
        <cfvo type="max"/>
        <color rgb="FFF8696B"/>
        <color rgb="FFFCFCFF"/>
      </colorScale>
    </cfRule>
  </conditionalFormatting>
  <conditionalFormatting sqref="F413">
    <cfRule type="colorScale" priority="178">
      <colorScale>
        <cfvo type="min"/>
        <cfvo type="max"/>
        <color rgb="FFF8696B"/>
        <color rgb="FFFCFCFF"/>
      </colorScale>
    </cfRule>
  </conditionalFormatting>
  <conditionalFormatting sqref="F423:F435">
    <cfRule type="colorScale" priority="9858">
      <colorScale>
        <cfvo type="min"/>
        <cfvo type="max"/>
        <color rgb="FFF8696B"/>
        <color rgb="FFFCFCFF"/>
      </colorScale>
    </cfRule>
  </conditionalFormatting>
  <conditionalFormatting sqref="F447:F453">
    <cfRule type="colorScale" priority="48">
      <colorScale>
        <cfvo type="min"/>
        <cfvo type="max"/>
        <color rgb="FFF8696B"/>
        <color rgb="FFFCFCFF"/>
      </colorScale>
    </cfRule>
  </conditionalFormatting>
  <conditionalFormatting sqref="F454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455:F461 F403 F156:F157 F126:F127 F436:F446 F414:F422 F137:F154 F500:F507 F390:F400 F162:F186 F633:F668 F370:F383 F192:F198 F466:F498 F535:F623 F305:F367 F200:F293">
    <cfRule type="colorScale" priority="9731">
      <colorScale>
        <cfvo type="min"/>
        <cfvo type="max"/>
        <color rgb="FFF8696B"/>
        <color rgb="FFFCFCFF"/>
      </colorScale>
    </cfRule>
  </conditionalFormatting>
  <conditionalFormatting sqref="F462:F465">
    <cfRule type="colorScale" priority="9779">
      <colorScale>
        <cfvo type="min"/>
        <cfvo type="max"/>
        <color rgb="FFF8696B"/>
        <color rgb="FFFCFCFF"/>
      </colorScale>
    </cfRule>
  </conditionalFormatting>
  <conditionalFormatting sqref="F499">
    <cfRule type="colorScale" priority="60">
      <colorScale>
        <cfvo type="min"/>
        <cfvo type="max"/>
        <color rgb="FFF8696B"/>
        <color rgb="FFFCFCFF"/>
      </colorScale>
    </cfRule>
  </conditionalFormatting>
  <conditionalFormatting sqref="F508:F511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518:F524 F512:F513 F534">
    <cfRule type="colorScale" priority="9300">
      <colorScale>
        <cfvo type="min"/>
        <cfvo type="max"/>
        <color rgb="FFF8696B"/>
        <color rgb="FFFCFCFF"/>
      </colorScale>
    </cfRule>
  </conditionalFormatting>
  <conditionalFormatting sqref="F525:F533">
    <cfRule type="colorScale" priority="96">
      <colorScale>
        <cfvo type="min"/>
        <cfvo type="max"/>
        <color rgb="FFF8696B"/>
        <color rgb="FFFCFCFF"/>
      </colorScale>
    </cfRule>
  </conditionalFormatting>
  <conditionalFormatting sqref="F624">
    <cfRule type="colorScale" priority="73">
      <colorScale>
        <cfvo type="min"/>
        <cfvo type="max"/>
        <color rgb="FFF8696B"/>
        <color rgb="FFFCFCFF"/>
      </colorScale>
    </cfRule>
  </conditionalFormatting>
  <conditionalFormatting sqref="F625">
    <cfRule type="colorScale" priority="71">
      <colorScale>
        <cfvo type="min"/>
        <cfvo type="max"/>
        <color rgb="FFF8696B"/>
        <color rgb="FFFCFCFF"/>
      </colorScale>
    </cfRule>
  </conditionalFormatting>
  <conditionalFormatting sqref="F626">
    <cfRule type="colorScale" priority="9998">
      <colorScale>
        <cfvo type="min"/>
        <cfvo type="max"/>
        <color rgb="FFF8696B"/>
        <color rgb="FFFCFCFF"/>
      </colorScale>
    </cfRule>
  </conditionalFormatting>
  <conditionalFormatting sqref="F627:F632">
    <cfRule type="colorScale" priority="33">
      <colorScale>
        <cfvo type="min"/>
        <cfvo type="max"/>
        <color rgb="FFF8696B"/>
        <color rgb="FFFCFCFF"/>
      </colorScale>
    </cfRule>
  </conditionalFormatting>
  <conditionalFormatting sqref="F669">
    <cfRule type="colorScale" priority="9780">
      <colorScale>
        <cfvo type="min"/>
        <cfvo type="max"/>
        <color rgb="FFF8696B"/>
        <color rgb="FFFCFCFF"/>
      </colorScale>
    </cfRule>
  </conditionalFormatting>
  <conditionalFormatting sqref="F670:F673">
    <cfRule type="colorScale" priority="9825">
      <colorScale>
        <cfvo type="min"/>
        <cfvo type="max"/>
        <color rgb="FFF8696B"/>
        <color rgb="FFFCFCFF"/>
      </colorScale>
    </cfRule>
  </conditionalFormatting>
  <conditionalFormatting sqref="F674">
    <cfRule type="colorScale" priority="42">
      <colorScale>
        <cfvo type="min"/>
        <cfvo type="max"/>
        <color rgb="FFF8696B"/>
        <color rgb="FFFCFCFF"/>
      </colorScale>
    </cfRule>
  </conditionalFormatting>
  <conditionalFormatting sqref="F675">
    <cfRule type="colorScale" priority="43">
      <colorScale>
        <cfvo type="min"/>
        <cfvo type="max"/>
        <color rgb="FFF8696B"/>
        <color rgb="FFFCFCFF"/>
      </colorScale>
    </cfRule>
  </conditionalFormatting>
  <conditionalFormatting sqref="F682:F704">
    <cfRule type="colorScale" priority="189">
      <colorScale>
        <cfvo type="min"/>
        <cfvo type="max"/>
        <color rgb="FFF8696B"/>
        <color rgb="FFFCFCFF"/>
      </colorScale>
    </cfRule>
  </conditionalFormatting>
  <conditionalFormatting sqref="F718:F726">
    <cfRule type="colorScale" priority="190">
      <colorScale>
        <cfvo type="min"/>
        <cfvo type="max"/>
        <color rgb="FFF8696B"/>
        <color rgb="FFFCFCFF"/>
      </colorScale>
    </cfRule>
  </conditionalFormatting>
  <conditionalFormatting sqref="F730:F746">
    <cfRule type="colorScale" priority="25">
      <colorScale>
        <cfvo type="min"/>
        <cfvo type="max"/>
        <color rgb="FFF8696B"/>
        <color rgb="FFFCFCFF"/>
      </colorScale>
    </cfRule>
  </conditionalFormatting>
  <conditionalFormatting sqref="F747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{C73BCF7D-AC7C-4BD7-88FD-94777AB1FB62}</x14:id>
        </ext>
      </extLst>
    </cfRule>
  </conditionalFormatting>
  <conditionalFormatting sqref="F822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838:F839">
    <cfRule type="colorScale" priority="167">
      <colorScale>
        <cfvo type="min"/>
        <cfvo type="max"/>
        <color rgb="FFF8696B"/>
        <color rgb="FFFCFCFF"/>
      </colorScale>
    </cfRule>
  </conditionalFormatting>
  <conditionalFormatting sqref="F851">
    <cfRule type="colorScale" priority="22">
      <colorScale>
        <cfvo type="min"/>
        <cfvo type="max"/>
        <color rgb="FFF8696B"/>
        <color rgb="FFFCFCFF"/>
      </colorScale>
    </cfRule>
  </conditionalFormatting>
  <conditionalFormatting sqref="F969">
    <cfRule type="colorScale" priority="114">
      <colorScale>
        <cfvo type="min"/>
        <cfvo type="max"/>
        <color rgb="FFF8696B"/>
        <color rgb="FFFCFCFF"/>
      </colorScale>
    </cfRule>
  </conditionalFormatting>
  <conditionalFormatting sqref="F973 F977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978:F980">
    <cfRule type="colorScale" priority="164">
      <colorScale>
        <cfvo type="min"/>
        <cfvo type="max"/>
        <color rgb="FFF8696B"/>
        <color rgb="FFFCFCFF"/>
      </colorScale>
    </cfRule>
  </conditionalFormatting>
  <conditionalFormatting sqref="F981">
    <cfRule type="colorScale" priority="163">
      <colorScale>
        <cfvo type="min"/>
        <cfvo type="max"/>
        <color rgb="FFF8696B"/>
        <color rgb="FFFCFCFF"/>
      </colorScale>
    </cfRule>
  </conditionalFormatting>
  <conditionalFormatting sqref="F984:F990">
    <cfRule type="colorScale" priority="106">
      <colorScale>
        <cfvo type="min"/>
        <cfvo type="max"/>
        <color rgb="FFF8696B"/>
        <color rgb="FFFCFCFF"/>
      </colorScale>
    </cfRule>
  </conditionalFormatting>
  <conditionalFormatting sqref="F991">
    <cfRule type="colorScale" priority="187">
      <colorScale>
        <cfvo type="min"/>
        <cfvo type="max"/>
        <color rgb="FFF8696B"/>
        <color rgb="FFFCFCFF"/>
      </colorScale>
    </cfRule>
  </conditionalFormatting>
  <conditionalFormatting sqref="F1006">
    <cfRule type="colorScale" priority="162">
      <colorScale>
        <cfvo type="min"/>
        <cfvo type="max"/>
        <color rgb="FFF8696B"/>
        <color rgb="FFFCFCFF"/>
      </colorScale>
    </cfRule>
  </conditionalFormatting>
  <conditionalFormatting sqref="F1009:F1011">
    <cfRule type="colorScale" priority="185">
      <colorScale>
        <cfvo type="min"/>
        <cfvo type="max"/>
        <color rgb="FFF8696B"/>
        <color rgb="FFFCFCFF"/>
      </colorScale>
    </cfRule>
  </conditionalFormatting>
  <conditionalFormatting sqref="F1030:F1031">
    <cfRule type="colorScale" priority="17">
      <colorScale>
        <cfvo type="min"/>
        <cfvo type="max"/>
        <color rgb="FFF8696B"/>
        <color rgb="FFFCFCFF"/>
      </colorScale>
    </cfRule>
  </conditionalFormatting>
  <conditionalFormatting sqref="F1032">
    <cfRule type="colorScale" priority="108">
      <colorScale>
        <cfvo type="min"/>
        <cfvo type="max"/>
        <color rgb="FFF8696B"/>
        <color rgb="FFFCFCFF"/>
      </colorScale>
    </cfRule>
  </conditionalFormatting>
  <conditionalFormatting sqref="F1046"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{9E58F7F2-CC20-4DD2-9204-CD1CF8A40D17}</x14:id>
        </ext>
      </extLst>
    </cfRule>
  </conditionalFormatting>
  <conditionalFormatting sqref="F1074:F1075">
    <cfRule type="colorScale" priority="155">
      <colorScale>
        <cfvo type="min"/>
        <cfvo type="max"/>
        <color rgb="FFF8696B"/>
        <color rgb="FFFCFCFF"/>
      </colorScale>
    </cfRule>
  </conditionalFormatting>
  <conditionalFormatting sqref="F1088:F1089">
    <cfRule type="colorScale" priority="153">
      <colorScale>
        <cfvo type="min"/>
        <cfvo type="max"/>
        <color rgb="FFF8696B"/>
        <color rgb="FFFCFCFF"/>
      </colorScale>
    </cfRule>
  </conditionalFormatting>
  <conditionalFormatting sqref="F1090">
    <cfRule type="colorScale" priority="194">
      <colorScale>
        <cfvo type="min"/>
        <cfvo type="max"/>
        <color rgb="FFF8696B"/>
        <color rgb="FFFCFCFF"/>
      </colorScale>
    </cfRule>
  </conditionalFormatting>
  <conditionalFormatting sqref="F1201:F1202">
    <cfRule type="colorScale" priority="197">
      <colorScale>
        <cfvo type="min"/>
        <cfvo type="max"/>
        <color rgb="FFF8696B"/>
        <color rgb="FFFCFCFF"/>
      </colorScale>
    </cfRule>
  </conditionalFormatting>
  <conditionalFormatting sqref="F1203">
    <cfRule type="colorScale" priority="150">
      <colorScale>
        <cfvo type="min"/>
        <cfvo type="max"/>
        <color rgb="FFF8696B"/>
        <color rgb="FFFCFCFF"/>
      </colorScale>
    </cfRule>
  </conditionalFormatting>
  <conditionalFormatting sqref="F1216">
    <cfRule type="colorScale" priority="157">
      <colorScale>
        <cfvo type="min"/>
        <cfvo type="max"/>
        <color rgb="FFF8696B"/>
        <color rgb="FFFCFCFF"/>
      </colorScale>
    </cfRule>
  </conditionalFormatting>
  <conditionalFormatting sqref="F1223">
    <cfRule type="colorScale" priority="140">
      <colorScale>
        <cfvo type="min"/>
        <cfvo type="max"/>
        <color rgb="FFF8696B"/>
        <color rgb="FFFCFCFF"/>
      </colorScale>
    </cfRule>
  </conditionalFormatting>
  <conditionalFormatting sqref="F1229">
    <cfRule type="colorScale" priority="149">
      <colorScale>
        <cfvo type="min"/>
        <cfvo type="max"/>
        <color rgb="FFF8696B"/>
        <color rgb="FFFCFCFF"/>
      </colorScale>
    </cfRule>
  </conditionalFormatting>
  <conditionalFormatting sqref="F1230:F1231 F1076:F1087 F1217:F1222 F1224:F1228 F1235:F1243 F1046:F1073 F1204:F1215 F1091:F1200">
    <cfRule type="colorScale" priority="196">
      <colorScale>
        <cfvo type="min"/>
        <cfvo type="max"/>
        <color rgb="FFF8696B"/>
        <color rgb="FFFCFCFF"/>
      </colorScale>
    </cfRule>
  </conditionalFormatting>
  <conditionalFormatting sqref="F1232:F1234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1246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1257:F1258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4:G7">
    <cfRule type="colorScale" priority="266">
      <colorScale>
        <cfvo type="min"/>
        <cfvo type="max"/>
        <color rgb="FFF8696B"/>
        <color rgb="FFFCFCFF"/>
      </colorScale>
    </cfRule>
  </conditionalFormatting>
  <conditionalFormatting sqref="G8:G10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11:G13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14:G15">
    <cfRule type="colorScale" priority="263">
      <colorScale>
        <cfvo type="min"/>
        <cfvo type="max"/>
        <color rgb="FFF8696B"/>
        <color rgb="FFFCFCFF"/>
      </colorScale>
    </cfRule>
  </conditionalFormatting>
  <conditionalFormatting sqref="G16">
    <cfRule type="colorScale" priority="26">
      <colorScale>
        <cfvo type="min"/>
        <cfvo type="max"/>
        <color rgb="FFF8696B"/>
        <color rgb="FFFCFCFF"/>
      </colorScale>
    </cfRule>
  </conditionalFormatting>
  <conditionalFormatting sqref="G18:G20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24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25">
    <cfRule type="colorScale" priority="78">
      <colorScale>
        <cfvo type="min"/>
        <cfvo type="max"/>
        <color rgb="FFF8696B"/>
        <color rgb="FFFCFCFF"/>
      </colorScale>
    </cfRule>
  </conditionalFormatting>
  <conditionalFormatting sqref="G26">
    <cfRule type="colorScale" priority="257">
      <colorScale>
        <cfvo type="min"/>
        <cfvo type="max"/>
        <color rgb="FFF8696B"/>
        <color rgb="FFFCFCFF"/>
      </colorScale>
    </cfRule>
  </conditionalFormatting>
  <conditionalFormatting sqref="G27">
    <cfRule type="colorScale" priority="46">
      <colorScale>
        <cfvo type="min"/>
        <cfvo type="max"/>
        <color rgb="FFF8696B"/>
        <color rgb="FFFCFCFF"/>
      </colorScale>
    </cfRule>
  </conditionalFormatting>
  <conditionalFormatting sqref="G28:G34">
    <cfRule type="colorScale" priority="255">
      <colorScale>
        <cfvo type="min"/>
        <cfvo type="max"/>
        <color rgb="FFF8696B"/>
        <color rgb="FFFCFCFF"/>
      </colorScale>
    </cfRule>
  </conditionalFormatting>
  <conditionalFormatting sqref="G35">
    <cfRule type="colorScale" priority="254">
      <colorScale>
        <cfvo type="min"/>
        <cfvo type="max"/>
        <color rgb="FFF8696B"/>
        <color rgb="FFFCFCFF"/>
      </colorScale>
    </cfRule>
  </conditionalFormatting>
  <conditionalFormatting sqref="G51:G52">
    <cfRule type="colorScale" priority="77">
      <colorScale>
        <cfvo type="min"/>
        <cfvo type="max"/>
        <color rgb="FFF8696B"/>
        <color rgb="FFFCFCFF"/>
      </colorScale>
    </cfRule>
  </conditionalFormatting>
  <conditionalFormatting sqref="G54:G55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63">
    <cfRule type="colorScale" priority="241">
      <colorScale>
        <cfvo type="min"/>
        <cfvo type="max"/>
        <color rgb="FFF8696B"/>
        <color rgb="FFFCFCFF"/>
      </colorScale>
    </cfRule>
  </conditionalFormatting>
  <conditionalFormatting sqref="G64">
    <cfRule type="colorScale" priority="239">
      <colorScale>
        <cfvo type="min"/>
        <cfvo type="max"/>
        <color rgb="FFF8696B"/>
        <color rgb="FFFCFCFF"/>
      </colorScale>
    </cfRule>
  </conditionalFormatting>
  <conditionalFormatting sqref="G89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99:G103">
    <cfRule type="colorScale" priority="235">
      <colorScale>
        <cfvo type="min"/>
        <cfvo type="max"/>
        <color rgb="FFF8696B"/>
        <color rgb="FFFCFCFF"/>
      </colorScale>
    </cfRule>
  </conditionalFormatting>
  <conditionalFormatting sqref="G129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131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130 G132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133:G136">
    <cfRule type="colorScale" priority="222">
      <colorScale>
        <cfvo type="min"/>
        <cfvo type="max"/>
        <color rgb="FFF8696B"/>
        <color rgb="FFFCFCFF"/>
      </colorScale>
    </cfRule>
  </conditionalFormatting>
  <conditionalFormatting sqref="G145">
    <cfRule type="colorScale" priority="221">
      <colorScale>
        <cfvo type="min"/>
        <cfvo type="max"/>
        <color rgb="FFF8696B"/>
        <color rgb="FFFCFCFF"/>
      </colorScale>
    </cfRule>
  </conditionalFormatting>
  <conditionalFormatting sqref="G155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161:G162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65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181:G185">
    <cfRule type="colorScale" priority="9891">
      <colorScale>
        <cfvo type="min"/>
        <cfvo type="max"/>
        <color rgb="FFF8696B"/>
        <color rgb="FFFCFCFF"/>
      </colorScale>
    </cfRule>
  </conditionalFormatting>
  <conditionalFormatting sqref="G267:G273 G265">
    <cfRule type="colorScale" priority="9982">
      <colorScale>
        <cfvo type="min"/>
        <cfvo type="max"/>
        <color rgb="FFF8696B"/>
        <color rgb="FFFCFCFF"/>
      </colorScale>
    </cfRule>
  </conditionalFormatting>
  <conditionalFormatting sqref="G274:G278">
    <cfRule type="colorScale" priority="35">
      <colorScale>
        <cfvo type="min"/>
        <cfvo type="max"/>
        <color rgb="FFF8696B"/>
        <color rgb="FFFCFCFF"/>
      </colorScale>
    </cfRule>
  </conditionalFormatting>
  <conditionalFormatting sqref="G279:G290">
    <cfRule type="colorScale" priority="204">
      <colorScale>
        <cfvo type="min"/>
        <cfvo type="max"/>
        <color rgb="FFF8696B"/>
        <color rgb="FFFCFCFF"/>
      </colorScale>
    </cfRule>
  </conditionalFormatting>
  <conditionalFormatting sqref="G294:G296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333:G334">
    <cfRule type="colorScale" priority="198">
      <colorScale>
        <cfvo type="min"/>
        <cfvo type="max"/>
        <color rgb="FFF8696B"/>
        <color rgb="FFFCFCFF"/>
      </colorScale>
    </cfRule>
  </conditionalFormatting>
  <conditionalFormatting sqref="G349">
    <cfRule type="colorScale" priority="39">
      <colorScale>
        <cfvo type="min"/>
        <cfvo type="max"/>
        <color rgb="FFF8696B"/>
        <color rgb="FFFCFCFF"/>
      </colorScale>
    </cfRule>
  </conditionalFormatting>
  <conditionalFormatting sqref="G350">
    <cfRule type="colorScale" priority="9949">
      <colorScale>
        <cfvo type="min"/>
        <cfvo type="max"/>
        <color rgb="FFF8696B"/>
        <color rgb="FFFCFCFF"/>
      </colorScale>
    </cfRule>
  </conditionalFormatting>
  <conditionalFormatting sqref="G351:G355">
    <cfRule type="colorScale" priority="10169">
      <colorScale>
        <cfvo type="min"/>
        <cfvo type="max"/>
        <color rgb="FFF8696B"/>
        <color rgb="FFFCFCFF"/>
      </colorScale>
    </cfRule>
  </conditionalFormatting>
  <conditionalFormatting sqref="G356:G357">
    <cfRule type="colorScale" priority="41">
      <colorScale>
        <cfvo type="min"/>
        <cfvo type="max"/>
        <color rgb="FFF8696B"/>
        <color rgb="FFFCFCFF"/>
      </colorScale>
    </cfRule>
  </conditionalFormatting>
  <conditionalFormatting sqref="G365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375:G379">
    <cfRule type="colorScale" priority="94">
      <colorScale>
        <cfvo type="min"/>
        <cfvo type="max"/>
        <color rgb="FFF8696B"/>
        <color rgb="FFFCFCFF"/>
      </colorScale>
    </cfRule>
  </conditionalFormatting>
  <conditionalFormatting sqref="G399">
    <cfRule type="colorScale" priority="57">
      <colorScale>
        <cfvo type="min"/>
        <cfvo type="max"/>
        <color rgb="FFF8696B"/>
        <color rgb="FFFCFCFF"/>
      </colorScale>
    </cfRule>
  </conditionalFormatting>
  <conditionalFormatting sqref="G400">
    <cfRule type="colorScale" priority="9857">
      <colorScale>
        <cfvo type="min"/>
        <cfvo type="max"/>
        <color rgb="FFF8696B"/>
        <color rgb="FFFCFCFF"/>
      </colorScale>
    </cfRule>
  </conditionalFormatting>
  <conditionalFormatting sqref="G413">
    <cfRule type="colorScale" priority="179">
      <colorScale>
        <cfvo type="min"/>
        <cfvo type="max"/>
        <color rgb="FFF8696B"/>
        <color rgb="FFFCFCFF"/>
      </colorScale>
    </cfRule>
  </conditionalFormatting>
  <conditionalFormatting sqref="G424:G428">
    <cfRule type="colorScale" priority="80">
      <colorScale>
        <cfvo type="min"/>
        <cfvo type="max"/>
        <color rgb="FFF8696B"/>
        <color rgb="FFFCFCFF"/>
      </colorScale>
    </cfRule>
  </conditionalFormatting>
  <conditionalFormatting sqref="G429:G435 G423">
    <cfRule type="colorScale" priority="182">
      <colorScale>
        <cfvo type="min"/>
        <cfvo type="max"/>
        <color rgb="FFF8696B"/>
        <color rgb="FFFCFCFF"/>
      </colorScale>
    </cfRule>
  </conditionalFormatting>
  <conditionalFormatting sqref="G437:G439">
    <cfRule type="colorScale" priority="9517">
      <colorScale>
        <cfvo type="min"/>
        <cfvo type="max"/>
        <color rgb="FFF8696B"/>
        <color rgb="FFFCFCFF"/>
      </colorScale>
    </cfRule>
  </conditionalFormatting>
  <conditionalFormatting sqref="G440:G444">
    <cfRule type="colorScale" priority="90">
      <colorScale>
        <cfvo type="min"/>
        <cfvo type="max"/>
        <color rgb="FFF8696B"/>
        <color rgb="FFFCFCFF"/>
      </colorScale>
    </cfRule>
  </conditionalFormatting>
  <conditionalFormatting sqref="G447:G453">
    <cfRule type="colorScale" priority="49">
      <colorScale>
        <cfvo type="min"/>
        <cfvo type="max"/>
        <color rgb="FFF8696B"/>
        <color rgb="FFFCFCFF"/>
      </colorScale>
    </cfRule>
  </conditionalFormatting>
  <conditionalFormatting sqref="G458:G459">
    <cfRule type="colorScale" priority="177">
      <colorScale>
        <cfvo type="min"/>
        <cfvo type="max"/>
        <color rgb="FFF8696B"/>
        <color rgb="FFFCFCFF"/>
      </colorScale>
    </cfRule>
  </conditionalFormatting>
  <conditionalFormatting sqref="G480">
    <cfRule type="colorScale" priority="9572">
      <colorScale>
        <cfvo type="min"/>
        <cfvo type="max"/>
        <color rgb="FFF8696B"/>
        <color rgb="FFFCFCFF"/>
      </colorScale>
    </cfRule>
  </conditionalFormatting>
  <conditionalFormatting sqref="G481">
    <cfRule type="colorScale" priority="85">
      <colorScale>
        <cfvo type="min"/>
        <cfvo type="max"/>
        <color rgb="FFF8696B"/>
        <color rgb="FFFCFCFF"/>
      </colorScale>
    </cfRule>
  </conditionalFormatting>
  <conditionalFormatting sqref="G482">
    <cfRule type="colorScale" priority="87">
      <colorScale>
        <cfvo type="min"/>
        <cfvo type="max"/>
        <color rgb="FFF8696B"/>
        <color rgb="FFFCFCFF"/>
      </colorScale>
    </cfRule>
  </conditionalFormatting>
  <conditionalFormatting sqref="G483">
    <cfRule type="colorScale" priority="84">
      <colorScale>
        <cfvo type="min"/>
        <cfvo type="max"/>
        <color rgb="FFF8696B"/>
        <color rgb="FFFCFCFF"/>
      </colorScale>
    </cfRule>
  </conditionalFormatting>
  <conditionalFormatting sqref="G484">
    <cfRule type="colorScale" priority="86">
      <colorScale>
        <cfvo type="min"/>
        <cfvo type="max"/>
        <color rgb="FFF8696B"/>
        <color rgb="FFFCFCFF"/>
      </colorScale>
    </cfRule>
  </conditionalFormatting>
  <conditionalFormatting sqref="G485">
    <cfRule type="colorScale" priority="83">
      <colorScale>
        <cfvo type="min"/>
        <cfvo type="max"/>
        <color rgb="FFF8696B"/>
        <color rgb="FFFCFCFF"/>
      </colorScale>
    </cfRule>
  </conditionalFormatting>
  <conditionalFormatting sqref="G486">
    <cfRule type="colorScale" priority="76">
      <colorScale>
        <cfvo type="min"/>
        <cfvo type="max"/>
        <color rgb="FFF8696B"/>
        <color rgb="FFFCFCFF"/>
      </colorScale>
    </cfRule>
  </conditionalFormatting>
  <conditionalFormatting sqref="G489">
    <cfRule type="colorScale" priority="75">
      <colorScale>
        <cfvo type="min"/>
        <cfvo type="max"/>
        <color rgb="FFF8696B"/>
        <color rgb="FFFCFCFF"/>
      </colorScale>
    </cfRule>
  </conditionalFormatting>
  <conditionalFormatting sqref="G492:G498">
    <cfRule type="colorScale" priority="9763">
      <colorScale>
        <cfvo type="min"/>
        <cfvo type="max"/>
        <color rgb="FFF8696B"/>
        <color rgb="FFFCFCFF"/>
      </colorScale>
    </cfRule>
  </conditionalFormatting>
  <conditionalFormatting sqref="G508:G513 G518">
    <cfRule type="colorScale" priority="9154">
      <colorScale>
        <cfvo type="min"/>
        <cfvo type="max"/>
        <color rgb="FFF8696B"/>
        <color rgb="FFFCFCFF"/>
      </colorScale>
    </cfRule>
  </conditionalFormatting>
  <conditionalFormatting sqref="G514:G517">
    <cfRule type="colorScale" priority="9356">
      <colorScale>
        <cfvo type="min"/>
        <cfvo type="max"/>
        <color rgb="FFF8696B"/>
        <color rgb="FFFCFCFF"/>
      </colorScale>
    </cfRule>
  </conditionalFormatting>
  <conditionalFormatting sqref="G519">
    <cfRule type="colorScale" priority="9134">
      <colorScale>
        <cfvo type="min"/>
        <cfvo type="max"/>
        <color rgb="FFF8696B"/>
        <color rgb="FFFCFCFF"/>
      </colorScale>
    </cfRule>
  </conditionalFormatting>
  <conditionalFormatting sqref="G520:G533">
    <cfRule type="colorScale" priority="9322">
      <colorScale>
        <cfvo type="min"/>
        <cfvo type="max"/>
        <color rgb="FFF8696B"/>
        <color rgb="FFFCFCFF"/>
      </colorScale>
    </cfRule>
  </conditionalFormatting>
  <conditionalFormatting sqref="G534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544:G545">
    <cfRule type="colorScale" priority="139">
      <colorScale>
        <cfvo type="min"/>
        <cfvo type="max"/>
        <color rgb="FFF8696B"/>
        <color rgb="FFFCFCFF"/>
      </colorScale>
    </cfRule>
  </conditionalFormatting>
  <conditionalFormatting sqref="G546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565">
    <cfRule type="colorScale" priority="191">
      <colorScale>
        <cfvo type="min"/>
        <cfvo type="max"/>
        <color rgb="FFF8696B"/>
        <color rgb="FFFCFCFF"/>
      </colorScale>
    </cfRule>
  </conditionalFormatting>
  <conditionalFormatting sqref="G566:G575">
    <cfRule type="colorScale" priority="9253">
      <colorScale>
        <cfvo type="min"/>
        <cfvo type="max"/>
        <color rgb="FFF8696B"/>
        <color rgb="FFFCFCFF"/>
      </colorScale>
    </cfRule>
  </conditionalFormatting>
  <conditionalFormatting sqref="G577">
    <cfRule type="colorScale" priority="128">
      <colorScale>
        <cfvo type="min"/>
        <cfvo type="max"/>
        <color rgb="FFF8696B"/>
        <color rgb="FFFCFCFF"/>
      </colorScale>
    </cfRule>
  </conditionalFormatting>
  <conditionalFormatting sqref="G578:G590">
    <cfRule type="colorScale" priority="9390">
      <colorScale>
        <cfvo type="min"/>
        <cfvo type="max"/>
        <color rgb="FFF8696B"/>
        <color rgb="FFFCFCFF"/>
      </colorScale>
    </cfRule>
  </conditionalFormatting>
  <conditionalFormatting sqref="G591">
    <cfRule type="colorScale" priority="135">
      <colorScale>
        <cfvo type="min"/>
        <cfvo type="max"/>
        <color rgb="FFF8696B"/>
        <color rgb="FFFCFCFF"/>
      </colorScale>
    </cfRule>
  </conditionalFormatting>
  <conditionalFormatting sqref="G592">
    <cfRule type="colorScale" priority="134">
      <colorScale>
        <cfvo type="min"/>
        <cfvo type="max"/>
        <color rgb="FFF8696B"/>
        <color rgb="FFFCFCFF"/>
      </colorScale>
    </cfRule>
  </conditionalFormatting>
  <conditionalFormatting sqref="G593">
    <cfRule type="colorScale" priority="118">
      <colorScale>
        <cfvo type="min"/>
        <cfvo type="max"/>
        <color rgb="FFF8696B"/>
        <color rgb="FFFCFCFF"/>
      </colorScale>
    </cfRule>
  </conditionalFormatting>
  <conditionalFormatting sqref="G594">
    <cfRule type="colorScale" priority="117">
      <colorScale>
        <cfvo type="min"/>
        <cfvo type="max"/>
        <color rgb="FFF8696B"/>
        <color rgb="FFFCFCFF"/>
      </colorScale>
    </cfRule>
  </conditionalFormatting>
  <conditionalFormatting sqref="G595:G604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576 G605 G490:G491 G506:G507 G535:G537 G487:G488">
    <cfRule type="colorScale" priority="9460">
      <colorScale>
        <cfvo type="min"/>
        <cfvo type="max"/>
        <color rgb="FFF8696B"/>
        <color rgb="FFFCFCFF"/>
      </colorScale>
    </cfRule>
  </conditionalFormatting>
  <conditionalFormatting sqref="G606:G607">
    <cfRule type="colorScale" priority="129">
      <colorScale>
        <cfvo type="min"/>
        <cfvo type="max"/>
        <color rgb="FFF8696B"/>
        <color rgb="FFFCFCFF"/>
      </colorScale>
    </cfRule>
  </conditionalFormatting>
  <conditionalFormatting sqref="G612">
    <cfRule type="colorScale" priority="123">
      <colorScale>
        <cfvo type="min"/>
        <cfvo type="max"/>
        <color rgb="FFF8696B"/>
        <color rgb="FFFCFCFF"/>
      </colorScale>
    </cfRule>
  </conditionalFormatting>
  <conditionalFormatting sqref="G613:G615">
    <cfRule type="colorScale" priority="97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143">
      <colorScale>
        <cfvo type="min"/>
        <cfvo type="max"/>
        <color rgb="FFF8696B"/>
        <color rgb="FFFCFCFF"/>
      </colorScale>
    </cfRule>
  </conditionalFormatting>
  <conditionalFormatting sqref="G624">
    <cfRule type="colorScale" priority="72">
      <colorScale>
        <cfvo type="min"/>
        <cfvo type="max"/>
        <color rgb="FFF8696B"/>
        <color rgb="FFFCFCFF"/>
      </colorScale>
    </cfRule>
  </conditionalFormatting>
  <conditionalFormatting sqref="G625">
    <cfRule type="colorScale" priority="70">
      <colorScale>
        <cfvo type="min"/>
        <cfvo type="max"/>
        <color rgb="FFF8696B"/>
        <color rgb="FFFCFCFF"/>
      </colorScale>
    </cfRule>
  </conditionalFormatting>
  <conditionalFormatting sqref="G626:G632">
    <cfRule type="colorScale" priority="10013">
      <colorScale>
        <cfvo type="min"/>
        <cfvo type="max"/>
        <color rgb="FFF8696B"/>
        <color rgb="FFFCFCFF"/>
      </colorScale>
    </cfRule>
  </conditionalFormatting>
  <conditionalFormatting sqref="G647:G648">
    <cfRule type="colorScale" priority="98">
      <colorScale>
        <cfvo type="min"/>
        <cfvo type="max"/>
        <color rgb="FFF8696B"/>
        <color rgb="FFFCFCFF"/>
      </colorScale>
    </cfRule>
  </conditionalFormatting>
  <conditionalFormatting sqref="G649:G653 G657:G658">
    <cfRule type="colorScale" priority="99">
      <colorScale>
        <cfvo type="min"/>
        <cfvo type="max"/>
        <color rgb="FFF8696B"/>
        <color rgb="FFFCFCFF"/>
      </colorScale>
    </cfRule>
  </conditionalFormatting>
  <conditionalFormatting sqref="G654:G656">
    <cfRule type="colorScale" priority="95">
      <colorScale>
        <cfvo type="min"/>
        <cfvo type="max"/>
        <color rgb="FFF8696B"/>
        <color rgb="FFFCFCFF"/>
      </colorScale>
    </cfRule>
  </conditionalFormatting>
  <conditionalFormatting sqref="G661:G662">
    <cfRule type="colorScale" priority="89">
      <colorScale>
        <cfvo type="min"/>
        <cfvo type="max"/>
        <color rgb="FFF8696B"/>
        <color rgb="FFFCFCFF"/>
      </colorScale>
    </cfRule>
  </conditionalFormatting>
  <conditionalFormatting sqref="G664:G668">
    <cfRule type="colorScale" priority="9729">
      <colorScale>
        <cfvo type="min"/>
        <cfvo type="max"/>
        <color rgb="FFF8696B"/>
        <color rgb="FFFCFCFF"/>
      </colorScale>
    </cfRule>
  </conditionalFormatting>
  <conditionalFormatting sqref="G673">
    <cfRule type="colorScale" priority="45">
      <colorScale>
        <cfvo type="min"/>
        <cfvo type="max"/>
        <color rgb="FFF8696B"/>
        <color rgb="FFFCFCFF"/>
      </colorScale>
    </cfRule>
  </conditionalFormatting>
  <conditionalFormatting sqref="G695">
    <cfRule type="colorScale" priority="34">
      <colorScale>
        <cfvo type="min"/>
        <cfvo type="max"/>
        <color rgb="FFF8696B"/>
        <color rgb="FFFCFCFF"/>
      </colorScale>
    </cfRule>
  </conditionalFormatting>
  <conditionalFormatting sqref="G701">
    <cfRule type="colorScale" priority="74">
      <colorScale>
        <cfvo type="min"/>
        <cfvo type="max"/>
        <color rgb="FFF8696B"/>
        <color rgb="FFFCFCFF"/>
      </colorScale>
    </cfRule>
  </conditionalFormatting>
  <conditionalFormatting sqref="G705:G707 G709 G711">
    <cfRule type="colorScale" priority="188">
      <colorScale>
        <cfvo type="min"/>
        <cfvo type="max"/>
        <color rgb="FFF8696B"/>
        <color rgb="FFFCFCFF"/>
      </colorScale>
    </cfRule>
  </conditionalFormatting>
  <conditionalFormatting sqref="G721">
    <cfRule type="colorScale" priority="122">
      <colorScale>
        <cfvo type="min"/>
        <cfvo type="max"/>
        <color rgb="FFF8696B"/>
        <color rgb="FFFCFCFF"/>
      </colorScale>
    </cfRule>
  </conditionalFormatting>
  <conditionalFormatting sqref="G754:G757">
    <cfRule type="colorScale" priority="67">
      <colorScale>
        <cfvo type="min"/>
        <cfvo type="max"/>
        <color rgb="FFF8696B"/>
        <color rgb="FFFCFCFF"/>
      </colorScale>
    </cfRule>
  </conditionalFormatting>
  <conditionalFormatting sqref="G758:G759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760:G762">
    <cfRule type="colorScale" priority="10304">
      <colorScale>
        <cfvo type="min"/>
        <cfvo type="max"/>
        <color rgb="FFF8696B"/>
        <color rgb="FFFCFCFF"/>
      </colorScale>
    </cfRule>
  </conditionalFormatting>
  <conditionalFormatting sqref="G763:G779">
    <cfRule type="colorScale" priority="10338">
      <colorScale>
        <cfvo type="min"/>
        <cfvo type="max"/>
        <color rgb="FFF8696B"/>
        <color rgb="FFFCFCFF"/>
      </colorScale>
    </cfRule>
  </conditionalFormatting>
  <conditionalFormatting sqref="G785:G788">
    <cfRule type="colorScale" priority="19">
      <colorScale>
        <cfvo type="min"/>
        <cfvo type="max"/>
        <color rgb="FFF8696B"/>
        <color rgb="FFFCFCFF"/>
      </colorScale>
    </cfRule>
  </conditionalFormatting>
  <conditionalFormatting sqref="G784 G789">
    <cfRule type="colorScale" priority="10204">
      <colorScale>
        <cfvo type="min"/>
        <cfvo type="max"/>
        <color rgb="FFF8696B"/>
        <color rgb="FFFCFCFF"/>
      </colorScale>
    </cfRule>
  </conditionalFormatting>
  <conditionalFormatting sqref="G799">
    <cfRule type="colorScale" priority="24">
      <colorScale>
        <cfvo type="min"/>
        <cfvo type="max"/>
        <color rgb="FFF8696B"/>
        <color rgb="FFFCFCFF"/>
      </colorScale>
    </cfRule>
  </conditionalFormatting>
  <conditionalFormatting sqref="G809:G811">
    <cfRule type="colorScale" priority="18">
      <colorScale>
        <cfvo type="min"/>
        <cfvo type="max"/>
        <color rgb="FFF8696B"/>
        <color rgb="FFFCFCFF"/>
      </colorScale>
    </cfRule>
  </conditionalFormatting>
  <conditionalFormatting sqref="G825">
    <cfRule type="colorScale" priority="171">
      <colorScale>
        <cfvo type="min"/>
        <cfvo type="max"/>
        <color rgb="FFF8696B"/>
        <color rgb="FFFCFCFF"/>
      </colorScale>
    </cfRule>
  </conditionalFormatting>
  <conditionalFormatting sqref="G838">
    <cfRule type="colorScale" priority="165">
      <colorScale>
        <cfvo type="min"/>
        <cfvo type="max"/>
        <color rgb="FFF8696B"/>
        <color rgb="FFFCFCFF"/>
      </colorScale>
    </cfRule>
  </conditionalFormatting>
  <conditionalFormatting sqref="G839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891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899">
    <cfRule type="colorScale" priority="62">
      <colorScale>
        <cfvo type="min"/>
        <cfvo type="max"/>
        <color rgb="FFF8696B"/>
        <color rgb="FFFCFCFF"/>
      </colorScale>
    </cfRule>
  </conditionalFormatting>
  <conditionalFormatting sqref="G902:G903">
    <cfRule type="colorScale" priority="63">
      <colorScale>
        <cfvo type="min"/>
        <cfvo type="max"/>
        <color rgb="FFF8696B"/>
        <color rgb="FFFCFCFF"/>
      </colorScale>
    </cfRule>
  </conditionalFormatting>
  <conditionalFormatting sqref="G984:G985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986:G990">
    <cfRule type="colorScale" priority="65">
      <colorScale>
        <cfvo type="min"/>
        <cfvo type="max"/>
        <color rgb="FFF8696B"/>
        <color rgb="FFFCFCFF"/>
      </colorScale>
    </cfRule>
  </conditionalFormatting>
  <conditionalFormatting sqref="G991">
    <cfRule type="colorScale" priority="168">
      <colorScale>
        <cfvo type="min"/>
        <cfvo type="max"/>
        <color rgb="FFF8696B"/>
        <color rgb="FFFCFCFF"/>
      </colorScale>
    </cfRule>
  </conditionalFormatting>
  <conditionalFormatting sqref="G1002:G1003">
    <cfRule type="colorScale" priority="64">
      <colorScale>
        <cfvo type="min"/>
        <cfvo type="max"/>
        <color rgb="FFF8696B"/>
        <color rgb="FFFCFCFF"/>
      </colorScale>
    </cfRule>
  </conditionalFormatting>
  <conditionalFormatting sqref="G1004:G1005">
    <cfRule type="colorScale" priority="105">
      <colorScale>
        <cfvo type="min"/>
        <cfvo type="max"/>
        <color rgb="FFF8696B"/>
        <color rgb="FFFCFCFF"/>
      </colorScale>
    </cfRule>
  </conditionalFormatting>
  <conditionalFormatting sqref="G1023:G1024">
    <cfRule type="colorScale" priority="159">
      <colorScale>
        <cfvo type="min"/>
        <cfvo type="max"/>
        <color rgb="FFF8696B"/>
        <color rgb="FFFCFCFF"/>
      </colorScale>
    </cfRule>
  </conditionalFormatting>
  <conditionalFormatting sqref="G1078">
    <cfRule type="colorScale" priority="158">
      <colorScale>
        <cfvo type="min"/>
        <cfvo type="max"/>
        <color rgb="FFF8696B"/>
        <color rgb="FFFCFCFF"/>
      </colorScale>
    </cfRule>
  </conditionalFormatting>
  <conditionalFormatting sqref="G1088">
    <cfRule type="colorScale" priority="151">
      <colorScale>
        <cfvo type="min"/>
        <cfvo type="max"/>
        <color rgb="FFF8696B"/>
        <color rgb="FFFCFCFF"/>
      </colorScale>
    </cfRule>
  </conditionalFormatting>
  <conditionalFormatting sqref="G1089">
    <cfRule type="colorScale" priority="152">
      <colorScale>
        <cfvo type="min"/>
        <cfvo type="max"/>
        <color rgb="FFF8696B"/>
        <color rgb="FFFCFCFF"/>
      </colorScale>
    </cfRule>
  </conditionalFormatting>
  <conditionalFormatting sqref="G1090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1188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1216">
    <cfRule type="colorScale" priority="154">
      <colorScale>
        <cfvo type="min"/>
        <cfvo type="max"/>
        <color rgb="FFF8696B"/>
        <color rgb="FFFCFCFF"/>
      </colorScale>
    </cfRule>
  </conditionalFormatting>
  <conditionalFormatting sqref="G1240:G1242 G1156 G1020:G1021 G1151 G1105 G1074:G1075 G916 G436 G897 G852 G822 G398 G170:G171 G223 G156">
    <cfRule type="colorScale" priority="208">
      <colorScale>
        <cfvo type="min"/>
        <cfvo type="max"/>
        <color rgb="FFF8696B"/>
        <color rgb="FFFCFCFF"/>
      </colorScale>
    </cfRule>
  </conditionalFormatting>
  <conditionalFormatting sqref="G1257:G1258">
    <cfRule type="colorScale" priority="145">
      <colorScale>
        <cfvo type="min"/>
        <cfvo type="max"/>
        <color rgb="FFF8696B"/>
        <color rgb="FFFCFCFF"/>
      </colorScale>
    </cfRule>
  </conditionalFormatting>
  <conditionalFormatting sqref="H24:H25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798 G800">
    <cfRule type="colorScale" priority="10355">
      <colorScale>
        <cfvo type="min"/>
        <cfvo type="max"/>
        <color rgb="FFF8696B"/>
        <color rgb="FFFCFCFF"/>
      </colorScale>
    </cfRule>
  </conditionalFormatting>
  <conditionalFormatting sqref="G801:G806">
    <cfRule type="colorScale" priority="15">
      <colorScale>
        <cfvo type="min"/>
        <cfvo type="max"/>
        <color rgb="FFF8696B"/>
        <color rgb="FFFCFCFF"/>
      </colorScale>
    </cfRule>
  </conditionalFormatting>
  <conditionalFormatting sqref="G813:G814">
    <cfRule type="colorScale" priority="14">
      <colorScale>
        <cfvo type="min"/>
        <cfvo type="max"/>
        <color rgb="FFF8696B"/>
        <color rgb="FFFCFCFF"/>
      </colorScale>
    </cfRule>
  </conditionalFormatting>
  <conditionalFormatting sqref="G815:G817">
    <cfRule type="colorScale" priority="13">
      <colorScale>
        <cfvo type="min"/>
        <cfvo type="max"/>
        <color rgb="FFF8696B"/>
        <color rgb="FFFCFCFF"/>
      </colorScale>
    </cfRule>
  </conditionalFormatting>
  <conditionalFormatting sqref="F1024">
    <cfRule type="colorScale" priority="12">
      <colorScale>
        <cfvo type="min"/>
        <cfvo type="max"/>
        <color rgb="FFF8696B"/>
        <color rgb="FFFCFCFF"/>
      </colorScale>
    </cfRule>
  </conditionalFormatting>
  <conditionalFormatting sqref="G901">
    <cfRule type="colorScale" priority="11">
      <colorScale>
        <cfvo type="min"/>
        <cfvo type="max"/>
        <color rgb="FFF8696B"/>
        <color rgb="FFFCFCFF"/>
      </colorScale>
    </cfRule>
  </conditionalFormatting>
  <conditionalFormatting sqref="G907:G912">
    <cfRule type="colorScale" priority="10">
      <colorScale>
        <cfvo type="min"/>
        <cfvo type="max"/>
        <color rgb="FFF8696B"/>
        <color rgb="FFFCFCFF"/>
      </colorScale>
    </cfRule>
  </conditionalFormatting>
  <conditionalFormatting sqref="G945">
    <cfRule type="colorScale" priority="9">
      <colorScale>
        <cfvo type="min"/>
        <cfvo type="max"/>
        <color rgb="FFF8696B"/>
        <color rgb="FFFCFCFF"/>
      </colorScale>
    </cfRule>
  </conditionalFormatting>
  <conditionalFormatting sqref="G944">
    <cfRule type="colorScale" priority="8">
      <colorScale>
        <cfvo type="min"/>
        <cfvo type="max"/>
        <color rgb="FFF8696B"/>
        <color rgb="FFFCFCFF"/>
      </colorScale>
    </cfRule>
  </conditionalFormatting>
  <conditionalFormatting sqref="G1017">
    <cfRule type="colorScale" priority="7">
      <colorScale>
        <cfvo type="min"/>
        <cfvo type="max"/>
        <color rgb="FFF8696B"/>
        <color rgb="FFFCFCFF"/>
      </colorScale>
    </cfRule>
  </conditionalFormatting>
  <conditionalFormatting sqref="F1007:F1008 F982:F983 F970:F972 F840:F850 F992:F1005 F747:F821 F1012:F1023 F852:F968 F823:F837">
    <cfRule type="colorScale" priority="10356">
      <colorScale>
        <cfvo type="min"/>
        <cfvo type="max"/>
        <color rgb="FFF8696B"/>
        <color rgb="FFFCFCFF"/>
      </colorScale>
    </cfRule>
  </conditionalFormatting>
  <conditionalFormatting sqref="G1018:G1019">
    <cfRule type="colorScale" priority="10373">
      <colorScale>
        <cfvo type="min"/>
        <cfvo type="max"/>
        <color rgb="FFF8696B"/>
        <color rgb="FFFCFCFF"/>
      </colorScale>
    </cfRule>
  </conditionalFormatting>
  <conditionalFormatting sqref="G951:G952">
    <cfRule type="colorScale" priority="6">
      <colorScale>
        <cfvo type="min"/>
        <cfvo type="max"/>
        <color rgb="FFF8696B"/>
        <color rgb="FFFCFCFF"/>
      </colorScale>
    </cfRule>
  </conditionalFormatting>
  <conditionalFormatting sqref="G266">
    <cfRule type="colorScale" priority="5">
      <colorScale>
        <cfvo type="min"/>
        <cfvo type="max"/>
        <color rgb="FFF8696B"/>
        <color rgb="FFFCFCFF"/>
      </colorScale>
    </cfRule>
  </conditionalFormatting>
  <conditionalFormatting sqref="G975:G976">
    <cfRule type="colorScale" priority="4">
      <colorScale>
        <cfvo type="min"/>
        <cfvo type="max"/>
        <color rgb="FFF8696B"/>
        <color rgb="FFFCFCFF"/>
      </colorScale>
    </cfRule>
  </conditionalFormatting>
  <conditionalFormatting sqref="F974:F976">
    <cfRule type="colorScale" priority="3">
      <colorScale>
        <cfvo type="min"/>
        <cfvo type="max"/>
        <color rgb="FFF8696B"/>
        <color rgb="FFFCFCFF"/>
      </colorScale>
    </cfRule>
  </conditionalFormatting>
  <conditionalFormatting sqref="G1053:G1055">
    <cfRule type="colorScale" priority="2">
      <colorScale>
        <cfvo type="min"/>
        <cfvo type="max"/>
        <color rgb="FFF8696B"/>
        <color rgb="FFFCFCFF"/>
      </colorScale>
    </cfRule>
  </conditionalFormatting>
  <conditionalFormatting sqref="F1245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51D2B7-B7C7-4029-A634-8D24ACE15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F126</xm:sqref>
        </x14:conditionalFormatting>
        <x14:conditionalFormatting xmlns:xm="http://schemas.microsoft.com/office/excel/2006/main">
          <x14:cfRule type="dataBar" id="{C73BCF7D-AC7C-4BD7-88FD-94777AB1F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F747</xm:sqref>
        </x14:conditionalFormatting>
        <x14:conditionalFormatting xmlns:xm="http://schemas.microsoft.com/office/excel/2006/main">
          <x14:cfRule type="dataBar" id="{9E58F7F2-CC20-4DD2-9204-CD1CF8A40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F1046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6348-9562-453C-913B-A34F45DA4729}">
  <dimension ref="A1:J131"/>
  <sheetViews>
    <sheetView showGridLines="0" topLeftCell="A25" workbookViewId="0">
      <selection activeCell="D29" sqref="D29"/>
    </sheetView>
  </sheetViews>
  <sheetFormatPr defaultRowHeight="14.4" x14ac:dyDescent="0.3"/>
  <cols>
    <col min="1" max="1" width="11.44140625" bestFit="1" customWidth="1"/>
    <col min="2" max="2" width="12.77734375" style="659" bestFit="1" customWidth="1"/>
    <col min="3" max="3" width="17.33203125" style="806" customWidth="1"/>
    <col min="4" max="4" width="21.21875" customWidth="1"/>
    <col min="5" max="5" width="115.77734375" customWidth="1"/>
    <col min="6" max="6" width="14.109375" bestFit="1" customWidth="1"/>
    <col min="7" max="7" width="29.88671875" style="724" customWidth="1"/>
    <col min="8" max="8" width="11.44140625" bestFit="1" customWidth="1"/>
  </cols>
  <sheetData>
    <row r="1" spans="1:8" x14ac:dyDescent="0.3">
      <c r="A1" s="1134" t="s">
        <v>1898</v>
      </c>
      <c r="B1" s="1134"/>
      <c r="C1" s="1134"/>
      <c r="D1" s="1134"/>
      <c r="E1" s="1134"/>
      <c r="F1" s="1134"/>
      <c r="G1" s="1134"/>
      <c r="H1" s="1134"/>
    </row>
    <row r="2" spans="1:8" x14ac:dyDescent="0.3">
      <c r="A2" s="1134"/>
      <c r="B2" s="1134"/>
      <c r="C2" s="1134"/>
      <c r="D2" s="1134"/>
      <c r="E2" s="1134"/>
      <c r="F2" s="1134"/>
      <c r="G2" s="1134"/>
      <c r="H2" s="1134"/>
    </row>
    <row r="3" spans="1:8" s="143" customFormat="1" ht="12" customHeight="1" x14ac:dyDescent="0.3">
      <c r="A3" s="799" t="s">
        <v>0</v>
      </c>
      <c r="B3" s="799" t="s">
        <v>1901</v>
      </c>
      <c r="C3" s="799" t="s">
        <v>1899</v>
      </c>
      <c r="D3" s="799" t="s">
        <v>1</v>
      </c>
      <c r="E3" s="799" t="s">
        <v>1900</v>
      </c>
      <c r="F3" s="799" t="s">
        <v>3</v>
      </c>
      <c r="G3" s="799" t="s">
        <v>5</v>
      </c>
      <c r="H3" s="799"/>
    </row>
    <row r="4" spans="1:8" s="139" customFormat="1" ht="13.8" x14ac:dyDescent="0.3">
      <c r="A4" s="100">
        <v>45943</v>
      </c>
      <c r="B4" s="803">
        <v>45947</v>
      </c>
      <c r="C4" s="800" t="s">
        <v>211</v>
      </c>
      <c r="D4" s="14" t="s">
        <v>44</v>
      </c>
      <c r="E4" s="7" t="s">
        <v>1789</v>
      </c>
      <c r="F4" s="8">
        <v>-2827.53</v>
      </c>
      <c r="G4" s="5" t="s">
        <v>1279</v>
      </c>
      <c r="H4" s="798">
        <v>45947</v>
      </c>
    </row>
    <row r="5" spans="1:8" s="139" customFormat="1" ht="13.8" x14ac:dyDescent="0.3">
      <c r="A5" s="100">
        <v>45943</v>
      </c>
      <c r="B5" s="803">
        <v>45947</v>
      </c>
      <c r="C5" s="800" t="s">
        <v>211</v>
      </c>
      <c r="D5" s="14" t="s">
        <v>44</v>
      </c>
      <c r="E5" s="7" t="s">
        <v>1902</v>
      </c>
      <c r="F5" s="8">
        <v>-834.06</v>
      </c>
      <c r="G5" s="5" t="s">
        <v>1440</v>
      </c>
      <c r="H5" s="798">
        <v>45947</v>
      </c>
    </row>
    <row r="6" spans="1:8" s="139" customFormat="1" ht="13.8" x14ac:dyDescent="0.3">
      <c r="A6" s="100">
        <v>45944</v>
      </c>
      <c r="B6" s="803">
        <v>45960</v>
      </c>
      <c r="C6" s="800" t="s">
        <v>211</v>
      </c>
      <c r="D6" s="6" t="s">
        <v>44</v>
      </c>
      <c r="E6" s="7" t="s">
        <v>1849</v>
      </c>
      <c r="F6" s="8">
        <v>-5864.39</v>
      </c>
      <c r="G6" s="9" t="s">
        <v>46</v>
      </c>
      <c r="H6" s="798">
        <v>45954</v>
      </c>
    </row>
    <row r="7" spans="1:8" s="139" customFormat="1" ht="13.8" x14ac:dyDescent="0.3">
      <c r="A7" s="100">
        <v>45945</v>
      </c>
      <c r="B7" s="803">
        <v>45960</v>
      </c>
      <c r="C7" s="800" t="s">
        <v>211</v>
      </c>
      <c r="D7" s="6" t="s">
        <v>31</v>
      </c>
      <c r="E7" s="104" t="s">
        <v>1903</v>
      </c>
      <c r="F7" s="16">
        <v>-2298.0300000000002</v>
      </c>
      <c r="G7" s="5" t="s">
        <v>91</v>
      </c>
      <c r="H7" s="798">
        <v>45960</v>
      </c>
    </row>
    <row r="8" spans="1:8" s="139" customFormat="1" ht="13.8" x14ac:dyDescent="0.3">
      <c r="A8" s="100">
        <v>45945</v>
      </c>
      <c r="B8" s="803">
        <v>45960</v>
      </c>
      <c r="C8" s="800" t="s">
        <v>211</v>
      </c>
      <c r="D8" s="15" t="s">
        <v>25</v>
      </c>
      <c r="E8" s="104" t="s">
        <v>1904</v>
      </c>
      <c r="F8" s="16">
        <v>-1286.52</v>
      </c>
      <c r="G8" s="5" t="s">
        <v>91</v>
      </c>
      <c r="H8" s="798">
        <v>45960</v>
      </c>
    </row>
    <row r="9" spans="1:8" s="139" customFormat="1" ht="13.8" x14ac:dyDescent="0.3">
      <c r="A9" s="100">
        <v>45945</v>
      </c>
      <c r="B9" s="803">
        <v>45960</v>
      </c>
      <c r="C9" s="800" t="s">
        <v>211</v>
      </c>
      <c r="D9" s="12" t="s">
        <v>17</v>
      </c>
      <c r="E9" s="104" t="s">
        <v>1905</v>
      </c>
      <c r="F9" s="16">
        <v>-13578.66</v>
      </c>
      <c r="G9" s="5" t="s">
        <v>91</v>
      </c>
      <c r="H9" s="798">
        <v>45960</v>
      </c>
    </row>
    <row r="10" spans="1:8" s="139" customFormat="1" ht="13.8" x14ac:dyDescent="0.3">
      <c r="A10" s="100">
        <v>45945</v>
      </c>
      <c r="B10" s="803">
        <v>45960</v>
      </c>
      <c r="C10" s="800" t="s">
        <v>211</v>
      </c>
      <c r="D10" s="12" t="s">
        <v>17</v>
      </c>
      <c r="E10" s="4" t="s">
        <v>83</v>
      </c>
      <c r="F10" s="16">
        <v>-20697.900000000001</v>
      </c>
      <c r="G10" s="5" t="s">
        <v>58</v>
      </c>
      <c r="H10" s="798">
        <v>45960</v>
      </c>
    </row>
    <row r="11" spans="1:8" s="139" customFormat="1" ht="13.8" x14ac:dyDescent="0.3">
      <c r="A11" s="100">
        <v>45946</v>
      </c>
      <c r="B11" s="803">
        <v>45960</v>
      </c>
      <c r="C11" s="800" t="s">
        <v>211</v>
      </c>
      <c r="D11" s="7" t="s">
        <v>6</v>
      </c>
      <c r="E11" s="7" t="s">
        <v>1906</v>
      </c>
      <c r="F11" s="8">
        <v>-4636.07</v>
      </c>
      <c r="G11" s="9" t="s">
        <v>124</v>
      </c>
      <c r="H11" s="798">
        <v>45954</v>
      </c>
    </row>
    <row r="12" spans="1:8" s="139" customFormat="1" ht="13.8" x14ac:dyDescent="0.3">
      <c r="A12" s="100">
        <v>45946</v>
      </c>
      <c r="B12" s="803">
        <v>45960</v>
      </c>
      <c r="C12" s="800" t="s">
        <v>211</v>
      </c>
      <c r="D12" s="7" t="s">
        <v>6</v>
      </c>
      <c r="E12" s="7" t="s">
        <v>787</v>
      </c>
      <c r="F12" s="8">
        <v>-8011.38</v>
      </c>
      <c r="G12" s="9" t="s">
        <v>124</v>
      </c>
      <c r="H12" s="798">
        <v>45954</v>
      </c>
    </row>
    <row r="13" spans="1:8" s="139" customFormat="1" ht="13.8" x14ac:dyDescent="0.3">
      <c r="A13" s="100">
        <v>45946</v>
      </c>
      <c r="B13" s="803">
        <v>45960</v>
      </c>
      <c r="C13" s="800" t="s">
        <v>211</v>
      </c>
      <c r="D13" s="12" t="s">
        <v>44</v>
      </c>
      <c r="E13" s="4" t="s">
        <v>1835</v>
      </c>
      <c r="F13" s="16">
        <v>-4492.67</v>
      </c>
      <c r="G13" s="9" t="s">
        <v>124</v>
      </c>
      <c r="H13" s="798">
        <v>45954</v>
      </c>
    </row>
    <row r="14" spans="1:8" s="139" customFormat="1" ht="13.8" x14ac:dyDescent="0.3">
      <c r="A14" s="100">
        <v>45946</v>
      </c>
      <c r="B14" s="803">
        <v>45960</v>
      </c>
      <c r="C14" s="800" t="s">
        <v>211</v>
      </c>
      <c r="D14" s="12" t="s">
        <v>25</v>
      </c>
      <c r="E14" s="4" t="s">
        <v>1836</v>
      </c>
      <c r="F14" s="16">
        <v>-1105.31</v>
      </c>
      <c r="G14" s="9" t="s">
        <v>124</v>
      </c>
      <c r="H14" s="798">
        <v>45954</v>
      </c>
    </row>
    <row r="15" spans="1:8" s="139" customFormat="1" ht="13.8" x14ac:dyDescent="0.3">
      <c r="A15" s="100">
        <v>45946</v>
      </c>
      <c r="B15" s="803">
        <v>45960</v>
      </c>
      <c r="C15" s="800" t="s">
        <v>211</v>
      </c>
      <c r="D15" s="12" t="s">
        <v>31</v>
      </c>
      <c r="E15" s="4" t="s">
        <v>1837</v>
      </c>
      <c r="F15" s="16">
        <v>-1375.8</v>
      </c>
      <c r="G15" s="9" t="s">
        <v>124</v>
      </c>
      <c r="H15" s="798">
        <v>45954</v>
      </c>
    </row>
    <row r="16" spans="1:8" s="139" customFormat="1" ht="13.8" x14ac:dyDescent="0.3">
      <c r="A16" s="100">
        <v>45946</v>
      </c>
      <c r="B16" s="803">
        <v>45960</v>
      </c>
      <c r="C16" s="800" t="s">
        <v>211</v>
      </c>
      <c r="D16" s="12" t="s">
        <v>32</v>
      </c>
      <c r="E16" s="4" t="s">
        <v>1838</v>
      </c>
      <c r="F16" s="16">
        <v>-1418.32</v>
      </c>
      <c r="G16" s="9" t="s">
        <v>124</v>
      </c>
      <c r="H16" s="798">
        <v>45954</v>
      </c>
    </row>
    <row r="17" spans="1:8" s="139" customFormat="1" ht="13.8" x14ac:dyDescent="0.3">
      <c r="A17" s="100">
        <v>45946</v>
      </c>
      <c r="B17" s="803">
        <v>45960</v>
      </c>
      <c r="C17" s="800" t="s">
        <v>211</v>
      </c>
      <c r="D17" s="12" t="s">
        <v>33</v>
      </c>
      <c r="E17" s="4" t="s">
        <v>1839</v>
      </c>
      <c r="F17" s="16">
        <v>-5040.0600000000004</v>
      </c>
      <c r="G17" s="9" t="s">
        <v>124</v>
      </c>
      <c r="H17" s="798">
        <v>45954</v>
      </c>
    </row>
    <row r="18" spans="1:8" s="139" customFormat="1" ht="13.8" x14ac:dyDescent="0.3">
      <c r="A18" s="100">
        <v>45946</v>
      </c>
      <c r="B18" s="803">
        <v>45960</v>
      </c>
      <c r="C18" s="800" t="s">
        <v>211</v>
      </c>
      <c r="D18" s="12" t="s">
        <v>34</v>
      </c>
      <c r="E18" s="4" t="s">
        <v>1840</v>
      </c>
      <c r="F18" s="16">
        <v>-5232.74</v>
      </c>
      <c r="G18" s="9" t="s">
        <v>124</v>
      </c>
      <c r="H18" s="798">
        <v>45954</v>
      </c>
    </row>
    <row r="19" spans="1:8" s="139" customFormat="1" ht="13.8" x14ac:dyDescent="0.3">
      <c r="A19" s="100">
        <v>45946</v>
      </c>
      <c r="B19" s="803">
        <v>45960</v>
      </c>
      <c r="C19" s="800" t="s">
        <v>211</v>
      </c>
      <c r="D19" s="12" t="s">
        <v>30</v>
      </c>
      <c r="E19" s="4" t="s">
        <v>1841</v>
      </c>
      <c r="F19" s="16">
        <v>-884.67</v>
      </c>
      <c r="G19" s="9" t="s">
        <v>124</v>
      </c>
      <c r="H19" s="798">
        <v>45954</v>
      </c>
    </row>
    <row r="20" spans="1:8" s="139" customFormat="1" ht="13.8" x14ac:dyDescent="0.3">
      <c r="A20" s="100">
        <v>45946</v>
      </c>
      <c r="B20" s="803">
        <v>45960</v>
      </c>
      <c r="C20" s="800" t="s">
        <v>211</v>
      </c>
      <c r="D20" s="812" t="s">
        <v>17</v>
      </c>
      <c r="E20" s="813" t="s">
        <v>1853</v>
      </c>
      <c r="F20" s="787">
        <v>-13668.57</v>
      </c>
      <c r="G20" s="9" t="s">
        <v>124</v>
      </c>
      <c r="H20" s="798">
        <v>45954</v>
      </c>
    </row>
    <row r="21" spans="1:8" s="151" customFormat="1" ht="13.8" x14ac:dyDescent="0.3">
      <c r="A21" s="144">
        <v>45946</v>
      </c>
      <c r="B21" s="803">
        <v>45960</v>
      </c>
      <c r="C21" s="814" t="s">
        <v>211</v>
      </c>
      <c r="D21" s="246" t="s">
        <v>71</v>
      </c>
      <c r="E21" s="813" t="s">
        <v>1719</v>
      </c>
      <c r="F21" s="85">
        <v>-2851.4</v>
      </c>
      <c r="G21" s="86" t="s">
        <v>124</v>
      </c>
      <c r="H21" s="815">
        <v>45954</v>
      </c>
    </row>
    <row r="22" spans="1:8" s="139" customFormat="1" ht="13.8" x14ac:dyDescent="0.3">
      <c r="A22" s="100">
        <v>45946</v>
      </c>
      <c r="B22" s="803">
        <v>45960</v>
      </c>
      <c r="C22" s="800" t="s">
        <v>211</v>
      </c>
      <c r="D22" s="12" t="s">
        <v>6</v>
      </c>
      <c r="E22" s="4" t="s">
        <v>1846</v>
      </c>
      <c r="F22" s="16">
        <v>-35000</v>
      </c>
      <c r="G22" s="9" t="s">
        <v>124</v>
      </c>
      <c r="H22" s="798">
        <v>45954</v>
      </c>
    </row>
    <row r="23" spans="1:8" s="139" customFormat="1" ht="13.8" x14ac:dyDescent="0.3">
      <c r="A23" s="100">
        <v>45946</v>
      </c>
      <c r="B23" s="803">
        <v>45960</v>
      </c>
      <c r="C23" s="800" t="s">
        <v>211</v>
      </c>
      <c r="D23" s="12" t="s">
        <v>17</v>
      </c>
      <c r="E23" s="7" t="s">
        <v>1907</v>
      </c>
      <c r="F23" s="16">
        <v>-5988.61</v>
      </c>
      <c r="G23" s="9" t="s">
        <v>124</v>
      </c>
      <c r="H23" s="798">
        <v>45954</v>
      </c>
    </row>
    <row r="24" spans="1:8" s="139" customFormat="1" ht="13.8" x14ac:dyDescent="0.3">
      <c r="A24" s="100">
        <v>45946</v>
      </c>
      <c r="B24" s="803">
        <v>45960</v>
      </c>
      <c r="C24" s="800" t="s">
        <v>211</v>
      </c>
      <c r="D24" s="12" t="s">
        <v>17</v>
      </c>
      <c r="E24" s="7" t="s">
        <v>1908</v>
      </c>
      <c r="F24" s="16">
        <v>-4434.6099999999997</v>
      </c>
      <c r="G24" s="9" t="s">
        <v>124</v>
      </c>
      <c r="H24" s="798">
        <v>45954</v>
      </c>
    </row>
    <row r="25" spans="1:8" s="139" customFormat="1" ht="13.8" x14ac:dyDescent="0.3">
      <c r="A25" s="100">
        <v>45946</v>
      </c>
      <c r="B25" s="803">
        <v>45960</v>
      </c>
      <c r="C25" s="800" t="s">
        <v>211</v>
      </c>
      <c r="D25" s="14" t="s">
        <v>31</v>
      </c>
      <c r="E25" s="7" t="s">
        <v>1883</v>
      </c>
      <c r="F25" s="8">
        <v>-1239.92</v>
      </c>
      <c r="G25" s="9" t="s">
        <v>85</v>
      </c>
      <c r="H25" s="798">
        <v>45954</v>
      </c>
    </row>
    <row r="26" spans="1:8" s="139" customFormat="1" ht="13.8" x14ac:dyDescent="0.3">
      <c r="A26" s="100">
        <v>45946</v>
      </c>
      <c r="B26" s="803">
        <v>45960</v>
      </c>
      <c r="C26" s="800" t="s">
        <v>211</v>
      </c>
      <c r="D26" s="14" t="s">
        <v>6</v>
      </c>
      <c r="E26" s="7" t="s">
        <v>1883</v>
      </c>
      <c r="F26" s="8">
        <v>-1627.39</v>
      </c>
      <c r="G26" s="9" t="s">
        <v>85</v>
      </c>
      <c r="H26" s="798">
        <v>45954</v>
      </c>
    </row>
    <row r="27" spans="1:8" s="139" customFormat="1" ht="13.8" x14ac:dyDescent="0.3">
      <c r="A27" s="100">
        <v>45946</v>
      </c>
      <c r="B27" s="803">
        <v>45960</v>
      </c>
      <c r="C27" s="800" t="s">
        <v>211</v>
      </c>
      <c r="D27" s="14" t="s">
        <v>44</v>
      </c>
      <c r="E27" s="7" t="s">
        <v>1883</v>
      </c>
      <c r="F27" s="8">
        <v>-1162.42</v>
      </c>
      <c r="G27" s="9" t="s">
        <v>85</v>
      </c>
      <c r="H27" s="798">
        <v>45954</v>
      </c>
    </row>
    <row r="28" spans="1:8" s="139" customFormat="1" ht="13.8" x14ac:dyDescent="0.3">
      <c r="A28" s="100">
        <v>45946</v>
      </c>
      <c r="B28" s="803">
        <v>45960</v>
      </c>
      <c r="C28" s="800" t="s">
        <v>211</v>
      </c>
      <c r="D28" s="14" t="s">
        <v>44</v>
      </c>
      <c r="E28" s="7" t="s">
        <v>1883</v>
      </c>
      <c r="F28" s="8">
        <v>-3099.8</v>
      </c>
      <c r="G28" s="9" t="s">
        <v>85</v>
      </c>
      <c r="H28" s="798">
        <v>45954</v>
      </c>
    </row>
    <row r="29" spans="1:8" s="139" customFormat="1" ht="13.8" x14ac:dyDescent="0.3">
      <c r="A29" s="100">
        <v>45946</v>
      </c>
      <c r="B29" s="803">
        <v>45960</v>
      </c>
      <c r="C29" s="800" t="s">
        <v>211</v>
      </c>
      <c r="D29" s="14" t="s">
        <v>25</v>
      </c>
      <c r="E29" s="7" t="s">
        <v>1883</v>
      </c>
      <c r="F29" s="8">
        <v>-3564.77</v>
      </c>
      <c r="G29" s="9" t="s">
        <v>85</v>
      </c>
      <c r="H29" s="798">
        <v>45954</v>
      </c>
    </row>
    <row r="30" spans="1:8" s="139" customFormat="1" ht="13.8" x14ac:dyDescent="0.3">
      <c r="A30" s="100">
        <v>45946</v>
      </c>
      <c r="B30" s="803">
        <v>45960</v>
      </c>
      <c r="C30" s="800" t="s">
        <v>211</v>
      </c>
      <c r="D30" s="14" t="s">
        <v>33</v>
      </c>
      <c r="E30" s="7" t="s">
        <v>1883</v>
      </c>
      <c r="F30" s="8">
        <v>-929.94</v>
      </c>
      <c r="G30" s="9" t="s">
        <v>85</v>
      </c>
      <c r="H30" s="798">
        <v>45954</v>
      </c>
    </row>
    <row r="31" spans="1:8" s="139" customFormat="1" ht="13.8" x14ac:dyDescent="0.3">
      <c r="A31" s="100">
        <v>45946</v>
      </c>
      <c r="B31" s="803">
        <v>45960</v>
      </c>
      <c r="C31" s="800" t="s">
        <v>211</v>
      </c>
      <c r="D31" s="14" t="s">
        <v>104</v>
      </c>
      <c r="E31" s="7" t="s">
        <v>1883</v>
      </c>
      <c r="F31" s="8">
        <v>-697.45</v>
      </c>
      <c r="G31" s="9" t="s">
        <v>85</v>
      </c>
      <c r="H31" s="798">
        <v>45954</v>
      </c>
    </row>
    <row r="32" spans="1:8" s="139" customFormat="1" ht="13.8" x14ac:dyDescent="0.3">
      <c r="A32" s="100">
        <v>45946</v>
      </c>
      <c r="B32" s="803">
        <v>45960</v>
      </c>
      <c r="C32" s="800" t="s">
        <v>211</v>
      </c>
      <c r="D32" s="14" t="s">
        <v>32</v>
      </c>
      <c r="E32" s="7" t="s">
        <v>1883</v>
      </c>
      <c r="F32" s="8">
        <v>-2479.84</v>
      </c>
      <c r="G32" s="9" t="s">
        <v>85</v>
      </c>
      <c r="H32" s="798">
        <v>45954</v>
      </c>
    </row>
    <row r="33" spans="1:8" s="139" customFormat="1" ht="13.8" x14ac:dyDescent="0.3">
      <c r="A33" s="100">
        <v>45946</v>
      </c>
      <c r="B33" s="803">
        <v>45960</v>
      </c>
      <c r="C33" s="800" t="s">
        <v>211</v>
      </c>
      <c r="D33" s="14" t="s">
        <v>71</v>
      </c>
      <c r="E33" s="7" t="s">
        <v>1883</v>
      </c>
      <c r="F33" s="8">
        <v>-1394.91</v>
      </c>
      <c r="G33" s="9" t="s">
        <v>85</v>
      </c>
      <c r="H33" s="798">
        <v>45954</v>
      </c>
    </row>
    <row r="34" spans="1:8" s="139" customFormat="1" ht="13.8" x14ac:dyDescent="0.3">
      <c r="A34" s="100">
        <v>45946</v>
      </c>
      <c r="B34" s="803">
        <v>45960</v>
      </c>
      <c r="C34" s="800" t="s">
        <v>211</v>
      </c>
      <c r="D34" s="14" t="s">
        <v>17</v>
      </c>
      <c r="E34" s="7" t="s">
        <v>1883</v>
      </c>
      <c r="F34" s="8">
        <v>-619.96</v>
      </c>
      <c r="G34" s="9" t="s">
        <v>85</v>
      </c>
      <c r="H34" s="798">
        <v>45954</v>
      </c>
    </row>
    <row r="35" spans="1:8" s="139" customFormat="1" ht="13.8" x14ac:dyDescent="0.3">
      <c r="A35" s="100">
        <v>45946</v>
      </c>
      <c r="B35" s="803">
        <v>45960</v>
      </c>
      <c r="C35" s="800" t="s">
        <v>211</v>
      </c>
      <c r="D35" s="12" t="s">
        <v>6</v>
      </c>
      <c r="E35" s="4" t="s">
        <v>1885</v>
      </c>
      <c r="F35" s="16">
        <v>-139.25</v>
      </c>
      <c r="G35" s="5" t="s">
        <v>99</v>
      </c>
      <c r="H35" s="798">
        <v>45960</v>
      </c>
    </row>
    <row r="36" spans="1:8" s="139" customFormat="1" ht="13.8" x14ac:dyDescent="0.3">
      <c r="A36" s="100">
        <v>45946</v>
      </c>
      <c r="B36" s="803">
        <v>45960</v>
      </c>
      <c r="C36" s="800" t="s">
        <v>211</v>
      </c>
      <c r="D36" s="12" t="s">
        <v>6</v>
      </c>
      <c r="E36" s="4" t="s">
        <v>1884</v>
      </c>
      <c r="F36" s="16">
        <v>-141.69999999999999</v>
      </c>
      <c r="G36" s="5" t="s">
        <v>99</v>
      </c>
      <c r="H36" s="798">
        <v>45960</v>
      </c>
    </row>
    <row r="37" spans="1:8" s="139" customFormat="1" ht="13.8" x14ac:dyDescent="0.3">
      <c r="A37" s="100">
        <v>45946</v>
      </c>
      <c r="B37" s="803">
        <v>45960</v>
      </c>
      <c r="C37" s="800" t="s">
        <v>211</v>
      </c>
      <c r="D37" s="12" t="s">
        <v>6</v>
      </c>
      <c r="E37" s="4" t="s">
        <v>1884</v>
      </c>
      <c r="F37" s="16">
        <v>-141.69999999999999</v>
      </c>
      <c r="G37" s="5" t="s">
        <v>99</v>
      </c>
      <c r="H37" s="798">
        <v>45960</v>
      </c>
    </row>
    <row r="38" spans="1:8" s="139" customFormat="1" ht="13.8" x14ac:dyDescent="0.3">
      <c r="A38" s="100">
        <v>45946</v>
      </c>
      <c r="B38" s="803">
        <v>45960</v>
      </c>
      <c r="C38" s="800" t="s">
        <v>211</v>
      </c>
      <c r="D38" s="12" t="s">
        <v>6</v>
      </c>
      <c r="E38" s="4" t="s">
        <v>1884</v>
      </c>
      <c r="F38" s="16">
        <v>-141.69999999999999</v>
      </c>
      <c r="G38" s="5" t="s">
        <v>99</v>
      </c>
      <c r="H38" s="798">
        <v>45960</v>
      </c>
    </row>
    <row r="39" spans="1:8" s="139" customFormat="1" ht="25.2" x14ac:dyDescent="0.3">
      <c r="A39" s="78">
        <v>45946</v>
      </c>
      <c r="B39" s="803">
        <v>45960</v>
      </c>
      <c r="C39" s="800" t="s">
        <v>211</v>
      </c>
      <c r="D39" s="14" t="s">
        <v>25</v>
      </c>
      <c r="E39" s="7" t="s">
        <v>1930</v>
      </c>
      <c r="F39" s="8">
        <v>-1866.46</v>
      </c>
      <c r="G39" s="9" t="s">
        <v>815</v>
      </c>
      <c r="H39" s="798">
        <v>45960</v>
      </c>
    </row>
    <row r="40" spans="1:8" s="139" customFormat="1" ht="13.2" customHeight="1" x14ac:dyDescent="0.3">
      <c r="A40" s="100">
        <v>45947</v>
      </c>
      <c r="B40" s="803">
        <v>45960</v>
      </c>
      <c r="C40" s="800" t="s">
        <v>211</v>
      </c>
      <c r="D40" s="6" t="s">
        <v>71</v>
      </c>
      <c r="E40" s="7" t="s">
        <v>1856</v>
      </c>
      <c r="F40" s="8">
        <v>-4347.01</v>
      </c>
      <c r="G40" s="9" t="s">
        <v>73</v>
      </c>
      <c r="H40" s="798">
        <v>45954</v>
      </c>
    </row>
    <row r="41" spans="1:8" s="139" customFormat="1" ht="13.8" x14ac:dyDescent="0.3">
      <c r="A41" s="100">
        <v>45947</v>
      </c>
      <c r="B41" s="803">
        <v>45960</v>
      </c>
      <c r="C41" s="800" t="s">
        <v>211</v>
      </c>
      <c r="D41" s="6" t="s">
        <v>71</v>
      </c>
      <c r="E41" s="7" t="s">
        <v>1857</v>
      </c>
      <c r="F41" s="8">
        <v>-2173.96</v>
      </c>
      <c r="G41" s="9" t="s">
        <v>73</v>
      </c>
      <c r="H41" s="798">
        <v>45954</v>
      </c>
    </row>
    <row r="42" spans="1:8" s="139" customFormat="1" ht="13.8" x14ac:dyDescent="0.3">
      <c r="A42" s="100">
        <v>45947</v>
      </c>
      <c r="B42" s="803">
        <v>45960</v>
      </c>
      <c r="C42" s="800" t="s">
        <v>211</v>
      </c>
      <c r="D42" s="12" t="s">
        <v>17</v>
      </c>
      <c r="E42" s="4" t="s">
        <v>1855</v>
      </c>
      <c r="F42" s="16">
        <v>-3760</v>
      </c>
      <c r="G42" s="5" t="s">
        <v>73</v>
      </c>
      <c r="H42" s="798">
        <v>45954</v>
      </c>
    </row>
    <row r="43" spans="1:8" s="139" customFormat="1" ht="13.8" x14ac:dyDescent="0.3">
      <c r="A43" s="100">
        <v>45947</v>
      </c>
      <c r="B43" s="803">
        <v>45960</v>
      </c>
      <c r="C43" s="800" t="s">
        <v>211</v>
      </c>
      <c r="D43" s="12" t="s">
        <v>13</v>
      </c>
      <c r="E43" s="4" t="s">
        <v>1855</v>
      </c>
      <c r="F43" s="16">
        <v>-5460</v>
      </c>
      <c r="G43" s="5" t="s">
        <v>73</v>
      </c>
      <c r="H43" s="798">
        <v>45954</v>
      </c>
    </row>
    <row r="44" spans="1:8" s="139" customFormat="1" ht="13.8" x14ac:dyDescent="0.3">
      <c r="A44" s="100">
        <v>45947</v>
      </c>
      <c r="B44" s="803">
        <v>45960</v>
      </c>
      <c r="C44" s="800" t="s">
        <v>211</v>
      </c>
      <c r="D44" s="12" t="s">
        <v>6</v>
      </c>
      <c r="E44" s="4" t="s">
        <v>1854</v>
      </c>
      <c r="F44" s="16">
        <v>-4500</v>
      </c>
      <c r="G44" s="5" t="s">
        <v>111</v>
      </c>
      <c r="H44" s="798">
        <v>45954</v>
      </c>
    </row>
    <row r="45" spans="1:8" s="139" customFormat="1" ht="14.4" customHeight="1" x14ac:dyDescent="0.3">
      <c r="A45" s="100">
        <v>45947</v>
      </c>
      <c r="B45" s="803">
        <v>45960</v>
      </c>
      <c r="C45" s="800" t="s">
        <v>211</v>
      </c>
      <c r="D45" s="12" t="s">
        <v>6</v>
      </c>
      <c r="E45" s="4" t="s">
        <v>1810</v>
      </c>
      <c r="F45" s="16">
        <v>-4500</v>
      </c>
      <c r="G45" s="5" t="s">
        <v>51</v>
      </c>
      <c r="H45" s="798">
        <v>45954</v>
      </c>
    </row>
    <row r="46" spans="1:8" s="139" customFormat="1" ht="13.8" x14ac:dyDescent="0.3">
      <c r="A46" s="100">
        <v>45950</v>
      </c>
      <c r="B46" s="803">
        <v>45960</v>
      </c>
      <c r="C46" s="800" t="s">
        <v>211</v>
      </c>
      <c r="D46" s="12" t="s">
        <v>6</v>
      </c>
      <c r="E46" s="4" t="s">
        <v>121</v>
      </c>
      <c r="F46" s="8">
        <v>-1114.33</v>
      </c>
      <c r="G46" s="5" t="s">
        <v>68</v>
      </c>
      <c r="H46" s="798">
        <v>45960</v>
      </c>
    </row>
    <row r="47" spans="1:8" s="139" customFormat="1" ht="13.8" x14ac:dyDescent="0.3">
      <c r="A47" s="100">
        <v>45950</v>
      </c>
      <c r="B47" s="803">
        <v>45961</v>
      </c>
      <c r="C47" s="800" t="s">
        <v>211</v>
      </c>
      <c r="D47" s="6" t="s">
        <v>17</v>
      </c>
      <c r="E47" s="7" t="s">
        <v>126</v>
      </c>
      <c r="F47" s="16">
        <v>-3000</v>
      </c>
      <c r="G47" s="9" t="s">
        <v>124</v>
      </c>
      <c r="H47" s="798">
        <v>45961</v>
      </c>
    </row>
    <row r="48" spans="1:8" s="139" customFormat="1" ht="13.8" x14ac:dyDescent="0.3">
      <c r="A48" s="100">
        <v>45950</v>
      </c>
      <c r="B48" s="803">
        <v>45961</v>
      </c>
      <c r="C48" s="800" t="s">
        <v>211</v>
      </c>
      <c r="D48" s="6" t="s">
        <v>17</v>
      </c>
      <c r="E48" s="7" t="s">
        <v>1859</v>
      </c>
      <c r="F48" s="16">
        <v>-15000</v>
      </c>
      <c r="G48" s="9" t="s">
        <v>124</v>
      </c>
      <c r="H48" s="798">
        <v>45961</v>
      </c>
    </row>
    <row r="49" spans="1:8" s="139" customFormat="1" ht="13.8" x14ac:dyDescent="0.3">
      <c r="A49" s="100">
        <v>45950</v>
      </c>
      <c r="B49" s="803">
        <v>45960</v>
      </c>
      <c r="C49" s="800" t="s">
        <v>211</v>
      </c>
      <c r="D49" s="6" t="s">
        <v>31</v>
      </c>
      <c r="E49" s="7" t="s">
        <v>1889</v>
      </c>
      <c r="F49" s="8">
        <v>-2324.85</v>
      </c>
      <c r="G49" s="5" t="s">
        <v>85</v>
      </c>
      <c r="H49" s="798">
        <v>45960</v>
      </c>
    </row>
    <row r="50" spans="1:8" s="139" customFormat="1" ht="13.8" x14ac:dyDescent="0.3">
      <c r="A50" s="100">
        <v>45950</v>
      </c>
      <c r="B50" s="803">
        <v>45960</v>
      </c>
      <c r="C50" s="800" t="s">
        <v>211</v>
      </c>
      <c r="D50" s="6" t="s">
        <v>6</v>
      </c>
      <c r="E50" s="7" t="s">
        <v>1889</v>
      </c>
      <c r="F50" s="8">
        <v>-2944.81</v>
      </c>
      <c r="G50" s="5" t="s">
        <v>85</v>
      </c>
      <c r="H50" s="798">
        <v>45960</v>
      </c>
    </row>
    <row r="51" spans="1:8" s="139" customFormat="1" ht="13.8" x14ac:dyDescent="0.3">
      <c r="A51" s="100">
        <v>45950</v>
      </c>
      <c r="B51" s="803">
        <v>45960</v>
      </c>
      <c r="C51" s="800" t="s">
        <v>211</v>
      </c>
      <c r="D51" s="6" t="s">
        <v>44</v>
      </c>
      <c r="E51" s="7" t="s">
        <v>1889</v>
      </c>
      <c r="F51" s="8">
        <v>-2867.32</v>
      </c>
      <c r="G51" s="5" t="s">
        <v>85</v>
      </c>
      <c r="H51" s="798">
        <v>45960</v>
      </c>
    </row>
    <row r="52" spans="1:8" s="139" customFormat="1" ht="13.8" x14ac:dyDescent="0.3">
      <c r="A52" s="100">
        <v>45950</v>
      </c>
      <c r="B52" s="803">
        <v>45960</v>
      </c>
      <c r="C52" s="800" t="s">
        <v>211</v>
      </c>
      <c r="D52" s="6" t="s">
        <v>44</v>
      </c>
      <c r="E52" s="7" t="s">
        <v>1889</v>
      </c>
      <c r="F52" s="8">
        <v>-852.45</v>
      </c>
      <c r="G52" s="5" t="s">
        <v>85</v>
      </c>
      <c r="H52" s="798">
        <v>45960</v>
      </c>
    </row>
    <row r="53" spans="1:8" s="139" customFormat="1" ht="13.8" x14ac:dyDescent="0.3">
      <c r="A53" s="100">
        <v>45950</v>
      </c>
      <c r="B53" s="803">
        <v>45960</v>
      </c>
      <c r="C53" s="800" t="s">
        <v>211</v>
      </c>
      <c r="D53" s="6" t="s">
        <v>25</v>
      </c>
      <c r="E53" s="7" t="s">
        <v>1889</v>
      </c>
      <c r="F53" s="8">
        <v>-2789.82</v>
      </c>
      <c r="G53" s="5" t="s">
        <v>85</v>
      </c>
      <c r="H53" s="798">
        <v>45960</v>
      </c>
    </row>
    <row r="54" spans="1:8" s="139" customFormat="1" ht="13.8" x14ac:dyDescent="0.3">
      <c r="A54" s="100">
        <v>45950</v>
      </c>
      <c r="B54" s="803">
        <v>45960</v>
      </c>
      <c r="C54" s="800" t="s">
        <v>211</v>
      </c>
      <c r="D54" s="6" t="s">
        <v>33</v>
      </c>
      <c r="E54" s="7" t="s">
        <v>1889</v>
      </c>
      <c r="F54" s="8">
        <v>-852.45</v>
      </c>
      <c r="G54" s="5" t="s">
        <v>85</v>
      </c>
      <c r="H54" s="798">
        <v>45960</v>
      </c>
    </row>
    <row r="55" spans="1:8" s="139" customFormat="1" ht="13.8" x14ac:dyDescent="0.3">
      <c r="A55" s="100">
        <v>45950</v>
      </c>
      <c r="B55" s="803">
        <v>45960</v>
      </c>
      <c r="C55" s="800" t="s">
        <v>211</v>
      </c>
      <c r="D55" s="6" t="s">
        <v>104</v>
      </c>
      <c r="E55" s="7" t="s">
        <v>1889</v>
      </c>
      <c r="F55" s="8">
        <v>-619.96</v>
      </c>
      <c r="G55" s="5" t="s">
        <v>85</v>
      </c>
      <c r="H55" s="798">
        <v>45960</v>
      </c>
    </row>
    <row r="56" spans="1:8" s="139" customFormat="1" ht="13.8" x14ac:dyDescent="0.3">
      <c r="A56" s="100">
        <v>45950</v>
      </c>
      <c r="B56" s="803">
        <v>45960</v>
      </c>
      <c r="C56" s="800" t="s">
        <v>211</v>
      </c>
      <c r="D56" s="6" t="s">
        <v>32</v>
      </c>
      <c r="E56" s="7" t="s">
        <v>1889</v>
      </c>
      <c r="F56" s="8">
        <v>-154.99</v>
      </c>
      <c r="G56" s="5" t="s">
        <v>85</v>
      </c>
      <c r="H56" s="798">
        <v>45960</v>
      </c>
    </row>
    <row r="57" spans="1:8" s="139" customFormat="1" ht="13.8" x14ac:dyDescent="0.3">
      <c r="A57" s="100">
        <v>45950</v>
      </c>
      <c r="B57" s="803">
        <v>45960</v>
      </c>
      <c r="C57" s="800" t="s">
        <v>211</v>
      </c>
      <c r="D57" s="6" t="s">
        <v>71</v>
      </c>
      <c r="E57" s="7" t="s">
        <v>1889</v>
      </c>
      <c r="F57" s="8">
        <v>-852.45</v>
      </c>
      <c r="G57" s="5" t="s">
        <v>85</v>
      </c>
      <c r="H57" s="798">
        <v>45960</v>
      </c>
    </row>
    <row r="58" spans="1:8" s="139" customFormat="1" ht="13.8" x14ac:dyDescent="0.3">
      <c r="A58" s="100">
        <v>45950</v>
      </c>
      <c r="B58" s="803">
        <v>45960</v>
      </c>
      <c r="C58" s="800" t="s">
        <v>211</v>
      </c>
      <c r="D58" s="6" t="s">
        <v>17</v>
      </c>
      <c r="E58" s="7" t="s">
        <v>1889</v>
      </c>
      <c r="F58" s="8">
        <v>-77.5</v>
      </c>
      <c r="G58" s="5" t="s">
        <v>85</v>
      </c>
      <c r="H58" s="798">
        <v>45960</v>
      </c>
    </row>
    <row r="59" spans="1:8" s="139" customFormat="1" ht="13.8" x14ac:dyDescent="0.3">
      <c r="A59" s="100">
        <v>45950</v>
      </c>
      <c r="B59" s="803">
        <v>45961</v>
      </c>
      <c r="C59" s="800" t="s">
        <v>211</v>
      </c>
      <c r="D59" s="14" t="s">
        <v>6</v>
      </c>
      <c r="E59" s="7" t="s">
        <v>1891</v>
      </c>
      <c r="F59" s="329">
        <v>-6110.96</v>
      </c>
      <c r="G59" s="9" t="s">
        <v>124</v>
      </c>
      <c r="H59" s="798">
        <v>45961</v>
      </c>
    </row>
    <row r="60" spans="1:8" s="139" customFormat="1" ht="13.8" x14ac:dyDescent="0.3">
      <c r="A60" s="100">
        <v>45950</v>
      </c>
      <c r="B60" s="803">
        <v>45961</v>
      </c>
      <c r="C60" s="800" t="s">
        <v>211</v>
      </c>
      <c r="D60" s="14" t="s">
        <v>31</v>
      </c>
      <c r="E60" s="7" t="s">
        <v>1892</v>
      </c>
      <c r="F60" s="329">
        <v>-11853.17</v>
      </c>
      <c r="G60" s="9" t="s">
        <v>124</v>
      </c>
      <c r="H60" s="798">
        <v>45961</v>
      </c>
    </row>
    <row r="61" spans="1:8" s="139" customFormat="1" ht="13.8" x14ac:dyDescent="0.3">
      <c r="A61" s="100">
        <v>45950</v>
      </c>
      <c r="B61" s="803">
        <v>45961</v>
      </c>
      <c r="C61" s="800" t="s">
        <v>211</v>
      </c>
      <c r="D61" s="14" t="s">
        <v>31</v>
      </c>
      <c r="E61" s="7" t="s">
        <v>1822</v>
      </c>
      <c r="F61" s="329">
        <v>-7961.59</v>
      </c>
      <c r="G61" s="9" t="s">
        <v>124</v>
      </c>
      <c r="H61" s="798">
        <v>45961</v>
      </c>
    </row>
    <row r="62" spans="1:8" s="139" customFormat="1" ht="13.8" x14ac:dyDescent="0.3">
      <c r="A62" s="100">
        <v>45950</v>
      </c>
      <c r="B62" s="803">
        <v>45961</v>
      </c>
      <c r="C62" s="800" t="s">
        <v>211</v>
      </c>
      <c r="D62" s="14" t="s">
        <v>6</v>
      </c>
      <c r="E62" s="7" t="s">
        <v>1893</v>
      </c>
      <c r="F62" s="329">
        <v>-12727.59</v>
      </c>
      <c r="G62" s="9" t="s">
        <v>124</v>
      </c>
      <c r="H62" s="798">
        <v>45961</v>
      </c>
    </row>
    <row r="63" spans="1:8" s="139" customFormat="1" ht="13.8" x14ac:dyDescent="0.3">
      <c r="A63" s="100">
        <v>45950</v>
      </c>
      <c r="B63" s="803">
        <v>45961</v>
      </c>
      <c r="C63" s="800" t="s">
        <v>211</v>
      </c>
      <c r="D63" s="14" t="s">
        <v>33</v>
      </c>
      <c r="E63" s="7" t="s">
        <v>1894</v>
      </c>
      <c r="F63" s="329">
        <v>-5274.52</v>
      </c>
      <c r="G63" s="9" t="s">
        <v>124</v>
      </c>
      <c r="H63" s="798">
        <v>45961</v>
      </c>
    </row>
    <row r="64" spans="1:8" s="139" customFormat="1" ht="13.8" x14ac:dyDescent="0.3">
      <c r="A64" s="100">
        <v>45950</v>
      </c>
      <c r="B64" s="803">
        <v>45961</v>
      </c>
      <c r="C64" s="800" t="s">
        <v>211</v>
      </c>
      <c r="D64" s="14" t="s">
        <v>33</v>
      </c>
      <c r="E64" s="7" t="s">
        <v>1826</v>
      </c>
      <c r="F64" s="329">
        <v>-1760.67</v>
      </c>
      <c r="G64" s="9" t="s">
        <v>124</v>
      </c>
      <c r="H64" s="798">
        <v>45961</v>
      </c>
    </row>
    <row r="65" spans="1:10" s="139" customFormat="1" ht="13.8" x14ac:dyDescent="0.3">
      <c r="A65" s="100">
        <v>45950</v>
      </c>
      <c r="B65" s="803">
        <v>45961</v>
      </c>
      <c r="C65" s="800" t="s">
        <v>211</v>
      </c>
      <c r="D65" s="14" t="s">
        <v>17</v>
      </c>
      <c r="E65" s="7" t="s">
        <v>1909</v>
      </c>
      <c r="F65" s="329">
        <v>-2589.36</v>
      </c>
      <c r="G65" s="9" t="s">
        <v>124</v>
      </c>
      <c r="H65" s="798">
        <v>45961</v>
      </c>
    </row>
    <row r="66" spans="1:10" s="139" customFormat="1" ht="13.8" x14ac:dyDescent="0.3">
      <c r="A66" s="100">
        <v>45950</v>
      </c>
      <c r="B66" s="803">
        <v>45961</v>
      </c>
      <c r="C66" s="800" t="s">
        <v>211</v>
      </c>
      <c r="D66" s="14" t="s">
        <v>17</v>
      </c>
      <c r="E66" s="7" t="s">
        <v>1830</v>
      </c>
      <c r="F66" s="329">
        <v>-14142.38</v>
      </c>
      <c r="G66" s="9" t="s">
        <v>124</v>
      </c>
      <c r="H66" s="798">
        <v>45961</v>
      </c>
    </row>
    <row r="67" spans="1:10" s="139" customFormat="1" ht="13.8" x14ac:dyDescent="0.3">
      <c r="A67" s="100">
        <v>45950</v>
      </c>
      <c r="B67" s="803">
        <v>45961</v>
      </c>
      <c r="C67" s="800" t="s">
        <v>211</v>
      </c>
      <c r="D67" s="14" t="s">
        <v>32</v>
      </c>
      <c r="E67" s="7" t="s">
        <v>1895</v>
      </c>
      <c r="F67" s="329">
        <v>-10542.97</v>
      </c>
      <c r="G67" s="9" t="s">
        <v>124</v>
      </c>
      <c r="H67" s="798">
        <v>45961</v>
      </c>
    </row>
    <row r="68" spans="1:10" s="139" customFormat="1" ht="13.8" x14ac:dyDescent="0.3">
      <c r="A68" s="100">
        <v>45950</v>
      </c>
      <c r="B68" s="803">
        <v>45961</v>
      </c>
      <c r="C68" s="800" t="s">
        <v>211</v>
      </c>
      <c r="D68" s="14" t="s">
        <v>32</v>
      </c>
      <c r="E68" s="7" t="s">
        <v>1828</v>
      </c>
      <c r="F68" s="329">
        <v>-8837.19</v>
      </c>
      <c r="G68" s="9" t="s">
        <v>124</v>
      </c>
      <c r="H68" s="798">
        <v>45961</v>
      </c>
    </row>
    <row r="69" spans="1:10" s="139" customFormat="1" ht="13.8" x14ac:dyDescent="0.3">
      <c r="A69" s="100">
        <v>45950</v>
      </c>
      <c r="B69" s="803">
        <v>45961</v>
      </c>
      <c r="C69" s="800" t="s">
        <v>211</v>
      </c>
      <c r="D69" s="14" t="s">
        <v>71</v>
      </c>
      <c r="E69" s="7" t="s">
        <v>1814</v>
      </c>
      <c r="F69" s="329">
        <v>-4575.28</v>
      </c>
      <c r="G69" s="9" t="s">
        <v>124</v>
      </c>
      <c r="H69" s="798">
        <v>45961</v>
      </c>
    </row>
    <row r="70" spans="1:10" s="139" customFormat="1" ht="13.8" x14ac:dyDescent="0.3">
      <c r="A70" s="100">
        <v>45950</v>
      </c>
      <c r="B70" s="803">
        <v>45961</v>
      </c>
      <c r="C70" s="800" t="s">
        <v>211</v>
      </c>
      <c r="D70" s="14" t="s">
        <v>71</v>
      </c>
      <c r="E70" s="7" t="s">
        <v>1829</v>
      </c>
      <c r="F70" s="329">
        <v>-2086.09</v>
      </c>
      <c r="G70" s="9" t="s">
        <v>124</v>
      </c>
      <c r="H70" s="798">
        <v>45961</v>
      </c>
    </row>
    <row r="71" spans="1:10" s="139" customFormat="1" ht="13.8" x14ac:dyDescent="0.3">
      <c r="A71" s="100">
        <v>45950</v>
      </c>
      <c r="B71" s="803">
        <v>45961</v>
      </c>
      <c r="C71" s="800" t="s">
        <v>211</v>
      </c>
      <c r="D71" s="328" t="s">
        <v>25</v>
      </c>
      <c r="E71" s="328" t="s">
        <v>1818</v>
      </c>
      <c r="F71" s="329">
        <v>-9370.6</v>
      </c>
      <c r="G71" s="105" t="s">
        <v>124</v>
      </c>
      <c r="H71" s="798">
        <v>45961</v>
      </c>
    </row>
    <row r="72" spans="1:10" s="139" customFormat="1" ht="13.8" x14ac:dyDescent="0.3">
      <c r="A72" s="100">
        <v>45950</v>
      </c>
      <c r="B72" s="803">
        <v>45961</v>
      </c>
      <c r="C72" s="800" t="s">
        <v>211</v>
      </c>
      <c r="D72" s="328" t="s">
        <v>25</v>
      </c>
      <c r="E72" s="328" t="s">
        <v>1825</v>
      </c>
      <c r="F72" s="329">
        <v>-6188.12</v>
      </c>
      <c r="G72" s="105" t="s">
        <v>124</v>
      </c>
      <c r="H72" s="798">
        <v>45961</v>
      </c>
    </row>
    <row r="73" spans="1:10" s="139" customFormat="1" ht="13.8" x14ac:dyDescent="0.3">
      <c r="A73" s="100">
        <v>45950</v>
      </c>
      <c r="B73" s="803">
        <v>45961</v>
      </c>
      <c r="C73" s="800" t="s">
        <v>211</v>
      </c>
      <c r="D73" s="12" t="s">
        <v>6</v>
      </c>
      <c r="E73" s="4" t="s">
        <v>118</v>
      </c>
      <c r="F73" s="16">
        <v>-16000</v>
      </c>
      <c r="G73" s="5" t="s">
        <v>119</v>
      </c>
      <c r="H73" s="798">
        <v>45961</v>
      </c>
    </row>
    <row r="74" spans="1:10" s="139" customFormat="1" ht="13.8" x14ac:dyDescent="0.3">
      <c r="A74" s="113">
        <v>45950</v>
      </c>
      <c r="B74" s="803">
        <v>45961</v>
      </c>
      <c r="C74" s="800" t="s">
        <v>211</v>
      </c>
      <c r="D74" s="12" t="s">
        <v>64</v>
      </c>
      <c r="E74" s="4" t="s">
        <v>133</v>
      </c>
      <c r="F74" s="16">
        <v>-8937.32</v>
      </c>
      <c r="G74" s="41" t="s">
        <v>39</v>
      </c>
      <c r="H74" s="798">
        <v>45961</v>
      </c>
    </row>
    <row r="75" spans="1:10" s="139" customFormat="1" ht="13.8" x14ac:dyDescent="0.3">
      <c r="A75" s="100">
        <v>45950</v>
      </c>
      <c r="B75" s="803">
        <v>45961</v>
      </c>
      <c r="C75" s="800" t="s">
        <v>211</v>
      </c>
      <c r="D75" s="12" t="s">
        <v>25</v>
      </c>
      <c r="E75" s="4" t="s">
        <v>130</v>
      </c>
      <c r="F75" s="16">
        <v>-3006</v>
      </c>
      <c r="G75" s="82" t="s">
        <v>153</v>
      </c>
      <c r="H75" s="798">
        <v>45961</v>
      </c>
    </row>
    <row r="76" spans="1:10" s="139" customFormat="1" ht="13.8" x14ac:dyDescent="0.3">
      <c r="A76" s="100">
        <v>45950</v>
      </c>
      <c r="B76" s="803">
        <v>45961</v>
      </c>
      <c r="C76" s="800" t="s">
        <v>211</v>
      </c>
      <c r="D76" s="12" t="s">
        <v>6</v>
      </c>
      <c r="E76" s="4" t="s">
        <v>1897</v>
      </c>
      <c r="F76" s="16">
        <v>-20000</v>
      </c>
      <c r="G76" s="105" t="s">
        <v>124</v>
      </c>
      <c r="H76" s="798">
        <v>45961</v>
      </c>
    </row>
    <row r="77" spans="1:10" x14ac:dyDescent="0.3">
      <c r="A77" s="100">
        <v>45950</v>
      </c>
      <c r="B77" s="100">
        <v>45960</v>
      </c>
      <c r="C77" s="100" t="s">
        <v>211</v>
      </c>
      <c r="D77" s="12" t="s">
        <v>17</v>
      </c>
      <c r="E77" s="109" t="s">
        <v>140</v>
      </c>
      <c r="F77" s="101">
        <v>-9980</v>
      </c>
      <c r="G77" s="591" t="s">
        <v>58</v>
      </c>
    </row>
    <row r="78" spans="1:10" x14ac:dyDescent="0.3">
      <c r="A78" s="100">
        <v>45950</v>
      </c>
      <c r="B78" s="100">
        <v>45960</v>
      </c>
      <c r="C78" s="100" t="s">
        <v>211</v>
      </c>
      <c r="D78" s="12" t="s">
        <v>17</v>
      </c>
      <c r="E78" s="4" t="s">
        <v>140</v>
      </c>
      <c r="F78" s="16">
        <v>-9980</v>
      </c>
      <c r="G78" s="591" t="s">
        <v>58</v>
      </c>
    </row>
    <row r="79" spans="1:10" s="753" customFormat="1" x14ac:dyDescent="0.3">
      <c r="A79" s="100">
        <v>45957</v>
      </c>
      <c r="B79" s="100">
        <v>45960</v>
      </c>
      <c r="C79" s="100" t="s">
        <v>211</v>
      </c>
      <c r="D79" s="17" t="s">
        <v>1594</v>
      </c>
      <c r="E79" s="4" t="s">
        <v>1596</v>
      </c>
      <c r="F79" s="93">
        <v>-585.46</v>
      </c>
      <c r="G79" s="5" t="s">
        <v>51</v>
      </c>
      <c r="H79"/>
      <c r="I79"/>
      <c r="J79"/>
    </row>
    <row r="80" spans="1:10" s="753" customFormat="1" x14ac:dyDescent="0.3">
      <c r="A80" s="100">
        <v>45957</v>
      </c>
      <c r="B80" s="100">
        <v>45960</v>
      </c>
      <c r="C80" s="100" t="s">
        <v>211</v>
      </c>
      <c r="D80" s="17" t="s">
        <v>650</v>
      </c>
      <c r="E80" s="4" t="s">
        <v>1596</v>
      </c>
      <c r="F80" s="93">
        <v>-936.63</v>
      </c>
      <c r="G80" s="5" t="s">
        <v>51</v>
      </c>
      <c r="H80"/>
      <c r="I80"/>
      <c r="J80"/>
    </row>
    <row r="81" spans="1:10" s="753" customFormat="1" x14ac:dyDescent="0.3">
      <c r="A81" s="100">
        <v>45957</v>
      </c>
      <c r="B81" s="100">
        <v>45960</v>
      </c>
      <c r="C81" s="100" t="s">
        <v>211</v>
      </c>
      <c r="D81" s="17" t="s">
        <v>108</v>
      </c>
      <c r="E81" s="4" t="s">
        <v>1596</v>
      </c>
      <c r="F81" s="93">
        <v>-1092.78</v>
      </c>
      <c r="G81" s="5" t="s">
        <v>51</v>
      </c>
      <c r="H81"/>
      <c r="I81"/>
      <c r="J81"/>
    </row>
    <row r="82" spans="1:10" s="753" customFormat="1" x14ac:dyDescent="0.3">
      <c r="A82" s="100">
        <v>45957</v>
      </c>
      <c r="B82" s="100">
        <v>45960</v>
      </c>
      <c r="C82" s="100" t="s">
        <v>211</v>
      </c>
      <c r="D82" s="17" t="s">
        <v>32</v>
      </c>
      <c r="E82" s="4" t="s">
        <v>1596</v>
      </c>
      <c r="F82" s="93">
        <v>-1756.25</v>
      </c>
      <c r="G82" s="5" t="s">
        <v>51</v>
      </c>
      <c r="H82"/>
      <c r="I82"/>
      <c r="J82"/>
    </row>
    <row r="83" spans="1:10" s="753" customFormat="1" ht="13.2" customHeight="1" x14ac:dyDescent="0.3">
      <c r="A83" s="100">
        <v>45957</v>
      </c>
      <c r="B83" s="100">
        <v>45960</v>
      </c>
      <c r="C83" s="100" t="s">
        <v>211</v>
      </c>
      <c r="D83" s="17" t="s">
        <v>13</v>
      </c>
      <c r="E83" s="4" t="s">
        <v>1596</v>
      </c>
      <c r="F83" s="93">
        <v>-1951.41</v>
      </c>
      <c r="G83" s="5" t="s">
        <v>51</v>
      </c>
      <c r="H83"/>
      <c r="I83"/>
      <c r="J83"/>
    </row>
    <row r="84" spans="1:10" s="753" customFormat="1" ht="13.2" customHeight="1" x14ac:dyDescent="0.3">
      <c r="A84" s="100">
        <v>45957</v>
      </c>
      <c r="B84" s="100">
        <v>45960</v>
      </c>
      <c r="C84" s="100" t="s">
        <v>211</v>
      </c>
      <c r="D84" s="17" t="s">
        <v>651</v>
      </c>
      <c r="E84" s="4" t="s">
        <v>1596</v>
      </c>
      <c r="F84" s="93">
        <v>-897.62</v>
      </c>
      <c r="G84" s="5" t="s">
        <v>51</v>
      </c>
      <c r="H84"/>
      <c r="I84"/>
      <c r="J84"/>
    </row>
    <row r="85" spans="1:10" s="753" customFormat="1" x14ac:dyDescent="0.3">
      <c r="A85" s="100">
        <v>45957</v>
      </c>
      <c r="B85" s="100">
        <v>45960</v>
      </c>
      <c r="C85" s="100" t="s">
        <v>211</v>
      </c>
      <c r="D85" s="17" t="s">
        <v>6</v>
      </c>
      <c r="E85" s="107" t="s">
        <v>1596</v>
      </c>
      <c r="F85" s="245">
        <v>-897.62</v>
      </c>
      <c r="G85" s="41" t="s">
        <v>51</v>
      </c>
      <c r="H85"/>
      <c r="I85"/>
      <c r="J85"/>
    </row>
    <row r="86" spans="1:10" s="753" customFormat="1" x14ac:dyDescent="0.3">
      <c r="A86" s="100">
        <v>45957</v>
      </c>
      <c r="B86" s="100">
        <v>45960</v>
      </c>
      <c r="C86" s="100" t="s">
        <v>211</v>
      </c>
      <c r="D86" s="17" t="s">
        <v>1595</v>
      </c>
      <c r="E86" s="4" t="s">
        <v>1596</v>
      </c>
      <c r="F86" s="93">
        <v>-390.31</v>
      </c>
      <c r="G86" s="5" t="s">
        <v>51</v>
      </c>
      <c r="H86"/>
      <c r="I86"/>
      <c r="J86"/>
    </row>
    <row r="87" spans="1:10" s="753" customFormat="1" x14ac:dyDescent="0.3">
      <c r="A87" s="100">
        <v>45957</v>
      </c>
      <c r="B87" s="100">
        <v>45960</v>
      </c>
      <c r="C87" s="100" t="s">
        <v>211</v>
      </c>
      <c r="D87" s="17" t="s">
        <v>71</v>
      </c>
      <c r="E87" s="4" t="s">
        <v>1596</v>
      </c>
      <c r="F87" s="93">
        <v>-1014.77</v>
      </c>
      <c r="G87" s="5" t="s">
        <v>51</v>
      </c>
      <c r="H87"/>
      <c r="I87"/>
      <c r="J87"/>
    </row>
    <row r="88" spans="1:10" s="753" customFormat="1" x14ac:dyDescent="0.3">
      <c r="A88" s="100">
        <v>45957</v>
      </c>
      <c r="B88" s="100">
        <v>45957</v>
      </c>
      <c r="C88" s="100" t="s">
        <v>211</v>
      </c>
      <c r="D88" s="12" t="s">
        <v>13</v>
      </c>
      <c r="E88" s="12" t="s">
        <v>1344</v>
      </c>
      <c r="F88" s="16">
        <v>-1500</v>
      </c>
      <c r="G88" s="5" t="s">
        <v>55</v>
      </c>
      <c r="H88"/>
      <c r="I88"/>
      <c r="J88"/>
    </row>
    <row r="89" spans="1:10" s="753" customFormat="1" x14ac:dyDescent="0.3">
      <c r="A89" s="100">
        <v>45957</v>
      </c>
      <c r="B89" s="100">
        <v>45960</v>
      </c>
      <c r="C89" s="100" t="s">
        <v>211</v>
      </c>
      <c r="D89" s="15" t="s">
        <v>6</v>
      </c>
      <c r="E89" s="4" t="s">
        <v>112</v>
      </c>
      <c r="F89" s="16">
        <v>-35714.57</v>
      </c>
      <c r="G89" s="9" t="s">
        <v>46</v>
      </c>
      <c r="H89"/>
      <c r="I89"/>
      <c r="J89"/>
    </row>
    <row r="90" spans="1:10" s="753" customFormat="1" x14ac:dyDescent="0.3">
      <c r="A90" s="100">
        <v>45957</v>
      </c>
      <c r="B90" s="100">
        <v>45960</v>
      </c>
      <c r="C90" s="100" t="s">
        <v>211</v>
      </c>
      <c r="D90" s="12" t="s">
        <v>13</v>
      </c>
      <c r="E90" s="4" t="s">
        <v>1793</v>
      </c>
      <c r="F90" s="16">
        <v>-8797.17</v>
      </c>
      <c r="G90" s="5" t="s">
        <v>51</v>
      </c>
      <c r="H90"/>
      <c r="I90"/>
      <c r="J90"/>
    </row>
    <row r="91" spans="1:10" s="753" customFormat="1" ht="13.2" customHeight="1" x14ac:dyDescent="0.3">
      <c r="A91" s="100">
        <v>45957</v>
      </c>
      <c r="B91" s="100">
        <v>45957</v>
      </c>
      <c r="C91" s="100" t="s">
        <v>211</v>
      </c>
      <c r="D91" s="12" t="s">
        <v>17</v>
      </c>
      <c r="E91" s="4" t="s">
        <v>134</v>
      </c>
      <c r="F91" s="16">
        <v>-141.63999999999999</v>
      </c>
      <c r="G91" s="5" t="s">
        <v>68</v>
      </c>
      <c r="H91"/>
      <c r="I91"/>
      <c r="J91"/>
    </row>
    <row r="92" spans="1:10" s="753" customFormat="1" ht="13.2" customHeight="1" x14ac:dyDescent="0.3">
      <c r="A92" s="100">
        <v>45957</v>
      </c>
      <c r="B92" s="100">
        <v>45957</v>
      </c>
      <c r="C92" s="100" t="s">
        <v>211</v>
      </c>
      <c r="D92" s="12" t="s">
        <v>25</v>
      </c>
      <c r="E92" s="4" t="s">
        <v>137</v>
      </c>
      <c r="F92" s="16">
        <v>-1812.64</v>
      </c>
      <c r="G92" s="82" t="s">
        <v>153</v>
      </c>
      <c r="H92"/>
      <c r="I92"/>
      <c r="J92"/>
    </row>
    <row r="93" spans="1:10" s="753" customFormat="1" x14ac:dyDescent="0.3">
      <c r="A93" s="100">
        <v>45959</v>
      </c>
      <c r="B93" s="78">
        <v>45959</v>
      </c>
      <c r="C93" s="100" t="s">
        <v>211</v>
      </c>
      <c r="D93" s="12" t="s">
        <v>13</v>
      </c>
      <c r="E93" s="107" t="s">
        <v>141</v>
      </c>
      <c r="F93" s="828">
        <v>-500</v>
      </c>
      <c r="G93" s="197" t="s">
        <v>68</v>
      </c>
      <c r="H93"/>
      <c r="I93"/>
      <c r="J93"/>
    </row>
    <row r="94" spans="1:10" s="753" customFormat="1" x14ac:dyDescent="0.3">
      <c r="A94" s="100">
        <v>45959</v>
      </c>
      <c r="B94" s="78">
        <v>45959</v>
      </c>
      <c r="C94" s="100" t="s">
        <v>211</v>
      </c>
      <c r="D94" s="14" t="s">
        <v>44</v>
      </c>
      <c r="E94" s="14" t="s">
        <v>204</v>
      </c>
      <c r="F94" s="8">
        <v>-4057.4</v>
      </c>
      <c r="G94" s="70" t="s">
        <v>1279</v>
      </c>
      <c r="H94"/>
      <c r="I94"/>
      <c r="J94"/>
    </row>
    <row r="95" spans="1:10" s="753" customFormat="1" x14ac:dyDescent="0.3">
      <c r="A95" s="100">
        <v>45959</v>
      </c>
      <c r="B95" s="78">
        <v>45959</v>
      </c>
      <c r="C95" s="100" t="s">
        <v>211</v>
      </c>
      <c r="D95" s="14" t="s">
        <v>71</v>
      </c>
      <c r="E95" s="14" t="s">
        <v>1326</v>
      </c>
      <c r="F95" s="8">
        <v>-643.77007900000001</v>
      </c>
      <c r="G95" s="70" t="s">
        <v>1279</v>
      </c>
      <c r="H95"/>
      <c r="I95"/>
      <c r="J95"/>
    </row>
    <row r="96" spans="1:10" s="753" customFormat="1" x14ac:dyDescent="0.3">
      <c r="A96" s="841"/>
      <c r="B96" s="841"/>
      <c r="C96" s="841"/>
      <c r="D96" s="842"/>
      <c r="E96" s="139"/>
      <c r="F96" s="843"/>
      <c r="G96" s="79"/>
    </row>
    <row r="97" spans="1:7" s="753" customFormat="1" x14ac:dyDescent="0.3">
      <c r="A97" s="841"/>
      <c r="B97" s="841"/>
      <c r="C97" s="841"/>
      <c r="D97" s="842"/>
      <c r="E97" s="139"/>
      <c r="F97" s="843"/>
      <c r="G97" s="79"/>
    </row>
    <row r="98" spans="1:7" s="753" customFormat="1" x14ac:dyDescent="0.3">
      <c r="A98" s="841"/>
      <c r="B98" s="841"/>
      <c r="C98" s="841"/>
      <c r="D98" s="842"/>
      <c r="E98" s="139"/>
      <c r="F98" s="843"/>
      <c r="G98" s="79"/>
    </row>
    <row r="99" spans="1:7" s="753" customFormat="1" ht="13.2" customHeight="1" x14ac:dyDescent="0.3">
      <c r="B99" s="844"/>
      <c r="C99" s="845"/>
      <c r="G99" s="846"/>
    </row>
    <row r="100" spans="1:7" s="753" customFormat="1" ht="13.2" customHeight="1" x14ac:dyDescent="0.3">
      <c r="B100" s="844"/>
      <c r="C100" s="845"/>
      <c r="G100" s="846"/>
    </row>
    <row r="101" spans="1:7" s="753" customFormat="1" x14ac:dyDescent="0.3">
      <c r="B101" s="844"/>
      <c r="C101" s="845"/>
      <c r="G101" s="846"/>
    </row>
    <row r="102" spans="1:7" s="753" customFormat="1" x14ac:dyDescent="0.3">
      <c r="B102" s="844"/>
      <c r="C102" s="845"/>
      <c r="G102" s="846"/>
    </row>
    <row r="103" spans="1:7" s="753" customFormat="1" x14ac:dyDescent="0.3">
      <c r="A103" s="841"/>
      <c r="B103" s="841"/>
      <c r="C103" s="841"/>
      <c r="D103" s="842"/>
      <c r="E103" s="139"/>
      <c r="F103" s="843"/>
      <c r="G103" s="79"/>
    </row>
    <row r="104" spans="1:7" s="753" customFormat="1" x14ac:dyDescent="0.3">
      <c r="A104" s="841"/>
      <c r="B104" s="841"/>
      <c r="C104" s="841"/>
      <c r="D104" s="842"/>
      <c r="E104" s="139"/>
      <c r="F104" s="843"/>
      <c r="G104" s="79"/>
    </row>
    <row r="105" spans="1:7" s="753" customFormat="1" x14ac:dyDescent="0.3">
      <c r="A105" s="841"/>
      <c r="B105" s="841"/>
      <c r="C105" s="841"/>
      <c r="D105" s="842"/>
      <c r="E105" s="139"/>
      <c r="F105" s="843"/>
      <c r="G105" s="79"/>
    </row>
    <row r="106" spans="1:7" s="753" customFormat="1" x14ac:dyDescent="0.3">
      <c r="A106" s="841"/>
      <c r="B106" s="841"/>
      <c r="C106" s="841"/>
      <c r="D106" s="842"/>
      <c r="E106" s="139"/>
      <c r="F106" s="843"/>
      <c r="G106" s="79"/>
    </row>
    <row r="107" spans="1:7" s="753" customFormat="1" ht="13.2" customHeight="1" x14ac:dyDescent="0.3">
      <c r="B107" s="844"/>
      <c r="C107" s="845"/>
      <c r="G107" s="846"/>
    </row>
    <row r="108" spans="1:7" s="753" customFormat="1" ht="13.2" customHeight="1" x14ac:dyDescent="0.3">
      <c r="B108" s="844"/>
      <c r="C108" s="845"/>
      <c r="G108" s="846"/>
    </row>
    <row r="109" spans="1:7" s="753" customFormat="1" x14ac:dyDescent="0.3">
      <c r="B109" s="844"/>
      <c r="C109" s="845"/>
      <c r="G109" s="846"/>
    </row>
    <row r="110" spans="1:7" s="753" customFormat="1" x14ac:dyDescent="0.3">
      <c r="B110" s="844"/>
      <c r="C110" s="845"/>
      <c r="G110" s="846"/>
    </row>
    <row r="111" spans="1:7" ht="15" thickBot="1" x14ac:dyDescent="0.35"/>
    <row r="112" spans="1:7" ht="18" x14ac:dyDescent="0.35">
      <c r="A112" s="1131" t="s">
        <v>1896</v>
      </c>
      <c r="B112" s="1132"/>
      <c r="C112" s="1132"/>
      <c r="D112" s="1133"/>
      <c r="E112" s="793"/>
      <c r="F112" s="793"/>
      <c r="G112" s="808"/>
    </row>
    <row r="113" spans="1:7" s="742" customFormat="1" ht="13.8" x14ac:dyDescent="0.3">
      <c r="A113" s="740">
        <v>45945</v>
      </c>
      <c r="B113" s="804"/>
      <c r="C113" s="801"/>
      <c r="D113" s="788" t="s">
        <v>71</v>
      </c>
      <c r="E113" s="792" t="s">
        <v>1026</v>
      </c>
      <c r="F113" s="789">
        <v>-900</v>
      </c>
      <c r="G113" s="790" t="s">
        <v>1064</v>
      </c>
    </row>
    <row r="114" spans="1:7" s="793" customFormat="1" x14ac:dyDescent="0.3">
      <c r="A114" s="740">
        <v>45946</v>
      </c>
      <c r="B114" s="805"/>
      <c r="C114" s="801"/>
      <c r="D114" s="788" t="s">
        <v>44</v>
      </c>
      <c r="E114" s="792" t="s">
        <v>1886</v>
      </c>
      <c r="F114" s="789">
        <v>-1658.93</v>
      </c>
      <c r="G114" s="741" t="s">
        <v>1279</v>
      </c>
    </row>
    <row r="115" spans="1:7" s="793" customFormat="1" x14ac:dyDescent="0.3">
      <c r="A115" s="740">
        <v>45946</v>
      </c>
      <c r="B115" s="805"/>
      <c r="C115" s="801"/>
      <c r="D115" s="788" t="s">
        <v>71</v>
      </c>
      <c r="E115" s="792" t="s">
        <v>1887</v>
      </c>
      <c r="F115" s="789">
        <v>-467.6</v>
      </c>
      <c r="G115" s="741" t="s">
        <v>1279</v>
      </c>
    </row>
    <row r="116" spans="1:7" s="793" customFormat="1" x14ac:dyDescent="0.3">
      <c r="A116" s="740">
        <v>45946</v>
      </c>
      <c r="B116" s="805"/>
      <c r="C116" s="801"/>
      <c r="D116" s="788" t="s">
        <v>71</v>
      </c>
      <c r="E116" s="792" t="s">
        <v>1888</v>
      </c>
      <c r="F116" s="789">
        <v>-827.13</v>
      </c>
      <c r="G116" s="741" t="s">
        <v>1279</v>
      </c>
    </row>
    <row r="117" spans="1:7" s="742" customFormat="1" ht="13.8" x14ac:dyDescent="0.3">
      <c r="A117" s="740">
        <v>45947</v>
      </c>
      <c r="B117" s="804"/>
      <c r="C117" s="801"/>
      <c r="D117" s="788" t="s">
        <v>17</v>
      </c>
      <c r="E117" s="792" t="s">
        <v>389</v>
      </c>
      <c r="F117" s="789">
        <v>-101.149987</v>
      </c>
      <c r="G117" s="741" t="s">
        <v>1279</v>
      </c>
    </row>
    <row r="118" spans="1:7" s="742" customFormat="1" ht="13.8" x14ac:dyDescent="0.3">
      <c r="A118" s="740">
        <v>45947</v>
      </c>
      <c r="B118" s="804"/>
      <c r="C118" s="801"/>
      <c r="D118" s="788" t="s">
        <v>17</v>
      </c>
      <c r="E118" s="792" t="s">
        <v>389</v>
      </c>
      <c r="F118" s="789">
        <v>-109.06</v>
      </c>
      <c r="G118" s="741" t="s">
        <v>1279</v>
      </c>
    </row>
    <row r="119" spans="1:7" s="742" customFormat="1" ht="13.8" x14ac:dyDescent="0.3">
      <c r="A119" s="740">
        <v>45947</v>
      </c>
      <c r="B119" s="804"/>
      <c r="C119" s="801"/>
      <c r="D119" s="788" t="s">
        <v>17</v>
      </c>
      <c r="E119" s="792" t="s">
        <v>389</v>
      </c>
      <c r="F119" s="789">
        <v>-7.9100130000000002</v>
      </c>
      <c r="G119" s="741" t="s">
        <v>1279</v>
      </c>
    </row>
    <row r="120" spans="1:7" s="742" customFormat="1" ht="13.8" x14ac:dyDescent="0.3">
      <c r="A120" s="740">
        <v>45947</v>
      </c>
      <c r="B120" s="804"/>
      <c r="C120" s="801"/>
      <c r="D120" s="788" t="s">
        <v>44</v>
      </c>
      <c r="E120" s="792" t="s">
        <v>560</v>
      </c>
      <c r="F120" s="789">
        <v>-1651.54</v>
      </c>
      <c r="G120" s="741" t="s">
        <v>1064</v>
      </c>
    </row>
    <row r="121" spans="1:7" s="742" customFormat="1" ht="13.8" x14ac:dyDescent="0.3">
      <c r="A121" s="740">
        <v>45947</v>
      </c>
      <c r="B121" s="804"/>
      <c r="C121" s="801"/>
      <c r="D121" s="788" t="s">
        <v>17</v>
      </c>
      <c r="E121" s="792" t="s">
        <v>201</v>
      </c>
      <c r="F121" s="789">
        <v>-180</v>
      </c>
      <c r="G121" s="741" t="s">
        <v>1440</v>
      </c>
    </row>
    <row r="122" spans="1:7" s="742" customFormat="1" ht="13.8" x14ac:dyDescent="0.3">
      <c r="A122" s="740">
        <v>45947</v>
      </c>
      <c r="B122" s="804"/>
      <c r="C122" s="801"/>
      <c r="D122" s="794" t="s">
        <v>17</v>
      </c>
      <c r="E122" s="795" t="s">
        <v>116</v>
      </c>
      <c r="F122" s="796">
        <v>-5300</v>
      </c>
      <c r="G122" s="741" t="s">
        <v>53</v>
      </c>
    </row>
    <row r="123" spans="1:7" s="742" customFormat="1" ht="13.8" x14ac:dyDescent="0.3">
      <c r="A123" s="740">
        <v>45947</v>
      </c>
      <c r="B123" s="804"/>
      <c r="C123" s="801"/>
      <c r="D123" s="794" t="s">
        <v>17</v>
      </c>
      <c r="E123" s="795" t="s">
        <v>140</v>
      </c>
      <c r="F123" s="796">
        <v>-9980</v>
      </c>
      <c r="G123" s="741" t="s">
        <v>58</v>
      </c>
    </row>
    <row r="124" spans="1:7" s="742" customFormat="1" ht="13.8" x14ac:dyDescent="0.3">
      <c r="A124" s="797">
        <v>45951</v>
      </c>
      <c r="B124" s="804"/>
      <c r="C124" s="802"/>
      <c r="D124" s="788" t="s">
        <v>17</v>
      </c>
      <c r="E124" s="792" t="s">
        <v>389</v>
      </c>
      <c r="F124" s="789">
        <v>-84.56</v>
      </c>
      <c r="G124" s="790" t="s">
        <v>139</v>
      </c>
    </row>
    <row r="125" spans="1:7" s="139" customFormat="1" ht="13.8" x14ac:dyDescent="0.3">
      <c r="A125" s="809">
        <v>45952</v>
      </c>
      <c r="B125" s="804"/>
      <c r="C125" s="801"/>
      <c r="D125" s="788" t="s">
        <v>44</v>
      </c>
      <c r="E125" s="792" t="s">
        <v>204</v>
      </c>
      <c r="F125" s="789">
        <v>-4057.4</v>
      </c>
      <c r="G125" s="790" t="s">
        <v>227</v>
      </c>
    </row>
    <row r="126" spans="1:7" s="139" customFormat="1" ht="13.8" x14ac:dyDescent="0.3">
      <c r="A126" s="809">
        <v>45952</v>
      </c>
      <c r="B126" s="804"/>
      <c r="C126" s="801"/>
      <c r="D126" s="788" t="s">
        <v>71</v>
      </c>
      <c r="E126" s="792" t="s">
        <v>1326</v>
      </c>
      <c r="F126" s="789">
        <v>-643.77007900000001</v>
      </c>
      <c r="G126" s="790" t="s">
        <v>227</v>
      </c>
    </row>
    <row r="127" spans="1:7" s="139" customFormat="1" ht="13.8" x14ac:dyDescent="0.3">
      <c r="A127" s="809">
        <v>45952</v>
      </c>
      <c r="B127" s="804"/>
      <c r="C127" s="801"/>
      <c r="D127" s="788" t="s">
        <v>71</v>
      </c>
      <c r="E127" s="792" t="s">
        <v>205</v>
      </c>
      <c r="F127" s="789">
        <v>-1420.97</v>
      </c>
      <c r="G127" s="790" t="s">
        <v>227</v>
      </c>
    </row>
    <row r="128" spans="1:7" s="139" customFormat="1" ht="13.8" x14ac:dyDescent="0.3">
      <c r="A128" s="809">
        <v>45952</v>
      </c>
      <c r="B128" s="804"/>
      <c r="C128" s="801"/>
      <c r="D128" s="788" t="s">
        <v>17</v>
      </c>
      <c r="E128" s="792" t="s">
        <v>389</v>
      </c>
      <c r="F128" s="789">
        <v>-9.8528009999999995</v>
      </c>
      <c r="G128" s="790" t="s">
        <v>227</v>
      </c>
    </row>
    <row r="129" spans="1:7" s="139" customFormat="1" ht="13.8" x14ac:dyDescent="0.3">
      <c r="A129" s="809">
        <v>45952</v>
      </c>
      <c r="B129" s="804"/>
      <c r="C129" s="801"/>
      <c r="D129" s="788" t="s">
        <v>17</v>
      </c>
      <c r="E129" s="792" t="s">
        <v>389</v>
      </c>
      <c r="F129" s="789">
        <v>-55.277199000000003</v>
      </c>
      <c r="G129" s="790" t="s">
        <v>227</v>
      </c>
    </row>
    <row r="130" spans="1:7" s="139" customFormat="1" ht="13.8" x14ac:dyDescent="0.3">
      <c r="A130" s="809">
        <v>45952</v>
      </c>
      <c r="B130" s="804"/>
      <c r="C130" s="801"/>
      <c r="D130" s="788" t="s">
        <v>71</v>
      </c>
      <c r="E130" s="792" t="s">
        <v>1625</v>
      </c>
      <c r="F130" s="789">
        <v>-427.46</v>
      </c>
      <c r="G130" s="790" t="s">
        <v>1626</v>
      </c>
    </row>
    <row r="131" spans="1:7" s="139" customFormat="1" ht="13.8" x14ac:dyDescent="0.3">
      <c r="A131" s="809">
        <v>45952</v>
      </c>
      <c r="B131" s="804"/>
      <c r="C131" s="801"/>
      <c r="D131" s="810" t="s">
        <v>17</v>
      </c>
      <c r="E131" s="795" t="s">
        <v>131</v>
      </c>
      <c r="F131" s="796">
        <v>-1700</v>
      </c>
      <c r="G131" s="741" t="s">
        <v>132</v>
      </c>
    </row>
  </sheetData>
  <autoFilter ref="A3:J3" xr:uid="{3B4E6348-9562-453C-913B-A34F45DA4729}"/>
  <mergeCells count="2">
    <mergeCell ref="A112:D112"/>
    <mergeCell ref="A1:H2"/>
  </mergeCells>
  <conditionalFormatting sqref="G6">
    <cfRule type="colorScale" priority="63">
      <colorScale>
        <cfvo type="min"/>
        <cfvo type="max"/>
        <color rgb="FFF8696B"/>
        <color rgb="FFFCFCFF"/>
      </colorScale>
    </cfRule>
  </conditionalFormatting>
  <conditionalFormatting sqref="G8">
    <cfRule type="colorScale" priority="59">
      <colorScale>
        <cfvo type="min"/>
        <cfvo type="max"/>
        <color rgb="FFF8696B"/>
        <color rgb="FFFCFCFF"/>
      </colorScale>
    </cfRule>
  </conditionalFormatting>
  <conditionalFormatting sqref="G11">
    <cfRule type="colorScale" priority="23">
      <colorScale>
        <cfvo type="min"/>
        <cfvo type="max"/>
        <color rgb="FFF8696B"/>
        <color rgb="FFFCFCFF"/>
      </colorScale>
    </cfRule>
  </conditionalFormatting>
  <conditionalFormatting sqref="G12">
    <cfRule type="colorScale" priority="21">
      <colorScale>
        <cfvo type="min"/>
        <cfvo type="max"/>
        <color rgb="FFF8696B"/>
        <color rgb="FFFCFCFF"/>
      </colorScale>
    </cfRule>
  </conditionalFormatting>
  <conditionalFormatting sqref="G44">
    <cfRule type="colorScale" priority="46">
      <colorScale>
        <cfvo type="min"/>
        <cfvo type="max"/>
        <color rgb="FFF8696B"/>
        <color rgb="FFFCFCFF"/>
      </colorScale>
    </cfRule>
  </conditionalFormatting>
  <conditionalFormatting sqref="G79:G87">
    <cfRule type="colorScale" priority="1">
      <colorScale>
        <cfvo type="min"/>
        <cfvo type="max"/>
        <color rgb="FFF8696B"/>
        <color rgb="FFFCFCFF"/>
      </colorScale>
    </cfRule>
  </conditionalFormatting>
  <conditionalFormatting sqref="G88">
    <cfRule type="colorScale" priority="10">
      <colorScale>
        <cfvo type="min"/>
        <cfvo type="max"/>
        <color rgb="FFF8696B"/>
        <color rgb="FFFCFCFF"/>
      </colorScale>
    </cfRule>
  </conditionalFormatting>
  <conditionalFormatting sqref="G89">
    <cfRule type="colorScale" priority="7">
      <colorScale>
        <cfvo type="min"/>
        <cfvo type="max"/>
        <color rgb="FFF8696B"/>
        <color rgb="FFFCFCFF"/>
      </colorScale>
    </cfRule>
  </conditionalFormatting>
  <conditionalFormatting sqref="G94:G95">
    <cfRule type="colorScale" priority="2">
      <colorScale>
        <cfvo type="min"/>
        <cfvo type="max"/>
        <color rgb="FFF8696B"/>
        <color rgb="FFFCFCFF"/>
      </colorScale>
    </cfRule>
  </conditionalFormatting>
  <conditionalFormatting sqref="G117:G119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20">
    <cfRule type="colorScale" priority="52">
      <colorScale>
        <cfvo type="min"/>
        <cfvo type="max"/>
        <color rgb="FFF8696B"/>
        <color rgb="FFFCFCFF"/>
      </colorScale>
    </cfRule>
  </conditionalFormatting>
  <conditionalFormatting sqref="G121">
    <cfRule type="colorScale" priority="50">
      <colorScale>
        <cfvo type="min"/>
        <cfvo type="max"/>
        <color rgb="FFF8696B"/>
        <color rgb="FFFCFCFF"/>
      </colorScale>
    </cfRule>
  </conditionalFormatting>
  <conditionalFormatting sqref="G124">
    <cfRule type="colorScale" priority="28">
      <colorScale>
        <cfvo type="min"/>
        <cfvo type="max"/>
        <color rgb="FFF8696B"/>
        <color rgb="FFFCFCFF"/>
      </colorScale>
    </cfRule>
  </conditionalFormatting>
  <conditionalFormatting sqref="G125:G130">
    <cfRule type="colorScale" priority="25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E227-1E67-4BA3-808B-EFF3C767CD43}">
  <sheetPr>
    <pageSetUpPr fitToPage="1"/>
  </sheetPr>
  <dimension ref="A1:G37"/>
  <sheetViews>
    <sheetView topLeftCell="A16" zoomScaleNormal="100" workbookViewId="0">
      <selection activeCell="G39" sqref="A1:G39"/>
    </sheetView>
  </sheetViews>
  <sheetFormatPr defaultRowHeight="14.4" x14ac:dyDescent="0.3"/>
  <cols>
    <col min="1" max="1" width="10.33203125" bestFit="1" customWidth="1"/>
    <col min="2" max="2" width="8.77734375" bestFit="1" customWidth="1"/>
    <col min="3" max="3" width="20.77734375" bestFit="1" customWidth="1"/>
    <col min="4" max="4" width="116.5546875" bestFit="1" customWidth="1"/>
    <col min="5" max="5" width="12.44140625" bestFit="1" customWidth="1"/>
    <col min="6" max="6" width="8.6640625" bestFit="1" customWidth="1"/>
    <col min="7" max="7" width="25" bestFit="1" customWidth="1"/>
  </cols>
  <sheetData>
    <row r="1" spans="1:7" s="658" customFormat="1" x14ac:dyDescent="0.3">
      <c r="A1" s="678" t="s">
        <v>0</v>
      </c>
      <c r="B1" s="678" t="s">
        <v>1038</v>
      </c>
      <c r="C1" s="679" t="s">
        <v>1</v>
      </c>
      <c r="D1" s="995" t="s">
        <v>2</v>
      </c>
      <c r="E1" s="680" t="s">
        <v>3</v>
      </c>
      <c r="F1" s="680" t="s">
        <v>4</v>
      </c>
      <c r="G1" s="681" t="s">
        <v>5</v>
      </c>
    </row>
    <row r="2" spans="1:7" x14ac:dyDescent="0.3">
      <c r="A2" s="585">
        <v>45960</v>
      </c>
      <c r="B2" s="585" t="s">
        <v>211</v>
      </c>
      <c r="C2" s="983" t="s">
        <v>71</v>
      </c>
      <c r="D2" s="984" t="s">
        <v>2149</v>
      </c>
      <c r="E2" s="985">
        <v>-2851.4</v>
      </c>
      <c r="F2" s="586" t="s">
        <v>8</v>
      </c>
      <c r="G2" s="986" t="s">
        <v>124</v>
      </c>
    </row>
    <row r="3" spans="1:7" x14ac:dyDescent="0.3">
      <c r="A3" s="585">
        <v>45960</v>
      </c>
      <c r="B3" s="585" t="s">
        <v>211</v>
      </c>
      <c r="C3" s="590" t="s">
        <v>6</v>
      </c>
      <c r="D3" s="360" t="s">
        <v>1890</v>
      </c>
      <c r="E3" s="985">
        <v>-1137.72</v>
      </c>
      <c r="F3" s="586" t="s">
        <v>8</v>
      </c>
      <c r="G3" s="591" t="s">
        <v>68</v>
      </c>
    </row>
    <row r="4" spans="1:7" x14ac:dyDescent="0.3">
      <c r="A4" s="585">
        <v>45960</v>
      </c>
      <c r="B4" s="585" t="s">
        <v>211</v>
      </c>
      <c r="C4" s="590" t="s">
        <v>6</v>
      </c>
      <c r="D4" s="360" t="s">
        <v>1854</v>
      </c>
      <c r="E4" s="361">
        <v>-4190.5600000000004</v>
      </c>
      <c r="F4" s="823" t="s">
        <v>8</v>
      </c>
      <c r="G4" s="964" t="s">
        <v>111</v>
      </c>
    </row>
    <row r="5" spans="1:7" x14ac:dyDescent="0.3">
      <c r="A5" s="585">
        <v>45960</v>
      </c>
      <c r="B5" s="585" t="s">
        <v>211</v>
      </c>
      <c r="C5" s="987" t="s">
        <v>31</v>
      </c>
      <c r="D5" s="966" t="s">
        <v>2153</v>
      </c>
      <c r="E5" s="361">
        <v>-2298.0300000000002</v>
      </c>
      <c r="F5" s="586" t="s">
        <v>8</v>
      </c>
      <c r="G5" s="591" t="s">
        <v>91</v>
      </c>
    </row>
    <row r="6" spans="1:7" x14ac:dyDescent="0.3">
      <c r="A6" s="585">
        <v>45960</v>
      </c>
      <c r="B6" s="585" t="s">
        <v>211</v>
      </c>
      <c r="C6" s="590" t="s">
        <v>25</v>
      </c>
      <c r="D6" s="966" t="s">
        <v>2153</v>
      </c>
      <c r="E6" s="361">
        <v>-1286.52</v>
      </c>
      <c r="F6" s="586" t="s">
        <v>8</v>
      </c>
      <c r="G6" s="591" t="s">
        <v>91</v>
      </c>
    </row>
    <row r="7" spans="1:7" x14ac:dyDescent="0.3">
      <c r="A7" s="585">
        <v>45960</v>
      </c>
      <c r="B7" s="585" t="s">
        <v>211</v>
      </c>
      <c r="C7" s="590" t="s">
        <v>17</v>
      </c>
      <c r="D7" s="966" t="s">
        <v>2153</v>
      </c>
      <c r="E7" s="361">
        <v>-13578.66</v>
      </c>
      <c r="F7" s="586" t="s">
        <v>8</v>
      </c>
      <c r="G7" s="591" t="s">
        <v>91</v>
      </c>
    </row>
    <row r="8" spans="1:7" x14ac:dyDescent="0.3">
      <c r="A8" s="988">
        <v>45960</v>
      </c>
      <c r="B8" s="820" t="s">
        <v>211</v>
      </c>
      <c r="C8" s="983" t="s">
        <v>71</v>
      </c>
      <c r="D8" s="983" t="s">
        <v>1992</v>
      </c>
      <c r="E8" s="985">
        <v>-680.24</v>
      </c>
      <c r="F8" s="586" t="s">
        <v>8</v>
      </c>
      <c r="G8" s="989" t="s">
        <v>227</v>
      </c>
    </row>
    <row r="9" spans="1:7" x14ac:dyDescent="0.3">
      <c r="A9" s="988">
        <v>45960</v>
      </c>
      <c r="B9" s="820" t="s">
        <v>211</v>
      </c>
      <c r="C9" s="983" t="s">
        <v>71</v>
      </c>
      <c r="D9" s="983" t="s">
        <v>1991</v>
      </c>
      <c r="E9" s="985">
        <v>-1423.33</v>
      </c>
      <c r="F9" s="586" t="s">
        <v>8</v>
      </c>
      <c r="G9" s="989" t="s">
        <v>227</v>
      </c>
    </row>
    <row r="10" spans="1:7" x14ac:dyDescent="0.3">
      <c r="A10" s="988">
        <v>45960</v>
      </c>
      <c r="B10" s="820" t="s">
        <v>211</v>
      </c>
      <c r="C10" s="983" t="s">
        <v>17</v>
      </c>
      <c r="D10" s="983" t="s">
        <v>1989</v>
      </c>
      <c r="E10" s="985">
        <v>-66.64</v>
      </c>
      <c r="F10" s="586" t="s">
        <v>8</v>
      </c>
      <c r="G10" s="989" t="s">
        <v>227</v>
      </c>
    </row>
    <row r="11" spans="1:7" x14ac:dyDescent="0.3">
      <c r="A11" s="988">
        <v>45960</v>
      </c>
      <c r="B11" s="820" t="s">
        <v>211</v>
      </c>
      <c r="C11" s="990" t="s">
        <v>71</v>
      </c>
      <c r="D11" s="990" t="s">
        <v>1990</v>
      </c>
      <c r="E11" s="991">
        <v>-440.27</v>
      </c>
      <c r="F11" s="586" t="s">
        <v>8</v>
      </c>
      <c r="G11" s="989" t="s">
        <v>1626</v>
      </c>
    </row>
    <row r="12" spans="1:7" x14ac:dyDescent="0.3">
      <c r="A12" s="988">
        <v>45960</v>
      </c>
      <c r="B12" s="820" t="s">
        <v>211</v>
      </c>
      <c r="C12" s="987" t="s">
        <v>17</v>
      </c>
      <c r="D12" s="360" t="s">
        <v>2154</v>
      </c>
      <c r="E12" s="361">
        <v>-1560.68</v>
      </c>
      <c r="F12" s="586" t="s">
        <v>8</v>
      </c>
      <c r="G12" s="591" t="s">
        <v>132</v>
      </c>
    </row>
    <row r="13" spans="1:7" x14ac:dyDescent="0.3">
      <c r="A13" s="585">
        <v>45960</v>
      </c>
      <c r="B13" s="585" t="s">
        <v>211</v>
      </c>
      <c r="C13" s="987" t="s">
        <v>44</v>
      </c>
      <c r="D13" s="984" t="s">
        <v>1849</v>
      </c>
      <c r="E13" s="985">
        <v>-5974.17</v>
      </c>
      <c r="F13" s="586" t="s">
        <v>8</v>
      </c>
      <c r="G13" s="989" t="s">
        <v>46</v>
      </c>
    </row>
    <row r="14" spans="1:7" x14ac:dyDescent="0.3">
      <c r="A14" s="585">
        <v>45960</v>
      </c>
      <c r="B14" s="585" t="s">
        <v>211</v>
      </c>
      <c r="C14" s="590" t="s">
        <v>64</v>
      </c>
      <c r="D14" s="360" t="s">
        <v>2132</v>
      </c>
      <c r="E14" s="361">
        <v>-8937.32</v>
      </c>
      <c r="F14" s="967" t="s">
        <v>8</v>
      </c>
      <c r="G14" s="968" t="s">
        <v>39</v>
      </c>
    </row>
    <row r="15" spans="1:7" x14ac:dyDescent="0.3">
      <c r="A15" s="988">
        <v>45960</v>
      </c>
      <c r="B15" s="585" t="s">
        <v>211</v>
      </c>
      <c r="C15" s="909" t="s">
        <v>17</v>
      </c>
      <c r="D15" s="360" t="s">
        <v>1942</v>
      </c>
      <c r="E15" s="361">
        <v>-6006</v>
      </c>
      <c r="F15" s="910" t="s">
        <v>8</v>
      </c>
      <c r="G15" s="591" t="s">
        <v>53</v>
      </c>
    </row>
    <row r="16" spans="1:7" x14ac:dyDescent="0.3">
      <c r="A16" s="585">
        <v>45960</v>
      </c>
      <c r="B16" s="585" t="s">
        <v>211</v>
      </c>
      <c r="C16" s="590" t="s">
        <v>25</v>
      </c>
      <c r="D16" s="360" t="s">
        <v>130</v>
      </c>
      <c r="E16" s="361">
        <v>-3006</v>
      </c>
      <c r="F16" s="586" t="s">
        <v>8</v>
      </c>
      <c r="G16" s="969" t="s">
        <v>153</v>
      </c>
    </row>
    <row r="17" spans="1:7" x14ac:dyDescent="0.3">
      <c r="A17" s="988">
        <v>45960</v>
      </c>
      <c r="B17" s="585" t="s">
        <v>211</v>
      </c>
      <c r="C17" s="911" t="s">
        <v>6</v>
      </c>
      <c r="D17" s="360" t="s">
        <v>122</v>
      </c>
      <c r="E17" s="361">
        <v>-40.630000000000003</v>
      </c>
      <c r="F17" s="586" t="s">
        <v>8</v>
      </c>
      <c r="G17" s="591" t="s">
        <v>68</v>
      </c>
    </row>
    <row r="18" spans="1:7" x14ac:dyDescent="0.3">
      <c r="A18" s="585">
        <v>45960</v>
      </c>
      <c r="B18" s="585" t="s">
        <v>211</v>
      </c>
      <c r="C18" s="983" t="s">
        <v>71</v>
      </c>
      <c r="D18" s="984" t="s">
        <v>1937</v>
      </c>
      <c r="E18" s="985">
        <v>-10.130000000000001</v>
      </c>
      <c r="F18" s="586" t="s">
        <v>8</v>
      </c>
      <c r="G18" s="989" t="s">
        <v>73</v>
      </c>
    </row>
    <row r="19" spans="1:7" x14ac:dyDescent="0.3">
      <c r="A19" s="585">
        <v>45960</v>
      </c>
      <c r="B19" s="585" t="s">
        <v>211</v>
      </c>
      <c r="C19" s="987" t="s">
        <v>71</v>
      </c>
      <c r="D19" s="992" t="s">
        <v>1856</v>
      </c>
      <c r="E19" s="985">
        <v>-4347.01</v>
      </c>
      <c r="F19" s="586" t="s">
        <v>8</v>
      </c>
      <c r="G19" s="989" t="s">
        <v>73</v>
      </c>
    </row>
    <row r="20" spans="1:7" x14ac:dyDescent="0.3">
      <c r="A20" s="585">
        <v>45960</v>
      </c>
      <c r="B20" s="585" t="s">
        <v>211</v>
      </c>
      <c r="C20" s="987" t="s">
        <v>71</v>
      </c>
      <c r="D20" s="992" t="s">
        <v>1857</v>
      </c>
      <c r="E20" s="985">
        <v>-2173.96</v>
      </c>
      <c r="F20" s="586" t="s">
        <v>8</v>
      </c>
      <c r="G20" s="989" t="s">
        <v>73</v>
      </c>
    </row>
    <row r="21" spans="1:7" x14ac:dyDescent="0.3">
      <c r="A21" s="585">
        <v>45960</v>
      </c>
      <c r="B21" s="585" t="s">
        <v>211</v>
      </c>
      <c r="C21" s="983" t="s">
        <v>17</v>
      </c>
      <c r="D21" s="983" t="s">
        <v>1938</v>
      </c>
      <c r="E21" s="993">
        <v>-474</v>
      </c>
      <c r="F21" s="586" t="s">
        <v>8</v>
      </c>
      <c r="G21" s="591" t="s">
        <v>1440</v>
      </c>
    </row>
    <row r="22" spans="1:7" x14ac:dyDescent="0.3">
      <c r="A22" s="585">
        <v>45960</v>
      </c>
      <c r="B22" s="585" t="s">
        <v>211</v>
      </c>
      <c r="C22" s="983" t="s">
        <v>44</v>
      </c>
      <c r="D22" s="983" t="s">
        <v>1886</v>
      </c>
      <c r="E22" s="993">
        <v>-1695.95</v>
      </c>
      <c r="F22" s="586" t="s">
        <v>8</v>
      </c>
      <c r="G22" s="591" t="s">
        <v>1279</v>
      </c>
    </row>
    <row r="23" spans="1:7" x14ac:dyDescent="0.3">
      <c r="A23" s="585">
        <v>45960</v>
      </c>
      <c r="B23" s="585" t="s">
        <v>211</v>
      </c>
      <c r="C23" s="983" t="s">
        <v>71</v>
      </c>
      <c r="D23" s="983" t="s">
        <v>1929</v>
      </c>
      <c r="E23" s="993">
        <v>-477.4</v>
      </c>
      <c r="F23" s="586" t="s">
        <v>8</v>
      </c>
      <c r="G23" s="591" t="s">
        <v>1279</v>
      </c>
    </row>
    <row r="24" spans="1:7" x14ac:dyDescent="0.3">
      <c r="A24" s="585">
        <v>45960</v>
      </c>
      <c r="B24" s="585" t="s">
        <v>211</v>
      </c>
      <c r="C24" s="983" t="s">
        <v>17</v>
      </c>
      <c r="D24" s="983" t="s">
        <v>1934</v>
      </c>
      <c r="E24" s="985">
        <v>-113.4</v>
      </c>
      <c r="F24" s="586" t="s">
        <v>8</v>
      </c>
      <c r="G24" s="591" t="s">
        <v>1279</v>
      </c>
    </row>
    <row r="25" spans="1:7" x14ac:dyDescent="0.3">
      <c r="A25" s="585">
        <v>45960</v>
      </c>
      <c r="B25" s="585" t="s">
        <v>211</v>
      </c>
      <c r="C25" s="994" t="s">
        <v>44</v>
      </c>
      <c r="D25" s="983" t="s">
        <v>1935</v>
      </c>
      <c r="E25" s="985">
        <v>-1685.66</v>
      </c>
      <c r="F25" s="586" t="s">
        <v>8</v>
      </c>
      <c r="G25" s="591" t="s">
        <v>1064</v>
      </c>
    </row>
    <row r="26" spans="1:7" x14ac:dyDescent="0.3">
      <c r="A26" s="585">
        <v>45960</v>
      </c>
      <c r="B26" s="585" t="s">
        <v>211</v>
      </c>
      <c r="C26" s="994" t="s">
        <v>17</v>
      </c>
      <c r="D26" s="983" t="s">
        <v>1936</v>
      </c>
      <c r="E26" s="985">
        <v>-189</v>
      </c>
      <c r="F26" s="586" t="s">
        <v>8</v>
      </c>
      <c r="G26" s="591" t="s">
        <v>1440</v>
      </c>
    </row>
    <row r="27" spans="1:7" x14ac:dyDescent="0.3">
      <c r="A27" s="585">
        <v>45960</v>
      </c>
      <c r="B27" s="585" t="s">
        <v>211</v>
      </c>
      <c r="C27" s="590" t="s">
        <v>6</v>
      </c>
      <c r="D27" s="360" t="s">
        <v>92</v>
      </c>
      <c r="E27" s="361">
        <v>-177.05</v>
      </c>
      <c r="F27" s="586" t="s">
        <v>8</v>
      </c>
      <c r="G27" s="591" t="s">
        <v>29</v>
      </c>
    </row>
    <row r="28" spans="1:7" x14ac:dyDescent="0.3">
      <c r="A28" s="585">
        <v>45960</v>
      </c>
      <c r="B28" s="585" t="s">
        <v>211</v>
      </c>
      <c r="C28" s="590" t="s">
        <v>44</v>
      </c>
      <c r="D28" s="360" t="s">
        <v>92</v>
      </c>
      <c r="E28" s="361">
        <v>-177.05</v>
      </c>
      <c r="F28" s="586" t="s">
        <v>8</v>
      </c>
      <c r="G28" s="591" t="s">
        <v>29</v>
      </c>
    </row>
    <row r="29" spans="1:7" x14ac:dyDescent="0.3">
      <c r="A29" s="585">
        <v>45960</v>
      </c>
      <c r="B29" s="585" t="s">
        <v>211</v>
      </c>
      <c r="C29" s="590" t="s">
        <v>13</v>
      </c>
      <c r="D29" s="360" t="s">
        <v>92</v>
      </c>
      <c r="E29" s="361">
        <v>-177.05</v>
      </c>
      <c r="F29" s="586" t="s">
        <v>8</v>
      </c>
      <c r="G29" s="591" t="s">
        <v>29</v>
      </c>
    </row>
    <row r="30" spans="1:7" x14ac:dyDescent="0.3">
      <c r="A30" s="585">
        <v>45960</v>
      </c>
      <c r="B30" s="585" t="s">
        <v>211</v>
      </c>
      <c r="C30" s="590" t="s">
        <v>648</v>
      </c>
      <c r="D30" s="360" t="s">
        <v>92</v>
      </c>
      <c r="E30" s="361">
        <v>-177.05</v>
      </c>
      <c r="F30" s="586" t="s">
        <v>8</v>
      </c>
      <c r="G30" s="591" t="s">
        <v>29</v>
      </c>
    </row>
    <row r="31" spans="1:7" x14ac:dyDescent="0.3">
      <c r="A31" s="585">
        <v>45960</v>
      </c>
      <c r="B31" s="585" t="s">
        <v>211</v>
      </c>
      <c r="C31" s="590" t="s">
        <v>31</v>
      </c>
      <c r="D31" s="360" t="s">
        <v>92</v>
      </c>
      <c r="E31" s="361">
        <v>-177.05</v>
      </c>
      <c r="F31" s="586" t="s">
        <v>8</v>
      </c>
      <c r="G31" s="591" t="s">
        <v>29</v>
      </c>
    </row>
    <row r="32" spans="1:7" x14ac:dyDescent="0.3">
      <c r="A32" s="585">
        <v>45960</v>
      </c>
      <c r="B32" s="820" t="s">
        <v>211</v>
      </c>
      <c r="C32" s="963" t="s">
        <v>64</v>
      </c>
      <c r="D32" s="821" t="s">
        <v>92</v>
      </c>
      <c r="E32" s="822">
        <v>-177.05</v>
      </c>
      <c r="F32" s="823" t="s">
        <v>8</v>
      </c>
      <c r="G32" s="964" t="s">
        <v>29</v>
      </c>
    </row>
    <row r="33" spans="1:7" x14ac:dyDescent="0.3">
      <c r="A33" s="585">
        <v>45960</v>
      </c>
      <c r="B33" s="585" t="s">
        <v>211</v>
      </c>
      <c r="C33" s="987" t="s">
        <v>17</v>
      </c>
      <c r="D33" s="360" t="s">
        <v>92</v>
      </c>
      <c r="E33" s="361">
        <v>-177.05</v>
      </c>
      <c r="F33" s="586" t="s">
        <v>8</v>
      </c>
      <c r="G33" s="591" t="s">
        <v>29</v>
      </c>
    </row>
    <row r="34" spans="1:7" x14ac:dyDescent="0.3">
      <c r="A34" s="585">
        <v>45960</v>
      </c>
      <c r="B34" s="585" t="s">
        <v>211</v>
      </c>
      <c r="C34" s="987" t="s">
        <v>93</v>
      </c>
      <c r="D34" s="360" t="s">
        <v>92</v>
      </c>
      <c r="E34" s="361">
        <v>-177.05</v>
      </c>
      <c r="F34" s="586" t="s">
        <v>8</v>
      </c>
      <c r="G34" s="591" t="s">
        <v>29</v>
      </c>
    </row>
    <row r="35" spans="1:7" x14ac:dyDescent="0.3">
      <c r="A35" s="585">
        <v>45960</v>
      </c>
      <c r="B35" s="585" t="s">
        <v>211</v>
      </c>
      <c r="C35" s="987" t="s">
        <v>33</v>
      </c>
      <c r="D35" s="965" t="s">
        <v>92</v>
      </c>
      <c r="E35" s="361">
        <v>-177.05</v>
      </c>
      <c r="F35" s="586" t="s">
        <v>8</v>
      </c>
      <c r="G35" s="591" t="s">
        <v>29</v>
      </c>
    </row>
    <row r="36" spans="1:7" x14ac:dyDescent="0.3">
      <c r="A36" s="585">
        <v>45960</v>
      </c>
      <c r="B36" s="585" t="s">
        <v>211</v>
      </c>
      <c r="C36" s="987" t="s">
        <v>32</v>
      </c>
      <c r="D36" s="360" t="s">
        <v>92</v>
      </c>
      <c r="E36" s="361">
        <v>-177.05</v>
      </c>
      <c r="F36" s="586" t="s">
        <v>8</v>
      </c>
      <c r="G36" s="591" t="s">
        <v>29</v>
      </c>
    </row>
    <row r="37" spans="1:7" x14ac:dyDescent="0.3">
      <c r="A37" s="585">
        <v>45960</v>
      </c>
      <c r="B37" s="585" t="s">
        <v>211</v>
      </c>
      <c r="C37" s="987" t="s">
        <v>34</v>
      </c>
      <c r="D37" s="360" t="s">
        <v>92</v>
      </c>
      <c r="E37" s="361">
        <v>-177.05</v>
      </c>
      <c r="F37" s="586" t="s">
        <v>8</v>
      </c>
      <c r="G37" s="591" t="s">
        <v>29</v>
      </c>
    </row>
  </sheetData>
  <conditionalFormatting sqref="F1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">
    <cfRule type="colorScale" priority="12">
      <colorScale>
        <cfvo type="min"/>
        <cfvo type="max"/>
        <color rgb="FFF8696B"/>
        <color rgb="FFFCFCFF"/>
      </colorScale>
    </cfRule>
  </conditionalFormatting>
  <conditionalFormatting sqref="F24:F26">
    <cfRule type="colorScale" priority="5">
      <colorScale>
        <cfvo type="min"/>
        <cfvo type="max"/>
        <color rgb="FFF8696B"/>
        <color rgb="FFFCFCFF"/>
      </colorScale>
    </cfRule>
  </conditionalFormatting>
  <conditionalFormatting sqref="F27">
    <cfRule type="colorScale" priority="2">
      <colorScale>
        <cfvo type="min"/>
        <cfvo type="max"/>
        <color rgb="FFF8696B"/>
        <color rgb="FFFCFCFF"/>
      </colorScale>
    </cfRule>
  </conditionalFormatting>
  <conditionalFormatting sqref="F34:F35">
    <cfRule type="colorScale" priority="1">
      <colorScale>
        <cfvo type="min"/>
        <cfvo type="max"/>
        <color rgb="FFF8696B"/>
        <color rgb="FFFCFCFF"/>
      </colorScale>
    </cfRule>
  </conditionalFormatting>
  <conditionalFormatting sqref="F36:F37 F28:F33 F3:F23">
    <cfRule type="colorScale" priority="11">
      <colorScale>
        <cfvo type="min"/>
        <cfvo type="max"/>
        <color rgb="FFF8696B"/>
        <color rgb="FFFCFCFF"/>
      </colorScale>
    </cfRule>
  </conditionalFormatting>
  <conditionalFormatting sqref="G4">
    <cfRule type="colorScale" priority="10">
      <colorScale>
        <cfvo type="min"/>
        <cfvo type="max"/>
        <color rgb="FFF8696B"/>
        <color rgb="FFFCFCFF"/>
      </colorScale>
    </cfRule>
  </conditionalFormatting>
  <conditionalFormatting sqref="G6">
    <cfRule type="colorScale" priority="9">
      <colorScale>
        <cfvo type="min"/>
        <cfvo type="max"/>
        <color rgb="FFF8696B"/>
        <color rgb="FFFCFCFF"/>
      </colorScale>
    </cfRule>
  </conditionalFormatting>
  <conditionalFormatting sqref="G8:G11">
    <cfRule type="colorScale" priority="8">
      <colorScale>
        <cfvo type="min"/>
        <cfvo type="max"/>
        <color rgb="FFF8696B"/>
        <color rgb="FFFCFCFF"/>
      </colorScale>
    </cfRule>
  </conditionalFormatting>
  <conditionalFormatting sqref="G13">
    <cfRule type="colorScale" priority="7">
      <colorScale>
        <cfvo type="min"/>
        <cfvo type="max"/>
        <color rgb="FFF8696B"/>
        <color rgb="FFFCFCFF"/>
      </colorScale>
    </cfRule>
  </conditionalFormatting>
  <conditionalFormatting sqref="G1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4:G26">
    <cfRule type="colorScale" priority="4">
      <colorScale>
        <cfvo type="min"/>
        <cfvo type="max"/>
        <color rgb="FFF8696B"/>
        <color rgb="FFFCFCFF"/>
      </colorScale>
    </cfRule>
  </conditionalFormatting>
  <conditionalFormatting sqref="G31:G32">
    <cfRule type="colorScale" priority="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paperSize="9" scale="6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DAAF-C212-49BB-9890-9EE5510824A1}">
  <sheetPr filterMode="1"/>
  <dimension ref="A1:G63"/>
  <sheetViews>
    <sheetView topLeftCell="A49" workbookViewId="0">
      <selection activeCell="D72" sqref="D72"/>
    </sheetView>
  </sheetViews>
  <sheetFormatPr defaultRowHeight="14.4" x14ac:dyDescent="0.3"/>
  <cols>
    <col min="1" max="1" width="26.77734375" bestFit="1" customWidth="1"/>
    <col min="2" max="2" width="14.6640625" bestFit="1" customWidth="1"/>
    <col min="3" max="3" width="20.44140625" bestFit="1" customWidth="1"/>
    <col min="4" max="4" width="121.88671875" bestFit="1" customWidth="1"/>
    <col min="5" max="5" width="14" bestFit="1" customWidth="1"/>
    <col min="6" max="6" width="8.6640625" bestFit="1" customWidth="1"/>
    <col min="7" max="7" width="25" bestFit="1" customWidth="1"/>
  </cols>
  <sheetData>
    <row r="1" spans="1:7" s="658" customFormat="1" x14ac:dyDescent="0.3">
      <c r="A1" s="894" t="s">
        <v>0</v>
      </c>
      <c r="B1" s="894" t="s">
        <v>1038</v>
      </c>
      <c r="C1" s="895" t="s">
        <v>1</v>
      </c>
      <c r="D1" s="896" t="s">
        <v>2</v>
      </c>
      <c r="E1" s="897" t="s">
        <v>3</v>
      </c>
      <c r="F1" s="897" t="s">
        <v>4</v>
      </c>
      <c r="G1" s="898" t="s">
        <v>5</v>
      </c>
    </row>
    <row r="2" spans="1:7" hidden="1" x14ac:dyDescent="0.3">
      <c r="A2" s="135">
        <v>45952</v>
      </c>
      <c r="B2" s="100" t="s">
        <v>211</v>
      </c>
      <c r="C2" s="865" t="s">
        <v>17</v>
      </c>
      <c r="D2" s="865" t="s">
        <v>389</v>
      </c>
      <c r="E2" s="866">
        <v>-84.56</v>
      </c>
      <c r="F2" s="13" t="s">
        <v>8</v>
      </c>
      <c r="G2" s="867" t="s">
        <v>139</v>
      </c>
    </row>
    <row r="3" spans="1:7" hidden="1" x14ac:dyDescent="0.3">
      <c r="A3" s="136">
        <v>45952</v>
      </c>
      <c r="B3" s="868" t="s">
        <v>211</v>
      </c>
      <c r="C3" s="4" t="s">
        <v>6</v>
      </c>
      <c r="D3" s="869" t="s">
        <v>742</v>
      </c>
      <c r="E3" s="870">
        <v>-26700</v>
      </c>
      <c r="F3" s="13" t="s">
        <v>8</v>
      </c>
      <c r="G3" s="871" t="s">
        <v>186</v>
      </c>
    </row>
    <row r="4" spans="1:7" hidden="1" x14ac:dyDescent="0.3">
      <c r="A4" s="135">
        <v>45952</v>
      </c>
      <c r="B4" s="100" t="s">
        <v>211</v>
      </c>
      <c r="C4" s="872" t="s">
        <v>31</v>
      </c>
      <c r="D4" s="872" t="s">
        <v>1940</v>
      </c>
      <c r="E4" s="873">
        <v>-200</v>
      </c>
      <c r="F4" s="13" t="s">
        <v>8</v>
      </c>
      <c r="G4" s="874" t="s">
        <v>82</v>
      </c>
    </row>
    <row r="5" spans="1:7" hidden="1" x14ac:dyDescent="0.3">
      <c r="A5" s="135">
        <v>45952</v>
      </c>
      <c r="B5" s="100" t="s">
        <v>211</v>
      </c>
      <c r="C5" s="872" t="s">
        <v>32</v>
      </c>
      <c r="D5" s="872" t="s">
        <v>1615</v>
      </c>
      <c r="E5" s="873">
        <v>-221.4</v>
      </c>
      <c r="F5" s="13" t="s">
        <v>8</v>
      </c>
      <c r="G5" s="874" t="s">
        <v>82</v>
      </c>
    </row>
    <row r="6" spans="1:7" hidden="1" x14ac:dyDescent="0.3">
      <c r="A6" s="135">
        <v>45952</v>
      </c>
      <c r="B6" s="100" t="s">
        <v>211</v>
      </c>
      <c r="C6" s="872" t="s">
        <v>17</v>
      </c>
      <c r="D6" s="872" t="s">
        <v>1802</v>
      </c>
      <c r="E6" s="873">
        <v>-243</v>
      </c>
      <c r="F6" s="13" t="s">
        <v>8</v>
      </c>
      <c r="G6" s="874" t="s">
        <v>82</v>
      </c>
    </row>
    <row r="7" spans="1:7" hidden="1" x14ac:dyDescent="0.3">
      <c r="A7" s="875">
        <v>45953</v>
      </c>
      <c r="B7" s="100" t="s">
        <v>211</v>
      </c>
      <c r="C7" s="287" t="s">
        <v>13</v>
      </c>
      <c r="D7" s="4" t="s">
        <v>14</v>
      </c>
      <c r="E7" s="16">
        <v>-1500</v>
      </c>
      <c r="F7" s="13" t="s">
        <v>8</v>
      </c>
      <c r="G7" s="5" t="s">
        <v>15</v>
      </c>
    </row>
    <row r="8" spans="1:7" hidden="1" x14ac:dyDescent="0.3">
      <c r="A8" s="135">
        <v>45952</v>
      </c>
      <c r="B8" s="100" t="s">
        <v>211</v>
      </c>
      <c r="C8" s="872" t="s">
        <v>17</v>
      </c>
      <c r="D8" s="4" t="s">
        <v>1967</v>
      </c>
      <c r="E8" s="16">
        <v>-6416</v>
      </c>
      <c r="F8" s="13" t="s">
        <v>8</v>
      </c>
      <c r="G8" s="5" t="s">
        <v>27</v>
      </c>
    </row>
    <row r="9" spans="1:7" hidden="1" x14ac:dyDescent="0.3">
      <c r="A9" s="875">
        <v>45952</v>
      </c>
      <c r="B9" s="146" t="s">
        <v>211</v>
      </c>
      <c r="C9" s="865" t="s">
        <v>44</v>
      </c>
      <c r="D9" s="865" t="s">
        <v>204</v>
      </c>
      <c r="E9" s="866">
        <v>-4057.4</v>
      </c>
      <c r="F9" s="13" t="s">
        <v>8</v>
      </c>
      <c r="G9" s="867" t="s">
        <v>227</v>
      </c>
    </row>
    <row r="10" spans="1:7" hidden="1" x14ac:dyDescent="0.3">
      <c r="A10" s="875">
        <v>45952</v>
      </c>
      <c r="B10" s="100" t="s">
        <v>211</v>
      </c>
      <c r="C10" s="872" t="s">
        <v>44</v>
      </c>
      <c r="D10" s="872" t="s">
        <v>1910</v>
      </c>
      <c r="E10" s="866">
        <v>-5473.11</v>
      </c>
      <c r="F10" s="13" t="s">
        <v>8</v>
      </c>
      <c r="G10" s="876" t="s">
        <v>124</v>
      </c>
    </row>
    <row r="11" spans="1:7" hidden="1" x14ac:dyDescent="0.3">
      <c r="A11" s="875">
        <v>45952</v>
      </c>
      <c r="B11" s="100" t="s">
        <v>211</v>
      </c>
      <c r="C11" s="872" t="s">
        <v>104</v>
      </c>
      <c r="D11" s="872" t="s">
        <v>1911</v>
      </c>
      <c r="E11" s="873">
        <v>-3097.97</v>
      </c>
      <c r="F11" s="13" t="s">
        <v>8</v>
      </c>
      <c r="G11" s="876" t="s">
        <v>124</v>
      </c>
    </row>
    <row r="12" spans="1:7" hidden="1" x14ac:dyDescent="0.3">
      <c r="A12" s="875">
        <v>45952</v>
      </c>
      <c r="B12" s="100" t="s">
        <v>211</v>
      </c>
      <c r="C12" s="872" t="s">
        <v>44</v>
      </c>
      <c r="D12" s="872" t="s">
        <v>1913</v>
      </c>
      <c r="E12" s="877">
        <v>-3689.71</v>
      </c>
      <c r="F12" s="13" t="s">
        <v>8</v>
      </c>
      <c r="G12" s="876" t="s">
        <v>124</v>
      </c>
    </row>
    <row r="13" spans="1:7" hidden="1" x14ac:dyDescent="0.3">
      <c r="A13" s="875">
        <v>45952</v>
      </c>
      <c r="B13" s="100" t="s">
        <v>211</v>
      </c>
      <c r="C13" s="878" t="s">
        <v>104</v>
      </c>
      <c r="D13" s="872" t="s">
        <v>1912</v>
      </c>
      <c r="E13" s="873">
        <v>-110.7</v>
      </c>
      <c r="F13" s="13" t="s">
        <v>8</v>
      </c>
      <c r="G13" s="876" t="s">
        <v>124</v>
      </c>
    </row>
    <row r="14" spans="1:7" hidden="1" x14ac:dyDescent="0.3">
      <c r="A14" s="100">
        <v>45953</v>
      </c>
      <c r="B14" s="100" t="s">
        <v>211</v>
      </c>
      <c r="C14" s="287" t="s">
        <v>6</v>
      </c>
      <c r="D14" s="4" t="s">
        <v>1948</v>
      </c>
      <c r="E14" s="16">
        <v>-10000</v>
      </c>
      <c r="F14" s="13" t="s">
        <v>8</v>
      </c>
      <c r="G14" s="5" t="s">
        <v>27</v>
      </c>
    </row>
    <row r="15" spans="1:7" hidden="1" x14ac:dyDescent="0.3">
      <c r="A15" s="879">
        <v>45959</v>
      </c>
      <c r="B15" s="146" t="s">
        <v>211</v>
      </c>
      <c r="C15" s="880" t="s">
        <v>25</v>
      </c>
      <c r="D15" s="880" t="s">
        <v>1527</v>
      </c>
      <c r="E15" s="881">
        <v>-2517.84</v>
      </c>
      <c r="F15" s="110" t="s">
        <v>8</v>
      </c>
      <c r="G15" s="882" t="s">
        <v>153</v>
      </c>
    </row>
    <row r="16" spans="1:7" hidden="1" x14ac:dyDescent="0.3">
      <c r="A16" s="875">
        <v>45959</v>
      </c>
      <c r="B16" s="100" t="s">
        <v>211</v>
      </c>
      <c r="C16" s="865" t="s">
        <v>25</v>
      </c>
      <c r="D16" s="865" t="s">
        <v>1527</v>
      </c>
      <c r="E16" s="866">
        <v>-355</v>
      </c>
      <c r="F16" s="110" t="s">
        <v>8</v>
      </c>
      <c r="G16" s="867" t="s">
        <v>153</v>
      </c>
    </row>
    <row r="17" spans="1:7" hidden="1" x14ac:dyDescent="0.3">
      <c r="A17" s="875">
        <v>45959</v>
      </c>
      <c r="B17" s="100" t="s">
        <v>211</v>
      </c>
      <c r="C17" s="865" t="s">
        <v>31</v>
      </c>
      <c r="D17" s="865" t="s">
        <v>1627</v>
      </c>
      <c r="E17" s="866">
        <v>-1500</v>
      </c>
      <c r="F17" s="13" t="s">
        <v>8</v>
      </c>
      <c r="G17" s="867" t="s">
        <v>186</v>
      </c>
    </row>
    <row r="18" spans="1:7" hidden="1" x14ac:dyDescent="0.3">
      <c r="A18" s="875">
        <v>45959</v>
      </c>
      <c r="B18" s="100" t="s">
        <v>211</v>
      </c>
      <c r="C18" s="865" t="s">
        <v>31</v>
      </c>
      <c r="D18" s="865" t="s">
        <v>1628</v>
      </c>
      <c r="E18" s="866">
        <v>-1000</v>
      </c>
      <c r="F18" s="13" t="s">
        <v>8</v>
      </c>
      <c r="G18" s="867" t="s">
        <v>186</v>
      </c>
    </row>
    <row r="19" spans="1:7" hidden="1" x14ac:dyDescent="0.3">
      <c r="A19" s="875">
        <v>45959</v>
      </c>
      <c r="B19" s="100" t="s">
        <v>211</v>
      </c>
      <c r="C19" s="865" t="s">
        <v>6</v>
      </c>
      <c r="D19" s="865" t="s">
        <v>1629</v>
      </c>
      <c r="E19" s="883">
        <v>-1000</v>
      </c>
      <c r="F19" s="13" t="s">
        <v>8</v>
      </c>
      <c r="G19" s="867" t="s">
        <v>186</v>
      </c>
    </row>
    <row r="20" spans="1:7" hidden="1" x14ac:dyDescent="0.3">
      <c r="A20" s="879">
        <v>45959</v>
      </c>
      <c r="B20" s="146" t="s">
        <v>211</v>
      </c>
      <c r="C20" s="865" t="s">
        <v>44</v>
      </c>
      <c r="D20" s="865" t="s">
        <v>1633</v>
      </c>
      <c r="E20" s="884">
        <v>-3800</v>
      </c>
      <c r="F20" s="110" t="s">
        <v>8</v>
      </c>
      <c r="G20" s="885" t="s">
        <v>186</v>
      </c>
    </row>
    <row r="21" spans="1:7" hidden="1" x14ac:dyDescent="0.3">
      <c r="A21" s="100">
        <v>45957</v>
      </c>
      <c r="B21" s="100" t="s">
        <v>211</v>
      </c>
      <c r="C21" s="287" t="s">
        <v>6</v>
      </c>
      <c r="D21" s="4" t="s">
        <v>135</v>
      </c>
      <c r="E21" s="16">
        <v>-294.8</v>
      </c>
      <c r="F21" s="13" t="s">
        <v>8</v>
      </c>
      <c r="G21" s="5" t="s">
        <v>136</v>
      </c>
    </row>
    <row r="22" spans="1:7" hidden="1" x14ac:dyDescent="0.3">
      <c r="A22" s="135">
        <v>45952</v>
      </c>
      <c r="B22" s="100" t="s">
        <v>211</v>
      </c>
      <c r="C22" s="886" t="s">
        <v>32</v>
      </c>
      <c r="D22" s="865" t="s">
        <v>1939</v>
      </c>
      <c r="E22" s="866">
        <v>-493.2</v>
      </c>
      <c r="F22" s="13" t="s">
        <v>8</v>
      </c>
      <c r="G22" s="867" t="s">
        <v>82</v>
      </c>
    </row>
    <row r="23" spans="1:7" hidden="1" x14ac:dyDescent="0.3">
      <c r="A23" s="135">
        <v>45952</v>
      </c>
      <c r="B23" s="100" t="s">
        <v>211</v>
      </c>
      <c r="C23" s="887" t="s">
        <v>32</v>
      </c>
      <c r="D23" s="865" t="s">
        <v>1947</v>
      </c>
      <c r="E23" s="866">
        <v>-83.68</v>
      </c>
      <c r="F23" s="13" t="s">
        <v>8</v>
      </c>
      <c r="G23" s="867" t="s">
        <v>386</v>
      </c>
    </row>
    <row r="24" spans="1:7" hidden="1" x14ac:dyDescent="0.3">
      <c r="A24" s="100">
        <v>45953</v>
      </c>
      <c r="B24" s="100" t="s">
        <v>211</v>
      </c>
      <c r="C24" s="886" t="s">
        <v>25</v>
      </c>
      <c r="D24" s="865" t="s">
        <v>1941</v>
      </c>
      <c r="E24" s="873">
        <v>-1484.05</v>
      </c>
      <c r="F24" s="13" t="s">
        <v>8</v>
      </c>
      <c r="G24" s="876" t="s">
        <v>75</v>
      </c>
    </row>
    <row r="25" spans="1:7" hidden="1" x14ac:dyDescent="0.3">
      <c r="A25" s="100">
        <v>45953</v>
      </c>
      <c r="B25" s="100" t="s">
        <v>211</v>
      </c>
      <c r="C25" s="888" t="s">
        <v>1571</v>
      </c>
      <c r="D25" s="872" t="s">
        <v>1956</v>
      </c>
      <c r="E25" s="873">
        <v>-300</v>
      </c>
      <c r="F25" s="13" t="s">
        <v>8</v>
      </c>
      <c r="G25" s="876" t="s">
        <v>78</v>
      </c>
    </row>
    <row r="26" spans="1:7" hidden="1" x14ac:dyDescent="0.3">
      <c r="A26" s="100">
        <v>45953</v>
      </c>
      <c r="B26" s="113" t="s">
        <v>211</v>
      </c>
      <c r="C26" s="889" t="s">
        <v>31</v>
      </c>
      <c r="D26" s="890" t="s">
        <v>1957</v>
      </c>
      <c r="E26" s="891">
        <v>-50</v>
      </c>
      <c r="F26" s="27" t="s">
        <v>8</v>
      </c>
      <c r="G26" s="892" t="s">
        <v>111</v>
      </c>
    </row>
    <row r="27" spans="1:7" hidden="1" x14ac:dyDescent="0.3">
      <c r="A27" s="100">
        <v>45953</v>
      </c>
      <c r="B27" s="100" t="s">
        <v>211</v>
      </c>
      <c r="C27" s="872" t="s">
        <v>1571</v>
      </c>
      <c r="D27" s="872" t="s">
        <v>1958</v>
      </c>
      <c r="E27" s="873">
        <v>-519</v>
      </c>
      <c r="F27" s="13" t="s">
        <v>8</v>
      </c>
      <c r="G27" s="867" t="s">
        <v>386</v>
      </c>
    </row>
    <row r="28" spans="1:7" hidden="1" x14ac:dyDescent="0.3">
      <c r="A28" s="100">
        <v>45953</v>
      </c>
      <c r="B28" s="100" t="s">
        <v>211</v>
      </c>
      <c r="C28" s="872" t="s">
        <v>6</v>
      </c>
      <c r="D28" s="872" t="s">
        <v>1264</v>
      </c>
      <c r="E28" s="873">
        <v>-44</v>
      </c>
      <c r="F28" s="13" t="s">
        <v>8</v>
      </c>
      <c r="G28" s="874" t="s">
        <v>82</v>
      </c>
    </row>
    <row r="29" spans="1:7" hidden="1" x14ac:dyDescent="0.3">
      <c r="A29" s="100">
        <v>45953</v>
      </c>
      <c r="B29" s="100" t="s">
        <v>211</v>
      </c>
      <c r="C29" s="872" t="s">
        <v>6</v>
      </c>
      <c r="D29" s="872" t="s">
        <v>1267</v>
      </c>
      <c r="E29" s="873">
        <v>-44</v>
      </c>
      <c r="F29" s="13" t="s">
        <v>8</v>
      </c>
      <c r="G29" s="874" t="s">
        <v>82</v>
      </c>
    </row>
    <row r="30" spans="1:7" hidden="1" x14ac:dyDescent="0.3">
      <c r="A30" s="100">
        <v>45953</v>
      </c>
      <c r="B30" s="100" t="s">
        <v>211</v>
      </c>
      <c r="C30" s="872" t="s">
        <v>6</v>
      </c>
      <c r="D30" s="872" t="s">
        <v>1228</v>
      </c>
      <c r="E30" s="873">
        <v>-44</v>
      </c>
      <c r="F30" s="13" t="s">
        <v>8</v>
      </c>
      <c r="G30" s="874" t="s">
        <v>82</v>
      </c>
    </row>
    <row r="31" spans="1:7" hidden="1" x14ac:dyDescent="0.3">
      <c r="A31" s="100">
        <v>45953</v>
      </c>
      <c r="B31" s="100" t="s">
        <v>211</v>
      </c>
      <c r="C31" s="872" t="s">
        <v>6</v>
      </c>
      <c r="D31" s="872" t="s">
        <v>1268</v>
      </c>
      <c r="E31" s="873">
        <v>-44</v>
      </c>
      <c r="F31" s="13" t="s">
        <v>8</v>
      </c>
      <c r="G31" s="874" t="s">
        <v>82</v>
      </c>
    </row>
    <row r="32" spans="1:7" hidden="1" x14ac:dyDescent="0.3">
      <c r="A32" s="100">
        <v>45953</v>
      </c>
      <c r="B32" s="100" t="s">
        <v>211</v>
      </c>
      <c r="C32" s="872" t="s">
        <v>25</v>
      </c>
      <c r="D32" s="872" t="s">
        <v>1959</v>
      </c>
      <c r="E32" s="873">
        <v>-181.6</v>
      </c>
      <c r="F32" s="13" t="s">
        <v>8</v>
      </c>
      <c r="G32" s="874" t="s">
        <v>82</v>
      </c>
    </row>
    <row r="33" spans="1:7" hidden="1" x14ac:dyDescent="0.3">
      <c r="A33" s="100">
        <v>45953</v>
      </c>
      <c r="B33" s="100" t="s">
        <v>211</v>
      </c>
      <c r="C33" s="872" t="s">
        <v>25</v>
      </c>
      <c r="D33" s="872" t="s">
        <v>1960</v>
      </c>
      <c r="E33" s="873">
        <v>-123</v>
      </c>
      <c r="F33" s="13" t="s">
        <v>8</v>
      </c>
      <c r="G33" s="874" t="s">
        <v>82</v>
      </c>
    </row>
    <row r="34" spans="1:7" hidden="1" x14ac:dyDescent="0.3">
      <c r="A34" s="100">
        <v>45953</v>
      </c>
      <c r="B34" s="100" t="s">
        <v>211</v>
      </c>
      <c r="C34" s="872" t="s">
        <v>25</v>
      </c>
      <c r="D34" s="872" t="s">
        <v>1961</v>
      </c>
      <c r="E34" s="873">
        <v>-123</v>
      </c>
      <c r="F34" s="13" t="s">
        <v>8</v>
      </c>
      <c r="G34" s="874" t="s">
        <v>82</v>
      </c>
    </row>
    <row r="35" spans="1:7" hidden="1" x14ac:dyDescent="0.3">
      <c r="A35" s="113">
        <v>45953</v>
      </c>
      <c r="B35" s="100" t="s">
        <v>211</v>
      </c>
      <c r="C35" s="287" t="s">
        <v>6</v>
      </c>
      <c r="D35" s="4" t="s">
        <v>129</v>
      </c>
      <c r="E35" s="10">
        <v>-41000</v>
      </c>
      <c r="F35" s="13" t="s">
        <v>8</v>
      </c>
      <c r="G35" s="5" t="s">
        <v>82</v>
      </c>
    </row>
    <row r="36" spans="1:7" x14ac:dyDescent="0.3">
      <c r="A36" s="100">
        <v>45954</v>
      </c>
      <c r="B36" s="100" t="s">
        <v>211</v>
      </c>
      <c r="C36" s="865" t="s">
        <v>25</v>
      </c>
      <c r="D36" s="893" t="s">
        <v>1565</v>
      </c>
      <c r="E36" s="866">
        <v>-1480.5</v>
      </c>
      <c r="F36" s="13" t="s">
        <v>8</v>
      </c>
      <c r="G36" s="867" t="s">
        <v>153</v>
      </c>
    </row>
    <row r="37" spans="1:7" x14ac:dyDescent="0.3">
      <c r="A37" s="100">
        <v>45954</v>
      </c>
      <c r="B37" s="100" t="s">
        <v>211</v>
      </c>
      <c r="C37" s="12" t="s">
        <v>17</v>
      </c>
      <c r="D37" s="4" t="s">
        <v>18</v>
      </c>
      <c r="E37" s="10">
        <v>-17235</v>
      </c>
      <c r="F37" s="13" t="s">
        <v>8</v>
      </c>
      <c r="G37" s="867" t="s">
        <v>386</v>
      </c>
    </row>
    <row r="38" spans="1:7" x14ac:dyDescent="0.3">
      <c r="A38" s="100">
        <v>45954</v>
      </c>
      <c r="B38" s="100" t="s">
        <v>211</v>
      </c>
      <c r="C38" s="865" t="s">
        <v>1571</v>
      </c>
      <c r="D38" s="865" t="s">
        <v>1945</v>
      </c>
      <c r="E38" s="866">
        <v>-524.16</v>
      </c>
      <c r="F38" s="13" t="s">
        <v>8</v>
      </c>
      <c r="G38" s="867" t="s">
        <v>75</v>
      </c>
    </row>
    <row r="39" spans="1:7" x14ac:dyDescent="0.3">
      <c r="A39" s="100">
        <v>45954</v>
      </c>
      <c r="B39" s="100" t="s">
        <v>211</v>
      </c>
      <c r="C39" s="865" t="s">
        <v>71</v>
      </c>
      <c r="D39" s="865" t="s">
        <v>1946</v>
      </c>
      <c r="E39" s="866">
        <v>-1221.99</v>
      </c>
      <c r="F39" s="13" t="s">
        <v>8</v>
      </c>
      <c r="G39" s="867" t="s">
        <v>75</v>
      </c>
    </row>
    <row r="40" spans="1:7" x14ac:dyDescent="0.3">
      <c r="A40" s="875">
        <v>45954</v>
      </c>
      <c r="B40" s="100" t="s">
        <v>211</v>
      </c>
      <c r="C40" s="872" t="s">
        <v>25</v>
      </c>
      <c r="D40" s="872" t="s">
        <v>1963</v>
      </c>
      <c r="E40" s="873">
        <v>-1078.6600000000001</v>
      </c>
      <c r="F40" s="13" t="s">
        <v>8</v>
      </c>
      <c r="G40" s="867" t="s">
        <v>75</v>
      </c>
    </row>
    <row r="41" spans="1:7" x14ac:dyDescent="0.3">
      <c r="A41" s="875">
        <v>45954</v>
      </c>
      <c r="B41" s="100" t="s">
        <v>211</v>
      </c>
      <c r="C41" s="872" t="s">
        <v>25</v>
      </c>
      <c r="D41" s="872" t="s">
        <v>1962</v>
      </c>
      <c r="E41" s="873">
        <v>-1500</v>
      </c>
      <c r="F41" s="867" t="s">
        <v>8</v>
      </c>
      <c r="G41" s="867" t="s">
        <v>186</v>
      </c>
    </row>
    <row r="42" spans="1:7" x14ac:dyDescent="0.3">
      <c r="A42" s="875">
        <v>45954</v>
      </c>
      <c r="B42" s="100" t="s">
        <v>211</v>
      </c>
      <c r="C42" s="872" t="s">
        <v>25</v>
      </c>
      <c r="D42" s="865" t="s">
        <v>1559</v>
      </c>
      <c r="E42" s="866">
        <v>-675.37</v>
      </c>
      <c r="F42" s="867" t="s">
        <v>8</v>
      </c>
      <c r="G42" s="867" t="s">
        <v>186</v>
      </c>
    </row>
    <row r="43" spans="1:7" x14ac:dyDescent="0.3">
      <c r="A43" s="875">
        <v>45954</v>
      </c>
      <c r="B43" s="100" t="s">
        <v>211</v>
      </c>
      <c r="C43" s="872" t="s">
        <v>25</v>
      </c>
      <c r="D43" s="865" t="s">
        <v>1560</v>
      </c>
      <c r="E43" s="866">
        <v>-200</v>
      </c>
      <c r="F43" s="867" t="s">
        <v>8</v>
      </c>
      <c r="G43" s="867" t="s">
        <v>186</v>
      </c>
    </row>
    <row r="44" spans="1:7" x14ac:dyDescent="0.3">
      <c r="A44" s="875">
        <v>45954</v>
      </c>
      <c r="B44" s="100" t="s">
        <v>211</v>
      </c>
      <c r="C44" s="872" t="s">
        <v>25</v>
      </c>
      <c r="D44" s="865" t="s">
        <v>1561</v>
      </c>
      <c r="E44" s="883">
        <v>-3000</v>
      </c>
      <c r="F44" s="867" t="s">
        <v>8</v>
      </c>
      <c r="G44" s="867" t="s">
        <v>186</v>
      </c>
    </row>
    <row r="45" spans="1:7" hidden="1" x14ac:dyDescent="0.3">
      <c r="E45" s="216">
        <f>SUM(E2:E44)</f>
        <v>-143710.70000000001</v>
      </c>
    </row>
    <row r="49" spans="1:2" x14ac:dyDescent="0.3">
      <c r="A49" s="644" t="s">
        <v>1968</v>
      </c>
      <c r="B49" t="s">
        <v>220</v>
      </c>
    </row>
    <row r="50" spans="1:2" x14ac:dyDescent="0.3">
      <c r="A50" s="864" t="s">
        <v>82</v>
      </c>
      <c r="B50" s="1">
        <v>-42761.2</v>
      </c>
    </row>
    <row r="51" spans="1:2" x14ac:dyDescent="0.3">
      <c r="A51" s="864" t="s">
        <v>186</v>
      </c>
      <c r="B51" s="1">
        <v>-39375.370000000003</v>
      </c>
    </row>
    <row r="52" spans="1:2" x14ac:dyDescent="0.3">
      <c r="A52" s="864" t="s">
        <v>386</v>
      </c>
      <c r="B52" s="1">
        <v>-17837.68</v>
      </c>
    </row>
    <row r="53" spans="1:2" x14ac:dyDescent="0.3">
      <c r="A53" s="864" t="s">
        <v>27</v>
      </c>
      <c r="B53" s="1">
        <v>-16416</v>
      </c>
    </row>
    <row r="54" spans="1:2" x14ac:dyDescent="0.3">
      <c r="A54" s="864" t="s">
        <v>124</v>
      </c>
      <c r="B54" s="1">
        <v>-12371.490000000002</v>
      </c>
    </row>
    <row r="55" spans="1:2" x14ac:dyDescent="0.3">
      <c r="A55" s="864" t="s">
        <v>153</v>
      </c>
      <c r="B55" s="1">
        <v>-4353.34</v>
      </c>
    </row>
    <row r="56" spans="1:2" x14ac:dyDescent="0.3">
      <c r="A56" s="864" t="s">
        <v>75</v>
      </c>
      <c r="B56" s="1">
        <v>-4308.8599999999997</v>
      </c>
    </row>
    <row r="57" spans="1:2" x14ac:dyDescent="0.3">
      <c r="A57" s="864" t="s">
        <v>227</v>
      </c>
      <c r="B57" s="1">
        <v>-4057.4</v>
      </c>
    </row>
    <row r="58" spans="1:2" x14ac:dyDescent="0.3">
      <c r="A58" s="864" t="s">
        <v>15</v>
      </c>
      <c r="B58" s="1">
        <v>-1500</v>
      </c>
    </row>
    <row r="59" spans="1:2" x14ac:dyDescent="0.3">
      <c r="A59" s="864" t="s">
        <v>78</v>
      </c>
      <c r="B59" s="1">
        <v>-300</v>
      </c>
    </row>
    <row r="60" spans="1:2" x14ac:dyDescent="0.3">
      <c r="A60" s="864" t="s">
        <v>136</v>
      </c>
      <c r="B60" s="1">
        <v>-294.8</v>
      </c>
    </row>
    <row r="61" spans="1:2" x14ac:dyDescent="0.3">
      <c r="A61" s="864" t="s">
        <v>139</v>
      </c>
      <c r="B61" s="1">
        <v>-84.56</v>
      </c>
    </row>
    <row r="62" spans="1:2" x14ac:dyDescent="0.3">
      <c r="A62" s="864" t="s">
        <v>111</v>
      </c>
      <c r="B62" s="1">
        <v>-50</v>
      </c>
    </row>
    <row r="63" spans="1:2" x14ac:dyDescent="0.3">
      <c r="A63" s="864" t="s">
        <v>221</v>
      </c>
      <c r="B63" s="1">
        <v>-143710.70000000001</v>
      </c>
    </row>
  </sheetData>
  <autoFilter ref="A1:G45" xr:uid="{8B1FDAAF-C212-49BB-9890-9EE5510824A1}">
    <filterColumn colId="0">
      <filters>
        <dateGroupItem year="2025" month="10" day="24" dateTimeGrouping="day"/>
      </filters>
    </filterColumn>
  </autoFilter>
  <conditionalFormatting sqref="F1">
    <cfRule type="colorScale" priority="19">
      <colorScale>
        <cfvo type="min"/>
        <cfvo type="max"/>
        <color rgb="FFF8696B"/>
        <color rgb="FFFCFCFF"/>
      </colorScale>
    </cfRule>
  </conditionalFormatting>
  <conditionalFormatting sqref="F3">
    <cfRule type="colorScale" priority="15">
      <colorScale>
        <cfvo type="min"/>
        <cfvo type="max"/>
        <color rgb="FFF8696B"/>
        <color rgb="FFFCFCFF"/>
      </colorScale>
    </cfRule>
  </conditionalFormatting>
  <conditionalFormatting sqref="F4:F6 F2">
    <cfRule type="colorScale" priority="16">
      <colorScale>
        <cfvo type="min"/>
        <cfvo type="max"/>
        <color rgb="FFF8696B"/>
        <color rgb="FFFCFCFF"/>
      </colorScale>
    </cfRule>
  </conditionalFormatting>
  <conditionalFormatting sqref="F7:F23 F35:F37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4:F27">
    <cfRule type="colorScale" priority="7">
      <colorScale>
        <cfvo type="min"/>
        <cfvo type="max"/>
        <color rgb="FFF8696B"/>
        <color rgb="FFFCFCFF"/>
      </colorScale>
    </cfRule>
  </conditionalFormatting>
  <conditionalFormatting sqref="F28:F34">
    <cfRule type="colorScale" priority="5">
      <colorScale>
        <cfvo type="min"/>
        <cfvo type="max"/>
        <color rgb="FFF8696B"/>
        <color rgb="FFFCFCFF"/>
      </colorScale>
    </cfRule>
  </conditionalFormatting>
  <conditionalFormatting sqref="F38:F40">
    <cfRule type="colorScale" priority="2">
      <colorScale>
        <cfvo type="min"/>
        <cfvo type="max"/>
        <color rgb="FFF8696B"/>
        <color rgb="FFFCFCFF"/>
      </colorScale>
    </cfRule>
  </conditionalFormatting>
  <conditionalFormatting sqref="G2">
    <cfRule type="colorScale" priority="18">
      <colorScale>
        <cfvo type="min"/>
        <cfvo type="max"/>
        <color rgb="FFF8696B"/>
        <color rgb="FFFCFCFF"/>
      </colorScale>
    </cfRule>
  </conditionalFormatting>
  <conditionalFormatting sqref="G3">
    <cfRule type="colorScale" priority="14">
      <colorScale>
        <cfvo type="min"/>
        <cfvo type="max"/>
        <color rgb="FFF8696B"/>
        <color rgb="FFFCFCFF"/>
      </colorScale>
    </cfRule>
  </conditionalFormatting>
  <conditionalFormatting sqref="G4:G6">
    <cfRule type="colorScale" priority="17">
      <colorScale>
        <cfvo type="min"/>
        <cfvo type="max"/>
        <color rgb="FFF8696B"/>
        <color rgb="FFFCFCFF"/>
      </colorScale>
    </cfRule>
  </conditionalFormatting>
  <conditionalFormatting sqref="G9">
    <cfRule type="colorScale" priority="12">
      <colorScale>
        <cfvo type="min"/>
        <cfvo type="max"/>
        <color rgb="FFF8696B"/>
        <color rgb="FFFCFCFF"/>
      </colorScale>
    </cfRule>
  </conditionalFormatting>
  <conditionalFormatting sqref="G15:G16">
    <cfRule type="colorScale" priority="11">
      <colorScale>
        <cfvo type="min"/>
        <cfvo type="max"/>
        <color rgb="FFF8696B"/>
        <color rgb="FFFCFCFF"/>
      </colorScale>
    </cfRule>
  </conditionalFormatting>
  <conditionalFormatting sqref="G17:G20">
    <cfRule type="colorScale" priority="10">
      <colorScale>
        <cfvo type="min"/>
        <cfvo type="max"/>
        <color rgb="FFF8696B"/>
        <color rgb="FFFCFCFF"/>
      </colorScale>
    </cfRule>
  </conditionalFormatting>
  <conditionalFormatting sqref="G22">
    <cfRule type="colorScale" priority="8">
      <colorScale>
        <cfvo type="min"/>
        <cfvo type="max"/>
        <color rgb="FFF8696B"/>
        <color rgb="FFFCFCFF"/>
      </colorScale>
    </cfRule>
  </conditionalFormatting>
  <conditionalFormatting sqref="G23">
    <cfRule type="colorScale" priority="9">
      <colorScale>
        <cfvo type="min"/>
        <cfvo type="max"/>
        <color rgb="FFF8696B"/>
        <color rgb="FFFCFCFF"/>
      </colorScale>
    </cfRule>
  </conditionalFormatting>
  <conditionalFormatting sqref="G27 G37">
    <cfRule type="colorScale" priority="1">
      <colorScale>
        <cfvo type="min"/>
        <cfvo type="max"/>
        <color rgb="FFF8696B"/>
        <color rgb="FFFCFCFF"/>
      </colorScale>
    </cfRule>
  </conditionalFormatting>
  <conditionalFormatting sqref="G28:G34">
    <cfRule type="colorScale" priority="6">
      <colorScale>
        <cfvo type="min"/>
        <cfvo type="max"/>
        <color rgb="FFF8696B"/>
        <color rgb="FFFCFCFF"/>
      </colorScale>
    </cfRule>
  </conditionalFormatting>
  <conditionalFormatting sqref="G35">
    <cfRule type="colorScale" priority="4">
      <colorScale>
        <cfvo type="min"/>
        <cfvo type="max"/>
        <color rgb="FFF8696B"/>
        <color rgb="FFFCFCFF"/>
      </colorScale>
    </cfRule>
  </conditionalFormatting>
  <conditionalFormatting sqref="G36">
    <cfRule type="colorScale" priority="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7001-CCF3-4959-98B9-D8EE59A12B66}">
  <dimension ref="A1:F71"/>
  <sheetViews>
    <sheetView showGridLines="0" topLeftCell="A58" workbookViewId="0">
      <selection activeCell="A71" sqref="A71:F71"/>
    </sheetView>
  </sheetViews>
  <sheetFormatPr defaultRowHeight="14.4" x14ac:dyDescent="0.3"/>
  <cols>
    <col min="2" max="2" width="26.33203125" customWidth="1"/>
    <col min="3" max="3" width="73.77734375" style="724" customWidth="1"/>
    <col min="4" max="4" width="13.44140625" bestFit="1" customWidth="1"/>
    <col min="5" max="5" width="19.6640625" bestFit="1" customWidth="1"/>
    <col min="6" max="6" width="72.5546875" customWidth="1"/>
  </cols>
  <sheetData>
    <row r="1" spans="1:6" ht="15" x14ac:dyDescent="0.3">
      <c r="A1" s="1135" t="s">
        <v>1721</v>
      </c>
      <c r="B1" s="1135"/>
      <c r="C1" s="1135"/>
      <c r="D1" s="1135"/>
      <c r="E1" s="1135"/>
      <c r="F1" s="1135"/>
    </row>
    <row r="2" spans="1:6" ht="24" x14ac:dyDescent="0.3">
      <c r="A2" s="686" t="s">
        <v>1722</v>
      </c>
      <c r="B2" s="687" t="s">
        <v>1723</v>
      </c>
      <c r="C2" s="687" t="s">
        <v>1724</v>
      </c>
      <c r="D2" s="687" t="s">
        <v>1725</v>
      </c>
      <c r="E2" s="687" t="s">
        <v>1726</v>
      </c>
      <c r="F2" s="688" t="s">
        <v>1727</v>
      </c>
    </row>
    <row r="3" spans="1:6" x14ac:dyDescent="0.3">
      <c r="A3" s="683">
        <v>45940</v>
      </c>
      <c r="B3" s="684" t="s">
        <v>31</v>
      </c>
      <c r="C3" s="684" t="s">
        <v>949</v>
      </c>
      <c r="D3" s="685">
        <v>-282.64</v>
      </c>
      <c r="E3" s="684" t="s">
        <v>51</v>
      </c>
      <c r="F3" s="689" t="s">
        <v>1728</v>
      </c>
    </row>
    <row r="4" spans="1:6" x14ac:dyDescent="0.3">
      <c r="A4" s="683">
        <v>45940</v>
      </c>
      <c r="B4" s="684" t="s">
        <v>6</v>
      </c>
      <c r="C4" s="684" t="s">
        <v>949</v>
      </c>
      <c r="D4" s="685">
        <v>-706.6</v>
      </c>
      <c r="E4" s="684" t="s">
        <v>51</v>
      </c>
      <c r="F4" s="689" t="s">
        <v>1728</v>
      </c>
    </row>
    <row r="5" spans="1:6" x14ac:dyDescent="0.3">
      <c r="A5" s="683">
        <v>45940</v>
      </c>
      <c r="B5" s="684" t="s">
        <v>44</v>
      </c>
      <c r="C5" s="684" t="s">
        <v>949</v>
      </c>
      <c r="D5" s="685">
        <v>-777.26</v>
      </c>
      <c r="E5" s="684" t="s">
        <v>51</v>
      </c>
      <c r="F5" s="689" t="s">
        <v>1728</v>
      </c>
    </row>
    <row r="6" spans="1:6" x14ac:dyDescent="0.3">
      <c r="A6" s="683">
        <v>45940</v>
      </c>
      <c r="B6" s="684" t="s">
        <v>25</v>
      </c>
      <c r="C6" s="684" t="s">
        <v>949</v>
      </c>
      <c r="D6" s="685">
        <v>-2155.13</v>
      </c>
      <c r="E6" s="684" t="s">
        <v>51</v>
      </c>
      <c r="F6" s="689" t="s">
        <v>1728</v>
      </c>
    </row>
    <row r="7" spans="1:6" x14ac:dyDescent="0.3">
      <c r="A7" s="683">
        <v>45940</v>
      </c>
      <c r="B7" s="684" t="s">
        <v>33</v>
      </c>
      <c r="C7" s="684" t="s">
        <v>949</v>
      </c>
      <c r="D7" s="685">
        <v>-600.61</v>
      </c>
      <c r="E7" s="684" t="s">
        <v>51</v>
      </c>
      <c r="F7" s="689" t="s">
        <v>1728</v>
      </c>
    </row>
    <row r="8" spans="1:6" x14ac:dyDescent="0.3">
      <c r="A8" s="683">
        <v>45940</v>
      </c>
      <c r="B8" s="684" t="s">
        <v>104</v>
      </c>
      <c r="C8" s="684" t="s">
        <v>949</v>
      </c>
      <c r="D8" s="685">
        <v>-741.93</v>
      </c>
      <c r="E8" s="684" t="s">
        <v>51</v>
      </c>
      <c r="F8" s="689" t="s">
        <v>1728</v>
      </c>
    </row>
    <row r="9" spans="1:6" x14ac:dyDescent="0.3">
      <c r="A9" s="683">
        <v>45940</v>
      </c>
      <c r="B9" s="684" t="s">
        <v>32</v>
      </c>
      <c r="C9" s="684" t="s">
        <v>949</v>
      </c>
      <c r="D9" s="685">
        <v>-1589.85</v>
      </c>
      <c r="E9" s="684" t="s">
        <v>51</v>
      </c>
      <c r="F9" s="689" t="s">
        <v>1728</v>
      </c>
    </row>
    <row r="10" spans="1:6" x14ac:dyDescent="0.3">
      <c r="A10" s="683">
        <v>45940</v>
      </c>
      <c r="B10" s="684" t="s">
        <v>71</v>
      </c>
      <c r="C10" s="684" t="s">
        <v>949</v>
      </c>
      <c r="D10" s="685">
        <v>-918.58</v>
      </c>
      <c r="E10" s="684" t="s">
        <v>51</v>
      </c>
      <c r="F10" s="689" t="s">
        <v>1728</v>
      </c>
    </row>
    <row r="11" spans="1:6" x14ac:dyDescent="0.3">
      <c r="A11" s="683">
        <v>45940</v>
      </c>
      <c r="B11" s="684" t="s">
        <v>17</v>
      </c>
      <c r="C11" s="684" t="s">
        <v>949</v>
      </c>
      <c r="D11" s="685">
        <v>-1024.57</v>
      </c>
      <c r="E11" s="684" t="s">
        <v>51</v>
      </c>
      <c r="F11" s="689" t="s">
        <v>1728</v>
      </c>
    </row>
    <row r="12" spans="1:6" x14ac:dyDescent="0.3">
      <c r="A12" s="683">
        <v>45940</v>
      </c>
      <c r="B12" s="684" t="s">
        <v>31</v>
      </c>
      <c r="C12" s="684" t="s">
        <v>1729</v>
      </c>
      <c r="D12" s="685">
        <v>-127.68</v>
      </c>
      <c r="E12" s="684" t="s">
        <v>51</v>
      </c>
      <c r="F12" s="684" t="s">
        <v>1730</v>
      </c>
    </row>
    <row r="13" spans="1:6" x14ac:dyDescent="0.3">
      <c r="A13" s="683">
        <v>45940</v>
      </c>
      <c r="B13" s="684" t="s">
        <v>6</v>
      </c>
      <c r="C13" s="684" t="s">
        <v>1729</v>
      </c>
      <c r="D13" s="685">
        <v>-319.2</v>
      </c>
      <c r="E13" s="684" t="s">
        <v>51</v>
      </c>
      <c r="F13" s="684" t="s">
        <v>1731</v>
      </c>
    </row>
    <row r="14" spans="1:6" x14ac:dyDescent="0.3">
      <c r="A14" s="683">
        <v>45940</v>
      </c>
      <c r="B14" s="684" t="s">
        <v>44</v>
      </c>
      <c r="C14" s="684" t="s">
        <v>1729</v>
      </c>
      <c r="D14" s="685">
        <v>-351.12</v>
      </c>
      <c r="E14" s="684" t="s">
        <v>51</v>
      </c>
      <c r="F14" s="684" t="s">
        <v>1730</v>
      </c>
    </row>
    <row r="15" spans="1:6" x14ac:dyDescent="0.3">
      <c r="A15" s="683">
        <v>45940</v>
      </c>
      <c r="B15" s="684" t="s">
        <v>25</v>
      </c>
      <c r="C15" s="684" t="s">
        <v>1729</v>
      </c>
      <c r="D15" s="685">
        <v>-973.56</v>
      </c>
      <c r="E15" s="684" t="s">
        <v>51</v>
      </c>
      <c r="F15" s="684" t="s">
        <v>1730</v>
      </c>
    </row>
    <row r="16" spans="1:6" x14ac:dyDescent="0.3">
      <c r="A16" s="683">
        <v>45940</v>
      </c>
      <c r="B16" s="684" t="s">
        <v>33</v>
      </c>
      <c r="C16" s="684" t="s">
        <v>1729</v>
      </c>
      <c r="D16" s="685">
        <v>-271.32</v>
      </c>
      <c r="E16" s="684" t="s">
        <v>51</v>
      </c>
      <c r="F16" s="684" t="s">
        <v>1730</v>
      </c>
    </row>
    <row r="17" spans="1:6" x14ac:dyDescent="0.3">
      <c r="A17" s="683">
        <v>45940</v>
      </c>
      <c r="B17" s="684" t="s">
        <v>104</v>
      </c>
      <c r="C17" s="684" t="s">
        <v>1729</v>
      </c>
      <c r="D17" s="685">
        <v>-335.16</v>
      </c>
      <c r="E17" s="684" t="s">
        <v>51</v>
      </c>
      <c r="F17" s="684" t="s">
        <v>1730</v>
      </c>
    </row>
    <row r="18" spans="1:6" x14ac:dyDescent="0.3">
      <c r="A18" s="683">
        <v>45940</v>
      </c>
      <c r="B18" s="684" t="s">
        <v>32</v>
      </c>
      <c r="C18" s="684" t="s">
        <v>1729</v>
      </c>
      <c r="D18" s="685">
        <v>-718.2</v>
      </c>
      <c r="E18" s="684" t="s">
        <v>51</v>
      </c>
      <c r="F18" s="684" t="s">
        <v>1730</v>
      </c>
    </row>
    <row r="19" spans="1:6" x14ac:dyDescent="0.3">
      <c r="A19" s="683">
        <v>45940</v>
      </c>
      <c r="B19" s="684" t="s">
        <v>71</v>
      </c>
      <c r="C19" s="684" t="s">
        <v>1729</v>
      </c>
      <c r="D19" s="685">
        <v>-394.16</v>
      </c>
      <c r="E19" s="684" t="s">
        <v>51</v>
      </c>
      <c r="F19" s="684" t="s">
        <v>1731</v>
      </c>
    </row>
    <row r="20" spans="1:6" x14ac:dyDescent="0.3">
      <c r="A20" s="683">
        <v>45940</v>
      </c>
      <c r="B20" s="684" t="s">
        <v>71</v>
      </c>
      <c r="C20" s="684" t="s">
        <v>1729</v>
      </c>
      <c r="D20" s="685">
        <v>-414.96</v>
      </c>
      <c r="E20" s="684" t="s">
        <v>51</v>
      </c>
      <c r="F20" s="684" t="s">
        <v>1730</v>
      </c>
    </row>
    <row r="21" spans="1:6" x14ac:dyDescent="0.3">
      <c r="A21" s="683">
        <v>45940</v>
      </c>
      <c r="B21" s="684" t="s">
        <v>17</v>
      </c>
      <c r="C21" s="684" t="s">
        <v>1729</v>
      </c>
      <c r="D21" s="685">
        <v>-462.84</v>
      </c>
      <c r="E21" s="684" t="s">
        <v>51</v>
      </c>
      <c r="F21" s="684" t="s">
        <v>1730</v>
      </c>
    </row>
    <row r="22" spans="1:6" ht="22.8" x14ac:dyDescent="0.3">
      <c r="A22" s="683">
        <v>45940</v>
      </c>
      <c r="B22" s="684" t="s">
        <v>31</v>
      </c>
      <c r="C22" s="684" t="s">
        <v>1735</v>
      </c>
      <c r="D22" s="685">
        <v>-10</v>
      </c>
      <c r="E22" s="684" t="s">
        <v>51</v>
      </c>
      <c r="F22" s="684" t="s">
        <v>1733</v>
      </c>
    </row>
    <row r="23" spans="1:6" x14ac:dyDescent="0.3">
      <c r="A23" s="683">
        <v>45940</v>
      </c>
      <c r="B23" s="684" t="s">
        <v>31</v>
      </c>
      <c r="C23" s="684" t="s">
        <v>473</v>
      </c>
      <c r="D23" s="685">
        <v>-183.86</v>
      </c>
      <c r="E23" s="684" t="s">
        <v>51</v>
      </c>
      <c r="F23" s="684" t="s">
        <v>1734</v>
      </c>
    </row>
    <row r="24" spans="1:6" x14ac:dyDescent="0.3">
      <c r="A24" s="683">
        <v>45940</v>
      </c>
      <c r="B24" s="684" t="s">
        <v>6</v>
      </c>
      <c r="C24" s="684" t="s">
        <v>473</v>
      </c>
      <c r="D24" s="685">
        <v>-646.16999999999996</v>
      </c>
      <c r="E24" s="684" t="s">
        <v>51</v>
      </c>
      <c r="F24" s="684" t="s">
        <v>1734</v>
      </c>
    </row>
    <row r="25" spans="1:6" x14ac:dyDescent="0.3">
      <c r="A25" s="683">
        <v>45940</v>
      </c>
      <c r="B25" s="684" t="s">
        <v>44</v>
      </c>
      <c r="C25" s="684" t="s">
        <v>473</v>
      </c>
      <c r="D25" s="685">
        <v>-765.25</v>
      </c>
      <c r="E25" s="684" t="s">
        <v>51</v>
      </c>
      <c r="F25" s="684" t="s">
        <v>1734</v>
      </c>
    </row>
    <row r="26" spans="1:6" x14ac:dyDescent="0.3">
      <c r="A26" s="683">
        <v>45940</v>
      </c>
      <c r="B26" s="684" t="s">
        <v>25</v>
      </c>
      <c r="C26" s="684" t="s">
        <v>473</v>
      </c>
      <c r="D26" s="685">
        <v>-2341.2199999999998</v>
      </c>
      <c r="E26" s="684" t="s">
        <v>51</v>
      </c>
      <c r="F26" s="684" t="s">
        <v>1734</v>
      </c>
    </row>
    <row r="27" spans="1:6" x14ac:dyDescent="0.3">
      <c r="A27" s="683">
        <v>45940</v>
      </c>
      <c r="B27" s="684" t="s">
        <v>33</v>
      </c>
      <c r="C27" s="684" t="s">
        <v>473</v>
      </c>
      <c r="D27" s="685">
        <v>-565.88</v>
      </c>
      <c r="E27" s="684" t="s">
        <v>51</v>
      </c>
      <c r="F27" s="684" t="s">
        <v>1734</v>
      </c>
    </row>
    <row r="28" spans="1:6" x14ac:dyDescent="0.3">
      <c r="A28" s="683">
        <v>45940</v>
      </c>
      <c r="B28" s="684" t="s">
        <v>104</v>
      </c>
      <c r="C28" s="684" t="s">
        <v>473</v>
      </c>
      <c r="D28" s="685">
        <v>-650.85</v>
      </c>
      <c r="E28" s="684" t="s">
        <v>51</v>
      </c>
      <c r="F28" s="684" t="s">
        <v>1734</v>
      </c>
    </row>
    <row r="29" spans="1:6" x14ac:dyDescent="0.3">
      <c r="A29" s="683">
        <v>45940</v>
      </c>
      <c r="B29" s="684" t="s">
        <v>32</v>
      </c>
      <c r="C29" s="684" t="s">
        <v>473</v>
      </c>
      <c r="D29" s="685">
        <v>-1750.93</v>
      </c>
      <c r="E29" s="684" t="s">
        <v>51</v>
      </c>
      <c r="F29" s="684" t="s">
        <v>1734</v>
      </c>
    </row>
    <row r="30" spans="1:6" x14ac:dyDescent="0.3">
      <c r="A30" s="683">
        <v>45940</v>
      </c>
      <c r="B30" s="684" t="s">
        <v>71</v>
      </c>
      <c r="C30" s="684" t="s">
        <v>473</v>
      </c>
      <c r="D30" s="685">
        <v>-968.18</v>
      </c>
      <c r="E30" s="684" t="s">
        <v>51</v>
      </c>
      <c r="F30" s="684" t="s">
        <v>1734</v>
      </c>
    </row>
    <row r="31" spans="1:6" x14ac:dyDescent="0.3">
      <c r="A31" s="683">
        <v>45940</v>
      </c>
      <c r="B31" s="684" t="s">
        <v>17</v>
      </c>
      <c r="C31" s="684" t="s">
        <v>473</v>
      </c>
      <c r="D31" s="685">
        <v>-1051.5999999999999</v>
      </c>
      <c r="E31" s="684" t="s">
        <v>51</v>
      </c>
      <c r="F31" s="684" t="s">
        <v>1734</v>
      </c>
    </row>
    <row r="32" spans="1:6" x14ac:dyDescent="0.3">
      <c r="A32" s="683">
        <v>45945</v>
      </c>
      <c r="B32" s="684" t="s">
        <v>71</v>
      </c>
      <c r="C32" s="684" t="s">
        <v>74</v>
      </c>
      <c r="D32" s="685">
        <v>-4375.75</v>
      </c>
      <c r="E32" s="684" t="s">
        <v>73</v>
      </c>
      <c r="F32" s="684" t="s">
        <v>1760</v>
      </c>
    </row>
    <row r="33" spans="1:6" x14ac:dyDescent="0.3">
      <c r="A33" s="683">
        <v>45950</v>
      </c>
      <c r="B33" s="684" t="s">
        <v>31</v>
      </c>
      <c r="C33" s="684" t="s">
        <v>478</v>
      </c>
      <c r="D33" s="685">
        <v>-109.17</v>
      </c>
      <c r="E33" s="684" t="s">
        <v>1739</v>
      </c>
      <c r="F33" s="684" t="s">
        <v>1760</v>
      </c>
    </row>
    <row r="34" spans="1:6" x14ac:dyDescent="0.3">
      <c r="A34" s="683">
        <v>45950</v>
      </c>
      <c r="B34" s="684" t="s">
        <v>6</v>
      </c>
      <c r="C34" s="684" t="s">
        <v>478</v>
      </c>
      <c r="D34" s="685">
        <v>-244.73</v>
      </c>
      <c r="E34" s="684" t="s">
        <v>1739</v>
      </c>
      <c r="F34" s="684" t="s">
        <v>1760</v>
      </c>
    </row>
    <row r="35" spans="1:6" x14ac:dyDescent="0.3">
      <c r="A35" s="683">
        <v>45950</v>
      </c>
      <c r="B35" s="684" t="s">
        <v>44</v>
      </c>
      <c r="C35" s="684" t="s">
        <v>478</v>
      </c>
      <c r="D35" s="685">
        <v>-281.36</v>
      </c>
      <c r="E35" s="684" t="s">
        <v>1739</v>
      </c>
      <c r="F35" s="684" t="s">
        <v>1760</v>
      </c>
    </row>
    <row r="36" spans="1:6" x14ac:dyDescent="0.3">
      <c r="A36" s="683">
        <v>45950</v>
      </c>
      <c r="B36" s="684" t="s">
        <v>25</v>
      </c>
      <c r="C36" s="684" t="s">
        <v>478</v>
      </c>
      <c r="D36" s="685">
        <v>-1122.19</v>
      </c>
      <c r="E36" s="684" t="s">
        <v>1739</v>
      </c>
      <c r="F36" s="684" t="s">
        <v>1760</v>
      </c>
    </row>
    <row r="37" spans="1:6" x14ac:dyDescent="0.3">
      <c r="A37" s="683">
        <v>45950</v>
      </c>
      <c r="B37" s="684" t="s">
        <v>33</v>
      </c>
      <c r="C37" s="684" t="s">
        <v>478</v>
      </c>
      <c r="D37" s="685">
        <v>-380</v>
      </c>
      <c r="E37" s="684" t="s">
        <v>1739</v>
      </c>
      <c r="F37" s="684" t="s">
        <v>1760</v>
      </c>
    </row>
    <row r="38" spans="1:6" x14ac:dyDescent="0.3">
      <c r="A38" s="683">
        <v>45950</v>
      </c>
      <c r="B38" s="684" t="s">
        <v>104</v>
      </c>
      <c r="C38" s="684" t="s">
        <v>478</v>
      </c>
      <c r="D38" s="685">
        <v>-500</v>
      </c>
      <c r="E38" s="684" t="s">
        <v>1739</v>
      </c>
      <c r="F38" s="684" t="s">
        <v>1760</v>
      </c>
    </row>
    <row r="39" spans="1:6" x14ac:dyDescent="0.3">
      <c r="A39" s="683">
        <v>45950</v>
      </c>
      <c r="B39" s="684" t="s">
        <v>32</v>
      </c>
      <c r="C39" s="684" t="s">
        <v>478</v>
      </c>
      <c r="D39" s="685">
        <v>-975</v>
      </c>
      <c r="E39" s="684" t="s">
        <v>1739</v>
      </c>
      <c r="F39" s="684" t="s">
        <v>1760</v>
      </c>
    </row>
    <row r="40" spans="1:6" x14ac:dyDescent="0.3">
      <c r="A40" s="683">
        <v>45950</v>
      </c>
      <c r="B40" s="684" t="s">
        <v>71</v>
      </c>
      <c r="C40" s="684" t="s">
        <v>478</v>
      </c>
      <c r="D40" s="685">
        <v>-630</v>
      </c>
      <c r="E40" s="684" t="s">
        <v>1739</v>
      </c>
      <c r="F40" s="684" t="s">
        <v>1760</v>
      </c>
    </row>
    <row r="41" spans="1:6" x14ac:dyDescent="0.3">
      <c r="A41" s="683">
        <v>45950</v>
      </c>
      <c r="B41" s="684" t="s">
        <v>17</v>
      </c>
      <c r="C41" s="684" t="s">
        <v>478</v>
      </c>
      <c r="D41" s="685">
        <v>-1061.3800000000001</v>
      </c>
      <c r="E41" s="684" t="s">
        <v>1739</v>
      </c>
      <c r="F41" s="684" t="s">
        <v>1760</v>
      </c>
    </row>
    <row r="42" spans="1:6" x14ac:dyDescent="0.3">
      <c r="A42" s="683">
        <v>45954</v>
      </c>
      <c r="B42" s="684" t="s">
        <v>71</v>
      </c>
      <c r="C42" s="684" t="s">
        <v>74</v>
      </c>
      <c r="D42" s="685">
        <v>-3228.43</v>
      </c>
      <c r="E42" s="684" t="s">
        <v>73</v>
      </c>
      <c r="F42" s="684" t="s">
        <v>1760</v>
      </c>
    </row>
    <row r="43" spans="1:6" x14ac:dyDescent="0.3">
      <c r="A43" s="683">
        <v>45960</v>
      </c>
      <c r="B43" s="684" t="s">
        <v>25</v>
      </c>
      <c r="C43" s="684" t="s">
        <v>198</v>
      </c>
      <c r="D43" s="685">
        <v>-4276.16</v>
      </c>
      <c r="E43" s="684" t="s">
        <v>73</v>
      </c>
    </row>
    <row r="44" spans="1:6" s="753" customFormat="1" ht="45.6" x14ac:dyDescent="0.3">
      <c r="A44" s="780">
        <v>45960</v>
      </c>
      <c r="B44" s="737" t="s">
        <v>17</v>
      </c>
      <c r="C44" s="737" t="s">
        <v>198</v>
      </c>
      <c r="D44" s="738">
        <v>-6274.7</v>
      </c>
      <c r="E44" s="737" t="s">
        <v>73</v>
      </c>
      <c r="F44" s="737" t="s">
        <v>1873</v>
      </c>
    </row>
    <row r="45" spans="1:6" x14ac:dyDescent="0.3">
      <c r="A45" s="683">
        <v>45967</v>
      </c>
      <c r="B45" s="684" t="s">
        <v>71</v>
      </c>
      <c r="C45" s="684" t="s">
        <v>74</v>
      </c>
      <c r="D45" s="685">
        <v>-2915.4</v>
      </c>
      <c r="E45" s="684" t="s">
        <v>73</v>
      </c>
    </row>
    <row r="46" spans="1:6" x14ac:dyDescent="0.3">
      <c r="A46" s="683">
        <v>45971</v>
      </c>
      <c r="B46" s="684" t="s">
        <v>31</v>
      </c>
      <c r="C46" s="684" t="s">
        <v>949</v>
      </c>
      <c r="D46" s="685">
        <v>-70.66</v>
      </c>
      <c r="E46" s="684" t="s">
        <v>51</v>
      </c>
      <c r="F46" s="684" t="s">
        <v>1728</v>
      </c>
    </row>
    <row r="47" spans="1:6" x14ac:dyDescent="0.3">
      <c r="A47" s="683">
        <v>45971</v>
      </c>
      <c r="B47" s="684" t="s">
        <v>6</v>
      </c>
      <c r="C47" s="684" t="s">
        <v>949</v>
      </c>
      <c r="D47" s="685">
        <v>-671.27</v>
      </c>
      <c r="E47" s="684" t="s">
        <v>51</v>
      </c>
      <c r="F47" s="684" t="s">
        <v>1728</v>
      </c>
    </row>
    <row r="48" spans="1:6" x14ac:dyDescent="0.3">
      <c r="A48" s="683">
        <v>45971</v>
      </c>
      <c r="B48" s="684" t="s">
        <v>44</v>
      </c>
      <c r="C48" s="684" t="s">
        <v>949</v>
      </c>
      <c r="D48" s="685">
        <v>-706.6</v>
      </c>
      <c r="E48" s="684" t="s">
        <v>51</v>
      </c>
      <c r="F48" s="684" t="s">
        <v>1728</v>
      </c>
    </row>
    <row r="49" spans="1:6" x14ac:dyDescent="0.3">
      <c r="A49" s="683">
        <v>45971</v>
      </c>
      <c r="B49" s="684" t="s">
        <v>25</v>
      </c>
      <c r="C49" s="684" t="s">
        <v>949</v>
      </c>
      <c r="D49" s="685">
        <v>-1695.84</v>
      </c>
      <c r="E49" s="684" t="s">
        <v>51</v>
      </c>
      <c r="F49" s="684" t="s">
        <v>1728</v>
      </c>
    </row>
    <row r="50" spans="1:6" x14ac:dyDescent="0.3">
      <c r="A50" s="683">
        <v>45971</v>
      </c>
      <c r="B50" s="684" t="s">
        <v>33</v>
      </c>
      <c r="C50" s="684" t="s">
        <v>949</v>
      </c>
      <c r="D50" s="685">
        <v>-671.27</v>
      </c>
      <c r="E50" s="684" t="s">
        <v>51</v>
      </c>
      <c r="F50" s="684" t="s">
        <v>1728</v>
      </c>
    </row>
    <row r="51" spans="1:6" x14ac:dyDescent="0.3">
      <c r="A51" s="683">
        <v>45971</v>
      </c>
      <c r="B51" s="684" t="s">
        <v>1571</v>
      </c>
      <c r="C51" s="684" t="s">
        <v>949</v>
      </c>
      <c r="D51" s="685">
        <v>-1271.8800000000001</v>
      </c>
      <c r="E51" s="684" t="s">
        <v>51</v>
      </c>
      <c r="F51" s="684" t="s">
        <v>1728</v>
      </c>
    </row>
    <row r="52" spans="1:6" x14ac:dyDescent="0.3">
      <c r="A52" s="683">
        <v>45971</v>
      </c>
      <c r="B52" s="684" t="s">
        <v>104</v>
      </c>
      <c r="C52" s="684" t="s">
        <v>949</v>
      </c>
      <c r="D52" s="685">
        <v>-706.6</v>
      </c>
      <c r="E52" s="684" t="s">
        <v>51</v>
      </c>
      <c r="F52" s="684" t="s">
        <v>1728</v>
      </c>
    </row>
    <row r="53" spans="1:6" x14ac:dyDescent="0.3">
      <c r="A53" s="683">
        <v>45971</v>
      </c>
      <c r="B53" s="684" t="s">
        <v>32</v>
      </c>
      <c r="C53" s="684" t="s">
        <v>949</v>
      </c>
      <c r="D53" s="685">
        <v>-1837.16</v>
      </c>
      <c r="E53" s="684" t="s">
        <v>51</v>
      </c>
      <c r="F53" s="684" t="s">
        <v>1728</v>
      </c>
    </row>
    <row r="54" spans="1:6" x14ac:dyDescent="0.3">
      <c r="A54" s="683">
        <v>45971</v>
      </c>
      <c r="B54" s="684" t="s">
        <v>71</v>
      </c>
      <c r="C54" s="684" t="s">
        <v>949</v>
      </c>
      <c r="D54" s="685">
        <v>-812.59</v>
      </c>
      <c r="E54" s="684" t="s">
        <v>51</v>
      </c>
      <c r="F54" s="684" t="s">
        <v>1728</v>
      </c>
    </row>
    <row r="55" spans="1:6" x14ac:dyDescent="0.3">
      <c r="A55" s="683">
        <v>45971</v>
      </c>
      <c r="B55" s="684" t="s">
        <v>31</v>
      </c>
      <c r="C55" s="684" t="s">
        <v>649</v>
      </c>
      <c r="D55" s="685">
        <v>-10</v>
      </c>
      <c r="E55" s="684" t="s">
        <v>51</v>
      </c>
      <c r="F55" s="684" t="s">
        <v>2313</v>
      </c>
    </row>
    <row r="56" spans="1:6" ht="22.8" x14ac:dyDescent="0.3">
      <c r="A56" s="683">
        <v>45971</v>
      </c>
      <c r="B56" s="684" t="s">
        <v>31</v>
      </c>
      <c r="C56" s="684" t="s">
        <v>546</v>
      </c>
      <c r="D56" s="685">
        <v>-103.2</v>
      </c>
      <c r="E56" s="684" t="s">
        <v>51</v>
      </c>
      <c r="F56" s="684" t="s">
        <v>2314</v>
      </c>
    </row>
    <row r="57" spans="1:6" x14ac:dyDescent="0.3">
      <c r="A57" s="683">
        <v>45971</v>
      </c>
      <c r="B57" s="684" t="s">
        <v>31</v>
      </c>
      <c r="C57" s="684" t="s">
        <v>2315</v>
      </c>
      <c r="D57" s="685">
        <v>-103.2</v>
      </c>
      <c r="E57" s="684" t="s">
        <v>51</v>
      </c>
      <c r="F57" s="684" t="s">
        <v>2316</v>
      </c>
    </row>
    <row r="58" spans="1:6" x14ac:dyDescent="0.3">
      <c r="A58" s="683">
        <v>45971</v>
      </c>
      <c r="B58" s="684" t="s">
        <v>6</v>
      </c>
      <c r="C58" s="684" t="s">
        <v>473</v>
      </c>
      <c r="D58" s="685">
        <v>-605.75</v>
      </c>
      <c r="E58" s="684" t="s">
        <v>51</v>
      </c>
      <c r="F58" s="684" t="s">
        <v>2317</v>
      </c>
    </row>
    <row r="59" spans="1:6" x14ac:dyDescent="0.3">
      <c r="A59" s="683">
        <v>45971</v>
      </c>
      <c r="B59" s="684" t="s">
        <v>44</v>
      </c>
      <c r="C59" s="684" t="s">
        <v>473</v>
      </c>
      <c r="D59" s="685">
        <v>-233.93</v>
      </c>
      <c r="E59" s="684" t="s">
        <v>51</v>
      </c>
      <c r="F59" s="684" t="s">
        <v>2317</v>
      </c>
    </row>
    <row r="60" spans="1:6" ht="45.6" x14ac:dyDescent="0.3">
      <c r="A60" s="683">
        <v>45971</v>
      </c>
      <c r="B60" s="684" t="s">
        <v>25</v>
      </c>
      <c r="C60" s="684" t="s">
        <v>473</v>
      </c>
      <c r="D60" s="685">
        <v>-2261.48</v>
      </c>
      <c r="E60" s="684" t="s">
        <v>51</v>
      </c>
      <c r="F60" s="684" t="s">
        <v>2318</v>
      </c>
    </row>
    <row r="61" spans="1:6" x14ac:dyDescent="0.3">
      <c r="A61" s="683">
        <v>45971</v>
      </c>
      <c r="B61" s="684" t="s">
        <v>25</v>
      </c>
      <c r="C61" s="684" t="s">
        <v>473</v>
      </c>
      <c r="D61" s="685">
        <v>-30</v>
      </c>
      <c r="E61" s="684" t="s">
        <v>51</v>
      </c>
      <c r="F61" s="684" t="s">
        <v>1734</v>
      </c>
    </row>
    <row r="62" spans="1:6" x14ac:dyDescent="0.3">
      <c r="A62" s="683">
        <v>45971</v>
      </c>
      <c r="B62" s="684" t="s">
        <v>25</v>
      </c>
      <c r="C62" s="684" t="s">
        <v>1800</v>
      </c>
      <c r="D62" s="685">
        <v>-353.33</v>
      </c>
      <c r="E62" s="684" t="s">
        <v>51</v>
      </c>
      <c r="F62" s="684" t="s">
        <v>2319</v>
      </c>
    </row>
    <row r="63" spans="1:6" x14ac:dyDescent="0.3">
      <c r="A63" s="683">
        <v>45971</v>
      </c>
      <c r="B63" s="684" t="s">
        <v>33</v>
      </c>
      <c r="C63" s="684" t="s">
        <v>473</v>
      </c>
      <c r="D63" s="685">
        <v>-722.47</v>
      </c>
      <c r="E63" s="684" t="s">
        <v>51</v>
      </c>
      <c r="F63" s="684" t="s">
        <v>2317</v>
      </c>
    </row>
    <row r="64" spans="1:6" x14ac:dyDescent="0.3">
      <c r="A64" s="683">
        <v>45971</v>
      </c>
      <c r="B64" s="684" t="s">
        <v>1571</v>
      </c>
      <c r="C64" s="684" t="s">
        <v>1800</v>
      </c>
      <c r="D64" s="685">
        <v>-105.99</v>
      </c>
      <c r="E64" s="684" t="s">
        <v>51</v>
      </c>
      <c r="F64" s="684" t="s">
        <v>2319</v>
      </c>
    </row>
    <row r="65" spans="1:6" x14ac:dyDescent="0.3">
      <c r="A65" s="683">
        <v>45971</v>
      </c>
      <c r="B65" s="684" t="s">
        <v>1571</v>
      </c>
      <c r="C65" s="684" t="s">
        <v>473</v>
      </c>
      <c r="D65" s="685">
        <v>-1359</v>
      </c>
      <c r="E65" s="684" t="s">
        <v>51</v>
      </c>
      <c r="F65" s="684" t="s">
        <v>2317</v>
      </c>
    </row>
    <row r="66" spans="1:6" x14ac:dyDescent="0.3">
      <c r="A66" s="683">
        <v>45971</v>
      </c>
      <c r="B66" s="684" t="s">
        <v>104</v>
      </c>
      <c r="C66" s="684" t="s">
        <v>473</v>
      </c>
      <c r="D66" s="685">
        <v>-611.22</v>
      </c>
      <c r="E66" s="684" t="s">
        <v>51</v>
      </c>
      <c r="F66" s="684" t="s">
        <v>1734</v>
      </c>
    </row>
    <row r="67" spans="1:6" x14ac:dyDescent="0.3">
      <c r="A67" s="683">
        <v>45971</v>
      </c>
      <c r="B67" s="684" t="s">
        <v>32</v>
      </c>
      <c r="C67" s="684" t="s">
        <v>473</v>
      </c>
      <c r="D67" s="685">
        <v>-2217.06</v>
      </c>
      <c r="E67" s="684" t="s">
        <v>51</v>
      </c>
      <c r="F67" s="684" t="s">
        <v>2317</v>
      </c>
    </row>
    <row r="68" spans="1:6" x14ac:dyDescent="0.3">
      <c r="A68" s="683">
        <v>45971</v>
      </c>
      <c r="B68" s="684" t="s">
        <v>32</v>
      </c>
      <c r="C68" s="684" t="s">
        <v>1800</v>
      </c>
      <c r="D68" s="685">
        <v>-105.99</v>
      </c>
      <c r="E68" s="684" t="s">
        <v>51</v>
      </c>
      <c r="F68" s="684" t="s">
        <v>2319</v>
      </c>
    </row>
    <row r="69" spans="1:6" x14ac:dyDescent="0.3">
      <c r="A69" s="683">
        <v>45971</v>
      </c>
      <c r="B69" s="684" t="s">
        <v>71</v>
      </c>
      <c r="C69" s="684" t="s">
        <v>473</v>
      </c>
      <c r="D69" s="685">
        <v>-999.36</v>
      </c>
      <c r="E69" s="684" t="s">
        <v>51</v>
      </c>
      <c r="F69" s="684" t="s">
        <v>1734</v>
      </c>
    </row>
    <row r="70" spans="1:6" ht="45.6" x14ac:dyDescent="0.3">
      <c r="A70" s="683">
        <v>45977</v>
      </c>
      <c r="B70" s="684" t="s">
        <v>71</v>
      </c>
      <c r="C70" s="684" t="s">
        <v>74</v>
      </c>
      <c r="D70" s="685">
        <v>-4375.75</v>
      </c>
      <c r="E70" s="684" t="s">
        <v>73</v>
      </c>
      <c r="F70" s="684" t="s">
        <v>2321</v>
      </c>
    </row>
    <row r="71" spans="1:6" ht="45.6" x14ac:dyDescent="0.3">
      <c r="A71" s="683">
        <v>45983</v>
      </c>
      <c r="B71" s="684" t="s">
        <v>71</v>
      </c>
      <c r="C71" s="684" t="s">
        <v>74</v>
      </c>
      <c r="D71" s="685">
        <v>-3473.83</v>
      </c>
      <c r="E71" s="684" t="s">
        <v>73</v>
      </c>
      <c r="F71" s="684" t="s">
        <v>2328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55DF-F37C-496B-9482-EF51DB1AC798}">
  <dimension ref="A1:Q63"/>
  <sheetViews>
    <sheetView showGridLines="0" topLeftCell="A43" workbookViewId="0">
      <selection activeCell="H63" sqref="H63"/>
    </sheetView>
  </sheetViews>
  <sheetFormatPr defaultRowHeight="14.4" x14ac:dyDescent="0.3"/>
  <cols>
    <col min="1" max="1" width="11.6640625" style="659" bestFit="1" customWidth="1"/>
    <col min="2" max="2" width="14" style="1" bestFit="1" customWidth="1"/>
    <col min="3" max="3" width="14" bestFit="1" customWidth="1"/>
    <col min="7" max="7" width="14" bestFit="1" customWidth="1"/>
    <col min="8" max="8" width="14.109375" bestFit="1" customWidth="1"/>
    <col min="9" max="9" width="12" bestFit="1" customWidth="1"/>
  </cols>
  <sheetData>
    <row r="1" spans="1:4" x14ac:dyDescent="0.3">
      <c r="A1" s="1136" t="s">
        <v>174</v>
      </c>
      <c r="B1" s="1136"/>
    </row>
    <row r="2" spans="1:4" x14ac:dyDescent="0.3">
      <c r="A2" s="56">
        <v>6</v>
      </c>
      <c r="B2" s="22">
        <v>45750</v>
      </c>
    </row>
    <row r="3" spans="1:4" x14ac:dyDescent="0.3">
      <c r="A3" s="56">
        <v>7</v>
      </c>
      <c r="B3" s="22">
        <v>0</v>
      </c>
    </row>
    <row r="4" spans="1:4" x14ac:dyDescent="0.3">
      <c r="A4" s="56">
        <v>8</v>
      </c>
      <c r="B4" s="22">
        <v>1000</v>
      </c>
    </row>
    <row r="5" spans="1:4" x14ac:dyDescent="0.3">
      <c r="A5" s="56">
        <v>9</v>
      </c>
      <c r="B5" s="22">
        <v>1100</v>
      </c>
    </row>
    <row r="6" spans="1:4" x14ac:dyDescent="0.3">
      <c r="B6" s="216">
        <f>SUM(B2:B5)</f>
        <v>47850</v>
      </c>
    </row>
    <row r="8" spans="1:4" x14ac:dyDescent="0.3">
      <c r="A8" s="663" t="s">
        <v>1709</v>
      </c>
      <c r="B8" s="664">
        <v>365000</v>
      </c>
    </row>
    <row r="9" spans="1:4" x14ac:dyDescent="0.3">
      <c r="B9" s="216">
        <f>B8-B6</f>
        <v>317150</v>
      </c>
      <c r="C9" t="s">
        <v>1710</v>
      </c>
    </row>
    <row r="10" spans="1:4" x14ac:dyDescent="0.3">
      <c r="B10" s="1">
        <v>58000</v>
      </c>
      <c r="C10" t="s">
        <v>1711</v>
      </c>
    </row>
    <row r="11" spans="1:4" x14ac:dyDescent="0.3">
      <c r="B11" s="216"/>
    </row>
    <row r="13" spans="1:4" x14ac:dyDescent="0.3">
      <c r="B13" s="1">
        <f>B9-B10</f>
        <v>259150</v>
      </c>
      <c r="C13" s="659">
        <v>4</v>
      </c>
    </row>
    <row r="14" spans="1:4" x14ac:dyDescent="0.3">
      <c r="C14" s="216">
        <f>B13/C13</f>
        <v>64787.5</v>
      </c>
      <c r="D14" t="s">
        <v>1712</v>
      </c>
    </row>
    <row r="18" spans="1:17" x14ac:dyDescent="0.3">
      <c r="Q18">
        <v>187</v>
      </c>
    </row>
    <row r="19" spans="1:17" x14ac:dyDescent="0.3">
      <c r="Q19">
        <v>-150</v>
      </c>
    </row>
    <row r="20" spans="1:17" x14ac:dyDescent="0.3">
      <c r="A20" s="1137" t="s">
        <v>174</v>
      </c>
      <c r="B20" s="1137"/>
      <c r="G20" s="1137" t="s">
        <v>1926</v>
      </c>
      <c r="H20" s="1137"/>
    </row>
    <row r="21" spans="1:17" x14ac:dyDescent="0.3">
      <c r="A21" s="56">
        <v>16</v>
      </c>
      <c r="B21" s="22">
        <v>144200</v>
      </c>
      <c r="C21" s="1">
        <v>16600</v>
      </c>
      <c r="D21" t="s">
        <v>1925</v>
      </c>
      <c r="G21" s="56">
        <v>16</v>
      </c>
      <c r="H21" s="22"/>
      <c r="I21" s="1"/>
      <c r="M21">
        <v>164</v>
      </c>
    </row>
    <row r="22" spans="1:17" x14ac:dyDescent="0.3">
      <c r="A22" s="56">
        <v>17</v>
      </c>
      <c r="B22" s="22">
        <v>22825</v>
      </c>
      <c r="C22" s="1">
        <v>164000</v>
      </c>
      <c r="G22" s="56">
        <v>17</v>
      </c>
      <c r="H22" s="22">
        <v>10000</v>
      </c>
      <c r="I22" s="1"/>
      <c r="M22">
        <v>22</v>
      </c>
    </row>
    <row r="23" spans="1:17" x14ac:dyDescent="0.3">
      <c r="A23" s="56">
        <v>20</v>
      </c>
      <c r="B23" s="22"/>
      <c r="C23" s="1"/>
      <c r="G23" s="56">
        <v>20</v>
      </c>
      <c r="H23" s="22"/>
      <c r="I23" s="1"/>
    </row>
    <row r="24" spans="1:17" x14ac:dyDescent="0.3">
      <c r="A24" s="56"/>
      <c r="B24" s="22"/>
      <c r="C24" s="1"/>
      <c r="G24" s="56"/>
      <c r="H24" s="22"/>
      <c r="I24" s="1"/>
    </row>
    <row r="25" spans="1:17" x14ac:dyDescent="0.3">
      <c r="B25" s="216">
        <f>SUM(B21:B24)</f>
        <v>167025</v>
      </c>
      <c r="G25" s="659"/>
      <c r="H25" s="216">
        <f>SUM(H21:H24)</f>
        <v>10000</v>
      </c>
    </row>
    <row r="26" spans="1:17" x14ac:dyDescent="0.3">
      <c r="G26" s="659"/>
      <c r="H26" s="1"/>
    </row>
    <row r="27" spans="1:17" x14ac:dyDescent="0.3">
      <c r="A27" s="663" t="s">
        <v>1709</v>
      </c>
      <c r="B27" s="664">
        <v>770</v>
      </c>
      <c r="G27" s="663" t="s">
        <v>1709</v>
      </c>
      <c r="H27" s="664">
        <v>770</v>
      </c>
    </row>
    <row r="28" spans="1:17" x14ac:dyDescent="0.3">
      <c r="G28" s="659"/>
      <c r="H28" s="1"/>
    </row>
    <row r="29" spans="1:17" x14ac:dyDescent="0.3">
      <c r="B29" s="216">
        <f>B25-B27</f>
        <v>166255</v>
      </c>
      <c r="C29" s="216">
        <f>B25+C21-B27</f>
        <v>182855</v>
      </c>
      <c r="G29" s="659"/>
      <c r="H29" s="216">
        <f>H25-H27</f>
        <v>9230</v>
      </c>
      <c r="I29" s="216">
        <f>H25+I21-H27</f>
        <v>9230</v>
      </c>
    </row>
    <row r="38" spans="1:9" x14ac:dyDescent="0.3">
      <c r="A38" s="1137" t="s">
        <v>174</v>
      </c>
      <c r="B38" s="1137"/>
      <c r="G38" s="1137" t="s">
        <v>1926</v>
      </c>
      <c r="H38" s="1137"/>
    </row>
    <row r="39" spans="1:9" x14ac:dyDescent="0.3">
      <c r="A39" s="56">
        <v>27</v>
      </c>
      <c r="B39" s="22"/>
      <c r="C39" s="1"/>
      <c r="G39" s="56">
        <v>27</v>
      </c>
      <c r="H39" s="22"/>
      <c r="I39" s="1"/>
    </row>
    <row r="40" spans="1:9" x14ac:dyDescent="0.3">
      <c r="A40" s="56">
        <v>28</v>
      </c>
      <c r="B40" s="22"/>
      <c r="C40" s="1"/>
      <c r="G40" s="56">
        <v>28</v>
      </c>
      <c r="H40" s="22"/>
      <c r="I40" s="1"/>
    </row>
    <row r="41" spans="1:9" x14ac:dyDescent="0.3">
      <c r="A41" s="56">
        <v>29</v>
      </c>
      <c r="B41" s="22"/>
      <c r="C41" s="1"/>
      <c r="G41" s="56">
        <v>29</v>
      </c>
      <c r="H41" s="22"/>
      <c r="I41" s="1"/>
    </row>
    <row r="42" spans="1:9" x14ac:dyDescent="0.3">
      <c r="A42" s="56"/>
      <c r="B42" s="22"/>
      <c r="C42" s="1"/>
      <c r="G42" s="56"/>
      <c r="H42" s="22"/>
      <c r="I42" s="1"/>
    </row>
    <row r="43" spans="1:9" x14ac:dyDescent="0.3">
      <c r="B43" s="216">
        <f>SUM(B39:B42)</f>
        <v>0</v>
      </c>
      <c r="G43" s="659"/>
      <c r="H43" s="216">
        <f>SUM(H39:H42)</f>
        <v>0</v>
      </c>
    </row>
    <row r="44" spans="1:9" x14ac:dyDescent="0.3">
      <c r="G44" s="659"/>
      <c r="H44" s="1"/>
    </row>
    <row r="45" spans="1:9" x14ac:dyDescent="0.3">
      <c r="A45" s="663" t="s">
        <v>1709</v>
      </c>
      <c r="B45" s="664">
        <v>770</v>
      </c>
      <c r="G45" s="663" t="s">
        <v>1709</v>
      </c>
      <c r="H45" s="664">
        <v>770</v>
      </c>
    </row>
    <row r="46" spans="1:9" x14ac:dyDescent="0.3">
      <c r="G46" s="659"/>
      <c r="H46" s="1"/>
    </row>
    <row r="47" spans="1:9" x14ac:dyDescent="0.3">
      <c r="B47" s="216">
        <f>B43-B45</f>
        <v>-770</v>
      </c>
      <c r="C47" s="216">
        <f>B43+C39-B45</f>
        <v>-770</v>
      </c>
      <c r="G47" s="659"/>
      <c r="H47" s="216">
        <f>H43-H45</f>
        <v>-770</v>
      </c>
      <c r="I47" s="216">
        <f>H43+I39-H45</f>
        <v>-770</v>
      </c>
    </row>
    <row r="61" spans="7:8" x14ac:dyDescent="0.3">
      <c r="G61" s="240">
        <v>235423.46</v>
      </c>
    </row>
    <row r="62" spans="7:8" x14ac:dyDescent="0.3">
      <c r="G62" s="1">
        <v>87452.75</v>
      </c>
    </row>
    <row r="63" spans="7:8" ht="16.2" x14ac:dyDescent="0.45">
      <c r="G63" s="1000">
        <f>G61-G62</f>
        <v>147970.71</v>
      </c>
      <c r="H63">
        <v>147970.71</v>
      </c>
    </row>
  </sheetData>
  <mergeCells count="5">
    <mergeCell ref="A1:B1"/>
    <mergeCell ref="A20:B20"/>
    <mergeCell ref="G20:H20"/>
    <mergeCell ref="A38:B38"/>
    <mergeCell ref="G38:H3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2B27-4C52-4860-A388-6F0B294FFD5E}">
  <dimension ref="A1:I890"/>
  <sheetViews>
    <sheetView showGridLines="0" topLeftCell="A836" workbookViewId="0">
      <selection activeCell="G890" sqref="G890"/>
    </sheetView>
  </sheetViews>
  <sheetFormatPr defaultRowHeight="14.4" x14ac:dyDescent="0.3"/>
  <cols>
    <col min="1" max="1" width="13.88671875" customWidth="1"/>
    <col min="2" max="2" width="11.21875" customWidth="1"/>
    <col min="3" max="3" width="24.33203125" customWidth="1"/>
    <col min="4" max="4" width="166.5546875" style="864" customWidth="1"/>
    <col min="5" max="5" width="14.109375" bestFit="1" customWidth="1"/>
    <col min="6" max="6" width="12.5546875" customWidth="1"/>
    <col min="7" max="7" width="30.5546875" customWidth="1"/>
  </cols>
  <sheetData>
    <row r="1" spans="1:7" x14ac:dyDescent="0.3">
      <c r="A1" s="1138" t="s">
        <v>1686</v>
      </c>
      <c r="B1" s="1138"/>
      <c r="C1" s="1138"/>
      <c r="D1" s="1138"/>
      <c r="E1" s="1138"/>
      <c r="F1" s="1138"/>
      <c r="G1" s="1138"/>
    </row>
    <row r="2" spans="1:7" ht="53.4" customHeight="1" x14ac:dyDescent="0.3">
      <c r="A2" s="1138"/>
      <c r="B2" s="1138"/>
      <c r="C2" s="1138"/>
      <c r="D2" s="1138"/>
      <c r="E2" s="1138"/>
      <c r="F2" s="1138"/>
      <c r="G2" s="1138"/>
    </row>
    <row r="3" spans="1:7" x14ac:dyDescent="0.3">
      <c r="A3" s="127" t="s">
        <v>0</v>
      </c>
      <c r="B3" s="127" t="s">
        <v>1038</v>
      </c>
      <c r="C3" s="58" t="s">
        <v>1</v>
      </c>
      <c r="D3" s="699" t="s">
        <v>2</v>
      </c>
      <c r="E3" s="59" t="s">
        <v>3</v>
      </c>
      <c r="F3" s="59" t="s">
        <v>4</v>
      </c>
      <c r="G3" s="280" t="s">
        <v>5</v>
      </c>
    </row>
    <row r="4" spans="1:7" s="650" customFormat="1" x14ac:dyDescent="0.3">
      <c r="A4" s="51">
        <v>45932</v>
      </c>
      <c r="B4" s="123" t="s">
        <v>211</v>
      </c>
      <c r="C4" s="68" t="s">
        <v>44</v>
      </c>
      <c r="D4" s="651" t="s">
        <v>226</v>
      </c>
      <c r="E4" s="53">
        <v>-390</v>
      </c>
      <c r="F4" s="55" t="s">
        <v>8</v>
      </c>
      <c r="G4" s="649" t="s">
        <v>227</v>
      </c>
    </row>
    <row r="5" spans="1:7" s="650" customFormat="1" x14ac:dyDescent="0.3">
      <c r="A5" s="51">
        <v>45932</v>
      </c>
      <c r="B5" s="123" t="s">
        <v>211</v>
      </c>
      <c r="C5" s="651" t="s">
        <v>44</v>
      </c>
      <c r="D5" s="68" t="s">
        <v>204</v>
      </c>
      <c r="E5" s="53">
        <v>-4484.68</v>
      </c>
      <c r="F5" s="55" t="s">
        <v>8</v>
      </c>
      <c r="G5" s="649" t="s">
        <v>227</v>
      </c>
    </row>
    <row r="6" spans="1:7" s="650" customFormat="1" x14ac:dyDescent="0.3">
      <c r="A6" s="51">
        <v>45932</v>
      </c>
      <c r="B6" s="123" t="s">
        <v>211</v>
      </c>
      <c r="C6" s="651" t="s">
        <v>44</v>
      </c>
      <c r="D6" s="68" t="s">
        <v>1611</v>
      </c>
      <c r="E6" s="53">
        <v>-3198.35</v>
      </c>
      <c r="F6" s="55" t="s">
        <v>8</v>
      </c>
      <c r="G6" s="649" t="s">
        <v>124</v>
      </c>
    </row>
    <row r="7" spans="1:7" s="650" customFormat="1" x14ac:dyDescent="0.3">
      <c r="A7" s="51">
        <v>45932</v>
      </c>
      <c r="B7" s="123" t="s">
        <v>211</v>
      </c>
      <c r="C7" s="651" t="s">
        <v>44</v>
      </c>
      <c r="D7" s="68" t="s">
        <v>1610</v>
      </c>
      <c r="E7" s="53">
        <v>-687.81</v>
      </c>
      <c r="F7" s="55" t="s">
        <v>8</v>
      </c>
      <c r="G7" s="649" t="s">
        <v>124</v>
      </c>
    </row>
    <row r="8" spans="1:7" s="650" customFormat="1" x14ac:dyDescent="0.3">
      <c r="A8" s="51">
        <v>45932</v>
      </c>
      <c r="B8" s="123" t="s">
        <v>211</v>
      </c>
      <c r="C8" s="651" t="s">
        <v>44</v>
      </c>
      <c r="D8" s="68" t="s">
        <v>226</v>
      </c>
      <c r="E8" s="53">
        <v>-1456</v>
      </c>
      <c r="F8" s="55" t="s">
        <v>8</v>
      </c>
      <c r="G8" s="649" t="s">
        <v>227</v>
      </c>
    </row>
    <row r="9" spans="1:7" s="650" customFormat="1" x14ac:dyDescent="0.3">
      <c r="A9" s="51">
        <v>45932</v>
      </c>
      <c r="B9" s="123" t="s">
        <v>211</v>
      </c>
      <c r="C9" s="68" t="s">
        <v>31</v>
      </c>
      <c r="D9" s="68" t="s">
        <v>1462</v>
      </c>
      <c r="E9" s="53">
        <v>-2152.61</v>
      </c>
      <c r="F9" s="55" t="s">
        <v>8</v>
      </c>
      <c r="G9" s="167" t="s">
        <v>152</v>
      </c>
    </row>
    <row r="10" spans="1:7" s="650" customFormat="1" x14ac:dyDescent="0.3">
      <c r="A10" s="51">
        <v>45932</v>
      </c>
      <c r="B10" s="123" t="s">
        <v>211</v>
      </c>
      <c r="C10" s="68" t="s">
        <v>6</v>
      </c>
      <c r="D10" s="68" t="s">
        <v>1365</v>
      </c>
      <c r="E10" s="53">
        <v>-2666.08</v>
      </c>
      <c r="F10" s="55" t="s">
        <v>8</v>
      </c>
      <c r="G10" s="167" t="s">
        <v>152</v>
      </c>
    </row>
    <row r="11" spans="1:7" s="650" customFormat="1" x14ac:dyDescent="0.3">
      <c r="A11" s="51">
        <v>45932</v>
      </c>
      <c r="B11" s="123" t="s">
        <v>211</v>
      </c>
      <c r="C11" s="68" t="s">
        <v>6</v>
      </c>
      <c r="D11" s="68" t="s">
        <v>1297</v>
      </c>
      <c r="E11" s="53">
        <v>-2675.88</v>
      </c>
      <c r="F11" s="55" t="s">
        <v>8</v>
      </c>
      <c r="G11" s="167" t="s">
        <v>152</v>
      </c>
    </row>
    <row r="12" spans="1:7" s="650" customFormat="1" x14ac:dyDescent="0.3">
      <c r="A12" s="51">
        <v>45932</v>
      </c>
      <c r="B12" s="123" t="s">
        <v>211</v>
      </c>
      <c r="C12" s="68" t="s">
        <v>6</v>
      </c>
      <c r="D12" s="68" t="s">
        <v>1265</v>
      </c>
      <c r="E12" s="652">
        <v>-1885.2</v>
      </c>
      <c r="F12" s="55" t="s">
        <v>8</v>
      </c>
      <c r="G12" s="167" t="s">
        <v>152</v>
      </c>
    </row>
    <row r="13" spans="1:7" s="650" customFormat="1" x14ac:dyDescent="0.3">
      <c r="A13" s="51">
        <v>45932</v>
      </c>
      <c r="B13" s="123" t="s">
        <v>211</v>
      </c>
      <c r="C13" s="68" t="s">
        <v>6</v>
      </c>
      <c r="D13" s="68" t="s">
        <v>497</v>
      </c>
      <c r="E13" s="652">
        <v>-2173.63</v>
      </c>
      <c r="F13" s="55" t="s">
        <v>8</v>
      </c>
      <c r="G13" s="167" t="s">
        <v>152</v>
      </c>
    </row>
    <row r="14" spans="1:7" s="650" customFormat="1" x14ac:dyDescent="0.3">
      <c r="A14" s="51">
        <v>45932</v>
      </c>
      <c r="B14" s="123" t="s">
        <v>211</v>
      </c>
      <c r="C14" s="68" t="s">
        <v>25</v>
      </c>
      <c r="D14" s="68" t="s">
        <v>1394</v>
      </c>
      <c r="E14" s="53">
        <v>-2187.38</v>
      </c>
      <c r="F14" s="55" t="s">
        <v>8</v>
      </c>
      <c r="G14" s="167" t="s">
        <v>152</v>
      </c>
    </row>
    <row r="15" spans="1:7" s="650" customFormat="1" x14ac:dyDescent="0.3">
      <c r="A15" s="51">
        <v>45932</v>
      </c>
      <c r="B15" s="123" t="s">
        <v>211</v>
      </c>
      <c r="C15" s="68" t="s">
        <v>25</v>
      </c>
      <c r="D15" s="68" t="s">
        <v>1463</v>
      </c>
      <c r="E15" s="53">
        <v>-2643.56</v>
      </c>
      <c r="F15" s="55" t="s">
        <v>8</v>
      </c>
      <c r="G15" s="167" t="s">
        <v>152</v>
      </c>
    </row>
    <row r="16" spans="1:7" s="650" customFormat="1" x14ac:dyDescent="0.3">
      <c r="A16" s="51">
        <v>45932</v>
      </c>
      <c r="B16" s="123" t="s">
        <v>211</v>
      </c>
      <c r="C16" s="68" t="s">
        <v>33</v>
      </c>
      <c r="D16" s="68" t="s">
        <v>1464</v>
      </c>
      <c r="E16" s="53">
        <v>-2754.27</v>
      </c>
      <c r="F16" s="55" t="s">
        <v>8</v>
      </c>
      <c r="G16" s="167" t="s">
        <v>152</v>
      </c>
    </row>
    <row r="17" spans="1:7" s="650" customFormat="1" x14ac:dyDescent="0.3">
      <c r="A17" s="51">
        <v>45932</v>
      </c>
      <c r="B17" s="123" t="s">
        <v>211</v>
      </c>
      <c r="C17" s="68" t="s">
        <v>33</v>
      </c>
      <c r="D17" s="68" t="s">
        <v>1465</v>
      </c>
      <c r="E17" s="53">
        <v>-2684.2</v>
      </c>
      <c r="F17" s="55" t="s">
        <v>8</v>
      </c>
      <c r="G17" s="167" t="s">
        <v>152</v>
      </c>
    </row>
    <row r="18" spans="1:7" s="650" customFormat="1" x14ac:dyDescent="0.3">
      <c r="A18" s="51">
        <v>45932</v>
      </c>
      <c r="B18" s="123" t="s">
        <v>211</v>
      </c>
      <c r="C18" s="68" t="s">
        <v>104</v>
      </c>
      <c r="D18" s="68" t="s">
        <v>1466</v>
      </c>
      <c r="E18" s="53">
        <v>-2117.89</v>
      </c>
      <c r="F18" s="55" t="s">
        <v>8</v>
      </c>
      <c r="G18" s="167" t="s">
        <v>152</v>
      </c>
    </row>
    <row r="19" spans="1:7" s="650" customFormat="1" x14ac:dyDescent="0.3">
      <c r="A19" s="51">
        <v>45932</v>
      </c>
      <c r="B19" s="123" t="s">
        <v>211</v>
      </c>
      <c r="C19" s="68" t="s">
        <v>104</v>
      </c>
      <c r="D19" s="651" t="s">
        <v>1467</v>
      </c>
      <c r="E19" s="53">
        <v>-2720.59</v>
      </c>
      <c r="F19" s="55" t="s">
        <v>8</v>
      </c>
      <c r="G19" s="167" t="s">
        <v>152</v>
      </c>
    </row>
    <row r="20" spans="1:7" s="650" customFormat="1" x14ac:dyDescent="0.3">
      <c r="A20" s="51">
        <v>45932</v>
      </c>
      <c r="B20" s="123" t="s">
        <v>211</v>
      </c>
      <c r="C20" s="68" t="s">
        <v>32</v>
      </c>
      <c r="D20" s="651" t="s">
        <v>1468</v>
      </c>
      <c r="E20" s="53">
        <v>-2221.88</v>
      </c>
      <c r="F20" s="55" t="s">
        <v>8</v>
      </c>
      <c r="G20" s="167" t="s">
        <v>152</v>
      </c>
    </row>
    <row r="21" spans="1:7" s="650" customFormat="1" x14ac:dyDescent="0.3">
      <c r="A21" s="51">
        <v>45932</v>
      </c>
      <c r="B21" s="123" t="s">
        <v>211</v>
      </c>
      <c r="C21" s="68" t="s">
        <v>71</v>
      </c>
      <c r="D21" s="651" t="s">
        <v>1469</v>
      </c>
      <c r="E21" s="53">
        <v>-2969.85</v>
      </c>
      <c r="F21" s="55" t="s">
        <v>8</v>
      </c>
      <c r="G21" s="167" t="s">
        <v>152</v>
      </c>
    </row>
    <row r="22" spans="1:7" s="650" customFormat="1" x14ac:dyDescent="0.3">
      <c r="A22" s="51">
        <v>45932</v>
      </c>
      <c r="B22" s="123" t="s">
        <v>211</v>
      </c>
      <c r="C22" s="68" t="s">
        <v>71</v>
      </c>
      <c r="D22" s="651" t="s">
        <v>418</v>
      </c>
      <c r="E22" s="53">
        <v>-2570.3200000000002</v>
      </c>
      <c r="F22" s="55" t="s">
        <v>8</v>
      </c>
      <c r="G22" s="167" t="s">
        <v>152</v>
      </c>
    </row>
    <row r="23" spans="1:7" s="650" customFormat="1" x14ac:dyDescent="0.3">
      <c r="A23" s="51">
        <v>45932</v>
      </c>
      <c r="B23" s="123" t="s">
        <v>211</v>
      </c>
      <c r="C23" s="68" t="s">
        <v>31</v>
      </c>
      <c r="D23" s="651" t="s">
        <v>1470</v>
      </c>
      <c r="E23" s="53">
        <v>-1927.82</v>
      </c>
      <c r="F23" s="55" t="s">
        <v>8</v>
      </c>
      <c r="G23" s="167" t="s">
        <v>152</v>
      </c>
    </row>
    <row r="24" spans="1:7" s="650" customFormat="1" x14ac:dyDescent="0.3">
      <c r="A24" s="51">
        <v>45932</v>
      </c>
      <c r="B24" s="123" t="s">
        <v>211</v>
      </c>
      <c r="C24" s="653" t="s">
        <v>44</v>
      </c>
      <c r="D24" s="700" t="s">
        <v>1552</v>
      </c>
      <c r="E24" s="53">
        <v>-1383.98</v>
      </c>
      <c r="F24" s="55" t="s">
        <v>8</v>
      </c>
      <c r="G24" s="156" t="s">
        <v>75</v>
      </c>
    </row>
    <row r="25" spans="1:7" s="650" customFormat="1" x14ac:dyDescent="0.3">
      <c r="A25" s="51">
        <v>45932</v>
      </c>
      <c r="B25" s="123" t="s">
        <v>211</v>
      </c>
      <c r="C25" s="68" t="s">
        <v>17</v>
      </c>
      <c r="D25" s="651" t="s">
        <v>389</v>
      </c>
      <c r="E25" s="53">
        <v>-107.14</v>
      </c>
      <c r="F25" s="55" t="s">
        <v>8</v>
      </c>
      <c r="G25" s="649" t="s">
        <v>227</v>
      </c>
    </row>
    <row r="26" spans="1:7" s="650" customFormat="1" x14ac:dyDescent="0.3">
      <c r="A26" s="51">
        <v>45932</v>
      </c>
      <c r="B26" s="123" t="s">
        <v>211</v>
      </c>
      <c r="C26" s="68" t="s">
        <v>71</v>
      </c>
      <c r="D26" s="651" t="s">
        <v>205</v>
      </c>
      <c r="E26" s="53">
        <v>-827.13995</v>
      </c>
      <c r="F26" s="55" t="s">
        <v>8</v>
      </c>
      <c r="G26" s="649" t="s">
        <v>227</v>
      </c>
    </row>
    <row r="27" spans="1:7" s="650" customFormat="1" x14ac:dyDescent="0.3">
      <c r="A27" s="51">
        <v>45932</v>
      </c>
      <c r="B27" s="123" t="s">
        <v>211</v>
      </c>
      <c r="C27" s="68" t="s">
        <v>44</v>
      </c>
      <c r="D27" s="651" t="s">
        <v>417</v>
      </c>
      <c r="E27" s="53">
        <v>-279</v>
      </c>
      <c r="F27" s="55" t="s">
        <v>8</v>
      </c>
      <c r="G27" s="649" t="s">
        <v>1169</v>
      </c>
    </row>
    <row r="28" spans="1:7" s="650" customFormat="1" x14ac:dyDescent="0.3">
      <c r="A28" s="51">
        <v>45932</v>
      </c>
      <c r="B28" s="123" t="s">
        <v>211</v>
      </c>
      <c r="C28" s="68" t="s">
        <v>25</v>
      </c>
      <c r="D28" s="68" t="s">
        <v>749</v>
      </c>
      <c r="E28" s="53">
        <v>-349.5</v>
      </c>
      <c r="F28" s="55" t="s">
        <v>8</v>
      </c>
      <c r="G28" s="649" t="s">
        <v>82</v>
      </c>
    </row>
    <row r="29" spans="1:7" s="650" customFormat="1" x14ac:dyDescent="0.3">
      <c r="A29" s="51">
        <v>45932</v>
      </c>
      <c r="B29" s="123" t="s">
        <v>211</v>
      </c>
      <c r="C29" s="68" t="s">
        <v>25</v>
      </c>
      <c r="D29" s="68" t="s">
        <v>1588</v>
      </c>
      <c r="E29" s="53">
        <v>-86.1</v>
      </c>
      <c r="F29" s="55" t="s">
        <v>8</v>
      </c>
      <c r="G29" s="649" t="s">
        <v>82</v>
      </c>
    </row>
    <row r="30" spans="1:7" s="650" customFormat="1" x14ac:dyDescent="0.3">
      <c r="A30" s="51">
        <v>45932</v>
      </c>
      <c r="B30" s="123" t="s">
        <v>211</v>
      </c>
      <c r="C30" s="68" t="s">
        <v>25</v>
      </c>
      <c r="D30" s="68" t="s">
        <v>1142</v>
      </c>
      <c r="E30" s="53">
        <v>-184.5</v>
      </c>
      <c r="F30" s="55" t="s">
        <v>8</v>
      </c>
      <c r="G30" s="649" t="s">
        <v>82</v>
      </c>
    </row>
    <row r="31" spans="1:7" s="650" customFormat="1" x14ac:dyDescent="0.3">
      <c r="A31" s="51">
        <v>45932</v>
      </c>
      <c r="B31" s="123" t="s">
        <v>211</v>
      </c>
      <c r="C31" s="68" t="s">
        <v>25</v>
      </c>
      <c r="D31" s="68" t="s">
        <v>753</v>
      </c>
      <c r="E31" s="53">
        <v>-184.5</v>
      </c>
      <c r="F31" s="55" t="s">
        <v>8</v>
      </c>
      <c r="G31" s="649" t="s">
        <v>82</v>
      </c>
    </row>
    <row r="32" spans="1:7" s="650" customFormat="1" x14ac:dyDescent="0.3">
      <c r="A32" s="123">
        <v>45932</v>
      </c>
      <c r="B32" s="123" t="s">
        <v>211</v>
      </c>
      <c r="C32" s="654" t="s">
        <v>20</v>
      </c>
      <c r="D32" s="651" t="s">
        <v>21</v>
      </c>
      <c r="E32" s="121">
        <v>-403.48</v>
      </c>
      <c r="F32" s="55" t="s">
        <v>8</v>
      </c>
      <c r="G32" s="156" t="s">
        <v>22</v>
      </c>
    </row>
    <row r="33" spans="1:7" s="650" customFormat="1" x14ac:dyDescent="0.3">
      <c r="A33" s="51">
        <v>45932</v>
      </c>
      <c r="B33" s="123" t="s">
        <v>211</v>
      </c>
      <c r="C33" s="68" t="s">
        <v>71</v>
      </c>
      <c r="D33" s="29" t="s">
        <v>1685</v>
      </c>
      <c r="E33" s="121">
        <v>-242</v>
      </c>
      <c r="F33" s="55" t="s">
        <v>8</v>
      </c>
      <c r="G33" s="156" t="s">
        <v>111</v>
      </c>
    </row>
    <row r="34" spans="1:7" s="650" customFormat="1" x14ac:dyDescent="0.3">
      <c r="A34" s="51">
        <v>45932</v>
      </c>
      <c r="B34" s="123" t="s">
        <v>211</v>
      </c>
      <c r="C34" s="68" t="s">
        <v>25</v>
      </c>
      <c r="D34" s="68" t="s">
        <v>1612</v>
      </c>
      <c r="E34" s="53">
        <v>-40</v>
      </c>
      <c r="F34" s="55" t="s">
        <v>8</v>
      </c>
      <c r="G34" s="156" t="s">
        <v>111</v>
      </c>
    </row>
    <row r="35" spans="1:7" s="650" customFormat="1" x14ac:dyDescent="0.3">
      <c r="A35" s="51">
        <v>45932</v>
      </c>
      <c r="B35" s="123" t="s">
        <v>211</v>
      </c>
      <c r="C35" s="68" t="s">
        <v>17</v>
      </c>
      <c r="D35" s="68" t="s">
        <v>1613</v>
      </c>
      <c r="E35" s="53">
        <v>-130</v>
      </c>
      <c r="F35" s="55" t="s">
        <v>8</v>
      </c>
      <c r="G35" s="156" t="s">
        <v>111</v>
      </c>
    </row>
    <row r="36" spans="1:7" x14ac:dyDescent="0.3">
      <c r="E36" s="212">
        <f>SUM(E4:E35)</f>
        <v>-50785.339950000001</v>
      </c>
    </row>
    <row r="38" spans="1:7" x14ac:dyDescent="0.3">
      <c r="A38" s="1138" t="s">
        <v>1714</v>
      </c>
      <c r="B38" s="1138"/>
      <c r="C38" s="1138"/>
      <c r="D38" s="1138"/>
      <c r="E38" s="1138"/>
      <c r="F38" s="1138"/>
      <c r="G38" s="1138"/>
    </row>
    <row r="39" spans="1:7" ht="33.6" customHeight="1" x14ac:dyDescent="0.3">
      <c r="A39" s="1138"/>
      <c r="B39" s="1138"/>
      <c r="C39" s="1138"/>
      <c r="D39" s="1138"/>
      <c r="E39" s="1138"/>
      <c r="F39" s="1138"/>
      <c r="G39" s="1138"/>
    </row>
    <row r="40" spans="1:7" s="658" customFormat="1" x14ac:dyDescent="0.3">
      <c r="A40" s="678" t="s">
        <v>0</v>
      </c>
      <c r="B40" s="678" t="s">
        <v>1038</v>
      </c>
      <c r="C40" s="679" t="s">
        <v>1</v>
      </c>
      <c r="D40" s="701" t="s">
        <v>2</v>
      </c>
      <c r="E40" s="680" t="s">
        <v>3</v>
      </c>
      <c r="F40" s="680" t="s">
        <v>4</v>
      </c>
      <c r="G40" s="681" t="s">
        <v>5</v>
      </c>
    </row>
    <row r="41" spans="1:7" s="667" customFormat="1" x14ac:dyDescent="0.3">
      <c r="A41" s="51">
        <v>45933</v>
      </c>
      <c r="B41" s="123" t="s">
        <v>211</v>
      </c>
      <c r="C41" s="52" t="s">
        <v>71</v>
      </c>
      <c r="D41" s="68" t="s">
        <v>1054</v>
      </c>
      <c r="E41" s="53">
        <v>-2599.85</v>
      </c>
      <c r="F41" s="55" t="s">
        <v>8</v>
      </c>
      <c r="G41" s="54" t="s">
        <v>73</v>
      </c>
    </row>
    <row r="42" spans="1:7" s="667" customFormat="1" x14ac:dyDescent="0.3">
      <c r="A42" s="51">
        <v>45933</v>
      </c>
      <c r="B42" s="123" t="s">
        <v>211</v>
      </c>
      <c r="C42" s="52" t="s">
        <v>6</v>
      </c>
      <c r="D42" s="68" t="s">
        <v>1547</v>
      </c>
      <c r="E42" s="668">
        <v>-764.82</v>
      </c>
      <c r="F42" s="54" t="s">
        <v>8</v>
      </c>
      <c r="G42" s="54" t="s">
        <v>186</v>
      </c>
    </row>
    <row r="43" spans="1:7" s="667" customFormat="1" x14ac:dyDescent="0.3">
      <c r="A43" s="271">
        <v>45933</v>
      </c>
      <c r="B43" s="271" t="s">
        <v>211</v>
      </c>
      <c r="C43" s="52" t="s">
        <v>44</v>
      </c>
      <c r="D43" s="68" t="s">
        <v>1708</v>
      </c>
      <c r="E43" s="53">
        <v>-2045.3</v>
      </c>
      <c r="F43" s="55" t="s">
        <v>8</v>
      </c>
      <c r="G43" s="54" t="s">
        <v>227</v>
      </c>
    </row>
    <row r="44" spans="1:7" s="667" customFormat="1" x14ac:dyDescent="0.3">
      <c r="A44" s="271">
        <v>45933</v>
      </c>
      <c r="B44" s="271" t="s">
        <v>211</v>
      </c>
      <c r="C44" s="52" t="s">
        <v>17</v>
      </c>
      <c r="D44" s="68" t="s">
        <v>1471</v>
      </c>
      <c r="E44" s="53">
        <v>-1846.33</v>
      </c>
      <c r="F44" s="55" t="s">
        <v>8</v>
      </c>
      <c r="G44" s="54" t="s">
        <v>1472</v>
      </c>
    </row>
    <row r="45" spans="1:7" s="667" customFormat="1" x14ac:dyDescent="0.3">
      <c r="A45" s="271">
        <v>45933</v>
      </c>
      <c r="B45" s="271" t="s">
        <v>211</v>
      </c>
      <c r="C45" s="52" t="s">
        <v>6</v>
      </c>
      <c r="D45" s="68" t="s">
        <v>1436</v>
      </c>
      <c r="E45" s="53">
        <v>-2000</v>
      </c>
      <c r="F45" s="55" t="s">
        <v>8</v>
      </c>
      <c r="G45" s="54" t="s">
        <v>186</v>
      </c>
    </row>
    <row r="46" spans="1:7" s="667" customFormat="1" x14ac:dyDescent="0.3">
      <c r="A46" s="669">
        <v>45933</v>
      </c>
      <c r="B46" s="669" t="s">
        <v>211</v>
      </c>
      <c r="C46" s="670" t="s">
        <v>31</v>
      </c>
      <c r="D46" s="702" t="s">
        <v>1687</v>
      </c>
      <c r="E46" s="671">
        <v>-184.76</v>
      </c>
      <c r="F46" s="672" t="s">
        <v>8</v>
      </c>
      <c r="G46" s="673" t="s">
        <v>124</v>
      </c>
    </row>
    <row r="47" spans="1:7" s="667" customFormat="1" x14ac:dyDescent="0.3">
      <c r="A47" s="669">
        <v>45933</v>
      </c>
      <c r="B47" s="669" t="s">
        <v>211</v>
      </c>
      <c r="C47" s="670" t="s">
        <v>31</v>
      </c>
      <c r="D47" s="702" t="s">
        <v>1688</v>
      </c>
      <c r="E47" s="671">
        <v>-192.15</v>
      </c>
      <c r="F47" s="672" t="s">
        <v>8</v>
      </c>
      <c r="G47" s="673" t="s">
        <v>124</v>
      </c>
    </row>
    <row r="48" spans="1:7" s="667" customFormat="1" x14ac:dyDescent="0.3">
      <c r="A48" s="669">
        <v>45933</v>
      </c>
      <c r="B48" s="669" t="s">
        <v>211</v>
      </c>
      <c r="C48" s="670" t="s">
        <v>31</v>
      </c>
      <c r="D48" s="702" t="s">
        <v>1689</v>
      </c>
      <c r="E48" s="671">
        <v>-183.87</v>
      </c>
      <c r="F48" s="672" t="s">
        <v>8</v>
      </c>
      <c r="G48" s="673" t="s">
        <v>124</v>
      </c>
    </row>
    <row r="49" spans="1:7" s="667" customFormat="1" x14ac:dyDescent="0.3">
      <c r="A49" s="669">
        <v>45933</v>
      </c>
      <c r="B49" s="669" t="s">
        <v>211</v>
      </c>
      <c r="C49" s="670" t="s">
        <v>31</v>
      </c>
      <c r="D49" s="702" t="s">
        <v>1690</v>
      </c>
      <c r="E49" s="671">
        <v>-301.2</v>
      </c>
      <c r="F49" s="672" t="s">
        <v>8</v>
      </c>
      <c r="G49" s="673" t="s">
        <v>124</v>
      </c>
    </row>
    <row r="50" spans="1:7" s="667" customFormat="1" x14ac:dyDescent="0.3">
      <c r="A50" s="669">
        <v>45933</v>
      </c>
      <c r="B50" s="669" t="s">
        <v>211</v>
      </c>
      <c r="C50" s="670" t="s">
        <v>31</v>
      </c>
      <c r="D50" s="702" t="s">
        <v>1691</v>
      </c>
      <c r="E50" s="671">
        <v>-194.32</v>
      </c>
      <c r="F50" s="672" t="s">
        <v>8</v>
      </c>
      <c r="G50" s="673" t="s">
        <v>124</v>
      </c>
    </row>
    <row r="51" spans="1:7" s="667" customFormat="1" x14ac:dyDescent="0.3">
      <c r="A51" s="669">
        <v>45933</v>
      </c>
      <c r="B51" s="669" t="s">
        <v>211</v>
      </c>
      <c r="C51" s="670" t="s">
        <v>31</v>
      </c>
      <c r="D51" s="702" t="s">
        <v>1692</v>
      </c>
      <c r="E51" s="671">
        <v>-185.68</v>
      </c>
      <c r="F51" s="672" t="s">
        <v>8</v>
      </c>
      <c r="G51" s="673" t="s">
        <v>124</v>
      </c>
    </row>
    <row r="52" spans="1:7" s="667" customFormat="1" x14ac:dyDescent="0.3">
      <c r="A52" s="669">
        <v>45933</v>
      </c>
      <c r="B52" s="669" t="s">
        <v>211</v>
      </c>
      <c r="C52" s="670" t="s">
        <v>31</v>
      </c>
      <c r="D52" s="702" t="s">
        <v>1693</v>
      </c>
      <c r="E52" s="671">
        <v>-188.8</v>
      </c>
      <c r="F52" s="672" t="s">
        <v>8</v>
      </c>
      <c r="G52" s="673" t="s">
        <v>124</v>
      </c>
    </row>
    <row r="53" spans="1:7" s="667" customFormat="1" x14ac:dyDescent="0.3">
      <c r="A53" s="669">
        <v>45933</v>
      </c>
      <c r="B53" s="669" t="s">
        <v>211</v>
      </c>
      <c r="C53" s="670" t="s">
        <v>31</v>
      </c>
      <c r="D53" s="702" t="s">
        <v>1694</v>
      </c>
      <c r="E53" s="671">
        <v>-197.63</v>
      </c>
      <c r="F53" s="672" t="s">
        <v>8</v>
      </c>
      <c r="G53" s="673" t="s">
        <v>124</v>
      </c>
    </row>
    <row r="54" spans="1:7" s="667" customFormat="1" x14ac:dyDescent="0.3">
      <c r="A54" s="669">
        <v>45933</v>
      </c>
      <c r="B54" s="669" t="s">
        <v>211</v>
      </c>
      <c r="C54" s="670" t="s">
        <v>31</v>
      </c>
      <c r="D54" s="702" t="s">
        <v>1695</v>
      </c>
      <c r="E54" s="671">
        <v>-196.45</v>
      </c>
      <c r="F54" s="672" t="s">
        <v>8</v>
      </c>
      <c r="G54" s="673" t="s">
        <v>124</v>
      </c>
    </row>
    <row r="55" spans="1:7" s="667" customFormat="1" x14ac:dyDescent="0.3">
      <c r="A55" s="669">
        <v>45933</v>
      </c>
      <c r="B55" s="669" t="s">
        <v>211</v>
      </c>
      <c r="C55" s="670" t="s">
        <v>31</v>
      </c>
      <c r="D55" s="702" t="s">
        <v>1696</v>
      </c>
      <c r="E55" s="671">
        <v>-195.28</v>
      </c>
      <c r="F55" s="672" t="s">
        <v>8</v>
      </c>
      <c r="G55" s="673" t="s">
        <v>124</v>
      </c>
    </row>
    <row r="56" spans="1:7" s="667" customFormat="1" x14ac:dyDescent="0.3">
      <c r="A56" s="669">
        <v>45933</v>
      </c>
      <c r="B56" s="669" t="s">
        <v>211</v>
      </c>
      <c r="C56" s="670" t="s">
        <v>31</v>
      </c>
      <c r="D56" s="702" t="s">
        <v>1697</v>
      </c>
      <c r="E56" s="671">
        <v>-193.08</v>
      </c>
      <c r="F56" s="672" t="s">
        <v>8</v>
      </c>
      <c r="G56" s="673" t="s">
        <v>124</v>
      </c>
    </row>
    <row r="57" spans="1:7" s="667" customFormat="1" x14ac:dyDescent="0.3">
      <c r="A57" s="669">
        <v>45933</v>
      </c>
      <c r="B57" s="669" t="s">
        <v>211</v>
      </c>
      <c r="C57" s="670" t="s">
        <v>31</v>
      </c>
      <c r="D57" s="702" t="s">
        <v>1698</v>
      </c>
      <c r="E57" s="671">
        <v>-187.63</v>
      </c>
      <c r="F57" s="672" t="s">
        <v>8</v>
      </c>
      <c r="G57" s="673" t="s">
        <v>124</v>
      </c>
    </row>
    <row r="58" spans="1:7" s="667" customFormat="1" x14ac:dyDescent="0.3">
      <c r="A58" s="669">
        <v>45933</v>
      </c>
      <c r="B58" s="669" t="s">
        <v>211</v>
      </c>
      <c r="C58" s="670" t="s">
        <v>31</v>
      </c>
      <c r="D58" s="702" t="s">
        <v>1699</v>
      </c>
      <c r="E58" s="671">
        <v>-186.63</v>
      </c>
      <c r="F58" s="672" t="s">
        <v>8</v>
      </c>
      <c r="G58" s="673" t="s">
        <v>124</v>
      </c>
    </row>
    <row r="59" spans="1:7" s="667" customFormat="1" x14ac:dyDescent="0.3">
      <c r="A59" s="271">
        <v>45933</v>
      </c>
      <c r="B59" s="271" t="s">
        <v>211</v>
      </c>
      <c r="C59" s="674" t="s">
        <v>32</v>
      </c>
      <c r="D59" s="703" t="s">
        <v>1369</v>
      </c>
      <c r="E59" s="675">
        <v>-7022.51</v>
      </c>
      <c r="F59" s="67" t="s">
        <v>8</v>
      </c>
      <c r="G59" s="236" t="s">
        <v>75</v>
      </c>
    </row>
    <row r="60" spans="1:7" s="667" customFormat="1" x14ac:dyDescent="0.3">
      <c r="A60" s="271">
        <v>45933</v>
      </c>
      <c r="B60" s="271" t="s">
        <v>211</v>
      </c>
      <c r="C60" s="648" t="s">
        <v>17</v>
      </c>
      <c r="D60" s="68" t="s">
        <v>1192</v>
      </c>
      <c r="E60" s="53">
        <v>-329.28</v>
      </c>
      <c r="F60" s="55" t="s">
        <v>8</v>
      </c>
      <c r="G60" s="236" t="s">
        <v>75</v>
      </c>
    </row>
    <row r="61" spans="1:7" s="667" customFormat="1" x14ac:dyDescent="0.3">
      <c r="A61" s="271">
        <v>45933</v>
      </c>
      <c r="B61" s="271" t="s">
        <v>211</v>
      </c>
      <c r="C61" s="648" t="s">
        <v>17</v>
      </c>
      <c r="D61" s="68" t="s">
        <v>1192</v>
      </c>
      <c r="E61" s="53">
        <v>-89.27</v>
      </c>
      <c r="F61" s="55" t="s">
        <v>8</v>
      </c>
      <c r="G61" s="236" t="s">
        <v>75</v>
      </c>
    </row>
    <row r="62" spans="1:7" s="667" customFormat="1" x14ac:dyDescent="0.3">
      <c r="A62" s="271">
        <v>45933</v>
      </c>
      <c r="B62" s="271" t="s">
        <v>211</v>
      </c>
      <c r="C62" s="674" t="s">
        <v>32</v>
      </c>
      <c r="D62" s="68" t="s">
        <v>1589</v>
      </c>
      <c r="E62" s="652">
        <v>-1213.26</v>
      </c>
      <c r="F62" s="55" t="s">
        <v>8</v>
      </c>
      <c r="G62" s="236" t="s">
        <v>75</v>
      </c>
    </row>
    <row r="63" spans="1:7" s="667" customFormat="1" x14ac:dyDescent="0.3">
      <c r="A63" s="271">
        <v>45933</v>
      </c>
      <c r="B63" s="271" t="s">
        <v>211</v>
      </c>
      <c r="C63" s="676" t="s">
        <v>31</v>
      </c>
      <c r="D63" s="697" t="s">
        <v>1614</v>
      </c>
      <c r="E63" s="64">
        <v>-145.32</v>
      </c>
      <c r="F63" s="65" t="s">
        <v>8</v>
      </c>
      <c r="G63" s="677" t="s">
        <v>19</v>
      </c>
    </row>
    <row r="64" spans="1:7" s="667" customFormat="1" x14ac:dyDescent="0.3">
      <c r="A64" s="271">
        <v>45933</v>
      </c>
      <c r="B64" s="271" t="s">
        <v>211</v>
      </c>
      <c r="C64" s="52" t="s">
        <v>6</v>
      </c>
      <c r="D64" s="68" t="s">
        <v>497</v>
      </c>
      <c r="E64" s="53">
        <v>-529</v>
      </c>
      <c r="F64" s="65" t="s">
        <v>8</v>
      </c>
      <c r="G64" s="54" t="s">
        <v>82</v>
      </c>
    </row>
    <row r="65" spans="1:7" s="667" customFormat="1" x14ac:dyDescent="0.3">
      <c r="A65" s="271">
        <v>45933</v>
      </c>
      <c r="B65" s="271" t="s">
        <v>211</v>
      </c>
      <c r="C65" s="52" t="s">
        <v>25</v>
      </c>
      <c r="D65" s="68" t="s">
        <v>468</v>
      </c>
      <c r="E65" s="53">
        <v>-319.8</v>
      </c>
      <c r="F65" s="65" t="s">
        <v>8</v>
      </c>
      <c r="G65" s="54" t="s">
        <v>82</v>
      </c>
    </row>
    <row r="66" spans="1:7" s="667" customFormat="1" x14ac:dyDescent="0.3">
      <c r="A66" s="271">
        <v>45933</v>
      </c>
      <c r="B66" s="271" t="s">
        <v>211</v>
      </c>
      <c r="C66" s="52" t="s">
        <v>25</v>
      </c>
      <c r="D66" s="68" t="s">
        <v>1139</v>
      </c>
      <c r="E66" s="53">
        <v>-184.5</v>
      </c>
      <c r="F66" s="65" t="s">
        <v>8</v>
      </c>
      <c r="G66" s="54" t="s">
        <v>82</v>
      </c>
    </row>
    <row r="67" spans="1:7" s="667" customFormat="1" x14ac:dyDescent="0.3">
      <c r="A67" s="271">
        <v>45933</v>
      </c>
      <c r="B67" s="271" t="s">
        <v>211</v>
      </c>
      <c r="C67" s="52" t="s">
        <v>32</v>
      </c>
      <c r="D67" s="68" t="s">
        <v>1615</v>
      </c>
      <c r="E67" s="53">
        <v>-147.6</v>
      </c>
      <c r="F67" s="65" t="s">
        <v>8</v>
      </c>
      <c r="G67" s="54" t="s">
        <v>82</v>
      </c>
    </row>
    <row r="68" spans="1:7" s="667" customFormat="1" x14ac:dyDescent="0.3">
      <c r="A68" s="271">
        <v>45933</v>
      </c>
      <c r="B68" s="271" t="s">
        <v>211</v>
      </c>
      <c r="C68" s="52" t="s">
        <v>32</v>
      </c>
      <c r="D68" s="68" t="s">
        <v>1616</v>
      </c>
      <c r="E68" s="53">
        <v>-89.6</v>
      </c>
      <c r="F68" s="65" t="s">
        <v>8</v>
      </c>
      <c r="G68" s="54" t="s">
        <v>82</v>
      </c>
    </row>
    <row r="69" spans="1:7" s="667" customFormat="1" x14ac:dyDescent="0.3">
      <c r="A69" s="271">
        <v>45933</v>
      </c>
      <c r="B69" s="271" t="s">
        <v>211</v>
      </c>
      <c r="C69" s="52" t="s">
        <v>71</v>
      </c>
      <c r="D69" s="68" t="s">
        <v>1176</v>
      </c>
      <c r="E69" s="53">
        <v>-140</v>
      </c>
      <c r="F69" s="65" t="s">
        <v>8</v>
      </c>
      <c r="G69" s="54" t="s">
        <v>82</v>
      </c>
    </row>
    <row r="70" spans="1:7" s="667" customFormat="1" x14ac:dyDescent="0.3">
      <c r="A70" s="271">
        <v>45933</v>
      </c>
      <c r="B70" s="271" t="s">
        <v>211</v>
      </c>
      <c r="C70" s="52" t="s">
        <v>17</v>
      </c>
      <c r="D70" s="68" t="s">
        <v>1617</v>
      </c>
      <c r="E70" s="53">
        <v>-86.1</v>
      </c>
      <c r="F70" s="65" t="s">
        <v>8</v>
      </c>
      <c r="G70" s="54" t="s">
        <v>82</v>
      </c>
    </row>
    <row r="71" spans="1:7" s="667" customFormat="1" x14ac:dyDescent="0.3">
      <c r="A71" s="271">
        <v>45933</v>
      </c>
      <c r="B71" s="271" t="s">
        <v>211</v>
      </c>
      <c r="C71" s="52" t="s">
        <v>17</v>
      </c>
      <c r="D71" s="68" t="s">
        <v>1618</v>
      </c>
      <c r="E71" s="53">
        <v>-120</v>
      </c>
      <c r="F71" s="65" t="s">
        <v>8</v>
      </c>
      <c r="G71" s="54" t="s">
        <v>82</v>
      </c>
    </row>
    <row r="72" spans="1:7" s="667" customFormat="1" x14ac:dyDescent="0.3">
      <c r="A72" s="271">
        <v>45933</v>
      </c>
      <c r="B72" s="271" t="s">
        <v>211</v>
      </c>
      <c r="C72" s="52" t="s">
        <v>17</v>
      </c>
      <c r="D72" s="68" t="s">
        <v>693</v>
      </c>
      <c r="E72" s="53">
        <v>-307.5</v>
      </c>
      <c r="F72" s="65" t="s">
        <v>8</v>
      </c>
      <c r="G72" s="54" t="s">
        <v>82</v>
      </c>
    </row>
    <row r="73" spans="1:7" s="667" customFormat="1" x14ac:dyDescent="0.3">
      <c r="A73" s="271">
        <v>45933</v>
      </c>
      <c r="B73" s="271" t="s">
        <v>211</v>
      </c>
      <c r="C73" s="52" t="s">
        <v>25</v>
      </c>
      <c r="D73" s="651" t="s">
        <v>1713</v>
      </c>
      <c r="E73" s="53">
        <v>-600</v>
      </c>
      <c r="F73" s="65" t="s">
        <v>8</v>
      </c>
      <c r="G73" s="222" t="s">
        <v>27</v>
      </c>
    </row>
    <row r="74" spans="1:7" s="667" customFormat="1" x14ac:dyDescent="0.3">
      <c r="A74" s="271">
        <v>45933</v>
      </c>
      <c r="B74" s="271" t="s">
        <v>211</v>
      </c>
      <c r="C74" s="120" t="s">
        <v>17</v>
      </c>
      <c r="D74" s="520" t="s">
        <v>18</v>
      </c>
      <c r="E74" s="58">
        <v>-17235</v>
      </c>
      <c r="F74" s="55" t="s">
        <v>8</v>
      </c>
      <c r="G74" s="236" t="s">
        <v>19</v>
      </c>
    </row>
    <row r="75" spans="1:7" x14ac:dyDescent="0.3">
      <c r="E75" s="28">
        <f>SUM(E41:E74)</f>
        <v>-40402.51999999999</v>
      </c>
    </row>
    <row r="83" spans="1:7" x14ac:dyDescent="0.3">
      <c r="A83" s="1138" t="s">
        <v>1716</v>
      </c>
      <c r="B83" s="1138"/>
      <c r="C83" s="1138"/>
      <c r="D83" s="1138"/>
      <c r="E83" s="1138"/>
      <c r="F83" s="1138"/>
      <c r="G83" s="1138"/>
    </row>
    <row r="84" spans="1:7" ht="29.4" customHeight="1" x14ac:dyDescent="0.3">
      <c r="A84" s="1138"/>
      <c r="B84" s="1138"/>
      <c r="C84" s="1138"/>
      <c r="D84" s="1138"/>
      <c r="E84" s="1138"/>
      <c r="F84" s="1138"/>
      <c r="G84" s="1138"/>
    </row>
    <row r="85" spans="1:7" x14ac:dyDescent="0.3">
      <c r="A85" s="127" t="s">
        <v>0</v>
      </c>
      <c r="B85" s="127" t="s">
        <v>1038</v>
      </c>
      <c r="C85" s="58" t="s">
        <v>1</v>
      </c>
      <c r="D85" s="699" t="s">
        <v>2</v>
      </c>
      <c r="E85" s="59" t="s">
        <v>3</v>
      </c>
      <c r="F85" s="59" t="s">
        <v>4</v>
      </c>
      <c r="G85" s="280" t="s">
        <v>5</v>
      </c>
    </row>
    <row r="86" spans="1:7" s="667" customFormat="1" x14ac:dyDescent="0.3">
      <c r="A86" s="123">
        <v>45936</v>
      </c>
      <c r="B86" s="123" t="s">
        <v>211</v>
      </c>
      <c r="C86" s="120" t="s">
        <v>6</v>
      </c>
      <c r="D86" s="29" t="s">
        <v>43</v>
      </c>
      <c r="E86" s="121">
        <v>-17753.55</v>
      </c>
      <c r="F86" s="55" t="s">
        <v>8</v>
      </c>
      <c r="G86" s="61" t="s">
        <v>41</v>
      </c>
    </row>
    <row r="87" spans="1:7" s="667" customFormat="1" x14ac:dyDescent="0.3">
      <c r="A87" s="123">
        <v>45936</v>
      </c>
      <c r="B87" s="123" t="s">
        <v>211</v>
      </c>
      <c r="C87" s="682" t="s">
        <v>6</v>
      </c>
      <c r="D87" s="29" t="s">
        <v>23</v>
      </c>
      <c r="E87" s="121">
        <v>-3809.98</v>
      </c>
      <c r="F87" s="55" t="s">
        <v>8</v>
      </c>
      <c r="G87" s="61" t="s">
        <v>24</v>
      </c>
    </row>
    <row r="88" spans="1:7" s="164" customFormat="1" ht="13.8" x14ac:dyDescent="0.3">
      <c r="A88" s="51">
        <v>45936</v>
      </c>
      <c r="B88" s="123" t="s">
        <v>211</v>
      </c>
      <c r="C88" s="52" t="s">
        <v>6</v>
      </c>
      <c r="D88" s="651" t="s">
        <v>1553</v>
      </c>
      <c r="E88" s="53">
        <v>-5048.21</v>
      </c>
      <c r="F88" s="55" t="s">
        <v>8</v>
      </c>
      <c r="G88" s="54" t="s">
        <v>186</v>
      </c>
    </row>
    <row r="89" spans="1:7" s="667" customFormat="1" x14ac:dyDescent="0.3">
      <c r="A89" s="123">
        <v>45936</v>
      </c>
      <c r="B89" s="123" t="s">
        <v>211</v>
      </c>
      <c r="C89" s="120" t="s">
        <v>6</v>
      </c>
      <c r="D89" s="29" t="s">
        <v>42</v>
      </c>
      <c r="E89" s="121">
        <v>-500</v>
      </c>
      <c r="F89" s="55" t="s">
        <v>8</v>
      </c>
      <c r="G89" s="61" t="s">
        <v>41</v>
      </c>
    </row>
    <row r="90" spans="1:7" s="667" customFormat="1" x14ac:dyDescent="0.3">
      <c r="A90" s="123">
        <v>45936</v>
      </c>
      <c r="B90" s="123" t="s">
        <v>211</v>
      </c>
      <c r="C90" s="120" t="s">
        <v>6</v>
      </c>
      <c r="D90" s="29" t="s">
        <v>40</v>
      </c>
      <c r="E90" s="58">
        <v>-452122.85</v>
      </c>
      <c r="F90" s="55" t="s">
        <v>8</v>
      </c>
      <c r="G90" s="61" t="s">
        <v>41</v>
      </c>
    </row>
    <row r="91" spans="1:7" s="667" customFormat="1" x14ac:dyDescent="0.3">
      <c r="A91" s="123">
        <v>45936</v>
      </c>
      <c r="B91" s="123" t="s">
        <v>211</v>
      </c>
      <c r="C91" s="648" t="s">
        <v>44</v>
      </c>
      <c r="D91" s="68" t="s">
        <v>226</v>
      </c>
      <c r="E91" s="53">
        <v>-2510.44</v>
      </c>
      <c r="F91" s="55" t="s">
        <v>8</v>
      </c>
      <c r="G91" s="54" t="s">
        <v>227</v>
      </c>
    </row>
    <row r="92" spans="1:7" s="667" customFormat="1" x14ac:dyDescent="0.3">
      <c r="A92" s="123">
        <v>45936</v>
      </c>
      <c r="B92" s="123" t="s">
        <v>211</v>
      </c>
      <c r="C92" s="648" t="s">
        <v>71</v>
      </c>
      <c r="D92" s="68" t="s">
        <v>229</v>
      </c>
      <c r="E92" s="53">
        <v>-725.7</v>
      </c>
      <c r="F92" s="55" t="s">
        <v>8</v>
      </c>
      <c r="G92" s="54" t="s">
        <v>227</v>
      </c>
    </row>
    <row r="93" spans="1:7" s="667" customFormat="1" x14ac:dyDescent="0.3">
      <c r="A93" s="123">
        <v>45936</v>
      </c>
      <c r="B93" s="123" t="s">
        <v>211</v>
      </c>
      <c r="C93" s="648" t="s">
        <v>71</v>
      </c>
      <c r="D93" s="68" t="s">
        <v>1326</v>
      </c>
      <c r="E93" s="53">
        <v>-1101.8399999999999</v>
      </c>
      <c r="F93" s="55" t="s">
        <v>8</v>
      </c>
      <c r="G93" s="54" t="s">
        <v>227</v>
      </c>
    </row>
    <row r="94" spans="1:7" s="667" customFormat="1" x14ac:dyDescent="0.3">
      <c r="A94" s="123">
        <v>45936</v>
      </c>
      <c r="B94" s="123" t="s">
        <v>211</v>
      </c>
      <c r="C94" s="648" t="s">
        <v>17</v>
      </c>
      <c r="D94" s="68" t="s">
        <v>389</v>
      </c>
      <c r="E94" s="53">
        <v>-59.35</v>
      </c>
      <c r="F94" s="55" t="s">
        <v>8</v>
      </c>
      <c r="G94" s="54" t="s">
        <v>227</v>
      </c>
    </row>
    <row r="95" spans="1:7" s="667" customFormat="1" x14ac:dyDescent="0.3">
      <c r="A95" s="123">
        <v>45936</v>
      </c>
      <c r="B95" s="123" t="s">
        <v>211</v>
      </c>
      <c r="C95" s="52" t="s">
        <v>17</v>
      </c>
      <c r="D95" s="68" t="s">
        <v>500</v>
      </c>
      <c r="E95" s="53">
        <v>-2207.67</v>
      </c>
      <c r="F95" s="55" t="s">
        <v>8</v>
      </c>
      <c r="G95" s="54" t="s">
        <v>75</v>
      </c>
    </row>
    <row r="96" spans="1:7" s="667" customFormat="1" x14ac:dyDescent="0.3">
      <c r="A96" s="123">
        <v>45936</v>
      </c>
      <c r="B96" s="123" t="s">
        <v>211</v>
      </c>
      <c r="C96" s="52" t="s">
        <v>32</v>
      </c>
      <c r="D96" s="68" t="s">
        <v>1271</v>
      </c>
      <c r="E96" s="53">
        <v>-2561.04</v>
      </c>
      <c r="F96" s="55" t="s">
        <v>8</v>
      </c>
      <c r="G96" s="54" t="s">
        <v>75</v>
      </c>
    </row>
    <row r="97" spans="1:7" s="667" customFormat="1" x14ac:dyDescent="0.3">
      <c r="A97" s="123">
        <v>45936</v>
      </c>
      <c r="B97" s="123" t="s">
        <v>211</v>
      </c>
      <c r="C97" s="52" t="s">
        <v>6</v>
      </c>
      <c r="D97" s="68" t="s">
        <v>1620</v>
      </c>
      <c r="E97" s="53">
        <v>-250</v>
      </c>
      <c r="F97" s="55" t="s">
        <v>8</v>
      </c>
      <c r="G97" s="54" t="s">
        <v>186</v>
      </c>
    </row>
    <row r="98" spans="1:7" s="667" customFormat="1" x14ac:dyDescent="0.3">
      <c r="A98" s="123">
        <v>45936</v>
      </c>
      <c r="B98" s="123" t="s">
        <v>211</v>
      </c>
      <c r="C98" s="52" t="s">
        <v>25</v>
      </c>
      <c r="D98" s="68" t="s">
        <v>1700</v>
      </c>
      <c r="E98" s="53">
        <v>-220</v>
      </c>
      <c r="F98" s="55" t="s">
        <v>8</v>
      </c>
      <c r="G98" s="54" t="s">
        <v>82</v>
      </c>
    </row>
    <row r="99" spans="1:7" s="667" customFormat="1" x14ac:dyDescent="0.3">
      <c r="A99" s="123">
        <v>45936</v>
      </c>
      <c r="B99" s="123" t="s">
        <v>211</v>
      </c>
      <c r="C99" s="52" t="s">
        <v>25</v>
      </c>
      <c r="D99" s="68" t="s">
        <v>1701</v>
      </c>
      <c r="E99" s="53">
        <v>-220</v>
      </c>
      <c r="F99" s="55" t="s">
        <v>8</v>
      </c>
      <c r="G99" s="54" t="s">
        <v>82</v>
      </c>
    </row>
    <row r="100" spans="1:7" s="667" customFormat="1" x14ac:dyDescent="0.3">
      <c r="A100" s="123">
        <v>45936</v>
      </c>
      <c r="B100" s="123" t="s">
        <v>211</v>
      </c>
      <c r="C100" s="52" t="s">
        <v>25</v>
      </c>
      <c r="D100" s="68" t="s">
        <v>1702</v>
      </c>
      <c r="E100" s="53">
        <v>-220</v>
      </c>
      <c r="F100" s="55" t="s">
        <v>8</v>
      </c>
      <c r="G100" s="54" t="s">
        <v>82</v>
      </c>
    </row>
    <row r="101" spans="1:7" s="667" customFormat="1" x14ac:dyDescent="0.3">
      <c r="A101" s="123">
        <v>45936</v>
      </c>
      <c r="B101" s="123" t="s">
        <v>211</v>
      </c>
      <c r="C101" s="52" t="s">
        <v>17</v>
      </c>
      <c r="D101" s="68" t="s">
        <v>1703</v>
      </c>
      <c r="E101" s="53">
        <v>-165</v>
      </c>
      <c r="F101" s="55" t="s">
        <v>8</v>
      </c>
      <c r="G101" s="54" t="s">
        <v>82</v>
      </c>
    </row>
    <row r="102" spans="1:7" s="667" customFormat="1" x14ac:dyDescent="0.3">
      <c r="A102" s="123">
        <v>45936</v>
      </c>
      <c r="B102" s="123" t="s">
        <v>211</v>
      </c>
      <c r="C102" s="52" t="s">
        <v>17</v>
      </c>
      <c r="D102" s="68" t="s">
        <v>1191</v>
      </c>
      <c r="E102" s="53">
        <v>-396</v>
      </c>
      <c r="F102" s="55" t="s">
        <v>8</v>
      </c>
      <c r="G102" s="54" t="s">
        <v>82</v>
      </c>
    </row>
    <row r="103" spans="1:7" x14ac:dyDescent="0.3">
      <c r="E103" s="212">
        <f>SUM(E86:E102)</f>
        <v>-489871.62999999995</v>
      </c>
    </row>
    <row r="108" spans="1:7" x14ac:dyDescent="0.3">
      <c r="A108" s="1138" t="s">
        <v>1749</v>
      </c>
      <c r="B108" s="1138"/>
      <c r="C108" s="1138"/>
      <c r="D108" s="1138"/>
      <c r="E108" s="1138"/>
      <c r="F108" s="1138"/>
      <c r="G108" s="1138"/>
    </row>
    <row r="109" spans="1:7" ht="45" customHeight="1" x14ac:dyDescent="0.3">
      <c r="A109" s="1138"/>
      <c r="B109" s="1138"/>
      <c r="C109" s="1138"/>
      <c r="D109" s="1138"/>
      <c r="E109" s="1138"/>
      <c r="F109" s="1138"/>
      <c r="G109" s="1138"/>
    </row>
    <row r="110" spans="1:7" x14ac:dyDescent="0.3">
      <c r="A110" s="127" t="s">
        <v>0</v>
      </c>
      <c r="B110" s="127" t="s">
        <v>1038</v>
      </c>
      <c r="C110" s="58" t="s">
        <v>1</v>
      </c>
      <c r="D110" s="699" t="s">
        <v>2</v>
      </c>
      <c r="E110" s="59" t="s">
        <v>3</v>
      </c>
      <c r="F110" s="59" t="s">
        <v>4</v>
      </c>
      <c r="G110" s="280" t="s">
        <v>5</v>
      </c>
    </row>
    <row r="111" spans="1:7" s="667" customFormat="1" x14ac:dyDescent="0.3">
      <c r="A111" s="368">
        <v>45937</v>
      </c>
      <c r="B111" s="368" t="s">
        <v>211</v>
      </c>
      <c r="C111" s="52" t="s">
        <v>71</v>
      </c>
      <c r="D111" s="68" t="s">
        <v>205</v>
      </c>
      <c r="E111" s="53">
        <v>-2141.69</v>
      </c>
      <c r="F111" s="54" t="s">
        <v>8</v>
      </c>
      <c r="G111" s="54" t="s">
        <v>227</v>
      </c>
    </row>
    <row r="112" spans="1:7" s="667" customFormat="1" x14ac:dyDescent="0.3">
      <c r="A112" s="368">
        <v>45937</v>
      </c>
      <c r="B112" s="368" t="s">
        <v>211</v>
      </c>
      <c r="C112" s="52" t="s">
        <v>71</v>
      </c>
      <c r="D112" s="68" t="s">
        <v>1437</v>
      </c>
      <c r="E112" s="53">
        <v>-1000</v>
      </c>
      <c r="F112" s="54" t="s">
        <v>8</v>
      </c>
      <c r="G112" s="54" t="s">
        <v>186</v>
      </c>
    </row>
    <row r="113" spans="1:7" s="667" customFormat="1" x14ac:dyDescent="0.3">
      <c r="A113" s="51">
        <v>45937</v>
      </c>
      <c r="B113" s="123" t="s">
        <v>211</v>
      </c>
      <c r="C113" s="120" t="s">
        <v>13</v>
      </c>
      <c r="D113" s="29" t="s">
        <v>16</v>
      </c>
      <c r="E113" s="121">
        <v>-1500</v>
      </c>
      <c r="F113" s="55" t="s">
        <v>8</v>
      </c>
      <c r="G113" s="61" t="s">
        <v>15</v>
      </c>
    </row>
    <row r="114" spans="1:7" s="667" customFormat="1" x14ac:dyDescent="0.3">
      <c r="A114" s="51">
        <v>45937</v>
      </c>
      <c r="B114" s="123" t="s">
        <v>211</v>
      </c>
      <c r="C114" s="120" t="s">
        <v>13</v>
      </c>
      <c r="D114" s="68" t="s">
        <v>1741</v>
      </c>
      <c r="E114" s="53">
        <v>-1700</v>
      </c>
      <c r="F114" s="55" t="s">
        <v>8</v>
      </c>
      <c r="G114" s="61" t="s">
        <v>27</v>
      </c>
    </row>
    <row r="115" spans="1:7" s="667" customFormat="1" x14ac:dyDescent="0.3">
      <c r="A115" s="51">
        <v>45937</v>
      </c>
      <c r="B115" s="123" t="s">
        <v>211</v>
      </c>
      <c r="C115" s="120" t="s">
        <v>13</v>
      </c>
      <c r="D115" s="68" t="s">
        <v>1742</v>
      </c>
      <c r="E115" s="53">
        <v>-589</v>
      </c>
      <c r="F115" s="55" t="s">
        <v>8</v>
      </c>
      <c r="G115" s="61" t="s">
        <v>27</v>
      </c>
    </row>
    <row r="116" spans="1:7" s="667" customFormat="1" x14ac:dyDescent="0.3">
      <c r="A116" s="51">
        <v>45937</v>
      </c>
      <c r="B116" s="123" t="s">
        <v>211</v>
      </c>
      <c r="C116" s="120" t="s">
        <v>13</v>
      </c>
      <c r="D116" s="68" t="s">
        <v>1743</v>
      </c>
      <c r="E116" s="53">
        <v>-630</v>
      </c>
      <c r="F116" s="55" t="s">
        <v>8</v>
      </c>
      <c r="G116" s="61" t="s">
        <v>27</v>
      </c>
    </row>
    <row r="117" spans="1:7" s="667" customFormat="1" x14ac:dyDescent="0.3">
      <c r="A117" s="51">
        <v>45937</v>
      </c>
      <c r="B117" s="123" t="s">
        <v>211</v>
      </c>
      <c r="C117" s="120" t="s">
        <v>13</v>
      </c>
      <c r="D117" s="68" t="s">
        <v>1744</v>
      </c>
      <c r="E117" s="53">
        <v>-1750</v>
      </c>
      <c r="F117" s="55" t="s">
        <v>8</v>
      </c>
      <c r="G117" s="61" t="s">
        <v>27</v>
      </c>
    </row>
    <row r="118" spans="1:7" s="667" customFormat="1" x14ac:dyDescent="0.3">
      <c r="A118" s="51">
        <v>45937</v>
      </c>
      <c r="B118" s="123" t="s">
        <v>211</v>
      </c>
      <c r="C118" s="120" t="s">
        <v>13</v>
      </c>
      <c r="D118" s="68" t="s">
        <v>1745</v>
      </c>
      <c r="E118" s="53">
        <v>-1700</v>
      </c>
      <c r="F118" s="55" t="s">
        <v>8</v>
      </c>
      <c r="G118" s="61" t="s">
        <v>27</v>
      </c>
    </row>
    <row r="119" spans="1:7" s="667" customFormat="1" x14ac:dyDescent="0.3">
      <c r="A119" s="51">
        <v>45937</v>
      </c>
      <c r="B119" s="123" t="s">
        <v>211</v>
      </c>
      <c r="C119" s="120" t="s">
        <v>13</v>
      </c>
      <c r="D119" s="697" t="s">
        <v>1746</v>
      </c>
      <c r="E119" s="64">
        <v>-1140</v>
      </c>
      <c r="F119" s="65" t="s">
        <v>8</v>
      </c>
      <c r="G119" s="225" t="s">
        <v>27</v>
      </c>
    </row>
    <row r="120" spans="1:7" s="667" customFormat="1" x14ac:dyDescent="0.3">
      <c r="A120" s="123">
        <v>45937</v>
      </c>
      <c r="B120" s="123" t="s">
        <v>211</v>
      </c>
      <c r="C120" s="698" t="s">
        <v>13</v>
      </c>
      <c r="D120" s="29" t="s">
        <v>47</v>
      </c>
      <c r="E120" s="121">
        <v>-6270</v>
      </c>
      <c r="F120" s="55" t="s">
        <v>8</v>
      </c>
      <c r="G120" s="61" t="s">
        <v>27</v>
      </c>
    </row>
    <row r="121" spans="1:7" s="667" customFormat="1" x14ac:dyDescent="0.3">
      <c r="A121" s="368">
        <v>45937</v>
      </c>
      <c r="B121" s="368" t="s">
        <v>211</v>
      </c>
      <c r="C121" s="52" t="s">
        <v>25</v>
      </c>
      <c r="D121" s="68" t="s">
        <v>1703</v>
      </c>
      <c r="E121" s="53">
        <v>-231</v>
      </c>
      <c r="F121" s="54" t="s">
        <v>8</v>
      </c>
      <c r="G121" s="54" t="s">
        <v>82</v>
      </c>
    </row>
    <row r="122" spans="1:7" s="667" customFormat="1" x14ac:dyDescent="0.3">
      <c r="A122" s="368">
        <v>45937</v>
      </c>
      <c r="B122" s="368" t="s">
        <v>211</v>
      </c>
      <c r="C122" s="52" t="s">
        <v>25</v>
      </c>
      <c r="D122" s="68" t="s">
        <v>1368</v>
      </c>
      <c r="E122" s="53">
        <v>-205</v>
      </c>
      <c r="F122" s="54" t="s">
        <v>8</v>
      </c>
      <c r="G122" s="54" t="s">
        <v>82</v>
      </c>
    </row>
    <row r="123" spans="1:7" s="667" customFormat="1" x14ac:dyDescent="0.3">
      <c r="A123" s="368">
        <v>45937</v>
      </c>
      <c r="B123" s="368" t="s">
        <v>211</v>
      </c>
      <c r="C123" s="52" t="s">
        <v>25</v>
      </c>
      <c r="D123" s="68" t="s">
        <v>1704</v>
      </c>
      <c r="E123" s="53">
        <v>-163.1</v>
      </c>
      <c r="F123" s="54" t="s">
        <v>8</v>
      </c>
      <c r="G123" s="54" t="s">
        <v>82</v>
      </c>
    </row>
    <row r="124" spans="1:7" s="667" customFormat="1" x14ac:dyDescent="0.3">
      <c r="A124" s="123">
        <v>45937</v>
      </c>
      <c r="B124" s="123" t="s">
        <v>211</v>
      </c>
      <c r="C124" s="52" t="s">
        <v>32</v>
      </c>
      <c r="D124" s="68" t="s">
        <v>1271</v>
      </c>
      <c r="E124" s="53">
        <v>-211.3</v>
      </c>
      <c r="F124" s="54" t="s">
        <v>8</v>
      </c>
      <c r="G124" s="54" t="s">
        <v>82</v>
      </c>
    </row>
    <row r="125" spans="1:7" s="667" customFormat="1" x14ac:dyDescent="0.3">
      <c r="A125" s="123">
        <v>45937</v>
      </c>
      <c r="B125" s="123" t="s">
        <v>211</v>
      </c>
      <c r="C125" s="52" t="s">
        <v>32</v>
      </c>
      <c r="D125" s="68" t="s">
        <v>1747</v>
      </c>
      <c r="E125" s="53">
        <v>-509.14</v>
      </c>
      <c r="F125" s="55" t="s">
        <v>8</v>
      </c>
      <c r="G125" s="54" t="s">
        <v>1748</v>
      </c>
    </row>
    <row r="126" spans="1:7" x14ac:dyDescent="0.3">
      <c r="E126" s="28">
        <f>SUM(E111:E125)</f>
        <v>-19740.23</v>
      </c>
    </row>
    <row r="131" spans="1:9" x14ac:dyDescent="0.3">
      <c r="A131" s="1138" t="s">
        <v>1749</v>
      </c>
      <c r="B131" s="1138"/>
      <c r="C131" s="1138"/>
      <c r="D131" s="1138"/>
      <c r="E131" s="1138"/>
      <c r="F131" s="1138"/>
      <c r="G131" s="1138"/>
    </row>
    <row r="132" spans="1:9" ht="33" customHeight="1" x14ac:dyDescent="0.3">
      <c r="A132" s="1138"/>
      <c r="B132" s="1138"/>
      <c r="C132" s="1138"/>
      <c r="D132" s="1138"/>
      <c r="E132" s="1138"/>
      <c r="F132" s="1138"/>
      <c r="G132" s="1138"/>
    </row>
    <row r="133" spans="1:9" x14ac:dyDescent="0.3">
      <c r="A133" s="127" t="s">
        <v>0</v>
      </c>
      <c r="B133" s="127" t="s">
        <v>1038</v>
      </c>
      <c r="C133" s="58" t="s">
        <v>1</v>
      </c>
      <c r="D133" s="699" t="s">
        <v>2</v>
      </c>
      <c r="E133" s="59" t="s">
        <v>3</v>
      </c>
      <c r="F133" s="59" t="s">
        <v>4</v>
      </c>
      <c r="G133" s="280" t="s">
        <v>5</v>
      </c>
      <c r="H133" s="641"/>
      <c r="I133" s="641"/>
    </row>
    <row r="134" spans="1:9" s="667" customFormat="1" x14ac:dyDescent="0.3">
      <c r="A134" s="368">
        <v>45938</v>
      </c>
      <c r="B134" s="368" t="s">
        <v>211</v>
      </c>
      <c r="C134" s="63" t="s">
        <v>17</v>
      </c>
      <c r="D134" s="697" t="s">
        <v>1438</v>
      </c>
      <c r="E134" s="64">
        <v>-1000</v>
      </c>
      <c r="F134" s="66" t="s">
        <v>8</v>
      </c>
      <c r="G134" s="66" t="s">
        <v>186</v>
      </c>
      <c r="H134" s="164"/>
      <c r="I134" s="164"/>
    </row>
    <row r="135" spans="1:9" s="667" customFormat="1" x14ac:dyDescent="0.3">
      <c r="A135" s="123">
        <v>45938</v>
      </c>
      <c r="B135" s="123" t="s">
        <v>211</v>
      </c>
      <c r="C135" s="52" t="s">
        <v>31</v>
      </c>
      <c r="D135" s="697" t="s">
        <v>1557</v>
      </c>
      <c r="E135" s="64">
        <v>-871.9</v>
      </c>
      <c r="F135" s="66" t="s">
        <v>8</v>
      </c>
      <c r="G135" s="66" t="s">
        <v>186</v>
      </c>
      <c r="H135" s="73"/>
      <c r="I135" s="73"/>
    </row>
    <row r="136" spans="1:9" s="667" customFormat="1" x14ac:dyDescent="0.3">
      <c r="A136" s="513">
        <v>45938</v>
      </c>
      <c r="B136" s="513" t="s">
        <v>211</v>
      </c>
      <c r="C136" s="718" t="s">
        <v>25</v>
      </c>
      <c r="D136" s="68" t="s">
        <v>599</v>
      </c>
      <c r="E136" s="53">
        <v>-5600</v>
      </c>
      <c r="F136" s="54" t="s">
        <v>8</v>
      </c>
      <c r="G136" s="54" t="s">
        <v>186</v>
      </c>
      <c r="H136" s="164"/>
      <c r="I136" s="164"/>
    </row>
    <row r="137" spans="1:9" s="667" customFormat="1" x14ac:dyDescent="0.3">
      <c r="A137" s="123">
        <v>45938</v>
      </c>
      <c r="B137" s="123" t="s">
        <v>211</v>
      </c>
      <c r="C137" s="648" t="s">
        <v>33</v>
      </c>
      <c r="D137" s="68" t="s">
        <v>1718</v>
      </c>
      <c r="E137" s="53">
        <v>-2272.84</v>
      </c>
      <c r="F137" s="55" t="s">
        <v>8</v>
      </c>
      <c r="G137" s="649" t="s">
        <v>124</v>
      </c>
      <c r="H137" s="164"/>
      <c r="I137" s="164"/>
    </row>
    <row r="138" spans="1:9" s="667" customFormat="1" x14ac:dyDescent="0.3">
      <c r="A138" s="123">
        <v>45938</v>
      </c>
      <c r="B138" s="123" t="s">
        <v>211</v>
      </c>
      <c r="C138" s="719" t="s">
        <v>71</v>
      </c>
      <c r="D138" s="68" t="s">
        <v>1717</v>
      </c>
      <c r="E138" s="53">
        <v>-33</v>
      </c>
      <c r="F138" s="55" t="s">
        <v>8</v>
      </c>
      <c r="G138" s="54" t="s">
        <v>348</v>
      </c>
      <c r="H138" s="164"/>
      <c r="I138" s="164"/>
    </row>
    <row r="139" spans="1:9" s="667" customFormat="1" x14ac:dyDescent="0.3">
      <c r="A139" s="51">
        <v>45938</v>
      </c>
      <c r="B139" s="123" t="s">
        <v>211</v>
      </c>
      <c r="C139" s="720" t="s">
        <v>6</v>
      </c>
      <c r="D139" s="29" t="s">
        <v>1750</v>
      </c>
      <c r="E139" s="121">
        <v>-154.9</v>
      </c>
      <c r="F139" s="55" t="s">
        <v>8</v>
      </c>
      <c r="G139" s="61" t="s">
        <v>136</v>
      </c>
      <c r="H139" s="164"/>
      <c r="I139" s="164"/>
    </row>
    <row r="140" spans="1:9" s="667" customFormat="1" x14ac:dyDescent="0.3">
      <c r="A140" s="51">
        <v>45938</v>
      </c>
      <c r="B140" s="123" t="s">
        <v>211</v>
      </c>
      <c r="C140" s="720" t="s">
        <v>6</v>
      </c>
      <c r="D140" s="29" t="s">
        <v>1345</v>
      </c>
      <c r="E140" s="121">
        <v>-139.9</v>
      </c>
      <c r="F140" s="55" t="s">
        <v>8</v>
      </c>
      <c r="G140" s="61" t="s">
        <v>136</v>
      </c>
      <c r="H140" s="164"/>
      <c r="I140" s="164"/>
    </row>
    <row r="141" spans="1:9" s="667" customFormat="1" x14ac:dyDescent="0.3">
      <c r="A141" s="368">
        <v>45938</v>
      </c>
      <c r="B141" s="368" t="s">
        <v>211</v>
      </c>
      <c r="C141" s="721" t="s">
        <v>32</v>
      </c>
      <c r="D141" s="29" t="s">
        <v>1759</v>
      </c>
      <c r="E141" s="722">
        <v>-785.34</v>
      </c>
      <c r="F141" s="55" t="s">
        <v>8</v>
      </c>
      <c r="G141" s="54" t="s">
        <v>51</v>
      </c>
      <c r="H141" s="164"/>
      <c r="I141" s="164"/>
    </row>
    <row r="142" spans="1:9" s="667" customFormat="1" x14ac:dyDescent="0.3">
      <c r="A142" s="368">
        <v>45938</v>
      </c>
      <c r="B142" s="368" t="s">
        <v>211</v>
      </c>
      <c r="C142" s="721" t="s">
        <v>107</v>
      </c>
      <c r="D142" s="29" t="s">
        <v>1759</v>
      </c>
      <c r="E142" s="722">
        <v>-267.54000000000002</v>
      </c>
      <c r="F142" s="55" t="s">
        <v>8</v>
      </c>
      <c r="G142" s="54" t="s">
        <v>51</v>
      </c>
      <c r="H142" s="164"/>
      <c r="I142" s="164"/>
    </row>
    <row r="143" spans="1:9" s="667" customFormat="1" x14ac:dyDescent="0.3">
      <c r="A143" s="368">
        <v>45938</v>
      </c>
      <c r="B143" s="368" t="s">
        <v>211</v>
      </c>
      <c r="C143" s="721" t="s">
        <v>1592</v>
      </c>
      <c r="D143" s="29" t="s">
        <v>1759</v>
      </c>
      <c r="E143" s="722">
        <v>-428.34</v>
      </c>
      <c r="F143" s="55" t="s">
        <v>8</v>
      </c>
      <c r="G143" s="54" t="s">
        <v>51</v>
      </c>
      <c r="H143" s="164"/>
      <c r="I143" s="164"/>
    </row>
    <row r="144" spans="1:9" s="667" customFormat="1" x14ac:dyDescent="0.3">
      <c r="A144" s="368">
        <v>45938</v>
      </c>
      <c r="B144" s="368" t="s">
        <v>211</v>
      </c>
      <c r="C144" s="721" t="s">
        <v>651</v>
      </c>
      <c r="D144" s="29" t="s">
        <v>1759</v>
      </c>
      <c r="E144" s="722">
        <v>-321.32</v>
      </c>
      <c r="F144" s="55" t="s">
        <v>8</v>
      </c>
      <c r="G144" s="54" t="s">
        <v>51</v>
      </c>
      <c r="H144" s="164"/>
      <c r="I144" s="164"/>
    </row>
    <row r="145" spans="1:9" s="667" customFormat="1" x14ac:dyDescent="0.3">
      <c r="A145" s="368">
        <v>45938</v>
      </c>
      <c r="B145" s="368" t="s">
        <v>211</v>
      </c>
      <c r="C145" s="721" t="s">
        <v>88</v>
      </c>
      <c r="D145" s="29" t="s">
        <v>1759</v>
      </c>
      <c r="E145" s="722">
        <v>-892.64</v>
      </c>
      <c r="F145" s="55" t="s">
        <v>8</v>
      </c>
      <c r="G145" s="54" t="s">
        <v>51</v>
      </c>
      <c r="H145" s="164"/>
      <c r="I145" s="164"/>
    </row>
    <row r="146" spans="1:9" s="667" customFormat="1" x14ac:dyDescent="0.3">
      <c r="A146" s="368">
        <v>45938</v>
      </c>
      <c r="B146" s="368" t="s">
        <v>211</v>
      </c>
      <c r="C146" s="721" t="s">
        <v>422</v>
      </c>
      <c r="D146" s="29" t="s">
        <v>1759</v>
      </c>
      <c r="E146" s="722">
        <v>-178.36</v>
      </c>
      <c r="F146" s="55" t="s">
        <v>8</v>
      </c>
      <c r="G146" s="54" t="s">
        <v>51</v>
      </c>
      <c r="H146" s="164"/>
      <c r="I146" s="164"/>
    </row>
    <row r="147" spans="1:9" s="667" customFormat="1" x14ac:dyDescent="0.3">
      <c r="A147" s="368">
        <v>45938</v>
      </c>
      <c r="B147" s="368" t="s">
        <v>211</v>
      </c>
      <c r="C147" s="721" t="s">
        <v>658</v>
      </c>
      <c r="D147" s="29" t="s">
        <v>1759</v>
      </c>
      <c r="E147" s="722">
        <v>-428.34</v>
      </c>
      <c r="F147" s="55" t="s">
        <v>8</v>
      </c>
      <c r="G147" s="54" t="s">
        <v>51</v>
      </c>
      <c r="H147" s="164"/>
      <c r="I147" s="164"/>
    </row>
    <row r="148" spans="1:9" s="667" customFormat="1" x14ac:dyDescent="0.3">
      <c r="A148" s="368">
        <v>45938</v>
      </c>
      <c r="B148" s="368" t="s">
        <v>211</v>
      </c>
      <c r="C148" s="721" t="s">
        <v>17</v>
      </c>
      <c r="D148" s="29" t="s">
        <v>1759</v>
      </c>
      <c r="E148" s="722">
        <v>-499.68</v>
      </c>
      <c r="F148" s="55" t="s">
        <v>8</v>
      </c>
      <c r="G148" s="54" t="s">
        <v>51</v>
      </c>
      <c r="H148" s="164"/>
      <c r="I148" s="164"/>
    </row>
    <row r="149" spans="1:9" s="667" customFormat="1" x14ac:dyDescent="0.3">
      <c r="A149" s="368">
        <v>45938</v>
      </c>
      <c r="B149" s="368" t="s">
        <v>211</v>
      </c>
      <c r="C149" s="721" t="s">
        <v>35</v>
      </c>
      <c r="D149" s="29" t="s">
        <v>1759</v>
      </c>
      <c r="E149" s="722">
        <v>-410.5</v>
      </c>
      <c r="F149" s="55" t="s">
        <v>8</v>
      </c>
      <c r="G149" s="54" t="s">
        <v>51</v>
      </c>
      <c r="H149" s="164"/>
      <c r="I149" s="164"/>
    </row>
    <row r="150" spans="1:9" s="667" customFormat="1" x14ac:dyDescent="0.3">
      <c r="A150" s="51">
        <v>45938</v>
      </c>
      <c r="B150" s="123" t="s">
        <v>211</v>
      </c>
      <c r="C150" s="52" t="s">
        <v>31</v>
      </c>
      <c r="D150" s="68" t="s">
        <v>1556</v>
      </c>
      <c r="E150" s="221">
        <v>-100</v>
      </c>
      <c r="F150" s="55" t="s">
        <v>8</v>
      </c>
      <c r="G150" s="54" t="s">
        <v>186</v>
      </c>
      <c r="H150" s="164"/>
      <c r="I150" s="164"/>
    </row>
    <row r="151" spans="1:9" s="667" customFormat="1" x14ac:dyDescent="0.3">
      <c r="D151" s="1007"/>
      <c r="E151" s="723">
        <f>SUM(E134:E150)</f>
        <v>-14384.6</v>
      </c>
    </row>
    <row r="156" spans="1:9" x14ac:dyDescent="0.3">
      <c r="A156" s="1138" t="s">
        <v>1798</v>
      </c>
      <c r="B156" s="1138"/>
      <c r="C156" s="1138"/>
      <c r="D156" s="1138"/>
      <c r="E156" s="1138"/>
      <c r="F156" s="1138"/>
      <c r="G156" s="1138"/>
    </row>
    <row r="157" spans="1:9" ht="45.6" customHeight="1" x14ac:dyDescent="0.3">
      <c r="A157" s="1138"/>
      <c r="B157" s="1138"/>
      <c r="C157" s="1138"/>
      <c r="D157" s="1138"/>
      <c r="E157" s="1138"/>
      <c r="F157" s="1138"/>
      <c r="G157" s="1138"/>
    </row>
    <row r="158" spans="1:9" x14ac:dyDescent="0.3">
      <c r="A158" s="127" t="s">
        <v>0</v>
      </c>
      <c r="B158" s="127" t="s">
        <v>1038</v>
      </c>
      <c r="C158" s="58" t="s">
        <v>1</v>
      </c>
      <c r="D158" s="699" t="s">
        <v>2</v>
      </c>
      <c r="E158" s="59" t="s">
        <v>3</v>
      </c>
      <c r="F158" s="59" t="s">
        <v>4</v>
      </c>
      <c r="G158" s="280" t="s">
        <v>5</v>
      </c>
    </row>
    <row r="159" spans="1:9" s="667" customFormat="1" x14ac:dyDescent="0.3">
      <c r="A159" s="51">
        <v>45943</v>
      </c>
      <c r="B159" s="123" t="s">
        <v>211</v>
      </c>
      <c r="C159" s="52" t="s">
        <v>25</v>
      </c>
      <c r="D159" s="68" t="s">
        <v>1544</v>
      </c>
      <c r="E159" s="53">
        <v>-2079.2399999999998</v>
      </c>
      <c r="F159" s="55" t="s">
        <v>8</v>
      </c>
      <c r="G159" s="677" t="s">
        <v>186</v>
      </c>
    </row>
    <row r="160" spans="1:9" s="667" customFormat="1" x14ac:dyDescent="0.3">
      <c r="A160" s="271">
        <v>45943</v>
      </c>
      <c r="B160" s="271" t="s">
        <v>211</v>
      </c>
      <c r="C160" s="52" t="s">
        <v>17</v>
      </c>
      <c r="D160" s="68" t="s">
        <v>1795</v>
      </c>
      <c r="E160" s="53">
        <v>-129.13</v>
      </c>
      <c r="F160" s="55" t="s">
        <v>8</v>
      </c>
      <c r="G160" s="54" t="s">
        <v>73</v>
      </c>
    </row>
    <row r="161" spans="1:7" s="667" customFormat="1" x14ac:dyDescent="0.3">
      <c r="A161" s="271">
        <v>45943</v>
      </c>
      <c r="B161" s="271" t="s">
        <v>211</v>
      </c>
      <c r="C161" s="52" t="s">
        <v>6</v>
      </c>
      <c r="D161" s="68" t="s">
        <v>1267</v>
      </c>
      <c r="E161" s="53">
        <v>-82</v>
      </c>
      <c r="F161" s="55" t="s">
        <v>8</v>
      </c>
      <c r="G161" s="54" t="s">
        <v>82</v>
      </c>
    </row>
    <row r="162" spans="1:7" s="667" customFormat="1" x14ac:dyDescent="0.3">
      <c r="A162" s="271">
        <v>45943</v>
      </c>
      <c r="B162" s="271" t="s">
        <v>211</v>
      </c>
      <c r="C162" s="52" t="s">
        <v>6</v>
      </c>
      <c r="D162" s="68" t="s">
        <v>1268</v>
      </c>
      <c r="E162" s="53">
        <v>-82</v>
      </c>
      <c r="F162" s="55" t="s">
        <v>8</v>
      </c>
      <c r="G162" s="54" t="s">
        <v>82</v>
      </c>
    </row>
    <row r="163" spans="1:7" s="667" customFormat="1" x14ac:dyDescent="0.3">
      <c r="A163" s="271">
        <v>45943</v>
      </c>
      <c r="B163" s="271" t="s">
        <v>211</v>
      </c>
      <c r="C163" s="52" t="s">
        <v>6</v>
      </c>
      <c r="D163" s="68" t="s">
        <v>1264</v>
      </c>
      <c r="E163" s="53">
        <v>-82</v>
      </c>
      <c r="F163" s="55" t="s">
        <v>8</v>
      </c>
      <c r="G163" s="54" t="s">
        <v>82</v>
      </c>
    </row>
    <row r="164" spans="1:7" s="667" customFormat="1" x14ac:dyDescent="0.3">
      <c r="A164" s="271">
        <v>45943</v>
      </c>
      <c r="B164" s="271" t="s">
        <v>211</v>
      </c>
      <c r="C164" s="52" t="s">
        <v>6</v>
      </c>
      <c r="D164" s="68" t="s">
        <v>1228</v>
      </c>
      <c r="E164" s="53">
        <v>-82</v>
      </c>
      <c r="F164" s="55" t="s">
        <v>8</v>
      </c>
      <c r="G164" s="54" t="s">
        <v>82</v>
      </c>
    </row>
    <row r="165" spans="1:7" s="667" customFormat="1" x14ac:dyDescent="0.3">
      <c r="A165" s="271">
        <v>45943</v>
      </c>
      <c r="B165" s="271" t="s">
        <v>211</v>
      </c>
      <c r="C165" s="52" t="s">
        <v>25</v>
      </c>
      <c r="D165" s="68" t="s">
        <v>1790</v>
      </c>
      <c r="E165" s="53">
        <v>-188.8</v>
      </c>
      <c r="F165" s="55" t="s">
        <v>8</v>
      </c>
      <c r="G165" s="54" t="s">
        <v>82</v>
      </c>
    </row>
    <row r="166" spans="1:7" s="667" customFormat="1" x14ac:dyDescent="0.3">
      <c r="A166" s="271">
        <v>45943</v>
      </c>
      <c r="B166" s="271" t="s">
        <v>211</v>
      </c>
      <c r="C166" s="233" t="s">
        <v>31</v>
      </c>
      <c r="D166" s="29" t="s">
        <v>775</v>
      </c>
      <c r="E166" s="121">
        <v>-3000</v>
      </c>
      <c r="F166" s="67" t="s">
        <v>8</v>
      </c>
      <c r="G166" s="236" t="s">
        <v>58</v>
      </c>
    </row>
    <row r="167" spans="1:7" s="667" customFormat="1" x14ac:dyDescent="0.3">
      <c r="A167" s="123">
        <v>45943</v>
      </c>
      <c r="B167" s="123" t="s">
        <v>211</v>
      </c>
      <c r="C167" s="52" t="s">
        <v>25</v>
      </c>
      <c r="D167" s="68" t="s">
        <v>1441</v>
      </c>
      <c r="E167" s="652">
        <v>-3598.97</v>
      </c>
      <c r="F167" s="55" t="s">
        <v>8</v>
      </c>
      <c r="G167" s="54" t="s">
        <v>75</v>
      </c>
    </row>
    <row r="168" spans="1:7" s="667" customFormat="1" x14ac:dyDescent="0.3">
      <c r="A168" s="123">
        <v>45943</v>
      </c>
      <c r="B168" s="123" t="s">
        <v>211</v>
      </c>
      <c r="C168" s="52" t="s">
        <v>71</v>
      </c>
      <c r="D168" s="68" t="s">
        <v>1621</v>
      </c>
      <c r="E168" s="652">
        <v>-1820.76</v>
      </c>
      <c r="F168" s="55" t="s">
        <v>8</v>
      </c>
      <c r="G168" s="54" t="s">
        <v>75</v>
      </c>
    </row>
    <row r="169" spans="1:7" s="667" customFormat="1" x14ac:dyDescent="0.3">
      <c r="A169" s="513">
        <v>45943</v>
      </c>
      <c r="B169" s="513" t="s">
        <v>211</v>
      </c>
      <c r="C169" s="52" t="s">
        <v>31</v>
      </c>
      <c r="D169" s="68" t="s">
        <v>1791</v>
      </c>
      <c r="E169" s="53">
        <v>-144.44999999999999</v>
      </c>
      <c r="F169" s="65" t="s">
        <v>8</v>
      </c>
      <c r="G169" s="66" t="s">
        <v>111</v>
      </c>
    </row>
    <row r="170" spans="1:7" s="667" customFormat="1" x14ac:dyDescent="0.3">
      <c r="A170" s="123">
        <v>45943</v>
      </c>
      <c r="B170" s="123" t="s">
        <v>211</v>
      </c>
      <c r="C170" s="52" t="s">
        <v>31</v>
      </c>
      <c r="D170" s="68" t="s">
        <v>1792</v>
      </c>
      <c r="E170" s="53">
        <v>-165</v>
      </c>
      <c r="F170" s="55" t="s">
        <v>8</v>
      </c>
      <c r="G170" s="54" t="s">
        <v>111</v>
      </c>
    </row>
    <row r="171" spans="1:7" s="667" customFormat="1" x14ac:dyDescent="0.3">
      <c r="A171" s="123">
        <v>45943</v>
      </c>
      <c r="B171" s="123" t="s">
        <v>211</v>
      </c>
      <c r="C171" s="52" t="s">
        <v>31</v>
      </c>
      <c r="D171" s="68" t="s">
        <v>1765</v>
      </c>
      <c r="E171" s="53">
        <v>-190</v>
      </c>
      <c r="F171" s="55" t="s">
        <v>8</v>
      </c>
      <c r="G171" s="54" t="s">
        <v>111</v>
      </c>
    </row>
    <row r="172" spans="1:7" s="667" customFormat="1" x14ac:dyDescent="0.3">
      <c r="A172" s="123">
        <v>45943</v>
      </c>
      <c r="B172" s="123" t="s">
        <v>211</v>
      </c>
      <c r="C172" s="52" t="s">
        <v>17</v>
      </c>
      <c r="D172" s="68" t="s">
        <v>1768</v>
      </c>
      <c r="E172" s="652">
        <v>-80.040000000000006</v>
      </c>
      <c r="F172" s="55" t="s">
        <v>8</v>
      </c>
      <c r="G172" s="54" t="s">
        <v>75</v>
      </c>
    </row>
    <row r="173" spans="1:7" s="667" customFormat="1" x14ac:dyDescent="0.3">
      <c r="A173" s="123">
        <v>45943</v>
      </c>
      <c r="B173" s="123" t="s">
        <v>211</v>
      </c>
      <c r="C173" s="52" t="s">
        <v>31</v>
      </c>
      <c r="D173" s="68" t="s">
        <v>1736</v>
      </c>
      <c r="E173" s="53">
        <v>-1154.1500000000001</v>
      </c>
      <c r="F173" s="55" t="s">
        <v>8</v>
      </c>
      <c r="G173" s="54" t="s">
        <v>75</v>
      </c>
    </row>
    <row r="174" spans="1:7" s="667" customFormat="1" x14ac:dyDescent="0.3">
      <c r="A174" s="123">
        <v>45943</v>
      </c>
      <c r="B174" s="123" t="s">
        <v>211</v>
      </c>
      <c r="C174" s="52" t="s">
        <v>17</v>
      </c>
      <c r="D174" s="68" t="s">
        <v>1706</v>
      </c>
      <c r="E174" s="53">
        <v>-1863.75</v>
      </c>
      <c r="F174" s="55" t="s">
        <v>8</v>
      </c>
      <c r="G174" s="54" t="s">
        <v>75</v>
      </c>
    </row>
    <row r="175" spans="1:7" x14ac:dyDescent="0.3">
      <c r="E175" s="212">
        <f>SUM(E159:E174)</f>
        <v>-14742.29</v>
      </c>
    </row>
    <row r="178" spans="1:9" x14ac:dyDescent="0.3">
      <c r="A178" s="1138" t="s">
        <v>1833</v>
      </c>
      <c r="B178" s="1138"/>
      <c r="C178" s="1138"/>
      <c r="D178" s="1138"/>
      <c r="E178" s="1138"/>
      <c r="F178" s="1138"/>
      <c r="G178" s="1138"/>
    </row>
    <row r="179" spans="1:9" ht="37.799999999999997" customHeight="1" x14ac:dyDescent="0.3">
      <c r="A179" s="1138"/>
      <c r="B179" s="1138"/>
      <c r="C179" s="1138"/>
      <c r="D179" s="1138"/>
      <c r="E179" s="1138"/>
      <c r="F179" s="1138"/>
      <c r="G179" s="1138"/>
    </row>
    <row r="180" spans="1:9" x14ac:dyDescent="0.3">
      <c r="A180" s="127" t="s">
        <v>0</v>
      </c>
      <c r="B180" s="127" t="s">
        <v>1038</v>
      </c>
      <c r="C180" s="58" t="s">
        <v>1</v>
      </c>
      <c r="D180" s="699" t="s">
        <v>2</v>
      </c>
      <c r="E180" s="59" t="s">
        <v>3</v>
      </c>
      <c r="F180" s="59" t="s">
        <v>4</v>
      </c>
      <c r="G180" s="280" t="s">
        <v>5</v>
      </c>
      <c r="H180" s="641"/>
      <c r="I180" s="641"/>
    </row>
    <row r="181" spans="1:9" s="753" customFormat="1" x14ac:dyDescent="0.3">
      <c r="A181" s="264">
        <v>45944</v>
      </c>
      <c r="B181" s="264" t="s">
        <v>211</v>
      </c>
      <c r="C181" s="46" t="s">
        <v>25</v>
      </c>
      <c r="D181" s="326" t="s">
        <v>1799</v>
      </c>
      <c r="E181" s="47">
        <v>-459.29</v>
      </c>
      <c r="F181" s="48" t="s">
        <v>8</v>
      </c>
      <c r="G181" s="49" t="s">
        <v>51</v>
      </c>
    </row>
    <row r="182" spans="1:9" s="753" customFormat="1" x14ac:dyDescent="0.3">
      <c r="A182" s="264">
        <v>45944</v>
      </c>
      <c r="B182" s="264" t="s">
        <v>211</v>
      </c>
      <c r="C182" s="46" t="s">
        <v>32</v>
      </c>
      <c r="D182" s="326" t="s">
        <v>1799</v>
      </c>
      <c r="E182" s="47">
        <v>-105.99</v>
      </c>
      <c r="F182" s="48" t="s">
        <v>8</v>
      </c>
      <c r="G182" s="49" t="s">
        <v>51</v>
      </c>
    </row>
    <row r="183" spans="1:9" s="753" customFormat="1" x14ac:dyDescent="0.3">
      <c r="A183" s="264">
        <v>45944</v>
      </c>
      <c r="B183" s="264" t="s">
        <v>211</v>
      </c>
      <c r="C183" s="46" t="s">
        <v>17</v>
      </c>
      <c r="D183" s="326" t="s">
        <v>1800</v>
      </c>
      <c r="E183" s="47">
        <v>-105.99</v>
      </c>
      <c r="F183" s="48" t="s">
        <v>8</v>
      </c>
      <c r="G183" s="49" t="s">
        <v>51</v>
      </c>
    </row>
    <row r="184" spans="1:9" s="753" customFormat="1" x14ac:dyDescent="0.3">
      <c r="A184" s="264">
        <v>45944</v>
      </c>
      <c r="B184" s="264" t="s">
        <v>211</v>
      </c>
      <c r="C184" s="46" t="s">
        <v>25</v>
      </c>
      <c r="D184" s="326" t="s">
        <v>1138</v>
      </c>
      <c r="E184" s="47">
        <v>-165</v>
      </c>
      <c r="F184" s="48" t="s">
        <v>8</v>
      </c>
      <c r="G184" s="49" t="s">
        <v>82</v>
      </c>
    </row>
    <row r="185" spans="1:9" s="753" customFormat="1" x14ac:dyDescent="0.3">
      <c r="A185" s="264">
        <v>45944</v>
      </c>
      <c r="B185" s="264" t="s">
        <v>211</v>
      </c>
      <c r="C185" s="46" t="s">
        <v>25</v>
      </c>
      <c r="D185" s="326" t="s">
        <v>1801</v>
      </c>
      <c r="E185" s="47">
        <v>-187.5</v>
      </c>
      <c r="F185" s="48" t="s">
        <v>8</v>
      </c>
      <c r="G185" s="49" t="s">
        <v>82</v>
      </c>
    </row>
    <row r="186" spans="1:9" s="753" customFormat="1" x14ac:dyDescent="0.3">
      <c r="A186" s="264">
        <v>45944</v>
      </c>
      <c r="B186" s="264" t="s">
        <v>211</v>
      </c>
      <c r="C186" s="46" t="s">
        <v>17</v>
      </c>
      <c r="D186" s="326" t="s">
        <v>1802</v>
      </c>
      <c r="E186" s="47">
        <v>-184.5</v>
      </c>
      <c r="F186" s="48" t="s">
        <v>8</v>
      </c>
      <c r="G186" s="49" t="s">
        <v>82</v>
      </c>
    </row>
    <row r="187" spans="1:9" s="753" customFormat="1" x14ac:dyDescent="0.3">
      <c r="A187" s="264">
        <v>45944</v>
      </c>
      <c r="B187" s="264" t="s">
        <v>211</v>
      </c>
      <c r="C187" s="46" t="s">
        <v>17</v>
      </c>
      <c r="D187" s="326" t="s">
        <v>1617</v>
      </c>
      <c r="E187" s="47">
        <v>-184.5</v>
      </c>
      <c r="F187" s="48" t="s">
        <v>8</v>
      </c>
      <c r="G187" s="49" t="s">
        <v>82</v>
      </c>
    </row>
    <row r="188" spans="1:9" s="753" customFormat="1" x14ac:dyDescent="0.3">
      <c r="A188" s="264">
        <v>45944</v>
      </c>
      <c r="B188" s="264" t="s">
        <v>211</v>
      </c>
      <c r="C188" s="46" t="s">
        <v>17</v>
      </c>
      <c r="D188" s="326" t="s">
        <v>1619</v>
      </c>
      <c r="E188" s="47">
        <v>-184.5</v>
      </c>
      <c r="F188" s="48" t="s">
        <v>8</v>
      </c>
      <c r="G188" s="49" t="s">
        <v>82</v>
      </c>
    </row>
    <row r="189" spans="1:9" s="753" customFormat="1" x14ac:dyDescent="0.3">
      <c r="A189" s="264">
        <v>45944</v>
      </c>
      <c r="B189" s="264" t="s">
        <v>211</v>
      </c>
      <c r="C189" s="46" t="s">
        <v>31</v>
      </c>
      <c r="D189" s="326" t="s">
        <v>1767</v>
      </c>
      <c r="E189" s="47">
        <v>-190.02</v>
      </c>
      <c r="F189" s="48" t="s">
        <v>8</v>
      </c>
      <c r="G189" s="49" t="s">
        <v>75</v>
      </c>
    </row>
    <row r="190" spans="1:9" s="753" customFormat="1" x14ac:dyDescent="0.3">
      <c r="A190" s="264">
        <v>45944</v>
      </c>
      <c r="B190" s="264" t="s">
        <v>211</v>
      </c>
      <c r="C190" s="46" t="s">
        <v>17</v>
      </c>
      <c r="D190" s="326" t="s">
        <v>1766</v>
      </c>
      <c r="E190" s="47">
        <v>-302.82</v>
      </c>
      <c r="F190" s="48" t="s">
        <v>8</v>
      </c>
      <c r="G190" s="49" t="s">
        <v>75</v>
      </c>
    </row>
    <row r="191" spans="1:9" x14ac:dyDescent="0.3">
      <c r="E191" s="755">
        <f>SUM(E181:E190)</f>
        <v>-2070.11</v>
      </c>
    </row>
    <row r="195" spans="1:7" x14ac:dyDescent="0.3">
      <c r="A195" s="1138" t="s">
        <v>1834</v>
      </c>
      <c r="B195" s="1138"/>
      <c r="C195" s="1138"/>
      <c r="D195" s="1138"/>
      <c r="E195" s="1138"/>
      <c r="F195" s="1138"/>
      <c r="G195" s="1138"/>
    </row>
    <row r="196" spans="1:7" ht="33.6" customHeight="1" x14ac:dyDescent="0.3">
      <c r="A196" s="1138"/>
      <c r="B196" s="1138"/>
      <c r="C196" s="1138"/>
      <c r="D196" s="1138"/>
      <c r="E196" s="1138"/>
      <c r="F196" s="1138"/>
      <c r="G196" s="1138"/>
    </row>
    <row r="197" spans="1:7" x14ac:dyDescent="0.3">
      <c r="A197" s="127" t="s">
        <v>0</v>
      </c>
      <c r="B197" s="127" t="s">
        <v>1038</v>
      </c>
      <c r="C197" s="58" t="s">
        <v>1</v>
      </c>
      <c r="D197" s="699" t="s">
        <v>2</v>
      </c>
      <c r="E197" s="59" t="s">
        <v>3</v>
      </c>
      <c r="F197" s="59" t="s">
        <v>4</v>
      </c>
      <c r="G197" s="280" t="s">
        <v>5</v>
      </c>
    </row>
    <row r="198" spans="1:7" s="650" customFormat="1" x14ac:dyDescent="0.3">
      <c r="A198" s="271">
        <v>45945</v>
      </c>
      <c r="B198" s="271" t="s">
        <v>211</v>
      </c>
      <c r="C198" s="233" t="s">
        <v>6</v>
      </c>
      <c r="D198" s="272" t="s">
        <v>77</v>
      </c>
      <c r="E198" s="439">
        <v>-54024.37</v>
      </c>
      <c r="F198" s="236" t="s">
        <v>8</v>
      </c>
      <c r="G198" s="236" t="s">
        <v>41</v>
      </c>
    </row>
    <row r="199" spans="1:7" s="650" customFormat="1" x14ac:dyDescent="0.3">
      <c r="A199" s="123">
        <v>45945</v>
      </c>
      <c r="B199" s="123" t="s">
        <v>211</v>
      </c>
      <c r="C199" s="120" t="s">
        <v>17</v>
      </c>
      <c r="D199" s="29" t="s">
        <v>83</v>
      </c>
      <c r="E199" s="121">
        <v>-20697.990000000002</v>
      </c>
      <c r="F199" s="55" t="s">
        <v>8</v>
      </c>
      <c r="G199" s="61" t="s">
        <v>58</v>
      </c>
    </row>
    <row r="200" spans="1:7" s="650" customFormat="1" x14ac:dyDescent="0.3">
      <c r="A200" s="123">
        <v>45945</v>
      </c>
      <c r="B200" s="123" t="s">
        <v>211</v>
      </c>
      <c r="C200" s="698" t="s">
        <v>31</v>
      </c>
      <c r="D200" s="29" t="s">
        <v>91</v>
      </c>
      <c r="E200" s="121">
        <v>-2298.0300000000002</v>
      </c>
      <c r="F200" s="55" t="s">
        <v>8</v>
      </c>
      <c r="G200" s="61" t="s">
        <v>91</v>
      </c>
    </row>
    <row r="201" spans="1:7" s="650" customFormat="1" x14ac:dyDescent="0.3">
      <c r="A201" s="123">
        <v>45945</v>
      </c>
      <c r="B201" s="123" t="s">
        <v>211</v>
      </c>
      <c r="C201" s="682" t="s">
        <v>25</v>
      </c>
      <c r="D201" s="29" t="s">
        <v>91</v>
      </c>
      <c r="E201" s="121">
        <v>-1286.52</v>
      </c>
      <c r="F201" s="55" t="s">
        <v>8</v>
      </c>
      <c r="G201" s="61" t="s">
        <v>91</v>
      </c>
    </row>
    <row r="202" spans="1:7" s="650" customFormat="1" x14ac:dyDescent="0.3">
      <c r="A202" s="123">
        <v>45945</v>
      </c>
      <c r="B202" s="123" t="s">
        <v>211</v>
      </c>
      <c r="C202" s="120" t="s">
        <v>17</v>
      </c>
      <c r="D202" s="29" t="s">
        <v>1737</v>
      </c>
      <c r="E202" s="121">
        <v>-13578.66</v>
      </c>
      <c r="F202" s="55" t="s">
        <v>8</v>
      </c>
      <c r="G202" s="61" t="s">
        <v>91</v>
      </c>
    </row>
    <row r="203" spans="1:7" s="650" customFormat="1" x14ac:dyDescent="0.3">
      <c r="A203" s="123">
        <v>45945</v>
      </c>
      <c r="B203" s="123" t="s">
        <v>211</v>
      </c>
      <c r="C203" s="682" t="s">
        <v>64</v>
      </c>
      <c r="D203" s="29" t="s">
        <v>95</v>
      </c>
      <c r="E203" s="121">
        <v>-877.96</v>
      </c>
      <c r="F203" s="61" t="s">
        <v>8</v>
      </c>
      <c r="G203" s="61" t="s">
        <v>39</v>
      </c>
    </row>
    <row r="204" spans="1:7" s="650" customFormat="1" x14ac:dyDescent="0.3">
      <c r="A204" s="123">
        <v>45945</v>
      </c>
      <c r="B204" s="123" t="s">
        <v>211</v>
      </c>
      <c r="C204" s="120" t="s">
        <v>13</v>
      </c>
      <c r="D204" s="29" t="s">
        <v>87</v>
      </c>
      <c r="E204" s="121">
        <v>-1375</v>
      </c>
      <c r="F204" s="61" t="s">
        <v>8</v>
      </c>
      <c r="G204" s="61" t="s">
        <v>41</v>
      </c>
    </row>
    <row r="205" spans="1:7" s="650" customFormat="1" x14ac:dyDescent="0.3">
      <c r="A205" s="123">
        <v>45945</v>
      </c>
      <c r="B205" s="123" t="s">
        <v>211</v>
      </c>
      <c r="C205" s="682" t="s">
        <v>64</v>
      </c>
      <c r="D205" s="29" t="s">
        <v>65</v>
      </c>
      <c r="E205" s="121">
        <v>-432</v>
      </c>
      <c r="F205" s="55" t="s">
        <v>8</v>
      </c>
      <c r="G205" s="61" t="s">
        <v>39</v>
      </c>
    </row>
    <row r="206" spans="1:7" s="650" customFormat="1" x14ac:dyDescent="0.3">
      <c r="A206" s="271">
        <v>45945</v>
      </c>
      <c r="B206" s="271" t="s">
        <v>211</v>
      </c>
      <c r="C206" s="52" t="s">
        <v>71</v>
      </c>
      <c r="D206" s="68" t="s">
        <v>74</v>
      </c>
      <c r="E206" s="53">
        <v>-9.9</v>
      </c>
      <c r="F206" s="55" t="s">
        <v>8</v>
      </c>
      <c r="G206" s="54" t="s">
        <v>73</v>
      </c>
    </row>
    <row r="207" spans="1:7" s="650" customFormat="1" x14ac:dyDescent="0.3">
      <c r="A207" s="123">
        <v>45945</v>
      </c>
      <c r="B207" s="123" t="s">
        <v>211</v>
      </c>
      <c r="C207" s="682" t="s">
        <v>32</v>
      </c>
      <c r="D207" s="29" t="s">
        <v>103</v>
      </c>
      <c r="E207" s="121">
        <v>-244.5</v>
      </c>
      <c r="F207" s="61" t="s">
        <v>8</v>
      </c>
      <c r="G207" s="61" t="s">
        <v>68</v>
      </c>
    </row>
    <row r="208" spans="1:7" s="650" customFormat="1" x14ac:dyDescent="0.3">
      <c r="A208" s="123">
        <v>45945</v>
      </c>
      <c r="B208" s="123" t="s">
        <v>211</v>
      </c>
      <c r="C208" s="682" t="s">
        <v>104</v>
      </c>
      <c r="D208" s="29" t="s">
        <v>103</v>
      </c>
      <c r="E208" s="121">
        <v>-300</v>
      </c>
      <c r="F208" s="61" t="s">
        <v>8</v>
      </c>
      <c r="G208" s="61" t="s">
        <v>68</v>
      </c>
    </row>
    <row r="209" spans="1:7" s="650" customFormat="1" x14ac:dyDescent="0.3">
      <c r="A209" s="123">
        <v>45945</v>
      </c>
      <c r="B209" s="123" t="s">
        <v>211</v>
      </c>
      <c r="C209" s="682" t="s">
        <v>35</v>
      </c>
      <c r="D209" s="29" t="s">
        <v>103</v>
      </c>
      <c r="E209" s="121">
        <v>-300</v>
      </c>
      <c r="F209" s="61" t="s">
        <v>8</v>
      </c>
      <c r="G209" s="61" t="s">
        <v>68</v>
      </c>
    </row>
    <row r="210" spans="1:7" s="650" customFormat="1" x14ac:dyDescent="0.3">
      <c r="A210" s="123">
        <v>45945</v>
      </c>
      <c r="B210" s="123" t="s">
        <v>211</v>
      </c>
      <c r="C210" s="682" t="s">
        <v>105</v>
      </c>
      <c r="D210" s="29" t="s">
        <v>103</v>
      </c>
      <c r="E210" s="121">
        <v>-300</v>
      </c>
      <c r="F210" s="61" t="s">
        <v>8</v>
      </c>
      <c r="G210" s="61" t="s">
        <v>68</v>
      </c>
    </row>
    <row r="211" spans="1:7" s="650" customFormat="1" x14ac:dyDescent="0.3">
      <c r="A211" s="123">
        <v>45945</v>
      </c>
      <c r="B211" s="123" t="s">
        <v>211</v>
      </c>
      <c r="C211" s="682" t="s">
        <v>106</v>
      </c>
      <c r="D211" s="29" t="s">
        <v>103</v>
      </c>
      <c r="E211" s="121">
        <v>-275</v>
      </c>
      <c r="F211" s="61" t="s">
        <v>8</v>
      </c>
      <c r="G211" s="61" t="s">
        <v>68</v>
      </c>
    </row>
    <row r="212" spans="1:7" s="650" customFormat="1" x14ac:dyDescent="0.3">
      <c r="A212" s="123">
        <v>45945</v>
      </c>
      <c r="B212" s="123" t="s">
        <v>211</v>
      </c>
      <c r="C212" s="682" t="s">
        <v>71</v>
      </c>
      <c r="D212" s="29" t="s">
        <v>103</v>
      </c>
      <c r="E212" s="121">
        <v>-300</v>
      </c>
      <c r="F212" s="61" t="s">
        <v>8</v>
      </c>
      <c r="G212" s="61" t="s">
        <v>68</v>
      </c>
    </row>
    <row r="213" spans="1:7" s="650" customFormat="1" x14ac:dyDescent="0.3">
      <c r="A213" s="123">
        <v>45945</v>
      </c>
      <c r="B213" s="123" t="s">
        <v>211</v>
      </c>
      <c r="C213" s="682" t="s">
        <v>107</v>
      </c>
      <c r="D213" s="29" t="s">
        <v>103</v>
      </c>
      <c r="E213" s="121">
        <v>-300</v>
      </c>
      <c r="F213" s="61" t="s">
        <v>8</v>
      </c>
      <c r="G213" s="61" t="s">
        <v>68</v>
      </c>
    </row>
    <row r="214" spans="1:7" s="650" customFormat="1" x14ac:dyDescent="0.3">
      <c r="A214" s="123">
        <v>45945</v>
      </c>
      <c r="B214" s="123" t="s">
        <v>211</v>
      </c>
      <c r="C214" s="682" t="s">
        <v>108</v>
      </c>
      <c r="D214" s="29" t="s">
        <v>103</v>
      </c>
      <c r="E214" s="121">
        <v>-350</v>
      </c>
      <c r="F214" s="61" t="s">
        <v>8</v>
      </c>
      <c r="G214" s="61" t="s">
        <v>68</v>
      </c>
    </row>
    <row r="215" spans="1:7" s="650" customFormat="1" x14ac:dyDescent="0.3">
      <c r="A215" s="123">
        <v>45945</v>
      </c>
      <c r="B215" s="123" t="s">
        <v>211</v>
      </c>
      <c r="C215" s="682" t="s">
        <v>109</v>
      </c>
      <c r="D215" s="29" t="s">
        <v>103</v>
      </c>
      <c r="E215" s="121">
        <v>-373.51</v>
      </c>
      <c r="F215" s="61" t="s">
        <v>8</v>
      </c>
      <c r="G215" s="61" t="s">
        <v>68</v>
      </c>
    </row>
    <row r="216" spans="1:7" s="650" customFormat="1" x14ac:dyDescent="0.3">
      <c r="A216" s="123">
        <v>45945</v>
      </c>
      <c r="B216" s="123" t="s">
        <v>211</v>
      </c>
      <c r="C216" s="120" t="s">
        <v>6</v>
      </c>
      <c r="D216" s="29" t="s">
        <v>89</v>
      </c>
      <c r="E216" s="756">
        <v>-8138.32</v>
      </c>
      <c r="F216" s="61" t="s">
        <v>8</v>
      </c>
      <c r="G216" s="61" t="s">
        <v>63</v>
      </c>
    </row>
    <row r="217" spans="1:7" s="650" customFormat="1" x14ac:dyDescent="0.3">
      <c r="A217" s="123">
        <v>45945</v>
      </c>
      <c r="B217" s="123" t="s">
        <v>211</v>
      </c>
      <c r="C217" s="120" t="s">
        <v>6</v>
      </c>
      <c r="D217" s="29" t="s">
        <v>566</v>
      </c>
      <c r="E217" s="121">
        <v>-2012.45</v>
      </c>
      <c r="F217" s="55" t="s">
        <v>8</v>
      </c>
      <c r="G217" s="54" t="s">
        <v>46</v>
      </c>
    </row>
    <row r="218" spans="1:7" s="650" customFormat="1" x14ac:dyDescent="0.3">
      <c r="A218" s="123">
        <v>45945</v>
      </c>
      <c r="B218" s="123" t="s">
        <v>211</v>
      </c>
      <c r="C218" s="120" t="s">
        <v>6</v>
      </c>
      <c r="D218" s="29" t="s">
        <v>92</v>
      </c>
      <c r="E218" s="121">
        <v>-171.1</v>
      </c>
      <c r="F218" s="55" t="s">
        <v>8</v>
      </c>
      <c r="G218" s="61" t="s">
        <v>29</v>
      </c>
    </row>
    <row r="219" spans="1:7" s="650" customFormat="1" x14ac:dyDescent="0.3">
      <c r="A219" s="123">
        <v>45945</v>
      </c>
      <c r="B219" s="123" t="s">
        <v>211</v>
      </c>
      <c r="C219" s="120" t="s">
        <v>44</v>
      </c>
      <c r="D219" s="29" t="s">
        <v>92</v>
      </c>
      <c r="E219" s="121">
        <v>-171.1</v>
      </c>
      <c r="F219" s="55" t="s">
        <v>8</v>
      </c>
      <c r="G219" s="61" t="s">
        <v>29</v>
      </c>
    </row>
    <row r="220" spans="1:7" s="650" customFormat="1" x14ac:dyDescent="0.3">
      <c r="A220" s="123">
        <v>45945</v>
      </c>
      <c r="B220" s="123" t="s">
        <v>211</v>
      </c>
      <c r="C220" s="120" t="s">
        <v>13</v>
      </c>
      <c r="D220" s="29" t="s">
        <v>92</v>
      </c>
      <c r="E220" s="121">
        <v>-171.1</v>
      </c>
      <c r="F220" s="55" t="s">
        <v>8</v>
      </c>
      <c r="G220" s="61" t="s">
        <v>29</v>
      </c>
    </row>
    <row r="221" spans="1:7" s="650" customFormat="1" x14ac:dyDescent="0.3">
      <c r="A221" s="123">
        <v>45945</v>
      </c>
      <c r="B221" s="123" t="s">
        <v>211</v>
      </c>
      <c r="C221" s="120" t="s">
        <v>648</v>
      </c>
      <c r="D221" s="29" t="s">
        <v>92</v>
      </c>
      <c r="E221" s="121">
        <v>-171.1</v>
      </c>
      <c r="F221" s="55" t="s">
        <v>8</v>
      </c>
      <c r="G221" s="61" t="s">
        <v>29</v>
      </c>
    </row>
    <row r="222" spans="1:7" s="650" customFormat="1" x14ac:dyDescent="0.3">
      <c r="A222" s="123">
        <v>45945</v>
      </c>
      <c r="B222" s="123" t="s">
        <v>211</v>
      </c>
      <c r="C222" s="120" t="s">
        <v>31</v>
      </c>
      <c r="D222" s="29" t="s">
        <v>92</v>
      </c>
      <c r="E222" s="121">
        <v>-171.1</v>
      </c>
      <c r="F222" s="55" t="s">
        <v>8</v>
      </c>
      <c r="G222" s="61" t="s">
        <v>29</v>
      </c>
    </row>
    <row r="223" spans="1:7" s="650" customFormat="1" x14ac:dyDescent="0.3">
      <c r="A223" s="123">
        <v>45945</v>
      </c>
      <c r="B223" s="123" t="s">
        <v>211</v>
      </c>
      <c r="C223" s="120" t="s">
        <v>64</v>
      </c>
      <c r="D223" s="29" t="s">
        <v>92</v>
      </c>
      <c r="E223" s="121">
        <v>-171.1</v>
      </c>
      <c r="F223" s="55" t="s">
        <v>8</v>
      </c>
      <c r="G223" s="61" t="s">
        <v>29</v>
      </c>
    </row>
    <row r="224" spans="1:7" s="650" customFormat="1" x14ac:dyDescent="0.3">
      <c r="A224" s="123">
        <v>45945</v>
      </c>
      <c r="B224" s="123" t="s">
        <v>211</v>
      </c>
      <c r="C224" s="698" t="s">
        <v>17</v>
      </c>
      <c r="D224" s="29" t="s">
        <v>92</v>
      </c>
      <c r="E224" s="121">
        <v>-171.1</v>
      </c>
      <c r="F224" s="55" t="s">
        <v>8</v>
      </c>
      <c r="G224" s="61" t="s">
        <v>29</v>
      </c>
    </row>
    <row r="225" spans="1:7" s="650" customFormat="1" x14ac:dyDescent="0.3">
      <c r="A225" s="123">
        <v>45945</v>
      </c>
      <c r="B225" s="123" t="s">
        <v>211</v>
      </c>
      <c r="C225" s="698" t="s">
        <v>647</v>
      </c>
      <c r="D225" s="29" t="s">
        <v>92</v>
      </c>
      <c r="E225" s="121">
        <v>-171.1</v>
      </c>
      <c r="F225" s="55" t="s">
        <v>8</v>
      </c>
      <c r="G225" s="61" t="s">
        <v>29</v>
      </c>
    </row>
    <row r="226" spans="1:7" s="650" customFormat="1" x14ac:dyDescent="0.3">
      <c r="A226" s="123">
        <v>45945</v>
      </c>
      <c r="B226" s="123" t="s">
        <v>211</v>
      </c>
      <c r="C226" s="698" t="s">
        <v>30</v>
      </c>
      <c r="D226" s="29" t="s">
        <v>92</v>
      </c>
      <c r="E226" s="121">
        <v>-171.1</v>
      </c>
      <c r="F226" s="55" t="s">
        <v>8</v>
      </c>
      <c r="G226" s="61" t="s">
        <v>29</v>
      </c>
    </row>
    <row r="227" spans="1:7" s="650" customFormat="1" x14ac:dyDescent="0.3">
      <c r="A227" s="123">
        <v>45945</v>
      </c>
      <c r="B227" s="123" t="s">
        <v>211</v>
      </c>
      <c r="C227" s="698" t="s">
        <v>93</v>
      </c>
      <c r="D227" s="29" t="s">
        <v>92</v>
      </c>
      <c r="E227" s="121">
        <v>-171.1</v>
      </c>
      <c r="F227" s="55" t="s">
        <v>8</v>
      </c>
      <c r="G227" s="61" t="s">
        <v>29</v>
      </c>
    </row>
    <row r="228" spans="1:7" s="650" customFormat="1" x14ac:dyDescent="0.3">
      <c r="A228" s="123">
        <v>45945</v>
      </c>
      <c r="B228" s="123" t="s">
        <v>211</v>
      </c>
      <c r="C228" s="698" t="s">
        <v>33</v>
      </c>
      <c r="D228" s="520" t="s">
        <v>92</v>
      </c>
      <c r="E228" s="121">
        <v>-171.1</v>
      </c>
      <c r="F228" s="55" t="s">
        <v>8</v>
      </c>
      <c r="G228" s="61" t="s">
        <v>29</v>
      </c>
    </row>
    <row r="229" spans="1:7" s="650" customFormat="1" x14ac:dyDescent="0.3">
      <c r="A229" s="123">
        <v>45945</v>
      </c>
      <c r="B229" s="123" t="s">
        <v>211</v>
      </c>
      <c r="C229" s="698" t="s">
        <v>94</v>
      </c>
      <c r="D229" s="520" t="s">
        <v>92</v>
      </c>
      <c r="E229" s="121">
        <v>-171.1</v>
      </c>
      <c r="F229" s="55" t="s">
        <v>8</v>
      </c>
      <c r="G229" s="61" t="s">
        <v>29</v>
      </c>
    </row>
    <row r="230" spans="1:7" s="650" customFormat="1" x14ac:dyDescent="0.3">
      <c r="A230" s="123">
        <v>45945</v>
      </c>
      <c r="B230" s="123" t="s">
        <v>211</v>
      </c>
      <c r="C230" s="698" t="s">
        <v>32</v>
      </c>
      <c r="D230" s="29" t="s">
        <v>92</v>
      </c>
      <c r="E230" s="121">
        <v>-171.1</v>
      </c>
      <c r="F230" s="55" t="s">
        <v>8</v>
      </c>
      <c r="G230" s="61" t="s">
        <v>29</v>
      </c>
    </row>
    <row r="231" spans="1:7" s="650" customFormat="1" x14ac:dyDescent="0.3">
      <c r="A231" s="123">
        <v>45945</v>
      </c>
      <c r="B231" s="123" t="s">
        <v>211</v>
      </c>
      <c r="C231" s="698" t="s">
        <v>34</v>
      </c>
      <c r="D231" s="29" t="s">
        <v>92</v>
      </c>
      <c r="E231" s="121">
        <v>-171.1</v>
      </c>
      <c r="F231" s="55" t="s">
        <v>8</v>
      </c>
      <c r="G231" s="61" t="s">
        <v>29</v>
      </c>
    </row>
    <row r="232" spans="1:7" s="650" customFormat="1" x14ac:dyDescent="0.3">
      <c r="A232" s="123">
        <v>45945</v>
      </c>
      <c r="B232" s="123" t="s">
        <v>211</v>
      </c>
      <c r="C232" s="52" t="s">
        <v>17</v>
      </c>
      <c r="D232" s="68" t="s">
        <v>84</v>
      </c>
      <c r="E232" s="53">
        <v>-5127.8599999999997</v>
      </c>
      <c r="F232" s="55" t="s">
        <v>8</v>
      </c>
      <c r="G232" s="54" t="s">
        <v>75</v>
      </c>
    </row>
    <row r="233" spans="1:7" s="650" customFormat="1" x14ac:dyDescent="0.3">
      <c r="A233" s="123">
        <v>45945</v>
      </c>
      <c r="B233" s="123" t="s">
        <v>211</v>
      </c>
      <c r="C233" s="52" t="s">
        <v>17</v>
      </c>
      <c r="D233" s="68" t="s">
        <v>1803</v>
      </c>
      <c r="E233" s="53">
        <v>-107</v>
      </c>
      <c r="F233" s="55" t="s">
        <v>8</v>
      </c>
      <c r="G233" s="54" t="s">
        <v>111</v>
      </c>
    </row>
    <row r="234" spans="1:7" s="650" customFormat="1" x14ac:dyDescent="0.3">
      <c r="A234" s="123">
        <v>45945</v>
      </c>
      <c r="B234" s="123" t="s">
        <v>211</v>
      </c>
      <c r="C234" s="757" t="s">
        <v>44</v>
      </c>
      <c r="D234" s="768" t="s">
        <v>1356</v>
      </c>
      <c r="E234" s="758">
        <v>-130</v>
      </c>
      <c r="F234" s="55" t="s">
        <v>8</v>
      </c>
      <c r="G234" s="61" t="s">
        <v>82</v>
      </c>
    </row>
    <row r="235" spans="1:7" s="650" customFormat="1" x14ac:dyDescent="0.3">
      <c r="A235" s="123">
        <v>45945</v>
      </c>
      <c r="B235" s="123" t="s">
        <v>211</v>
      </c>
      <c r="C235" s="757" t="s">
        <v>25</v>
      </c>
      <c r="D235" s="768" t="s">
        <v>384</v>
      </c>
      <c r="E235" s="758">
        <v>-287.7</v>
      </c>
      <c r="F235" s="55" t="s">
        <v>8</v>
      </c>
      <c r="G235" s="61" t="s">
        <v>82</v>
      </c>
    </row>
    <row r="236" spans="1:7" s="650" customFormat="1" x14ac:dyDescent="0.3">
      <c r="A236" s="123">
        <v>45945</v>
      </c>
      <c r="B236" s="123" t="s">
        <v>211</v>
      </c>
      <c r="C236" s="757" t="s">
        <v>32</v>
      </c>
      <c r="D236" s="768" t="s">
        <v>26</v>
      </c>
      <c r="E236" s="758">
        <v>-55</v>
      </c>
      <c r="F236" s="55" t="s">
        <v>8</v>
      </c>
      <c r="G236" s="61" t="s">
        <v>82</v>
      </c>
    </row>
    <row r="237" spans="1:7" s="650" customFormat="1" x14ac:dyDescent="0.3">
      <c r="A237" s="123">
        <v>45945</v>
      </c>
      <c r="B237" s="123" t="s">
        <v>211</v>
      </c>
      <c r="C237" s="757" t="s">
        <v>71</v>
      </c>
      <c r="D237" s="768" t="s">
        <v>498</v>
      </c>
      <c r="E237" s="758">
        <v>-85</v>
      </c>
      <c r="F237" s="55" t="s">
        <v>8</v>
      </c>
      <c r="G237" s="61" t="s">
        <v>82</v>
      </c>
    </row>
    <row r="238" spans="1:7" s="650" customFormat="1" x14ac:dyDescent="0.3">
      <c r="A238" s="123">
        <v>45945</v>
      </c>
      <c r="B238" s="123" t="s">
        <v>211</v>
      </c>
      <c r="C238" s="757" t="s">
        <v>17</v>
      </c>
      <c r="D238" s="768" t="s">
        <v>499</v>
      </c>
      <c r="E238" s="758">
        <v>-273.7</v>
      </c>
      <c r="F238" s="55" t="s">
        <v>8</v>
      </c>
      <c r="G238" s="61" t="s">
        <v>82</v>
      </c>
    </row>
    <row r="239" spans="1:7" s="650" customFormat="1" x14ac:dyDescent="0.3">
      <c r="A239" s="123">
        <v>45945</v>
      </c>
      <c r="B239" s="123" t="s">
        <v>211</v>
      </c>
      <c r="C239" s="757" t="s">
        <v>17</v>
      </c>
      <c r="D239" s="768" t="s">
        <v>491</v>
      </c>
      <c r="E239" s="758">
        <v>-115</v>
      </c>
      <c r="F239" s="55" t="s">
        <v>8</v>
      </c>
      <c r="G239" s="61" t="s">
        <v>82</v>
      </c>
    </row>
    <row r="240" spans="1:7" s="650" customFormat="1" x14ac:dyDescent="0.3">
      <c r="A240" s="123">
        <v>45945</v>
      </c>
      <c r="B240" s="123" t="s">
        <v>211</v>
      </c>
      <c r="C240" s="52" t="s">
        <v>71</v>
      </c>
      <c r="D240" s="68" t="s">
        <v>1026</v>
      </c>
      <c r="E240" s="53">
        <v>-900</v>
      </c>
      <c r="F240" s="55" t="s">
        <v>8</v>
      </c>
      <c r="G240" s="54" t="s">
        <v>1064</v>
      </c>
    </row>
    <row r="241" spans="1:7" s="650" customFormat="1" x14ac:dyDescent="0.3">
      <c r="A241" s="51">
        <v>45945</v>
      </c>
      <c r="B241" s="123" t="s">
        <v>211</v>
      </c>
      <c r="C241" s="52" t="s">
        <v>6</v>
      </c>
      <c r="D241" s="68" t="s">
        <v>1559</v>
      </c>
      <c r="E241" s="53">
        <v>-675.37</v>
      </c>
      <c r="F241" s="54" t="s">
        <v>8</v>
      </c>
      <c r="G241" s="54" t="s">
        <v>186</v>
      </c>
    </row>
    <row r="242" spans="1:7" s="650" customFormat="1" x14ac:dyDescent="0.3">
      <c r="A242" s="51">
        <v>45945</v>
      </c>
      <c r="B242" s="123" t="s">
        <v>211</v>
      </c>
      <c r="C242" s="52" t="s">
        <v>6</v>
      </c>
      <c r="D242" s="68" t="s">
        <v>1560</v>
      </c>
      <c r="E242" s="53">
        <v>-200</v>
      </c>
      <c r="F242" s="54" t="s">
        <v>8</v>
      </c>
      <c r="G242" s="54" t="s">
        <v>186</v>
      </c>
    </row>
    <row r="243" spans="1:7" s="650" customFormat="1" x14ac:dyDescent="0.3">
      <c r="A243" s="51">
        <v>45945</v>
      </c>
      <c r="B243" s="123" t="s">
        <v>211</v>
      </c>
      <c r="C243" s="52" t="s">
        <v>6</v>
      </c>
      <c r="D243" s="68" t="s">
        <v>1561</v>
      </c>
      <c r="E243" s="53">
        <v>-3000</v>
      </c>
      <c r="F243" s="54" t="s">
        <v>8</v>
      </c>
      <c r="G243" s="54" t="s">
        <v>186</v>
      </c>
    </row>
    <row r="244" spans="1:7" s="650" customFormat="1" x14ac:dyDescent="0.3">
      <c r="A244" s="759">
        <v>45945</v>
      </c>
      <c r="B244" s="368" t="s">
        <v>211</v>
      </c>
      <c r="C244" s="760" t="s">
        <v>6</v>
      </c>
      <c r="D244" s="68" t="s">
        <v>618</v>
      </c>
      <c r="E244" s="53">
        <v>-10000</v>
      </c>
      <c r="F244" s="54" t="s">
        <v>8</v>
      </c>
      <c r="G244" s="54" t="s">
        <v>186</v>
      </c>
    </row>
    <row r="245" spans="1:7" s="650" customFormat="1" x14ac:dyDescent="0.3">
      <c r="A245" s="51">
        <v>45945</v>
      </c>
      <c r="B245" s="123" t="s">
        <v>211</v>
      </c>
      <c r="C245" s="698" t="s">
        <v>104</v>
      </c>
      <c r="D245" s="721" t="s">
        <v>619</v>
      </c>
      <c r="E245" s="53">
        <v>-2000</v>
      </c>
      <c r="F245" s="54" t="s">
        <v>8</v>
      </c>
      <c r="G245" s="54" t="s">
        <v>186</v>
      </c>
    </row>
    <row r="246" spans="1:7" x14ac:dyDescent="0.3">
      <c r="E246" s="25">
        <f>SUM(E198:E245)</f>
        <v>-132826.24000000008</v>
      </c>
    </row>
    <row r="250" spans="1:7" x14ac:dyDescent="0.3">
      <c r="A250" s="1138" t="s">
        <v>1852</v>
      </c>
      <c r="B250" s="1138"/>
      <c r="C250" s="1138"/>
      <c r="D250" s="1138"/>
      <c r="E250" s="1138"/>
      <c r="F250" s="1138"/>
      <c r="G250" s="1138"/>
    </row>
    <row r="251" spans="1:7" ht="36" customHeight="1" x14ac:dyDescent="0.3">
      <c r="A251" s="1138"/>
      <c r="B251" s="1138"/>
      <c r="C251" s="1138"/>
      <c r="D251" s="1138"/>
      <c r="E251" s="1138"/>
      <c r="F251" s="1138"/>
      <c r="G251" s="1138"/>
    </row>
    <row r="252" spans="1:7" x14ac:dyDescent="0.3">
      <c r="A252" s="127" t="s">
        <v>0</v>
      </c>
      <c r="B252" s="127" t="s">
        <v>1038</v>
      </c>
      <c r="C252" s="58" t="s">
        <v>1</v>
      </c>
      <c r="D252" s="699" t="s">
        <v>2</v>
      </c>
      <c r="E252" s="59" t="s">
        <v>3</v>
      </c>
      <c r="F252" s="59" t="s">
        <v>4</v>
      </c>
      <c r="G252" s="280" t="s">
        <v>5</v>
      </c>
    </row>
    <row r="253" spans="1:7" x14ac:dyDescent="0.3">
      <c r="A253" s="123">
        <v>45946</v>
      </c>
      <c r="B253" s="123" t="s">
        <v>211</v>
      </c>
      <c r="C253" s="720" t="s">
        <v>44</v>
      </c>
      <c r="D253" s="29" t="s">
        <v>1835</v>
      </c>
      <c r="E253" s="121">
        <v>-4492.67</v>
      </c>
      <c r="F253" s="55" t="s">
        <v>8</v>
      </c>
      <c r="G253" s="649" t="s">
        <v>124</v>
      </c>
    </row>
    <row r="254" spans="1:7" x14ac:dyDescent="0.3">
      <c r="A254" s="123">
        <v>45946</v>
      </c>
      <c r="B254" s="123" t="s">
        <v>211</v>
      </c>
      <c r="C254" s="720" t="s">
        <v>25</v>
      </c>
      <c r="D254" s="29" t="s">
        <v>1836</v>
      </c>
      <c r="E254" s="121">
        <v>-1105.31</v>
      </c>
      <c r="F254" s="55" t="s">
        <v>8</v>
      </c>
      <c r="G254" s="649" t="s">
        <v>124</v>
      </c>
    </row>
    <row r="255" spans="1:7" x14ac:dyDescent="0.3">
      <c r="A255" s="123">
        <v>45946</v>
      </c>
      <c r="B255" s="123" t="s">
        <v>211</v>
      </c>
      <c r="C255" s="720" t="s">
        <v>31</v>
      </c>
      <c r="D255" s="29" t="s">
        <v>1837</v>
      </c>
      <c r="E255" s="121">
        <v>-1375.8</v>
      </c>
      <c r="F255" s="55" t="s">
        <v>8</v>
      </c>
      <c r="G255" s="649" t="s">
        <v>124</v>
      </c>
    </row>
    <row r="256" spans="1:7" x14ac:dyDescent="0.3">
      <c r="A256" s="123">
        <v>45946</v>
      </c>
      <c r="B256" s="123" t="s">
        <v>211</v>
      </c>
      <c r="C256" s="720" t="s">
        <v>32</v>
      </c>
      <c r="D256" s="29" t="s">
        <v>1838</v>
      </c>
      <c r="E256" s="121">
        <v>-1418.32</v>
      </c>
      <c r="F256" s="55" t="s">
        <v>8</v>
      </c>
      <c r="G256" s="649" t="s">
        <v>124</v>
      </c>
    </row>
    <row r="257" spans="1:7" x14ac:dyDescent="0.3">
      <c r="A257" s="123">
        <v>45946</v>
      </c>
      <c r="B257" s="123" t="s">
        <v>211</v>
      </c>
      <c r="C257" s="720" t="s">
        <v>33</v>
      </c>
      <c r="D257" s="29" t="s">
        <v>1839</v>
      </c>
      <c r="E257" s="121">
        <v>-5040.0600000000004</v>
      </c>
      <c r="F257" s="55" t="s">
        <v>8</v>
      </c>
      <c r="G257" s="649" t="s">
        <v>124</v>
      </c>
    </row>
    <row r="258" spans="1:7" x14ac:dyDescent="0.3">
      <c r="A258" s="123">
        <v>45946</v>
      </c>
      <c r="B258" s="123" t="s">
        <v>211</v>
      </c>
      <c r="C258" s="720" t="s">
        <v>34</v>
      </c>
      <c r="D258" s="29" t="s">
        <v>1840</v>
      </c>
      <c r="E258" s="121">
        <v>-5232.74</v>
      </c>
      <c r="F258" s="55" t="s">
        <v>8</v>
      </c>
      <c r="G258" s="649" t="s">
        <v>124</v>
      </c>
    </row>
    <row r="259" spans="1:7" x14ac:dyDescent="0.3">
      <c r="A259" s="123">
        <v>45946</v>
      </c>
      <c r="B259" s="123" t="s">
        <v>211</v>
      </c>
      <c r="C259" s="720" t="s">
        <v>30</v>
      </c>
      <c r="D259" s="29" t="s">
        <v>1841</v>
      </c>
      <c r="E259" s="121">
        <v>-884.67</v>
      </c>
      <c r="F259" s="55" t="s">
        <v>8</v>
      </c>
      <c r="G259" s="649" t="s">
        <v>124</v>
      </c>
    </row>
    <row r="260" spans="1:7" x14ac:dyDescent="0.3">
      <c r="A260" s="123">
        <v>45946</v>
      </c>
      <c r="B260" s="123" t="s">
        <v>211</v>
      </c>
      <c r="C260" s="698" t="s">
        <v>17</v>
      </c>
      <c r="D260" s="68" t="s">
        <v>1853</v>
      </c>
      <c r="E260" s="121">
        <v>-13668.57</v>
      </c>
      <c r="F260" s="55" t="s">
        <v>8</v>
      </c>
      <c r="G260" s="649" t="s">
        <v>124</v>
      </c>
    </row>
    <row r="261" spans="1:7" x14ac:dyDescent="0.3">
      <c r="A261" s="123">
        <v>45946</v>
      </c>
      <c r="B261" s="123" t="s">
        <v>211</v>
      </c>
      <c r="C261" s="52" t="s">
        <v>31</v>
      </c>
      <c r="D261" s="68" t="s">
        <v>1842</v>
      </c>
      <c r="E261" s="53">
        <v>-7240.94</v>
      </c>
      <c r="F261" s="55" t="s">
        <v>8</v>
      </c>
      <c r="G261" s="649" t="s">
        <v>124</v>
      </c>
    </row>
    <row r="262" spans="1:7" x14ac:dyDescent="0.3">
      <c r="A262" s="123">
        <v>45946</v>
      </c>
      <c r="B262" s="123" t="s">
        <v>211</v>
      </c>
      <c r="C262" s="52" t="s">
        <v>6</v>
      </c>
      <c r="D262" s="697" t="s">
        <v>1843</v>
      </c>
      <c r="E262" s="64">
        <v>-10349.69</v>
      </c>
      <c r="F262" s="65" t="s">
        <v>8</v>
      </c>
      <c r="G262" s="761" t="s">
        <v>124</v>
      </c>
    </row>
    <row r="263" spans="1:7" x14ac:dyDescent="0.3">
      <c r="A263" s="123">
        <v>45946</v>
      </c>
      <c r="B263" s="123" t="s">
        <v>211</v>
      </c>
      <c r="C263" s="52" t="s">
        <v>32</v>
      </c>
      <c r="D263" s="697" t="s">
        <v>1844</v>
      </c>
      <c r="E263" s="64">
        <v>-7599.89</v>
      </c>
      <c r="F263" s="65" t="s">
        <v>8</v>
      </c>
      <c r="G263" s="761" t="s">
        <v>124</v>
      </c>
    </row>
    <row r="264" spans="1:7" x14ac:dyDescent="0.3">
      <c r="A264" s="123">
        <v>45946</v>
      </c>
      <c r="B264" s="123" t="s">
        <v>211</v>
      </c>
      <c r="C264" s="648" t="s">
        <v>71</v>
      </c>
      <c r="D264" s="68" t="s">
        <v>1719</v>
      </c>
      <c r="E264" s="53">
        <v>-2851.4</v>
      </c>
      <c r="F264" s="55" t="s">
        <v>8</v>
      </c>
      <c r="G264" s="649" t="s">
        <v>124</v>
      </c>
    </row>
    <row r="265" spans="1:7" x14ac:dyDescent="0.3">
      <c r="A265" s="123">
        <v>45946</v>
      </c>
      <c r="B265" s="123" t="s">
        <v>211</v>
      </c>
      <c r="C265" s="52" t="s">
        <v>17</v>
      </c>
      <c r="D265" s="697" t="s">
        <v>1845</v>
      </c>
      <c r="E265" s="64">
        <v>-16742.48</v>
      </c>
      <c r="F265" s="65" t="s">
        <v>8</v>
      </c>
      <c r="G265" s="761" t="s">
        <v>124</v>
      </c>
    </row>
    <row r="266" spans="1:7" x14ac:dyDescent="0.3">
      <c r="A266" s="123">
        <v>45946</v>
      </c>
      <c r="B266" s="123" t="s">
        <v>211</v>
      </c>
      <c r="C266" s="120" t="s">
        <v>6</v>
      </c>
      <c r="D266" s="29" t="s">
        <v>1846</v>
      </c>
      <c r="E266" s="121">
        <v>-35000</v>
      </c>
      <c r="F266" s="55" t="s">
        <v>8</v>
      </c>
      <c r="G266" s="649" t="s">
        <v>124</v>
      </c>
    </row>
    <row r="267" spans="1:7" x14ac:dyDescent="0.3">
      <c r="A267" s="123">
        <v>45946</v>
      </c>
      <c r="B267" s="123" t="s">
        <v>211</v>
      </c>
      <c r="C267" s="120" t="s">
        <v>17</v>
      </c>
      <c r="D267" s="68" t="s">
        <v>1847</v>
      </c>
      <c r="E267" s="121">
        <v>-5988.61</v>
      </c>
      <c r="F267" s="55" t="s">
        <v>8</v>
      </c>
      <c r="G267" s="649" t="s">
        <v>124</v>
      </c>
    </row>
    <row r="268" spans="1:7" x14ac:dyDescent="0.3">
      <c r="A268" s="123">
        <v>45946</v>
      </c>
      <c r="B268" s="123" t="s">
        <v>211</v>
      </c>
      <c r="C268" s="120" t="s">
        <v>17</v>
      </c>
      <c r="D268" s="68" t="s">
        <v>1848</v>
      </c>
      <c r="E268" s="121">
        <v>-4434.6099999999997</v>
      </c>
      <c r="F268" s="55" t="s">
        <v>8</v>
      </c>
      <c r="G268" s="649" t="s">
        <v>124</v>
      </c>
    </row>
    <row r="269" spans="1:7" x14ac:dyDescent="0.3">
      <c r="A269" s="271">
        <v>45946</v>
      </c>
      <c r="B269" s="271" t="s">
        <v>211</v>
      </c>
      <c r="C269" s="757" t="s">
        <v>17</v>
      </c>
      <c r="D269" s="768" t="s">
        <v>1805</v>
      </c>
      <c r="E269" s="758">
        <v>-3600</v>
      </c>
      <c r="F269" s="55" t="s">
        <v>8</v>
      </c>
      <c r="G269" s="61" t="s">
        <v>78</v>
      </c>
    </row>
    <row r="270" spans="1:7" x14ac:dyDescent="0.3">
      <c r="A270" s="271">
        <v>45946</v>
      </c>
      <c r="B270" s="271" t="s">
        <v>211</v>
      </c>
      <c r="C270" s="757" t="s">
        <v>17</v>
      </c>
      <c r="D270" s="768" t="s">
        <v>1806</v>
      </c>
      <c r="E270" s="758">
        <v>-20100</v>
      </c>
      <c r="F270" s="55" t="s">
        <v>8</v>
      </c>
      <c r="G270" s="61" t="s">
        <v>78</v>
      </c>
    </row>
    <row r="271" spans="1:7" x14ac:dyDescent="0.3">
      <c r="A271" s="271">
        <v>45946</v>
      </c>
      <c r="B271" s="123" t="s">
        <v>211</v>
      </c>
      <c r="C271" s="757" t="s">
        <v>17</v>
      </c>
      <c r="D271" s="768" t="s">
        <v>1807</v>
      </c>
      <c r="E271" s="758">
        <v>-17100</v>
      </c>
      <c r="F271" s="55" t="s">
        <v>8</v>
      </c>
      <c r="G271" s="61" t="s">
        <v>78</v>
      </c>
    </row>
    <row r="272" spans="1:7" x14ac:dyDescent="0.3">
      <c r="A272" s="123">
        <v>45946</v>
      </c>
      <c r="B272" s="123" t="s">
        <v>211</v>
      </c>
      <c r="C272" s="52" t="s">
        <v>31</v>
      </c>
      <c r="D272" s="68" t="s">
        <v>197</v>
      </c>
      <c r="E272" s="53">
        <v>-1239.92</v>
      </c>
      <c r="F272" s="55" t="s">
        <v>8</v>
      </c>
      <c r="G272" s="54" t="s">
        <v>85</v>
      </c>
    </row>
    <row r="273" spans="1:7" x14ac:dyDescent="0.3">
      <c r="A273" s="123">
        <v>45946</v>
      </c>
      <c r="B273" s="123" t="s">
        <v>211</v>
      </c>
      <c r="C273" s="52" t="s">
        <v>6</v>
      </c>
      <c r="D273" s="68" t="s">
        <v>197</v>
      </c>
      <c r="E273" s="53">
        <v>-1627.39</v>
      </c>
      <c r="F273" s="55" t="s">
        <v>8</v>
      </c>
      <c r="G273" s="54" t="s">
        <v>85</v>
      </c>
    </row>
    <row r="274" spans="1:7" x14ac:dyDescent="0.3">
      <c r="A274" s="123">
        <v>45946</v>
      </c>
      <c r="B274" s="123" t="s">
        <v>211</v>
      </c>
      <c r="C274" s="52" t="s">
        <v>44</v>
      </c>
      <c r="D274" s="68" t="s">
        <v>197</v>
      </c>
      <c r="E274" s="53">
        <v>-1162.42</v>
      </c>
      <c r="F274" s="55" t="s">
        <v>8</v>
      </c>
      <c r="G274" s="54" t="s">
        <v>85</v>
      </c>
    </row>
    <row r="275" spans="1:7" x14ac:dyDescent="0.3">
      <c r="A275" s="123">
        <v>45946</v>
      </c>
      <c r="B275" s="123" t="s">
        <v>211</v>
      </c>
      <c r="C275" s="52" t="s">
        <v>44</v>
      </c>
      <c r="D275" s="68" t="s">
        <v>197</v>
      </c>
      <c r="E275" s="53">
        <v>-3099.8</v>
      </c>
      <c r="F275" s="55" t="s">
        <v>8</v>
      </c>
      <c r="G275" s="54" t="s">
        <v>85</v>
      </c>
    </row>
    <row r="276" spans="1:7" x14ac:dyDescent="0.3">
      <c r="A276" s="123">
        <v>45946</v>
      </c>
      <c r="B276" s="123" t="s">
        <v>211</v>
      </c>
      <c r="C276" s="52" t="s">
        <v>25</v>
      </c>
      <c r="D276" s="68" t="s">
        <v>197</v>
      </c>
      <c r="E276" s="53">
        <v>-3564.77</v>
      </c>
      <c r="F276" s="55" t="s">
        <v>8</v>
      </c>
      <c r="G276" s="54" t="s">
        <v>85</v>
      </c>
    </row>
    <row r="277" spans="1:7" x14ac:dyDescent="0.3">
      <c r="A277" s="123">
        <v>45946</v>
      </c>
      <c r="B277" s="123" t="s">
        <v>211</v>
      </c>
      <c r="C277" s="52" t="s">
        <v>33</v>
      </c>
      <c r="D277" s="68" t="s">
        <v>197</v>
      </c>
      <c r="E277" s="53">
        <v>-929.94</v>
      </c>
      <c r="F277" s="55" t="s">
        <v>8</v>
      </c>
      <c r="G277" s="54" t="s">
        <v>85</v>
      </c>
    </row>
    <row r="278" spans="1:7" x14ac:dyDescent="0.3">
      <c r="A278" s="123">
        <v>45946</v>
      </c>
      <c r="B278" s="123" t="s">
        <v>211</v>
      </c>
      <c r="C278" s="52" t="s">
        <v>104</v>
      </c>
      <c r="D278" s="68" t="s">
        <v>197</v>
      </c>
      <c r="E278" s="53">
        <v>-697.45</v>
      </c>
      <c r="F278" s="55" t="s">
        <v>8</v>
      </c>
      <c r="G278" s="54" t="s">
        <v>85</v>
      </c>
    </row>
    <row r="279" spans="1:7" x14ac:dyDescent="0.3">
      <c r="A279" s="123">
        <v>45946</v>
      </c>
      <c r="B279" s="123" t="s">
        <v>211</v>
      </c>
      <c r="C279" s="52" t="s">
        <v>32</v>
      </c>
      <c r="D279" s="68" t="s">
        <v>197</v>
      </c>
      <c r="E279" s="53">
        <v>-2479.84</v>
      </c>
      <c r="F279" s="55" t="s">
        <v>8</v>
      </c>
      <c r="G279" s="54" t="s">
        <v>85</v>
      </c>
    </row>
    <row r="280" spans="1:7" x14ac:dyDescent="0.3">
      <c r="A280" s="123">
        <v>45946</v>
      </c>
      <c r="B280" s="123" t="s">
        <v>211</v>
      </c>
      <c r="C280" s="52" t="s">
        <v>71</v>
      </c>
      <c r="D280" s="68" t="s">
        <v>197</v>
      </c>
      <c r="E280" s="53">
        <v>-1394.91</v>
      </c>
      <c r="F280" s="55" t="s">
        <v>8</v>
      </c>
      <c r="G280" s="54" t="s">
        <v>85</v>
      </c>
    </row>
    <row r="281" spans="1:7" x14ac:dyDescent="0.3">
      <c r="A281" s="123">
        <v>45946</v>
      </c>
      <c r="B281" s="123" t="s">
        <v>211</v>
      </c>
      <c r="C281" s="52" t="s">
        <v>17</v>
      </c>
      <c r="D281" s="68" t="s">
        <v>197</v>
      </c>
      <c r="E281" s="53">
        <v>-619.96</v>
      </c>
      <c r="F281" s="55" t="s">
        <v>8</v>
      </c>
      <c r="G281" s="54" t="s">
        <v>85</v>
      </c>
    </row>
    <row r="282" spans="1:7" x14ac:dyDescent="0.3">
      <c r="A282" s="123">
        <v>45946</v>
      </c>
      <c r="B282" s="123" t="s">
        <v>211</v>
      </c>
      <c r="C282" s="698" t="s">
        <v>44</v>
      </c>
      <c r="D282" s="68" t="s">
        <v>1849</v>
      </c>
      <c r="E282" s="53">
        <v>-5864.39</v>
      </c>
      <c r="F282" s="55" t="s">
        <v>8</v>
      </c>
      <c r="G282" s="54" t="s">
        <v>46</v>
      </c>
    </row>
    <row r="283" spans="1:7" x14ac:dyDescent="0.3">
      <c r="A283" s="123">
        <v>45946</v>
      </c>
      <c r="B283" s="123" t="s">
        <v>211</v>
      </c>
      <c r="C283" s="120" t="s">
        <v>6</v>
      </c>
      <c r="D283" s="29" t="s">
        <v>102</v>
      </c>
      <c r="E283" s="121">
        <v>-139.25</v>
      </c>
      <c r="F283" s="55" t="s">
        <v>8</v>
      </c>
      <c r="G283" s="61" t="s">
        <v>99</v>
      </c>
    </row>
    <row r="284" spans="1:7" x14ac:dyDescent="0.3">
      <c r="A284" s="123">
        <v>45946</v>
      </c>
      <c r="B284" s="123" t="s">
        <v>211</v>
      </c>
      <c r="C284" s="120" t="s">
        <v>6</v>
      </c>
      <c r="D284" s="29" t="s">
        <v>98</v>
      </c>
      <c r="E284" s="121">
        <v>-141.69999999999999</v>
      </c>
      <c r="F284" s="55" t="s">
        <v>8</v>
      </c>
      <c r="G284" s="61" t="s">
        <v>99</v>
      </c>
    </row>
    <row r="285" spans="1:7" x14ac:dyDescent="0.3">
      <c r="A285" s="123">
        <v>45946</v>
      </c>
      <c r="B285" s="123" t="s">
        <v>211</v>
      </c>
      <c r="C285" s="120" t="s">
        <v>6</v>
      </c>
      <c r="D285" s="29" t="s">
        <v>100</v>
      </c>
      <c r="E285" s="121">
        <v>-141.69999999999999</v>
      </c>
      <c r="F285" s="55" t="s">
        <v>8</v>
      </c>
      <c r="G285" s="61" t="s">
        <v>99</v>
      </c>
    </row>
    <row r="286" spans="1:7" x14ac:dyDescent="0.3">
      <c r="A286" s="123">
        <v>45946</v>
      </c>
      <c r="B286" s="123" t="s">
        <v>211</v>
      </c>
      <c r="C286" s="120" t="s">
        <v>6</v>
      </c>
      <c r="D286" s="29" t="s">
        <v>101</v>
      </c>
      <c r="E286" s="121">
        <v>-141.69999999999999</v>
      </c>
      <c r="F286" s="55" t="s">
        <v>8</v>
      </c>
      <c r="G286" s="61" t="s">
        <v>99</v>
      </c>
    </row>
    <row r="287" spans="1:7" x14ac:dyDescent="0.3">
      <c r="A287" s="123">
        <v>45946</v>
      </c>
      <c r="B287" s="123" t="s">
        <v>211</v>
      </c>
      <c r="C287" s="120" t="s">
        <v>6</v>
      </c>
      <c r="D287" s="29" t="s">
        <v>1850</v>
      </c>
      <c r="E287" s="762">
        <v>-30</v>
      </c>
      <c r="F287" s="55" t="s">
        <v>8</v>
      </c>
      <c r="G287" s="61" t="s">
        <v>51</v>
      </c>
    </row>
    <row r="288" spans="1:7" x14ac:dyDescent="0.3">
      <c r="A288" s="123">
        <v>45946</v>
      </c>
      <c r="B288" s="123" t="s">
        <v>211</v>
      </c>
      <c r="C288" s="52" t="s">
        <v>17</v>
      </c>
      <c r="D288" s="68" t="s">
        <v>1563</v>
      </c>
      <c r="E288" s="668">
        <v>-1000</v>
      </c>
      <c r="F288" s="55" t="s">
        <v>8</v>
      </c>
      <c r="G288" s="61" t="s">
        <v>186</v>
      </c>
    </row>
    <row r="289" spans="1:7" x14ac:dyDescent="0.3">
      <c r="A289" s="123">
        <v>45946</v>
      </c>
      <c r="B289" s="123" t="s">
        <v>211</v>
      </c>
      <c r="C289" s="757" t="s">
        <v>31</v>
      </c>
      <c r="D289" s="768" t="s">
        <v>1809</v>
      </c>
      <c r="E289" s="763">
        <v>-100</v>
      </c>
      <c r="F289" s="55" t="s">
        <v>8</v>
      </c>
      <c r="G289" s="61" t="s">
        <v>111</v>
      </c>
    </row>
    <row r="290" spans="1:7" x14ac:dyDescent="0.3">
      <c r="A290" s="123">
        <v>45946</v>
      </c>
      <c r="B290" s="123" t="s">
        <v>211</v>
      </c>
      <c r="C290" s="52" t="s">
        <v>44</v>
      </c>
      <c r="D290" s="68" t="s">
        <v>1851</v>
      </c>
      <c r="E290" s="668">
        <v>-930.49</v>
      </c>
      <c r="F290" s="55" t="s">
        <v>8</v>
      </c>
      <c r="G290" s="61" t="s">
        <v>46</v>
      </c>
    </row>
    <row r="291" spans="1:7" x14ac:dyDescent="0.3">
      <c r="A291" s="123">
        <v>45946</v>
      </c>
      <c r="B291" s="123" t="s">
        <v>211</v>
      </c>
      <c r="C291" s="52" t="s">
        <v>17</v>
      </c>
      <c r="D291" s="68" t="s">
        <v>201</v>
      </c>
      <c r="E291" s="668">
        <v>-450</v>
      </c>
      <c r="F291" s="55" t="s">
        <v>8</v>
      </c>
      <c r="G291" s="61" t="s">
        <v>1440</v>
      </c>
    </row>
    <row r="292" spans="1:7" x14ac:dyDescent="0.3">
      <c r="A292" s="123">
        <v>45946</v>
      </c>
      <c r="B292" s="123" t="s">
        <v>211</v>
      </c>
      <c r="C292" s="52" t="s">
        <v>44</v>
      </c>
      <c r="D292" s="68" t="s">
        <v>1562</v>
      </c>
      <c r="E292" s="668">
        <v>-675</v>
      </c>
      <c r="F292" s="55" t="s">
        <v>8</v>
      </c>
      <c r="G292" s="61" t="s">
        <v>1064</v>
      </c>
    </row>
    <row r="293" spans="1:7" x14ac:dyDescent="0.3">
      <c r="A293" s="123">
        <v>45946</v>
      </c>
      <c r="B293" s="123" t="s">
        <v>211</v>
      </c>
      <c r="C293" s="52" t="s">
        <v>44</v>
      </c>
      <c r="D293" s="68" t="s">
        <v>226</v>
      </c>
      <c r="E293" s="668">
        <v>-1658.93</v>
      </c>
      <c r="F293" s="55" t="s">
        <v>8</v>
      </c>
      <c r="G293" s="61" t="s">
        <v>1279</v>
      </c>
    </row>
    <row r="294" spans="1:7" x14ac:dyDescent="0.3">
      <c r="A294" s="123">
        <v>45946</v>
      </c>
      <c r="B294" s="123" t="s">
        <v>211</v>
      </c>
      <c r="C294" s="52" t="s">
        <v>71</v>
      </c>
      <c r="D294" s="68" t="s">
        <v>229</v>
      </c>
      <c r="E294" s="668">
        <v>-467.6</v>
      </c>
      <c r="F294" s="55" t="s">
        <v>8</v>
      </c>
      <c r="G294" s="61" t="s">
        <v>1279</v>
      </c>
    </row>
    <row r="295" spans="1:7" x14ac:dyDescent="0.3">
      <c r="A295" s="123">
        <v>45946</v>
      </c>
      <c r="B295" s="123" t="s">
        <v>211</v>
      </c>
      <c r="C295" s="52" t="s">
        <v>71</v>
      </c>
      <c r="D295" s="68" t="s">
        <v>205</v>
      </c>
      <c r="E295" s="668">
        <v>-827.13</v>
      </c>
      <c r="F295" s="55" t="s">
        <v>8</v>
      </c>
      <c r="G295" s="61" t="s">
        <v>1279</v>
      </c>
    </row>
    <row r="296" spans="1:7" x14ac:dyDescent="0.3">
      <c r="A296" s="123">
        <v>45946</v>
      </c>
      <c r="B296" s="123" t="s">
        <v>211</v>
      </c>
      <c r="C296" s="52" t="s">
        <v>25</v>
      </c>
      <c r="D296" s="68" t="s">
        <v>491</v>
      </c>
      <c r="E296" s="668">
        <v>-1139.25</v>
      </c>
      <c r="F296" s="55" t="s">
        <v>8</v>
      </c>
      <c r="G296" s="54" t="s">
        <v>1473</v>
      </c>
    </row>
    <row r="297" spans="1:7" x14ac:dyDescent="0.3">
      <c r="A297" s="123">
        <v>45946</v>
      </c>
      <c r="B297" s="123" t="s">
        <v>211</v>
      </c>
      <c r="C297" s="757" t="s">
        <v>44</v>
      </c>
      <c r="D297" s="768" t="s">
        <v>1587</v>
      </c>
      <c r="E297" s="764">
        <v>-477.48</v>
      </c>
      <c r="F297" s="55" t="s">
        <v>8</v>
      </c>
      <c r="G297" s="61" t="s">
        <v>19</v>
      </c>
    </row>
    <row r="298" spans="1:7" x14ac:dyDescent="0.3">
      <c r="A298" s="123">
        <v>45946</v>
      </c>
      <c r="B298" s="123" t="s">
        <v>211</v>
      </c>
      <c r="C298" s="757" t="s">
        <v>25</v>
      </c>
      <c r="D298" s="768" t="s">
        <v>384</v>
      </c>
      <c r="E298" s="758">
        <v>-456.72</v>
      </c>
      <c r="F298" s="55" t="s">
        <v>8</v>
      </c>
      <c r="G298" s="61" t="s">
        <v>19</v>
      </c>
    </row>
    <row r="299" spans="1:7" x14ac:dyDescent="0.3">
      <c r="A299" s="123">
        <v>45946</v>
      </c>
      <c r="B299" s="123" t="s">
        <v>211</v>
      </c>
      <c r="C299" s="757" t="s">
        <v>17</v>
      </c>
      <c r="D299" s="768" t="s">
        <v>491</v>
      </c>
      <c r="E299" s="758">
        <v>-477.48</v>
      </c>
      <c r="F299" s="55" t="s">
        <v>8</v>
      </c>
      <c r="G299" s="61" t="s">
        <v>19</v>
      </c>
    </row>
    <row r="300" spans="1:7" x14ac:dyDescent="0.3">
      <c r="A300" s="123">
        <v>45946</v>
      </c>
      <c r="B300" s="123" t="s">
        <v>211</v>
      </c>
      <c r="C300" s="757" t="s">
        <v>17</v>
      </c>
      <c r="D300" s="768" t="s">
        <v>494</v>
      </c>
      <c r="E300" s="758">
        <v>-477.48</v>
      </c>
      <c r="F300" s="55" t="s">
        <v>8</v>
      </c>
      <c r="G300" s="61" t="s">
        <v>19</v>
      </c>
    </row>
    <row r="301" spans="1:7" x14ac:dyDescent="0.3">
      <c r="A301" s="123">
        <v>45946</v>
      </c>
      <c r="B301" s="123" t="s">
        <v>211</v>
      </c>
      <c r="C301" s="757" t="s">
        <v>17</v>
      </c>
      <c r="D301" s="768" t="s">
        <v>1804</v>
      </c>
      <c r="E301" s="758">
        <v>-47917.2</v>
      </c>
      <c r="F301" s="55" t="s">
        <v>8</v>
      </c>
      <c r="G301" s="61" t="s">
        <v>19</v>
      </c>
    </row>
    <row r="302" spans="1:7" x14ac:dyDescent="0.3">
      <c r="A302" s="123">
        <v>45946</v>
      </c>
      <c r="B302" s="123" t="s">
        <v>211</v>
      </c>
      <c r="C302" s="757" t="s">
        <v>17</v>
      </c>
      <c r="D302" s="768" t="s">
        <v>1804</v>
      </c>
      <c r="E302" s="758">
        <v>-44888.76</v>
      </c>
      <c r="F302" s="55" t="s">
        <v>8</v>
      </c>
      <c r="G302" s="61" t="s">
        <v>19</v>
      </c>
    </row>
    <row r="303" spans="1:7" x14ac:dyDescent="0.3">
      <c r="A303" s="368">
        <v>45946</v>
      </c>
      <c r="B303" s="368" t="s">
        <v>211</v>
      </c>
      <c r="C303" s="757" t="s">
        <v>17</v>
      </c>
      <c r="D303" s="768" t="s">
        <v>1808</v>
      </c>
      <c r="E303" s="758">
        <v>-800</v>
      </c>
      <c r="F303" s="55" t="s">
        <v>8</v>
      </c>
      <c r="G303" s="61" t="s">
        <v>1473</v>
      </c>
    </row>
    <row r="304" spans="1:7" x14ac:dyDescent="0.3">
      <c r="A304" s="123">
        <v>45946</v>
      </c>
      <c r="B304" s="123" t="s">
        <v>211</v>
      </c>
      <c r="C304" s="757" t="s">
        <v>71</v>
      </c>
      <c r="D304" s="768" t="s">
        <v>1174</v>
      </c>
      <c r="E304" s="758">
        <v>-12.39</v>
      </c>
      <c r="F304" s="55" t="s">
        <v>8</v>
      </c>
      <c r="G304" s="61" t="s">
        <v>75</v>
      </c>
    </row>
    <row r="305" spans="1:7" x14ac:dyDescent="0.3">
      <c r="A305" s="123">
        <v>45946</v>
      </c>
      <c r="B305" s="123" t="s">
        <v>211</v>
      </c>
      <c r="C305" s="757" t="s">
        <v>25</v>
      </c>
      <c r="D305" s="768" t="s">
        <v>751</v>
      </c>
      <c r="E305" s="758">
        <v>-369</v>
      </c>
      <c r="F305" s="55" t="s">
        <v>8</v>
      </c>
      <c r="G305" s="765" t="s">
        <v>82</v>
      </c>
    </row>
    <row r="306" spans="1:7" x14ac:dyDescent="0.3">
      <c r="A306" s="123">
        <v>45946</v>
      </c>
      <c r="B306" s="123" t="s">
        <v>211</v>
      </c>
      <c r="C306" s="757" t="s">
        <v>32</v>
      </c>
      <c r="D306" s="768" t="s">
        <v>1140</v>
      </c>
      <c r="E306" s="758">
        <v>-315.10000000000002</v>
      </c>
      <c r="F306" s="55" t="s">
        <v>8</v>
      </c>
      <c r="G306" s="765" t="s">
        <v>82</v>
      </c>
    </row>
    <row r="307" spans="1:7" x14ac:dyDescent="0.3">
      <c r="A307" s="271">
        <v>45946</v>
      </c>
      <c r="B307" s="271" t="s">
        <v>211</v>
      </c>
      <c r="C307" s="120" t="s">
        <v>6</v>
      </c>
      <c r="D307" s="29" t="s">
        <v>1738</v>
      </c>
      <c r="E307" s="758">
        <v>-6982.41</v>
      </c>
      <c r="F307" s="55" t="s">
        <v>8</v>
      </c>
      <c r="G307" s="61" t="s">
        <v>97</v>
      </c>
    </row>
    <row r="308" spans="1:7" x14ac:dyDescent="0.3">
      <c r="A308" s="51">
        <v>45946</v>
      </c>
      <c r="B308" s="123" t="s">
        <v>211</v>
      </c>
      <c r="C308" s="52" t="s">
        <v>25</v>
      </c>
      <c r="D308" s="766" t="s">
        <v>1769</v>
      </c>
      <c r="E308" s="758">
        <v>-1866.46</v>
      </c>
      <c r="F308" s="222" t="s">
        <v>8</v>
      </c>
      <c r="G308" s="767" t="s">
        <v>815</v>
      </c>
    </row>
    <row r="309" spans="1:7" x14ac:dyDescent="0.3">
      <c r="E309" s="212">
        <f>SUM(E253:E308)</f>
        <v>-299789.78000000009</v>
      </c>
    </row>
    <row r="310" spans="1:7" x14ac:dyDescent="0.3">
      <c r="E310" s="25"/>
    </row>
    <row r="311" spans="1:7" x14ac:dyDescent="0.3">
      <c r="E311" s="25"/>
    </row>
    <row r="312" spans="1:7" x14ac:dyDescent="0.3">
      <c r="A312" s="1138" t="s">
        <v>1858</v>
      </c>
      <c r="B312" s="1138"/>
      <c r="C312" s="1138"/>
      <c r="D312" s="1138"/>
      <c r="E312" s="1138"/>
      <c r="F312" s="1138"/>
      <c r="G312" s="1138"/>
    </row>
    <row r="313" spans="1:7" ht="39.6" customHeight="1" x14ac:dyDescent="0.3">
      <c r="A313" s="1138"/>
      <c r="B313" s="1138"/>
      <c r="C313" s="1138"/>
      <c r="D313" s="1138"/>
      <c r="E313" s="1138"/>
      <c r="F313" s="1138"/>
      <c r="G313" s="1138"/>
    </row>
    <row r="314" spans="1:7" x14ac:dyDescent="0.3">
      <c r="A314" s="127" t="s">
        <v>0</v>
      </c>
      <c r="B314" s="127" t="s">
        <v>1038</v>
      </c>
      <c r="C314" s="58" t="s">
        <v>1</v>
      </c>
      <c r="D314" s="699" t="s">
        <v>2</v>
      </c>
      <c r="E314" s="59" t="s">
        <v>3</v>
      </c>
      <c r="F314" s="59" t="s">
        <v>4</v>
      </c>
      <c r="G314" s="280" t="s">
        <v>5</v>
      </c>
    </row>
    <row r="315" spans="1:7" s="650" customFormat="1" x14ac:dyDescent="0.3">
      <c r="A315" s="123">
        <v>45947</v>
      </c>
      <c r="B315" s="123" t="s">
        <v>211</v>
      </c>
      <c r="C315" s="120" t="s">
        <v>6</v>
      </c>
      <c r="D315" s="29" t="s">
        <v>1854</v>
      </c>
      <c r="E315" s="439">
        <v>-4500</v>
      </c>
      <c r="F315" s="67" t="s">
        <v>8</v>
      </c>
      <c r="G315" s="236" t="s">
        <v>111</v>
      </c>
    </row>
    <row r="316" spans="1:7" s="650" customFormat="1" x14ac:dyDescent="0.3">
      <c r="A316" s="123">
        <v>45947</v>
      </c>
      <c r="B316" s="123" t="s">
        <v>211</v>
      </c>
      <c r="C316" s="120" t="s">
        <v>17</v>
      </c>
      <c r="D316" s="29" t="s">
        <v>140</v>
      </c>
      <c r="E316" s="439">
        <v>-9980</v>
      </c>
      <c r="F316" s="55" t="s">
        <v>8</v>
      </c>
      <c r="G316" s="61" t="s">
        <v>58</v>
      </c>
    </row>
    <row r="317" spans="1:7" s="650" customFormat="1" x14ac:dyDescent="0.3">
      <c r="A317" s="123">
        <v>45947</v>
      </c>
      <c r="B317" s="123" t="s">
        <v>211</v>
      </c>
      <c r="C317" s="120" t="s">
        <v>17</v>
      </c>
      <c r="D317" s="29" t="s">
        <v>116</v>
      </c>
      <c r="E317" s="516">
        <v>-5300</v>
      </c>
      <c r="F317" s="166" t="s">
        <v>8</v>
      </c>
      <c r="G317" s="517" t="s">
        <v>53</v>
      </c>
    </row>
    <row r="318" spans="1:7" s="650" customFormat="1" x14ac:dyDescent="0.3">
      <c r="A318" s="123">
        <v>45947</v>
      </c>
      <c r="B318" s="123" t="s">
        <v>211</v>
      </c>
      <c r="C318" s="120" t="s">
        <v>17</v>
      </c>
      <c r="D318" s="29" t="s">
        <v>1855</v>
      </c>
      <c r="E318" s="121">
        <v>-3760</v>
      </c>
      <c r="F318" s="55" t="s">
        <v>8</v>
      </c>
      <c r="G318" s="61" t="s">
        <v>73</v>
      </c>
    </row>
    <row r="319" spans="1:7" s="650" customFormat="1" x14ac:dyDescent="0.3">
      <c r="A319" s="123">
        <v>45947</v>
      </c>
      <c r="B319" s="123" t="s">
        <v>211</v>
      </c>
      <c r="C319" s="120" t="s">
        <v>13</v>
      </c>
      <c r="D319" s="29" t="s">
        <v>1855</v>
      </c>
      <c r="E319" s="121">
        <v>-5460</v>
      </c>
      <c r="F319" s="55" t="s">
        <v>8</v>
      </c>
      <c r="G319" s="61" t="s">
        <v>73</v>
      </c>
    </row>
    <row r="320" spans="1:7" s="650" customFormat="1" x14ac:dyDescent="0.3">
      <c r="A320" s="123">
        <v>45947</v>
      </c>
      <c r="B320" s="123" t="s">
        <v>211</v>
      </c>
      <c r="C320" s="52" t="s">
        <v>44</v>
      </c>
      <c r="D320" s="52" t="s">
        <v>1789</v>
      </c>
      <c r="E320" s="53">
        <v>-2808.81</v>
      </c>
      <c r="F320" s="67" t="s">
        <v>8</v>
      </c>
      <c r="G320" s="236" t="s">
        <v>1279</v>
      </c>
    </row>
    <row r="321" spans="1:7" s="650" customFormat="1" x14ac:dyDescent="0.3">
      <c r="A321" s="123">
        <v>45947</v>
      </c>
      <c r="B321" s="123" t="s">
        <v>211</v>
      </c>
      <c r="C321" s="52" t="s">
        <v>44</v>
      </c>
      <c r="D321" s="52" t="s">
        <v>1794</v>
      </c>
      <c r="E321" s="53">
        <v>-832.4</v>
      </c>
      <c r="F321" s="55" t="s">
        <v>8</v>
      </c>
      <c r="G321" s="61" t="s">
        <v>1440</v>
      </c>
    </row>
    <row r="322" spans="1:7" s="650" customFormat="1" x14ac:dyDescent="0.3">
      <c r="A322" s="123">
        <v>45947</v>
      </c>
      <c r="B322" s="123" t="s">
        <v>211</v>
      </c>
      <c r="C322" s="698" t="s">
        <v>71</v>
      </c>
      <c r="D322" s="68" t="s">
        <v>1856</v>
      </c>
      <c r="E322" s="53">
        <v>-4347.01</v>
      </c>
      <c r="F322" s="55" t="s">
        <v>8</v>
      </c>
      <c r="G322" s="54" t="s">
        <v>73</v>
      </c>
    </row>
    <row r="323" spans="1:7" s="650" customFormat="1" x14ac:dyDescent="0.3">
      <c r="A323" s="123">
        <v>45947</v>
      </c>
      <c r="B323" s="123" t="s">
        <v>211</v>
      </c>
      <c r="C323" s="698" t="s">
        <v>71</v>
      </c>
      <c r="D323" s="68" t="s">
        <v>1857</v>
      </c>
      <c r="E323" s="53">
        <v>-2173.96</v>
      </c>
      <c r="F323" s="55" t="s">
        <v>8</v>
      </c>
      <c r="G323" s="54" t="s">
        <v>73</v>
      </c>
    </row>
    <row r="324" spans="1:7" s="650" customFormat="1" x14ac:dyDescent="0.3">
      <c r="A324" s="123">
        <v>45947</v>
      </c>
      <c r="B324" s="123" t="s">
        <v>211</v>
      </c>
      <c r="C324" s="52" t="s">
        <v>17</v>
      </c>
      <c r="D324" s="52" t="s">
        <v>389</v>
      </c>
      <c r="E324" s="53">
        <v>-101.149987</v>
      </c>
      <c r="F324" s="55" t="s">
        <v>8</v>
      </c>
      <c r="G324" s="61" t="s">
        <v>1279</v>
      </c>
    </row>
    <row r="325" spans="1:7" s="650" customFormat="1" x14ac:dyDescent="0.3">
      <c r="A325" s="123">
        <v>45947</v>
      </c>
      <c r="B325" s="123" t="s">
        <v>211</v>
      </c>
      <c r="C325" s="52" t="s">
        <v>17</v>
      </c>
      <c r="D325" s="52" t="s">
        <v>389</v>
      </c>
      <c r="E325" s="53">
        <v>-109.06</v>
      </c>
      <c r="F325" s="55" t="s">
        <v>8</v>
      </c>
      <c r="G325" s="61" t="s">
        <v>1279</v>
      </c>
    </row>
    <row r="326" spans="1:7" s="650" customFormat="1" x14ac:dyDescent="0.3">
      <c r="A326" s="123">
        <v>45947</v>
      </c>
      <c r="B326" s="123" t="s">
        <v>211</v>
      </c>
      <c r="C326" s="52" t="s">
        <v>17</v>
      </c>
      <c r="D326" s="52" t="s">
        <v>389</v>
      </c>
      <c r="E326" s="53">
        <v>-7.9100130000000002</v>
      </c>
      <c r="F326" s="55" t="s">
        <v>8</v>
      </c>
      <c r="G326" s="61" t="s">
        <v>1279</v>
      </c>
    </row>
    <row r="327" spans="1:7" s="650" customFormat="1" x14ac:dyDescent="0.3">
      <c r="A327" s="123">
        <v>45947</v>
      </c>
      <c r="B327" s="123" t="s">
        <v>211</v>
      </c>
      <c r="C327" s="52" t="s">
        <v>25</v>
      </c>
      <c r="D327" s="52" t="s">
        <v>1811</v>
      </c>
      <c r="E327" s="53">
        <v>-230.79</v>
      </c>
      <c r="F327" s="55" t="s">
        <v>8</v>
      </c>
      <c r="G327" s="54" t="s">
        <v>75</v>
      </c>
    </row>
    <row r="328" spans="1:7" s="650" customFormat="1" x14ac:dyDescent="0.3">
      <c r="A328" s="123">
        <v>45947</v>
      </c>
      <c r="B328" s="123" t="s">
        <v>211</v>
      </c>
      <c r="C328" s="648" t="s">
        <v>25</v>
      </c>
      <c r="D328" s="52" t="s">
        <v>1318</v>
      </c>
      <c r="E328" s="53">
        <v>-605.48</v>
      </c>
      <c r="F328" s="55" t="s">
        <v>8</v>
      </c>
      <c r="G328" s="54" t="s">
        <v>75</v>
      </c>
    </row>
    <row r="329" spans="1:7" s="650" customFormat="1" x14ac:dyDescent="0.3">
      <c r="A329" s="123">
        <v>45947</v>
      </c>
      <c r="B329" s="123" t="s">
        <v>211</v>
      </c>
      <c r="C329" s="769" t="s">
        <v>32</v>
      </c>
      <c r="D329" s="757" t="s">
        <v>1812</v>
      </c>
      <c r="E329" s="758">
        <v>-2812.52</v>
      </c>
      <c r="F329" s="55" t="s">
        <v>8</v>
      </c>
      <c r="G329" s="54" t="s">
        <v>75</v>
      </c>
    </row>
    <row r="330" spans="1:7" s="650" customFormat="1" x14ac:dyDescent="0.3">
      <c r="A330" s="123">
        <v>45947</v>
      </c>
      <c r="B330" s="123" t="s">
        <v>211</v>
      </c>
      <c r="C330" s="648" t="s">
        <v>44</v>
      </c>
      <c r="D330" s="52" t="s">
        <v>560</v>
      </c>
      <c r="E330" s="53">
        <v>-1651.54</v>
      </c>
      <c r="F330" s="55" t="s">
        <v>8</v>
      </c>
      <c r="G330" s="61" t="s">
        <v>1064</v>
      </c>
    </row>
    <row r="331" spans="1:7" s="650" customFormat="1" x14ac:dyDescent="0.3">
      <c r="A331" s="123">
        <v>45947</v>
      </c>
      <c r="B331" s="123" t="s">
        <v>211</v>
      </c>
      <c r="C331" s="52" t="s">
        <v>25</v>
      </c>
      <c r="D331" s="52" t="s">
        <v>1527</v>
      </c>
      <c r="E331" s="53">
        <v>-200</v>
      </c>
      <c r="F331" s="55" t="s">
        <v>8</v>
      </c>
      <c r="G331" s="61" t="s">
        <v>153</v>
      </c>
    </row>
    <row r="332" spans="1:7" s="650" customFormat="1" x14ac:dyDescent="0.3">
      <c r="A332" s="123">
        <v>45947</v>
      </c>
      <c r="B332" s="123" t="s">
        <v>211</v>
      </c>
      <c r="C332" s="52" t="s">
        <v>17</v>
      </c>
      <c r="D332" s="52" t="s">
        <v>201</v>
      </c>
      <c r="E332" s="53">
        <v>-180</v>
      </c>
      <c r="F332" s="55" t="s">
        <v>8</v>
      </c>
      <c r="G332" s="61" t="s">
        <v>1440</v>
      </c>
    </row>
    <row r="333" spans="1:7" s="650" customFormat="1" x14ac:dyDescent="0.3">
      <c r="A333" s="123">
        <v>45947</v>
      </c>
      <c r="B333" s="123" t="s">
        <v>211</v>
      </c>
      <c r="C333" s="698" t="s">
        <v>13</v>
      </c>
      <c r="D333" s="29" t="s">
        <v>1624</v>
      </c>
      <c r="E333" s="121">
        <v>-5996.67</v>
      </c>
      <c r="F333" s="55" t="s">
        <v>8</v>
      </c>
      <c r="G333" s="54" t="s">
        <v>46</v>
      </c>
    </row>
    <row r="334" spans="1:7" s="650" customFormat="1" x14ac:dyDescent="0.3">
      <c r="A334" s="123">
        <v>45947</v>
      </c>
      <c r="B334" s="123" t="s">
        <v>211</v>
      </c>
      <c r="C334" s="120" t="s">
        <v>17</v>
      </c>
      <c r="D334" s="29" t="s">
        <v>18</v>
      </c>
      <c r="E334" s="58">
        <v>-17235</v>
      </c>
      <c r="F334" s="55" t="s">
        <v>8</v>
      </c>
      <c r="G334" s="61" t="s">
        <v>19</v>
      </c>
    </row>
    <row r="335" spans="1:7" x14ac:dyDescent="0.3">
      <c r="E335" s="743">
        <f>SUM(E315:E334)</f>
        <v>-68292.299999999988</v>
      </c>
    </row>
    <row r="337" spans="1:7" x14ac:dyDescent="0.3">
      <c r="A337" s="1138" t="s">
        <v>1860</v>
      </c>
      <c r="B337" s="1138"/>
      <c r="C337" s="1138"/>
      <c r="D337" s="1138"/>
      <c r="E337" s="1138"/>
      <c r="F337" s="1138"/>
      <c r="G337" s="1138"/>
    </row>
    <row r="338" spans="1:7" ht="35.4" customHeight="1" x14ac:dyDescent="0.3">
      <c r="A338" s="1138"/>
      <c r="B338" s="1138"/>
      <c r="C338" s="1138"/>
      <c r="D338" s="1138"/>
      <c r="E338" s="1138"/>
      <c r="F338" s="1138"/>
      <c r="G338" s="1138"/>
    </row>
    <row r="339" spans="1:7" x14ac:dyDescent="0.3">
      <c r="A339" s="127" t="s">
        <v>0</v>
      </c>
      <c r="B339" s="127" t="s">
        <v>1038</v>
      </c>
      <c r="C339" s="58" t="s">
        <v>1</v>
      </c>
      <c r="D339" s="699" t="s">
        <v>2</v>
      </c>
      <c r="E339" s="59" t="s">
        <v>3</v>
      </c>
      <c r="F339" s="59" t="s">
        <v>4</v>
      </c>
      <c r="G339" s="280" t="s">
        <v>5</v>
      </c>
    </row>
    <row r="340" spans="1:7" s="650" customFormat="1" x14ac:dyDescent="0.3">
      <c r="A340" s="123">
        <v>45950</v>
      </c>
      <c r="B340" s="123" t="s">
        <v>211</v>
      </c>
      <c r="C340" s="407" t="s">
        <v>6</v>
      </c>
      <c r="D340" s="437" t="s">
        <v>121</v>
      </c>
      <c r="E340" s="771">
        <v>-1114.33</v>
      </c>
      <c r="F340" s="55" t="s">
        <v>8</v>
      </c>
      <c r="G340" s="61" t="s">
        <v>68</v>
      </c>
    </row>
    <row r="341" spans="1:7" s="650" customFormat="1" x14ac:dyDescent="0.3">
      <c r="A341" s="123">
        <v>45950</v>
      </c>
      <c r="B341" s="123" t="s">
        <v>211</v>
      </c>
      <c r="C341" s="698" t="s">
        <v>17</v>
      </c>
      <c r="D341" s="68" t="s">
        <v>126</v>
      </c>
      <c r="E341" s="121">
        <v>-3000</v>
      </c>
      <c r="F341" s="55" t="s">
        <v>8</v>
      </c>
      <c r="G341" s="649" t="s">
        <v>124</v>
      </c>
    </row>
    <row r="342" spans="1:7" s="650" customFormat="1" x14ac:dyDescent="0.3">
      <c r="A342" s="123">
        <v>45950</v>
      </c>
      <c r="B342" s="123" t="s">
        <v>211</v>
      </c>
      <c r="C342" s="698" t="s">
        <v>17</v>
      </c>
      <c r="D342" s="68" t="s">
        <v>1859</v>
      </c>
      <c r="E342" s="121">
        <v>-15000</v>
      </c>
      <c r="F342" s="55" t="s">
        <v>8</v>
      </c>
      <c r="G342" s="649" t="s">
        <v>124</v>
      </c>
    </row>
    <row r="343" spans="1:7" s="650" customFormat="1" x14ac:dyDescent="0.3">
      <c r="A343" s="123">
        <v>45950</v>
      </c>
      <c r="B343" s="123" t="s">
        <v>211</v>
      </c>
      <c r="C343" s="698" t="s">
        <v>31</v>
      </c>
      <c r="D343" s="68" t="s">
        <v>197</v>
      </c>
      <c r="E343" s="53">
        <v>-2324.85</v>
      </c>
      <c r="F343" s="55" t="s">
        <v>8</v>
      </c>
      <c r="G343" s="61" t="s">
        <v>85</v>
      </c>
    </row>
    <row r="344" spans="1:7" s="650" customFormat="1" x14ac:dyDescent="0.3">
      <c r="A344" s="123">
        <v>45950</v>
      </c>
      <c r="B344" s="123" t="s">
        <v>211</v>
      </c>
      <c r="C344" s="698" t="s">
        <v>6</v>
      </c>
      <c r="D344" s="68" t="s">
        <v>197</v>
      </c>
      <c r="E344" s="53">
        <v>-2944.81</v>
      </c>
      <c r="F344" s="55" t="s">
        <v>8</v>
      </c>
      <c r="G344" s="61" t="s">
        <v>85</v>
      </c>
    </row>
    <row r="345" spans="1:7" s="650" customFormat="1" x14ac:dyDescent="0.3">
      <c r="A345" s="123">
        <v>45950</v>
      </c>
      <c r="B345" s="123" t="s">
        <v>211</v>
      </c>
      <c r="C345" s="698" t="s">
        <v>44</v>
      </c>
      <c r="D345" s="68" t="s">
        <v>197</v>
      </c>
      <c r="E345" s="53">
        <v>-2867.32</v>
      </c>
      <c r="F345" s="55" t="s">
        <v>8</v>
      </c>
      <c r="G345" s="61" t="s">
        <v>85</v>
      </c>
    </row>
    <row r="346" spans="1:7" s="650" customFormat="1" x14ac:dyDescent="0.3">
      <c r="A346" s="123">
        <v>45950</v>
      </c>
      <c r="B346" s="123" t="s">
        <v>211</v>
      </c>
      <c r="C346" s="698" t="s">
        <v>44</v>
      </c>
      <c r="D346" s="68" t="s">
        <v>197</v>
      </c>
      <c r="E346" s="53">
        <v>-852.45</v>
      </c>
      <c r="F346" s="55" t="s">
        <v>8</v>
      </c>
      <c r="G346" s="61" t="s">
        <v>85</v>
      </c>
    </row>
    <row r="347" spans="1:7" s="650" customFormat="1" x14ac:dyDescent="0.3">
      <c r="A347" s="123">
        <v>45950</v>
      </c>
      <c r="B347" s="123" t="s">
        <v>211</v>
      </c>
      <c r="C347" s="698" t="s">
        <v>25</v>
      </c>
      <c r="D347" s="68" t="s">
        <v>197</v>
      </c>
      <c r="E347" s="53">
        <v>-2789.82</v>
      </c>
      <c r="F347" s="55" t="s">
        <v>8</v>
      </c>
      <c r="G347" s="61" t="s">
        <v>85</v>
      </c>
    </row>
    <row r="348" spans="1:7" s="650" customFormat="1" x14ac:dyDescent="0.3">
      <c r="A348" s="123">
        <v>45950</v>
      </c>
      <c r="B348" s="123" t="s">
        <v>211</v>
      </c>
      <c r="C348" s="698" t="s">
        <v>33</v>
      </c>
      <c r="D348" s="68" t="s">
        <v>197</v>
      </c>
      <c r="E348" s="53">
        <v>-852.45</v>
      </c>
      <c r="F348" s="55" t="s">
        <v>8</v>
      </c>
      <c r="G348" s="61" t="s">
        <v>85</v>
      </c>
    </row>
    <row r="349" spans="1:7" s="650" customFormat="1" x14ac:dyDescent="0.3">
      <c r="A349" s="123">
        <v>45950</v>
      </c>
      <c r="B349" s="123" t="s">
        <v>211</v>
      </c>
      <c r="C349" s="698" t="s">
        <v>104</v>
      </c>
      <c r="D349" s="68" t="s">
        <v>197</v>
      </c>
      <c r="E349" s="53">
        <v>-619.96</v>
      </c>
      <c r="F349" s="55" t="s">
        <v>8</v>
      </c>
      <c r="G349" s="61" t="s">
        <v>85</v>
      </c>
    </row>
    <row r="350" spans="1:7" s="650" customFormat="1" x14ac:dyDescent="0.3">
      <c r="A350" s="123">
        <v>45950</v>
      </c>
      <c r="B350" s="123" t="s">
        <v>211</v>
      </c>
      <c r="C350" s="698" t="s">
        <v>32</v>
      </c>
      <c r="D350" s="68" t="s">
        <v>197</v>
      </c>
      <c r="E350" s="53">
        <v>-154.99</v>
      </c>
      <c r="F350" s="55" t="s">
        <v>8</v>
      </c>
      <c r="G350" s="61" t="s">
        <v>85</v>
      </c>
    </row>
    <row r="351" spans="1:7" s="650" customFormat="1" x14ac:dyDescent="0.3">
      <c r="A351" s="123">
        <v>45950</v>
      </c>
      <c r="B351" s="123" t="s">
        <v>211</v>
      </c>
      <c r="C351" s="698" t="s">
        <v>71</v>
      </c>
      <c r="D351" s="68" t="s">
        <v>197</v>
      </c>
      <c r="E351" s="53">
        <v>-852.45</v>
      </c>
      <c r="F351" s="55" t="s">
        <v>8</v>
      </c>
      <c r="G351" s="61" t="s">
        <v>85</v>
      </c>
    </row>
    <row r="352" spans="1:7" s="650" customFormat="1" x14ac:dyDescent="0.3">
      <c r="A352" s="123">
        <v>45950</v>
      </c>
      <c r="B352" s="123" t="s">
        <v>211</v>
      </c>
      <c r="C352" s="698" t="s">
        <v>17</v>
      </c>
      <c r="D352" s="68" t="s">
        <v>197</v>
      </c>
      <c r="E352" s="53">
        <v>-77.5</v>
      </c>
      <c r="F352" s="55" t="s">
        <v>8</v>
      </c>
      <c r="G352" s="61" t="s">
        <v>85</v>
      </c>
    </row>
    <row r="353" spans="1:7" s="650" customFormat="1" x14ac:dyDescent="0.3">
      <c r="A353" s="123">
        <v>45950</v>
      </c>
      <c r="B353" s="123" t="s">
        <v>211</v>
      </c>
      <c r="C353" s="757" t="s">
        <v>31</v>
      </c>
      <c r="D353" s="757" t="s">
        <v>1821</v>
      </c>
      <c r="E353" s="758">
        <v>-11990.54</v>
      </c>
      <c r="F353" s="55" t="s">
        <v>8</v>
      </c>
      <c r="G353" s="649" t="s">
        <v>124</v>
      </c>
    </row>
    <row r="354" spans="1:7" s="650" customFormat="1" x14ac:dyDescent="0.3">
      <c r="A354" s="123">
        <v>45950</v>
      </c>
      <c r="B354" s="123" t="s">
        <v>211</v>
      </c>
      <c r="C354" s="757" t="s">
        <v>6</v>
      </c>
      <c r="D354" s="757" t="s">
        <v>1820</v>
      </c>
      <c r="E354" s="758">
        <v>-6222.23</v>
      </c>
      <c r="F354" s="55" t="s">
        <v>8</v>
      </c>
      <c r="G354" s="649" t="s">
        <v>124</v>
      </c>
    </row>
    <row r="355" spans="1:7" s="650" customFormat="1" x14ac:dyDescent="0.3">
      <c r="A355" s="123">
        <v>45950</v>
      </c>
      <c r="B355" s="123" t="s">
        <v>211</v>
      </c>
      <c r="C355" s="757" t="s">
        <v>44</v>
      </c>
      <c r="D355" s="757" t="s">
        <v>1819</v>
      </c>
      <c r="E355" s="758">
        <v>-5056.54</v>
      </c>
      <c r="F355" s="55" t="s">
        <v>8</v>
      </c>
      <c r="G355" s="649" t="s">
        <v>124</v>
      </c>
    </row>
    <row r="356" spans="1:7" s="650" customFormat="1" x14ac:dyDescent="0.3">
      <c r="A356" s="123">
        <v>45950</v>
      </c>
      <c r="B356" s="123" t="s">
        <v>211</v>
      </c>
      <c r="C356" s="757" t="s">
        <v>25</v>
      </c>
      <c r="D356" s="757" t="s">
        <v>1818</v>
      </c>
      <c r="E356" s="758">
        <v>-9805.02</v>
      </c>
      <c r="F356" s="55" t="s">
        <v>8</v>
      </c>
      <c r="G356" s="649" t="s">
        <v>124</v>
      </c>
    </row>
    <row r="357" spans="1:7" s="650" customFormat="1" x14ac:dyDescent="0.3">
      <c r="A357" s="123">
        <v>45950</v>
      </c>
      <c r="B357" s="123" t="s">
        <v>211</v>
      </c>
      <c r="C357" s="757" t="s">
        <v>33</v>
      </c>
      <c r="D357" s="757" t="s">
        <v>1817</v>
      </c>
      <c r="E357" s="758">
        <v>-4864.91</v>
      </c>
      <c r="F357" s="55" t="s">
        <v>8</v>
      </c>
      <c r="G357" s="649" t="s">
        <v>124</v>
      </c>
    </row>
    <row r="358" spans="1:7" s="650" customFormat="1" x14ac:dyDescent="0.3">
      <c r="A358" s="123">
        <v>45950</v>
      </c>
      <c r="B358" s="123" t="s">
        <v>211</v>
      </c>
      <c r="C358" s="757" t="s">
        <v>104</v>
      </c>
      <c r="D358" s="757" t="s">
        <v>1816</v>
      </c>
      <c r="E358" s="758">
        <v>-3097.97</v>
      </c>
      <c r="F358" s="55" t="s">
        <v>8</v>
      </c>
      <c r="G358" s="649" t="s">
        <v>124</v>
      </c>
    </row>
    <row r="359" spans="1:7" s="650" customFormat="1" x14ac:dyDescent="0.3">
      <c r="A359" s="123">
        <v>45950</v>
      </c>
      <c r="B359" s="123" t="s">
        <v>211</v>
      </c>
      <c r="C359" s="757" t="s">
        <v>32</v>
      </c>
      <c r="D359" s="757" t="s">
        <v>1815</v>
      </c>
      <c r="E359" s="758">
        <v>-10755.29</v>
      </c>
      <c r="F359" s="55" t="s">
        <v>8</v>
      </c>
      <c r="G359" s="649" t="s">
        <v>124</v>
      </c>
    </row>
    <row r="360" spans="1:7" s="650" customFormat="1" x14ac:dyDescent="0.3">
      <c r="A360" s="123">
        <v>45950</v>
      </c>
      <c r="B360" s="123" t="s">
        <v>211</v>
      </c>
      <c r="C360" s="757" t="s">
        <v>71</v>
      </c>
      <c r="D360" s="757" t="s">
        <v>1814</v>
      </c>
      <c r="E360" s="758">
        <v>-4771.93</v>
      </c>
      <c r="F360" s="55" t="s">
        <v>8</v>
      </c>
      <c r="G360" s="649" t="s">
        <v>124</v>
      </c>
    </row>
    <row r="361" spans="1:7" s="650" customFormat="1" x14ac:dyDescent="0.3">
      <c r="A361" s="123">
        <v>45950</v>
      </c>
      <c r="B361" s="123" t="s">
        <v>211</v>
      </c>
      <c r="C361" s="757" t="s">
        <v>17</v>
      </c>
      <c r="D361" s="757" t="s">
        <v>1813</v>
      </c>
      <c r="E361" s="758">
        <v>-2660</v>
      </c>
      <c r="F361" s="55" t="s">
        <v>8</v>
      </c>
      <c r="G361" s="649" t="s">
        <v>124</v>
      </c>
    </row>
    <row r="362" spans="1:7" s="650" customFormat="1" x14ac:dyDescent="0.3">
      <c r="A362" s="123">
        <v>45950</v>
      </c>
      <c r="B362" s="123" t="s">
        <v>211</v>
      </c>
      <c r="C362" s="757" t="s">
        <v>31</v>
      </c>
      <c r="D362" s="757" t="s">
        <v>1822</v>
      </c>
      <c r="E362" s="758">
        <v>-7739.38</v>
      </c>
      <c r="F362" s="55" t="s">
        <v>8</v>
      </c>
      <c r="G362" s="649" t="s">
        <v>124</v>
      </c>
    </row>
    <row r="363" spans="1:7" s="650" customFormat="1" x14ac:dyDescent="0.3">
      <c r="A363" s="123">
        <v>45950</v>
      </c>
      <c r="B363" s="123" t="s">
        <v>211</v>
      </c>
      <c r="C363" s="757" t="s">
        <v>6</v>
      </c>
      <c r="D363" s="757" t="s">
        <v>1823</v>
      </c>
      <c r="E363" s="758">
        <v>-14717.32</v>
      </c>
      <c r="F363" s="55" t="s">
        <v>8</v>
      </c>
      <c r="G363" s="649" t="s">
        <v>124</v>
      </c>
    </row>
    <row r="364" spans="1:7" s="650" customFormat="1" x14ac:dyDescent="0.3">
      <c r="A364" s="123">
        <v>45950</v>
      </c>
      <c r="B364" s="123" t="s">
        <v>211</v>
      </c>
      <c r="C364" s="757" t="s">
        <v>44</v>
      </c>
      <c r="D364" s="757" t="s">
        <v>1824</v>
      </c>
      <c r="E364" s="758">
        <v>-3579.01</v>
      </c>
      <c r="F364" s="55" t="s">
        <v>8</v>
      </c>
      <c r="G364" s="649" t="s">
        <v>124</v>
      </c>
    </row>
    <row r="365" spans="1:7" s="650" customFormat="1" x14ac:dyDescent="0.3">
      <c r="A365" s="123">
        <v>45950</v>
      </c>
      <c r="B365" s="123" t="s">
        <v>211</v>
      </c>
      <c r="C365" s="757" t="s">
        <v>25</v>
      </c>
      <c r="D365" s="757" t="s">
        <v>1825</v>
      </c>
      <c r="E365" s="758">
        <v>-7669.89</v>
      </c>
      <c r="F365" s="55" t="s">
        <v>8</v>
      </c>
      <c r="G365" s="649" t="s">
        <v>124</v>
      </c>
    </row>
    <row r="366" spans="1:7" s="650" customFormat="1" x14ac:dyDescent="0.3">
      <c r="A366" s="123">
        <v>45950</v>
      </c>
      <c r="B366" s="123" t="s">
        <v>211</v>
      </c>
      <c r="C366" s="757" t="s">
        <v>33</v>
      </c>
      <c r="D366" s="757" t="s">
        <v>1826</v>
      </c>
      <c r="E366" s="758">
        <v>-3649.59</v>
      </c>
      <c r="F366" s="55" t="s">
        <v>8</v>
      </c>
      <c r="G366" s="649" t="s">
        <v>124</v>
      </c>
    </row>
    <row r="367" spans="1:7" s="650" customFormat="1" x14ac:dyDescent="0.3">
      <c r="A367" s="123">
        <v>45950</v>
      </c>
      <c r="B367" s="123" t="s">
        <v>211</v>
      </c>
      <c r="C367" s="757" t="s">
        <v>104</v>
      </c>
      <c r="D367" s="757" t="s">
        <v>1827</v>
      </c>
      <c r="E367" s="758">
        <v>-2975.92</v>
      </c>
      <c r="F367" s="55" t="s">
        <v>8</v>
      </c>
      <c r="G367" s="649" t="s">
        <v>124</v>
      </c>
    </row>
    <row r="368" spans="1:7" s="650" customFormat="1" x14ac:dyDescent="0.3">
      <c r="A368" s="123">
        <v>45950</v>
      </c>
      <c r="B368" s="123" t="s">
        <v>211</v>
      </c>
      <c r="C368" s="757" t="s">
        <v>32</v>
      </c>
      <c r="D368" s="757" t="s">
        <v>1828</v>
      </c>
      <c r="E368" s="758">
        <v>-9600.17</v>
      </c>
      <c r="F368" s="55" t="s">
        <v>8</v>
      </c>
      <c r="G368" s="649" t="s">
        <v>124</v>
      </c>
    </row>
    <row r="369" spans="1:7" s="650" customFormat="1" x14ac:dyDescent="0.3">
      <c r="A369" s="123">
        <v>45950</v>
      </c>
      <c r="B369" s="123" t="s">
        <v>211</v>
      </c>
      <c r="C369" s="757" t="s">
        <v>71</v>
      </c>
      <c r="D369" s="757" t="s">
        <v>1829</v>
      </c>
      <c r="E369" s="758">
        <v>-4302.05</v>
      </c>
      <c r="F369" s="55" t="s">
        <v>8</v>
      </c>
      <c r="G369" s="649" t="s">
        <v>124</v>
      </c>
    </row>
    <row r="370" spans="1:7" s="650" customFormat="1" x14ac:dyDescent="0.3">
      <c r="A370" s="123">
        <v>45950</v>
      </c>
      <c r="B370" s="123" t="s">
        <v>211</v>
      </c>
      <c r="C370" s="757" t="s">
        <v>17</v>
      </c>
      <c r="D370" s="757" t="s">
        <v>1830</v>
      </c>
      <c r="E370" s="758">
        <v>-11178.88</v>
      </c>
      <c r="F370" s="55" t="s">
        <v>8</v>
      </c>
      <c r="G370" s="649" t="s">
        <v>124</v>
      </c>
    </row>
    <row r="371" spans="1:7" s="650" customFormat="1" x14ac:dyDescent="0.3">
      <c r="A371" s="123">
        <v>45950</v>
      </c>
      <c r="B371" s="123" t="s">
        <v>211</v>
      </c>
      <c r="C371" s="120" t="s">
        <v>6</v>
      </c>
      <c r="D371" s="29" t="s">
        <v>213</v>
      </c>
      <c r="E371" s="121">
        <v>-110000</v>
      </c>
      <c r="F371" s="55" t="s">
        <v>8</v>
      </c>
      <c r="G371" s="61" t="s">
        <v>27</v>
      </c>
    </row>
    <row r="372" spans="1:7" s="650" customFormat="1" x14ac:dyDescent="0.3">
      <c r="A372" s="368">
        <v>45950</v>
      </c>
      <c r="B372" s="123" t="s">
        <v>211</v>
      </c>
      <c r="C372" s="120" t="s">
        <v>6</v>
      </c>
      <c r="D372" s="272" t="s">
        <v>47</v>
      </c>
      <c r="E372" s="439">
        <v>-8000</v>
      </c>
      <c r="F372" s="166" t="s">
        <v>8</v>
      </c>
      <c r="G372" s="517" t="s">
        <v>27</v>
      </c>
    </row>
    <row r="373" spans="1:7" s="650" customFormat="1" x14ac:dyDescent="0.3">
      <c r="A373" s="123">
        <v>45950</v>
      </c>
      <c r="B373" s="123" t="s">
        <v>211</v>
      </c>
      <c r="C373" s="120" t="s">
        <v>6</v>
      </c>
      <c r="D373" s="29" t="s">
        <v>118</v>
      </c>
      <c r="E373" s="121">
        <v>-16000</v>
      </c>
      <c r="F373" s="55" t="s">
        <v>8</v>
      </c>
      <c r="G373" s="61" t="s">
        <v>119</v>
      </c>
    </row>
    <row r="374" spans="1:7" s="650" customFormat="1" x14ac:dyDescent="0.3">
      <c r="A374" s="368">
        <v>45950</v>
      </c>
      <c r="B374" s="123" t="s">
        <v>211</v>
      </c>
      <c r="C374" s="120" t="s">
        <v>64</v>
      </c>
      <c r="D374" s="29" t="s">
        <v>133</v>
      </c>
      <c r="E374" s="121">
        <v>-8937.32</v>
      </c>
      <c r="F374" s="65" t="s">
        <v>8</v>
      </c>
      <c r="G374" s="225" t="s">
        <v>39</v>
      </c>
    </row>
    <row r="375" spans="1:7" s="650" customFormat="1" x14ac:dyDescent="0.3">
      <c r="A375" s="123">
        <v>45950</v>
      </c>
      <c r="B375" s="123" t="s">
        <v>211</v>
      </c>
      <c r="C375" s="120" t="s">
        <v>25</v>
      </c>
      <c r="D375" s="29" t="s">
        <v>130</v>
      </c>
      <c r="E375" s="121">
        <v>-3006</v>
      </c>
      <c r="F375" s="55" t="s">
        <v>8</v>
      </c>
      <c r="G375" s="156" t="s">
        <v>153</v>
      </c>
    </row>
    <row r="376" spans="1:7" s="650" customFormat="1" x14ac:dyDescent="0.3">
      <c r="A376" s="368">
        <v>45950</v>
      </c>
      <c r="B376" s="123" t="s">
        <v>211</v>
      </c>
      <c r="C376" s="120" t="s">
        <v>6</v>
      </c>
      <c r="D376" s="29" t="s">
        <v>122</v>
      </c>
      <c r="E376" s="121">
        <v>-39.799999999999997</v>
      </c>
      <c r="F376" s="55" t="s">
        <v>8</v>
      </c>
      <c r="G376" s="225" t="s">
        <v>68</v>
      </c>
    </row>
    <row r="377" spans="1:7" s="650" customFormat="1" x14ac:dyDescent="0.3">
      <c r="A377" s="368">
        <v>45950</v>
      </c>
      <c r="B377" s="123" t="s">
        <v>211</v>
      </c>
      <c r="C377" s="682" t="s">
        <v>6</v>
      </c>
      <c r="D377" s="29" t="s">
        <v>120</v>
      </c>
      <c r="E377" s="121">
        <v>-600</v>
      </c>
      <c r="F377" s="55" t="s">
        <v>8</v>
      </c>
      <c r="G377" s="54" t="s">
        <v>19</v>
      </c>
    </row>
    <row r="378" spans="1:7" s="650" customFormat="1" x14ac:dyDescent="0.3">
      <c r="A378" s="368">
        <v>45950</v>
      </c>
      <c r="B378" s="123" t="s">
        <v>211</v>
      </c>
      <c r="C378" s="52" t="s">
        <v>31</v>
      </c>
      <c r="D378" s="52" t="s">
        <v>1564</v>
      </c>
      <c r="E378" s="53">
        <v>-1240</v>
      </c>
      <c r="F378" s="55" t="s">
        <v>8</v>
      </c>
      <c r="G378" s="61" t="s">
        <v>186</v>
      </c>
    </row>
    <row r="379" spans="1:7" s="650" customFormat="1" x14ac:dyDescent="0.3">
      <c r="A379" s="123">
        <v>45950</v>
      </c>
      <c r="B379" s="123" t="s">
        <v>211</v>
      </c>
      <c r="C379" s="120" t="s">
        <v>6</v>
      </c>
      <c r="D379" s="29" t="s">
        <v>123</v>
      </c>
      <c r="E379" s="121">
        <v>-20000</v>
      </c>
      <c r="F379" s="55" t="s">
        <v>8</v>
      </c>
      <c r="G379" s="649" t="s">
        <v>124</v>
      </c>
    </row>
    <row r="380" spans="1:7" s="650" customFormat="1" x14ac:dyDescent="0.3">
      <c r="A380" s="368">
        <v>45950</v>
      </c>
      <c r="B380" s="123" t="s">
        <v>211</v>
      </c>
      <c r="C380" s="120" t="s">
        <v>6</v>
      </c>
      <c r="D380" s="29" t="s">
        <v>129</v>
      </c>
      <c r="E380" s="58">
        <v>-41000</v>
      </c>
      <c r="F380" s="55" t="s">
        <v>8</v>
      </c>
      <c r="G380" s="61" t="s">
        <v>82</v>
      </c>
    </row>
    <row r="381" spans="1:7" x14ac:dyDescent="0.3">
      <c r="E381" s="212">
        <f>SUM(E340:E380)</f>
        <v>-366910.69</v>
      </c>
    </row>
    <row r="385" spans="1:7" x14ac:dyDescent="0.3">
      <c r="A385" s="1138" t="s">
        <v>1862</v>
      </c>
      <c r="B385" s="1138"/>
      <c r="C385" s="1138"/>
      <c r="D385" s="1138"/>
      <c r="E385" s="1138"/>
      <c r="F385" s="1138"/>
      <c r="G385" s="1138"/>
    </row>
    <row r="386" spans="1:7" ht="42.6" customHeight="1" x14ac:dyDescent="0.3">
      <c r="A386" s="1138"/>
      <c r="B386" s="1138"/>
      <c r="C386" s="1138"/>
      <c r="D386" s="1138"/>
      <c r="E386" s="1138"/>
      <c r="F386" s="1138"/>
      <c r="G386" s="1138"/>
    </row>
    <row r="387" spans="1:7" x14ac:dyDescent="0.3">
      <c r="A387" s="127" t="s">
        <v>0</v>
      </c>
      <c r="B387" s="127" t="s">
        <v>1038</v>
      </c>
      <c r="C387" s="58" t="s">
        <v>1</v>
      </c>
      <c r="D387" s="772" t="s">
        <v>2</v>
      </c>
      <c r="E387" s="59" t="s">
        <v>3</v>
      </c>
      <c r="F387" s="59" t="s">
        <v>4</v>
      </c>
      <c r="G387" s="280" t="s">
        <v>5</v>
      </c>
    </row>
    <row r="388" spans="1:7" x14ac:dyDescent="0.3">
      <c r="A388" s="226">
        <v>45951</v>
      </c>
      <c r="B388" s="44" t="s">
        <v>211</v>
      </c>
      <c r="C388" s="773" t="s">
        <v>6</v>
      </c>
      <c r="D388" s="46" t="s">
        <v>742</v>
      </c>
      <c r="E388" s="47">
        <v>-50000</v>
      </c>
      <c r="F388" s="48" t="s">
        <v>8</v>
      </c>
      <c r="G388" s="49" t="s">
        <v>186</v>
      </c>
    </row>
    <row r="389" spans="1:7" x14ac:dyDescent="0.3">
      <c r="A389" s="226">
        <v>45951</v>
      </c>
      <c r="B389" s="44" t="s">
        <v>211</v>
      </c>
      <c r="C389" s="46" t="s">
        <v>17</v>
      </c>
      <c r="D389" s="46" t="s">
        <v>1831</v>
      </c>
      <c r="E389" s="47">
        <v>-4370.2700000000004</v>
      </c>
      <c r="F389" s="48" t="s">
        <v>8</v>
      </c>
      <c r="G389" s="49" t="s">
        <v>186</v>
      </c>
    </row>
    <row r="390" spans="1:7" x14ac:dyDescent="0.3">
      <c r="A390" s="226">
        <v>45951</v>
      </c>
      <c r="B390" s="44" t="s">
        <v>211</v>
      </c>
      <c r="C390" s="46" t="s">
        <v>17</v>
      </c>
      <c r="D390" s="46" t="s">
        <v>389</v>
      </c>
      <c r="E390" s="47">
        <v>-84.56</v>
      </c>
      <c r="F390" s="48" t="s">
        <v>8</v>
      </c>
      <c r="G390" s="49" t="s">
        <v>139</v>
      </c>
    </row>
    <row r="391" spans="1:7" x14ac:dyDescent="0.3">
      <c r="A391" s="226">
        <v>45951</v>
      </c>
      <c r="B391" s="264" t="s">
        <v>211</v>
      </c>
      <c r="C391" s="46" t="s">
        <v>17</v>
      </c>
      <c r="D391" s="46" t="s">
        <v>717</v>
      </c>
      <c r="E391" s="47">
        <v>-268.92</v>
      </c>
      <c r="F391" s="48" t="s">
        <v>8</v>
      </c>
      <c r="G391" s="49" t="s">
        <v>186</v>
      </c>
    </row>
    <row r="392" spans="1:7" x14ac:dyDescent="0.3">
      <c r="A392" s="264">
        <v>45951</v>
      </c>
      <c r="B392" s="264" t="s">
        <v>211</v>
      </c>
      <c r="C392" s="691" t="s">
        <v>6</v>
      </c>
      <c r="D392" s="1008" t="s">
        <v>1861</v>
      </c>
      <c r="E392" s="692">
        <v>-4500</v>
      </c>
      <c r="F392" s="48" t="s">
        <v>8</v>
      </c>
      <c r="G392" s="229" t="s">
        <v>51</v>
      </c>
    </row>
    <row r="393" spans="1:7" x14ac:dyDescent="0.3">
      <c r="E393" s="212">
        <f>SUM(E388:E392)</f>
        <v>-59223.75</v>
      </c>
    </row>
    <row r="395" spans="1:7" x14ac:dyDescent="0.3">
      <c r="A395" s="1138" t="s">
        <v>1863</v>
      </c>
      <c r="B395" s="1138"/>
      <c r="C395" s="1138"/>
      <c r="D395" s="1138"/>
      <c r="E395" s="1138"/>
      <c r="F395" s="1138"/>
      <c r="G395" s="1138"/>
    </row>
    <row r="396" spans="1:7" ht="30" customHeight="1" x14ac:dyDescent="0.3">
      <c r="A396" s="1138"/>
      <c r="B396" s="1138"/>
      <c r="C396" s="1138"/>
      <c r="D396" s="1138"/>
      <c r="E396" s="1138"/>
      <c r="F396" s="1138"/>
      <c r="G396" s="1138"/>
    </row>
    <row r="397" spans="1:7" x14ac:dyDescent="0.3">
      <c r="A397" s="774" t="s">
        <v>0</v>
      </c>
      <c r="B397" s="774" t="s">
        <v>1038</v>
      </c>
      <c r="C397" s="228" t="s">
        <v>1</v>
      </c>
      <c r="D397" s="775" t="s">
        <v>2</v>
      </c>
      <c r="E397" s="776" t="s">
        <v>3</v>
      </c>
      <c r="F397" s="776" t="s">
        <v>4</v>
      </c>
      <c r="G397" s="352" t="s">
        <v>5</v>
      </c>
    </row>
    <row r="398" spans="1:7" x14ac:dyDescent="0.3">
      <c r="A398" s="45">
        <v>45952</v>
      </c>
      <c r="B398" s="754" t="s">
        <v>211</v>
      </c>
      <c r="C398" s="46" t="s">
        <v>44</v>
      </c>
      <c r="D398" s="46" t="s">
        <v>204</v>
      </c>
      <c r="E398" s="47">
        <v>-4057.4</v>
      </c>
      <c r="F398" s="48" t="s">
        <v>8</v>
      </c>
      <c r="G398" s="49" t="s">
        <v>227</v>
      </c>
    </row>
    <row r="399" spans="1:7" x14ac:dyDescent="0.3">
      <c r="A399" s="45">
        <v>45952</v>
      </c>
      <c r="B399" s="754" t="s">
        <v>211</v>
      </c>
      <c r="C399" s="777" t="s">
        <v>71</v>
      </c>
      <c r="D399" s="46" t="s">
        <v>1326</v>
      </c>
      <c r="E399" s="47">
        <v>-643.77007900000001</v>
      </c>
      <c r="F399" s="48" t="s">
        <v>8</v>
      </c>
      <c r="G399" s="49" t="s">
        <v>227</v>
      </c>
    </row>
    <row r="400" spans="1:7" x14ac:dyDescent="0.3">
      <c r="A400" s="45">
        <v>45952</v>
      </c>
      <c r="B400" s="754" t="s">
        <v>211</v>
      </c>
      <c r="C400" s="777" t="s">
        <v>71</v>
      </c>
      <c r="D400" s="46" t="s">
        <v>205</v>
      </c>
      <c r="E400" s="47">
        <v>-1420.97</v>
      </c>
      <c r="F400" s="48" t="s">
        <v>8</v>
      </c>
      <c r="G400" s="49" t="s">
        <v>227</v>
      </c>
    </row>
    <row r="401" spans="1:7" x14ac:dyDescent="0.3">
      <c r="A401" s="45">
        <v>45952</v>
      </c>
      <c r="B401" s="754" t="s">
        <v>211</v>
      </c>
      <c r="C401" s="777" t="s">
        <v>17</v>
      </c>
      <c r="D401" s="46" t="s">
        <v>389</v>
      </c>
      <c r="E401" s="47">
        <v>-9.8528009999999995</v>
      </c>
      <c r="F401" s="48" t="s">
        <v>8</v>
      </c>
      <c r="G401" s="49" t="s">
        <v>227</v>
      </c>
    </row>
    <row r="402" spans="1:7" x14ac:dyDescent="0.3">
      <c r="A402" s="45">
        <v>45952</v>
      </c>
      <c r="B402" s="754" t="s">
        <v>211</v>
      </c>
      <c r="C402" s="777" t="s">
        <v>17</v>
      </c>
      <c r="D402" s="46" t="s">
        <v>389</v>
      </c>
      <c r="E402" s="47">
        <v>-55.277199000000003</v>
      </c>
      <c r="F402" s="48" t="s">
        <v>8</v>
      </c>
      <c r="G402" s="49" t="s">
        <v>227</v>
      </c>
    </row>
    <row r="403" spans="1:7" x14ac:dyDescent="0.3">
      <c r="A403" s="45">
        <v>45952</v>
      </c>
      <c r="B403" s="754" t="s">
        <v>211</v>
      </c>
      <c r="C403" s="778" t="s">
        <v>71</v>
      </c>
      <c r="D403" s="46" t="s">
        <v>1625</v>
      </c>
      <c r="E403" s="47">
        <v>-427.46</v>
      </c>
      <c r="F403" s="48" t="s">
        <v>8</v>
      </c>
      <c r="G403" s="49" t="s">
        <v>1626</v>
      </c>
    </row>
    <row r="404" spans="1:7" x14ac:dyDescent="0.3">
      <c r="A404" s="45">
        <v>45952</v>
      </c>
      <c r="B404" s="754" t="s">
        <v>211</v>
      </c>
      <c r="C404" s="72" t="s">
        <v>17</v>
      </c>
      <c r="D404" s="1008" t="s">
        <v>131</v>
      </c>
      <c r="E404" s="692">
        <v>-1700</v>
      </c>
      <c r="F404" s="48" t="s">
        <v>8</v>
      </c>
      <c r="G404" s="229" t="s">
        <v>132</v>
      </c>
    </row>
    <row r="405" spans="1:7" x14ac:dyDescent="0.3">
      <c r="E405" s="212">
        <f>SUM(E398:E404)</f>
        <v>-8314.7300790000008</v>
      </c>
    </row>
    <row r="406" spans="1:7" x14ac:dyDescent="0.3">
      <c r="A406" s="1138" t="s">
        <v>1864</v>
      </c>
      <c r="B406" s="1138"/>
      <c r="C406" s="1138"/>
      <c r="D406" s="1138"/>
      <c r="E406" s="1138"/>
      <c r="F406" s="1138"/>
      <c r="G406" s="1138"/>
    </row>
    <row r="407" spans="1:7" ht="43.2" customHeight="1" x14ac:dyDescent="0.3">
      <c r="A407" s="1138"/>
      <c r="B407" s="1138"/>
      <c r="C407" s="1138"/>
      <c r="D407" s="1138"/>
      <c r="E407" s="1138"/>
      <c r="F407" s="1138"/>
      <c r="G407" s="1138"/>
    </row>
    <row r="408" spans="1:7" x14ac:dyDescent="0.3">
      <c r="A408" s="127" t="s">
        <v>0</v>
      </c>
      <c r="B408" s="127" t="s">
        <v>1038</v>
      </c>
      <c r="C408" s="58" t="s">
        <v>1</v>
      </c>
      <c r="D408" s="699" t="s">
        <v>2</v>
      </c>
      <c r="E408" s="59" t="s">
        <v>3</v>
      </c>
      <c r="F408" s="59" t="s">
        <v>4</v>
      </c>
      <c r="G408" s="280" t="s">
        <v>5</v>
      </c>
    </row>
    <row r="409" spans="1:7" s="650" customFormat="1" x14ac:dyDescent="0.3">
      <c r="A409" s="51">
        <v>45953</v>
      </c>
      <c r="B409" s="123" t="s">
        <v>211</v>
      </c>
      <c r="C409" s="68" t="s">
        <v>6</v>
      </c>
      <c r="D409" s="52" t="s">
        <v>786</v>
      </c>
      <c r="E409" s="53">
        <v>-4636.07</v>
      </c>
      <c r="F409" s="61" t="s">
        <v>8</v>
      </c>
      <c r="G409" s="54" t="s">
        <v>124</v>
      </c>
    </row>
    <row r="410" spans="1:7" s="650" customFormat="1" x14ac:dyDescent="0.3">
      <c r="A410" s="51">
        <v>45953</v>
      </c>
      <c r="B410" s="123" t="s">
        <v>211</v>
      </c>
      <c r="C410" s="68" t="s">
        <v>6</v>
      </c>
      <c r="D410" s="52" t="s">
        <v>787</v>
      </c>
      <c r="E410" s="53">
        <v>-8011.38</v>
      </c>
      <c r="F410" s="61" t="s">
        <v>8</v>
      </c>
      <c r="G410" s="54" t="s">
        <v>124</v>
      </c>
    </row>
    <row r="411" spans="1:7" s="650" customFormat="1" x14ac:dyDescent="0.3">
      <c r="A411" s="51">
        <v>45953</v>
      </c>
      <c r="B411" s="123" t="s">
        <v>211</v>
      </c>
      <c r="C411" s="682" t="s">
        <v>64</v>
      </c>
      <c r="D411" s="29" t="s">
        <v>1548</v>
      </c>
      <c r="E411" s="121">
        <v>-3482.23</v>
      </c>
      <c r="F411" s="61" t="s">
        <v>8</v>
      </c>
      <c r="G411" s="61" t="s">
        <v>39</v>
      </c>
    </row>
    <row r="412" spans="1:7" s="650" customFormat="1" x14ac:dyDescent="0.3">
      <c r="A412" s="123">
        <v>45953</v>
      </c>
      <c r="B412" s="123" t="s">
        <v>211</v>
      </c>
      <c r="C412" s="120" t="s">
        <v>13</v>
      </c>
      <c r="D412" s="29" t="s">
        <v>1793</v>
      </c>
      <c r="E412" s="121">
        <v>-8797.17</v>
      </c>
      <c r="F412" s="55" t="s">
        <v>8</v>
      </c>
      <c r="G412" s="61" t="s">
        <v>51</v>
      </c>
    </row>
    <row r="413" spans="1:7" s="650" customFormat="1" x14ac:dyDescent="0.3">
      <c r="A413" s="51">
        <v>45953</v>
      </c>
      <c r="B413" s="123" t="s">
        <v>211</v>
      </c>
      <c r="C413" s="120" t="s">
        <v>13</v>
      </c>
      <c r="D413" s="29" t="s">
        <v>14</v>
      </c>
      <c r="E413" s="121">
        <v>-1500</v>
      </c>
      <c r="F413" s="55" t="s">
        <v>8</v>
      </c>
      <c r="G413" s="61" t="s">
        <v>15</v>
      </c>
    </row>
    <row r="414" spans="1:7" s="650" customFormat="1" x14ac:dyDescent="0.3">
      <c r="A414" s="123">
        <v>45953</v>
      </c>
      <c r="B414" s="123" t="s">
        <v>211</v>
      </c>
      <c r="C414" s="52" t="s">
        <v>17</v>
      </c>
      <c r="D414" s="52" t="s">
        <v>385</v>
      </c>
      <c r="E414" s="53">
        <v>-718.12</v>
      </c>
      <c r="F414" s="55" t="s">
        <v>8</v>
      </c>
      <c r="G414" s="61" t="s">
        <v>1832</v>
      </c>
    </row>
    <row r="415" spans="1:7" s="650" customFormat="1" x14ac:dyDescent="0.3">
      <c r="A415" s="123">
        <v>45953</v>
      </c>
      <c r="B415" s="123" t="s">
        <v>211</v>
      </c>
      <c r="C415" s="120" t="s">
        <v>25</v>
      </c>
      <c r="D415" s="29" t="s">
        <v>194</v>
      </c>
      <c r="E415" s="121">
        <v>-7000</v>
      </c>
      <c r="F415" s="55" t="s">
        <v>8</v>
      </c>
      <c r="G415" s="54" t="s">
        <v>46</v>
      </c>
    </row>
    <row r="416" spans="1:7" s="650" customFormat="1" x14ac:dyDescent="0.3">
      <c r="A416" s="123">
        <v>45953</v>
      </c>
      <c r="B416" s="123" t="s">
        <v>211</v>
      </c>
      <c r="C416" s="120" t="s">
        <v>31</v>
      </c>
      <c r="D416" s="29" t="s">
        <v>578</v>
      </c>
      <c r="E416" s="121">
        <v>-7000</v>
      </c>
      <c r="F416" s="55" t="s">
        <v>8</v>
      </c>
      <c r="G416" s="54" t="s">
        <v>46</v>
      </c>
    </row>
    <row r="417" spans="1:7" x14ac:dyDescent="0.3">
      <c r="C417" s="707"/>
      <c r="D417" s="1009"/>
      <c r="E417" s="779">
        <f>SUM(E409:E416)</f>
        <v>-41144.97</v>
      </c>
      <c r="F417" s="659"/>
      <c r="G417" s="659"/>
    </row>
    <row r="418" spans="1:7" x14ac:dyDescent="0.3">
      <c r="E418" s="1"/>
      <c r="F418" s="659"/>
      <c r="G418" s="659"/>
    </row>
    <row r="423" spans="1:7" x14ac:dyDescent="0.3">
      <c r="A423" s="1138" t="s">
        <v>1860</v>
      </c>
      <c r="B423" s="1138"/>
      <c r="C423" s="1138"/>
      <c r="D423" s="1138"/>
      <c r="E423" s="1138"/>
      <c r="F423" s="1138"/>
      <c r="G423" s="1138"/>
    </row>
    <row r="424" spans="1:7" ht="33" customHeight="1" x14ac:dyDescent="0.3">
      <c r="A424" s="1138"/>
      <c r="B424" s="1138"/>
      <c r="C424" s="1138"/>
      <c r="D424" s="1138"/>
      <c r="E424" s="1138"/>
      <c r="F424" s="1138"/>
      <c r="G424" s="1138"/>
    </row>
    <row r="425" spans="1:7" x14ac:dyDescent="0.3">
      <c r="A425" s="127" t="s">
        <v>0</v>
      </c>
      <c r="B425" s="127" t="s">
        <v>1038</v>
      </c>
      <c r="C425" s="58" t="s">
        <v>1</v>
      </c>
      <c r="D425" s="699" t="s">
        <v>2</v>
      </c>
      <c r="E425" s="59" t="s">
        <v>3</v>
      </c>
      <c r="F425" s="59" t="s">
        <v>4</v>
      </c>
      <c r="G425" s="280" t="s">
        <v>5</v>
      </c>
    </row>
    <row r="426" spans="1:7" s="650" customFormat="1" x14ac:dyDescent="0.3">
      <c r="A426" s="123">
        <v>45950</v>
      </c>
      <c r="B426" s="123" t="s">
        <v>211</v>
      </c>
      <c r="C426" s="757" t="s">
        <v>44</v>
      </c>
      <c r="D426" s="757" t="s">
        <v>1910</v>
      </c>
      <c r="E426" s="53">
        <v>-5473.11</v>
      </c>
      <c r="F426" s="55" t="s">
        <v>8</v>
      </c>
      <c r="G426" s="649" t="s">
        <v>124</v>
      </c>
    </row>
    <row r="427" spans="1:7" s="650" customFormat="1" x14ac:dyDescent="0.3">
      <c r="A427" s="123">
        <v>45950</v>
      </c>
      <c r="B427" s="123" t="s">
        <v>211</v>
      </c>
      <c r="C427" s="757" t="s">
        <v>104</v>
      </c>
      <c r="D427" s="757" t="s">
        <v>1911</v>
      </c>
      <c r="E427" s="758">
        <v>-3097.97</v>
      </c>
      <c r="F427" s="55" t="s">
        <v>8</v>
      </c>
      <c r="G427" s="649" t="s">
        <v>124</v>
      </c>
    </row>
    <row r="428" spans="1:7" s="650" customFormat="1" x14ac:dyDescent="0.3">
      <c r="A428" s="123">
        <v>45950</v>
      </c>
      <c r="B428" s="123" t="s">
        <v>211</v>
      </c>
      <c r="C428" s="757" t="s">
        <v>44</v>
      </c>
      <c r="D428" s="757" t="s">
        <v>1913</v>
      </c>
      <c r="E428" s="831">
        <v>-3689.71</v>
      </c>
      <c r="F428" s="55" t="s">
        <v>8</v>
      </c>
      <c r="G428" s="649" t="s">
        <v>124</v>
      </c>
    </row>
    <row r="429" spans="1:7" s="650" customFormat="1" x14ac:dyDescent="0.3">
      <c r="A429" s="123">
        <v>45950</v>
      </c>
      <c r="B429" s="123" t="s">
        <v>211</v>
      </c>
      <c r="C429" s="832" t="s">
        <v>104</v>
      </c>
      <c r="D429" s="757" t="s">
        <v>1912</v>
      </c>
      <c r="E429" s="758">
        <v>-110.7</v>
      </c>
      <c r="F429" s="55" t="s">
        <v>8</v>
      </c>
      <c r="G429" s="649" t="s">
        <v>124</v>
      </c>
    </row>
    <row r="430" spans="1:7" s="650" customFormat="1" x14ac:dyDescent="0.3">
      <c r="A430" s="123">
        <v>45950</v>
      </c>
      <c r="B430" s="123" t="s">
        <v>211</v>
      </c>
      <c r="C430" s="720" t="s">
        <v>6</v>
      </c>
      <c r="D430" s="29" t="s">
        <v>213</v>
      </c>
      <c r="E430" s="121">
        <v>-63689.08</v>
      </c>
      <c r="F430" s="55" t="s">
        <v>8</v>
      </c>
      <c r="G430" s="61" t="s">
        <v>27</v>
      </c>
    </row>
    <row r="431" spans="1:7" s="650" customFormat="1" x14ac:dyDescent="0.3">
      <c r="A431" s="513">
        <v>45950</v>
      </c>
      <c r="B431" s="513" t="s">
        <v>211</v>
      </c>
      <c r="C431" s="833" t="s">
        <v>17</v>
      </c>
      <c r="D431" s="29" t="s">
        <v>1942</v>
      </c>
      <c r="E431" s="121">
        <v>-5460</v>
      </c>
      <c r="F431" s="166" t="s">
        <v>8</v>
      </c>
      <c r="G431" s="517" t="s">
        <v>53</v>
      </c>
    </row>
    <row r="432" spans="1:7" s="650" customFormat="1" x14ac:dyDescent="0.3">
      <c r="A432" s="123">
        <v>45950</v>
      </c>
      <c r="B432" s="123" t="s">
        <v>211</v>
      </c>
      <c r="C432" s="720" t="s">
        <v>6</v>
      </c>
      <c r="D432" s="29" t="s">
        <v>122</v>
      </c>
      <c r="E432" s="121">
        <v>-39.799999999999997</v>
      </c>
      <c r="F432" s="55" t="s">
        <v>8</v>
      </c>
      <c r="G432" s="61" t="s">
        <v>68</v>
      </c>
    </row>
    <row r="433" spans="1:7" s="650" customFormat="1" x14ac:dyDescent="0.3">
      <c r="A433" s="123">
        <v>45950</v>
      </c>
      <c r="B433" s="271" t="s">
        <v>211</v>
      </c>
      <c r="C433" s="52" t="s">
        <v>71</v>
      </c>
      <c r="D433" s="68" t="s">
        <v>1937</v>
      </c>
      <c r="E433" s="53">
        <v>-9.9</v>
      </c>
      <c r="F433" s="55" t="s">
        <v>8</v>
      </c>
      <c r="G433" s="54" t="s">
        <v>73</v>
      </c>
    </row>
    <row r="434" spans="1:7" s="650" customFormat="1" x14ac:dyDescent="0.3">
      <c r="A434" s="123">
        <v>45950</v>
      </c>
      <c r="B434" s="123" t="s">
        <v>211</v>
      </c>
      <c r="C434" s="719" t="s">
        <v>32</v>
      </c>
      <c r="D434" s="52" t="s">
        <v>1939</v>
      </c>
      <c r="E434" s="53">
        <v>-493.2</v>
      </c>
      <c r="F434" s="55" t="s">
        <v>8</v>
      </c>
      <c r="G434" s="677" t="s">
        <v>82</v>
      </c>
    </row>
    <row r="435" spans="1:7" s="650" customFormat="1" x14ac:dyDescent="0.3">
      <c r="A435" s="123">
        <v>45950</v>
      </c>
      <c r="B435" s="123" t="s">
        <v>211</v>
      </c>
      <c r="C435" s="648" t="s">
        <v>32</v>
      </c>
      <c r="D435" s="52" t="s">
        <v>1947</v>
      </c>
      <c r="E435" s="53">
        <v>-83.68</v>
      </c>
      <c r="F435" s="55" t="s">
        <v>8</v>
      </c>
      <c r="G435" s="54" t="s">
        <v>386</v>
      </c>
    </row>
    <row r="436" spans="1:7" s="650" customFormat="1" x14ac:dyDescent="0.3">
      <c r="A436" s="123">
        <v>45950</v>
      </c>
      <c r="B436" s="123" t="s">
        <v>211</v>
      </c>
      <c r="C436" s="832" t="s">
        <v>17</v>
      </c>
      <c r="D436" s="757" t="s">
        <v>1872</v>
      </c>
      <c r="E436" s="758">
        <v>-313.77</v>
      </c>
      <c r="F436" s="55" t="s">
        <v>8</v>
      </c>
      <c r="G436" s="61" t="s">
        <v>186</v>
      </c>
    </row>
    <row r="437" spans="1:7" s="650" customFormat="1" x14ac:dyDescent="0.3">
      <c r="A437" s="123">
        <v>45950</v>
      </c>
      <c r="B437" s="123" t="s">
        <v>211</v>
      </c>
      <c r="C437" s="648" t="s">
        <v>31</v>
      </c>
      <c r="D437" s="52" t="s">
        <v>1564</v>
      </c>
      <c r="E437" s="53">
        <v>-1240</v>
      </c>
      <c r="F437" s="55" t="s">
        <v>8</v>
      </c>
      <c r="G437" s="61" t="s">
        <v>186</v>
      </c>
    </row>
    <row r="438" spans="1:7" s="650" customFormat="1" x14ac:dyDescent="0.3">
      <c r="A438" s="123">
        <v>45950</v>
      </c>
      <c r="B438" s="123" t="s">
        <v>211</v>
      </c>
      <c r="C438" s="52" t="s">
        <v>44</v>
      </c>
      <c r="D438" s="52" t="s">
        <v>1851</v>
      </c>
      <c r="E438" s="668">
        <v>-930.49</v>
      </c>
      <c r="F438" s="55" t="s">
        <v>8</v>
      </c>
      <c r="G438" s="61" t="s">
        <v>46</v>
      </c>
    </row>
    <row r="439" spans="1:7" s="650" customFormat="1" x14ac:dyDescent="0.3">
      <c r="A439" s="123">
        <v>45950</v>
      </c>
      <c r="B439" s="123" t="s">
        <v>211</v>
      </c>
      <c r="C439" s="52" t="s">
        <v>17</v>
      </c>
      <c r="D439" s="52" t="s">
        <v>1938</v>
      </c>
      <c r="E439" s="668">
        <v>-450</v>
      </c>
      <c r="F439" s="55" t="s">
        <v>8</v>
      </c>
      <c r="G439" s="61" t="s">
        <v>1440</v>
      </c>
    </row>
    <row r="440" spans="1:7" s="650" customFormat="1" x14ac:dyDescent="0.3">
      <c r="A440" s="123">
        <v>45950</v>
      </c>
      <c r="B440" s="123" t="s">
        <v>211</v>
      </c>
      <c r="C440" s="52" t="s">
        <v>44</v>
      </c>
      <c r="D440" s="52" t="s">
        <v>1886</v>
      </c>
      <c r="E440" s="668">
        <v>-1658.93</v>
      </c>
      <c r="F440" s="55" t="s">
        <v>8</v>
      </c>
      <c r="G440" s="61" t="s">
        <v>1279</v>
      </c>
    </row>
    <row r="441" spans="1:7" s="650" customFormat="1" x14ac:dyDescent="0.3">
      <c r="A441" s="123">
        <v>45950</v>
      </c>
      <c r="B441" s="123" t="s">
        <v>211</v>
      </c>
      <c r="C441" s="52" t="s">
        <v>71</v>
      </c>
      <c r="D441" s="52" t="s">
        <v>1929</v>
      </c>
      <c r="E441" s="668">
        <v>-467.6</v>
      </c>
      <c r="F441" s="55" t="s">
        <v>8</v>
      </c>
      <c r="G441" s="61" t="s">
        <v>1279</v>
      </c>
    </row>
    <row r="442" spans="1:7" s="650" customFormat="1" x14ac:dyDescent="0.3">
      <c r="A442" s="123">
        <v>45950</v>
      </c>
      <c r="B442" s="123" t="s">
        <v>211</v>
      </c>
      <c r="C442" s="52" t="s">
        <v>71</v>
      </c>
      <c r="D442" s="52" t="s">
        <v>1928</v>
      </c>
      <c r="E442" s="668">
        <v>-827.13</v>
      </c>
      <c r="F442" s="55" t="s">
        <v>8</v>
      </c>
      <c r="G442" s="61" t="s">
        <v>1279</v>
      </c>
    </row>
    <row r="443" spans="1:7" s="650" customFormat="1" x14ac:dyDescent="0.3">
      <c r="A443" s="123">
        <v>45950</v>
      </c>
      <c r="B443" s="123" t="s">
        <v>211</v>
      </c>
      <c r="C443" s="52" t="s">
        <v>17</v>
      </c>
      <c r="D443" s="52" t="s">
        <v>1934</v>
      </c>
      <c r="E443" s="53">
        <v>-101.149987</v>
      </c>
      <c r="F443" s="55" t="s">
        <v>8</v>
      </c>
      <c r="G443" s="61" t="s">
        <v>1279</v>
      </c>
    </row>
    <row r="444" spans="1:7" s="650" customFormat="1" x14ac:dyDescent="0.3">
      <c r="A444" s="123">
        <v>45950</v>
      </c>
      <c r="B444" s="123" t="s">
        <v>211</v>
      </c>
      <c r="C444" s="52" t="s">
        <v>17</v>
      </c>
      <c r="D444" s="52" t="s">
        <v>1934</v>
      </c>
      <c r="E444" s="53">
        <v>-109.06</v>
      </c>
      <c r="F444" s="55" t="s">
        <v>8</v>
      </c>
      <c r="G444" s="61" t="s">
        <v>1279</v>
      </c>
    </row>
    <row r="445" spans="1:7" s="650" customFormat="1" x14ac:dyDescent="0.3">
      <c r="A445" s="123">
        <v>45950</v>
      </c>
      <c r="B445" s="123" t="s">
        <v>211</v>
      </c>
      <c r="C445" s="648" t="s">
        <v>44</v>
      </c>
      <c r="D445" s="52" t="s">
        <v>1935</v>
      </c>
      <c r="E445" s="53">
        <v>-1651.54</v>
      </c>
      <c r="F445" s="55" t="s">
        <v>8</v>
      </c>
      <c r="G445" s="61" t="s">
        <v>1064</v>
      </c>
    </row>
    <row r="446" spans="1:7" s="650" customFormat="1" x14ac:dyDescent="0.3">
      <c r="A446" s="123">
        <v>45950</v>
      </c>
      <c r="B446" s="123" t="s">
        <v>211</v>
      </c>
      <c r="C446" s="648" t="s">
        <v>17</v>
      </c>
      <c r="D446" s="52" t="s">
        <v>1936</v>
      </c>
      <c r="E446" s="53">
        <v>-180</v>
      </c>
      <c r="F446" s="55" t="s">
        <v>8</v>
      </c>
      <c r="G446" s="61" t="s">
        <v>1440</v>
      </c>
    </row>
    <row r="447" spans="1:7" s="667" customFormat="1" x14ac:dyDescent="0.3">
      <c r="A447" s="123">
        <v>45950</v>
      </c>
      <c r="B447" s="123" t="s">
        <v>211</v>
      </c>
      <c r="C447" s="676" t="s">
        <v>6</v>
      </c>
      <c r="D447" s="52" t="s">
        <v>1933</v>
      </c>
      <c r="E447" s="53">
        <v>-159.80000000000001</v>
      </c>
      <c r="F447" s="55" t="s">
        <v>8</v>
      </c>
      <c r="G447" s="61" t="s">
        <v>186</v>
      </c>
    </row>
    <row r="448" spans="1:7" s="667" customFormat="1" x14ac:dyDescent="0.3">
      <c r="A448" s="123">
        <v>45950</v>
      </c>
      <c r="B448" s="123" t="s">
        <v>211</v>
      </c>
      <c r="C448" s="698" t="s">
        <v>30</v>
      </c>
      <c r="D448" s="29" t="s">
        <v>92</v>
      </c>
      <c r="E448" s="121">
        <v>-177.05</v>
      </c>
      <c r="F448" s="55" t="s">
        <v>8</v>
      </c>
      <c r="G448" s="61" t="s">
        <v>29</v>
      </c>
    </row>
    <row r="449" spans="1:7" x14ac:dyDescent="0.3">
      <c r="E449" s="212">
        <f>SUM(E426:E448)</f>
        <v>-90413.669987000001</v>
      </c>
    </row>
    <row r="452" spans="1:7" x14ac:dyDescent="0.3">
      <c r="A452" s="1138" t="s">
        <v>1862</v>
      </c>
      <c r="B452" s="1138"/>
      <c r="C452" s="1138"/>
      <c r="D452" s="1138"/>
      <c r="E452" s="1138"/>
      <c r="F452" s="1138"/>
      <c r="G452" s="1138"/>
    </row>
    <row r="453" spans="1:7" ht="34.799999999999997" customHeight="1" x14ac:dyDescent="0.3">
      <c r="A453" s="1138"/>
      <c r="B453" s="1138"/>
      <c r="C453" s="1138"/>
      <c r="D453" s="1138"/>
      <c r="E453" s="1138"/>
      <c r="F453" s="1138"/>
      <c r="G453" s="1138"/>
    </row>
    <row r="454" spans="1:7" x14ac:dyDescent="0.3">
      <c r="A454" s="127" t="s">
        <v>0</v>
      </c>
      <c r="B454" s="127" t="s">
        <v>1038</v>
      </c>
      <c r="C454" s="58" t="s">
        <v>1</v>
      </c>
      <c r="D454" s="699" t="s">
        <v>2</v>
      </c>
      <c r="E454" s="59" t="s">
        <v>3</v>
      </c>
      <c r="F454" s="59" t="s">
        <v>4</v>
      </c>
      <c r="G454" s="280" t="s">
        <v>5</v>
      </c>
    </row>
    <row r="455" spans="1:7" s="650" customFormat="1" x14ac:dyDescent="0.3">
      <c r="A455" s="232">
        <v>45951</v>
      </c>
      <c r="B455" s="220" t="s">
        <v>211</v>
      </c>
      <c r="C455" s="829" t="s">
        <v>6</v>
      </c>
      <c r="D455" s="52" t="s">
        <v>742</v>
      </c>
      <c r="E455" s="668">
        <v>-50000</v>
      </c>
      <c r="F455" s="67" t="s">
        <v>8</v>
      </c>
      <c r="G455" s="222" t="s">
        <v>186</v>
      </c>
    </row>
    <row r="456" spans="1:7" s="650" customFormat="1" x14ac:dyDescent="0.3">
      <c r="A456" s="232">
        <v>45951</v>
      </c>
      <c r="B456" s="220" t="s">
        <v>211</v>
      </c>
      <c r="C456" s="52" t="s">
        <v>17</v>
      </c>
      <c r="D456" s="52" t="s">
        <v>1831</v>
      </c>
      <c r="E456" s="830">
        <v>-4370.2700000000004</v>
      </c>
      <c r="F456" s="67" t="s">
        <v>8</v>
      </c>
      <c r="G456" s="222" t="s">
        <v>186</v>
      </c>
    </row>
    <row r="457" spans="1:7" s="650" customFormat="1" x14ac:dyDescent="0.3">
      <c r="A457" s="60">
        <v>45951</v>
      </c>
      <c r="B457" s="50" t="s">
        <v>211</v>
      </c>
      <c r="C457" s="52" t="s">
        <v>17</v>
      </c>
      <c r="D457" s="52" t="s">
        <v>389</v>
      </c>
      <c r="E457" s="53">
        <v>-84.56</v>
      </c>
      <c r="F457" s="55" t="s">
        <v>8</v>
      </c>
      <c r="G457" s="54" t="s">
        <v>139</v>
      </c>
    </row>
    <row r="458" spans="1:7" s="650" customFormat="1" x14ac:dyDescent="0.3">
      <c r="A458" s="60">
        <v>45951</v>
      </c>
      <c r="B458" s="50" t="s">
        <v>211</v>
      </c>
      <c r="C458" s="757" t="s">
        <v>31</v>
      </c>
      <c r="D458" s="757" t="s">
        <v>1940</v>
      </c>
      <c r="E458" s="758">
        <v>-200</v>
      </c>
      <c r="F458" s="55" t="s">
        <v>8</v>
      </c>
      <c r="G458" s="765" t="s">
        <v>82</v>
      </c>
    </row>
    <row r="459" spans="1:7" s="650" customFormat="1" x14ac:dyDescent="0.3">
      <c r="A459" s="60">
        <v>45951</v>
      </c>
      <c r="B459" s="50" t="s">
        <v>211</v>
      </c>
      <c r="C459" s="757" t="s">
        <v>32</v>
      </c>
      <c r="D459" s="757" t="s">
        <v>1615</v>
      </c>
      <c r="E459" s="758">
        <v>-221.4</v>
      </c>
      <c r="F459" s="55" t="s">
        <v>8</v>
      </c>
      <c r="G459" s="765" t="s">
        <v>82</v>
      </c>
    </row>
    <row r="460" spans="1:7" s="650" customFormat="1" x14ac:dyDescent="0.3">
      <c r="A460" s="60">
        <v>45951</v>
      </c>
      <c r="B460" s="123" t="s">
        <v>211</v>
      </c>
      <c r="C460" s="757" t="s">
        <v>17</v>
      </c>
      <c r="D460" s="757" t="s">
        <v>1802</v>
      </c>
      <c r="E460" s="758">
        <v>-243</v>
      </c>
      <c r="F460" s="55" t="s">
        <v>8</v>
      </c>
      <c r="G460" s="765" t="s">
        <v>82</v>
      </c>
    </row>
    <row r="461" spans="1:7" s="650" customFormat="1" x14ac:dyDescent="0.3">
      <c r="A461" s="123">
        <v>45951</v>
      </c>
      <c r="B461" s="123" t="s">
        <v>211</v>
      </c>
      <c r="C461" s="720" t="s">
        <v>6</v>
      </c>
      <c r="D461" s="29" t="s">
        <v>1949</v>
      </c>
      <c r="E461" s="121">
        <v>-10000</v>
      </c>
      <c r="F461" s="55" t="s">
        <v>8</v>
      </c>
      <c r="G461" s="61" t="s">
        <v>27</v>
      </c>
    </row>
    <row r="462" spans="1:7" x14ac:dyDescent="0.3">
      <c r="E462" s="212">
        <f>SUM(E455:E461)</f>
        <v>-65119.23</v>
      </c>
    </row>
    <row r="466" spans="1:7" x14ac:dyDescent="0.3">
      <c r="A466" s="1138" t="s">
        <v>1863</v>
      </c>
      <c r="B466" s="1138"/>
      <c r="C466" s="1138"/>
      <c r="D466" s="1138"/>
      <c r="E466" s="1138"/>
      <c r="F466" s="1138"/>
      <c r="G466" s="1138"/>
    </row>
    <row r="467" spans="1:7" ht="40.200000000000003" customHeight="1" x14ac:dyDescent="0.3">
      <c r="A467" s="1138"/>
      <c r="B467" s="1138"/>
      <c r="C467" s="1138"/>
      <c r="D467" s="1138"/>
      <c r="E467" s="1138"/>
      <c r="F467" s="1138"/>
      <c r="G467" s="1138"/>
    </row>
    <row r="468" spans="1:7" x14ac:dyDescent="0.3">
      <c r="A468" s="127" t="s">
        <v>0</v>
      </c>
      <c r="B468" s="127" t="s">
        <v>1038</v>
      </c>
      <c r="C468" s="58" t="s">
        <v>1</v>
      </c>
      <c r="D468" s="699" t="s">
        <v>2</v>
      </c>
      <c r="E468" s="59" t="s">
        <v>3</v>
      </c>
      <c r="F468" s="59" t="s">
        <v>4</v>
      </c>
      <c r="G468" s="280" t="s">
        <v>5</v>
      </c>
    </row>
    <row r="469" spans="1:7" s="650" customFormat="1" x14ac:dyDescent="0.3">
      <c r="A469" s="51">
        <v>45952</v>
      </c>
      <c r="B469" s="271" t="s">
        <v>211</v>
      </c>
      <c r="C469" s="52" t="s">
        <v>44</v>
      </c>
      <c r="D469" s="52" t="s">
        <v>204</v>
      </c>
      <c r="E469" s="53">
        <v>-4057.4</v>
      </c>
      <c r="F469" s="55" t="s">
        <v>8</v>
      </c>
      <c r="G469" s="54" t="s">
        <v>227</v>
      </c>
    </row>
    <row r="470" spans="1:7" s="650" customFormat="1" x14ac:dyDescent="0.3">
      <c r="A470" s="51">
        <v>45952</v>
      </c>
      <c r="B470" s="271" t="s">
        <v>211</v>
      </c>
      <c r="C470" s="52" t="s">
        <v>71</v>
      </c>
      <c r="D470" s="52" t="s">
        <v>1326</v>
      </c>
      <c r="E470" s="53">
        <v>-643.77007900000001</v>
      </c>
      <c r="F470" s="55" t="s">
        <v>8</v>
      </c>
      <c r="G470" s="54" t="s">
        <v>227</v>
      </c>
    </row>
    <row r="471" spans="1:7" s="650" customFormat="1" x14ac:dyDescent="0.3">
      <c r="A471" s="51">
        <v>45952</v>
      </c>
      <c r="B471" s="271" t="s">
        <v>211</v>
      </c>
      <c r="C471" s="648" t="s">
        <v>71</v>
      </c>
      <c r="D471" s="52" t="s">
        <v>205</v>
      </c>
      <c r="E471" s="53">
        <v>-1420.97</v>
      </c>
      <c r="F471" s="55" t="s">
        <v>8</v>
      </c>
      <c r="G471" s="54" t="s">
        <v>227</v>
      </c>
    </row>
    <row r="472" spans="1:7" s="650" customFormat="1" x14ac:dyDescent="0.3">
      <c r="A472" s="51">
        <v>45952</v>
      </c>
      <c r="B472" s="271" t="s">
        <v>211</v>
      </c>
      <c r="C472" s="648" t="s">
        <v>17</v>
      </c>
      <c r="D472" s="52" t="s">
        <v>389</v>
      </c>
      <c r="E472" s="53">
        <v>-9.8528009999999995</v>
      </c>
      <c r="F472" s="55" t="s">
        <v>8</v>
      </c>
      <c r="G472" s="54" t="s">
        <v>227</v>
      </c>
    </row>
    <row r="473" spans="1:7" s="650" customFormat="1" x14ac:dyDescent="0.3">
      <c r="A473" s="51">
        <v>45952</v>
      </c>
      <c r="B473" s="271" t="s">
        <v>211</v>
      </c>
      <c r="C473" s="648" t="s">
        <v>17</v>
      </c>
      <c r="D473" s="52" t="s">
        <v>389</v>
      </c>
      <c r="E473" s="53">
        <v>-55.277199000000003</v>
      </c>
      <c r="F473" s="55" t="s">
        <v>8</v>
      </c>
      <c r="G473" s="54" t="s">
        <v>227</v>
      </c>
    </row>
    <row r="474" spans="1:7" s="650" customFormat="1" x14ac:dyDescent="0.3">
      <c r="A474" s="51">
        <v>45952</v>
      </c>
      <c r="B474" s="271" t="s">
        <v>211</v>
      </c>
      <c r="C474" s="719" t="s">
        <v>71</v>
      </c>
      <c r="D474" s="52" t="s">
        <v>1625</v>
      </c>
      <c r="E474" s="53">
        <v>-427.46</v>
      </c>
      <c r="F474" s="55" t="s">
        <v>8</v>
      </c>
      <c r="G474" s="54" t="s">
        <v>1626</v>
      </c>
    </row>
    <row r="475" spans="1:7" s="650" customFormat="1" x14ac:dyDescent="0.3">
      <c r="A475" s="51">
        <v>45952</v>
      </c>
      <c r="B475" s="271" t="s">
        <v>211</v>
      </c>
      <c r="C475" s="834" t="s">
        <v>17</v>
      </c>
      <c r="D475" s="29" t="s">
        <v>131</v>
      </c>
      <c r="E475" s="121">
        <v>-1600</v>
      </c>
      <c r="F475" s="55" t="s">
        <v>8</v>
      </c>
      <c r="G475" s="61" t="s">
        <v>132</v>
      </c>
    </row>
    <row r="476" spans="1:7" x14ac:dyDescent="0.3">
      <c r="E476" s="212">
        <f>SUM(E469:E475)</f>
        <v>-8214.7300790000008</v>
      </c>
    </row>
    <row r="479" spans="1:7" x14ac:dyDescent="0.3">
      <c r="A479" s="1138" t="s">
        <v>1864</v>
      </c>
      <c r="B479" s="1138"/>
      <c r="C479" s="1138"/>
      <c r="D479" s="1138"/>
      <c r="E479" s="1138"/>
      <c r="F479" s="1138"/>
      <c r="G479" s="1138"/>
    </row>
    <row r="480" spans="1:7" ht="37.200000000000003" customHeight="1" x14ac:dyDescent="0.3">
      <c r="A480" s="1138"/>
      <c r="B480" s="1138"/>
      <c r="C480" s="1138"/>
      <c r="D480" s="1138"/>
      <c r="E480" s="1138"/>
      <c r="F480" s="1138"/>
      <c r="G480" s="1138"/>
    </row>
    <row r="481" spans="1:7" x14ac:dyDescent="0.3">
      <c r="A481" s="127" t="s">
        <v>0</v>
      </c>
      <c r="B481" s="127" t="s">
        <v>1038</v>
      </c>
      <c r="C481" s="58" t="s">
        <v>1</v>
      </c>
      <c r="D481" s="699" t="s">
        <v>2</v>
      </c>
      <c r="E481" s="59" t="s">
        <v>3</v>
      </c>
      <c r="F481" s="59" t="s">
        <v>4</v>
      </c>
      <c r="G481" s="280" t="s">
        <v>5</v>
      </c>
    </row>
    <row r="482" spans="1:7" s="650" customFormat="1" x14ac:dyDescent="0.3">
      <c r="A482" s="51">
        <v>45953</v>
      </c>
      <c r="B482" s="123" t="s">
        <v>211</v>
      </c>
      <c r="C482" s="120" t="s">
        <v>13</v>
      </c>
      <c r="D482" s="29" t="s">
        <v>14</v>
      </c>
      <c r="E482" s="121">
        <v>-1500</v>
      </c>
      <c r="F482" s="55" t="s">
        <v>8</v>
      </c>
      <c r="G482" s="61" t="s">
        <v>15</v>
      </c>
    </row>
    <row r="483" spans="1:7" s="650" customFormat="1" x14ac:dyDescent="0.3">
      <c r="A483" s="123">
        <v>45953</v>
      </c>
      <c r="B483" s="123" t="s">
        <v>211</v>
      </c>
      <c r="C483" s="52" t="s">
        <v>17</v>
      </c>
      <c r="D483" s="648" t="s">
        <v>385</v>
      </c>
      <c r="E483" s="53">
        <v>-718.12</v>
      </c>
      <c r="F483" s="55" t="s">
        <v>8</v>
      </c>
      <c r="G483" s="61" t="s">
        <v>1832</v>
      </c>
    </row>
    <row r="484" spans="1:7" s="650" customFormat="1" x14ac:dyDescent="0.3">
      <c r="A484" s="123">
        <v>45953</v>
      </c>
      <c r="B484" s="123" t="s">
        <v>211</v>
      </c>
      <c r="C484" s="120" t="s">
        <v>25</v>
      </c>
      <c r="D484" s="520" t="s">
        <v>194</v>
      </c>
      <c r="E484" s="121">
        <v>-7000</v>
      </c>
      <c r="F484" s="55" t="s">
        <v>8</v>
      </c>
      <c r="G484" s="54" t="s">
        <v>46</v>
      </c>
    </row>
    <row r="485" spans="1:7" s="650" customFormat="1" x14ac:dyDescent="0.3">
      <c r="A485" s="123">
        <v>45953</v>
      </c>
      <c r="B485" s="123" t="s">
        <v>211</v>
      </c>
      <c r="C485" s="120" t="s">
        <v>31</v>
      </c>
      <c r="D485" s="520" t="s">
        <v>578</v>
      </c>
      <c r="E485" s="121">
        <v>-7000</v>
      </c>
      <c r="F485" s="55" t="s">
        <v>8</v>
      </c>
      <c r="G485" s="54" t="s">
        <v>46</v>
      </c>
    </row>
    <row r="486" spans="1:7" s="650" customFormat="1" x14ac:dyDescent="0.3">
      <c r="A486" s="123">
        <v>45953</v>
      </c>
      <c r="B486" s="123" t="s">
        <v>211</v>
      </c>
      <c r="C486" s="682" t="s">
        <v>6</v>
      </c>
      <c r="D486" s="520" t="s">
        <v>120</v>
      </c>
      <c r="E486" s="121">
        <v>-718.12</v>
      </c>
      <c r="F486" s="55" t="s">
        <v>8</v>
      </c>
      <c r="G486" s="54" t="s">
        <v>19</v>
      </c>
    </row>
    <row r="487" spans="1:7" s="650" customFormat="1" x14ac:dyDescent="0.3">
      <c r="A487" s="123">
        <v>45953</v>
      </c>
      <c r="B487" s="123" t="s">
        <v>211</v>
      </c>
      <c r="C487" s="835" t="s">
        <v>25</v>
      </c>
      <c r="D487" s="719" t="s">
        <v>1941</v>
      </c>
      <c r="E487" s="758">
        <v>-1484.05</v>
      </c>
      <c r="F487" s="55" t="s">
        <v>8</v>
      </c>
      <c r="G487" s="649" t="s">
        <v>75</v>
      </c>
    </row>
    <row r="488" spans="1:7" s="650" customFormat="1" x14ac:dyDescent="0.3">
      <c r="A488" s="123">
        <v>45953</v>
      </c>
      <c r="B488" s="123" t="s">
        <v>211</v>
      </c>
      <c r="C488" s="120" t="s">
        <v>6</v>
      </c>
      <c r="D488" s="520" t="s">
        <v>1850</v>
      </c>
      <c r="E488" s="121">
        <v>-10513.26</v>
      </c>
      <c r="F488" s="55" t="s">
        <v>8</v>
      </c>
      <c r="G488" s="61" t="s">
        <v>51</v>
      </c>
    </row>
    <row r="489" spans="1:7" s="650" customFormat="1" x14ac:dyDescent="0.3">
      <c r="A489" s="123">
        <v>45953</v>
      </c>
      <c r="B489" s="123" t="s">
        <v>211</v>
      </c>
      <c r="C489" s="720" t="s">
        <v>6</v>
      </c>
      <c r="D489" s="520" t="s">
        <v>92</v>
      </c>
      <c r="E489" s="121">
        <v>-177.05</v>
      </c>
      <c r="F489" s="55" t="s">
        <v>8</v>
      </c>
      <c r="G489" s="61" t="s">
        <v>29</v>
      </c>
    </row>
    <row r="490" spans="1:7" s="650" customFormat="1" x14ac:dyDescent="0.3">
      <c r="A490" s="123">
        <v>45953</v>
      </c>
      <c r="B490" s="123" t="s">
        <v>211</v>
      </c>
      <c r="C490" s="120" t="s">
        <v>44</v>
      </c>
      <c r="D490" s="520" t="s">
        <v>92</v>
      </c>
      <c r="E490" s="121">
        <v>-177.05</v>
      </c>
      <c r="F490" s="55" t="s">
        <v>8</v>
      </c>
      <c r="G490" s="61" t="s">
        <v>29</v>
      </c>
    </row>
    <row r="491" spans="1:7" s="650" customFormat="1" x14ac:dyDescent="0.3">
      <c r="A491" s="123">
        <v>45953</v>
      </c>
      <c r="B491" s="123" t="s">
        <v>211</v>
      </c>
      <c r="C491" s="120" t="s">
        <v>13</v>
      </c>
      <c r="D491" s="520" t="s">
        <v>92</v>
      </c>
      <c r="E491" s="121">
        <v>-177.05</v>
      </c>
      <c r="F491" s="55" t="s">
        <v>8</v>
      </c>
      <c r="G491" s="61" t="s">
        <v>29</v>
      </c>
    </row>
    <row r="492" spans="1:7" s="650" customFormat="1" x14ac:dyDescent="0.3">
      <c r="A492" s="123">
        <v>45953</v>
      </c>
      <c r="B492" s="123" t="s">
        <v>211</v>
      </c>
      <c r="C492" s="120" t="s">
        <v>648</v>
      </c>
      <c r="D492" s="29" t="s">
        <v>92</v>
      </c>
      <c r="E492" s="121">
        <v>-177.05</v>
      </c>
      <c r="F492" s="55" t="s">
        <v>8</v>
      </c>
      <c r="G492" s="61" t="s">
        <v>29</v>
      </c>
    </row>
    <row r="493" spans="1:7" s="650" customFormat="1" x14ac:dyDescent="0.3">
      <c r="A493" s="123">
        <v>45953</v>
      </c>
      <c r="B493" s="123" t="s">
        <v>211</v>
      </c>
      <c r="C493" s="120" t="s">
        <v>31</v>
      </c>
      <c r="D493" s="29" t="s">
        <v>92</v>
      </c>
      <c r="E493" s="121">
        <v>-177.05</v>
      </c>
      <c r="F493" s="55" t="s">
        <v>8</v>
      </c>
      <c r="G493" s="61" t="s">
        <v>29</v>
      </c>
    </row>
    <row r="494" spans="1:7" s="650" customFormat="1" x14ac:dyDescent="0.3">
      <c r="A494" s="123">
        <v>45953</v>
      </c>
      <c r="B494" s="271" t="s">
        <v>211</v>
      </c>
      <c r="C494" s="233" t="s">
        <v>64</v>
      </c>
      <c r="D494" s="272" t="s">
        <v>92</v>
      </c>
      <c r="E494" s="439">
        <v>-177.05</v>
      </c>
      <c r="F494" s="67" t="s">
        <v>8</v>
      </c>
      <c r="G494" s="236" t="s">
        <v>29</v>
      </c>
    </row>
    <row r="495" spans="1:7" s="650" customFormat="1" x14ac:dyDescent="0.3">
      <c r="A495" s="123">
        <v>45953</v>
      </c>
      <c r="B495" s="123" t="s">
        <v>211</v>
      </c>
      <c r="C495" s="698" t="s">
        <v>17</v>
      </c>
      <c r="D495" s="29" t="s">
        <v>92</v>
      </c>
      <c r="E495" s="121">
        <v>-177.05</v>
      </c>
      <c r="F495" s="55" t="s">
        <v>8</v>
      </c>
      <c r="G495" s="61" t="s">
        <v>29</v>
      </c>
    </row>
    <row r="496" spans="1:7" s="650" customFormat="1" x14ac:dyDescent="0.3">
      <c r="A496" s="123">
        <v>45953</v>
      </c>
      <c r="B496" s="123" t="s">
        <v>211</v>
      </c>
      <c r="C496" s="698" t="s">
        <v>647</v>
      </c>
      <c r="D496" s="29" t="s">
        <v>92</v>
      </c>
      <c r="E496" s="121">
        <v>-177.05</v>
      </c>
      <c r="F496" s="55" t="s">
        <v>8</v>
      </c>
      <c r="G496" s="61" t="s">
        <v>29</v>
      </c>
    </row>
    <row r="497" spans="1:7" s="650" customFormat="1" x14ac:dyDescent="0.3">
      <c r="A497" s="123">
        <v>45953</v>
      </c>
      <c r="B497" s="123" t="s">
        <v>211</v>
      </c>
      <c r="C497" s="698" t="s">
        <v>93</v>
      </c>
      <c r="D497" s="29" t="s">
        <v>92</v>
      </c>
      <c r="E497" s="121">
        <v>-177.05</v>
      </c>
      <c r="F497" s="55" t="s">
        <v>8</v>
      </c>
      <c r="G497" s="61" t="s">
        <v>29</v>
      </c>
    </row>
    <row r="498" spans="1:7" s="650" customFormat="1" x14ac:dyDescent="0.3">
      <c r="A498" s="123">
        <v>45953</v>
      </c>
      <c r="B498" s="123" t="s">
        <v>211</v>
      </c>
      <c r="C498" s="698" t="s">
        <v>33</v>
      </c>
      <c r="D498" s="520" t="s">
        <v>92</v>
      </c>
      <c r="E498" s="121">
        <v>-177.05</v>
      </c>
      <c r="F498" s="55" t="s">
        <v>8</v>
      </c>
      <c r="G498" s="61" t="s">
        <v>29</v>
      </c>
    </row>
    <row r="499" spans="1:7" s="650" customFormat="1" x14ac:dyDescent="0.3">
      <c r="A499" s="123">
        <v>45953</v>
      </c>
      <c r="B499" s="123" t="s">
        <v>211</v>
      </c>
      <c r="C499" s="698" t="s">
        <v>32</v>
      </c>
      <c r="D499" s="29" t="s">
        <v>92</v>
      </c>
      <c r="E499" s="121">
        <v>-177.05</v>
      </c>
      <c r="F499" s="55" t="s">
        <v>8</v>
      </c>
      <c r="G499" s="61" t="s">
        <v>29</v>
      </c>
    </row>
    <row r="500" spans="1:7" s="650" customFormat="1" x14ac:dyDescent="0.3">
      <c r="A500" s="123">
        <v>45953</v>
      </c>
      <c r="B500" s="123" t="s">
        <v>211</v>
      </c>
      <c r="C500" s="698" t="s">
        <v>34</v>
      </c>
      <c r="D500" s="29" t="s">
        <v>92</v>
      </c>
      <c r="E500" s="121">
        <v>-177.05</v>
      </c>
      <c r="F500" s="55" t="s">
        <v>8</v>
      </c>
      <c r="G500" s="61" t="s">
        <v>29</v>
      </c>
    </row>
    <row r="501" spans="1:7" s="650" customFormat="1" x14ac:dyDescent="0.3">
      <c r="A501" s="368">
        <v>45953</v>
      </c>
      <c r="B501" s="123" t="s">
        <v>211</v>
      </c>
      <c r="C501" s="720" t="s">
        <v>6</v>
      </c>
      <c r="D501" s="29" t="s">
        <v>129</v>
      </c>
      <c r="E501" s="58">
        <v>-41000</v>
      </c>
      <c r="F501" s="55" t="s">
        <v>8</v>
      </c>
      <c r="G501" s="61" t="s">
        <v>82</v>
      </c>
    </row>
    <row r="502" spans="1:7" x14ac:dyDescent="0.3">
      <c r="E502" s="212">
        <f>SUM(E482:E501)</f>
        <v>-72058.149999999994</v>
      </c>
    </row>
    <row r="506" spans="1:7" x14ac:dyDescent="0.3">
      <c r="A506" s="1138" t="s">
        <v>1950</v>
      </c>
      <c r="B506" s="1138"/>
      <c r="C506" s="1138"/>
      <c r="D506" s="1138"/>
      <c r="E506" s="1138"/>
      <c r="F506" s="1138"/>
      <c r="G506" s="1138"/>
    </row>
    <row r="507" spans="1:7" ht="40.200000000000003" customHeight="1" x14ac:dyDescent="0.3">
      <c r="A507" s="1138"/>
      <c r="B507" s="1138"/>
      <c r="C507" s="1138"/>
      <c r="D507" s="1138"/>
      <c r="E507" s="1138"/>
      <c r="F507" s="1138"/>
      <c r="G507" s="1138"/>
    </row>
    <row r="508" spans="1:7" s="641" customFormat="1" ht="13.8" x14ac:dyDescent="0.3">
      <c r="A508" s="127" t="s">
        <v>0</v>
      </c>
      <c r="B508" s="127" t="s">
        <v>1038</v>
      </c>
      <c r="C508" s="58" t="s">
        <v>1</v>
      </c>
      <c r="D508" s="699" t="s">
        <v>2</v>
      </c>
      <c r="E508" s="59" t="s">
        <v>3</v>
      </c>
      <c r="F508" s="59" t="s">
        <v>4</v>
      </c>
      <c r="G508" s="280" t="s">
        <v>5</v>
      </c>
    </row>
    <row r="509" spans="1:7" s="143" customFormat="1" ht="13.8" x14ac:dyDescent="0.3">
      <c r="A509" s="264">
        <v>45954</v>
      </c>
      <c r="B509" s="264" t="s">
        <v>211</v>
      </c>
      <c r="C509" s="46" t="s">
        <v>25</v>
      </c>
      <c r="D509" s="838" t="s">
        <v>1565</v>
      </c>
      <c r="E509" s="47">
        <v>-1480.5</v>
      </c>
      <c r="F509" s="48" t="s">
        <v>8</v>
      </c>
      <c r="G509" s="49" t="s">
        <v>153</v>
      </c>
    </row>
    <row r="510" spans="1:7" s="143" customFormat="1" ht="13.8" x14ac:dyDescent="0.3">
      <c r="A510" s="264">
        <v>45954</v>
      </c>
      <c r="B510" s="264" t="s">
        <v>211</v>
      </c>
      <c r="C510" s="836" t="s">
        <v>71</v>
      </c>
      <c r="D510" s="839" t="s">
        <v>74</v>
      </c>
      <c r="E510" s="840">
        <v>-195.23</v>
      </c>
      <c r="F510" s="48" t="s">
        <v>8</v>
      </c>
      <c r="G510" s="837" t="s">
        <v>73</v>
      </c>
    </row>
    <row r="511" spans="1:7" s="143" customFormat="1" ht="13.8" x14ac:dyDescent="0.3">
      <c r="A511" s="264">
        <v>45954</v>
      </c>
      <c r="B511" s="264" t="s">
        <v>211</v>
      </c>
      <c r="C511" s="46" t="s">
        <v>71</v>
      </c>
      <c r="D511" s="777" t="s">
        <v>205</v>
      </c>
      <c r="E511" s="47">
        <v>-457.16</v>
      </c>
      <c r="F511" s="48" t="s">
        <v>8</v>
      </c>
      <c r="G511" s="229" t="s">
        <v>1279</v>
      </c>
    </row>
    <row r="512" spans="1:7" s="143" customFormat="1" ht="13.8" x14ac:dyDescent="0.3">
      <c r="A512" s="264">
        <v>45954</v>
      </c>
      <c r="B512" s="264" t="s">
        <v>211</v>
      </c>
      <c r="C512" s="691" t="s">
        <v>17</v>
      </c>
      <c r="D512" s="1010" t="s">
        <v>18</v>
      </c>
      <c r="E512" s="228">
        <v>-17235</v>
      </c>
      <c r="F512" s="48" t="s">
        <v>8</v>
      </c>
      <c r="G512" s="229" t="s">
        <v>19</v>
      </c>
    </row>
    <row r="513" spans="1:7" s="143" customFormat="1" ht="13.8" x14ac:dyDescent="0.3">
      <c r="A513" s="264">
        <v>45954</v>
      </c>
      <c r="B513" s="264" t="s">
        <v>211</v>
      </c>
      <c r="C513" s="46" t="s">
        <v>1571</v>
      </c>
      <c r="D513" s="777" t="s">
        <v>1945</v>
      </c>
      <c r="E513" s="47">
        <v>-524.16</v>
      </c>
      <c r="F513" s="48" t="s">
        <v>8</v>
      </c>
      <c r="G513" s="49" t="s">
        <v>75</v>
      </c>
    </row>
    <row r="514" spans="1:7" s="143" customFormat="1" ht="13.8" x14ac:dyDescent="0.3">
      <c r="A514" s="264">
        <v>45954</v>
      </c>
      <c r="B514" s="264" t="s">
        <v>211</v>
      </c>
      <c r="C514" s="46" t="s">
        <v>71</v>
      </c>
      <c r="D514" s="777" t="s">
        <v>1946</v>
      </c>
      <c r="E514" s="47">
        <v>-1221.99</v>
      </c>
      <c r="F514" s="48" t="s">
        <v>8</v>
      </c>
      <c r="G514" s="49" t="s">
        <v>75</v>
      </c>
    </row>
    <row r="515" spans="1:7" s="143" customFormat="1" ht="13.8" x14ac:dyDescent="0.3">
      <c r="A515" s="45">
        <v>45954</v>
      </c>
      <c r="B515" s="264" t="s">
        <v>211</v>
      </c>
      <c r="C515" s="46" t="s">
        <v>6</v>
      </c>
      <c r="D515" s="777" t="s">
        <v>1559</v>
      </c>
      <c r="E515" s="47">
        <v>-675.37</v>
      </c>
      <c r="F515" s="49" t="s">
        <v>8</v>
      </c>
      <c r="G515" s="49" t="s">
        <v>186</v>
      </c>
    </row>
    <row r="516" spans="1:7" s="143" customFormat="1" ht="13.8" x14ac:dyDescent="0.3">
      <c r="A516" s="45">
        <v>45954</v>
      </c>
      <c r="B516" s="264" t="s">
        <v>211</v>
      </c>
      <c r="C516" s="46" t="s">
        <v>6</v>
      </c>
      <c r="D516" s="777" t="s">
        <v>1560</v>
      </c>
      <c r="E516" s="47">
        <v>-200</v>
      </c>
      <c r="F516" s="49" t="s">
        <v>8</v>
      </c>
      <c r="G516" s="49" t="s">
        <v>186</v>
      </c>
    </row>
    <row r="517" spans="1:7" s="143" customFormat="1" ht="13.8" x14ac:dyDescent="0.3">
      <c r="A517" s="45">
        <v>45954</v>
      </c>
      <c r="B517" s="264" t="s">
        <v>211</v>
      </c>
      <c r="C517" s="46" t="s">
        <v>6</v>
      </c>
      <c r="D517" s="777" t="s">
        <v>1561</v>
      </c>
      <c r="E517" s="47">
        <v>-3000</v>
      </c>
      <c r="F517" s="49" t="s">
        <v>8</v>
      </c>
      <c r="G517" s="49" t="s">
        <v>186</v>
      </c>
    </row>
    <row r="518" spans="1:7" x14ac:dyDescent="0.3">
      <c r="E518" s="212">
        <f>SUM(E509:E517)</f>
        <v>-24989.41</v>
      </c>
    </row>
    <row r="526" spans="1:7" x14ac:dyDescent="0.3">
      <c r="A526" s="1138" t="s">
        <v>1952</v>
      </c>
      <c r="B526" s="1138"/>
      <c r="C526" s="1138"/>
      <c r="D526" s="1138"/>
      <c r="E526" s="1138"/>
      <c r="F526" s="1138"/>
      <c r="G526" s="1138"/>
    </row>
    <row r="527" spans="1:7" ht="37.799999999999997" customHeight="1" x14ac:dyDescent="0.3">
      <c r="A527" s="1138"/>
      <c r="B527" s="1138"/>
      <c r="C527" s="1138"/>
      <c r="D527" s="1138"/>
      <c r="E527" s="1138"/>
      <c r="F527" s="1138"/>
      <c r="G527" s="1138"/>
    </row>
    <row r="528" spans="1:7" x14ac:dyDescent="0.3">
      <c r="A528" s="127" t="s">
        <v>0</v>
      </c>
      <c r="B528" s="127" t="s">
        <v>1038</v>
      </c>
      <c r="C528" s="58" t="s">
        <v>1</v>
      </c>
      <c r="D528" s="699" t="s">
        <v>2</v>
      </c>
      <c r="E528" s="59" t="s">
        <v>3</v>
      </c>
      <c r="F528" s="59" t="s">
        <v>4</v>
      </c>
      <c r="G528" s="280" t="s">
        <v>5</v>
      </c>
    </row>
    <row r="529" spans="1:7" s="650" customFormat="1" x14ac:dyDescent="0.3">
      <c r="A529" s="219">
        <v>45957</v>
      </c>
      <c r="B529" s="220" t="s">
        <v>211</v>
      </c>
      <c r="C529" s="718" t="s">
        <v>17</v>
      </c>
      <c r="D529" s="52" t="s">
        <v>540</v>
      </c>
      <c r="E529" s="53">
        <v>-430.22</v>
      </c>
      <c r="F529" s="67" t="s">
        <v>8</v>
      </c>
      <c r="G529" s="222" t="s">
        <v>804</v>
      </c>
    </row>
    <row r="530" spans="1:7" s="650" customFormat="1" x14ac:dyDescent="0.3">
      <c r="A530" s="368">
        <v>45957</v>
      </c>
      <c r="B530" s="368" t="s">
        <v>211</v>
      </c>
      <c r="C530" s="849" t="s">
        <v>6</v>
      </c>
      <c r="D530" s="29" t="s">
        <v>62</v>
      </c>
      <c r="E530" s="758">
        <v>-6142.01</v>
      </c>
      <c r="F530" s="55" t="s">
        <v>8</v>
      </c>
      <c r="G530" s="61" t="s">
        <v>63</v>
      </c>
    </row>
    <row r="531" spans="1:7" s="650" customFormat="1" x14ac:dyDescent="0.3">
      <c r="A531" s="368">
        <v>45957</v>
      </c>
      <c r="B531" s="368" t="s">
        <v>211</v>
      </c>
      <c r="C531" s="648" t="s">
        <v>44</v>
      </c>
      <c r="D531" s="52" t="s">
        <v>226</v>
      </c>
      <c r="E531" s="121">
        <v>-165</v>
      </c>
      <c r="F531" s="55" t="s">
        <v>8</v>
      </c>
      <c r="G531" s="61" t="s">
        <v>1279</v>
      </c>
    </row>
    <row r="532" spans="1:7" s="650" customFormat="1" x14ac:dyDescent="0.3">
      <c r="A532" s="368">
        <v>45957</v>
      </c>
      <c r="B532" s="368" t="s">
        <v>211</v>
      </c>
      <c r="C532" s="648" t="s">
        <v>44</v>
      </c>
      <c r="D532" s="52" t="s">
        <v>226</v>
      </c>
      <c r="E532" s="121">
        <v>-420</v>
      </c>
      <c r="F532" s="65" t="s">
        <v>8</v>
      </c>
      <c r="G532" s="61" t="s">
        <v>1279</v>
      </c>
    </row>
    <row r="533" spans="1:7" s="650" customFormat="1" x14ac:dyDescent="0.3">
      <c r="A533" s="368">
        <v>45957</v>
      </c>
      <c r="B533" s="368" t="s">
        <v>211</v>
      </c>
      <c r="C533" s="648" t="s">
        <v>44</v>
      </c>
      <c r="D533" s="52" t="s">
        <v>226</v>
      </c>
      <c r="E533" s="53">
        <v>-1127.5</v>
      </c>
      <c r="F533" s="65" t="s">
        <v>8</v>
      </c>
      <c r="G533" s="61" t="s">
        <v>1279</v>
      </c>
    </row>
    <row r="534" spans="1:7" s="650" customFormat="1" x14ac:dyDescent="0.3">
      <c r="A534" s="368">
        <v>45957</v>
      </c>
      <c r="B534" s="368" t="s">
        <v>211</v>
      </c>
      <c r="C534" s="719" t="s">
        <v>17</v>
      </c>
      <c r="D534" s="52" t="s">
        <v>389</v>
      </c>
      <c r="E534" s="53">
        <v>-57.259995000000004</v>
      </c>
      <c r="F534" s="65" t="s">
        <v>8</v>
      </c>
      <c r="G534" s="61" t="s">
        <v>1279</v>
      </c>
    </row>
    <row r="535" spans="1:7" s="650" customFormat="1" x14ac:dyDescent="0.3">
      <c r="A535" s="123">
        <v>45957</v>
      </c>
      <c r="B535" s="123" t="s">
        <v>211</v>
      </c>
      <c r="C535" s="720" t="s">
        <v>6</v>
      </c>
      <c r="D535" s="29" t="s">
        <v>135</v>
      </c>
      <c r="E535" s="121">
        <v>-294.8</v>
      </c>
      <c r="F535" s="55" t="s">
        <v>8</v>
      </c>
      <c r="G535" s="61" t="s">
        <v>136</v>
      </c>
    </row>
    <row r="536" spans="1:7" x14ac:dyDescent="0.3">
      <c r="E536" s="212">
        <f>SUM(E529:E535)</f>
        <v>-8636.7899949999992</v>
      </c>
    </row>
    <row r="538" spans="1:7" x14ac:dyDescent="0.3">
      <c r="E538">
        <v>8636.7900000000009</v>
      </c>
    </row>
    <row r="541" spans="1:7" x14ac:dyDescent="0.3">
      <c r="A541" s="1138" t="s">
        <v>1953</v>
      </c>
      <c r="B541" s="1138"/>
      <c r="C541" s="1138"/>
      <c r="D541" s="1138"/>
      <c r="E541" s="1138"/>
      <c r="F541" s="1138"/>
      <c r="G541" s="1138"/>
    </row>
    <row r="542" spans="1:7" ht="33" customHeight="1" x14ac:dyDescent="0.3">
      <c r="A542" s="1138"/>
      <c r="B542" s="1138"/>
      <c r="C542" s="1138"/>
      <c r="D542" s="1138"/>
      <c r="E542" s="1138"/>
      <c r="F542" s="1138"/>
      <c r="G542" s="1138"/>
    </row>
    <row r="543" spans="1:7" ht="15" customHeight="1" x14ac:dyDescent="0.3">
      <c r="A543" s="127" t="s">
        <v>0</v>
      </c>
      <c r="B543" s="127" t="s">
        <v>1038</v>
      </c>
      <c r="C543" s="58" t="s">
        <v>1</v>
      </c>
      <c r="D543" s="699" t="s">
        <v>2</v>
      </c>
      <c r="E543" s="59" t="s">
        <v>3</v>
      </c>
      <c r="F543" s="59" t="s">
        <v>4</v>
      </c>
      <c r="G543" s="280" t="s">
        <v>5</v>
      </c>
    </row>
    <row r="544" spans="1:7" s="650" customFormat="1" x14ac:dyDescent="0.3">
      <c r="A544" s="51">
        <v>45959</v>
      </c>
      <c r="B544" s="123" t="s">
        <v>211</v>
      </c>
      <c r="C544" s="52" t="s">
        <v>25</v>
      </c>
      <c r="D544" s="52" t="s">
        <v>1527</v>
      </c>
      <c r="E544" s="53">
        <v>-2517.84</v>
      </c>
      <c r="F544" s="55" t="s">
        <v>8</v>
      </c>
      <c r="G544" s="54" t="s">
        <v>153</v>
      </c>
    </row>
    <row r="545" spans="1:7" s="650" customFormat="1" x14ac:dyDescent="0.3">
      <c r="A545" s="51">
        <v>45959</v>
      </c>
      <c r="B545" s="123" t="s">
        <v>211</v>
      </c>
      <c r="C545" s="52" t="s">
        <v>25</v>
      </c>
      <c r="D545" s="52" t="s">
        <v>1527</v>
      </c>
      <c r="E545" s="53">
        <v>-355</v>
      </c>
      <c r="F545" s="55" t="s">
        <v>8</v>
      </c>
      <c r="G545" s="54" t="s">
        <v>153</v>
      </c>
    </row>
    <row r="546" spans="1:7" s="650" customFormat="1" x14ac:dyDescent="0.3">
      <c r="A546" s="51">
        <v>45959</v>
      </c>
      <c r="B546" s="123" t="s">
        <v>211</v>
      </c>
      <c r="C546" s="52" t="s">
        <v>31</v>
      </c>
      <c r="D546" s="52" t="s">
        <v>1627</v>
      </c>
      <c r="E546" s="53">
        <v>-1500</v>
      </c>
      <c r="F546" s="55" t="s">
        <v>8</v>
      </c>
      <c r="G546" s="54" t="s">
        <v>186</v>
      </c>
    </row>
    <row r="547" spans="1:7" s="650" customFormat="1" x14ac:dyDescent="0.3">
      <c r="A547" s="51">
        <v>45959</v>
      </c>
      <c r="B547" s="123" t="s">
        <v>211</v>
      </c>
      <c r="C547" s="52" t="s">
        <v>31</v>
      </c>
      <c r="D547" s="52" t="s">
        <v>1628</v>
      </c>
      <c r="E547" s="53">
        <v>-1000</v>
      </c>
      <c r="F547" s="55" t="s">
        <v>8</v>
      </c>
      <c r="G547" s="54" t="s">
        <v>186</v>
      </c>
    </row>
    <row r="548" spans="1:7" s="650" customFormat="1" x14ac:dyDescent="0.3">
      <c r="A548" s="51">
        <v>45959</v>
      </c>
      <c r="B548" s="123" t="s">
        <v>211</v>
      </c>
      <c r="C548" s="52" t="s">
        <v>6</v>
      </c>
      <c r="D548" s="52" t="s">
        <v>1629</v>
      </c>
      <c r="E548" s="53">
        <v>-1000</v>
      </c>
      <c r="F548" s="55" t="s">
        <v>8</v>
      </c>
      <c r="G548" s="54" t="s">
        <v>186</v>
      </c>
    </row>
    <row r="549" spans="1:7" s="650" customFormat="1" x14ac:dyDescent="0.3">
      <c r="A549" s="51">
        <v>45959</v>
      </c>
      <c r="B549" s="123" t="s">
        <v>211</v>
      </c>
      <c r="C549" s="52" t="s">
        <v>44</v>
      </c>
      <c r="D549" s="52" t="s">
        <v>1633</v>
      </c>
      <c r="E549" s="53">
        <v>-3800</v>
      </c>
      <c r="F549" s="55" t="s">
        <v>8</v>
      </c>
      <c r="G549" s="54" t="s">
        <v>186</v>
      </c>
    </row>
    <row r="550" spans="1:7" x14ac:dyDescent="0.3">
      <c r="E550" s="212">
        <f>SUM(E544:E549)</f>
        <v>-10172.84</v>
      </c>
    </row>
    <row r="555" spans="1:7" x14ac:dyDescent="0.3">
      <c r="A555" s="1138" t="s">
        <v>1863</v>
      </c>
      <c r="B555" s="1138"/>
      <c r="C555" s="1138"/>
      <c r="D555" s="1138"/>
      <c r="E555" s="1138"/>
      <c r="F555" s="1138"/>
      <c r="G555" s="1138"/>
    </row>
    <row r="556" spans="1:7" ht="34.799999999999997" customHeight="1" x14ac:dyDescent="0.3">
      <c r="A556" s="1138"/>
      <c r="B556" s="1138"/>
      <c r="C556" s="1138"/>
      <c r="D556" s="1138"/>
      <c r="E556" s="1138"/>
      <c r="F556" s="1138"/>
      <c r="G556" s="1138"/>
    </row>
    <row r="557" spans="1:7" x14ac:dyDescent="0.3">
      <c r="A557" s="852" t="s">
        <v>0</v>
      </c>
      <c r="B557" s="852" t="s">
        <v>1038</v>
      </c>
      <c r="C557" s="224" t="s">
        <v>1</v>
      </c>
      <c r="D557" s="853" t="s">
        <v>2</v>
      </c>
      <c r="E557" s="854" t="s">
        <v>3</v>
      </c>
      <c r="F557" s="854" t="s">
        <v>4</v>
      </c>
      <c r="G557" s="855" t="s">
        <v>5</v>
      </c>
    </row>
    <row r="558" spans="1:7" s="667" customFormat="1" x14ac:dyDescent="0.3">
      <c r="A558" s="60">
        <v>45952</v>
      </c>
      <c r="B558" s="50" t="s">
        <v>211</v>
      </c>
      <c r="C558" s="829" t="s">
        <v>6</v>
      </c>
      <c r="D558" s="52" t="s">
        <v>1976</v>
      </c>
      <c r="E558" s="53">
        <v>-26700</v>
      </c>
      <c r="F558" s="55" t="s">
        <v>8</v>
      </c>
      <c r="G558" s="54" t="s">
        <v>186</v>
      </c>
    </row>
    <row r="559" spans="1:7" s="667" customFormat="1" x14ac:dyDescent="0.3">
      <c r="A559" s="60">
        <v>45952</v>
      </c>
      <c r="B559" s="50" t="s">
        <v>211</v>
      </c>
      <c r="C559" s="52" t="s">
        <v>31</v>
      </c>
      <c r="D559" s="52" t="s">
        <v>1940</v>
      </c>
      <c r="E559" s="53">
        <v>-200</v>
      </c>
      <c r="F559" s="55" t="s">
        <v>8</v>
      </c>
      <c r="G559" s="54" t="s">
        <v>82</v>
      </c>
    </row>
    <row r="560" spans="1:7" s="667" customFormat="1" x14ac:dyDescent="0.3">
      <c r="A560" s="60">
        <v>45952</v>
      </c>
      <c r="B560" s="50" t="s">
        <v>211</v>
      </c>
      <c r="C560" s="52" t="s">
        <v>17</v>
      </c>
      <c r="D560" s="52" t="s">
        <v>1973</v>
      </c>
      <c r="E560" s="53">
        <v>-20679.990000000002</v>
      </c>
      <c r="F560" s="55" t="s">
        <v>8</v>
      </c>
      <c r="G560" s="54" t="s">
        <v>58</v>
      </c>
    </row>
    <row r="561" spans="1:7" s="667" customFormat="1" x14ac:dyDescent="0.3">
      <c r="A561" s="60">
        <v>45952</v>
      </c>
      <c r="B561" s="50" t="s">
        <v>211</v>
      </c>
      <c r="C561" s="52" t="s">
        <v>32</v>
      </c>
      <c r="D561" s="52" t="s">
        <v>1615</v>
      </c>
      <c r="E561" s="53">
        <v>-221.4</v>
      </c>
      <c r="F561" s="55" t="s">
        <v>8</v>
      </c>
      <c r="G561" s="54" t="s">
        <v>82</v>
      </c>
    </row>
    <row r="562" spans="1:7" s="667" customFormat="1" x14ac:dyDescent="0.3">
      <c r="A562" s="60">
        <v>45952</v>
      </c>
      <c r="B562" s="123" t="s">
        <v>211</v>
      </c>
      <c r="C562" s="52" t="s">
        <v>17</v>
      </c>
      <c r="D562" s="52" t="s">
        <v>1802</v>
      </c>
      <c r="E562" s="53">
        <v>-243</v>
      </c>
      <c r="F562" s="55" t="s">
        <v>8</v>
      </c>
      <c r="G562" s="54" t="s">
        <v>82</v>
      </c>
    </row>
    <row r="563" spans="1:7" s="667" customFormat="1" x14ac:dyDescent="0.3">
      <c r="A563" s="60">
        <v>45952</v>
      </c>
      <c r="B563" s="123" t="s">
        <v>211</v>
      </c>
      <c r="C563" s="52" t="s">
        <v>17</v>
      </c>
      <c r="D563" s="29" t="s">
        <v>1967</v>
      </c>
      <c r="E563" s="121">
        <v>-2270</v>
      </c>
      <c r="F563" s="55" t="s">
        <v>8</v>
      </c>
      <c r="G563" s="61" t="s">
        <v>27</v>
      </c>
    </row>
    <row r="564" spans="1:7" s="667" customFormat="1" x14ac:dyDescent="0.3">
      <c r="A564" s="51">
        <v>45952</v>
      </c>
      <c r="B564" s="271" t="s">
        <v>211</v>
      </c>
      <c r="C564" s="52" t="s">
        <v>44</v>
      </c>
      <c r="D564" s="52" t="s">
        <v>1975</v>
      </c>
      <c r="E564" s="53">
        <v>-4057.4</v>
      </c>
      <c r="F564" s="55" t="s">
        <v>8</v>
      </c>
      <c r="G564" s="54" t="s">
        <v>227</v>
      </c>
    </row>
    <row r="565" spans="1:7" s="667" customFormat="1" x14ac:dyDescent="0.3">
      <c r="A565" s="51">
        <v>45952</v>
      </c>
      <c r="B565" s="123" t="s">
        <v>211</v>
      </c>
      <c r="C565" s="52" t="s">
        <v>44</v>
      </c>
      <c r="D565" s="52" t="s">
        <v>1910</v>
      </c>
      <c r="E565" s="53">
        <v>-3624.43</v>
      </c>
      <c r="F565" s="55" t="s">
        <v>8</v>
      </c>
      <c r="G565" s="649" t="s">
        <v>124</v>
      </c>
    </row>
    <row r="566" spans="1:7" s="667" customFormat="1" x14ac:dyDescent="0.3">
      <c r="A566" s="51">
        <v>45952</v>
      </c>
      <c r="B566" s="123" t="s">
        <v>211</v>
      </c>
      <c r="C566" s="52" t="s">
        <v>104</v>
      </c>
      <c r="D566" s="52" t="s">
        <v>1911</v>
      </c>
      <c r="E566" s="53">
        <v>-3268.65</v>
      </c>
      <c r="F566" s="55" t="s">
        <v>8</v>
      </c>
      <c r="G566" s="649" t="s">
        <v>124</v>
      </c>
    </row>
    <row r="567" spans="1:7" s="667" customFormat="1" x14ac:dyDescent="0.3">
      <c r="A567" s="51">
        <v>45952</v>
      </c>
      <c r="B567" s="123" t="s">
        <v>211</v>
      </c>
      <c r="C567" s="52" t="s">
        <v>44</v>
      </c>
      <c r="D567" s="52" t="s">
        <v>1913</v>
      </c>
      <c r="E567" s="53">
        <v>-3714.04</v>
      </c>
      <c r="F567" s="55" t="s">
        <v>8</v>
      </c>
      <c r="G567" s="649" t="s">
        <v>124</v>
      </c>
    </row>
    <row r="568" spans="1:7" s="667" customFormat="1" x14ac:dyDescent="0.3">
      <c r="A568" s="51">
        <v>45952</v>
      </c>
      <c r="B568" s="123" t="s">
        <v>211</v>
      </c>
      <c r="C568" s="648" t="s">
        <v>104</v>
      </c>
      <c r="D568" s="52" t="s">
        <v>1912</v>
      </c>
      <c r="E568" s="53">
        <v>-111.42</v>
      </c>
      <c r="F568" s="55" t="s">
        <v>8</v>
      </c>
      <c r="G568" s="649" t="s">
        <v>124</v>
      </c>
    </row>
    <row r="569" spans="1:7" s="667" customFormat="1" x14ac:dyDescent="0.3">
      <c r="A569" s="60">
        <v>45952</v>
      </c>
      <c r="B569" s="123" t="s">
        <v>211</v>
      </c>
      <c r="C569" s="719" t="s">
        <v>32</v>
      </c>
      <c r="D569" s="52" t="s">
        <v>1939</v>
      </c>
      <c r="E569" s="53">
        <v>-493.2</v>
      </c>
      <c r="F569" s="55" t="s">
        <v>8</v>
      </c>
      <c r="G569" s="54" t="s">
        <v>82</v>
      </c>
    </row>
    <row r="570" spans="1:7" s="667" customFormat="1" x14ac:dyDescent="0.3">
      <c r="A570" s="60">
        <v>45952</v>
      </c>
      <c r="B570" s="123" t="s">
        <v>211</v>
      </c>
      <c r="C570" s="648" t="s">
        <v>32</v>
      </c>
      <c r="D570" s="52" t="s">
        <v>1947</v>
      </c>
      <c r="E570" s="53">
        <v>-83.68</v>
      </c>
      <c r="F570" s="55" t="s">
        <v>8</v>
      </c>
      <c r="G570" s="54" t="s">
        <v>386</v>
      </c>
    </row>
    <row r="571" spans="1:7" s="667" customFormat="1" x14ac:dyDescent="0.3">
      <c r="A571" s="123">
        <v>45952</v>
      </c>
      <c r="B571" s="123" t="s">
        <v>211</v>
      </c>
      <c r="C571" s="52" t="s">
        <v>71</v>
      </c>
      <c r="D571" s="52" t="s">
        <v>1928</v>
      </c>
      <c r="E571" s="668">
        <v>-835.35</v>
      </c>
      <c r="F571" s="55" t="s">
        <v>8</v>
      </c>
      <c r="G571" s="61" t="s">
        <v>1279</v>
      </c>
    </row>
    <row r="572" spans="1:7" x14ac:dyDescent="0.3">
      <c r="E572" s="212">
        <f>SUM(E558:E571)</f>
        <v>-66502.560000000012</v>
      </c>
    </row>
    <row r="577" spans="1:7" x14ac:dyDescent="0.3">
      <c r="A577" s="1138" t="s">
        <v>1864</v>
      </c>
      <c r="B577" s="1138"/>
      <c r="C577" s="1138"/>
      <c r="D577" s="1138"/>
      <c r="E577" s="1138"/>
      <c r="F577" s="1138"/>
      <c r="G577" s="1138"/>
    </row>
    <row r="578" spans="1:7" ht="45.6" customHeight="1" x14ac:dyDescent="0.3">
      <c r="A578" s="1138"/>
      <c r="B578" s="1138"/>
      <c r="C578" s="1138"/>
      <c r="D578" s="1138"/>
      <c r="E578" s="1138"/>
      <c r="F578" s="1138"/>
      <c r="G578" s="1138"/>
    </row>
    <row r="579" spans="1:7" x14ac:dyDescent="0.3">
      <c r="A579" s="127" t="s">
        <v>0</v>
      </c>
      <c r="B579" s="127" t="s">
        <v>1038</v>
      </c>
      <c r="C579" s="58" t="s">
        <v>1</v>
      </c>
      <c r="D579" s="772" t="s">
        <v>2</v>
      </c>
      <c r="E579" s="59" t="s">
        <v>3</v>
      </c>
      <c r="F579" s="59" t="s">
        <v>4</v>
      </c>
      <c r="G579" s="280" t="s">
        <v>5</v>
      </c>
    </row>
    <row r="580" spans="1:7" s="667" customFormat="1" x14ac:dyDescent="0.3">
      <c r="A580" s="232">
        <v>45953</v>
      </c>
      <c r="B580" s="220" t="s">
        <v>211</v>
      </c>
      <c r="C580" s="674" t="s">
        <v>17</v>
      </c>
      <c r="D580" s="674" t="s">
        <v>1988</v>
      </c>
      <c r="E580" s="221">
        <v>-86.81</v>
      </c>
      <c r="F580" s="67" t="s">
        <v>8</v>
      </c>
      <c r="G580" s="222" t="s">
        <v>139</v>
      </c>
    </row>
    <row r="581" spans="1:7" s="667" customFormat="1" x14ac:dyDescent="0.3">
      <c r="A581" s="123">
        <v>45953</v>
      </c>
      <c r="B581" s="123" t="s">
        <v>211</v>
      </c>
      <c r="C581" s="120" t="s">
        <v>6</v>
      </c>
      <c r="D581" s="29" t="s">
        <v>1890</v>
      </c>
      <c r="E581" s="53">
        <v>-1137.72</v>
      </c>
      <c r="F581" s="55" t="s">
        <v>8</v>
      </c>
      <c r="G581" s="61" t="s">
        <v>68</v>
      </c>
    </row>
    <row r="582" spans="1:7" s="667" customFormat="1" x14ac:dyDescent="0.3">
      <c r="A582" s="123">
        <v>45953</v>
      </c>
      <c r="B582" s="123" t="s">
        <v>211</v>
      </c>
      <c r="C582" s="120" t="s">
        <v>6</v>
      </c>
      <c r="D582" s="29" t="s">
        <v>1854</v>
      </c>
      <c r="E582" s="121">
        <v>-4190.5600000000004</v>
      </c>
      <c r="F582" s="67" t="s">
        <v>8</v>
      </c>
      <c r="G582" s="236" t="s">
        <v>111</v>
      </c>
    </row>
    <row r="583" spans="1:7" s="667" customFormat="1" x14ac:dyDescent="0.3">
      <c r="A583" s="51">
        <v>45953</v>
      </c>
      <c r="B583" s="123" t="s">
        <v>211</v>
      </c>
      <c r="C583" s="720" t="s">
        <v>1571</v>
      </c>
      <c r="D583" s="29" t="s">
        <v>2170</v>
      </c>
      <c r="E583" s="121">
        <v>-341.92</v>
      </c>
      <c r="F583" s="55" t="s">
        <v>8</v>
      </c>
      <c r="G583" s="61" t="s">
        <v>348</v>
      </c>
    </row>
    <row r="584" spans="1:7" s="667" customFormat="1" x14ac:dyDescent="0.3">
      <c r="A584" s="51">
        <v>45953</v>
      </c>
      <c r="B584" s="123" t="s">
        <v>211</v>
      </c>
      <c r="C584" s="720" t="s">
        <v>13</v>
      </c>
      <c r="D584" s="29" t="s">
        <v>14</v>
      </c>
      <c r="E584" s="121">
        <v>-1500</v>
      </c>
      <c r="F584" s="55" t="s">
        <v>8</v>
      </c>
      <c r="G584" s="61" t="s">
        <v>15</v>
      </c>
    </row>
    <row r="585" spans="1:7" s="667" customFormat="1" x14ac:dyDescent="0.3">
      <c r="A585" s="123">
        <v>45953</v>
      </c>
      <c r="B585" s="123" t="s">
        <v>211</v>
      </c>
      <c r="C585" s="698" t="s">
        <v>31</v>
      </c>
      <c r="D585" s="29" t="s">
        <v>2153</v>
      </c>
      <c r="E585" s="121">
        <v>-2298.0300000000002</v>
      </c>
      <c r="F585" s="55" t="s">
        <v>8</v>
      </c>
      <c r="G585" s="61" t="s">
        <v>91</v>
      </c>
    </row>
    <row r="586" spans="1:7" s="667" customFormat="1" x14ac:dyDescent="0.3">
      <c r="A586" s="123">
        <v>45953</v>
      </c>
      <c r="B586" s="123" t="s">
        <v>211</v>
      </c>
      <c r="C586" s="682" t="s">
        <v>25</v>
      </c>
      <c r="D586" s="29" t="s">
        <v>2153</v>
      </c>
      <c r="E586" s="121">
        <v>-1286.52</v>
      </c>
      <c r="F586" s="55" t="s">
        <v>8</v>
      </c>
      <c r="G586" s="61" t="s">
        <v>91</v>
      </c>
    </row>
    <row r="587" spans="1:7" s="667" customFormat="1" x14ac:dyDescent="0.3">
      <c r="A587" s="123">
        <v>45953</v>
      </c>
      <c r="B587" s="123" t="s">
        <v>211</v>
      </c>
      <c r="C587" s="120" t="s">
        <v>17</v>
      </c>
      <c r="D587" s="29" t="s">
        <v>2153</v>
      </c>
      <c r="E587" s="121">
        <v>-13578.66</v>
      </c>
      <c r="F587" s="55" t="s">
        <v>8</v>
      </c>
      <c r="G587" s="61" t="s">
        <v>91</v>
      </c>
    </row>
    <row r="588" spans="1:7" s="667" customFormat="1" x14ac:dyDescent="0.3">
      <c r="A588" s="123">
        <v>45953</v>
      </c>
      <c r="B588" s="271" t="s">
        <v>211</v>
      </c>
      <c r="C588" s="52" t="s">
        <v>71</v>
      </c>
      <c r="D588" s="52" t="s">
        <v>1992</v>
      </c>
      <c r="E588" s="53">
        <v>-680.24</v>
      </c>
      <c r="F588" s="55" t="s">
        <v>8</v>
      </c>
      <c r="G588" s="54" t="s">
        <v>227</v>
      </c>
    </row>
    <row r="589" spans="1:7" s="667" customFormat="1" x14ac:dyDescent="0.3">
      <c r="A589" s="123">
        <v>45953</v>
      </c>
      <c r="B589" s="271" t="s">
        <v>211</v>
      </c>
      <c r="C589" s="52" t="s">
        <v>71</v>
      </c>
      <c r="D589" s="52" t="s">
        <v>1991</v>
      </c>
      <c r="E589" s="53">
        <v>-1423.33</v>
      </c>
      <c r="F589" s="55" t="s">
        <v>8</v>
      </c>
      <c r="G589" s="54" t="s">
        <v>227</v>
      </c>
    </row>
    <row r="590" spans="1:7" s="667" customFormat="1" x14ac:dyDescent="0.3">
      <c r="A590" s="123">
        <v>45953</v>
      </c>
      <c r="B590" s="271" t="s">
        <v>211</v>
      </c>
      <c r="C590" s="52" t="s">
        <v>17</v>
      </c>
      <c r="D590" s="52" t="s">
        <v>1989</v>
      </c>
      <c r="E590" s="53">
        <v>-66.64</v>
      </c>
      <c r="F590" s="55" t="s">
        <v>8</v>
      </c>
      <c r="G590" s="54" t="s">
        <v>227</v>
      </c>
    </row>
    <row r="591" spans="1:7" s="667" customFormat="1" x14ac:dyDescent="0.3">
      <c r="A591" s="123">
        <v>45953</v>
      </c>
      <c r="B591" s="271" t="s">
        <v>211</v>
      </c>
      <c r="C591" s="835" t="s">
        <v>71</v>
      </c>
      <c r="D591" s="835" t="s">
        <v>1990</v>
      </c>
      <c r="E591" s="652">
        <v>-440.27</v>
      </c>
      <c r="F591" s="55" t="s">
        <v>8</v>
      </c>
      <c r="G591" s="54" t="s">
        <v>1626</v>
      </c>
    </row>
    <row r="592" spans="1:7" s="667" customFormat="1" x14ac:dyDescent="0.3">
      <c r="A592" s="123">
        <v>45953</v>
      </c>
      <c r="B592" s="271" t="s">
        <v>211</v>
      </c>
      <c r="C592" s="698" t="s">
        <v>17</v>
      </c>
      <c r="D592" s="29" t="s">
        <v>2154</v>
      </c>
      <c r="E592" s="121">
        <v>-1560.68</v>
      </c>
      <c r="F592" s="55" t="s">
        <v>8</v>
      </c>
      <c r="G592" s="61" t="s">
        <v>132</v>
      </c>
    </row>
    <row r="593" spans="1:7" s="667" customFormat="1" x14ac:dyDescent="0.3">
      <c r="A593" s="123">
        <v>45953</v>
      </c>
      <c r="B593" s="123" t="s">
        <v>211</v>
      </c>
      <c r="C593" s="698" t="s">
        <v>44</v>
      </c>
      <c r="D593" s="68" t="s">
        <v>1849</v>
      </c>
      <c r="E593" s="53">
        <v>-5974.17</v>
      </c>
      <c r="F593" s="55" t="s">
        <v>8</v>
      </c>
      <c r="G593" s="54" t="s">
        <v>46</v>
      </c>
    </row>
    <row r="594" spans="1:7" s="667" customFormat="1" x14ac:dyDescent="0.3">
      <c r="A594" s="123">
        <v>45953</v>
      </c>
      <c r="B594" s="123" t="s">
        <v>211</v>
      </c>
      <c r="C594" s="720" t="s">
        <v>13</v>
      </c>
      <c r="D594" s="29" t="s">
        <v>2133</v>
      </c>
      <c r="E594" s="121">
        <v>-5395</v>
      </c>
      <c r="F594" s="55" t="s">
        <v>8</v>
      </c>
      <c r="G594" s="61" t="s">
        <v>27</v>
      </c>
    </row>
    <row r="595" spans="1:7" s="667" customFormat="1" x14ac:dyDescent="0.3">
      <c r="A595" s="123">
        <v>45953</v>
      </c>
      <c r="B595" s="123" t="s">
        <v>211</v>
      </c>
      <c r="C595" s="833" t="s">
        <v>17</v>
      </c>
      <c r="D595" s="29" t="s">
        <v>1942</v>
      </c>
      <c r="E595" s="121">
        <v>-6006</v>
      </c>
      <c r="F595" s="166" t="s">
        <v>8</v>
      </c>
      <c r="G595" s="61" t="s">
        <v>53</v>
      </c>
    </row>
    <row r="596" spans="1:7" s="667" customFormat="1" x14ac:dyDescent="0.3">
      <c r="A596" s="123">
        <v>45953</v>
      </c>
      <c r="B596" s="123" t="s">
        <v>211</v>
      </c>
      <c r="C596" s="120" t="s">
        <v>25</v>
      </c>
      <c r="D596" s="29" t="s">
        <v>2171</v>
      </c>
      <c r="E596" s="121">
        <v>-3072.61</v>
      </c>
      <c r="F596" s="55" t="s">
        <v>8</v>
      </c>
      <c r="G596" s="156" t="s">
        <v>153</v>
      </c>
    </row>
    <row r="597" spans="1:7" s="667" customFormat="1" x14ac:dyDescent="0.3">
      <c r="A597" s="123">
        <v>45953</v>
      </c>
      <c r="B597" s="123" t="s">
        <v>211</v>
      </c>
      <c r="C597" s="720" t="s">
        <v>6</v>
      </c>
      <c r="D597" s="29" t="s">
        <v>122</v>
      </c>
      <c r="E597" s="121">
        <v>-40.630000000000003</v>
      </c>
      <c r="F597" s="55" t="s">
        <v>8</v>
      </c>
      <c r="G597" s="61" t="s">
        <v>68</v>
      </c>
    </row>
    <row r="598" spans="1:7" s="667" customFormat="1" x14ac:dyDescent="0.3">
      <c r="A598" s="123">
        <v>45953</v>
      </c>
      <c r="B598" s="123" t="s">
        <v>211</v>
      </c>
      <c r="C598" s="720" t="s">
        <v>13</v>
      </c>
      <c r="D598" s="29" t="s">
        <v>2134</v>
      </c>
      <c r="E598" s="121">
        <v>-500</v>
      </c>
      <c r="F598" s="55" t="s">
        <v>8</v>
      </c>
      <c r="G598" s="61" t="s">
        <v>27</v>
      </c>
    </row>
    <row r="599" spans="1:7" s="667" customFormat="1" x14ac:dyDescent="0.3">
      <c r="A599" s="123">
        <v>45953</v>
      </c>
      <c r="B599" s="123" t="s">
        <v>211</v>
      </c>
      <c r="C599" s="720" t="s">
        <v>13</v>
      </c>
      <c r="D599" s="29" t="s">
        <v>2135</v>
      </c>
      <c r="E599" s="121">
        <v>-500</v>
      </c>
      <c r="F599" s="55" t="s">
        <v>8</v>
      </c>
      <c r="G599" s="61" t="s">
        <v>27</v>
      </c>
    </row>
    <row r="600" spans="1:7" s="667" customFormat="1" x14ac:dyDescent="0.3">
      <c r="A600" s="123">
        <v>45953</v>
      </c>
      <c r="B600" s="123" t="s">
        <v>211</v>
      </c>
      <c r="C600" s="720" t="s">
        <v>13</v>
      </c>
      <c r="D600" s="29" t="s">
        <v>2137</v>
      </c>
      <c r="E600" s="121">
        <v>-720</v>
      </c>
      <c r="F600" s="55" t="s">
        <v>8</v>
      </c>
      <c r="G600" s="61" t="s">
        <v>27</v>
      </c>
    </row>
    <row r="601" spans="1:7" s="667" customFormat="1" x14ac:dyDescent="0.3">
      <c r="A601" s="123">
        <v>45953</v>
      </c>
      <c r="B601" s="123" t="s">
        <v>211</v>
      </c>
      <c r="C601" s="720" t="s">
        <v>13</v>
      </c>
      <c r="D601" s="29" t="s">
        <v>2138</v>
      </c>
      <c r="E601" s="121">
        <v>-1120</v>
      </c>
      <c r="F601" s="55" t="s">
        <v>8</v>
      </c>
      <c r="G601" s="61" t="s">
        <v>27</v>
      </c>
    </row>
    <row r="602" spans="1:7" s="667" customFormat="1" x14ac:dyDescent="0.3">
      <c r="A602" s="123">
        <v>45953</v>
      </c>
      <c r="B602" s="123" t="s">
        <v>211</v>
      </c>
      <c r="C602" s="52" t="s">
        <v>25</v>
      </c>
      <c r="D602" s="52" t="s">
        <v>1941</v>
      </c>
      <c r="E602" s="53">
        <v>-1484.05</v>
      </c>
      <c r="F602" s="55" t="s">
        <v>8</v>
      </c>
      <c r="G602" s="649" t="s">
        <v>75</v>
      </c>
    </row>
    <row r="603" spans="1:7" s="667" customFormat="1" x14ac:dyDescent="0.3">
      <c r="A603" s="123">
        <v>45953</v>
      </c>
      <c r="B603" s="123" t="s">
        <v>211</v>
      </c>
      <c r="C603" s="52" t="s">
        <v>1571</v>
      </c>
      <c r="D603" s="52" t="s">
        <v>1956</v>
      </c>
      <c r="E603" s="53">
        <v>-300</v>
      </c>
      <c r="F603" s="55" t="s">
        <v>8</v>
      </c>
      <c r="G603" s="649" t="s">
        <v>78</v>
      </c>
    </row>
    <row r="604" spans="1:7" s="667" customFormat="1" x14ac:dyDescent="0.3">
      <c r="A604" s="123">
        <v>45953</v>
      </c>
      <c r="B604" s="368" t="s">
        <v>211</v>
      </c>
      <c r="C604" s="52" t="s">
        <v>31</v>
      </c>
      <c r="D604" s="52" t="s">
        <v>1957</v>
      </c>
      <c r="E604" s="64">
        <v>-50</v>
      </c>
      <c r="F604" s="65" t="s">
        <v>8</v>
      </c>
      <c r="G604" s="761" t="s">
        <v>111</v>
      </c>
    </row>
    <row r="605" spans="1:7" s="667" customFormat="1" x14ac:dyDescent="0.3">
      <c r="A605" s="123">
        <v>45953</v>
      </c>
      <c r="B605" s="123" t="s">
        <v>211</v>
      </c>
      <c r="C605" s="52" t="s">
        <v>1571</v>
      </c>
      <c r="D605" s="52" t="s">
        <v>1958</v>
      </c>
      <c r="E605" s="53">
        <v>-519</v>
      </c>
      <c r="F605" s="55" t="s">
        <v>8</v>
      </c>
      <c r="G605" s="649" t="s">
        <v>19</v>
      </c>
    </row>
    <row r="606" spans="1:7" s="667" customFormat="1" x14ac:dyDescent="0.3">
      <c r="A606" s="123">
        <v>45953</v>
      </c>
      <c r="B606" s="123" t="s">
        <v>211</v>
      </c>
      <c r="C606" s="52" t="s">
        <v>17</v>
      </c>
      <c r="D606" s="52" t="s">
        <v>1938</v>
      </c>
      <c r="E606" s="668">
        <v>-474</v>
      </c>
      <c r="F606" s="55" t="s">
        <v>8</v>
      </c>
      <c r="G606" s="61" t="s">
        <v>1440</v>
      </c>
    </row>
    <row r="607" spans="1:7" s="667" customFormat="1" x14ac:dyDescent="0.3">
      <c r="A607" s="123">
        <v>45953</v>
      </c>
      <c r="B607" s="123" t="s">
        <v>211</v>
      </c>
      <c r="C607" s="52" t="s">
        <v>44</v>
      </c>
      <c r="D607" s="52" t="s">
        <v>1886</v>
      </c>
      <c r="E607" s="668">
        <v>-1695.95</v>
      </c>
      <c r="F607" s="55" t="s">
        <v>8</v>
      </c>
      <c r="G607" s="61" t="s">
        <v>1279</v>
      </c>
    </row>
    <row r="608" spans="1:7" s="667" customFormat="1" x14ac:dyDescent="0.3">
      <c r="A608" s="123">
        <v>45953</v>
      </c>
      <c r="B608" s="123" t="s">
        <v>211</v>
      </c>
      <c r="C608" s="52" t="s">
        <v>71</v>
      </c>
      <c r="D608" s="52" t="s">
        <v>1929</v>
      </c>
      <c r="E608" s="668">
        <v>-477.4</v>
      </c>
      <c r="F608" s="55" t="s">
        <v>8</v>
      </c>
      <c r="G608" s="61" t="s">
        <v>1279</v>
      </c>
    </row>
    <row r="609" spans="1:7" s="667" customFormat="1" x14ac:dyDescent="0.3">
      <c r="A609" s="123">
        <v>45953</v>
      </c>
      <c r="B609" s="123" t="s">
        <v>211</v>
      </c>
      <c r="C609" s="52" t="s">
        <v>17</v>
      </c>
      <c r="D609" s="52" t="s">
        <v>1934</v>
      </c>
      <c r="E609" s="53">
        <v>-113.4</v>
      </c>
      <c r="F609" s="55" t="s">
        <v>8</v>
      </c>
      <c r="G609" s="61" t="s">
        <v>1279</v>
      </c>
    </row>
    <row r="610" spans="1:7" s="667" customFormat="1" x14ac:dyDescent="0.3">
      <c r="A610" s="123">
        <v>45953</v>
      </c>
      <c r="B610" s="123" t="s">
        <v>211</v>
      </c>
      <c r="C610" s="648" t="s">
        <v>44</v>
      </c>
      <c r="D610" s="52" t="s">
        <v>1935</v>
      </c>
      <c r="E610" s="53">
        <v>-1685.66</v>
      </c>
      <c r="F610" s="55" t="s">
        <v>8</v>
      </c>
      <c r="G610" s="61" t="s">
        <v>1064</v>
      </c>
    </row>
    <row r="611" spans="1:7" s="667" customFormat="1" x14ac:dyDescent="0.3">
      <c r="A611" s="123">
        <v>45953</v>
      </c>
      <c r="B611" s="123" t="s">
        <v>211</v>
      </c>
      <c r="C611" s="648" t="s">
        <v>17</v>
      </c>
      <c r="D611" s="52" t="s">
        <v>1936</v>
      </c>
      <c r="E611" s="53">
        <v>-189</v>
      </c>
      <c r="F611" s="55" t="s">
        <v>8</v>
      </c>
      <c r="G611" s="61" t="s">
        <v>1440</v>
      </c>
    </row>
    <row r="612" spans="1:7" s="667" customFormat="1" x14ac:dyDescent="0.3">
      <c r="A612" s="123">
        <v>45953</v>
      </c>
      <c r="B612" s="123" t="s">
        <v>211</v>
      </c>
      <c r="C612" s="52" t="s">
        <v>6</v>
      </c>
      <c r="D612" s="52" t="s">
        <v>1264</v>
      </c>
      <c r="E612" s="53">
        <v>-44</v>
      </c>
      <c r="F612" s="55" t="s">
        <v>8</v>
      </c>
      <c r="G612" s="54" t="s">
        <v>82</v>
      </c>
    </row>
    <row r="613" spans="1:7" s="667" customFormat="1" x14ac:dyDescent="0.3">
      <c r="A613" s="123">
        <v>45953</v>
      </c>
      <c r="B613" s="123" t="s">
        <v>211</v>
      </c>
      <c r="C613" s="52" t="s">
        <v>6</v>
      </c>
      <c r="D613" s="52" t="s">
        <v>1267</v>
      </c>
      <c r="E613" s="53">
        <v>-44</v>
      </c>
      <c r="F613" s="55" t="s">
        <v>8</v>
      </c>
      <c r="G613" s="54" t="s">
        <v>82</v>
      </c>
    </row>
    <row r="614" spans="1:7" s="667" customFormat="1" x14ac:dyDescent="0.3">
      <c r="A614" s="123">
        <v>45953</v>
      </c>
      <c r="B614" s="123" t="s">
        <v>211</v>
      </c>
      <c r="C614" s="52" t="s">
        <v>6</v>
      </c>
      <c r="D614" s="52" t="s">
        <v>1228</v>
      </c>
      <c r="E614" s="53">
        <v>-44</v>
      </c>
      <c r="F614" s="55" t="s">
        <v>8</v>
      </c>
      <c r="G614" s="54" t="s">
        <v>82</v>
      </c>
    </row>
    <row r="615" spans="1:7" s="667" customFormat="1" x14ac:dyDescent="0.3">
      <c r="A615" s="123">
        <v>45953</v>
      </c>
      <c r="B615" s="123" t="s">
        <v>211</v>
      </c>
      <c r="C615" s="52" t="s">
        <v>6</v>
      </c>
      <c r="D615" s="52" t="s">
        <v>1268</v>
      </c>
      <c r="E615" s="53">
        <v>-44</v>
      </c>
      <c r="F615" s="55" t="s">
        <v>8</v>
      </c>
      <c r="G615" s="54" t="s">
        <v>82</v>
      </c>
    </row>
    <row r="616" spans="1:7" s="667" customFormat="1" x14ac:dyDescent="0.3">
      <c r="A616" s="123">
        <v>45953</v>
      </c>
      <c r="B616" s="123" t="s">
        <v>211</v>
      </c>
      <c r="C616" s="52" t="s">
        <v>25</v>
      </c>
      <c r="D616" s="52" t="s">
        <v>1959</v>
      </c>
      <c r="E616" s="53">
        <v>-181.6</v>
      </c>
      <c r="F616" s="55" t="s">
        <v>8</v>
      </c>
      <c r="G616" s="54" t="s">
        <v>82</v>
      </c>
    </row>
    <row r="617" spans="1:7" s="667" customFormat="1" x14ac:dyDescent="0.3">
      <c r="A617" s="123">
        <v>45953</v>
      </c>
      <c r="B617" s="123" t="s">
        <v>211</v>
      </c>
      <c r="C617" s="52" t="s">
        <v>25</v>
      </c>
      <c r="D617" s="52" t="s">
        <v>1960</v>
      </c>
      <c r="E617" s="53">
        <v>-123</v>
      </c>
      <c r="F617" s="55" t="s">
        <v>8</v>
      </c>
      <c r="G617" s="54" t="s">
        <v>82</v>
      </c>
    </row>
    <row r="618" spans="1:7" s="667" customFormat="1" x14ac:dyDescent="0.3">
      <c r="A618" s="123">
        <v>45953</v>
      </c>
      <c r="B618" s="123" t="s">
        <v>211</v>
      </c>
      <c r="C618" s="52" t="s">
        <v>25</v>
      </c>
      <c r="D618" s="52" t="s">
        <v>1961</v>
      </c>
      <c r="E618" s="53">
        <v>-123</v>
      </c>
      <c r="F618" s="55" t="s">
        <v>8</v>
      </c>
      <c r="G618" s="54" t="s">
        <v>82</v>
      </c>
    </row>
    <row r="619" spans="1:7" s="667" customFormat="1" x14ac:dyDescent="0.3">
      <c r="A619" s="123">
        <v>45953</v>
      </c>
      <c r="B619" s="123" t="s">
        <v>211</v>
      </c>
      <c r="C619" s="120" t="s">
        <v>6</v>
      </c>
      <c r="D619" s="29" t="s">
        <v>92</v>
      </c>
      <c r="E619" s="121">
        <v>-177.05</v>
      </c>
      <c r="F619" s="55" t="s">
        <v>8</v>
      </c>
      <c r="G619" s="61" t="s">
        <v>29</v>
      </c>
    </row>
    <row r="620" spans="1:7" s="667" customFormat="1" x14ac:dyDescent="0.3">
      <c r="A620" s="123">
        <v>45953</v>
      </c>
      <c r="B620" s="123" t="s">
        <v>211</v>
      </c>
      <c r="C620" s="120" t="s">
        <v>44</v>
      </c>
      <c r="D620" s="29" t="s">
        <v>92</v>
      </c>
      <c r="E620" s="121">
        <v>-177.05</v>
      </c>
      <c r="F620" s="55" t="s">
        <v>8</v>
      </c>
      <c r="G620" s="61" t="s">
        <v>29</v>
      </c>
    </row>
    <row r="621" spans="1:7" s="667" customFormat="1" x14ac:dyDescent="0.3">
      <c r="A621" s="123">
        <v>45953</v>
      </c>
      <c r="B621" s="123" t="s">
        <v>211</v>
      </c>
      <c r="C621" s="120" t="s">
        <v>13</v>
      </c>
      <c r="D621" s="29" t="s">
        <v>92</v>
      </c>
      <c r="E621" s="121">
        <v>-177.05</v>
      </c>
      <c r="F621" s="55" t="s">
        <v>8</v>
      </c>
      <c r="G621" s="61" t="s">
        <v>29</v>
      </c>
    </row>
    <row r="622" spans="1:7" s="667" customFormat="1" x14ac:dyDescent="0.3">
      <c r="A622" s="123">
        <v>45953</v>
      </c>
      <c r="B622" s="123" t="s">
        <v>211</v>
      </c>
      <c r="C622" s="120" t="s">
        <v>648</v>
      </c>
      <c r="D622" s="29" t="s">
        <v>92</v>
      </c>
      <c r="E622" s="121">
        <v>-177.05</v>
      </c>
      <c r="F622" s="55" t="s">
        <v>8</v>
      </c>
      <c r="G622" s="61" t="s">
        <v>29</v>
      </c>
    </row>
    <row r="623" spans="1:7" s="667" customFormat="1" x14ac:dyDescent="0.3">
      <c r="A623" s="123">
        <v>45953</v>
      </c>
      <c r="B623" s="123" t="s">
        <v>211</v>
      </c>
      <c r="C623" s="120" t="s">
        <v>31</v>
      </c>
      <c r="D623" s="29" t="s">
        <v>92</v>
      </c>
      <c r="E623" s="121">
        <v>-177.05</v>
      </c>
      <c r="F623" s="55" t="s">
        <v>8</v>
      </c>
      <c r="G623" s="61" t="s">
        <v>29</v>
      </c>
    </row>
    <row r="624" spans="1:7" s="667" customFormat="1" x14ac:dyDescent="0.3">
      <c r="A624" s="123">
        <v>45953</v>
      </c>
      <c r="B624" s="271" t="s">
        <v>211</v>
      </c>
      <c r="C624" s="233" t="s">
        <v>64</v>
      </c>
      <c r="D624" s="272" t="s">
        <v>92</v>
      </c>
      <c r="E624" s="439">
        <v>-177.05</v>
      </c>
      <c r="F624" s="67" t="s">
        <v>8</v>
      </c>
      <c r="G624" s="236" t="s">
        <v>29</v>
      </c>
    </row>
    <row r="625" spans="1:7" s="667" customFormat="1" x14ac:dyDescent="0.3">
      <c r="A625" s="123">
        <v>45953</v>
      </c>
      <c r="B625" s="123" t="s">
        <v>211</v>
      </c>
      <c r="C625" s="698" t="s">
        <v>17</v>
      </c>
      <c r="D625" s="29" t="s">
        <v>92</v>
      </c>
      <c r="E625" s="121">
        <v>-177.05</v>
      </c>
      <c r="F625" s="55" t="s">
        <v>8</v>
      </c>
      <c r="G625" s="61" t="s">
        <v>29</v>
      </c>
    </row>
    <row r="626" spans="1:7" s="667" customFormat="1" x14ac:dyDescent="0.3">
      <c r="A626" s="123">
        <v>45953</v>
      </c>
      <c r="B626" s="123" t="s">
        <v>211</v>
      </c>
      <c r="C626" s="698" t="s">
        <v>647</v>
      </c>
      <c r="D626" s="29" t="s">
        <v>92</v>
      </c>
      <c r="E626" s="121">
        <v>-177.05</v>
      </c>
      <c r="F626" s="55" t="s">
        <v>8</v>
      </c>
      <c r="G626" s="61" t="s">
        <v>29</v>
      </c>
    </row>
    <row r="627" spans="1:7" s="667" customFormat="1" x14ac:dyDescent="0.3">
      <c r="A627" s="123">
        <v>45953</v>
      </c>
      <c r="B627" s="123" t="s">
        <v>211</v>
      </c>
      <c r="C627" s="698" t="s">
        <v>93</v>
      </c>
      <c r="D627" s="29" t="s">
        <v>92</v>
      </c>
      <c r="E627" s="121">
        <v>-177.05</v>
      </c>
      <c r="F627" s="55" t="s">
        <v>8</v>
      </c>
      <c r="G627" s="61" t="s">
        <v>29</v>
      </c>
    </row>
    <row r="628" spans="1:7" s="667" customFormat="1" x14ac:dyDescent="0.3">
      <c r="A628" s="123">
        <v>45953</v>
      </c>
      <c r="B628" s="123" t="s">
        <v>211</v>
      </c>
      <c r="C628" s="698" t="s">
        <v>33</v>
      </c>
      <c r="D628" s="520" t="s">
        <v>92</v>
      </c>
      <c r="E628" s="121">
        <v>-177.05</v>
      </c>
      <c r="F628" s="55" t="s">
        <v>8</v>
      </c>
      <c r="G628" s="61" t="s">
        <v>29</v>
      </c>
    </row>
    <row r="629" spans="1:7" s="667" customFormat="1" x14ac:dyDescent="0.3">
      <c r="A629" s="123">
        <v>45953</v>
      </c>
      <c r="B629" s="123" t="s">
        <v>211</v>
      </c>
      <c r="C629" s="698" t="s">
        <v>32</v>
      </c>
      <c r="D629" s="29" t="s">
        <v>92</v>
      </c>
      <c r="E629" s="121">
        <v>-177.05</v>
      </c>
      <c r="F629" s="55" t="s">
        <v>8</v>
      </c>
      <c r="G629" s="61" t="s">
        <v>29</v>
      </c>
    </row>
    <row r="630" spans="1:7" s="667" customFormat="1" x14ac:dyDescent="0.3">
      <c r="A630" s="123">
        <v>45953</v>
      </c>
      <c r="B630" s="123" t="s">
        <v>211</v>
      </c>
      <c r="C630" s="698" t="s">
        <v>34</v>
      </c>
      <c r="D630" s="29" t="s">
        <v>92</v>
      </c>
      <c r="E630" s="121">
        <v>-177.05</v>
      </c>
      <c r="F630" s="55" t="s">
        <v>8</v>
      </c>
      <c r="G630" s="61" t="s">
        <v>29</v>
      </c>
    </row>
    <row r="631" spans="1:7" s="667" customFormat="1" x14ac:dyDescent="0.3">
      <c r="A631" s="368">
        <v>45953</v>
      </c>
      <c r="B631" s="123" t="s">
        <v>211</v>
      </c>
      <c r="C631" s="720" t="s">
        <v>6</v>
      </c>
      <c r="D631" s="29" t="s">
        <v>2136</v>
      </c>
      <c r="E631" s="671">
        <v>-33674.620000000003</v>
      </c>
      <c r="F631" s="55" t="s">
        <v>8</v>
      </c>
      <c r="G631" s="61" t="s">
        <v>82</v>
      </c>
    </row>
    <row r="632" spans="1:7" s="667" customFormat="1" x14ac:dyDescent="0.3">
      <c r="A632" s="368">
        <v>45953</v>
      </c>
      <c r="B632" s="123" t="s">
        <v>211</v>
      </c>
      <c r="C632" s="720" t="s">
        <v>421</v>
      </c>
      <c r="D632" s="29" t="s">
        <v>2172</v>
      </c>
      <c r="E632" s="671">
        <v>-35750</v>
      </c>
      <c r="F632" s="55" t="s">
        <v>8</v>
      </c>
      <c r="G632" s="61" t="s">
        <v>153</v>
      </c>
    </row>
    <row r="633" spans="1:7" x14ac:dyDescent="0.3">
      <c r="E633" s="212">
        <f>SUM(E580:E632)</f>
        <v>-131061.07000000004</v>
      </c>
    </row>
    <row r="640" spans="1:7" x14ac:dyDescent="0.3">
      <c r="A640" s="1138" t="s">
        <v>1950</v>
      </c>
      <c r="B640" s="1138"/>
      <c r="C640" s="1138"/>
      <c r="D640" s="1138"/>
      <c r="E640" s="1138"/>
      <c r="F640" s="1138"/>
      <c r="G640" s="1138"/>
    </row>
    <row r="641" spans="1:7" ht="37.799999999999997" customHeight="1" x14ac:dyDescent="0.3">
      <c r="A641" s="1138"/>
      <c r="B641" s="1138"/>
      <c r="C641" s="1138"/>
      <c r="D641" s="1138"/>
      <c r="E641" s="1138"/>
      <c r="F641" s="1138"/>
      <c r="G641" s="1138"/>
    </row>
    <row r="642" spans="1:7" x14ac:dyDescent="0.3">
      <c r="A642" s="127" t="s">
        <v>0</v>
      </c>
      <c r="B642" s="127" t="s">
        <v>1038</v>
      </c>
      <c r="C642" s="58" t="s">
        <v>1</v>
      </c>
      <c r="D642" s="127" t="s">
        <v>2</v>
      </c>
      <c r="E642" s="59" t="s">
        <v>3</v>
      </c>
      <c r="F642" s="59" t="s">
        <v>4</v>
      </c>
      <c r="G642" s="280" t="s">
        <v>5</v>
      </c>
    </row>
    <row r="643" spans="1:7" s="667" customFormat="1" x14ac:dyDescent="0.3">
      <c r="A643" s="123">
        <v>45954</v>
      </c>
      <c r="B643" s="123" t="s">
        <v>211</v>
      </c>
      <c r="C643" s="52" t="s">
        <v>71</v>
      </c>
      <c r="D643" s="52" t="s">
        <v>2181</v>
      </c>
      <c r="E643" s="53">
        <v>-3190.4</v>
      </c>
      <c r="F643" s="55" t="s">
        <v>8</v>
      </c>
      <c r="G643" s="649" t="s">
        <v>124</v>
      </c>
    </row>
    <row r="644" spans="1:7" s="667" customFormat="1" x14ac:dyDescent="0.3">
      <c r="A644" s="123">
        <v>45954</v>
      </c>
      <c r="B644" s="123" t="s">
        <v>211</v>
      </c>
      <c r="C644" s="52" t="s">
        <v>71</v>
      </c>
      <c r="D644" s="52" t="s">
        <v>2182</v>
      </c>
      <c r="E644" s="53">
        <v>-4179.75</v>
      </c>
      <c r="F644" s="55" t="s">
        <v>8</v>
      </c>
      <c r="G644" s="649" t="s">
        <v>124</v>
      </c>
    </row>
    <row r="645" spans="1:7" s="667" customFormat="1" x14ac:dyDescent="0.3">
      <c r="A645" s="123">
        <v>45954</v>
      </c>
      <c r="B645" s="123" t="s">
        <v>211</v>
      </c>
      <c r="C645" s="52" t="s">
        <v>71</v>
      </c>
      <c r="D645" s="52" t="s">
        <v>2180</v>
      </c>
      <c r="E645" s="53">
        <v>-2113.61</v>
      </c>
      <c r="F645" s="55" t="s">
        <v>8</v>
      </c>
      <c r="G645" s="649" t="s">
        <v>124</v>
      </c>
    </row>
    <row r="646" spans="1:7" s="667" customFormat="1" x14ac:dyDescent="0.3">
      <c r="A646" s="123">
        <v>45954</v>
      </c>
      <c r="B646" s="123" t="s">
        <v>211</v>
      </c>
      <c r="C646" s="720" t="s">
        <v>13</v>
      </c>
      <c r="D646" s="57" t="s">
        <v>2133</v>
      </c>
      <c r="E646" s="121">
        <v>-1080</v>
      </c>
      <c r="F646" s="55" t="s">
        <v>8</v>
      </c>
      <c r="G646" s="61" t="s">
        <v>27</v>
      </c>
    </row>
    <row r="647" spans="1:7" s="667" customFormat="1" x14ac:dyDescent="0.3">
      <c r="A647" s="123">
        <v>45954</v>
      </c>
      <c r="B647" s="123" t="s">
        <v>211</v>
      </c>
      <c r="C647" s="120" t="s">
        <v>64</v>
      </c>
      <c r="D647" s="57" t="s">
        <v>2132</v>
      </c>
      <c r="E647" s="121">
        <v>-9000</v>
      </c>
      <c r="F647" s="65" t="s">
        <v>8</v>
      </c>
      <c r="G647" s="225" t="s">
        <v>39</v>
      </c>
    </row>
    <row r="648" spans="1:7" s="667" customFormat="1" x14ac:dyDescent="0.3">
      <c r="A648" s="123">
        <v>45954</v>
      </c>
      <c r="B648" s="123" t="s">
        <v>211</v>
      </c>
      <c r="C648" s="52" t="s">
        <v>31</v>
      </c>
      <c r="D648" s="52" t="s">
        <v>2173</v>
      </c>
      <c r="E648" s="53">
        <v>-105</v>
      </c>
      <c r="F648" s="55" t="s">
        <v>8</v>
      </c>
      <c r="G648" s="61" t="s">
        <v>111</v>
      </c>
    </row>
    <row r="649" spans="1:7" s="667" customFormat="1" x14ac:dyDescent="0.3">
      <c r="A649" s="123">
        <v>45954</v>
      </c>
      <c r="B649" s="123" t="s">
        <v>211</v>
      </c>
      <c r="C649" s="52" t="s">
        <v>1571</v>
      </c>
      <c r="D649" s="52" t="s">
        <v>2174</v>
      </c>
      <c r="E649" s="53">
        <v>-107</v>
      </c>
      <c r="F649" s="55" t="s">
        <v>8</v>
      </c>
      <c r="G649" s="61" t="s">
        <v>111</v>
      </c>
    </row>
    <row r="650" spans="1:7" s="667" customFormat="1" x14ac:dyDescent="0.3">
      <c r="A650" s="123">
        <v>45954</v>
      </c>
      <c r="B650" s="123" t="s">
        <v>211</v>
      </c>
      <c r="C650" s="52" t="s">
        <v>25</v>
      </c>
      <c r="D650" s="52" t="s">
        <v>1565</v>
      </c>
      <c r="E650" s="53">
        <v>-1480.5</v>
      </c>
      <c r="F650" s="55" t="s">
        <v>8</v>
      </c>
      <c r="G650" s="54" t="s">
        <v>153</v>
      </c>
    </row>
    <row r="651" spans="1:7" s="667" customFormat="1" x14ac:dyDescent="0.3">
      <c r="A651" s="123">
        <v>45954</v>
      </c>
      <c r="B651" s="123" t="s">
        <v>211</v>
      </c>
      <c r="C651" s="52" t="s">
        <v>1571</v>
      </c>
      <c r="D651" s="52" t="s">
        <v>1945</v>
      </c>
      <c r="E651" s="53">
        <v>-524.16</v>
      </c>
      <c r="F651" s="55" t="s">
        <v>8</v>
      </c>
      <c r="G651" s="54" t="s">
        <v>75</v>
      </c>
    </row>
    <row r="652" spans="1:7" s="667" customFormat="1" x14ac:dyDescent="0.3">
      <c r="A652" s="123">
        <v>45954</v>
      </c>
      <c r="B652" s="123" t="s">
        <v>211</v>
      </c>
      <c r="C652" s="52" t="s">
        <v>71</v>
      </c>
      <c r="D652" s="52" t="s">
        <v>1946</v>
      </c>
      <c r="E652" s="53">
        <v>-1221.99</v>
      </c>
      <c r="F652" s="55" t="s">
        <v>8</v>
      </c>
      <c r="G652" s="54" t="s">
        <v>75</v>
      </c>
    </row>
    <row r="653" spans="1:7" s="667" customFormat="1" x14ac:dyDescent="0.3">
      <c r="A653" s="51">
        <v>45954</v>
      </c>
      <c r="B653" s="123" t="s">
        <v>211</v>
      </c>
      <c r="C653" s="52" t="s">
        <v>25</v>
      </c>
      <c r="D653" s="52" t="s">
        <v>1963</v>
      </c>
      <c r="E653" s="53">
        <v>-1078.6600000000001</v>
      </c>
      <c r="F653" s="55" t="s">
        <v>8</v>
      </c>
      <c r="G653" s="54" t="s">
        <v>75</v>
      </c>
    </row>
    <row r="654" spans="1:7" s="667" customFormat="1" x14ac:dyDescent="0.3">
      <c r="A654" s="123">
        <v>45954</v>
      </c>
      <c r="B654" s="123" t="s">
        <v>211</v>
      </c>
      <c r="C654" s="52" t="s">
        <v>1571</v>
      </c>
      <c r="D654" s="52" t="s">
        <v>1971</v>
      </c>
      <c r="E654" s="53">
        <v>-18</v>
      </c>
      <c r="F654" s="55" t="s">
        <v>8</v>
      </c>
      <c r="G654" s="54" t="s">
        <v>82</v>
      </c>
    </row>
    <row r="655" spans="1:7" s="667" customFormat="1" x14ac:dyDescent="0.3">
      <c r="A655" s="123">
        <v>45954</v>
      </c>
      <c r="B655" s="123" t="s">
        <v>211</v>
      </c>
      <c r="C655" s="52" t="s">
        <v>1571</v>
      </c>
      <c r="D655" s="52" t="s">
        <v>1804</v>
      </c>
      <c r="E655" s="53">
        <v>-456.72</v>
      </c>
      <c r="F655" s="55" t="s">
        <v>8</v>
      </c>
      <c r="G655" s="61" t="s">
        <v>19</v>
      </c>
    </row>
    <row r="656" spans="1:7" s="667" customFormat="1" x14ac:dyDescent="0.3">
      <c r="A656" s="123">
        <v>45954</v>
      </c>
      <c r="B656" s="123" t="s">
        <v>211</v>
      </c>
      <c r="C656" s="52" t="s">
        <v>1571</v>
      </c>
      <c r="D656" s="52" t="s">
        <v>1869</v>
      </c>
      <c r="E656" s="53">
        <v>-290.64</v>
      </c>
      <c r="F656" s="55" t="s">
        <v>8</v>
      </c>
      <c r="G656" s="61" t="s">
        <v>19</v>
      </c>
    </row>
    <row r="657" spans="1:7" s="667" customFormat="1" x14ac:dyDescent="0.3">
      <c r="A657" s="51">
        <v>45954</v>
      </c>
      <c r="B657" s="123" t="s">
        <v>211</v>
      </c>
      <c r="C657" s="52" t="s">
        <v>25</v>
      </c>
      <c r="D657" s="52" t="s">
        <v>1962</v>
      </c>
      <c r="E657" s="53">
        <v>-1500</v>
      </c>
      <c r="F657" s="54" t="s">
        <v>8</v>
      </c>
      <c r="G657" s="54" t="s">
        <v>186</v>
      </c>
    </row>
    <row r="658" spans="1:7" s="667" customFormat="1" x14ac:dyDescent="0.3">
      <c r="A658" s="51">
        <v>45954</v>
      </c>
      <c r="B658" s="123" t="s">
        <v>211</v>
      </c>
      <c r="C658" s="648" t="s">
        <v>25</v>
      </c>
      <c r="D658" s="52" t="s">
        <v>2179</v>
      </c>
      <c r="E658" s="652">
        <v>-1005.8</v>
      </c>
      <c r="F658" s="54" t="s">
        <v>8</v>
      </c>
      <c r="G658" s="54" t="s">
        <v>186</v>
      </c>
    </row>
    <row r="659" spans="1:7" s="667" customFormat="1" x14ac:dyDescent="0.3">
      <c r="A659" s="51">
        <v>45954</v>
      </c>
      <c r="B659" s="123" t="s">
        <v>211</v>
      </c>
      <c r="C659" s="648" t="s">
        <v>25</v>
      </c>
      <c r="D659" s="52" t="s">
        <v>2178</v>
      </c>
      <c r="E659" s="53">
        <v>-200</v>
      </c>
      <c r="F659" s="54" t="s">
        <v>8</v>
      </c>
      <c r="G659" s="54" t="s">
        <v>186</v>
      </c>
    </row>
    <row r="660" spans="1:7" s="667" customFormat="1" x14ac:dyDescent="0.3">
      <c r="A660" s="51">
        <v>45954</v>
      </c>
      <c r="B660" s="123" t="s">
        <v>211</v>
      </c>
      <c r="C660" s="648" t="s">
        <v>25</v>
      </c>
      <c r="D660" s="52" t="s">
        <v>1561</v>
      </c>
      <c r="E660" s="53">
        <v>-3000</v>
      </c>
      <c r="F660" s="54" t="s">
        <v>8</v>
      </c>
      <c r="G660" s="54" t="s">
        <v>186</v>
      </c>
    </row>
    <row r="661" spans="1:7" s="667" customFormat="1" x14ac:dyDescent="0.3">
      <c r="A661" s="51">
        <v>45954</v>
      </c>
      <c r="B661" s="123" t="s">
        <v>211</v>
      </c>
      <c r="C661" s="682" t="s">
        <v>64</v>
      </c>
      <c r="D661" s="29" t="s">
        <v>95</v>
      </c>
      <c r="E661" s="121">
        <v>-762.15</v>
      </c>
      <c r="F661" s="61" t="s">
        <v>8</v>
      </c>
      <c r="G661" s="61" t="s">
        <v>39</v>
      </c>
    </row>
    <row r="662" spans="1:7" x14ac:dyDescent="0.3">
      <c r="E662" s="212">
        <f>SUM(E643:E661)</f>
        <v>-31314.380000000005</v>
      </c>
    </row>
    <row r="664" spans="1:7" x14ac:dyDescent="0.3">
      <c r="A664" s="1138" t="s">
        <v>1952</v>
      </c>
      <c r="B664" s="1138"/>
      <c r="C664" s="1138"/>
      <c r="D664" s="1138"/>
      <c r="E664" s="1138"/>
      <c r="F664" s="1138"/>
      <c r="G664" s="1138"/>
    </row>
    <row r="665" spans="1:7" ht="40.799999999999997" customHeight="1" x14ac:dyDescent="0.3">
      <c r="A665" s="1138"/>
      <c r="B665" s="1138"/>
      <c r="C665" s="1138"/>
      <c r="D665" s="1138"/>
      <c r="E665" s="1138"/>
      <c r="F665" s="1138"/>
      <c r="G665" s="1138"/>
    </row>
    <row r="666" spans="1:7" x14ac:dyDescent="0.3">
      <c r="A666" s="127" t="s">
        <v>0</v>
      </c>
      <c r="B666" s="1002" t="s">
        <v>1038</v>
      </c>
      <c r="C666" s="58" t="s">
        <v>1</v>
      </c>
      <c r="D666" s="127" t="s">
        <v>2</v>
      </c>
      <c r="E666" s="59" t="s">
        <v>3</v>
      </c>
      <c r="F666" s="59" t="s">
        <v>4</v>
      </c>
      <c r="G666" s="280" t="s">
        <v>5</v>
      </c>
    </row>
    <row r="667" spans="1:7" s="753" customFormat="1" x14ac:dyDescent="0.3">
      <c r="A667" s="264">
        <v>45957</v>
      </c>
      <c r="B667" s="264" t="s">
        <v>211</v>
      </c>
      <c r="C667" s="72" t="s">
        <v>71</v>
      </c>
      <c r="D667" s="46" t="s">
        <v>2189</v>
      </c>
      <c r="E667" s="1003">
        <v>-3405.66</v>
      </c>
      <c r="F667" s="48" t="s">
        <v>8</v>
      </c>
      <c r="G667" s="49" t="s">
        <v>73</v>
      </c>
    </row>
    <row r="668" spans="1:7" s="753" customFormat="1" x14ac:dyDescent="0.3">
      <c r="A668" s="264">
        <v>45957</v>
      </c>
      <c r="B668" s="264" t="s">
        <v>211</v>
      </c>
      <c r="C668" s="46" t="s">
        <v>44</v>
      </c>
      <c r="D668" s="46" t="s">
        <v>2183</v>
      </c>
      <c r="E668" s="1003">
        <v>-250</v>
      </c>
      <c r="F668" s="48" t="s">
        <v>8</v>
      </c>
      <c r="G668" s="49" t="s">
        <v>186</v>
      </c>
    </row>
    <row r="669" spans="1:7" s="753" customFormat="1" x14ac:dyDescent="0.3">
      <c r="A669" s="1004">
        <v>45957</v>
      </c>
      <c r="B669" s="1004" t="s">
        <v>211</v>
      </c>
      <c r="C669" s="46" t="s">
        <v>25</v>
      </c>
      <c r="D669" s="46" t="s">
        <v>1526</v>
      </c>
      <c r="E669" s="1005">
        <v>-59.2</v>
      </c>
      <c r="F669" s="1006" t="s">
        <v>8</v>
      </c>
      <c r="G669" s="49" t="s">
        <v>82</v>
      </c>
    </row>
    <row r="670" spans="1:7" s="753" customFormat="1" x14ac:dyDescent="0.3">
      <c r="A670" s="264">
        <v>45957</v>
      </c>
      <c r="B670" s="264" t="s">
        <v>211</v>
      </c>
      <c r="C670" s="691" t="s">
        <v>174</v>
      </c>
      <c r="D670" s="1011" t="s">
        <v>2195</v>
      </c>
      <c r="E670" s="47">
        <v>-139.9</v>
      </c>
      <c r="F670" s="48" t="s">
        <v>8</v>
      </c>
      <c r="G670" s="229" t="s">
        <v>136</v>
      </c>
    </row>
    <row r="671" spans="1:7" s="753" customFormat="1" x14ac:dyDescent="0.3">
      <c r="A671" s="264">
        <v>45957</v>
      </c>
      <c r="B671" s="264" t="s">
        <v>211</v>
      </c>
      <c r="C671" s="691" t="s">
        <v>174</v>
      </c>
      <c r="D671" s="1011" t="s">
        <v>2196</v>
      </c>
      <c r="E671" s="692">
        <v>-154.9</v>
      </c>
      <c r="F671" s="48" t="s">
        <v>8</v>
      </c>
      <c r="G671" s="229" t="s">
        <v>136</v>
      </c>
    </row>
    <row r="672" spans="1:7" s="753" customFormat="1" x14ac:dyDescent="0.3">
      <c r="A672" s="264">
        <v>45957</v>
      </c>
      <c r="B672" s="264" t="s">
        <v>211</v>
      </c>
      <c r="C672" s="691" t="s">
        <v>31</v>
      </c>
      <c r="D672" s="1011" t="s">
        <v>2194</v>
      </c>
      <c r="E672" s="692">
        <v>-449.24</v>
      </c>
      <c r="F672" s="48" t="s">
        <v>8</v>
      </c>
      <c r="G672" s="229" t="s">
        <v>1071</v>
      </c>
    </row>
    <row r="673" spans="1:7" s="753" customFormat="1" x14ac:dyDescent="0.3">
      <c r="A673" s="264">
        <v>45957</v>
      </c>
      <c r="B673" s="264" t="s">
        <v>211</v>
      </c>
      <c r="C673" s="691" t="s">
        <v>174</v>
      </c>
      <c r="D673" s="1011" t="s">
        <v>2193</v>
      </c>
      <c r="E673" s="554">
        <v>-14181.1</v>
      </c>
      <c r="F673" s="48" t="s">
        <v>8</v>
      </c>
      <c r="G673" s="229" t="s">
        <v>1071</v>
      </c>
    </row>
    <row r="674" spans="1:7" s="753" customFormat="1" x14ac:dyDescent="0.3">
      <c r="A674" s="264">
        <v>45957</v>
      </c>
      <c r="B674" s="264" t="s">
        <v>211</v>
      </c>
      <c r="C674" s="46" t="s">
        <v>17</v>
      </c>
      <c r="D674" s="46" t="s">
        <v>2192</v>
      </c>
      <c r="E674" s="554">
        <v>-87452.75</v>
      </c>
      <c r="F674" s="48" t="s">
        <v>8</v>
      </c>
      <c r="G674" s="229" t="s">
        <v>1931</v>
      </c>
    </row>
    <row r="675" spans="1:7" x14ac:dyDescent="0.3">
      <c r="E675" s="22">
        <f>SUM(E666:E674)</f>
        <v>-106092.75</v>
      </c>
    </row>
    <row r="678" spans="1:7" x14ac:dyDescent="0.3">
      <c r="A678" s="1138" t="s">
        <v>2246</v>
      </c>
      <c r="B678" s="1138"/>
      <c r="C678" s="1138"/>
      <c r="D678" s="1138"/>
      <c r="E678" s="1138"/>
      <c r="F678" s="1138"/>
      <c r="G678" s="1138"/>
    </row>
    <row r="679" spans="1:7" ht="39" customHeight="1" x14ac:dyDescent="0.3">
      <c r="A679" s="1138"/>
      <c r="B679" s="1138"/>
      <c r="C679" s="1138"/>
      <c r="D679" s="1138"/>
      <c r="E679" s="1138"/>
      <c r="F679" s="1138"/>
      <c r="G679" s="1138"/>
    </row>
    <row r="680" spans="1:7" x14ac:dyDescent="0.3">
      <c r="A680" s="127" t="s">
        <v>0</v>
      </c>
      <c r="B680" s="1002" t="s">
        <v>1038</v>
      </c>
      <c r="C680" s="58" t="s">
        <v>1</v>
      </c>
      <c r="D680" s="127" t="s">
        <v>2</v>
      </c>
      <c r="E680" s="59" t="s">
        <v>3</v>
      </c>
      <c r="F680" s="59" t="s">
        <v>4</v>
      </c>
      <c r="G680" s="280" t="s">
        <v>5</v>
      </c>
    </row>
    <row r="681" spans="1:7" s="753" customFormat="1" x14ac:dyDescent="0.3">
      <c r="A681" s="1051">
        <v>45958</v>
      </c>
      <c r="B681" s="264" t="s">
        <v>211</v>
      </c>
      <c r="C681" s="1052" t="s">
        <v>13</v>
      </c>
      <c r="D681" s="691" t="s">
        <v>1967</v>
      </c>
      <c r="E681" s="692">
        <v>-1646</v>
      </c>
      <c r="F681" s="48" t="s">
        <v>8</v>
      </c>
      <c r="G681" s="229" t="s">
        <v>27</v>
      </c>
    </row>
    <row r="682" spans="1:7" s="753" customFormat="1" x14ac:dyDescent="0.3">
      <c r="A682" s="754">
        <v>45958</v>
      </c>
      <c r="B682" s="754" t="s">
        <v>211</v>
      </c>
      <c r="C682" s="976" t="s">
        <v>25</v>
      </c>
      <c r="D682" s="977" t="s">
        <v>2203</v>
      </c>
      <c r="E682" s="978">
        <v>-2001.54</v>
      </c>
      <c r="F682" s="1025" t="s">
        <v>8</v>
      </c>
      <c r="G682" s="1053" t="s">
        <v>153</v>
      </c>
    </row>
    <row r="683" spans="1:7" s="753" customFormat="1" x14ac:dyDescent="0.3">
      <c r="A683" s="264">
        <v>45958</v>
      </c>
      <c r="B683" s="264" t="s">
        <v>211</v>
      </c>
      <c r="C683" s="46" t="s">
        <v>25</v>
      </c>
      <c r="D683" s="46" t="s">
        <v>1866</v>
      </c>
      <c r="E683" s="47">
        <v>-268.8</v>
      </c>
      <c r="F683" s="48" t="s">
        <v>8</v>
      </c>
      <c r="G683" s="49" t="s">
        <v>82</v>
      </c>
    </row>
    <row r="684" spans="1:7" s="753" customFormat="1" x14ac:dyDescent="0.3">
      <c r="A684" s="264">
        <v>45958</v>
      </c>
      <c r="B684" s="264" t="s">
        <v>211</v>
      </c>
      <c r="C684" s="46" t="s">
        <v>25</v>
      </c>
      <c r="D684" s="46" t="s">
        <v>1305</v>
      </c>
      <c r="E684" s="47">
        <v>-177</v>
      </c>
      <c r="F684" s="48" t="s">
        <v>8</v>
      </c>
      <c r="G684" s="49" t="s">
        <v>82</v>
      </c>
    </row>
    <row r="685" spans="1:7" s="753" customFormat="1" x14ac:dyDescent="0.3">
      <c r="A685" s="264">
        <v>45958</v>
      </c>
      <c r="B685" s="264" t="s">
        <v>211</v>
      </c>
      <c r="C685" s="46" t="s">
        <v>25</v>
      </c>
      <c r="D685" s="46" t="s">
        <v>2184</v>
      </c>
      <c r="E685" s="47">
        <v>-75</v>
      </c>
      <c r="F685" s="48" t="s">
        <v>8</v>
      </c>
      <c r="G685" s="49" t="s">
        <v>82</v>
      </c>
    </row>
    <row r="686" spans="1:7" s="753" customFormat="1" x14ac:dyDescent="0.3">
      <c r="A686" s="264">
        <v>45958</v>
      </c>
      <c r="B686" s="264" t="s">
        <v>211</v>
      </c>
      <c r="C686" s="46" t="s">
        <v>25</v>
      </c>
      <c r="D686" s="46" t="s">
        <v>1453</v>
      </c>
      <c r="E686" s="47">
        <v>-209.1</v>
      </c>
      <c r="F686" s="48" t="s">
        <v>8</v>
      </c>
      <c r="G686" s="49" t="s">
        <v>82</v>
      </c>
    </row>
    <row r="687" spans="1:7" s="753" customFormat="1" x14ac:dyDescent="0.3">
      <c r="A687" s="264">
        <v>45958</v>
      </c>
      <c r="B687" s="264" t="s">
        <v>211</v>
      </c>
      <c r="C687" s="46" t="s">
        <v>71</v>
      </c>
      <c r="D687" s="46" t="s">
        <v>1207</v>
      </c>
      <c r="E687" s="47">
        <v>-162.28</v>
      </c>
      <c r="F687" s="48" t="s">
        <v>8</v>
      </c>
      <c r="G687" s="49" t="s">
        <v>75</v>
      </c>
    </row>
    <row r="688" spans="1:7" s="753" customFormat="1" x14ac:dyDescent="0.3">
      <c r="A688" s="264">
        <v>45958</v>
      </c>
      <c r="B688" s="264" t="s">
        <v>211</v>
      </c>
      <c r="C688" s="46" t="s">
        <v>71</v>
      </c>
      <c r="D688" s="46" t="s">
        <v>1207</v>
      </c>
      <c r="E688" s="47">
        <v>-2210.5500000000002</v>
      </c>
      <c r="F688" s="48" t="s">
        <v>8</v>
      </c>
      <c r="G688" s="49" t="s">
        <v>75</v>
      </c>
    </row>
    <row r="689" spans="1:7" s="753" customFormat="1" x14ac:dyDescent="0.3">
      <c r="A689" s="264">
        <v>45958</v>
      </c>
      <c r="B689" s="264" t="s">
        <v>211</v>
      </c>
      <c r="C689" s="46" t="s">
        <v>25</v>
      </c>
      <c r="D689" s="46" t="s">
        <v>1387</v>
      </c>
      <c r="E689" s="47">
        <v>-1095.07</v>
      </c>
      <c r="F689" s="48" t="s">
        <v>8</v>
      </c>
      <c r="G689" s="49" t="s">
        <v>75</v>
      </c>
    </row>
    <row r="690" spans="1:7" s="753" customFormat="1" x14ac:dyDescent="0.3">
      <c r="A690" s="264">
        <v>45958</v>
      </c>
      <c r="B690" s="264" t="s">
        <v>211</v>
      </c>
      <c r="C690" s="46" t="s">
        <v>25</v>
      </c>
      <c r="D690" s="46" t="s">
        <v>1565</v>
      </c>
      <c r="E690" s="47">
        <v>-1501.45</v>
      </c>
      <c r="F690" s="48" t="s">
        <v>8</v>
      </c>
      <c r="G690" s="49" t="s">
        <v>153</v>
      </c>
    </row>
    <row r="691" spans="1:7" s="753" customFormat="1" x14ac:dyDescent="0.3">
      <c r="A691" s="264">
        <v>45958</v>
      </c>
      <c r="B691" s="264" t="s">
        <v>211</v>
      </c>
      <c r="C691" s="46" t="s">
        <v>17</v>
      </c>
      <c r="D691" s="46" t="s">
        <v>2191</v>
      </c>
      <c r="E691" s="47">
        <v>-87452.75</v>
      </c>
      <c r="F691" s="48" t="s">
        <v>8</v>
      </c>
      <c r="G691" s="229" t="s">
        <v>1931</v>
      </c>
    </row>
    <row r="692" spans="1:7" s="753" customFormat="1" x14ac:dyDescent="0.3">
      <c r="A692" s="264">
        <v>45958</v>
      </c>
      <c r="B692" s="264" t="s">
        <v>211</v>
      </c>
      <c r="C692" s="46" t="s">
        <v>33</v>
      </c>
      <c r="D692" s="46" t="s">
        <v>2236</v>
      </c>
      <c r="E692" s="1003">
        <v>-111.06</v>
      </c>
      <c r="F692" s="48" t="s">
        <v>8</v>
      </c>
      <c r="G692" s="229" t="s">
        <v>746</v>
      </c>
    </row>
    <row r="693" spans="1:7" s="753" customFormat="1" x14ac:dyDescent="0.3">
      <c r="A693" s="264">
        <v>45958</v>
      </c>
      <c r="B693" s="264" t="s">
        <v>211</v>
      </c>
      <c r="C693" s="691" t="s">
        <v>17</v>
      </c>
      <c r="D693" s="691" t="s">
        <v>18</v>
      </c>
      <c r="E693" s="228">
        <v>-13041.15</v>
      </c>
      <c r="F693" s="48" t="s">
        <v>8</v>
      </c>
      <c r="G693" s="229" t="s">
        <v>19</v>
      </c>
    </row>
    <row r="694" spans="1:7" x14ac:dyDescent="0.3">
      <c r="E694" s="212">
        <f>SUM(E681:E693)</f>
        <v>-109951.75</v>
      </c>
    </row>
    <row r="699" spans="1:7" x14ac:dyDescent="0.3">
      <c r="A699" s="1138" t="s">
        <v>1953</v>
      </c>
      <c r="B699" s="1138"/>
      <c r="C699" s="1138"/>
      <c r="D699" s="1138"/>
      <c r="E699" s="1138"/>
      <c r="F699" s="1138"/>
      <c r="G699" s="1138"/>
    </row>
    <row r="700" spans="1:7" ht="50.4" customHeight="1" x14ac:dyDescent="0.3">
      <c r="A700" s="1138"/>
      <c r="B700" s="1138"/>
      <c r="C700" s="1138"/>
      <c r="D700" s="1138"/>
      <c r="E700" s="1138"/>
      <c r="F700" s="1138"/>
      <c r="G700" s="1138"/>
    </row>
    <row r="701" spans="1:7" s="641" customFormat="1" ht="13.8" x14ac:dyDescent="0.3">
      <c r="A701" s="852" t="s">
        <v>0</v>
      </c>
      <c r="B701" s="1054" t="s">
        <v>1038</v>
      </c>
      <c r="C701" s="224" t="s">
        <v>1</v>
      </c>
      <c r="D701" s="852" t="s">
        <v>2</v>
      </c>
      <c r="E701" s="854" t="s">
        <v>3</v>
      </c>
      <c r="F701" s="854" t="s">
        <v>4</v>
      </c>
      <c r="G701" s="855" t="s">
        <v>5</v>
      </c>
    </row>
    <row r="702" spans="1:7" s="73" customFormat="1" ht="13.2" customHeight="1" x14ac:dyDescent="0.3">
      <c r="A702" s="51">
        <v>45959</v>
      </c>
      <c r="B702" s="123" t="s">
        <v>211</v>
      </c>
      <c r="C702" s="73" t="s">
        <v>13</v>
      </c>
      <c r="D702" s="73" t="s">
        <v>2242</v>
      </c>
      <c r="E702" s="280">
        <v>-1000</v>
      </c>
      <c r="F702" s="55" t="s">
        <v>8</v>
      </c>
      <c r="G702" s="280" t="s">
        <v>15</v>
      </c>
    </row>
    <row r="703" spans="1:7" s="73" customFormat="1" ht="13.8" x14ac:dyDescent="0.3">
      <c r="A703" s="123">
        <v>45959</v>
      </c>
      <c r="B703" s="123" t="s">
        <v>211</v>
      </c>
      <c r="C703" s="120" t="s">
        <v>25</v>
      </c>
      <c r="D703" s="73" t="s">
        <v>2248</v>
      </c>
      <c r="E703" s="121">
        <v>-6715.21</v>
      </c>
      <c r="F703" s="55" t="s">
        <v>8</v>
      </c>
      <c r="G703" s="54" t="s">
        <v>46</v>
      </c>
    </row>
    <row r="704" spans="1:7" s="73" customFormat="1" ht="13.8" x14ac:dyDescent="0.3">
      <c r="A704" s="123">
        <v>45959</v>
      </c>
      <c r="B704" s="123" t="s">
        <v>211</v>
      </c>
      <c r="C704" s="120" t="s">
        <v>31</v>
      </c>
      <c r="D704" s="73" t="s">
        <v>2247</v>
      </c>
      <c r="E704" s="121">
        <v>-6620.78</v>
      </c>
      <c r="F704" s="55" t="s">
        <v>8</v>
      </c>
      <c r="G704" s="54" t="s">
        <v>46</v>
      </c>
    </row>
    <row r="705" spans="1:7" s="73" customFormat="1" ht="13.8" x14ac:dyDescent="0.3">
      <c r="A705" s="60">
        <v>45959</v>
      </c>
      <c r="B705" s="123" t="s">
        <v>211</v>
      </c>
      <c r="C705" s="120" t="s">
        <v>13</v>
      </c>
      <c r="D705" s="120" t="s">
        <v>1967</v>
      </c>
      <c r="E705" s="121">
        <v>-894.4</v>
      </c>
      <c r="F705" s="55" t="s">
        <v>8</v>
      </c>
      <c r="G705" s="61" t="s">
        <v>27</v>
      </c>
    </row>
    <row r="706" spans="1:7" s="73" customFormat="1" ht="13.8" x14ac:dyDescent="0.3">
      <c r="A706" s="51">
        <v>45959</v>
      </c>
      <c r="B706" s="123" t="s">
        <v>211</v>
      </c>
      <c r="C706" s="52" t="s">
        <v>25</v>
      </c>
      <c r="D706" s="52" t="s">
        <v>1527</v>
      </c>
      <c r="E706" s="53">
        <v>-2522.12</v>
      </c>
      <c r="F706" s="55" t="s">
        <v>8</v>
      </c>
      <c r="G706" s="54" t="s">
        <v>153</v>
      </c>
    </row>
    <row r="707" spans="1:7" s="73" customFormat="1" ht="13.8" x14ac:dyDescent="0.3">
      <c r="A707" s="51">
        <v>45959</v>
      </c>
      <c r="B707" s="123" t="s">
        <v>211</v>
      </c>
      <c r="C707" s="52" t="s">
        <v>25</v>
      </c>
      <c r="D707" s="52" t="s">
        <v>1527</v>
      </c>
      <c r="E707" s="53">
        <v>-355.6</v>
      </c>
      <c r="F707" s="55" t="s">
        <v>8</v>
      </c>
      <c r="G707" s="54" t="s">
        <v>153</v>
      </c>
    </row>
    <row r="708" spans="1:7" s="73" customFormat="1" ht="13.8" x14ac:dyDescent="0.3">
      <c r="A708" s="51">
        <v>45959</v>
      </c>
      <c r="B708" s="123" t="s">
        <v>211</v>
      </c>
      <c r="C708" s="52" t="s">
        <v>25</v>
      </c>
      <c r="D708" s="52" t="s">
        <v>1704</v>
      </c>
      <c r="E708" s="53">
        <v>-321</v>
      </c>
      <c r="F708" s="55" t="s">
        <v>8</v>
      </c>
      <c r="G708" s="54" t="s">
        <v>82</v>
      </c>
    </row>
    <row r="709" spans="1:7" s="73" customFormat="1" ht="13.8" x14ac:dyDescent="0.3">
      <c r="A709" s="51">
        <v>45959</v>
      </c>
      <c r="B709" s="123" t="s">
        <v>211</v>
      </c>
      <c r="C709" s="52" t="s">
        <v>25</v>
      </c>
      <c r="D709" s="52" t="s">
        <v>433</v>
      </c>
      <c r="E709" s="53">
        <v>-177</v>
      </c>
      <c r="F709" s="55" t="s">
        <v>8</v>
      </c>
      <c r="G709" s="54" t="s">
        <v>82</v>
      </c>
    </row>
    <row r="710" spans="1:7" s="73" customFormat="1" ht="13.8" x14ac:dyDescent="0.3">
      <c r="A710" s="51">
        <v>45959</v>
      </c>
      <c r="B710" s="123" t="s">
        <v>211</v>
      </c>
      <c r="C710" s="52" t="s">
        <v>25</v>
      </c>
      <c r="D710" s="52" t="s">
        <v>2185</v>
      </c>
      <c r="E710" s="53">
        <v>-177</v>
      </c>
      <c r="F710" s="55" t="s">
        <v>8</v>
      </c>
      <c r="G710" s="54" t="s">
        <v>82</v>
      </c>
    </row>
    <row r="711" spans="1:7" s="73" customFormat="1" ht="13.8" x14ac:dyDescent="0.3">
      <c r="A711" s="51">
        <v>45959</v>
      </c>
      <c r="B711" s="123" t="s">
        <v>211</v>
      </c>
      <c r="C711" s="52" t="s">
        <v>1571</v>
      </c>
      <c r="D711" s="52" t="s">
        <v>2186</v>
      </c>
      <c r="E711" s="53">
        <v>-2826.2</v>
      </c>
      <c r="F711" s="55" t="s">
        <v>8</v>
      </c>
      <c r="G711" s="54" t="s">
        <v>82</v>
      </c>
    </row>
    <row r="712" spans="1:7" s="73" customFormat="1" ht="13.8" x14ac:dyDescent="0.3">
      <c r="A712" s="51">
        <v>45959</v>
      </c>
      <c r="B712" s="123" t="s">
        <v>211</v>
      </c>
      <c r="C712" s="52" t="s">
        <v>25</v>
      </c>
      <c r="D712" s="52" t="s">
        <v>921</v>
      </c>
      <c r="E712" s="53">
        <v>-240</v>
      </c>
      <c r="F712" s="55" t="s">
        <v>8</v>
      </c>
      <c r="G712" s="54" t="s">
        <v>82</v>
      </c>
    </row>
    <row r="713" spans="1:7" s="73" customFormat="1" ht="13.8" x14ac:dyDescent="0.3">
      <c r="A713" s="51">
        <v>45959</v>
      </c>
      <c r="B713" s="123" t="s">
        <v>211</v>
      </c>
      <c r="C713" s="52" t="s">
        <v>31</v>
      </c>
      <c r="D713" s="52" t="s">
        <v>1627</v>
      </c>
      <c r="E713" s="53">
        <v>-1500</v>
      </c>
      <c r="F713" s="55" t="s">
        <v>8</v>
      </c>
      <c r="G713" s="54" t="s">
        <v>186</v>
      </c>
    </row>
    <row r="714" spans="1:7" s="73" customFormat="1" ht="13.8" x14ac:dyDescent="0.3">
      <c r="A714" s="51">
        <v>45959</v>
      </c>
      <c r="B714" s="123" t="s">
        <v>211</v>
      </c>
      <c r="C714" s="52" t="s">
        <v>31</v>
      </c>
      <c r="D714" s="52" t="s">
        <v>1628</v>
      </c>
      <c r="E714" s="53">
        <v>-1000</v>
      </c>
      <c r="F714" s="55" t="s">
        <v>8</v>
      </c>
      <c r="G714" s="54" t="s">
        <v>186</v>
      </c>
    </row>
    <row r="715" spans="1:7" s="73" customFormat="1" ht="13.8" x14ac:dyDescent="0.3">
      <c r="A715" s="51">
        <v>45959</v>
      </c>
      <c r="B715" s="123" t="s">
        <v>211</v>
      </c>
      <c r="C715" s="52" t="s">
        <v>6</v>
      </c>
      <c r="D715" s="52" t="s">
        <v>1629</v>
      </c>
      <c r="E715" s="53">
        <v>-1000</v>
      </c>
      <c r="F715" s="55" t="s">
        <v>8</v>
      </c>
      <c r="G715" s="54" t="s">
        <v>186</v>
      </c>
    </row>
    <row r="716" spans="1:7" s="73" customFormat="1" ht="13.2" customHeight="1" x14ac:dyDescent="0.3">
      <c r="A716" s="51">
        <v>45959</v>
      </c>
      <c r="B716" s="123" t="s">
        <v>211</v>
      </c>
      <c r="C716" s="52" t="s">
        <v>44</v>
      </c>
      <c r="D716" s="52" t="s">
        <v>1633</v>
      </c>
      <c r="E716" s="53">
        <v>-3800</v>
      </c>
      <c r="F716" s="55" t="s">
        <v>8</v>
      </c>
      <c r="G716" s="54" t="s">
        <v>186</v>
      </c>
    </row>
    <row r="717" spans="1:7" s="73" customFormat="1" ht="13.8" x14ac:dyDescent="0.3">
      <c r="A717" s="51">
        <v>45959</v>
      </c>
      <c r="B717" s="123" t="s">
        <v>211</v>
      </c>
      <c r="C717" s="682" t="s">
        <v>64</v>
      </c>
      <c r="D717" s="120" t="s">
        <v>95</v>
      </c>
      <c r="E717" s="121">
        <v>-2801.62</v>
      </c>
      <c r="F717" s="61" t="s">
        <v>8</v>
      </c>
      <c r="G717" s="61" t="s">
        <v>39</v>
      </c>
    </row>
    <row r="718" spans="1:7" x14ac:dyDescent="0.3">
      <c r="E718" s="212">
        <f>SUM(E702:E717)</f>
        <v>-31950.929999999997</v>
      </c>
    </row>
    <row r="723" spans="1:7" x14ac:dyDescent="0.3">
      <c r="A723" s="1138" t="s">
        <v>2269</v>
      </c>
      <c r="B723" s="1138"/>
      <c r="C723" s="1138"/>
      <c r="D723" s="1138"/>
      <c r="E723" s="1138"/>
      <c r="F723" s="1138"/>
      <c r="G723" s="1138"/>
    </row>
    <row r="724" spans="1:7" ht="54.6" customHeight="1" x14ac:dyDescent="0.3">
      <c r="A724" s="1138"/>
      <c r="B724" s="1138"/>
      <c r="C724" s="1138"/>
      <c r="D724" s="1138"/>
      <c r="E724" s="1138"/>
      <c r="F724" s="1138"/>
      <c r="G724" s="1138"/>
    </row>
    <row r="725" spans="1:7" x14ac:dyDescent="0.3">
      <c r="A725" s="127" t="s">
        <v>0</v>
      </c>
      <c r="B725" s="1002" t="s">
        <v>1038</v>
      </c>
      <c r="C725" s="58" t="s">
        <v>1</v>
      </c>
      <c r="D725" s="127" t="s">
        <v>2</v>
      </c>
      <c r="E725" s="59" t="s">
        <v>3</v>
      </c>
      <c r="F725" s="59" t="s">
        <v>4</v>
      </c>
      <c r="G725" s="280" t="s">
        <v>5</v>
      </c>
    </row>
    <row r="726" spans="1:7" s="667" customFormat="1" x14ac:dyDescent="0.3">
      <c r="A726" s="51">
        <v>45960</v>
      </c>
      <c r="B726" s="50" t="s">
        <v>211</v>
      </c>
      <c r="C726" s="52" t="s">
        <v>17</v>
      </c>
      <c r="D726" s="52" t="s">
        <v>811</v>
      </c>
      <c r="E726" s="53">
        <v>-880</v>
      </c>
      <c r="F726" s="54" t="s">
        <v>8</v>
      </c>
      <c r="G726" s="54" t="s">
        <v>186</v>
      </c>
    </row>
    <row r="727" spans="1:7" s="667" customFormat="1" x14ac:dyDescent="0.3">
      <c r="A727" s="51">
        <v>45960</v>
      </c>
      <c r="B727" s="50" t="s">
        <v>211</v>
      </c>
      <c r="C727" s="52" t="s">
        <v>25</v>
      </c>
      <c r="D727" s="52" t="s">
        <v>2208</v>
      </c>
      <c r="E727" s="53">
        <v>-83.04</v>
      </c>
      <c r="F727" s="54" t="s">
        <v>8</v>
      </c>
      <c r="G727" s="54" t="s">
        <v>19</v>
      </c>
    </row>
    <row r="728" spans="1:7" s="667" customFormat="1" x14ac:dyDescent="0.3">
      <c r="A728" s="60">
        <v>45960</v>
      </c>
      <c r="B728" s="50" t="s">
        <v>211</v>
      </c>
      <c r="C728" s="52" t="s">
        <v>17</v>
      </c>
      <c r="D728" s="52" t="s">
        <v>1831</v>
      </c>
      <c r="E728" s="53">
        <v>-4370.2700000000004</v>
      </c>
      <c r="F728" s="55" t="s">
        <v>8</v>
      </c>
      <c r="G728" s="54" t="s">
        <v>186</v>
      </c>
    </row>
    <row r="729" spans="1:7" s="667" customFormat="1" x14ac:dyDescent="0.3">
      <c r="A729" s="51">
        <v>45960</v>
      </c>
      <c r="B729" s="123" t="s">
        <v>211</v>
      </c>
      <c r="C729" s="52" t="s">
        <v>6</v>
      </c>
      <c r="D729" s="52" t="s">
        <v>721</v>
      </c>
      <c r="E729" s="53">
        <v>-2500</v>
      </c>
      <c r="F729" s="54" t="s">
        <v>8</v>
      </c>
      <c r="G729" s="54" t="s">
        <v>186</v>
      </c>
    </row>
    <row r="730" spans="1:7" s="667" customFormat="1" x14ac:dyDescent="0.3">
      <c r="A730" s="51">
        <v>45960</v>
      </c>
      <c r="B730" s="123" t="s">
        <v>211</v>
      </c>
      <c r="C730" s="120" t="s">
        <v>6</v>
      </c>
      <c r="D730" s="73" t="s">
        <v>2130</v>
      </c>
      <c r="E730" s="53">
        <v>-6142.01</v>
      </c>
      <c r="F730" s="55" t="s">
        <v>8</v>
      </c>
      <c r="G730" s="61" t="s">
        <v>63</v>
      </c>
    </row>
    <row r="731" spans="1:7" s="667" customFormat="1" x14ac:dyDescent="0.3">
      <c r="A731" s="123">
        <v>45960</v>
      </c>
      <c r="B731" s="123" t="s">
        <v>211</v>
      </c>
      <c r="C731" s="682" t="s">
        <v>6</v>
      </c>
      <c r="D731" s="73" t="s">
        <v>2129</v>
      </c>
      <c r="E731" s="121">
        <v>-35714.57</v>
      </c>
      <c r="F731" s="61" t="s">
        <v>8</v>
      </c>
      <c r="G731" s="54" t="s">
        <v>46</v>
      </c>
    </row>
    <row r="732" spans="1:7" s="667" customFormat="1" x14ac:dyDescent="0.3">
      <c r="A732" s="123">
        <v>45960</v>
      </c>
      <c r="B732" s="123" t="s">
        <v>211</v>
      </c>
      <c r="C732" s="52" t="s">
        <v>17</v>
      </c>
      <c r="D732" s="52" t="s">
        <v>385</v>
      </c>
      <c r="E732" s="53">
        <v>-728</v>
      </c>
      <c r="F732" s="55" t="s">
        <v>8</v>
      </c>
      <c r="G732" s="61" t="s">
        <v>1832</v>
      </c>
    </row>
    <row r="733" spans="1:7" s="667" customFormat="1" x14ac:dyDescent="0.3">
      <c r="A733" s="123">
        <v>45960</v>
      </c>
      <c r="B733" s="123" t="s">
        <v>211</v>
      </c>
      <c r="C733" s="120" t="s">
        <v>17</v>
      </c>
      <c r="D733" s="73" t="s">
        <v>140</v>
      </c>
      <c r="E733" s="121">
        <v>-9980</v>
      </c>
      <c r="F733" s="55" t="s">
        <v>8</v>
      </c>
      <c r="G733" s="61" t="s">
        <v>58</v>
      </c>
    </row>
    <row r="734" spans="1:7" s="667" customFormat="1" x14ac:dyDescent="0.3">
      <c r="A734" s="123">
        <v>45960</v>
      </c>
      <c r="B734" s="123" t="s">
        <v>211</v>
      </c>
      <c r="C734" s="120" t="s">
        <v>17</v>
      </c>
      <c r="D734" s="73" t="s">
        <v>140</v>
      </c>
      <c r="E734" s="121">
        <v>-9980</v>
      </c>
      <c r="F734" s="55" t="s">
        <v>8</v>
      </c>
      <c r="G734" s="61" t="s">
        <v>58</v>
      </c>
    </row>
    <row r="735" spans="1:7" s="667" customFormat="1" x14ac:dyDescent="0.3">
      <c r="A735" s="123">
        <v>45960</v>
      </c>
      <c r="B735" s="123" t="s">
        <v>211</v>
      </c>
      <c r="C735" s="1100" t="s">
        <v>1571</v>
      </c>
      <c r="D735" s="1101" t="s">
        <v>2263</v>
      </c>
      <c r="E735" s="1102">
        <v>-648.94000000000005</v>
      </c>
      <c r="F735" s="55" t="s">
        <v>8</v>
      </c>
      <c r="G735" s="54" t="s">
        <v>85</v>
      </c>
    </row>
    <row r="736" spans="1:7" s="667" customFormat="1" x14ac:dyDescent="0.3">
      <c r="A736" s="123">
        <v>45960</v>
      </c>
      <c r="B736" s="123" t="s">
        <v>211</v>
      </c>
      <c r="C736" s="1100" t="s">
        <v>6</v>
      </c>
      <c r="D736" s="1101" t="s">
        <v>2263</v>
      </c>
      <c r="E736" s="1102">
        <v>-1681.59</v>
      </c>
      <c r="F736" s="55" t="s">
        <v>8</v>
      </c>
      <c r="G736" s="54" t="s">
        <v>85</v>
      </c>
    </row>
    <row r="737" spans="1:7" s="667" customFormat="1" x14ac:dyDescent="0.3">
      <c r="A737" s="123">
        <v>45960</v>
      </c>
      <c r="B737" s="123" t="s">
        <v>211</v>
      </c>
      <c r="C737" s="1100" t="s">
        <v>650</v>
      </c>
      <c r="D737" s="1101" t="s">
        <v>2263</v>
      </c>
      <c r="E737" s="1102">
        <v>-1201.1199999999999</v>
      </c>
      <c r="F737" s="55" t="s">
        <v>8</v>
      </c>
      <c r="G737" s="54" t="s">
        <v>85</v>
      </c>
    </row>
    <row r="738" spans="1:7" s="667" customFormat="1" x14ac:dyDescent="0.3">
      <c r="A738" s="123">
        <v>45960</v>
      </c>
      <c r="B738" s="123" t="s">
        <v>211</v>
      </c>
      <c r="C738" s="1100" t="s">
        <v>105</v>
      </c>
      <c r="D738" s="1101" t="s">
        <v>2265</v>
      </c>
      <c r="E738" s="1102">
        <v>-3683.57</v>
      </c>
      <c r="F738" s="55" t="s">
        <v>8</v>
      </c>
      <c r="G738" s="54" t="s">
        <v>85</v>
      </c>
    </row>
    <row r="739" spans="1:7" s="667" customFormat="1" x14ac:dyDescent="0.3">
      <c r="A739" s="123">
        <v>45960</v>
      </c>
      <c r="B739" s="123" t="s">
        <v>211</v>
      </c>
      <c r="C739" s="1100" t="s">
        <v>71</v>
      </c>
      <c r="D739" s="1101" t="s">
        <v>2265</v>
      </c>
      <c r="E739" s="1102">
        <v>-1441.41</v>
      </c>
      <c r="F739" s="55" t="s">
        <v>8</v>
      </c>
      <c r="G739" s="54" t="s">
        <v>85</v>
      </c>
    </row>
    <row r="740" spans="1:7" s="667" customFormat="1" x14ac:dyDescent="0.3">
      <c r="A740" s="123">
        <v>45960</v>
      </c>
      <c r="B740" s="123" t="s">
        <v>211</v>
      </c>
      <c r="C740" s="1100" t="s">
        <v>32</v>
      </c>
      <c r="D740" s="1101" t="s">
        <v>2265</v>
      </c>
      <c r="E740" s="1102">
        <v>-2562.54</v>
      </c>
      <c r="F740" s="55" t="s">
        <v>8</v>
      </c>
      <c r="G740" s="54" t="s">
        <v>85</v>
      </c>
    </row>
    <row r="741" spans="1:7" s="667" customFormat="1" x14ac:dyDescent="0.3">
      <c r="A741" s="123">
        <v>45960</v>
      </c>
      <c r="B741" s="123" t="s">
        <v>211</v>
      </c>
      <c r="C741" s="1100" t="s">
        <v>661</v>
      </c>
      <c r="D741" s="1101" t="s">
        <v>2264</v>
      </c>
      <c r="E741" s="1102">
        <v>-960.94</v>
      </c>
      <c r="F741" s="55" t="s">
        <v>8</v>
      </c>
      <c r="G741" s="54" t="s">
        <v>85</v>
      </c>
    </row>
    <row r="742" spans="1:7" s="667" customFormat="1" x14ac:dyDescent="0.3">
      <c r="A742" s="123">
        <v>45960</v>
      </c>
      <c r="B742" s="123" t="s">
        <v>211</v>
      </c>
      <c r="C742" s="1100" t="s">
        <v>650</v>
      </c>
      <c r="D742" s="1101" t="s">
        <v>2263</v>
      </c>
      <c r="E742" s="1102">
        <v>-3203.1</v>
      </c>
      <c r="F742" s="55" t="s">
        <v>8</v>
      </c>
      <c r="G742" s="54" t="s">
        <v>85</v>
      </c>
    </row>
    <row r="743" spans="1:7" s="667" customFormat="1" x14ac:dyDescent="0.3">
      <c r="A743" s="123">
        <v>45960</v>
      </c>
      <c r="B743" s="123" t="s">
        <v>211</v>
      </c>
      <c r="C743" s="1100" t="s">
        <v>1105</v>
      </c>
      <c r="D743" s="1101" t="s">
        <v>2265</v>
      </c>
      <c r="E743" s="1102">
        <v>-1281.22</v>
      </c>
      <c r="F743" s="55" t="s">
        <v>8</v>
      </c>
      <c r="G743" s="54" t="s">
        <v>85</v>
      </c>
    </row>
    <row r="744" spans="1:7" s="667" customFormat="1" x14ac:dyDescent="0.3">
      <c r="A744" s="123">
        <v>45960</v>
      </c>
      <c r="B744" s="123" t="s">
        <v>211</v>
      </c>
      <c r="C744" s="1100" t="s">
        <v>651</v>
      </c>
      <c r="D744" s="1101" t="s">
        <v>2267</v>
      </c>
      <c r="E744" s="1102">
        <v>-720.65</v>
      </c>
      <c r="F744" s="55" t="s">
        <v>8</v>
      </c>
      <c r="G744" s="54" t="s">
        <v>85</v>
      </c>
    </row>
    <row r="745" spans="1:7" s="667" customFormat="1" x14ac:dyDescent="0.3">
      <c r="A745" s="123">
        <v>45960</v>
      </c>
      <c r="B745" s="123" t="s">
        <v>211</v>
      </c>
      <c r="C745" s="1100" t="s">
        <v>105</v>
      </c>
      <c r="D745" s="1101" t="s">
        <v>2264</v>
      </c>
      <c r="E745" s="1102">
        <v>-2962.92</v>
      </c>
      <c r="F745" s="55" t="s">
        <v>8</v>
      </c>
      <c r="G745" s="61" t="s">
        <v>85</v>
      </c>
    </row>
    <row r="746" spans="1:7" s="667" customFormat="1" x14ac:dyDescent="0.3">
      <c r="A746" s="123">
        <v>45960</v>
      </c>
      <c r="B746" s="123" t="s">
        <v>211</v>
      </c>
      <c r="C746" s="1100" t="s">
        <v>33</v>
      </c>
      <c r="D746" s="1101" t="s">
        <v>2264</v>
      </c>
      <c r="E746" s="1102">
        <v>-960.94</v>
      </c>
      <c r="F746" s="55" t="s">
        <v>8</v>
      </c>
      <c r="G746" s="61" t="s">
        <v>85</v>
      </c>
    </row>
    <row r="747" spans="1:7" s="667" customFormat="1" x14ac:dyDescent="0.3">
      <c r="A747" s="123">
        <v>45960</v>
      </c>
      <c r="B747" s="123" t="s">
        <v>211</v>
      </c>
      <c r="C747" s="1100" t="s">
        <v>31</v>
      </c>
      <c r="D747" s="1101" t="s">
        <v>2264</v>
      </c>
      <c r="E747" s="1102">
        <v>-640.66</v>
      </c>
      <c r="F747" s="55" t="s">
        <v>8</v>
      </c>
      <c r="G747" s="61" t="s">
        <v>85</v>
      </c>
    </row>
    <row r="748" spans="1:7" s="667" customFormat="1" x14ac:dyDescent="0.3">
      <c r="A748" s="123">
        <v>45960</v>
      </c>
      <c r="B748" s="123" t="s">
        <v>211</v>
      </c>
      <c r="C748" s="1100" t="s">
        <v>2262</v>
      </c>
      <c r="D748" s="1101" t="s">
        <v>2264</v>
      </c>
      <c r="E748" s="1102">
        <v>-1281.22</v>
      </c>
      <c r="F748" s="55" t="s">
        <v>8</v>
      </c>
      <c r="G748" s="61" t="s">
        <v>85</v>
      </c>
    </row>
    <row r="749" spans="1:7" s="667" customFormat="1" x14ac:dyDescent="0.3">
      <c r="A749" s="123">
        <v>45960</v>
      </c>
      <c r="B749" s="123" t="s">
        <v>211</v>
      </c>
      <c r="C749" s="1100" t="s">
        <v>32</v>
      </c>
      <c r="D749" s="1101" t="s">
        <v>2264</v>
      </c>
      <c r="E749" s="1102">
        <v>-2162.0700000000002</v>
      </c>
      <c r="F749" s="55" t="s">
        <v>8</v>
      </c>
      <c r="G749" s="61" t="s">
        <v>85</v>
      </c>
    </row>
    <row r="750" spans="1:7" s="667" customFormat="1" x14ac:dyDescent="0.3">
      <c r="A750" s="123">
        <v>45960</v>
      </c>
      <c r="B750" s="123" t="s">
        <v>211</v>
      </c>
      <c r="C750" s="1100" t="s">
        <v>1571</v>
      </c>
      <c r="D750" s="1101" t="s">
        <v>2264</v>
      </c>
      <c r="E750" s="1102">
        <v>-1521.51</v>
      </c>
      <c r="F750" s="55" t="s">
        <v>8</v>
      </c>
      <c r="G750" s="61" t="s">
        <v>85</v>
      </c>
    </row>
    <row r="751" spans="1:7" s="667" customFormat="1" x14ac:dyDescent="0.3">
      <c r="A751" s="123">
        <v>45960</v>
      </c>
      <c r="B751" s="123" t="s">
        <v>211</v>
      </c>
      <c r="C751" s="1100" t="s">
        <v>650</v>
      </c>
      <c r="D751" s="1101" t="s">
        <v>2264</v>
      </c>
      <c r="E751" s="1102">
        <v>-1041.04</v>
      </c>
      <c r="F751" s="55" t="s">
        <v>8</v>
      </c>
      <c r="G751" s="61" t="s">
        <v>85</v>
      </c>
    </row>
    <row r="752" spans="1:7" s="667" customFormat="1" x14ac:dyDescent="0.3">
      <c r="A752" s="123">
        <v>45960</v>
      </c>
      <c r="B752" s="123" t="s">
        <v>211</v>
      </c>
      <c r="C752" s="1100" t="s">
        <v>650</v>
      </c>
      <c r="D752" s="1101" t="s">
        <v>2264</v>
      </c>
      <c r="E752" s="1102">
        <v>-3043.01</v>
      </c>
      <c r="F752" s="55" t="s">
        <v>8</v>
      </c>
      <c r="G752" s="61" t="s">
        <v>85</v>
      </c>
    </row>
    <row r="753" spans="1:7" s="667" customFormat="1" x14ac:dyDescent="0.3">
      <c r="A753" s="123">
        <v>45960</v>
      </c>
      <c r="B753" s="123" t="s">
        <v>211</v>
      </c>
      <c r="C753" s="1100" t="s">
        <v>651</v>
      </c>
      <c r="D753" s="1101" t="s">
        <v>2264</v>
      </c>
      <c r="E753" s="1102">
        <v>-880.85</v>
      </c>
      <c r="F753" s="55" t="s">
        <v>8</v>
      </c>
      <c r="G753" s="61" t="s">
        <v>85</v>
      </c>
    </row>
    <row r="754" spans="1:7" s="667" customFormat="1" x14ac:dyDescent="0.3">
      <c r="A754" s="123">
        <v>45960</v>
      </c>
      <c r="B754" s="123" t="s">
        <v>211</v>
      </c>
      <c r="C754" s="1100" t="s">
        <v>6</v>
      </c>
      <c r="D754" s="1101" t="s">
        <v>2266</v>
      </c>
      <c r="E754" s="1102">
        <v>-1601.6</v>
      </c>
      <c r="F754" s="55" t="s">
        <v>8</v>
      </c>
      <c r="G754" s="61" t="s">
        <v>85</v>
      </c>
    </row>
    <row r="755" spans="1:7" s="667" customFormat="1" x14ac:dyDescent="0.3">
      <c r="A755" s="51">
        <v>45960</v>
      </c>
      <c r="B755" s="123" t="s">
        <v>211</v>
      </c>
      <c r="C755" s="120" t="s">
        <v>25</v>
      </c>
      <c r="D755" s="68" t="s">
        <v>1914</v>
      </c>
      <c r="E755" s="121">
        <v>-3996.89</v>
      </c>
      <c r="F755" s="55" t="s">
        <v>8</v>
      </c>
      <c r="G755" s="55" t="s">
        <v>41</v>
      </c>
    </row>
    <row r="756" spans="1:7" s="667" customFormat="1" x14ac:dyDescent="0.3">
      <c r="A756" s="51">
        <v>45960</v>
      </c>
      <c r="B756" s="123" t="s">
        <v>211</v>
      </c>
      <c r="C756" s="52" t="s">
        <v>44</v>
      </c>
      <c r="D756" s="52" t="s">
        <v>2197</v>
      </c>
      <c r="E756" s="53">
        <v>-4070.92</v>
      </c>
      <c r="F756" s="55" t="s">
        <v>8</v>
      </c>
      <c r="G756" s="54" t="s">
        <v>1279</v>
      </c>
    </row>
    <row r="757" spans="1:7" s="667" customFormat="1" x14ac:dyDescent="0.3">
      <c r="A757" s="123">
        <v>45960</v>
      </c>
      <c r="B757" s="123" t="s">
        <v>211</v>
      </c>
      <c r="C757" s="120" t="s">
        <v>17</v>
      </c>
      <c r="D757" s="73" t="s">
        <v>2128</v>
      </c>
      <c r="E757" s="121">
        <v>-144.91999999999999</v>
      </c>
      <c r="F757" s="55" t="s">
        <v>8</v>
      </c>
      <c r="G757" s="61" t="s">
        <v>68</v>
      </c>
    </row>
    <row r="758" spans="1:7" s="667" customFormat="1" x14ac:dyDescent="0.3">
      <c r="A758" s="51">
        <v>45960</v>
      </c>
      <c r="B758" s="123" t="s">
        <v>211</v>
      </c>
      <c r="C758" s="52" t="s">
        <v>1636</v>
      </c>
      <c r="D758" s="52" t="s">
        <v>1642</v>
      </c>
      <c r="E758" s="53">
        <v>-99.49</v>
      </c>
      <c r="F758" s="54" t="s">
        <v>8</v>
      </c>
      <c r="G758" s="54" t="s">
        <v>58</v>
      </c>
    </row>
    <row r="759" spans="1:7" s="667" customFormat="1" x14ac:dyDescent="0.3">
      <c r="A759" s="51">
        <v>45960</v>
      </c>
      <c r="B759" s="123" t="s">
        <v>211</v>
      </c>
      <c r="C759" s="52" t="s">
        <v>31</v>
      </c>
      <c r="D759" s="52" t="s">
        <v>1638</v>
      </c>
      <c r="E759" s="53">
        <v>-106.54</v>
      </c>
      <c r="F759" s="54" t="s">
        <v>8</v>
      </c>
      <c r="G759" s="649" t="s">
        <v>124</v>
      </c>
    </row>
    <row r="760" spans="1:7" s="667" customFormat="1" x14ac:dyDescent="0.3">
      <c r="A760" s="51">
        <v>45960</v>
      </c>
      <c r="B760" s="123" t="s">
        <v>211</v>
      </c>
      <c r="C760" s="52" t="s">
        <v>44</v>
      </c>
      <c r="D760" s="52" t="s">
        <v>1640</v>
      </c>
      <c r="E760" s="53">
        <v>-111.85</v>
      </c>
      <c r="F760" s="54" t="s">
        <v>8</v>
      </c>
      <c r="G760" s="649" t="s">
        <v>124</v>
      </c>
    </row>
    <row r="761" spans="1:7" s="667" customFormat="1" x14ac:dyDescent="0.3">
      <c r="A761" s="51">
        <v>45960</v>
      </c>
      <c r="B761" s="123" t="s">
        <v>211</v>
      </c>
      <c r="C761" s="52" t="s">
        <v>33</v>
      </c>
      <c r="D761" s="52" t="s">
        <v>1639</v>
      </c>
      <c r="E761" s="53">
        <v>-106.55</v>
      </c>
      <c r="F761" s="54" t="s">
        <v>8</v>
      </c>
      <c r="G761" s="649" t="s">
        <v>124</v>
      </c>
    </row>
    <row r="762" spans="1:7" s="667" customFormat="1" x14ac:dyDescent="0.3">
      <c r="A762" s="51">
        <v>45960</v>
      </c>
      <c r="B762" s="123" t="s">
        <v>211</v>
      </c>
      <c r="C762" s="52" t="s">
        <v>32</v>
      </c>
      <c r="D762" s="52" t="s">
        <v>1641</v>
      </c>
      <c r="E762" s="53">
        <v>-106.54</v>
      </c>
      <c r="F762" s="54" t="s">
        <v>8</v>
      </c>
      <c r="G762" s="649" t="s">
        <v>124</v>
      </c>
    </row>
    <row r="763" spans="1:7" s="667" customFormat="1" x14ac:dyDescent="0.3">
      <c r="A763" s="51">
        <v>45960</v>
      </c>
      <c r="B763" s="123" t="s">
        <v>211</v>
      </c>
      <c r="C763" s="52" t="s">
        <v>6</v>
      </c>
      <c r="D763" s="52" t="s">
        <v>1874</v>
      </c>
      <c r="E763" s="53">
        <v>-106.58</v>
      </c>
      <c r="F763" s="54" t="s">
        <v>8</v>
      </c>
      <c r="G763" s="649" t="s">
        <v>124</v>
      </c>
    </row>
    <row r="764" spans="1:7" s="667" customFormat="1" x14ac:dyDescent="0.3">
      <c r="A764" s="51">
        <v>45960</v>
      </c>
      <c r="B764" s="123" t="s">
        <v>211</v>
      </c>
      <c r="C764" s="52" t="s">
        <v>17</v>
      </c>
      <c r="D764" s="52" t="s">
        <v>2201</v>
      </c>
      <c r="E764" s="53">
        <v>-58.78</v>
      </c>
      <c r="F764" s="55" t="s">
        <v>8</v>
      </c>
      <c r="G764" s="61" t="s">
        <v>1279</v>
      </c>
    </row>
    <row r="765" spans="1:7" s="667" customFormat="1" x14ac:dyDescent="0.3">
      <c r="A765" s="51">
        <v>45960</v>
      </c>
      <c r="B765" s="123" t="s">
        <v>211</v>
      </c>
      <c r="C765" s="698" t="s">
        <v>17</v>
      </c>
      <c r="D765" s="68" t="s">
        <v>2202</v>
      </c>
      <c r="E765" s="53">
        <v>-1615.39</v>
      </c>
      <c r="F765" s="55" t="s">
        <v>8</v>
      </c>
      <c r="G765" s="61" t="s">
        <v>68</v>
      </c>
    </row>
    <row r="766" spans="1:7" s="667" customFormat="1" x14ac:dyDescent="0.3">
      <c r="A766" s="51">
        <v>45960</v>
      </c>
      <c r="B766" s="123" t="s">
        <v>211</v>
      </c>
      <c r="C766" s="698" t="s">
        <v>17</v>
      </c>
      <c r="D766" s="68" t="s">
        <v>2202</v>
      </c>
      <c r="E766" s="53">
        <v>-3002.16</v>
      </c>
      <c r="F766" s="55" t="s">
        <v>8</v>
      </c>
      <c r="G766" s="61" t="s">
        <v>68</v>
      </c>
    </row>
    <row r="767" spans="1:7" s="667" customFormat="1" x14ac:dyDescent="0.3">
      <c r="A767" s="123">
        <v>45960</v>
      </c>
      <c r="B767" s="123" t="s">
        <v>211</v>
      </c>
      <c r="C767" s="52" t="s">
        <v>25</v>
      </c>
      <c r="D767" s="120" t="s">
        <v>2243</v>
      </c>
      <c r="E767" s="53">
        <v>-325</v>
      </c>
      <c r="F767" s="55" t="s">
        <v>8</v>
      </c>
      <c r="G767" s="61" t="s">
        <v>99</v>
      </c>
    </row>
    <row r="768" spans="1:7" s="667" customFormat="1" x14ac:dyDescent="0.3">
      <c r="A768" s="123">
        <v>45960</v>
      </c>
      <c r="B768" s="123" t="s">
        <v>211</v>
      </c>
      <c r="C768" s="52" t="s">
        <v>25</v>
      </c>
      <c r="D768" s="120" t="s">
        <v>2211</v>
      </c>
      <c r="E768" s="53">
        <v>-400.68</v>
      </c>
      <c r="F768" s="55" t="s">
        <v>8</v>
      </c>
      <c r="G768" s="61" t="s">
        <v>27</v>
      </c>
    </row>
    <row r="769" spans="1:7" s="667" customFormat="1" x14ac:dyDescent="0.3">
      <c r="A769" s="123">
        <v>45960</v>
      </c>
      <c r="B769" s="123" t="s">
        <v>211</v>
      </c>
      <c r="C769" s="52" t="s">
        <v>25</v>
      </c>
      <c r="D769" s="120" t="s">
        <v>2212</v>
      </c>
      <c r="E769" s="53">
        <v>-270</v>
      </c>
      <c r="F769" s="55" t="s">
        <v>8</v>
      </c>
      <c r="G769" s="61" t="s">
        <v>27</v>
      </c>
    </row>
    <row r="770" spans="1:7" s="667" customFormat="1" x14ac:dyDescent="0.3">
      <c r="A770" s="51">
        <v>45960</v>
      </c>
      <c r="B770" s="123" t="s">
        <v>211</v>
      </c>
      <c r="C770" s="720" t="s">
        <v>44</v>
      </c>
      <c r="D770" s="73" t="s">
        <v>158</v>
      </c>
      <c r="E770" s="121">
        <v>-1719.53</v>
      </c>
      <c r="F770" s="55" t="s">
        <v>8</v>
      </c>
      <c r="G770" s="55" t="s">
        <v>91</v>
      </c>
    </row>
    <row r="771" spans="1:7" s="667" customFormat="1" x14ac:dyDescent="0.3">
      <c r="A771" s="51">
        <v>45960</v>
      </c>
      <c r="B771" s="123" t="s">
        <v>211</v>
      </c>
      <c r="C771" s="120" t="s">
        <v>6</v>
      </c>
      <c r="D771" s="73" t="s">
        <v>158</v>
      </c>
      <c r="E771" s="121">
        <v>-1392.65</v>
      </c>
      <c r="F771" s="55" t="s">
        <v>8</v>
      </c>
      <c r="G771" s="55" t="s">
        <v>91</v>
      </c>
    </row>
    <row r="772" spans="1:7" s="667" customFormat="1" x14ac:dyDescent="0.3">
      <c r="A772" s="123">
        <v>45960</v>
      </c>
      <c r="B772" s="123" t="s">
        <v>211</v>
      </c>
      <c r="C772" s="120" t="s">
        <v>6</v>
      </c>
      <c r="D772" s="73" t="s">
        <v>1885</v>
      </c>
      <c r="E772" s="121">
        <v>-138.5</v>
      </c>
      <c r="F772" s="55" t="s">
        <v>8</v>
      </c>
      <c r="G772" s="61" t="s">
        <v>99</v>
      </c>
    </row>
    <row r="773" spans="1:7" s="667" customFormat="1" x14ac:dyDescent="0.3">
      <c r="A773" s="123">
        <v>45960</v>
      </c>
      <c r="B773" s="123" t="s">
        <v>211</v>
      </c>
      <c r="C773" s="120" t="s">
        <v>6</v>
      </c>
      <c r="D773" s="73" t="s">
        <v>1884</v>
      </c>
      <c r="E773" s="121">
        <v>-141.52000000000001</v>
      </c>
      <c r="F773" s="55" t="s">
        <v>8</v>
      </c>
      <c r="G773" s="61" t="s">
        <v>99</v>
      </c>
    </row>
    <row r="774" spans="1:7" s="667" customFormat="1" x14ac:dyDescent="0.3">
      <c r="A774" s="123">
        <v>45960</v>
      </c>
      <c r="B774" s="123" t="s">
        <v>211</v>
      </c>
      <c r="C774" s="120" t="s">
        <v>6</v>
      </c>
      <c r="D774" s="73" t="s">
        <v>1884</v>
      </c>
      <c r="E774" s="121">
        <v>-141.52000000000001</v>
      </c>
      <c r="F774" s="55" t="s">
        <v>8</v>
      </c>
      <c r="G774" s="61" t="s">
        <v>99</v>
      </c>
    </row>
    <row r="775" spans="1:7" s="667" customFormat="1" x14ac:dyDescent="0.3">
      <c r="A775" s="123">
        <v>45960</v>
      </c>
      <c r="B775" s="123" t="s">
        <v>211</v>
      </c>
      <c r="C775" s="120" t="s">
        <v>6</v>
      </c>
      <c r="D775" s="73" t="s">
        <v>1884</v>
      </c>
      <c r="E775" s="121">
        <v>-141.52000000000001</v>
      </c>
      <c r="F775" s="55" t="s">
        <v>8</v>
      </c>
      <c r="G775" s="61" t="s">
        <v>99</v>
      </c>
    </row>
    <row r="776" spans="1:7" s="667" customFormat="1" x14ac:dyDescent="0.3">
      <c r="A776" s="123">
        <v>45960</v>
      </c>
      <c r="B776" s="123" t="s">
        <v>211</v>
      </c>
      <c r="C776" s="52" t="s">
        <v>71</v>
      </c>
      <c r="D776" s="52" t="s">
        <v>2244</v>
      </c>
      <c r="E776" s="53">
        <v>-1400</v>
      </c>
      <c r="F776" s="55" t="s">
        <v>8</v>
      </c>
      <c r="G776" s="54" t="s">
        <v>1064</v>
      </c>
    </row>
    <row r="777" spans="1:7" s="667" customFormat="1" x14ac:dyDescent="0.3">
      <c r="A777" s="123">
        <v>45960</v>
      </c>
      <c r="B777" s="123" t="s">
        <v>211</v>
      </c>
      <c r="C777" s="120" t="s">
        <v>421</v>
      </c>
      <c r="D777" s="52" t="s">
        <v>2190</v>
      </c>
      <c r="E777" s="53">
        <v>-7381.7</v>
      </c>
      <c r="F777" s="55" t="s">
        <v>8</v>
      </c>
      <c r="G777" s="61" t="s">
        <v>58</v>
      </c>
    </row>
    <row r="778" spans="1:7" s="667" customFormat="1" x14ac:dyDescent="0.3">
      <c r="A778" s="51">
        <v>45960</v>
      </c>
      <c r="B778" s="123" t="s">
        <v>211</v>
      </c>
      <c r="C778" s="120" t="s">
        <v>6</v>
      </c>
      <c r="D778" s="52" t="s">
        <v>2268</v>
      </c>
      <c r="E778" s="53">
        <v>-2220</v>
      </c>
      <c r="F778" s="54" t="s">
        <v>8</v>
      </c>
      <c r="G778" s="54" t="s">
        <v>1064</v>
      </c>
    </row>
    <row r="779" spans="1:7" s="667" customFormat="1" x14ac:dyDescent="0.3">
      <c r="A779" s="51">
        <v>45960</v>
      </c>
      <c r="B779" s="123" t="s">
        <v>211</v>
      </c>
      <c r="C779" s="52" t="s">
        <v>6</v>
      </c>
      <c r="D779" s="52" t="s">
        <v>586</v>
      </c>
      <c r="E779" s="53">
        <v>-3200</v>
      </c>
      <c r="F779" s="55" t="s">
        <v>8</v>
      </c>
      <c r="G779" s="54" t="s">
        <v>186</v>
      </c>
    </row>
    <row r="780" spans="1:7" s="667" customFormat="1" x14ac:dyDescent="0.3">
      <c r="A780" s="51">
        <v>45960</v>
      </c>
      <c r="B780" s="123" t="s">
        <v>211</v>
      </c>
      <c r="C780" s="52" t="s">
        <v>6</v>
      </c>
      <c r="D780" s="52" t="s">
        <v>187</v>
      </c>
      <c r="E780" s="53">
        <v>-2000</v>
      </c>
      <c r="F780" s="55" t="s">
        <v>8</v>
      </c>
      <c r="G780" s="54" t="s">
        <v>186</v>
      </c>
    </row>
    <row r="781" spans="1:7" s="667" customFormat="1" x14ac:dyDescent="0.3">
      <c r="A781" s="51">
        <v>45960</v>
      </c>
      <c r="B781" s="123" t="s">
        <v>211</v>
      </c>
      <c r="C781" s="52" t="s">
        <v>6</v>
      </c>
      <c r="D781" s="52" t="s">
        <v>585</v>
      </c>
      <c r="E781" s="53">
        <v>-3836.54</v>
      </c>
      <c r="F781" s="55" t="s">
        <v>8</v>
      </c>
      <c r="G781" s="54" t="s">
        <v>186</v>
      </c>
    </row>
    <row r="782" spans="1:7" s="667" customFormat="1" x14ac:dyDescent="0.3">
      <c r="A782" s="51">
        <v>45960</v>
      </c>
      <c r="B782" s="123" t="s">
        <v>211</v>
      </c>
      <c r="C782" s="52" t="s">
        <v>44</v>
      </c>
      <c r="D782" s="52" t="s">
        <v>189</v>
      </c>
      <c r="E782" s="53">
        <v>-2500</v>
      </c>
      <c r="F782" s="55" t="s">
        <v>8</v>
      </c>
      <c r="G782" s="54" t="s">
        <v>186</v>
      </c>
    </row>
    <row r="783" spans="1:7" s="667" customFormat="1" x14ac:dyDescent="0.3">
      <c r="A783" s="51">
        <v>45960</v>
      </c>
      <c r="B783" s="123" t="s">
        <v>211</v>
      </c>
      <c r="C783" s="52" t="s">
        <v>33</v>
      </c>
      <c r="D783" s="52" t="s">
        <v>587</v>
      </c>
      <c r="E783" s="53">
        <v>-1000</v>
      </c>
      <c r="F783" s="55" t="s">
        <v>8</v>
      </c>
      <c r="G783" s="54" t="s">
        <v>186</v>
      </c>
    </row>
    <row r="784" spans="1:7" s="667" customFormat="1" x14ac:dyDescent="0.3">
      <c r="A784" s="51">
        <v>45960</v>
      </c>
      <c r="B784" s="123" t="s">
        <v>211</v>
      </c>
      <c r="C784" s="52" t="s">
        <v>17</v>
      </c>
      <c r="D784" s="52" t="s">
        <v>191</v>
      </c>
      <c r="E784" s="53">
        <v>-1916.67</v>
      </c>
      <c r="F784" s="55" t="s">
        <v>8</v>
      </c>
      <c r="G784" s="54" t="s">
        <v>186</v>
      </c>
    </row>
    <row r="785" spans="1:7" s="667" customFormat="1" x14ac:dyDescent="0.3">
      <c r="A785" s="51">
        <v>45960</v>
      </c>
      <c r="B785" s="123" t="s">
        <v>211</v>
      </c>
      <c r="C785" s="52" t="s">
        <v>17</v>
      </c>
      <c r="D785" s="52" t="s">
        <v>588</v>
      </c>
      <c r="E785" s="53">
        <v>-2907.7</v>
      </c>
      <c r="F785" s="55" t="s">
        <v>8</v>
      </c>
      <c r="G785" s="54" t="s">
        <v>186</v>
      </c>
    </row>
    <row r="786" spans="1:7" s="667" customFormat="1" x14ac:dyDescent="0.3">
      <c r="A786" s="51">
        <v>45960</v>
      </c>
      <c r="B786" s="123" t="s">
        <v>211</v>
      </c>
      <c r="C786" s="52" t="s">
        <v>17</v>
      </c>
      <c r="D786" s="52" t="s">
        <v>1652</v>
      </c>
      <c r="E786" s="53">
        <v>-2000</v>
      </c>
      <c r="F786" s="55" t="s">
        <v>8</v>
      </c>
      <c r="G786" s="54" t="s">
        <v>186</v>
      </c>
    </row>
    <row r="787" spans="1:7" s="667" customFormat="1" x14ac:dyDescent="0.3">
      <c r="A787" s="51">
        <v>45960</v>
      </c>
      <c r="B787" s="123" t="s">
        <v>211</v>
      </c>
      <c r="C787" s="52" t="s">
        <v>17</v>
      </c>
      <c r="D787" s="52" t="s">
        <v>1649</v>
      </c>
      <c r="E787" s="53">
        <v>-3933.34</v>
      </c>
      <c r="F787" s="55" t="s">
        <v>8</v>
      </c>
      <c r="G787" s="54" t="s">
        <v>186</v>
      </c>
    </row>
    <row r="788" spans="1:7" s="667" customFormat="1" x14ac:dyDescent="0.3">
      <c r="A788" s="51">
        <v>45960</v>
      </c>
      <c r="B788" s="123" t="s">
        <v>211</v>
      </c>
      <c r="C788" s="52" t="s">
        <v>104</v>
      </c>
      <c r="D788" s="52" t="s">
        <v>2187</v>
      </c>
      <c r="E788" s="53">
        <v>-1000</v>
      </c>
      <c r="F788" s="55" t="s">
        <v>8</v>
      </c>
      <c r="G788" s="54" t="s">
        <v>186</v>
      </c>
    </row>
    <row r="789" spans="1:7" s="667" customFormat="1" x14ac:dyDescent="0.3">
      <c r="A789" s="51">
        <v>45960</v>
      </c>
      <c r="B789" s="123" t="s">
        <v>211</v>
      </c>
      <c r="C789" s="52" t="s">
        <v>6</v>
      </c>
      <c r="D789" s="52" t="s">
        <v>1646</v>
      </c>
      <c r="E789" s="53">
        <v>-3000</v>
      </c>
      <c r="F789" s="55" t="s">
        <v>8</v>
      </c>
      <c r="G789" s="54" t="s">
        <v>186</v>
      </c>
    </row>
    <row r="790" spans="1:7" s="667" customFormat="1" x14ac:dyDescent="0.3">
      <c r="A790" s="51">
        <v>45960</v>
      </c>
      <c r="B790" s="123" t="s">
        <v>211</v>
      </c>
      <c r="C790" s="52" t="s">
        <v>17</v>
      </c>
      <c r="D790" s="52" t="s">
        <v>2199</v>
      </c>
      <c r="E790" s="53">
        <v>-107.14</v>
      </c>
      <c r="F790" s="54" t="s">
        <v>8</v>
      </c>
      <c r="G790" s="54" t="s">
        <v>1279</v>
      </c>
    </row>
    <row r="791" spans="1:7" s="667" customFormat="1" x14ac:dyDescent="0.3">
      <c r="A791" s="51">
        <v>45960</v>
      </c>
      <c r="B791" s="123" t="s">
        <v>211</v>
      </c>
      <c r="C791" s="52" t="s">
        <v>17</v>
      </c>
      <c r="D791" s="52" t="s">
        <v>2214</v>
      </c>
      <c r="E791" s="53">
        <v>-2625</v>
      </c>
      <c r="F791" s="54" t="s">
        <v>8</v>
      </c>
      <c r="G791" s="54" t="s">
        <v>152</v>
      </c>
    </row>
    <row r="792" spans="1:7" s="667" customFormat="1" x14ac:dyDescent="0.3">
      <c r="A792" s="51">
        <v>45960</v>
      </c>
      <c r="B792" s="123" t="s">
        <v>211</v>
      </c>
      <c r="C792" s="52" t="s">
        <v>31</v>
      </c>
      <c r="D792" s="52" t="s">
        <v>1875</v>
      </c>
      <c r="E792" s="53">
        <v>-1133.3399999999999</v>
      </c>
      <c r="F792" s="55" t="s">
        <v>8</v>
      </c>
      <c r="G792" s="54" t="s">
        <v>186</v>
      </c>
    </row>
    <row r="793" spans="1:7" s="667" customFormat="1" x14ac:dyDescent="0.3">
      <c r="A793" s="51">
        <v>45960</v>
      </c>
      <c r="B793" s="123" t="s">
        <v>211</v>
      </c>
      <c r="C793" s="52" t="s">
        <v>17</v>
      </c>
      <c r="D793" s="52" t="s">
        <v>193</v>
      </c>
      <c r="E793" s="53">
        <v>-1400</v>
      </c>
      <c r="F793" s="55" t="s">
        <v>8</v>
      </c>
      <c r="G793" s="54" t="s">
        <v>186</v>
      </c>
    </row>
    <row r="794" spans="1:7" s="667" customFormat="1" x14ac:dyDescent="0.3">
      <c r="A794" s="51">
        <v>45960</v>
      </c>
      <c r="B794" s="123" t="s">
        <v>211</v>
      </c>
      <c r="C794" s="52" t="s">
        <v>25</v>
      </c>
      <c r="D794" s="68" t="s">
        <v>1769</v>
      </c>
      <c r="E794" s="64">
        <v>-1866.46</v>
      </c>
      <c r="F794" s="54" t="s">
        <v>8</v>
      </c>
      <c r="G794" s="54" t="s">
        <v>815</v>
      </c>
    </row>
    <row r="795" spans="1:7" x14ac:dyDescent="0.3">
      <c r="E795" s="1103">
        <f>SUM(E726:E794)</f>
        <v>-167484.21000000005</v>
      </c>
    </row>
    <row r="801" spans="1:7" x14ac:dyDescent="0.3">
      <c r="A801" s="1138" t="s">
        <v>2285</v>
      </c>
      <c r="B801" s="1138"/>
      <c r="C801" s="1138"/>
      <c r="D801" s="1138"/>
      <c r="E801" s="1138"/>
      <c r="F801" s="1138"/>
      <c r="G801" s="1138"/>
    </row>
    <row r="802" spans="1:7" ht="48" customHeight="1" x14ac:dyDescent="0.3">
      <c r="A802" s="1138"/>
      <c r="B802" s="1138"/>
      <c r="C802" s="1138"/>
      <c r="D802" s="1138"/>
      <c r="E802" s="1138"/>
      <c r="F802" s="1138"/>
      <c r="G802" s="1138"/>
    </row>
    <row r="803" spans="1:7" x14ac:dyDescent="0.3">
      <c r="A803" s="127" t="s">
        <v>0</v>
      </c>
      <c r="B803" s="1002" t="s">
        <v>1038</v>
      </c>
      <c r="C803" s="58" t="s">
        <v>1</v>
      </c>
      <c r="D803" s="127" t="s">
        <v>2</v>
      </c>
      <c r="E803" s="59" t="s">
        <v>3</v>
      </c>
      <c r="F803" s="59" t="s">
        <v>4</v>
      </c>
      <c r="G803" s="280" t="s">
        <v>5</v>
      </c>
    </row>
    <row r="804" spans="1:7" s="667" customFormat="1" x14ac:dyDescent="0.3">
      <c r="A804" s="219">
        <v>45961</v>
      </c>
      <c r="B804" s="220" t="s">
        <v>211</v>
      </c>
      <c r="C804" s="674" t="s">
        <v>17</v>
      </c>
      <c r="D804" s="674" t="s">
        <v>830</v>
      </c>
      <c r="E804" s="221">
        <v>-1500</v>
      </c>
      <c r="F804" s="67" t="s">
        <v>8</v>
      </c>
      <c r="G804" s="222" t="s">
        <v>186</v>
      </c>
    </row>
    <row r="805" spans="1:7" s="667" customFormat="1" x14ac:dyDescent="0.3">
      <c r="A805" s="219">
        <v>45961</v>
      </c>
      <c r="B805" s="220" t="s">
        <v>211</v>
      </c>
      <c r="C805" s="674" t="s">
        <v>6</v>
      </c>
      <c r="D805" s="674" t="s">
        <v>711</v>
      </c>
      <c r="E805" s="221">
        <v>-2000</v>
      </c>
      <c r="F805" s="67" t="s">
        <v>8</v>
      </c>
      <c r="G805" s="222" t="s">
        <v>186</v>
      </c>
    </row>
    <row r="806" spans="1:7" s="667" customFormat="1" x14ac:dyDescent="0.3">
      <c r="A806" s="51">
        <v>45961</v>
      </c>
      <c r="B806" s="123" t="s">
        <v>211</v>
      </c>
      <c r="C806" s="120" t="s">
        <v>17</v>
      </c>
      <c r="D806" s="68" t="s">
        <v>146</v>
      </c>
      <c r="E806" s="121">
        <v>-2000</v>
      </c>
      <c r="F806" s="55" t="s">
        <v>8</v>
      </c>
      <c r="G806" s="61" t="s">
        <v>147</v>
      </c>
    </row>
    <row r="807" spans="1:7" s="667" customFormat="1" x14ac:dyDescent="0.3">
      <c r="A807" s="759">
        <v>45961</v>
      </c>
      <c r="B807" s="368" t="s">
        <v>211</v>
      </c>
      <c r="C807" s="407" t="s">
        <v>17</v>
      </c>
      <c r="D807" s="697" t="s">
        <v>148</v>
      </c>
      <c r="E807" s="473">
        <v>-150</v>
      </c>
      <c r="F807" s="55" t="s">
        <v>8</v>
      </c>
      <c r="G807" s="61" t="s">
        <v>147</v>
      </c>
    </row>
    <row r="808" spans="1:7" s="667" customFormat="1" x14ac:dyDescent="0.3">
      <c r="A808" s="51">
        <v>45961</v>
      </c>
      <c r="B808" s="123" t="s">
        <v>211</v>
      </c>
      <c r="C808" s="120" t="s">
        <v>17</v>
      </c>
      <c r="D808" s="73" t="s">
        <v>140</v>
      </c>
      <c r="E808" s="121">
        <v>-15097.31</v>
      </c>
      <c r="F808" s="55" t="s">
        <v>8</v>
      </c>
      <c r="G808" s="61" t="s">
        <v>58</v>
      </c>
    </row>
    <row r="809" spans="1:7" s="667" customFormat="1" x14ac:dyDescent="0.3">
      <c r="A809" s="51">
        <v>45961</v>
      </c>
      <c r="B809" s="123" t="s">
        <v>211</v>
      </c>
      <c r="C809" s="120" t="s">
        <v>13</v>
      </c>
      <c r="D809" s="73" t="s">
        <v>2131</v>
      </c>
      <c r="E809" s="121">
        <v>-535.1</v>
      </c>
      <c r="F809" s="55" t="s">
        <v>8</v>
      </c>
      <c r="G809" s="61" t="s">
        <v>68</v>
      </c>
    </row>
    <row r="810" spans="1:7" s="667" customFormat="1" x14ac:dyDescent="0.3">
      <c r="A810" s="123">
        <v>45961</v>
      </c>
      <c r="B810" s="123" t="s">
        <v>211</v>
      </c>
      <c r="C810" s="120" t="s">
        <v>6</v>
      </c>
      <c r="D810" s="73" t="s">
        <v>2219</v>
      </c>
      <c r="E810" s="121">
        <v>-15864</v>
      </c>
      <c r="F810" s="55" t="s">
        <v>8</v>
      </c>
      <c r="G810" s="61" t="s">
        <v>119</v>
      </c>
    </row>
    <row r="811" spans="1:7" s="667" customFormat="1" x14ac:dyDescent="0.3">
      <c r="A811" s="123">
        <v>45961</v>
      </c>
      <c r="B811" s="123" t="s">
        <v>211</v>
      </c>
      <c r="C811" s="120" t="s">
        <v>17</v>
      </c>
      <c r="D811" s="73" t="s">
        <v>1855</v>
      </c>
      <c r="E811" s="121">
        <v>-6464.98</v>
      </c>
      <c r="F811" s="55" t="s">
        <v>8</v>
      </c>
      <c r="G811" s="61" t="s">
        <v>73</v>
      </c>
    </row>
    <row r="812" spans="1:7" s="667" customFormat="1" x14ac:dyDescent="0.3">
      <c r="A812" s="123">
        <v>45961</v>
      </c>
      <c r="B812" s="123" t="s">
        <v>211</v>
      </c>
      <c r="C812" s="120" t="s">
        <v>13</v>
      </c>
      <c r="D812" s="73" t="s">
        <v>1855</v>
      </c>
      <c r="E812" s="121">
        <v>-4295.7700000000004</v>
      </c>
      <c r="F812" s="55" t="s">
        <v>8</v>
      </c>
      <c r="G812" s="61" t="s">
        <v>73</v>
      </c>
    </row>
    <row r="813" spans="1:7" s="667" customFormat="1" x14ac:dyDescent="0.3">
      <c r="A813" s="51">
        <v>45961</v>
      </c>
      <c r="B813" s="123" t="s">
        <v>211</v>
      </c>
      <c r="C813" s="52" t="s">
        <v>17</v>
      </c>
      <c r="D813" s="52" t="s">
        <v>2217</v>
      </c>
      <c r="E813" s="53">
        <v>-76.56</v>
      </c>
      <c r="F813" s="55" t="s">
        <v>8</v>
      </c>
      <c r="G813" s="61" t="s">
        <v>1279</v>
      </c>
    </row>
    <row r="814" spans="1:7" s="667" customFormat="1" x14ac:dyDescent="0.3">
      <c r="A814" s="51">
        <v>45961</v>
      </c>
      <c r="B814" s="123" t="s">
        <v>211</v>
      </c>
      <c r="C814" s="52" t="s">
        <v>17</v>
      </c>
      <c r="D814" s="52" t="s">
        <v>2215</v>
      </c>
      <c r="E814" s="53">
        <v>-150</v>
      </c>
      <c r="F814" s="55" t="s">
        <v>8</v>
      </c>
      <c r="G814" s="61" t="s">
        <v>1440</v>
      </c>
    </row>
    <row r="815" spans="1:7" s="667" customFormat="1" x14ac:dyDescent="0.3">
      <c r="A815" s="51">
        <v>45961</v>
      </c>
      <c r="B815" s="123" t="s">
        <v>211</v>
      </c>
      <c r="C815" s="52" t="s">
        <v>44</v>
      </c>
      <c r="D815" s="52" t="s">
        <v>2216</v>
      </c>
      <c r="E815" s="53">
        <v>-58.94</v>
      </c>
      <c r="F815" s="55" t="s">
        <v>8</v>
      </c>
      <c r="G815" s="61" t="s">
        <v>1279</v>
      </c>
    </row>
    <row r="816" spans="1:7" s="667" customFormat="1" x14ac:dyDescent="0.3">
      <c r="A816" s="123">
        <v>45961</v>
      </c>
      <c r="B816" s="123" t="s">
        <v>211</v>
      </c>
      <c r="C816" s="52" t="s">
        <v>44</v>
      </c>
      <c r="D816" s="52" t="s">
        <v>1851</v>
      </c>
      <c r="E816" s="53">
        <v>-930.49</v>
      </c>
      <c r="F816" s="55" t="s">
        <v>8</v>
      </c>
      <c r="G816" s="61" t="s">
        <v>46</v>
      </c>
    </row>
    <row r="817" spans="1:7" s="667" customFormat="1" x14ac:dyDescent="0.3">
      <c r="A817" s="123">
        <v>45961</v>
      </c>
      <c r="B817" s="123" t="s">
        <v>211</v>
      </c>
      <c r="C817" s="52" t="s">
        <v>1571</v>
      </c>
      <c r="D817" s="52" t="s">
        <v>2275</v>
      </c>
      <c r="E817" s="53">
        <v>-1641.7</v>
      </c>
      <c r="F817" s="55" t="s">
        <v>8</v>
      </c>
      <c r="G817" s="61" t="s">
        <v>97</v>
      </c>
    </row>
    <row r="818" spans="1:7" s="667" customFormat="1" x14ac:dyDescent="0.3">
      <c r="A818" s="123">
        <v>45961</v>
      </c>
      <c r="B818" s="123" t="s">
        <v>211</v>
      </c>
      <c r="C818" s="52" t="s">
        <v>1571</v>
      </c>
      <c r="D818" s="52" t="s">
        <v>2274</v>
      </c>
      <c r="E818" s="53">
        <v>-7829.5</v>
      </c>
      <c r="F818" s="55" t="s">
        <v>8</v>
      </c>
      <c r="G818" s="61" t="s">
        <v>97</v>
      </c>
    </row>
    <row r="819" spans="1:7" s="667" customFormat="1" x14ac:dyDescent="0.3">
      <c r="A819" s="51">
        <v>45961</v>
      </c>
      <c r="B819" s="123" t="s">
        <v>211</v>
      </c>
      <c r="C819" s="120" t="s">
        <v>80</v>
      </c>
      <c r="D819" s="73" t="s">
        <v>81</v>
      </c>
      <c r="E819" s="121">
        <v>-10716.7</v>
      </c>
      <c r="F819" s="55" t="s">
        <v>8</v>
      </c>
      <c r="G819" s="61" t="s">
        <v>82</v>
      </c>
    </row>
    <row r="820" spans="1:7" s="667" customFormat="1" x14ac:dyDescent="0.3">
      <c r="A820" s="123">
        <v>45961</v>
      </c>
      <c r="B820" s="123" t="s">
        <v>211</v>
      </c>
      <c r="C820" s="52" t="s">
        <v>17</v>
      </c>
      <c r="D820" s="52" t="s">
        <v>2282</v>
      </c>
      <c r="E820" s="1018">
        <v>-20000</v>
      </c>
      <c r="F820" s="55" t="s">
        <v>8</v>
      </c>
      <c r="G820" s="61" t="s">
        <v>1931</v>
      </c>
    </row>
    <row r="821" spans="1:7" s="667" customFormat="1" x14ac:dyDescent="0.3">
      <c r="A821" s="123">
        <v>45961</v>
      </c>
      <c r="B821" s="123" t="s">
        <v>211</v>
      </c>
      <c r="C821" s="52" t="s">
        <v>17</v>
      </c>
      <c r="D821" s="52" t="s">
        <v>2283</v>
      </c>
      <c r="E821" s="1018">
        <v>-40517.96</v>
      </c>
      <c r="F821" s="55" t="s">
        <v>8</v>
      </c>
      <c r="G821" s="61" t="s">
        <v>1931</v>
      </c>
    </row>
    <row r="822" spans="1:7" s="667" customFormat="1" x14ac:dyDescent="0.3">
      <c r="A822" s="51">
        <v>45961</v>
      </c>
      <c r="B822" s="123" t="s">
        <v>211</v>
      </c>
      <c r="C822" s="52" t="s">
        <v>44</v>
      </c>
      <c r="D822" s="52" t="s">
        <v>561</v>
      </c>
      <c r="E822" s="53">
        <v>-3968.99</v>
      </c>
      <c r="F822" s="55" t="s">
        <v>8</v>
      </c>
      <c r="G822" s="54" t="s">
        <v>186</v>
      </c>
    </row>
    <row r="823" spans="1:7" s="667" customFormat="1" x14ac:dyDescent="0.3">
      <c r="A823" s="219">
        <v>45961</v>
      </c>
      <c r="B823" s="271" t="s">
        <v>211</v>
      </c>
      <c r="C823" s="674" t="s">
        <v>17</v>
      </c>
      <c r="D823" s="52" t="s">
        <v>2218</v>
      </c>
      <c r="E823" s="53">
        <v>-2570.75</v>
      </c>
      <c r="F823" s="67" t="s">
        <v>8</v>
      </c>
      <c r="G823" s="222" t="s">
        <v>186</v>
      </c>
    </row>
    <row r="824" spans="1:7" s="667" customFormat="1" x14ac:dyDescent="0.3">
      <c r="A824" s="51">
        <v>45961</v>
      </c>
      <c r="B824" s="123" t="s">
        <v>211</v>
      </c>
      <c r="C824" s="52" t="s">
        <v>25</v>
      </c>
      <c r="D824" s="52" t="s">
        <v>2188</v>
      </c>
      <c r="E824" s="53">
        <v>-167.82</v>
      </c>
      <c r="F824" s="55" t="s">
        <v>8</v>
      </c>
      <c r="G824" s="222" t="s">
        <v>75</v>
      </c>
    </row>
    <row r="825" spans="1:7" s="667" customFormat="1" x14ac:dyDescent="0.3">
      <c r="A825" s="51">
        <v>45961</v>
      </c>
      <c r="B825" s="123" t="s">
        <v>211</v>
      </c>
      <c r="C825" s="52" t="s">
        <v>25</v>
      </c>
      <c r="D825" s="52" t="s">
        <v>1409</v>
      </c>
      <c r="E825" s="53">
        <v>-286.27999999999997</v>
      </c>
      <c r="F825" s="55" t="s">
        <v>8</v>
      </c>
      <c r="G825" s="222" t="s">
        <v>75</v>
      </c>
    </row>
    <row r="826" spans="1:7" s="667" customFormat="1" x14ac:dyDescent="0.3">
      <c r="A826" s="51">
        <v>45961</v>
      </c>
      <c r="B826" s="123" t="s">
        <v>211</v>
      </c>
      <c r="C826" s="52" t="s">
        <v>25</v>
      </c>
      <c r="D826" s="52" t="s">
        <v>1388</v>
      </c>
      <c r="E826" s="53">
        <v>-380.1</v>
      </c>
      <c r="F826" s="55" t="s">
        <v>8</v>
      </c>
      <c r="G826" s="222" t="s">
        <v>75</v>
      </c>
    </row>
    <row r="827" spans="1:7" s="667" customFormat="1" x14ac:dyDescent="0.3">
      <c r="A827" s="51">
        <v>45961</v>
      </c>
      <c r="B827" s="123" t="s">
        <v>211</v>
      </c>
      <c r="C827" s="52" t="s">
        <v>6</v>
      </c>
      <c r="D827" s="52" t="s">
        <v>1365</v>
      </c>
      <c r="E827" s="53">
        <v>-3069.44</v>
      </c>
      <c r="F827" s="55" t="s">
        <v>8</v>
      </c>
      <c r="G827" s="222" t="s">
        <v>75</v>
      </c>
    </row>
    <row r="828" spans="1:7" s="667" customFormat="1" x14ac:dyDescent="0.3">
      <c r="A828" s="51">
        <v>45961</v>
      </c>
      <c r="B828" s="123" t="s">
        <v>211</v>
      </c>
      <c r="C828" s="52" t="s">
        <v>71</v>
      </c>
      <c r="D828" s="52" t="s">
        <v>2204</v>
      </c>
      <c r="E828" s="53">
        <v>-462.41</v>
      </c>
      <c r="F828" s="55" t="s">
        <v>8</v>
      </c>
      <c r="G828" s="222" t="s">
        <v>1279</v>
      </c>
    </row>
    <row r="829" spans="1:7" s="667" customFormat="1" x14ac:dyDescent="0.3">
      <c r="A829" s="51">
        <v>45961</v>
      </c>
      <c r="B829" s="123" t="s">
        <v>211</v>
      </c>
      <c r="C829" s="52" t="s">
        <v>32</v>
      </c>
      <c r="D829" s="52" t="s">
        <v>1616</v>
      </c>
      <c r="E829" s="53">
        <v>-715.58</v>
      </c>
      <c r="F829" s="55" t="s">
        <v>8</v>
      </c>
      <c r="G829" s="222" t="s">
        <v>75</v>
      </c>
    </row>
    <row r="830" spans="1:7" x14ac:dyDescent="0.3">
      <c r="E830" s="212">
        <f>SUM(E804:E829)</f>
        <v>-141450.38</v>
      </c>
    </row>
    <row r="836" spans="1:7" x14ac:dyDescent="0.3">
      <c r="A836" s="1138" t="s">
        <v>2301</v>
      </c>
      <c r="B836" s="1138"/>
      <c r="C836" s="1138"/>
      <c r="D836" s="1138"/>
      <c r="E836" s="1138"/>
      <c r="F836" s="1138"/>
      <c r="G836" s="1138"/>
    </row>
    <row r="837" spans="1:7" ht="49.8" customHeight="1" x14ac:dyDescent="0.3">
      <c r="A837" s="1138"/>
      <c r="B837" s="1138"/>
      <c r="C837" s="1138"/>
      <c r="D837" s="1138"/>
      <c r="E837" s="1138"/>
      <c r="F837" s="1138"/>
      <c r="G837" s="1138"/>
    </row>
    <row r="838" spans="1:7" x14ac:dyDescent="0.3">
      <c r="A838" s="127" t="s">
        <v>0</v>
      </c>
      <c r="B838" s="1002" t="s">
        <v>1038</v>
      </c>
      <c r="C838" s="58" t="s">
        <v>1</v>
      </c>
      <c r="D838" s="772" t="s">
        <v>2</v>
      </c>
      <c r="E838" s="59" t="s">
        <v>3</v>
      </c>
      <c r="F838" s="59" t="s">
        <v>4</v>
      </c>
      <c r="G838" s="280" t="s">
        <v>5</v>
      </c>
    </row>
    <row r="839" spans="1:7" s="667" customFormat="1" x14ac:dyDescent="0.3">
      <c r="A839" s="232">
        <v>45964</v>
      </c>
      <c r="B839" s="123" t="s">
        <v>212</v>
      </c>
      <c r="C839" s="120" t="s">
        <v>13</v>
      </c>
      <c r="D839" s="73" t="s">
        <v>1344</v>
      </c>
      <c r="E839" s="121">
        <v>-2719.09</v>
      </c>
      <c r="F839" s="55" t="s">
        <v>8</v>
      </c>
      <c r="G839" s="61" t="s">
        <v>55</v>
      </c>
    </row>
    <row r="840" spans="1:7" s="667" customFormat="1" x14ac:dyDescent="0.3">
      <c r="A840" s="51">
        <v>45964</v>
      </c>
      <c r="B840" s="123" t="s">
        <v>212</v>
      </c>
      <c r="C840" s="120" t="s">
        <v>44</v>
      </c>
      <c r="D840" s="63" t="s">
        <v>2288</v>
      </c>
      <c r="E840" s="64">
        <v>-3832.07</v>
      </c>
      <c r="F840" s="55" t="s">
        <v>8</v>
      </c>
      <c r="G840" s="649" t="s">
        <v>124</v>
      </c>
    </row>
    <row r="841" spans="1:7" s="667" customFormat="1" x14ac:dyDescent="0.3">
      <c r="A841" s="51">
        <v>45964</v>
      </c>
      <c r="B841" s="123" t="s">
        <v>212</v>
      </c>
      <c r="C841" s="120" t="s">
        <v>44</v>
      </c>
      <c r="D841" s="63" t="s">
        <v>2287</v>
      </c>
      <c r="E841" s="64">
        <v>-824.09</v>
      </c>
      <c r="F841" s="55" t="s">
        <v>8</v>
      </c>
      <c r="G841" s="649" t="s">
        <v>124</v>
      </c>
    </row>
    <row r="842" spans="1:7" s="667" customFormat="1" x14ac:dyDescent="0.3">
      <c r="A842" s="232">
        <v>45964</v>
      </c>
      <c r="B842" s="123" t="s">
        <v>212</v>
      </c>
      <c r="C842" s="698" t="s">
        <v>71</v>
      </c>
      <c r="D842" s="68" t="s">
        <v>2284</v>
      </c>
      <c r="E842" s="668">
        <v>-4375.75</v>
      </c>
      <c r="F842" s="55" t="s">
        <v>8</v>
      </c>
      <c r="G842" s="54" t="s">
        <v>73</v>
      </c>
    </row>
    <row r="843" spans="1:7" s="667" customFormat="1" x14ac:dyDescent="0.3">
      <c r="A843" s="232">
        <v>45964</v>
      </c>
      <c r="B843" s="271" t="s">
        <v>212</v>
      </c>
      <c r="C843" s="233" t="s">
        <v>17</v>
      </c>
      <c r="D843" s="234" t="s">
        <v>2281</v>
      </c>
      <c r="E843" s="235">
        <v>-13041.15</v>
      </c>
      <c r="F843" s="67" t="s">
        <v>8</v>
      </c>
      <c r="G843" s="236" t="s">
        <v>19</v>
      </c>
    </row>
    <row r="844" spans="1:7" s="667" customFormat="1" x14ac:dyDescent="0.3">
      <c r="A844" s="51">
        <v>45964</v>
      </c>
      <c r="B844" s="123" t="s">
        <v>212</v>
      </c>
      <c r="C844" s="52" t="s">
        <v>31</v>
      </c>
      <c r="D844" s="68" t="s">
        <v>2220</v>
      </c>
      <c r="E844" s="53">
        <v>-2187.31</v>
      </c>
      <c r="F844" s="55" t="s">
        <v>8</v>
      </c>
      <c r="G844" s="55" t="s">
        <v>152</v>
      </c>
    </row>
    <row r="845" spans="1:7" s="667" customFormat="1" x14ac:dyDescent="0.3">
      <c r="A845" s="51">
        <v>45964</v>
      </c>
      <c r="B845" s="123" t="s">
        <v>212</v>
      </c>
      <c r="C845" s="52" t="s">
        <v>31</v>
      </c>
      <c r="D845" s="68" t="s">
        <v>2221</v>
      </c>
      <c r="E845" s="53">
        <v>-2222.06</v>
      </c>
      <c r="F845" s="55" t="s">
        <v>8</v>
      </c>
      <c r="G845" s="55" t="s">
        <v>152</v>
      </c>
    </row>
    <row r="846" spans="1:7" s="667" customFormat="1" x14ac:dyDescent="0.3">
      <c r="A846" s="51">
        <v>45964</v>
      </c>
      <c r="B846" s="123" t="s">
        <v>212</v>
      </c>
      <c r="C846" s="52" t="s">
        <v>31</v>
      </c>
      <c r="D846" s="68" t="s">
        <v>1260</v>
      </c>
      <c r="E846" s="53">
        <v>-2198.9</v>
      </c>
      <c r="F846" s="55" t="s">
        <v>8</v>
      </c>
      <c r="G846" s="55" t="s">
        <v>152</v>
      </c>
    </row>
    <row r="847" spans="1:7" s="667" customFormat="1" x14ac:dyDescent="0.3">
      <c r="A847" s="51">
        <v>45964</v>
      </c>
      <c r="B847" s="123" t="s">
        <v>212</v>
      </c>
      <c r="C847" s="52" t="s">
        <v>31</v>
      </c>
      <c r="D847" s="68" t="s">
        <v>2222</v>
      </c>
      <c r="E847" s="53">
        <v>-2164.1799999999998</v>
      </c>
      <c r="F847" s="55" t="s">
        <v>8</v>
      </c>
      <c r="G847" s="55" t="s">
        <v>152</v>
      </c>
    </row>
    <row r="848" spans="1:7" s="667" customFormat="1" x14ac:dyDescent="0.3">
      <c r="A848" s="51">
        <v>45964</v>
      </c>
      <c r="B848" s="123" t="s">
        <v>212</v>
      </c>
      <c r="C848" s="52" t="s">
        <v>31</v>
      </c>
      <c r="D848" s="68" t="s">
        <v>1253</v>
      </c>
      <c r="E848" s="53">
        <v>-1708.12</v>
      </c>
      <c r="F848" s="55" t="s">
        <v>8</v>
      </c>
      <c r="G848" s="55" t="s">
        <v>152</v>
      </c>
    </row>
    <row r="849" spans="1:7" s="667" customFormat="1" x14ac:dyDescent="0.3">
      <c r="A849" s="51">
        <v>45964</v>
      </c>
      <c r="B849" s="123" t="s">
        <v>212</v>
      </c>
      <c r="C849" s="52" t="s">
        <v>6</v>
      </c>
      <c r="D849" s="68" t="s">
        <v>1264</v>
      </c>
      <c r="E849" s="53">
        <v>-2616.37</v>
      </c>
      <c r="F849" s="55" t="s">
        <v>8</v>
      </c>
      <c r="G849" s="55" t="s">
        <v>152</v>
      </c>
    </row>
    <row r="850" spans="1:7" s="667" customFormat="1" x14ac:dyDescent="0.3">
      <c r="A850" s="51">
        <v>45964</v>
      </c>
      <c r="B850" s="123" t="s">
        <v>212</v>
      </c>
      <c r="C850" s="52" t="s">
        <v>6</v>
      </c>
      <c r="D850" s="68" t="s">
        <v>2223</v>
      </c>
      <c r="E850" s="53">
        <v>-2358.9499999999998</v>
      </c>
      <c r="F850" s="55" t="s">
        <v>8</v>
      </c>
      <c r="G850" s="55" t="s">
        <v>152</v>
      </c>
    </row>
    <row r="851" spans="1:7" s="667" customFormat="1" x14ac:dyDescent="0.3">
      <c r="A851" s="51">
        <v>45964</v>
      </c>
      <c r="B851" s="123" t="s">
        <v>212</v>
      </c>
      <c r="C851" s="52" t="s">
        <v>25</v>
      </c>
      <c r="D851" s="68" t="s">
        <v>2224</v>
      </c>
      <c r="E851" s="53">
        <v>-2186.06</v>
      </c>
      <c r="F851" s="55" t="s">
        <v>8</v>
      </c>
      <c r="G851" s="55" t="s">
        <v>152</v>
      </c>
    </row>
    <row r="852" spans="1:7" s="667" customFormat="1" x14ac:dyDescent="0.3">
      <c r="A852" s="51">
        <v>45964</v>
      </c>
      <c r="B852" s="123" t="s">
        <v>212</v>
      </c>
      <c r="C852" s="52" t="s">
        <v>33</v>
      </c>
      <c r="D852" s="68" t="s">
        <v>2225</v>
      </c>
      <c r="E852" s="53">
        <v>-2137.1799999999998</v>
      </c>
      <c r="F852" s="55" t="s">
        <v>8</v>
      </c>
      <c r="G852" s="55" t="s">
        <v>152</v>
      </c>
    </row>
    <row r="853" spans="1:7" s="667" customFormat="1" x14ac:dyDescent="0.3">
      <c r="A853" s="51">
        <v>45964</v>
      </c>
      <c r="B853" s="123" t="s">
        <v>212</v>
      </c>
      <c r="C853" s="52" t="s">
        <v>33</v>
      </c>
      <c r="D853" s="68" t="s">
        <v>2226</v>
      </c>
      <c r="E853" s="53">
        <v>-712.39</v>
      </c>
      <c r="F853" s="55" t="s">
        <v>8</v>
      </c>
      <c r="G853" s="55" t="s">
        <v>152</v>
      </c>
    </row>
    <row r="854" spans="1:7" s="667" customFormat="1" x14ac:dyDescent="0.3">
      <c r="A854" s="51">
        <v>45964</v>
      </c>
      <c r="B854" s="123" t="s">
        <v>212</v>
      </c>
      <c r="C854" s="52" t="s">
        <v>104</v>
      </c>
      <c r="D854" s="68" t="s">
        <v>2227</v>
      </c>
      <c r="E854" s="53">
        <v>-2548.35</v>
      </c>
      <c r="F854" s="55" t="s">
        <v>8</v>
      </c>
      <c r="G854" s="55" t="s">
        <v>152</v>
      </c>
    </row>
    <row r="855" spans="1:7" s="667" customFormat="1" x14ac:dyDescent="0.3">
      <c r="A855" s="51">
        <v>45964</v>
      </c>
      <c r="B855" s="123" t="s">
        <v>212</v>
      </c>
      <c r="C855" s="52" t="s">
        <v>32</v>
      </c>
      <c r="D855" s="68" t="s">
        <v>2228</v>
      </c>
      <c r="E855" s="53">
        <v>-2197.1799999999998</v>
      </c>
      <c r="F855" s="55" t="s">
        <v>8</v>
      </c>
      <c r="G855" s="55" t="s">
        <v>152</v>
      </c>
    </row>
    <row r="856" spans="1:7" s="667" customFormat="1" x14ac:dyDescent="0.3">
      <c r="A856" s="51">
        <v>45964</v>
      </c>
      <c r="B856" s="123" t="s">
        <v>212</v>
      </c>
      <c r="C856" s="52" t="s">
        <v>32</v>
      </c>
      <c r="D856" s="68" t="s">
        <v>2229</v>
      </c>
      <c r="E856" s="53">
        <v>-2175.73</v>
      </c>
      <c r="F856" s="55" t="s">
        <v>8</v>
      </c>
      <c r="G856" s="55" t="s">
        <v>152</v>
      </c>
    </row>
    <row r="857" spans="1:7" s="667" customFormat="1" x14ac:dyDescent="0.3">
      <c r="A857" s="51">
        <v>45964</v>
      </c>
      <c r="B857" s="123" t="s">
        <v>212</v>
      </c>
      <c r="C857" s="52" t="s">
        <v>32</v>
      </c>
      <c r="D857" s="68" t="s">
        <v>2230</v>
      </c>
      <c r="E857" s="53">
        <v>-2198.89</v>
      </c>
      <c r="F857" s="55" t="s">
        <v>8</v>
      </c>
      <c r="G857" s="55" t="s">
        <v>152</v>
      </c>
    </row>
    <row r="858" spans="1:7" s="667" customFormat="1" x14ac:dyDescent="0.3">
      <c r="A858" s="51">
        <v>45964</v>
      </c>
      <c r="B858" s="123" t="s">
        <v>212</v>
      </c>
      <c r="C858" s="52" t="s">
        <v>32</v>
      </c>
      <c r="D858" s="68" t="s">
        <v>2231</v>
      </c>
      <c r="E858" s="53">
        <v>-1890.19</v>
      </c>
      <c r="F858" s="55" t="s">
        <v>8</v>
      </c>
      <c r="G858" s="55" t="s">
        <v>152</v>
      </c>
    </row>
    <row r="859" spans="1:7" s="667" customFormat="1" x14ac:dyDescent="0.3">
      <c r="A859" s="51">
        <v>45964</v>
      </c>
      <c r="B859" s="123" t="s">
        <v>212</v>
      </c>
      <c r="C859" s="52" t="s">
        <v>71</v>
      </c>
      <c r="D859" s="68" t="s">
        <v>2232</v>
      </c>
      <c r="E859" s="53">
        <v>-2106.31</v>
      </c>
      <c r="F859" s="55" t="s">
        <v>8</v>
      </c>
      <c r="G859" s="55" t="s">
        <v>152</v>
      </c>
    </row>
    <row r="860" spans="1:7" s="667" customFormat="1" x14ac:dyDescent="0.3">
      <c r="A860" s="51">
        <v>45964</v>
      </c>
      <c r="B860" s="123" t="s">
        <v>212</v>
      </c>
      <c r="C860" s="52" t="s">
        <v>71</v>
      </c>
      <c r="D860" s="68" t="s">
        <v>498</v>
      </c>
      <c r="E860" s="53">
        <v>-3245.39</v>
      </c>
      <c r="F860" s="55" t="s">
        <v>8</v>
      </c>
      <c r="G860" s="55" t="s">
        <v>152</v>
      </c>
    </row>
    <row r="861" spans="1:7" s="667" customFormat="1" x14ac:dyDescent="0.3">
      <c r="A861" s="123">
        <v>45964</v>
      </c>
      <c r="B861" s="123" t="s">
        <v>212</v>
      </c>
      <c r="C861" s="682" t="s">
        <v>6</v>
      </c>
      <c r="D861" s="73" t="s">
        <v>7</v>
      </c>
      <c r="E861" s="121">
        <v>-315.63</v>
      </c>
      <c r="F861" s="55" t="s">
        <v>8</v>
      </c>
      <c r="G861" s="61" t="s">
        <v>9</v>
      </c>
    </row>
    <row r="862" spans="1:7" s="667" customFormat="1" x14ac:dyDescent="0.3">
      <c r="A862" s="123">
        <v>45964</v>
      </c>
      <c r="B862" s="123" t="s">
        <v>212</v>
      </c>
      <c r="C862" s="682" t="s">
        <v>6</v>
      </c>
      <c r="D862" s="73" t="s">
        <v>10</v>
      </c>
      <c r="E862" s="121">
        <v>-240.76</v>
      </c>
      <c r="F862" s="55" t="s">
        <v>8</v>
      </c>
      <c r="G862" s="61" t="s">
        <v>9</v>
      </c>
    </row>
    <row r="863" spans="1:7" s="667" customFormat="1" x14ac:dyDescent="0.3">
      <c r="A863" s="123">
        <v>45964</v>
      </c>
      <c r="B863" s="123" t="s">
        <v>212</v>
      </c>
      <c r="C863" s="682" t="s">
        <v>6</v>
      </c>
      <c r="D863" s="73" t="s">
        <v>11</v>
      </c>
      <c r="E863" s="121">
        <v>-186.6</v>
      </c>
      <c r="F863" s="55" t="s">
        <v>8</v>
      </c>
      <c r="G863" s="61" t="s">
        <v>9</v>
      </c>
    </row>
    <row r="864" spans="1:7" s="667" customFormat="1" x14ac:dyDescent="0.3">
      <c r="A864" s="123">
        <v>45964</v>
      </c>
      <c r="B864" s="123" t="s">
        <v>212</v>
      </c>
      <c r="C864" s="120" t="s">
        <v>6</v>
      </c>
      <c r="D864" s="73" t="s">
        <v>12</v>
      </c>
      <c r="E864" s="121">
        <v>-210.81</v>
      </c>
      <c r="F864" s="55" t="s">
        <v>8</v>
      </c>
      <c r="G864" s="61" t="s">
        <v>9</v>
      </c>
    </row>
    <row r="865" spans="1:7" s="667" customFormat="1" x14ac:dyDescent="0.3">
      <c r="A865" s="123">
        <v>45964</v>
      </c>
      <c r="B865" s="123" t="s">
        <v>212</v>
      </c>
      <c r="C865" s="52" t="s">
        <v>71</v>
      </c>
      <c r="D865" s="651" t="s">
        <v>2289</v>
      </c>
      <c r="E865" s="53">
        <v>-293.45999999999998</v>
      </c>
      <c r="F865" s="55" t="s">
        <v>8</v>
      </c>
      <c r="G865" s="54" t="s">
        <v>73</v>
      </c>
    </row>
    <row r="866" spans="1:7" s="667" customFormat="1" x14ac:dyDescent="0.3">
      <c r="A866" s="123">
        <v>45964</v>
      </c>
      <c r="B866" s="123" t="s">
        <v>212</v>
      </c>
      <c r="C866" s="52" t="s">
        <v>71</v>
      </c>
      <c r="D866" s="651" t="s">
        <v>2290</v>
      </c>
      <c r="E866" s="53">
        <v>-195.23</v>
      </c>
      <c r="F866" s="55" t="s">
        <v>8</v>
      </c>
      <c r="G866" s="54" t="s">
        <v>73</v>
      </c>
    </row>
    <row r="867" spans="1:7" s="667" customFormat="1" x14ac:dyDescent="0.3">
      <c r="A867" s="123">
        <v>45964</v>
      </c>
      <c r="B867" s="123" t="s">
        <v>212</v>
      </c>
      <c r="C867" s="835" t="s">
        <v>31</v>
      </c>
      <c r="D867" s="700" t="s">
        <v>2276</v>
      </c>
      <c r="E867" s="53">
        <v>-115</v>
      </c>
      <c r="F867" s="55" t="s">
        <v>8</v>
      </c>
      <c r="G867" s="54" t="s">
        <v>111</v>
      </c>
    </row>
    <row r="868" spans="1:7" s="667" customFormat="1" x14ac:dyDescent="0.3">
      <c r="A868" s="123">
        <v>45964</v>
      </c>
      <c r="B868" s="123" t="s">
        <v>212</v>
      </c>
      <c r="C868" s="52" t="s">
        <v>6</v>
      </c>
      <c r="D868" s="651" t="s">
        <v>1656</v>
      </c>
      <c r="E868" s="53">
        <v>-2000</v>
      </c>
      <c r="F868" s="55" t="s">
        <v>8</v>
      </c>
      <c r="G868" s="54" t="s">
        <v>186</v>
      </c>
    </row>
    <row r="869" spans="1:7" s="667" customFormat="1" x14ac:dyDescent="0.3">
      <c r="A869" s="123">
        <v>45964</v>
      </c>
      <c r="B869" s="123" t="s">
        <v>212</v>
      </c>
      <c r="C869" s="52" t="s">
        <v>25</v>
      </c>
      <c r="D869" s="651" t="s">
        <v>1388</v>
      </c>
      <c r="E869" s="53">
        <v>-16.13</v>
      </c>
      <c r="F869" s="55" t="s">
        <v>8</v>
      </c>
      <c r="G869" s="54" t="s">
        <v>75</v>
      </c>
    </row>
    <row r="870" spans="1:7" s="667" customFormat="1" x14ac:dyDescent="0.3">
      <c r="A870" s="123">
        <v>45964</v>
      </c>
      <c r="B870" s="123" t="s">
        <v>212</v>
      </c>
      <c r="C870" s="52" t="s">
        <v>25</v>
      </c>
      <c r="D870" s="68" t="s">
        <v>2188</v>
      </c>
      <c r="E870" s="53">
        <v>-4.57</v>
      </c>
      <c r="F870" s="55" t="s">
        <v>8</v>
      </c>
      <c r="G870" s="54" t="s">
        <v>75</v>
      </c>
    </row>
    <row r="871" spans="1:7" s="667" customFormat="1" x14ac:dyDescent="0.3">
      <c r="A871" s="123">
        <v>45964</v>
      </c>
      <c r="B871" s="123" t="s">
        <v>212</v>
      </c>
      <c r="C871" s="52" t="s">
        <v>6</v>
      </c>
      <c r="D871" s="68" t="s">
        <v>1297</v>
      </c>
      <c r="E871" s="53">
        <v>-275</v>
      </c>
      <c r="F871" s="55" t="s">
        <v>8</v>
      </c>
      <c r="G871" s="54" t="s">
        <v>82</v>
      </c>
    </row>
    <row r="872" spans="1:7" s="667" customFormat="1" x14ac:dyDescent="0.3">
      <c r="A872" s="123">
        <v>45964</v>
      </c>
      <c r="B872" s="123" t="s">
        <v>212</v>
      </c>
      <c r="C872" s="52" t="s">
        <v>25</v>
      </c>
      <c r="D872" s="68" t="s">
        <v>1790</v>
      </c>
      <c r="E872" s="53">
        <v>-295</v>
      </c>
      <c r="F872" s="55" t="s">
        <v>8</v>
      </c>
      <c r="G872" s="54" t="s">
        <v>82</v>
      </c>
    </row>
    <row r="873" spans="1:7" s="667" customFormat="1" x14ac:dyDescent="0.3">
      <c r="A873" s="123">
        <v>45964</v>
      </c>
      <c r="B873" s="123" t="s">
        <v>212</v>
      </c>
      <c r="C873" s="52" t="s">
        <v>25</v>
      </c>
      <c r="D873" s="68" t="s">
        <v>1959</v>
      </c>
      <c r="E873" s="53">
        <v>-113.5</v>
      </c>
      <c r="F873" s="55" t="s">
        <v>8</v>
      </c>
      <c r="G873" s="54" t="s">
        <v>82</v>
      </c>
    </row>
    <row r="874" spans="1:7" s="667" customFormat="1" x14ac:dyDescent="0.3">
      <c r="A874" s="123">
        <v>45964</v>
      </c>
      <c r="B874" s="123" t="s">
        <v>212</v>
      </c>
      <c r="C874" s="52" t="s">
        <v>25</v>
      </c>
      <c r="D874" s="68" t="s">
        <v>1702</v>
      </c>
      <c r="E874" s="53">
        <v>-200</v>
      </c>
      <c r="F874" s="55" t="s">
        <v>8</v>
      </c>
      <c r="G874" s="54" t="s">
        <v>82</v>
      </c>
    </row>
    <row r="875" spans="1:7" s="667" customFormat="1" x14ac:dyDescent="0.3">
      <c r="A875" s="123">
        <v>45964</v>
      </c>
      <c r="B875" s="123" t="s">
        <v>212</v>
      </c>
      <c r="C875" s="52" t="s">
        <v>1571</v>
      </c>
      <c r="D875" s="68" t="s">
        <v>1802</v>
      </c>
      <c r="E875" s="53">
        <v>-171.5</v>
      </c>
      <c r="F875" s="55" t="s">
        <v>8</v>
      </c>
      <c r="G875" s="54" t="s">
        <v>82</v>
      </c>
    </row>
    <row r="876" spans="1:7" s="667" customFormat="1" x14ac:dyDescent="0.3">
      <c r="A876" s="123">
        <v>45964</v>
      </c>
      <c r="B876" s="123" t="s">
        <v>212</v>
      </c>
      <c r="C876" s="52" t="s">
        <v>1571</v>
      </c>
      <c r="D876" s="68" t="s">
        <v>1617</v>
      </c>
      <c r="E876" s="53">
        <v>-61.5</v>
      </c>
      <c r="F876" s="55" t="s">
        <v>8</v>
      </c>
      <c r="G876" s="54" t="s">
        <v>82</v>
      </c>
    </row>
    <row r="877" spans="1:7" s="667" customFormat="1" x14ac:dyDescent="0.3">
      <c r="A877" s="123">
        <v>45964</v>
      </c>
      <c r="B877" s="123" t="s">
        <v>212</v>
      </c>
      <c r="C877" s="52" t="s">
        <v>32</v>
      </c>
      <c r="D877" s="68" t="s">
        <v>1235</v>
      </c>
      <c r="E877" s="53">
        <v>-420</v>
      </c>
      <c r="F877" s="55" t="s">
        <v>8</v>
      </c>
      <c r="G877" s="54" t="s">
        <v>82</v>
      </c>
    </row>
    <row r="878" spans="1:7" s="667" customFormat="1" x14ac:dyDescent="0.3">
      <c r="A878" s="123">
        <v>45964</v>
      </c>
      <c r="B878" s="123" t="s">
        <v>212</v>
      </c>
      <c r="C878" s="52" t="s">
        <v>31</v>
      </c>
      <c r="D878" s="52" t="s">
        <v>2291</v>
      </c>
      <c r="E878" s="53">
        <v>-185.64</v>
      </c>
      <c r="F878" s="54" t="s">
        <v>8</v>
      </c>
      <c r="G878" s="54" t="s">
        <v>124</v>
      </c>
    </row>
    <row r="879" spans="1:7" s="667" customFormat="1" x14ac:dyDescent="0.3">
      <c r="A879" s="123">
        <v>45964</v>
      </c>
      <c r="B879" s="123" t="s">
        <v>212</v>
      </c>
      <c r="C879" s="52" t="s">
        <v>31</v>
      </c>
      <c r="D879" s="52" t="s">
        <v>2292</v>
      </c>
      <c r="E879" s="53">
        <v>-187.66</v>
      </c>
      <c r="F879" s="54" t="s">
        <v>8</v>
      </c>
      <c r="G879" s="54" t="s">
        <v>124</v>
      </c>
    </row>
    <row r="880" spans="1:7" s="667" customFormat="1" x14ac:dyDescent="0.3">
      <c r="A880" s="123">
        <v>45964</v>
      </c>
      <c r="B880" s="123" t="s">
        <v>212</v>
      </c>
      <c r="C880" s="52" t="s">
        <v>31</v>
      </c>
      <c r="D880" s="52" t="s">
        <v>2293</v>
      </c>
      <c r="E880" s="53">
        <v>-180.38</v>
      </c>
      <c r="F880" s="54" t="s">
        <v>8</v>
      </c>
      <c r="G880" s="54" t="s">
        <v>124</v>
      </c>
    </row>
    <row r="881" spans="1:7" s="667" customFormat="1" x14ac:dyDescent="0.3">
      <c r="A881" s="123">
        <v>45964</v>
      </c>
      <c r="B881" s="123" t="s">
        <v>212</v>
      </c>
      <c r="C881" s="52" t="s">
        <v>31</v>
      </c>
      <c r="D881" s="52" t="s">
        <v>2294</v>
      </c>
      <c r="E881" s="53">
        <v>-177.41</v>
      </c>
      <c r="F881" s="54" t="s">
        <v>8</v>
      </c>
      <c r="G881" s="54" t="s">
        <v>124</v>
      </c>
    </row>
    <row r="882" spans="1:7" s="667" customFormat="1" x14ac:dyDescent="0.3">
      <c r="A882" s="123">
        <v>45964</v>
      </c>
      <c r="B882" s="123" t="s">
        <v>212</v>
      </c>
      <c r="C882" s="52" t="s">
        <v>31</v>
      </c>
      <c r="D882" s="52" t="s">
        <v>2295</v>
      </c>
      <c r="E882" s="53">
        <v>-188.8</v>
      </c>
      <c r="F882" s="54" t="s">
        <v>8</v>
      </c>
      <c r="G882" s="54" t="s">
        <v>124</v>
      </c>
    </row>
    <row r="883" spans="1:7" s="667" customFormat="1" x14ac:dyDescent="0.3">
      <c r="A883" s="123">
        <v>45964</v>
      </c>
      <c r="B883" s="123" t="s">
        <v>212</v>
      </c>
      <c r="C883" s="52" t="s">
        <v>31</v>
      </c>
      <c r="D883" s="52" t="s">
        <v>2296</v>
      </c>
      <c r="E883" s="53">
        <v>-179.26</v>
      </c>
      <c r="F883" s="54" t="s">
        <v>8</v>
      </c>
      <c r="G883" s="54" t="s">
        <v>124</v>
      </c>
    </row>
    <row r="884" spans="1:7" s="667" customFormat="1" x14ac:dyDescent="0.3">
      <c r="A884" s="123">
        <v>45964</v>
      </c>
      <c r="B884" s="123" t="s">
        <v>212</v>
      </c>
      <c r="C884" s="52" t="s">
        <v>31</v>
      </c>
      <c r="D884" s="52" t="s">
        <v>2297</v>
      </c>
      <c r="E884" s="53">
        <v>-178.32</v>
      </c>
      <c r="F884" s="54" t="s">
        <v>8</v>
      </c>
      <c r="G884" s="54" t="s">
        <v>124</v>
      </c>
    </row>
    <row r="885" spans="1:7" s="667" customFormat="1" x14ac:dyDescent="0.3">
      <c r="A885" s="123">
        <v>45964</v>
      </c>
      <c r="B885" s="123" t="s">
        <v>212</v>
      </c>
      <c r="C885" s="52" t="s">
        <v>31</v>
      </c>
      <c r="D885" s="52" t="s">
        <v>2298</v>
      </c>
      <c r="E885" s="53">
        <v>-175.69</v>
      </c>
      <c r="F885" s="54" t="s">
        <v>8</v>
      </c>
      <c r="G885" s="54" t="s">
        <v>124</v>
      </c>
    </row>
    <row r="886" spans="1:7" s="667" customFormat="1" x14ac:dyDescent="0.3">
      <c r="A886" s="123">
        <v>45964</v>
      </c>
      <c r="B886" s="123" t="s">
        <v>212</v>
      </c>
      <c r="C886" s="52" t="s">
        <v>31</v>
      </c>
      <c r="D886" s="52" t="s">
        <v>2299</v>
      </c>
      <c r="E886" s="53">
        <v>-183.57</v>
      </c>
      <c r="F886" s="54" t="s">
        <v>8</v>
      </c>
      <c r="G886" s="54" t="s">
        <v>124</v>
      </c>
    </row>
    <row r="887" spans="1:7" s="667" customFormat="1" x14ac:dyDescent="0.3">
      <c r="A887" s="123">
        <v>45964</v>
      </c>
      <c r="B887" s="123" t="s">
        <v>212</v>
      </c>
      <c r="C887" s="52" t="s">
        <v>31</v>
      </c>
      <c r="D887" s="52" t="s">
        <v>2300</v>
      </c>
      <c r="E887" s="53">
        <v>-176.53</v>
      </c>
      <c r="F887" s="54" t="s">
        <v>8</v>
      </c>
      <c r="G887" s="54" t="s">
        <v>124</v>
      </c>
    </row>
    <row r="888" spans="1:7" s="667" customFormat="1" x14ac:dyDescent="0.3">
      <c r="A888" s="123">
        <v>45964</v>
      </c>
      <c r="B888" s="123" t="s">
        <v>212</v>
      </c>
      <c r="C888" s="52" t="s">
        <v>1571</v>
      </c>
      <c r="D888" s="68" t="s">
        <v>1471</v>
      </c>
      <c r="E888" s="53">
        <v>-1846.33</v>
      </c>
      <c r="F888" s="55" t="s">
        <v>8</v>
      </c>
      <c r="G888" s="61" t="s">
        <v>1472</v>
      </c>
    </row>
    <row r="889" spans="1:7" s="667" customFormat="1" x14ac:dyDescent="0.3">
      <c r="A889" s="123">
        <v>45964</v>
      </c>
      <c r="B889" s="123" t="s">
        <v>212</v>
      </c>
      <c r="C889" s="698" t="s">
        <v>20</v>
      </c>
      <c r="D889" s="68" t="s">
        <v>21</v>
      </c>
      <c r="E889" s="121">
        <v>-971.84</v>
      </c>
      <c r="F889" s="55" t="s">
        <v>8</v>
      </c>
      <c r="G889" s="61" t="s">
        <v>22</v>
      </c>
    </row>
    <row r="890" spans="1:7" x14ac:dyDescent="0.3">
      <c r="E890" s="212">
        <f>SUM(E839:E889)</f>
        <v>-71391.830000000016</v>
      </c>
    </row>
  </sheetData>
  <mergeCells count="30">
    <mergeCell ref="A385:G386"/>
    <mergeCell ref="A395:G396"/>
    <mergeCell ref="A801:G802"/>
    <mergeCell ref="A178:G179"/>
    <mergeCell ref="A195:G196"/>
    <mergeCell ref="A250:G251"/>
    <mergeCell ref="A312:G313"/>
    <mergeCell ref="A337:G338"/>
    <mergeCell ref="A723:G724"/>
    <mergeCell ref="A406:G407"/>
    <mergeCell ref="A640:G641"/>
    <mergeCell ref="A526:G527"/>
    <mergeCell ref="A541:G542"/>
    <mergeCell ref="A423:G424"/>
    <mergeCell ref="A452:G453"/>
    <mergeCell ref="A466:G467"/>
    <mergeCell ref="A156:G157"/>
    <mergeCell ref="A1:G2"/>
    <mergeCell ref="A38:G39"/>
    <mergeCell ref="A83:G84"/>
    <mergeCell ref="A108:G109"/>
    <mergeCell ref="A131:G132"/>
    <mergeCell ref="A836:G837"/>
    <mergeCell ref="A479:G480"/>
    <mergeCell ref="A506:G507"/>
    <mergeCell ref="A577:G578"/>
    <mergeCell ref="A555:G556"/>
    <mergeCell ref="A699:G700"/>
    <mergeCell ref="A678:G679"/>
    <mergeCell ref="A664:G665"/>
  </mergeCells>
  <conditionalFormatting sqref="F3">
    <cfRule type="colorScale" priority="276">
      <colorScale>
        <cfvo type="min"/>
        <cfvo type="max"/>
        <color rgb="FFF8696B"/>
        <color rgb="FFFCFCFF"/>
      </colorScale>
    </cfRule>
  </conditionalFormatting>
  <conditionalFormatting sqref="F4:F23">
    <cfRule type="colorScale" priority="275">
      <colorScale>
        <cfvo type="min"/>
        <cfvo type="max"/>
        <color rgb="FFF8696B"/>
        <color rgb="FFFCFCFF"/>
      </colorScale>
    </cfRule>
  </conditionalFormatting>
  <conditionalFormatting sqref="F24">
    <cfRule type="colorScale" priority="269">
      <colorScale>
        <cfvo type="min"/>
        <cfvo type="max"/>
        <color rgb="FFF8696B"/>
        <color rgb="FFFCFCFF"/>
      </colorScale>
    </cfRule>
  </conditionalFormatting>
  <conditionalFormatting sqref="F25">
    <cfRule type="colorScale" priority="271">
      <colorScale>
        <cfvo type="min"/>
        <cfvo type="max"/>
        <color rgb="FFF8696B"/>
        <color rgb="FFFCFCFF"/>
      </colorScale>
    </cfRule>
  </conditionalFormatting>
  <conditionalFormatting sqref="F26:F31">
    <cfRule type="colorScale" priority="272">
      <colorScale>
        <cfvo type="min"/>
        <cfvo type="max"/>
        <color rgb="FFF8696B"/>
        <color rgb="FFFCFCFF"/>
      </colorScale>
    </cfRule>
  </conditionalFormatting>
  <conditionalFormatting sqref="F32">
    <cfRule type="colorScale" priority="268">
      <colorScale>
        <cfvo type="min"/>
        <cfvo type="max"/>
        <color rgb="FFF8696B"/>
        <color rgb="FFFCFCFF"/>
      </colorScale>
    </cfRule>
  </conditionalFormatting>
  <conditionalFormatting sqref="F33:F34">
    <cfRule type="colorScale" priority="266">
      <colorScale>
        <cfvo type="min"/>
        <cfvo type="max"/>
        <color rgb="FFF8696B"/>
        <color rgb="FFFCFCFF"/>
      </colorScale>
    </cfRule>
  </conditionalFormatting>
  <conditionalFormatting sqref="F35">
    <cfRule type="colorScale" priority="265">
      <colorScale>
        <cfvo type="min"/>
        <cfvo type="max"/>
        <color rgb="FFF8696B"/>
        <color rgb="FFFCFCFF"/>
      </colorScale>
    </cfRule>
  </conditionalFormatting>
  <conditionalFormatting sqref="F40">
    <cfRule type="colorScale" priority="264">
      <colorScale>
        <cfvo type="min"/>
        <cfvo type="max"/>
        <color rgb="FFF8696B"/>
        <color rgb="FFFCFCFF"/>
      </colorScale>
    </cfRule>
  </conditionalFormatting>
  <conditionalFormatting sqref="F41">
    <cfRule type="colorScale" priority="263">
      <colorScale>
        <cfvo type="min"/>
        <cfvo type="max"/>
        <color rgb="FFF8696B"/>
        <color rgb="FFFCFCFF"/>
      </colorScale>
    </cfRule>
  </conditionalFormatting>
  <conditionalFormatting sqref="F43:F74">
    <cfRule type="colorScale" priority="261">
      <colorScale>
        <cfvo type="min"/>
        <cfvo type="max"/>
        <color rgb="FFF8696B"/>
        <color rgb="FFFCFCFF"/>
      </colorScale>
    </cfRule>
  </conditionalFormatting>
  <conditionalFormatting sqref="F85">
    <cfRule type="colorScale" priority="255">
      <colorScale>
        <cfvo type="min"/>
        <cfvo type="max"/>
        <color rgb="FFF8696B"/>
        <color rgb="FFFCFCFF"/>
      </colorScale>
    </cfRule>
  </conditionalFormatting>
  <conditionalFormatting sqref="F86:F87 F89:F90">
    <cfRule type="colorScale" priority="254">
      <colorScale>
        <cfvo type="min"/>
        <cfvo type="max"/>
        <color rgb="FFF8696B"/>
        <color rgb="FFFCFCFF"/>
      </colorScale>
    </cfRule>
  </conditionalFormatting>
  <conditionalFormatting sqref="F88">
    <cfRule type="colorScale" priority="247">
      <colorScale>
        <cfvo type="min"/>
        <cfvo type="max"/>
        <color rgb="FFF8696B"/>
        <color rgb="FFFCFCFF"/>
      </colorScale>
    </cfRule>
  </conditionalFormatting>
  <conditionalFormatting sqref="F91:F94">
    <cfRule type="colorScale" priority="251">
      <colorScale>
        <cfvo type="min"/>
        <cfvo type="max"/>
        <color rgb="FFF8696B"/>
        <color rgb="FFFCFCFF"/>
      </colorScale>
    </cfRule>
  </conditionalFormatting>
  <conditionalFormatting sqref="F95:F102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10">
    <cfRule type="colorScale" priority="246">
      <colorScale>
        <cfvo type="min"/>
        <cfvo type="max"/>
        <color rgb="FFF8696B"/>
        <color rgb="FFFCFCFF"/>
      </colorScale>
    </cfRule>
  </conditionalFormatting>
  <conditionalFormatting sqref="F113">
    <cfRule type="colorScale" priority="244">
      <colorScale>
        <cfvo type="min"/>
        <cfvo type="max"/>
        <color rgb="FFF8696B"/>
        <color rgb="FFFCFCFF"/>
      </colorScale>
    </cfRule>
  </conditionalFormatting>
  <conditionalFormatting sqref="F114:F120">
    <cfRule type="colorScale" priority="243">
      <colorScale>
        <cfvo type="min"/>
        <cfvo type="max"/>
        <color rgb="FFF8696B"/>
        <color rgb="FFFCFCFF"/>
      </colorScale>
    </cfRule>
  </conditionalFormatting>
  <conditionalFormatting sqref="F125">
    <cfRule type="colorScale" priority="241">
      <colorScale>
        <cfvo type="min"/>
        <cfvo type="max"/>
        <color rgb="FFF8696B"/>
        <color rgb="FFFCFCFF"/>
      </colorScale>
    </cfRule>
  </conditionalFormatting>
  <conditionalFormatting sqref="F133">
    <cfRule type="colorScale" priority="239">
      <colorScale>
        <cfvo type="min"/>
        <cfvo type="max"/>
        <color rgb="FFF8696B"/>
        <color rgb="FFFCFCFF"/>
      </colorScale>
    </cfRule>
  </conditionalFormatting>
  <conditionalFormatting sqref="F137:F140">
    <cfRule type="colorScale" priority="238">
      <colorScale>
        <cfvo type="min"/>
        <cfvo type="max"/>
        <color rgb="FFF8696B"/>
        <color rgb="FFFCFCFF"/>
      </colorScale>
    </cfRule>
  </conditionalFormatting>
  <conditionalFormatting sqref="F141:F149">
    <cfRule type="colorScale" priority="233">
      <colorScale>
        <cfvo type="min"/>
        <cfvo type="max"/>
        <color rgb="FFF8696B"/>
        <color rgb="FFFCFCFF"/>
      </colorScale>
    </cfRule>
  </conditionalFormatting>
  <conditionalFormatting sqref="F150">
    <cfRule type="colorScale" priority="235">
      <colorScale>
        <cfvo type="min"/>
        <cfvo type="max"/>
        <color rgb="FFF8696B"/>
        <color rgb="FFFCFCFF"/>
      </colorScale>
    </cfRule>
  </conditionalFormatting>
  <conditionalFormatting sqref="F158">
    <cfRule type="colorScale" priority="232">
      <colorScale>
        <cfvo type="min"/>
        <cfvo type="max"/>
        <color rgb="FFF8696B"/>
        <color rgb="FFFCFCFF"/>
      </colorScale>
    </cfRule>
  </conditionalFormatting>
  <conditionalFormatting sqref="F159">
    <cfRule type="colorScale" priority="231">
      <colorScale>
        <cfvo type="min"/>
        <cfvo type="max"/>
        <color rgb="FFF8696B"/>
        <color rgb="FFFCFCFF"/>
      </colorScale>
    </cfRule>
  </conditionalFormatting>
  <conditionalFormatting sqref="F160:F174">
    <cfRule type="colorScale" priority="229">
      <colorScale>
        <cfvo type="min"/>
        <cfvo type="max"/>
        <color rgb="FFF8696B"/>
        <color rgb="FFFCFCFF"/>
      </colorScale>
    </cfRule>
  </conditionalFormatting>
  <conditionalFormatting sqref="F180">
    <cfRule type="colorScale" priority="218">
      <colorScale>
        <cfvo type="min"/>
        <cfvo type="max"/>
        <color rgb="FFF8696B"/>
        <color rgb="FFFCFCFF"/>
      </colorScale>
    </cfRule>
  </conditionalFormatting>
  <conditionalFormatting sqref="F181:F190">
    <cfRule type="colorScale" priority="9713">
      <colorScale>
        <cfvo type="min"/>
        <cfvo type="max"/>
        <color rgb="FFF8696B"/>
        <color rgb="FFFCFCFF"/>
      </colorScale>
    </cfRule>
  </conditionalFormatting>
  <conditionalFormatting sqref="F197">
    <cfRule type="colorScale" priority="217">
      <colorScale>
        <cfvo type="min"/>
        <cfvo type="max"/>
        <color rgb="FFF8696B"/>
        <color rgb="FFFCFCFF"/>
      </colorScale>
    </cfRule>
  </conditionalFormatting>
  <conditionalFormatting sqref="F198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{44166B7C-BD24-41E8-8539-48EF84FD6A6C}</x14:id>
        </ext>
      </extLst>
    </cfRule>
  </conditionalFormatting>
  <conditionalFormatting sqref="F218">
    <cfRule type="colorScale" priority="209">
      <colorScale>
        <cfvo type="min"/>
        <cfvo type="max"/>
        <color rgb="FFF8696B"/>
        <color rgb="FFFCFCFF"/>
      </colorScale>
    </cfRule>
  </conditionalFormatting>
  <conditionalFormatting sqref="F219:F225 F230:F239 F198:F217">
    <cfRule type="colorScale" priority="216">
      <colorScale>
        <cfvo type="min"/>
        <cfvo type="max"/>
        <color rgb="FFF8696B"/>
        <color rgb="FFFCFCFF"/>
      </colorScale>
    </cfRule>
  </conditionalFormatting>
  <conditionalFormatting sqref="F226:F229">
    <cfRule type="colorScale" priority="210">
      <colorScale>
        <cfvo type="min"/>
        <cfvo type="max"/>
        <color rgb="FFF8696B"/>
        <color rgb="FFFCFCFF"/>
      </colorScale>
    </cfRule>
  </conditionalFormatting>
  <conditionalFormatting sqref="F240">
    <cfRule type="colorScale" priority="208">
      <colorScale>
        <cfvo type="min"/>
        <cfvo type="max"/>
        <color rgb="FFF8696B"/>
        <color rgb="FFFCFCFF"/>
      </colorScale>
    </cfRule>
  </conditionalFormatting>
  <conditionalFormatting sqref="F252">
    <cfRule type="colorScale" priority="189">
      <colorScale>
        <cfvo type="min"/>
        <cfvo type="max"/>
        <color rgb="FFF8696B"/>
        <color rgb="FFFCFCFF"/>
      </colorScale>
    </cfRule>
  </conditionalFormatting>
  <conditionalFormatting sqref="F253:F266">
    <cfRule type="colorScale" priority="188">
      <colorScale>
        <cfvo type="min"/>
        <cfvo type="max"/>
        <color rgb="FFF8696B"/>
        <color rgb="FFFCFCFF"/>
      </colorScale>
    </cfRule>
  </conditionalFormatting>
  <conditionalFormatting sqref="F267:F268">
    <cfRule type="colorScale" priority="187">
      <colorScale>
        <cfvo type="min"/>
        <cfvo type="max"/>
        <color rgb="FFF8696B"/>
        <color rgb="FFFCFCFF"/>
      </colorScale>
    </cfRule>
  </conditionalFormatting>
  <conditionalFormatting sqref="F287">
    <cfRule type="colorScale" priority="183">
      <colorScale>
        <cfvo type="min"/>
        <cfvo type="max"/>
        <color rgb="FFF8696B"/>
        <color rgb="FFFCFCFF"/>
      </colorScale>
    </cfRule>
  </conditionalFormatting>
  <conditionalFormatting sqref="F288:F307 F269:F286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314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315:F323 F333:F334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324">
    <cfRule type="colorScale" priority="167">
      <colorScale>
        <cfvo type="min"/>
        <cfvo type="max"/>
        <color rgb="FFF8696B"/>
        <color rgb="FFFCFCFF"/>
      </colorScale>
    </cfRule>
  </conditionalFormatting>
  <conditionalFormatting sqref="F325:F332">
    <cfRule type="colorScale" priority="168">
      <colorScale>
        <cfvo type="min"/>
        <cfvo type="max"/>
        <color rgb="FFF8696B"/>
        <color rgb="FFFCFCFF"/>
      </colorScale>
    </cfRule>
  </conditionalFormatting>
  <conditionalFormatting sqref="F339">
    <cfRule type="colorScale" priority="165">
      <colorScale>
        <cfvo type="min"/>
        <cfvo type="max"/>
        <color rgb="FFF8696B"/>
        <color rgb="FFFCFCFF"/>
      </colorScale>
    </cfRule>
  </conditionalFormatting>
  <conditionalFormatting sqref="F341">
    <cfRule type="colorScale" priority="163">
      <colorScale>
        <cfvo type="min"/>
        <cfvo type="max"/>
        <color rgb="FFF8696B"/>
        <color rgb="FFFCFCFF"/>
      </colorScale>
    </cfRule>
  </conditionalFormatting>
  <conditionalFormatting sqref="F342">
    <cfRule type="colorScale" priority="162">
      <colorScale>
        <cfvo type="min"/>
        <cfvo type="max"/>
        <color rgb="FFF8696B"/>
        <color rgb="FFFCFCFF"/>
      </colorScale>
    </cfRule>
  </conditionalFormatting>
  <conditionalFormatting sqref="F343:F376 F379:F380 F340">
    <cfRule type="colorScale" priority="164">
      <colorScale>
        <cfvo type="min"/>
        <cfvo type="max"/>
        <color rgb="FFF8696B"/>
        <color rgb="FFFCFCFF"/>
      </colorScale>
    </cfRule>
  </conditionalFormatting>
  <conditionalFormatting sqref="F377">
    <cfRule type="colorScale" priority="161">
      <colorScale>
        <cfvo type="min"/>
        <cfvo type="max"/>
        <color rgb="FFF8696B"/>
        <color rgb="FFFCFCFF"/>
      </colorScale>
    </cfRule>
  </conditionalFormatting>
  <conditionalFormatting sqref="F378">
    <cfRule type="colorScale" priority="159">
      <colorScale>
        <cfvo type="min"/>
        <cfvo type="max"/>
        <color rgb="FFF8696B"/>
        <color rgb="FFFCFCFF"/>
      </colorScale>
    </cfRule>
  </conditionalFormatting>
  <conditionalFormatting sqref="F387:F388">
    <cfRule type="colorScale" priority="157">
      <colorScale>
        <cfvo type="min"/>
        <cfvo type="max"/>
        <color rgb="FFF8696B"/>
        <color rgb="FFFCFCFF"/>
      </colorScale>
    </cfRule>
  </conditionalFormatting>
  <conditionalFormatting sqref="F389">
    <cfRule type="colorScale" priority="151">
      <colorScale>
        <cfvo type="min"/>
        <cfvo type="max"/>
        <color rgb="FFF8696B"/>
        <color rgb="FFFCFCFF"/>
      </colorScale>
    </cfRule>
  </conditionalFormatting>
  <conditionalFormatting sqref="F390">
    <cfRule type="colorScale" priority="152">
      <colorScale>
        <cfvo type="min"/>
        <cfvo type="max"/>
        <color rgb="FFF8696B"/>
        <color rgb="FFFCFCFF"/>
      </colorScale>
    </cfRule>
  </conditionalFormatting>
  <conditionalFormatting sqref="F391">
    <cfRule type="colorScale" priority="153">
      <colorScale>
        <cfvo type="min"/>
        <cfvo type="max"/>
        <color rgb="FFF8696B"/>
        <color rgb="FFFCFCFF"/>
      </colorScale>
    </cfRule>
  </conditionalFormatting>
  <conditionalFormatting sqref="F392">
    <cfRule type="colorScale" priority="149">
      <colorScale>
        <cfvo type="min"/>
        <cfvo type="max"/>
        <color rgb="FFF8696B"/>
        <color rgb="FFFCFCFF"/>
      </colorScale>
    </cfRule>
  </conditionalFormatting>
  <conditionalFormatting sqref="F397">
    <cfRule type="colorScale" priority="148">
      <colorScale>
        <cfvo type="min"/>
        <cfvo type="max"/>
        <color rgb="FFF8696B"/>
        <color rgb="FFFCFCFF"/>
      </colorScale>
    </cfRule>
  </conditionalFormatting>
  <conditionalFormatting sqref="F398:F404">
    <cfRule type="colorScale" priority="147">
      <colorScale>
        <cfvo type="min"/>
        <cfvo type="max"/>
        <color rgb="FFF8696B"/>
        <color rgb="FFFCFCFF"/>
      </colorScale>
    </cfRule>
  </conditionalFormatting>
  <conditionalFormatting sqref="F408">
    <cfRule type="colorScale" priority="145">
      <colorScale>
        <cfvo type="min"/>
        <cfvo type="max"/>
        <color rgb="FFF8696B"/>
        <color rgb="FFFCFCFF"/>
      </colorScale>
    </cfRule>
  </conditionalFormatting>
  <conditionalFormatting sqref="F409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410">
    <cfRule type="colorScale" priority="141">
      <colorScale>
        <cfvo type="min"/>
        <cfvo type="max"/>
        <color rgb="FFF8696B"/>
        <color rgb="FFFCFCFF"/>
      </colorScale>
    </cfRule>
  </conditionalFormatting>
  <conditionalFormatting sqref="F411">
    <cfRule type="colorScale" priority="140">
      <colorScale>
        <cfvo type="min"/>
        <cfvo type="max"/>
        <color rgb="FFF8696B"/>
        <color rgb="FFFCFCFF"/>
      </colorScale>
    </cfRule>
  </conditionalFormatting>
  <conditionalFormatting sqref="F412:F416">
    <cfRule type="colorScale" priority="139">
      <colorScale>
        <cfvo type="min"/>
        <cfvo type="max"/>
        <color rgb="FFF8696B"/>
        <color rgb="FFFCFCFF"/>
      </colorScale>
    </cfRule>
  </conditionalFormatting>
  <conditionalFormatting sqref="F425">
    <cfRule type="colorScale" priority="137">
      <colorScale>
        <cfvo type="min"/>
        <cfvo type="max"/>
        <color rgb="FFF8696B"/>
        <color rgb="FFFCFCFF"/>
      </colorScale>
    </cfRule>
  </conditionalFormatting>
  <conditionalFormatting sqref="F436">
    <cfRule type="colorScale" priority="132">
      <colorScale>
        <cfvo type="min"/>
        <cfvo type="max"/>
        <color rgb="FFF8696B"/>
        <color rgb="FFFCFCFF"/>
      </colorScale>
    </cfRule>
  </conditionalFormatting>
  <conditionalFormatting sqref="F437">
    <cfRule type="colorScale" priority="134">
      <colorScale>
        <cfvo type="min"/>
        <cfvo type="max"/>
        <color rgb="FFF8696B"/>
        <color rgb="FFFCFCFF"/>
      </colorScale>
    </cfRule>
  </conditionalFormatting>
  <conditionalFormatting sqref="F438:F442 F426:F435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443">
    <cfRule type="colorScale" priority="128">
      <colorScale>
        <cfvo type="min"/>
        <cfvo type="max"/>
        <color rgb="FFF8696B"/>
        <color rgb="FFFCFCFF"/>
      </colorScale>
    </cfRule>
  </conditionalFormatting>
  <conditionalFormatting sqref="F444:F447">
    <cfRule type="colorScale" priority="9858">
      <colorScale>
        <cfvo type="min"/>
        <cfvo type="max"/>
        <color rgb="FFF8696B"/>
        <color rgb="FFFCFCFF"/>
      </colorScale>
    </cfRule>
  </conditionalFormatting>
  <conditionalFormatting sqref="F448">
    <cfRule type="colorScale" priority="127">
      <colorScale>
        <cfvo type="min"/>
        <cfvo type="max"/>
        <color rgb="FFF8696B"/>
        <color rgb="FFFCFCFF"/>
      </colorScale>
    </cfRule>
  </conditionalFormatting>
  <conditionalFormatting sqref="F454:F455">
    <cfRule type="colorScale" priority="126">
      <colorScale>
        <cfvo type="min"/>
        <cfvo type="max"/>
        <color rgb="FFF8696B"/>
        <color rgb="FFFCFCFF"/>
      </colorScale>
    </cfRule>
  </conditionalFormatting>
  <conditionalFormatting sqref="F456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457:F460">
    <cfRule type="colorScale" priority="122">
      <colorScale>
        <cfvo type="min"/>
        <cfvo type="max"/>
        <color rgb="FFF8696B"/>
        <color rgb="FFFCFCFF"/>
      </colorScale>
    </cfRule>
  </conditionalFormatting>
  <conditionalFormatting sqref="F461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468">
    <cfRule type="colorScale" priority="118">
      <colorScale>
        <cfvo type="min"/>
        <cfvo type="max"/>
        <color rgb="FFF8696B"/>
        <color rgb="FFFCFCFF"/>
      </colorScale>
    </cfRule>
  </conditionalFormatting>
  <conditionalFormatting sqref="F469:F475">
    <cfRule type="colorScale" priority="117">
      <colorScale>
        <cfvo type="min"/>
        <cfvo type="max"/>
        <color rgb="FFF8696B"/>
        <color rgb="FFFCFCFF"/>
      </colorScale>
    </cfRule>
  </conditionalFormatting>
  <conditionalFormatting sqref="F481">
    <cfRule type="colorScale" priority="115">
      <colorScale>
        <cfvo type="min"/>
        <cfvo type="max"/>
        <color rgb="FFF8696B"/>
        <color rgb="FFFCFCFF"/>
      </colorScale>
    </cfRule>
  </conditionalFormatting>
  <conditionalFormatting sqref="F486">
    <cfRule type="colorScale" priority="112">
      <colorScale>
        <cfvo type="min"/>
        <cfvo type="max"/>
        <color rgb="FFF8696B"/>
        <color rgb="FFFCFCFF"/>
      </colorScale>
    </cfRule>
  </conditionalFormatting>
  <conditionalFormatting sqref="F487">
    <cfRule type="colorScale" priority="108">
      <colorScale>
        <cfvo type="min"/>
        <cfvo type="max"/>
        <color rgb="FFF8696B"/>
        <color rgb="FFFCFCFF"/>
      </colorScale>
    </cfRule>
  </conditionalFormatting>
  <conditionalFormatting sqref="F488">
    <cfRule type="colorScale" priority="109">
      <colorScale>
        <cfvo type="min"/>
        <cfvo type="max"/>
        <color rgb="FFF8696B"/>
        <color rgb="FFFCFCFF"/>
      </colorScale>
    </cfRule>
  </conditionalFormatting>
  <conditionalFormatting sqref="F489">
    <cfRule type="colorScale" priority="106">
      <colorScale>
        <cfvo type="min"/>
        <cfvo type="max"/>
        <color rgb="FFF8696B"/>
        <color rgb="FFFCFCFF"/>
      </colorScale>
    </cfRule>
  </conditionalFormatting>
  <conditionalFormatting sqref="F497:F498">
    <cfRule type="colorScale" priority="105">
      <colorScale>
        <cfvo type="min"/>
        <cfvo type="max"/>
        <color rgb="FFF8696B"/>
        <color rgb="FFFCFCFF"/>
      </colorScale>
    </cfRule>
  </conditionalFormatting>
  <conditionalFormatting sqref="F499:F501 F490:F496 F482:F485">
    <cfRule type="colorScale" priority="114">
      <colorScale>
        <cfvo type="min"/>
        <cfvo type="max"/>
        <color rgb="FFF8696B"/>
        <color rgb="FFFCFCFF"/>
      </colorScale>
    </cfRule>
  </conditionalFormatting>
  <conditionalFormatting sqref="F508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509:F512">
    <cfRule type="colorScale" priority="102">
      <colorScale>
        <cfvo type="min"/>
        <cfvo type="max"/>
        <color rgb="FFF8696B"/>
        <color rgb="FFFCFCFF"/>
      </colorScale>
    </cfRule>
  </conditionalFormatting>
  <conditionalFormatting sqref="F513:F514">
    <cfRule type="colorScale" priority="99">
      <colorScale>
        <cfvo type="min"/>
        <cfvo type="max"/>
        <color rgb="FFF8696B"/>
        <color rgb="FFFCFCFF"/>
      </colorScale>
    </cfRule>
  </conditionalFormatting>
  <conditionalFormatting sqref="F528:F529">
    <cfRule type="colorScale" priority="98">
      <colorScale>
        <cfvo type="min"/>
        <cfvo type="max"/>
        <color rgb="FFF8696B"/>
        <color rgb="FFFCFCFF"/>
      </colorScale>
    </cfRule>
  </conditionalFormatting>
  <conditionalFormatting sqref="F530:F535">
    <cfRule type="colorScale" priority="96">
      <colorScale>
        <cfvo type="min"/>
        <cfvo type="max"/>
        <color rgb="FFF8696B"/>
        <color rgb="FFFCFCFF"/>
      </colorScale>
    </cfRule>
  </conditionalFormatting>
  <conditionalFormatting sqref="F543">
    <cfRule type="colorScale" priority="91">
      <colorScale>
        <cfvo type="min"/>
        <cfvo type="max"/>
        <color rgb="FFF8696B"/>
        <color rgb="FFFCFCFF"/>
      </colorScale>
    </cfRule>
  </conditionalFormatting>
  <conditionalFormatting sqref="F544:F549">
    <cfRule type="colorScale" priority="9861">
      <colorScale>
        <cfvo type="min"/>
        <cfvo type="max"/>
        <color rgb="FFF8696B"/>
        <color rgb="FFFCFCFF"/>
      </colorScale>
    </cfRule>
  </conditionalFormatting>
  <conditionalFormatting sqref="F557">
    <cfRule type="colorScale" priority="87">
      <colorScale>
        <cfvo type="min"/>
        <cfvo type="max"/>
        <color rgb="FFF8696B"/>
        <color rgb="FFFCFCFF"/>
      </colorScale>
    </cfRule>
  </conditionalFormatting>
  <conditionalFormatting sqref="F558">
    <cfRule type="colorScale" priority="83">
      <colorScale>
        <cfvo type="min"/>
        <cfvo type="max"/>
        <color rgb="FFF8696B"/>
        <color rgb="FFFCFCFF"/>
      </colorScale>
    </cfRule>
  </conditionalFormatting>
  <conditionalFormatting sqref="F559:F562">
    <cfRule type="colorScale" priority="84">
      <colorScale>
        <cfvo type="min"/>
        <cfvo type="max"/>
        <color rgb="FFF8696B"/>
        <color rgb="FFFCFCFF"/>
      </colorScale>
    </cfRule>
  </conditionalFormatting>
  <conditionalFormatting sqref="F563:F571">
    <cfRule type="colorScale" priority="81">
      <colorScale>
        <cfvo type="min"/>
        <cfvo type="max"/>
        <color rgb="FFF8696B"/>
        <color rgb="FFFCFCFF"/>
      </colorScale>
    </cfRule>
  </conditionalFormatting>
  <conditionalFormatting sqref="F579">
    <cfRule type="colorScale" priority="77">
      <colorScale>
        <cfvo type="min"/>
        <cfvo type="max"/>
        <color rgb="FFF8696B"/>
        <color rgb="FFFCFCFF"/>
      </colorScale>
    </cfRule>
  </conditionalFormatting>
  <conditionalFormatting sqref="F580">
    <cfRule type="colorScale" priority="75">
      <colorScale>
        <cfvo type="min"/>
        <cfvo type="max"/>
        <color rgb="FFF8696B"/>
        <color rgb="FFFCFCFF"/>
      </colorScale>
    </cfRule>
  </conditionalFormatting>
  <conditionalFormatting sqref="F598:F601">
    <cfRule type="colorScale" priority="67">
      <colorScale>
        <cfvo type="min"/>
        <cfvo type="max"/>
        <color rgb="FFF8696B"/>
        <color rgb="FFFCFCFF"/>
      </colorScale>
    </cfRule>
  </conditionalFormatting>
  <conditionalFormatting sqref="F602:F605">
    <cfRule type="colorScale" priority="68">
      <colorScale>
        <cfvo type="min"/>
        <cfvo type="max"/>
        <color rgb="FFF8696B"/>
        <color rgb="FFFCFCFF"/>
      </colorScale>
    </cfRule>
  </conditionalFormatting>
  <conditionalFormatting sqref="F609:F611">
    <cfRule type="colorScale" priority="66">
      <colorScale>
        <cfvo type="min"/>
        <cfvo type="max"/>
        <color rgb="FFF8696B"/>
        <color rgb="FFFCFCFF"/>
      </colorScale>
    </cfRule>
  </conditionalFormatting>
  <conditionalFormatting sqref="F612:F618">
    <cfRule type="colorScale" priority="61">
      <colorScale>
        <cfvo type="min"/>
        <cfvo type="max"/>
        <color rgb="FFF8696B"/>
        <color rgb="FFFCFCFF"/>
      </colorScale>
    </cfRule>
  </conditionalFormatting>
  <conditionalFormatting sqref="F619">
    <cfRule type="colorScale" priority="63">
      <colorScale>
        <cfvo type="min"/>
        <cfvo type="max"/>
        <color rgb="FFF8696B"/>
        <color rgb="FFFCFCFF"/>
      </colorScale>
    </cfRule>
  </conditionalFormatting>
  <conditionalFormatting sqref="F627:F628">
    <cfRule type="colorScale" priority="60">
      <colorScale>
        <cfvo type="min"/>
        <cfvo type="max"/>
        <color rgb="FFF8696B"/>
        <color rgb="FFFCFCFF"/>
      </colorScale>
    </cfRule>
  </conditionalFormatting>
  <conditionalFormatting sqref="F629:F632 F620:F626 F581:F597 F606:F608">
    <cfRule type="colorScale" priority="74">
      <colorScale>
        <cfvo type="min"/>
        <cfvo type="max"/>
        <color rgb="FFF8696B"/>
        <color rgb="FFFCFCFF"/>
      </colorScale>
    </cfRule>
  </conditionalFormatting>
  <conditionalFormatting sqref="F642">
    <cfRule type="colorScale" priority="58">
      <colorScale>
        <cfvo type="min"/>
        <cfvo type="max"/>
        <color rgb="FFF8696B"/>
        <color rgb="FFFCFCFF"/>
      </colorScale>
    </cfRule>
  </conditionalFormatting>
  <conditionalFormatting sqref="F643">
    <cfRule type="colorScale" priority="57">
      <colorScale>
        <cfvo type="min"/>
        <cfvo type="max"/>
        <color rgb="FFF8696B"/>
        <color rgb="FFFCFCFF"/>
      </colorScale>
    </cfRule>
  </conditionalFormatting>
  <conditionalFormatting sqref="F644:F650">
    <cfRule type="colorScale" priority="9903">
      <colorScale>
        <cfvo type="min"/>
        <cfvo type="max"/>
        <color rgb="FFF8696B"/>
        <color rgb="FFFCFCFF"/>
      </colorScale>
    </cfRule>
  </conditionalFormatting>
  <conditionalFormatting sqref="F651:F654">
    <cfRule type="colorScale" priority="54">
      <colorScale>
        <cfvo type="min"/>
        <cfvo type="max"/>
        <color rgb="FFF8696B"/>
        <color rgb="FFFCFCFF"/>
      </colorScale>
    </cfRule>
  </conditionalFormatting>
  <conditionalFormatting sqref="F655">
    <cfRule type="colorScale" priority="51">
      <colorScale>
        <cfvo type="min"/>
        <cfvo type="max"/>
        <color rgb="FFF8696B"/>
        <color rgb="FFFCFCFF"/>
      </colorScale>
    </cfRule>
  </conditionalFormatting>
  <conditionalFormatting sqref="F656">
    <cfRule type="colorScale" priority="52">
      <colorScale>
        <cfvo type="min"/>
        <cfvo type="max"/>
        <color rgb="FFF8696B"/>
        <color rgb="FFFCFCFF"/>
      </colorScale>
    </cfRule>
  </conditionalFormatting>
  <conditionalFormatting sqref="F661">
    <cfRule type="colorScale" priority="50">
      <colorScale>
        <cfvo type="min"/>
        <cfvo type="max"/>
        <color rgb="FFF8696B"/>
        <color rgb="FFFCFCFF"/>
      </colorScale>
    </cfRule>
  </conditionalFormatting>
  <conditionalFormatting sqref="F666">
    <cfRule type="colorScale" priority="49">
      <colorScale>
        <cfvo type="min"/>
        <cfvo type="max"/>
        <color rgb="FFF8696B"/>
        <color rgb="FFFCFCFF"/>
      </colorScale>
    </cfRule>
  </conditionalFormatting>
  <conditionalFormatting sqref="F667:F674">
    <cfRule type="colorScale" priority="48">
      <colorScale>
        <cfvo type="min"/>
        <cfvo type="max"/>
        <color rgb="FFF8696B"/>
        <color rgb="FFFCFCFF"/>
      </colorScale>
    </cfRule>
  </conditionalFormatting>
  <conditionalFormatting sqref="F680">
    <cfRule type="colorScale" priority="45">
      <colorScale>
        <cfvo type="min"/>
        <cfvo type="max"/>
        <color rgb="FFF8696B"/>
        <color rgb="FFFCFCFF"/>
      </colorScale>
    </cfRule>
  </conditionalFormatting>
  <conditionalFormatting sqref="F681:F693">
    <cfRule type="colorScale" priority="44">
      <colorScale>
        <cfvo type="min"/>
        <cfvo type="max"/>
        <color rgb="FFF8696B"/>
        <color rgb="FFFCFCFF"/>
      </colorScale>
    </cfRule>
  </conditionalFormatting>
  <conditionalFormatting sqref="F701:F702">
    <cfRule type="colorScale" priority="40">
      <colorScale>
        <cfvo type="min"/>
        <cfvo type="max"/>
        <color rgb="FFF8696B"/>
        <color rgb="FFFCFCFF"/>
      </colorScale>
    </cfRule>
  </conditionalFormatting>
  <conditionalFormatting sqref="F703:F716">
    <cfRule type="colorScale" priority="39">
      <colorScale>
        <cfvo type="min"/>
        <cfvo type="max"/>
        <color rgb="FFF8696B"/>
        <color rgb="FFFCFCFF"/>
      </colorScale>
    </cfRule>
  </conditionalFormatting>
  <conditionalFormatting sqref="F717">
    <cfRule type="colorScale" priority="34">
      <colorScale>
        <cfvo type="min"/>
        <cfvo type="max"/>
        <color rgb="FFF8696B"/>
        <color rgb="FFFCFCFF"/>
      </colorScale>
    </cfRule>
  </conditionalFormatting>
  <conditionalFormatting sqref="F725:F727">
    <cfRule type="colorScale" priority="33">
      <colorScale>
        <cfvo type="min"/>
        <cfvo type="max"/>
        <color rgb="FFF8696B"/>
        <color rgb="FFFCFCFF"/>
      </colorScale>
    </cfRule>
  </conditionalFormatting>
  <conditionalFormatting sqref="F728">
    <cfRule type="colorScale" priority="30">
      <colorScale>
        <cfvo type="min"/>
        <cfvo type="max"/>
        <color rgb="FFF8696B"/>
        <color rgb="FFFCFCFF"/>
      </colorScale>
    </cfRule>
  </conditionalFormatting>
  <conditionalFormatting sqref="F730:F757 F764:F777">
    <cfRule type="colorScale" priority="28">
      <colorScale>
        <cfvo type="min"/>
        <cfvo type="max"/>
        <color rgb="FFF8696B"/>
        <color rgb="FFFCFCFF"/>
      </colorScale>
    </cfRule>
  </conditionalFormatting>
  <conditionalFormatting sqref="F779:F793">
    <cfRule type="colorScale" priority="23">
      <colorScale>
        <cfvo type="min"/>
        <cfvo type="max"/>
        <color rgb="FFF8696B"/>
        <color rgb="FFFCFCFF"/>
      </colorScale>
    </cfRule>
  </conditionalFormatting>
  <conditionalFormatting sqref="F803:F805">
    <cfRule type="colorScale" priority="21">
      <colorScale>
        <cfvo type="min"/>
        <cfvo type="max"/>
        <color rgb="FFF8696B"/>
        <color rgb="FFFCFCFF"/>
      </colorScale>
    </cfRule>
  </conditionalFormatting>
  <conditionalFormatting sqref="F806:F822">
    <cfRule type="colorScale" priority="18">
      <colorScale>
        <cfvo type="min"/>
        <cfvo type="max"/>
        <color rgb="FFF8696B"/>
        <color rgb="FFFCFCFF"/>
      </colorScale>
    </cfRule>
  </conditionalFormatting>
  <conditionalFormatting sqref="F823">
    <cfRule type="colorScale" priority="15">
      <colorScale>
        <cfvo type="min"/>
        <cfvo type="max"/>
        <color rgb="FFF8696B"/>
        <color rgb="FFFCFCFF"/>
      </colorScale>
    </cfRule>
  </conditionalFormatting>
  <conditionalFormatting sqref="F824:F829">
    <cfRule type="colorScale" priority="12">
      <colorScale>
        <cfvo type="min"/>
        <cfvo type="max"/>
        <color rgb="FFF8696B"/>
        <color rgb="FFFCFCFF"/>
      </colorScale>
    </cfRule>
  </conditionalFormatting>
  <conditionalFormatting sqref="F838">
    <cfRule type="colorScale" priority="11">
      <colorScale>
        <cfvo type="min"/>
        <cfvo type="max"/>
        <color rgb="FFF8696B"/>
        <color rgb="FFFCFCFF"/>
      </colorScale>
    </cfRule>
  </conditionalFormatting>
  <conditionalFormatting sqref="F839">
    <cfRule type="colorScale" priority="10">
      <colorScale>
        <cfvo type="min"/>
        <cfvo type="max"/>
        <color rgb="FFF8696B"/>
        <color rgb="FFFCFCFF"/>
      </colorScale>
    </cfRule>
  </conditionalFormatting>
  <conditionalFormatting sqref="F840">
    <cfRule type="colorScale" priority="8">
      <colorScale>
        <cfvo type="min"/>
        <cfvo type="max"/>
        <color rgb="FFF8696B"/>
        <color rgb="FFFCFCFF"/>
      </colorScale>
    </cfRule>
  </conditionalFormatting>
  <conditionalFormatting sqref="F841:F843">
    <cfRule type="colorScale" priority="9">
      <colorScale>
        <cfvo type="min"/>
        <cfvo type="max"/>
        <color rgb="FFF8696B"/>
        <color rgb="FFFCFCFF"/>
      </colorScale>
    </cfRule>
  </conditionalFormatting>
  <conditionalFormatting sqref="F844:F860">
    <cfRule type="colorScale" priority="5">
      <colorScale>
        <cfvo type="min"/>
        <cfvo type="max"/>
        <color rgb="FFF8696B"/>
        <color rgb="FFFCFCFF"/>
      </colorScale>
    </cfRule>
  </conditionalFormatting>
  <conditionalFormatting sqref="F861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{CB926E46-7044-49C6-A8F1-1951839018FE}</x14:id>
        </ext>
      </extLst>
    </cfRule>
  </conditionalFormatting>
  <conditionalFormatting sqref="F861:F889">
    <cfRule type="colorScale" priority="7">
      <colorScale>
        <cfvo type="min"/>
        <cfvo type="max"/>
        <color rgb="FFF8696B"/>
        <color rgb="FFFCFCFF"/>
      </colorScale>
    </cfRule>
  </conditionalFormatting>
  <conditionalFormatting sqref="G4:G8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25">
    <cfRule type="colorScale" priority="270">
      <colorScale>
        <cfvo type="min"/>
        <cfvo type="max"/>
        <color rgb="FFF8696B"/>
        <color rgb="FFFCFCFF"/>
      </colorScale>
    </cfRule>
  </conditionalFormatting>
  <conditionalFormatting sqref="G26:G27">
    <cfRule type="colorScale" priority="273">
      <colorScale>
        <cfvo type="min"/>
        <cfvo type="max"/>
        <color rgb="FFF8696B"/>
        <color rgb="FFFCFCFF"/>
      </colorScale>
    </cfRule>
  </conditionalFormatting>
  <conditionalFormatting sqref="G28:G31">
    <cfRule type="colorScale" priority="267">
      <colorScale>
        <cfvo type="min"/>
        <cfvo type="max"/>
        <color rgb="FFF8696B"/>
        <color rgb="FFFCFCFF"/>
      </colorScale>
    </cfRule>
  </conditionalFormatting>
  <conditionalFormatting sqref="G41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43:G44">
    <cfRule type="colorScale" priority="260">
      <colorScale>
        <cfvo type="min"/>
        <cfvo type="max"/>
        <color rgb="FFF8696B"/>
        <color rgb="FFFCFCFF"/>
      </colorScale>
    </cfRule>
  </conditionalFormatting>
  <conditionalFormatting sqref="G45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63">
    <cfRule type="colorScale" priority="257">
      <colorScale>
        <cfvo type="min"/>
        <cfvo type="max"/>
        <color rgb="FFF8696B"/>
        <color rgb="FFFCFCFF"/>
      </colorScale>
    </cfRule>
  </conditionalFormatting>
  <conditionalFormatting sqref="G64:G73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74">
    <cfRule type="colorScale" priority="256">
      <colorScale>
        <cfvo type="min"/>
        <cfvo type="max"/>
        <color rgb="FFF8696B"/>
        <color rgb="FFFCFCFF"/>
      </colorScale>
    </cfRule>
  </conditionalFormatting>
  <conditionalFormatting sqref="G88">
    <cfRule type="colorScale" priority="248">
      <colorScale>
        <cfvo type="min"/>
        <cfvo type="max"/>
        <color rgb="FFF8696B"/>
        <color rgb="FFFCFCFF"/>
      </colorScale>
    </cfRule>
  </conditionalFormatting>
  <conditionalFormatting sqref="G91:G96">
    <cfRule type="colorScale" priority="252">
      <colorScale>
        <cfvo type="min"/>
        <cfvo type="max"/>
        <color rgb="FFF8696B"/>
        <color rgb="FFFCFCFF"/>
      </colorScale>
    </cfRule>
  </conditionalFormatting>
  <conditionalFormatting sqref="G97">
    <cfRule type="colorScale" priority="250">
      <colorScale>
        <cfvo type="min"/>
        <cfvo type="max"/>
        <color rgb="FFF8696B"/>
        <color rgb="FFFCFCFF"/>
      </colorScale>
    </cfRule>
  </conditionalFormatting>
  <conditionalFormatting sqref="G98:G102">
    <cfRule type="colorScale" priority="249">
      <colorScale>
        <cfvo type="min"/>
        <cfvo type="max"/>
        <color rgb="FFF8696B"/>
        <color rgb="FFFCFCFF"/>
      </colorScale>
    </cfRule>
  </conditionalFormatting>
  <conditionalFormatting sqref="G113">
    <cfRule type="colorScale" priority="245">
      <colorScale>
        <cfvo type="min"/>
        <cfvo type="max"/>
        <color rgb="FFF8696B"/>
        <color rgb="FFFCFCFF"/>
      </colorScale>
    </cfRule>
  </conditionalFormatting>
  <conditionalFormatting sqref="G121:G124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125">
    <cfRule type="colorScale" priority="240">
      <colorScale>
        <cfvo type="min"/>
        <cfvo type="max"/>
        <color rgb="FFF8696B"/>
        <color rgb="FFFCFCFF"/>
      </colorScale>
    </cfRule>
  </conditionalFormatting>
  <conditionalFormatting sqref="G138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141:G149">
    <cfRule type="colorScale" priority="236">
      <colorScale>
        <cfvo type="min"/>
        <cfvo type="max"/>
        <color rgb="FFF8696B"/>
        <color rgb="FFFCFCFF"/>
      </colorScale>
    </cfRule>
  </conditionalFormatting>
  <conditionalFormatting sqref="G150">
    <cfRule type="colorScale" priority="234">
      <colorScale>
        <cfvo type="min"/>
        <cfvo type="max"/>
        <color rgb="FFF8696B"/>
        <color rgb="FFFCFCFF"/>
      </colorScale>
    </cfRule>
  </conditionalFormatting>
  <conditionalFormatting sqref="G159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160">
    <cfRule type="colorScale" priority="228">
      <colorScale>
        <cfvo type="min"/>
        <cfvo type="max"/>
        <color rgb="FFF8696B"/>
        <color rgb="FFFCFCFF"/>
      </colorScale>
    </cfRule>
  </conditionalFormatting>
  <conditionalFormatting sqref="G161:G165">
    <cfRule type="colorScale" priority="227">
      <colorScale>
        <cfvo type="min"/>
        <cfvo type="max"/>
        <color rgb="FFF8696B"/>
        <color rgb="FFFCFCFF"/>
      </colorScale>
    </cfRule>
  </conditionalFormatting>
  <conditionalFormatting sqref="G167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168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169:G174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181:G183">
    <cfRule type="colorScale" priority="221">
      <colorScale>
        <cfvo type="min"/>
        <cfvo type="max"/>
        <color rgb="FFF8696B"/>
        <color rgb="FFFCFCFF"/>
      </colorScale>
    </cfRule>
  </conditionalFormatting>
  <conditionalFormatting sqref="G184:G188">
    <cfRule type="colorScale" priority="220">
      <colorScale>
        <cfvo type="min"/>
        <cfvo type="max"/>
        <color rgb="FFF8696B"/>
        <color rgb="FFFCFCFF"/>
      </colorScale>
    </cfRule>
  </conditionalFormatting>
  <conditionalFormatting sqref="G189:G190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201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206">
    <cfRule type="colorScale" priority="213">
      <colorScale>
        <cfvo type="min"/>
        <cfvo type="max"/>
        <color rgb="FFF8696B"/>
        <color rgb="FFFCFCFF"/>
      </colorScale>
    </cfRule>
  </conditionalFormatting>
  <conditionalFormatting sqref="G217">
    <cfRule type="colorScale" priority="212">
      <colorScale>
        <cfvo type="min"/>
        <cfvo type="max"/>
        <color rgb="FFF8696B"/>
        <color rgb="FFFCFCFF"/>
      </colorScale>
    </cfRule>
  </conditionalFormatting>
  <conditionalFormatting sqref="G222:G223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232">
    <cfRule type="colorScale" priority="207">
      <colorScale>
        <cfvo type="min"/>
        <cfvo type="max"/>
        <color rgb="FFF8696B"/>
        <color rgb="FFFCFCFF"/>
      </colorScale>
    </cfRule>
  </conditionalFormatting>
  <conditionalFormatting sqref="G234:G239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282">
    <cfRule type="colorScale" priority="185">
      <colorScale>
        <cfvo type="min"/>
        <cfvo type="max"/>
        <color rgb="FFF8696B"/>
        <color rgb="FFFCFCFF"/>
      </colorScale>
    </cfRule>
  </conditionalFormatting>
  <conditionalFormatting sqref="G287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296">
    <cfRule type="colorScale" priority="182">
      <colorScale>
        <cfvo type="min"/>
        <cfvo type="max"/>
        <color rgb="FFF8696B"/>
        <color rgb="FFFCFCFF"/>
      </colorScale>
    </cfRule>
  </conditionalFormatting>
  <conditionalFormatting sqref="G297">
    <cfRule type="colorScale" priority="179">
      <colorScale>
        <cfvo type="min"/>
        <cfvo type="max"/>
        <color rgb="FFF8696B"/>
        <color rgb="FFFCFCFF"/>
      </colorScale>
    </cfRule>
  </conditionalFormatting>
  <conditionalFormatting sqref="G298">
    <cfRule type="colorScale" priority="181">
      <colorScale>
        <cfvo type="min"/>
        <cfvo type="max"/>
        <color rgb="FFF8696B"/>
        <color rgb="FFFCFCFF"/>
      </colorScale>
    </cfRule>
  </conditionalFormatting>
  <conditionalFormatting sqref="G299">
    <cfRule type="colorScale" priority="178">
      <colorScale>
        <cfvo type="min"/>
        <cfvo type="max"/>
        <color rgb="FFF8696B"/>
        <color rgb="FFFCFCFF"/>
      </colorScale>
    </cfRule>
  </conditionalFormatting>
  <conditionalFormatting sqref="G300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301">
    <cfRule type="colorScale" priority="177">
      <colorScale>
        <cfvo type="min"/>
        <cfvo type="max"/>
        <color rgb="FFF8696B"/>
        <color rgb="FFFCFCFF"/>
      </colorScale>
    </cfRule>
  </conditionalFormatting>
  <conditionalFormatting sqref="G302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303:G304 G307">
    <cfRule type="colorScale" priority="175">
      <colorScale>
        <cfvo type="min"/>
        <cfvo type="max"/>
        <color rgb="FFF8696B"/>
        <color rgb="FFFCFCFF"/>
      </colorScale>
    </cfRule>
  </conditionalFormatting>
  <conditionalFormatting sqref="G305:G306">
    <cfRule type="colorScale" priority="174">
      <colorScale>
        <cfvo type="min"/>
        <cfvo type="max"/>
        <color rgb="FFF8696B"/>
        <color rgb="FFFCFCFF"/>
      </colorScale>
    </cfRule>
  </conditionalFormatting>
  <conditionalFormatting sqref="G315">
    <cfRule type="colorScale" priority="171">
      <colorScale>
        <cfvo type="min"/>
        <cfvo type="max"/>
        <color rgb="FFF8696B"/>
        <color rgb="FFFCFCFF"/>
      </colorScale>
    </cfRule>
  </conditionalFormatting>
  <conditionalFormatting sqref="G327:G329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330:G332 G324:G326">
    <cfRule type="colorScale" priority="169">
      <colorScale>
        <cfvo type="min"/>
        <cfvo type="max"/>
        <color rgb="FFF8696B"/>
        <color rgb="FFFCFCFF"/>
      </colorScale>
    </cfRule>
  </conditionalFormatting>
  <conditionalFormatting sqref="G333">
    <cfRule type="colorScale" priority="170">
      <colorScale>
        <cfvo type="min"/>
        <cfvo type="max"/>
        <color rgb="FFF8696B"/>
        <color rgb="FFFCFCFF"/>
      </colorScale>
    </cfRule>
  </conditionalFormatting>
  <conditionalFormatting sqref="G377">
    <cfRule type="colorScale" priority="160">
      <colorScale>
        <cfvo type="min"/>
        <cfvo type="max"/>
        <color rgb="FFF8696B"/>
        <color rgb="FFFCFCFF"/>
      </colorScale>
    </cfRule>
  </conditionalFormatting>
  <conditionalFormatting sqref="G380">
    <cfRule type="colorScale" priority="158">
      <colorScale>
        <cfvo type="min"/>
        <cfvo type="max"/>
        <color rgb="FFF8696B"/>
        <color rgb="FFFCFCFF"/>
      </colorScale>
    </cfRule>
  </conditionalFormatting>
  <conditionalFormatting sqref="G388">
    <cfRule type="colorScale" priority="156">
      <colorScale>
        <cfvo type="min"/>
        <cfvo type="max"/>
        <color rgb="FFF8696B"/>
        <color rgb="FFFCFCFF"/>
      </colorScale>
    </cfRule>
  </conditionalFormatting>
  <conditionalFormatting sqref="G389">
    <cfRule type="colorScale" priority="150">
      <colorScale>
        <cfvo type="min"/>
        <cfvo type="max"/>
        <color rgb="FFF8696B"/>
        <color rgb="FFFCFCFF"/>
      </colorScale>
    </cfRule>
  </conditionalFormatting>
  <conditionalFormatting sqref="G390">
    <cfRule type="colorScale" priority="155">
      <colorScale>
        <cfvo type="min"/>
        <cfvo type="max"/>
        <color rgb="FFF8696B"/>
        <color rgb="FFFCFCFF"/>
      </colorScale>
    </cfRule>
  </conditionalFormatting>
  <conditionalFormatting sqref="G391">
    <cfRule type="colorScale" priority="154">
      <colorScale>
        <cfvo type="min"/>
        <cfvo type="max"/>
        <color rgb="FFF8696B"/>
        <color rgb="FFFCFCFF"/>
      </colorScale>
    </cfRule>
  </conditionalFormatting>
  <conditionalFormatting sqref="G398:G403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409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410">
    <cfRule type="colorScale" priority="142">
      <colorScale>
        <cfvo type="min"/>
        <cfvo type="max"/>
        <color rgb="FFF8696B"/>
        <color rgb="FFFCFCFF"/>
      </colorScale>
    </cfRule>
  </conditionalFormatting>
  <conditionalFormatting sqref="G415:G416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433">
    <cfRule type="colorScale" priority="135">
      <colorScale>
        <cfvo type="min"/>
        <cfvo type="max"/>
        <color rgb="FFF8696B"/>
        <color rgb="FFFCFCFF"/>
      </colorScale>
    </cfRule>
  </conditionalFormatting>
  <conditionalFormatting sqref="G434">
    <cfRule type="colorScale" priority="131">
      <colorScale>
        <cfvo type="min"/>
        <cfvo type="max"/>
        <color rgb="FFF8696B"/>
        <color rgb="FFFCFCFF"/>
      </colorScale>
    </cfRule>
  </conditionalFormatting>
  <conditionalFormatting sqref="G435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443:G447">
    <cfRule type="colorScale" priority="9860">
      <colorScale>
        <cfvo type="min"/>
        <cfvo type="max"/>
        <color rgb="FFF8696B"/>
        <color rgb="FFFCFCFF"/>
      </colorScale>
    </cfRule>
  </conditionalFormatting>
  <conditionalFormatting sqref="G455">
    <cfRule type="colorScale" priority="125">
      <colorScale>
        <cfvo type="min"/>
        <cfvo type="max"/>
        <color rgb="FFF8696B"/>
        <color rgb="FFFCFCFF"/>
      </colorScale>
    </cfRule>
  </conditionalFormatting>
  <conditionalFormatting sqref="G456">
    <cfRule type="colorScale" priority="120">
      <colorScale>
        <cfvo type="min"/>
        <cfvo type="max"/>
        <color rgb="FFF8696B"/>
        <color rgb="FFFCFCFF"/>
      </colorScale>
    </cfRule>
  </conditionalFormatting>
  <conditionalFormatting sqref="G457">
    <cfRule type="colorScale" priority="124">
      <colorScale>
        <cfvo type="min"/>
        <cfvo type="max"/>
        <color rgb="FFF8696B"/>
        <color rgb="FFFCFCFF"/>
      </colorScale>
    </cfRule>
  </conditionalFormatting>
  <conditionalFormatting sqref="G458:G460">
    <cfRule type="colorScale" priority="123">
      <colorScale>
        <cfvo type="min"/>
        <cfvo type="max"/>
        <color rgb="FFF8696B"/>
        <color rgb="FFFCFCFF"/>
      </colorScale>
    </cfRule>
  </conditionalFormatting>
  <conditionalFormatting sqref="G469:G474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484:G485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486">
    <cfRule type="colorScale" priority="111">
      <colorScale>
        <cfvo type="min"/>
        <cfvo type="max"/>
        <color rgb="FFF8696B"/>
        <color rgb="FFFCFCFF"/>
      </colorScale>
    </cfRule>
  </conditionalFormatting>
  <conditionalFormatting sqref="G488">
    <cfRule type="colorScale" priority="110">
      <colorScale>
        <cfvo type="min"/>
        <cfvo type="max"/>
        <color rgb="FFF8696B"/>
        <color rgb="FFFCFCFF"/>
      </colorScale>
    </cfRule>
  </conditionalFormatting>
  <conditionalFormatting sqref="G493:G494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501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509">
    <cfRule type="colorScale" priority="101">
      <colorScale>
        <cfvo type="min"/>
        <cfvo type="max"/>
        <color rgb="FFF8696B"/>
        <color rgb="FFFCFCFF"/>
      </colorScale>
    </cfRule>
  </conditionalFormatting>
  <conditionalFormatting sqref="G510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529">
    <cfRule type="colorScale" priority="97">
      <colorScale>
        <cfvo type="min"/>
        <cfvo type="max"/>
        <color rgb="FFF8696B"/>
        <color rgb="FFFCFCFF"/>
      </colorScale>
    </cfRule>
  </conditionalFormatting>
  <conditionalFormatting sqref="G544:G545">
    <cfRule type="colorScale" priority="89">
      <colorScale>
        <cfvo type="min"/>
        <cfvo type="max"/>
        <color rgb="FFF8696B"/>
        <color rgb="FFFCFCFF"/>
      </colorScale>
    </cfRule>
  </conditionalFormatting>
  <conditionalFormatting sqref="G546:G549">
    <cfRule type="colorScale" priority="88">
      <colorScale>
        <cfvo type="min"/>
        <cfvo type="max"/>
        <color rgb="FFF8696B"/>
        <color rgb="FFFCFCFF"/>
      </colorScale>
    </cfRule>
  </conditionalFormatting>
  <conditionalFormatting sqref="G558">
    <cfRule type="colorScale" priority="82">
      <colorScale>
        <cfvo type="min"/>
        <cfvo type="max"/>
        <color rgb="FFF8696B"/>
        <color rgb="FFFCFCFF"/>
      </colorScale>
    </cfRule>
  </conditionalFormatting>
  <conditionalFormatting sqref="G559:G562">
    <cfRule type="colorScale" priority="85">
      <colorScale>
        <cfvo type="min"/>
        <cfvo type="max"/>
        <color rgb="FFF8696B"/>
        <color rgb="FFFCFCFF"/>
      </colorScale>
    </cfRule>
  </conditionalFormatting>
  <conditionalFormatting sqref="G564">
    <cfRule type="colorScale" priority="80">
      <colorScale>
        <cfvo type="min"/>
        <cfvo type="max"/>
        <color rgb="FFF8696B"/>
        <color rgb="FFFCFCFF"/>
      </colorScale>
    </cfRule>
  </conditionalFormatting>
  <conditionalFormatting sqref="G569">
    <cfRule type="colorScale" priority="78">
      <colorScale>
        <cfvo type="min"/>
        <cfvo type="max"/>
        <color rgb="FFF8696B"/>
        <color rgb="FFFCFCFF"/>
      </colorScale>
    </cfRule>
  </conditionalFormatting>
  <conditionalFormatting sqref="G570">
    <cfRule type="colorScale" priority="79">
      <colorScale>
        <cfvo type="min"/>
        <cfvo type="max"/>
        <color rgb="FFF8696B"/>
        <color rgb="FFFCFCFF"/>
      </colorScale>
    </cfRule>
  </conditionalFormatting>
  <conditionalFormatting sqref="G580">
    <cfRule type="colorScale" priority="76">
      <colorScale>
        <cfvo type="min"/>
        <cfvo type="max"/>
        <color rgb="FFF8696B"/>
        <color rgb="FFFCFCFF"/>
      </colorScale>
    </cfRule>
  </conditionalFormatting>
  <conditionalFormatting sqref="G582">
    <cfRule type="colorScale" priority="73">
      <colorScale>
        <cfvo type="min"/>
        <cfvo type="max"/>
        <color rgb="FFF8696B"/>
        <color rgb="FFFCFCFF"/>
      </colorScale>
    </cfRule>
  </conditionalFormatting>
  <conditionalFormatting sqref="G583">
    <cfRule type="colorScale" priority="71">
      <colorScale>
        <cfvo type="min"/>
        <cfvo type="max"/>
        <color rgb="FFF8696B"/>
        <color rgb="FFFCFCFF"/>
      </colorScale>
    </cfRule>
  </conditionalFormatting>
  <conditionalFormatting sqref="G586">
    <cfRule type="colorScale" priority="72">
      <colorScale>
        <cfvo type="min"/>
        <cfvo type="max"/>
        <color rgb="FFF8696B"/>
        <color rgb="FFFCFCFF"/>
      </colorScale>
    </cfRule>
  </conditionalFormatting>
  <conditionalFormatting sqref="G588:G591">
    <cfRule type="colorScale" priority="70">
      <colorScale>
        <cfvo type="min"/>
        <cfvo type="max"/>
        <color rgb="FFF8696B"/>
        <color rgb="FFFCFCFF"/>
      </colorScale>
    </cfRule>
  </conditionalFormatting>
  <conditionalFormatting sqref="G593">
    <cfRule type="colorScale" priority="69">
      <colorScale>
        <cfvo type="min"/>
        <cfvo type="max"/>
        <color rgb="FFF8696B"/>
        <color rgb="FFFCFCFF"/>
      </colorScale>
    </cfRule>
  </conditionalFormatting>
  <conditionalFormatting sqref="G609:G611">
    <cfRule type="colorScale" priority="65">
      <colorScale>
        <cfvo type="min"/>
        <cfvo type="max"/>
        <color rgb="FFF8696B"/>
        <color rgb="FFFCFCFF"/>
      </colorScale>
    </cfRule>
  </conditionalFormatting>
  <conditionalFormatting sqref="G612:G618">
    <cfRule type="colorScale" priority="62">
      <colorScale>
        <cfvo type="min"/>
        <cfvo type="max"/>
        <color rgb="FFF8696B"/>
        <color rgb="FFFCFCFF"/>
      </colorScale>
    </cfRule>
  </conditionalFormatting>
  <conditionalFormatting sqref="G623:G624">
    <cfRule type="colorScale" priority="64">
      <colorScale>
        <cfvo type="min"/>
        <cfvo type="max"/>
        <color rgb="FFF8696B"/>
        <color rgb="FFFCFCFF"/>
      </colorScale>
    </cfRule>
  </conditionalFormatting>
  <conditionalFormatting sqref="G631:G632">
    <cfRule type="colorScale" priority="59">
      <colorScale>
        <cfvo type="min"/>
        <cfvo type="max"/>
        <color rgb="FFF8696B"/>
        <color rgb="FFFCFCFF"/>
      </colorScale>
    </cfRule>
  </conditionalFormatting>
  <conditionalFormatting sqref="G650">
    <cfRule type="colorScale" priority="55">
      <colorScale>
        <cfvo type="min"/>
        <cfvo type="max"/>
        <color rgb="FFF8696B"/>
        <color rgb="FFFCFCFF"/>
      </colorScale>
    </cfRule>
  </conditionalFormatting>
  <conditionalFormatting sqref="G654">
    <cfRule type="colorScale" priority="53">
      <colorScale>
        <cfvo type="min"/>
        <cfvo type="max"/>
        <color rgb="FFF8696B"/>
        <color rgb="FFFCFCFF"/>
      </colorScale>
    </cfRule>
  </conditionalFormatting>
  <conditionalFormatting sqref="G668">
    <cfRule type="colorScale" priority="46">
      <colorScale>
        <cfvo type="min"/>
        <cfvo type="max"/>
        <color rgb="FFF8696B"/>
        <color rgb="FFFCFCFF"/>
      </colorScale>
    </cfRule>
  </conditionalFormatting>
  <conditionalFormatting sqref="G669">
    <cfRule type="colorScale" priority="47">
      <colorScale>
        <cfvo type="min"/>
        <cfvo type="max"/>
        <color rgb="FFF8696B"/>
        <color rgb="FFFCFCFF"/>
      </colorScale>
    </cfRule>
  </conditionalFormatting>
  <conditionalFormatting sqref="G683:G687">
    <cfRule type="colorScale" priority="43">
      <colorScale>
        <cfvo type="min"/>
        <cfvo type="max"/>
        <color rgb="FFF8696B"/>
        <color rgb="FFFCFCFF"/>
      </colorScale>
    </cfRule>
  </conditionalFormatting>
  <conditionalFormatting sqref="G688:G689">
    <cfRule type="colorScale" priority="42">
      <colorScale>
        <cfvo type="min"/>
        <cfvo type="max"/>
        <color rgb="FFF8696B"/>
        <color rgb="FFFCFCFF"/>
      </colorScale>
    </cfRule>
  </conditionalFormatting>
  <conditionalFormatting sqref="G690">
    <cfRule type="colorScale" priority="41">
      <colorScale>
        <cfvo type="min"/>
        <cfvo type="max"/>
        <color rgb="FFF8696B"/>
        <color rgb="FFFCFCFF"/>
      </colorScale>
    </cfRule>
  </conditionalFormatting>
  <conditionalFormatting sqref="G703:G704">
    <cfRule type="colorScale" priority="38">
      <colorScale>
        <cfvo type="min"/>
        <cfvo type="max"/>
        <color rgb="FFF8696B"/>
        <color rgb="FFFCFCFF"/>
      </colorScale>
    </cfRule>
  </conditionalFormatting>
  <conditionalFormatting sqref="G706:G707">
    <cfRule type="colorScale" priority="37">
      <colorScale>
        <cfvo type="min"/>
        <cfvo type="max"/>
        <color rgb="FFF8696B"/>
        <color rgb="FFFCFCFF"/>
      </colorScale>
    </cfRule>
  </conditionalFormatting>
  <conditionalFormatting sqref="G708:G712">
    <cfRule type="colorScale" priority="35">
      <colorScale>
        <cfvo type="min"/>
        <cfvo type="max"/>
        <color rgb="FFF8696B"/>
        <color rgb="FFFCFCFF"/>
      </colorScale>
    </cfRule>
  </conditionalFormatting>
  <conditionalFormatting sqref="G713:G716">
    <cfRule type="colorScale" priority="36">
      <colorScale>
        <cfvo type="min"/>
        <cfvo type="max"/>
        <color rgb="FFF8696B"/>
        <color rgb="FFFCFCFF"/>
      </colorScale>
    </cfRule>
  </conditionalFormatting>
  <conditionalFormatting sqref="G726">
    <cfRule type="colorScale" priority="32">
      <colorScale>
        <cfvo type="min"/>
        <cfvo type="max"/>
        <color rgb="FFF8696B"/>
        <color rgb="FFFCFCFF"/>
      </colorScale>
    </cfRule>
  </conditionalFormatting>
  <conditionalFormatting sqref="G727">
    <cfRule type="colorScale" priority="31">
      <colorScale>
        <cfvo type="min"/>
        <cfvo type="max"/>
        <color rgb="FFF8696B"/>
        <color rgb="FFFCFCFF"/>
      </colorScale>
    </cfRule>
  </conditionalFormatting>
  <conditionalFormatting sqref="G728">
    <cfRule type="colorScale" priority="29">
      <colorScale>
        <cfvo type="min"/>
        <cfvo type="max"/>
        <color rgb="FFF8696B"/>
        <color rgb="FFFCFCFF"/>
      </colorScale>
    </cfRule>
  </conditionalFormatting>
  <conditionalFormatting sqref="G731">
    <cfRule type="colorScale" priority="27">
      <colorScale>
        <cfvo type="min"/>
        <cfvo type="max"/>
        <color rgb="FFF8696B"/>
        <color rgb="FFFCFCFF"/>
      </colorScale>
    </cfRule>
  </conditionalFormatting>
  <conditionalFormatting sqref="G756">
    <cfRule type="colorScale" priority="26">
      <colorScale>
        <cfvo type="min"/>
        <cfvo type="max"/>
        <color rgb="FFF8696B"/>
        <color rgb="FFFCFCFF"/>
      </colorScale>
    </cfRule>
  </conditionalFormatting>
  <conditionalFormatting sqref="G758">
    <cfRule type="colorScale" priority="25">
      <colorScale>
        <cfvo type="min"/>
        <cfvo type="max"/>
        <color rgb="FFF8696B"/>
        <color rgb="FFFCFCFF"/>
      </colorScale>
    </cfRule>
  </conditionalFormatting>
  <conditionalFormatting sqref="G776">
    <cfRule type="colorScale" priority="24">
      <colorScale>
        <cfvo type="min"/>
        <cfvo type="max"/>
        <color rgb="FFF8696B"/>
        <color rgb="FFFCFCFF"/>
      </colorScale>
    </cfRule>
  </conditionalFormatting>
  <conditionalFormatting sqref="G788">
    <cfRule type="colorScale" priority="22">
      <colorScale>
        <cfvo type="min"/>
        <cfvo type="max"/>
        <color rgb="FFF8696B"/>
        <color rgb="FFFCFCFF"/>
      </colorScale>
    </cfRule>
  </conditionalFormatting>
  <conditionalFormatting sqref="G804">
    <cfRule type="colorScale" priority="20">
      <colorScale>
        <cfvo type="min"/>
        <cfvo type="max"/>
        <color rgb="FFF8696B"/>
        <color rgb="FFFCFCFF"/>
      </colorScale>
    </cfRule>
  </conditionalFormatting>
  <conditionalFormatting sqref="G805">
    <cfRule type="colorScale" priority="19">
      <colorScale>
        <cfvo type="min"/>
        <cfvo type="max"/>
        <color rgb="FFF8696B"/>
        <color rgb="FFFCFCFF"/>
      </colorScale>
    </cfRule>
  </conditionalFormatting>
  <conditionalFormatting sqref="G817:G819">
    <cfRule type="colorScale" priority="17">
      <colorScale>
        <cfvo type="min"/>
        <cfvo type="max"/>
        <color rgb="FFF8696B"/>
        <color rgb="FFFCFCFF"/>
      </colorScale>
    </cfRule>
  </conditionalFormatting>
  <conditionalFormatting sqref="G822">
    <cfRule type="colorScale" priority="16">
      <colorScale>
        <cfvo type="min"/>
        <cfvo type="max"/>
        <color rgb="FFF8696B"/>
        <color rgb="FFFCFCFF"/>
      </colorScale>
    </cfRule>
  </conditionalFormatting>
  <conditionalFormatting sqref="G823">
    <cfRule type="colorScale" priority="14">
      <colorScale>
        <cfvo type="min"/>
        <cfvo type="max"/>
        <color rgb="FFF8696B"/>
        <color rgb="FFFCFCFF"/>
      </colorScale>
    </cfRule>
  </conditionalFormatting>
  <conditionalFormatting sqref="G824:G829">
    <cfRule type="colorScale" priority="13">
      <colorScale>
        <cfvo type="min"/>
        <cfvo type="max"/>
        <color rgb="FFF8696B"/>
        <color rgb="FFFCFCFF"/>
      </colorScale>
    </cfRule>
  </conditionalFormatting>
  <conditionalFormatting sqref="G865:G867">
    <cfRule type="colorScale" priority="3">
      <colorScale>
        <cfvo type="min"/>
        <cfvo type="max"/>
        <color rgb="FFF8696B"/>
        <color rgb="FFFCFCFF"/>
      </colorScale>
    </cfRule>
  </conditionalFormatting>
  <conditionalFormatting sqref="G868">
    <cfRule type="colorScale" priority="4">
      <colorScale>
        <cfvo type="min"/>
        <cfvo type="max"/>
        <color rgb="FFF8696B"/>
        <color rgb="FFFCFCFF"/>
      </colorScale>
    </cfRule>
  </conditionalFormatting>
  <conditionalFormatting sqref="G869:G870">
    <cfRule type="colorScale" priority="1">
      <colorScale>
        <cfvo type="min"/>
        <cfvo type="max"/>
        <color rgb="FFF8696B"/>
        <color rgb="FFFCFCFF"/>
      </colorScale>
    </cfRule>
  </conditionalFormatting>
  <conditionalFormatting sqref="G871:G887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166B7C-BD24-41E8-8539-48EF84FD6A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F198</xm:sqref>
        </x14:conditionalFormatting>
        <x14:conditionalFormatting xmlns:xm="http://schemas.microsoft.com/office/excel/2006/main">
          <x14:cfRule type="dataBar" id="{CB926E46-7044-49C6-A8F1-1951839018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F861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D5E-D485-4606-AF43-DE75CC7EF312}">
  <sheetPr codeName="Planilha2"/>
  <dimension ref="A1:N138"/>
  <sheetViews>
    <sheetView workbookViewId="0">
      <selection activeCell="M62" sqref="M62:M70"/>
    </sheetView>
  </sheetViews>
  <sheetFormatPr defaultColWidth="22.6640625" defaultRowHeight="13.8" x14ac:dyDescent="0.3"/>
  <cols>
    <col min="1" max="2" width="22.6640625" style="856"/>
    <col min="3" max="3" width="32" style="931" customWidth="1"/>
    <col min="4" max="4" width="5.6640625" style="856" bestFit="1" customWidth="1"/>
    <col min="5" max="5" width="17.33203125" style="856" bestFit="1" customWidth="1"/>
    <col min="6" max="6" width="51.88671875" style="930" customWidth="1"/>
    <col min="7" max="7" width="14.77734375" style="856" bestFit="1" customWidth="1"/>
    <col min="8" max="8" width="12.109375" style="856" bestFit="1" customWidth="1"/>
    <col min="9" max="9" width="7.5546875" style="856" bestFit="1" customWidth="1"/>
    <col min="10" max="10" width="22.6640625" style="856"/>
    <col min="11" max="11" width="10.33203125" style="856" bestFit="1" customWidth="1"/>
    <col min="12" max="12" width="11.109375" style="856" bestFit="1" customWidth="1"/>
    <col min="13" max="13" width="7.88671875" style="856" bestFit="1" customWidth="1"/>
    <col min="14" max="16384" width="22.6640625" style="856"/>
  </cols>
  <sheetData>
    <row r="1" spans="1:14" x14ac:dyDescent="0.3">
      <c r="A1" s="912"/>
      <c r="B1" s="913"/>
    </row>
    <row r="2" spans="1:14" x14ac:dyDescent="0.3">
      <c r="A2" s="1140"/>
      <c r="B2" s="1140"/>
      <c r="C2" s="1142" t="s">
        <v>2002</v>
      </c>
      <c r="D2" s="1140" t="s">
        <v>2003</v>
      </c>
      <c r="E2" s="1140"/>
      <c r="F2" s="1140"/>
      <c r="G2" s="1139" t="s">
        <v>2004</v>
      </c>
      <c r="H2" s="1139" t="s">
        <v>1993</v>
      </c>
      <c r="I2" s="1139" t="s">
        <v>1994</v>
      </c>
      <c r="J2" s="1139" t="s">
        <v>1995</v>
      </c>
      <c r="K2" s="856" t="s">
        <v>1996</v>
      </c>
      <c r="L2" s="1140" t="s">
        <v>2006</v>
      </c>
      <c r="M2" s="1140"/>
      <c r="N2" s="1140"/>
    </row>
    <row r="3" spans="1:14" x14ac:dyDescent="0.3">
      <c r="A3" s="1140"/>
      <c r="B3" s="1140"/>
      <c r="C3" s="1142"/>
      <c r="D3" s="1140"/>
      <c r="E3" s="1140"/>
      <c r="F3" s="1140"/>
      <c r="G3" s="1139"/>
      <c r="H3" s="1139"/>
      <c r="I3" s="1139"/>
      <c r="J3" s="1139"/>
      <c r="K3" s="856" t="s">
        <v>1997</v>
      </c>
      <c r="L3" s="1140"/>
      <c r="M3" s="1140"/>
      <c r="N3" s="1140"/>
    </row>
    <row r="4" spans="1:14" x14ac:dyDescent="0.3">
      <c r="A4" s="1140"/>
      <c r="B4" s="1140"/>
      <c r="C4" s="1142"/>
      <c r="D4" s="1140"/>
      <c r="E4" s="1140"/>
      <c r="F4" s="1140"/>
      <c r="G4" s="1139"/>
      <c r="H4" s="1139"/>
      <c r="I4" s="1139"/>
      <c r="J4" s="1139"/>
      <c r="K4" s="914" t="s">
        <v>2005</v>
      </c>
      <c r="L4" s="1140"/>
      <c r="M4" s="1140"/>
      <c r="N4" s="1140"/>
    </row>
    <row r="5" spans="1:14" x14ac:dyDescent="0.3">
      <c r="A5" s="1140"/>
      <c r="B5" s="1140"/>
      <c r="C5" s="1142"/>
      <c r="D5" s="1139" t="s">
        <v>2007</v>
      </c>
      <c r="E5" s="1139" t="s">
        <v>1998</v>
      </c>
      <c r="F5" s="1141" t="s">
        <v>1999</v>
      </c>
      <c r="G5" s="1139"/>
      <c r="H5" s="1139"/>
      <c r="I5" s="1139"/>
      <c r="J5" s="1139"/>
      <c r="K5" s="914"/>
      <c r="L5" s="1139" t="s">
        <v>2000</v>
      </c>
      <c r="M5" s="1139" t="s">
        <v>2001</v>
      </c>
      <c r="N5" s="915"/>
    </row>
    <row r="6" spans="1:14" x14ac:dyDescent="0.3">
      <c r="A6" s="1140"/>
      <c r="B6" s="1140"/>
      <c r="C6" s="1142"/>
      <c r="D6" s="1139"/>
      <c r="E6" s="1139"/>
      <c r="F6" s="1141"/>
      <c r="G6" s="1139"/>
      <c r="H6" s="1139"/>
      <c r="I6" s="1139"/>
      <c r="J6" s="1139"/>
      <c r="K6" s="914"/>
      <c r="L6" s="1139"/>
      <c r="M6" s="1139"/>
      <c r="N6" s="915"/>
    </row>
    <row r="7" spans="1:14" x14ac:dyDescent="0.3">
      <c r="A7" s="916"/>
      <c r="B7" s="917"/>
      <c r="C7" s="932" t="s">
        <v>2008</v>
      </c>
      <c r="D7" s="916">
        <v>341</v>
      </c>
      <c r="E7" s="919" t="s">
        <v>2009</v>
      </c>
      <c r="F7" s="930" t="s">
        <v>198</v>
      </c>
      <c r="G7" s="917"/>
      <c r="H7" s="916" t="s">
        <v>2010</v>
      </c>
      <c r="I7" s="918" t="s">
        <v>2011</v>
      </c>
      <c r="J7" s="920">
        <v>45899</v>
      </c>
      <c r="K7" s="920">
        <v>45997</v>
      </c>
      <c r="L7" s="921">
        <v>4169.6000000000004</v>
      </c>
      <c r="M7" s="921">
        <v>4327.51</v>
      </c>
      <c r="N7" s="915"/>
    </row>
    <row r="8" spans="1:14" x14ac:dyDescent="0.3">
      <c r="A8" s="922"/>
      <c r="B8" s="923"/>
      <c r="C8" s="933" t="s">
        <v>1757</v>
      </c>
      <c r="D8" s="922">
        <v>341</v>
      </c>
      <c r="E8" s="925" t="s">
        <v>2009</v>
      </c>
      <c r="F8" s="930" t="s">
        <v>198</v>
      </c>
      <c r="G8" s="923"/>
      <c r="H8" s="922" t="s">
        <v>2010</v>
      </c>
      <c r="I8" s="924" t="s">
        <v>2011</v>
      </c>
      <c r="J8" s="926">
        <v>45899</v>
      </c>
      <c r="K8" s="926">
        <v>45997</v>
      </c>
      <c r="L8" s="927">
        <v>6274.7</v>
      </c>
      <c r="M8" s="927">
        <v>6513.05</v>
      </c>
      <c r="N8" s="915"/>
    </row>
    <row r="9" spans="1:14" s="949" customFormat="1" x14ac:dyDescent="0.3">
      <c r="A9" s="950"/>
      <c r="B9" s="951"/>
      <c r="C9" s="952" t="s">
        <v>2012</v>
      </c>
      <c r="D9" s="950">
        <v>237</v>
      </c>
      <c r="E9" s="953" t="s">
        <v>2013</v>
      </c>
      <c r="F9" s="944" t="s">
        <v>2014</v>
      </c>
      <c r="G9" s="951">
        <v>29994094</v>
      </c>
      <c r="H9" s="950" t="s">
        <v>2010</v>
      </c>
      <c r="I9" s="954" t="s">
        <v>2011</v>
      </c>
      <c r="J9" s="955">
        <v>45905</v>
      </c>
      <c r="K9" s="955">
        <v>45965</v>
      </c>
      <c r="L9" s="956">
        <v>89</v>
      </c>
      <c r="M9" s="956">
        <v>90.79</v>
      </c>
      <c r="N9" s="948"/>
    </row>
    <row r="10" spans="1:14" s="949" customFormat="1" x14ac:dyDescent="0.3">
      <c r="A10" s="940"/>
      <c r="B10" s="941"/>
      <c r="C10" s="942" t="s">
        <v>2012</v>
      </c>
      <c r="D10" s="940">
        <v>237</v>
      </c>
      <c r="E10" s="943" t="s">
        <v>2013</v>
      </c>
      <c r="F10" s="944" t="s">
        <v>2014</v>
      </c>
      <c r="G10" s="941">
        <v>29994106</v>
      </c>
      <c r="H10" s="940" t="s">
        <v>2010</v>
      </c>
      <c r="I10" s="945" t="s">
        <v>2011</v>
      </c>
      <c r="J10" s="946">
        <v>45905</v>
      </c>
      <c r="K10" s="946">
        <v>45965</v>
      </c>
      <c r="L10" s="947">
        <v>89</v>
      </c>
      <c r="M10" s="947">
        <v>90.79</v>
      </c>
      <c r="N10" s="948"/>
    </row>
    <row r="11" spans="1:14" s="949" customFormat="1" x14ac:dyDescent="0.3">
      <c r="A11" s="950"/>
      <c r="B11" s="951"/>
      <c r="C11" s="952" t="s">
        <v>2012</v>
      </c>
      <c r="D11" s="950">
        <v>237</v>
      </c>
      <c r="E11" s="953" t="s">
        <v>2013</v>
      </c>
      <c r="F11" s="944" t="s">
        <v>2014</v>
      </c>
      <c r="G11" s="951">
        <v>29994118</v>
      </c>
      <c r="H11" s="950" t="s">
        <v>2010</v>
      </c>
      <c r="I11" s="954" t="s">
        <v>2011</v>
      </c>
      <c r="J11" s="955">
        <v>45905</v>
      </c>
      <c r="K11" s="955">
        <v>45965</v>
      </c>
      <c r="L11" s="956">
        <v>89</v>
      </c>
      <c r="M11" s="956">
        <v>90.79</v>
      </c>
      <c r="N11" s="948"/>
    </row>
    <row r="12" spans="1:14" s="949" customFormat="1" x14ac:dyDescent="0.3">
      <c r="A12" s="940"/>
      <c r="B12" s="941"/>
      <c r="C12" s="942" t="s">
        <v>2012</v>
      </c>
      <c r="D12" s="940">
        <v>237</v>
      </c>
      <c r="E12" s="943" t="s">
        <v>2013</v>
      </c>
      <c r="F12" s="944" t="s">
        <v>2014</v>
      </c>
      <c r="G12" s="941">
        <v>29994130</v>
      </c>
      <c r="H12" s="940" t="s">
        <v>2010</v>
      </c>
      <c r="I12" s="945" t="s">
        <v>2011</v>
      </c>
      <c r="J12" s="946">
        <v>45905</v>
      </c>
      <c r="K12" s="946">
        <v>45965</v>
      </c>
      <c r="L12" s="947">
        <v>89</v>
      </c>
      <c r="M12" s="947">
        <v>90.79</v>
      </c>
      <c r="N12" s="948"/>
    </row>
    <row r="13" spans="1:14" s="949" customFormat="1" x14ac:dyDescent="0.3">
      <c r="A13" s="950"/>
      <c r="B13" s="951"/>
      <c r="C13" s="952" t="s">
        <v>2012</v>
      </c>
      <c r="D13" s="950">
        <v>237</v>
      </c>
      <c r="E13" s="953" t="s">
        <v>2013</v>
      </c>
      <c r="F13" s="944" t="s">
        <v>2014</v>
      </c>
      <c r="G13" s="951">
        <v>29994142</v>
      </c>
      <c r="H13" s="950" t="s">
        <v>2010</v>
      </c>
      <c r="I13" s="954" t="s">
        <v>2011</v>
      </c>
      <c r="J13" s="955">
        <v>45905</v>
      </c>
      <c r="K13" s="955">
        <v>45965</v>
      </c>
      <c r="L13" s="956">
        <v>89</v>
      </c>
      <c r="M13" s="956">
        <v>90.79</v>
      </c>
      <c r="N13" s="948"/>
    </row>
    <row r="14" spans="1:14" s="949" customFormat="1" x14ac:dyDescent="0.3">
      <c r="A14" s="940"/>
      <c r="B14" s="941"/>
      <c r="C14" s="942" t="s">
        <v>2012</v>
      </c>
      <c r="D14" s="940">
        <v>237</v>
      </c>
      <c r="E14" s="943" t="s">
        <v>2013</v>
      </c>
      <c r="F14" s="944" t="s">
        <v>2014</v>
      </c>
      <c r="G14" s="941">
        <v>29994154</v>
      </c>
      <c r="H14" s="940" t="s">
        <v>2010</v>
      </c>
      <c r="I14" s="945" t="s">
        <v>2011</v>
      </c>
      <c r="J14" s="946">
        <v>45905</v>
      </c>
      <c r="K14" s="946">
        <v>45965</v>
      </c>
      <c r="L14" s="947">
        <v>89</v>
      </c>
      <c r="M14" s="947">
        <v>90.79</v>
      </c>
      <c r="N14" s="948"/>
    </row>
    <row r="15" spans="1:14" s="949" customFormat="1" x14ac:dyDescent="0.3">
      <c r="A15" s="950"/>
      <c r="B15" s="951"/>
      <c r="C15" s="952" t="s">
        <v>2012</v>
      </c>
      <c r="D15" s="950">
        <v>237</v>
      </c>
      <c r="E15" s="953" t="s">
        <v>2013</v>
      </c>
      <c r="F15" s="944" t="s">
        <v>2014</v>
      </c>
      <c r="G15" s="951">
        <v>29994166</v>
      </c>
      <c r="H15" s="950" t="s">
        <v>2010</v>
      </c>
      <c r="I15" s="954" t="s">
        <v>2011</v>
      </c>
      <c r="J15" s="955">
        <v>45905</v>
      </c>
      <c r="K15" s="955">
        <v>45965</v>
      </c>
      <c r="L15" s="956">
        <v>89</v>
      </c>
      <c r="M15" s="956">
        <v>90.79</v>
      </c>
      <c r="N15" s="948"/>
    </row>
    <row r="16" spans="1:14" s="949" customFormat="1" x14ac:dyDescent="0.3">
      <c r="A16" s="940"/>
      <c r="B16" s="941"/>
      <c r="C16" s="942" t="s">
        <v>2012</v>
      </c>
      <c r="D16" s="940">
        <v>237</v>
      </c>
      <c r="E16" s="943" t="s">
        <v>2013</v>
      </c>
      <c r="F16" s="944" t="s">
        <v>2014</v>
      </c>
      <c r="G16" s="941">
        <v>29994190</v>
      </c>
      <c r="H16" s="940" t="s">
        <v>2010</v>
      </c>
      <c r="I16" s="945" t="s">
        <v>2011</v>
      </c>
      <c r="J16" s="946">
        <v>45905</v>
      </c>
      <c r="K16" s="946">
        <v>45965</v>
      </c>
      <c r="L16" s="947">
        <v>89</v>
      </c>
      <c r="M16" s="947">
        <v>90.79</v>
      </c>
      <c r="N16" s="948"/>
    </row>
    <row r="17" spans="1:14" s="949" customFormat="1" x14ac:dyDescent="0.3">
      <c r="A17" s="950"/>
      <c r="B17" s="951"/>
      <c r="C17" s="952" t="s">
        <v>2012</v>
      </c>
      <c r="D17" s="950">
        <v>237</v>
      </c>
      <c r="E17" s="953" t="s">
        <v>2013</v>
      </c>
      <c r="F17" s="944" t="s">
        <v>2014</v>
      </c>
      <c r="G17" s="951">
        <v>29994178</v>
      </c>
      <c r="H17" s="950" t="s">
        <v>2010</v>
      </c>
      <c r="I17" s="954" t="s">
        <v>2011</v>
      </c>
      <c r="J17" s="955">
        <v>45905</v>
      </c>
      <c r="K17" s="955">
        <v>45965</v>
      </c>
      <c r="L17" s="956">
        <v>89</v>
      </c>
      <c r="M17" s="956">
        <v>90.79</v>
      </c>
      <c r="N17" s="948"/>
    </row>
    <row r="18" spans="1:14" x14ac:dyDescent="0.3">
      <c r="A18" s="922"/>
      <c r="B18" s="923"/>
      <c r="C18" s="933" t="s">
        <v>649</v>
      </c>
      <c r="D18" s="922">
        <v>341</v>
      </c>
      <c r="E18" s="925" t="s">
        <v>2015</v>
      </c>
      <c r="F18" s="930" t="s">
        <v>2016</v>
      </c>
      <c r="G18" s="923">
        <v>309129</v>
      </c>
      <c r="H18" s="922" t="s">
        <v>2010</v>
      </c>
      <c r="I18" s="924" t="s">
        <v>2011</v>
      </c>
      <c r="J18" s="926">
        <v>45910</v>
      </c>
      <c r="K18" s="926">
        <v>49562</v>
      </c>
      <c r="L18" s="929">
        <v>86.4</v>
      </c>
      <c r="M18" s="929">
        <v>93.28</v>
      </c>
      <c r="N18" s="915"/>
    </row>
    <row r="19" spans="1:14" s="949" customFormat="1" x14ac:dyDescent="0.3">
      <c r="A19" s="950"/>
      <c r="B19" s="951"/>
      <c r="C19" s="952" t="s">
        <v>44</v>
      </c>
      <c r="D19" s="950">
        <v>756</v>
      </c>
      <c r="E19" s="953" t="s">
        <v>2017</v>
      </c>
      <c r="F19" s="944" t="s">
        <v>2018</v>
      </c>
      <c r="G19" s="951">
        <v>40829</v>
      </c>
      <c r="H19" s="950" t="s">
        <v>2010</v>
      </c>
      <c r="I19" s="954" t="s">
        <v>2011</v>
      </c>
      <c r="J19" s="955">
        <v>45920</v>
      </c>
      <c r="K19" s="955">
        <v>49559</v>
      </c>
      <c r="L19" s="956">
        <v>45</v>
      </c>
      <c r="M19" s="956">
        <v>46.23</v>
      </c>
      <c r="N19" s="948"/>
    </row>
    <row r="20" spans="1:14" s="949" customFormat="1" x14ac:dyDescent="0.3">
      <c r="A20" s="940"/>
      <c r="B20" s="941"/>
      <c r="C20" s="942" t="s">
        <v>1757</v>
      </c>
      <c r="D20" s="940">
        <v>237</v>
      </c>
      <c r="E20" s="943" t="s">
        <v>2013</v>
      </c>
      <c r="F20" s="944" t="s">
        <v>2014</v>
      </c>
      <c r="G20" s="941">
        <v>30271318</v>
      </c>
      <c r="H20" s="940" t="s">
        <v>2010</v>
      </c>
      <c r="I20" s="945" t="s">
        <v>2011</v>
      </c>
      <c r="J20" s="946">
        <v>45920</v>
      </c>
      <c r="K20" s="946">
        <v>45980</v>
      </c>
      <c r="L20" s="947">
        <v>89</v>
      </c>
      <c r="M20" s="947">
        <v>90.78</v>
      </c>
      <c r="N20" s="948"/>
    </row>
    <row r="21" spans="1:14" x14ac:dyDescent="0.3">
      <c r="A21" s="916"/>
      <c r="B21" s="917"/>
      <c r="C21" s="932" t="s">
        <v>1754</v>
      </c>
      <c r="D21" s="916">
        <v>756</v>
      </c>
      <c r="E21" s="919" t="s">
        <v>2019</v>
      </c>
      <c r="F21" s="934" t="s">
        <v>2020</v>
      </c>
      <c r="G21" s="935" t="s">
        <v>2021</v>
      </c>
      <c r="H21" s="936" t="s">
        <v>2010</v>
      </c>
      <c r="I21" s="937" t="s">
        <v>2011</v>
      </c>
      <c r="J21" s="938">
        <v>45920</v>
      </c>
      <c r="K21" s="938">
        <v>46099</v>
      </c>
      <c r="L21" s="939">
        <v>579.5</v>
      </c>
      <c r="M21" s="939">
        <v>654.77</v>
      </c>
      <c r="N21" s="915"/>
    </row>
    <row r="22" spans="1:14" x14ac:dyDescent="0.3">
      <c r="A22" s="922"/>
      <c r="B22" s="923"/>
      <c r="C22" s="933" t="s">
        <v>1752</v>
      </c>
      <c r="D22" s="922">
        <v>756</v>
      </c>
      <c r="E22" s="925" t="s">
        <v>2019</v>
      </c>
      <c r="F22" s="934" t="s">
        <v>2020</v>
      </c>
      <c r="G22" s="935" t="s">
        <v>2022</v>
      </c>
      <c r="H22" s="936" t="s">
        <v>2010</v>
      </c>
      <c r="I22" s="937" t="s">
        <v>2011</v>
      </c>
      <c r="J22" s="938">
        <v>45920</v>
      </c>
      <c r="K22" s="938">
        <v>46099</v>
      </c>
      <c r="L22" s="939">
        <v>365</v>
      </c>
      <c r="M22" s="939">
        <v>412.4</v>
      </c>
      <c r="N22" s="915"/>
    </row>
    <row r="23" spans="1:14" x14ac:dyDescent="0.3">
      <c r="A23" s="916"/>
      <c r="B23" s="917"/>
      <c r="C23" s="932" t="s">
        <v>1753</v>
      </c>
      <c r="D23" s="916">
        <v>756</v>
      </c>
      <c r="E23" s="919" t="s">
        <v>2019</v>
      </c>
      <c r="F23" s="934" t="s">
        <v>2020</v>
      </c>
      <c r="G23" s="935" t="s">
        <v>2023</v>
      </c>
      <c r="H23" s="936" t="s">
        <v>2010</v>
      </c>
      <c r="I23" s="937" t="s">
        <v>2011</v>
      </c>
      <c r="J23" s="938">
        <v>45920</v>
      </c>
      <c r="K23" s="938">
        <v>46099</v>
      </c>
      <c r="L23" s="939">
        <v>380</v>
      </c>
      <c r="M23" s="939">
        <v>429.35</v>
      </c>
      <c r="N23" s="915"/>
    </row>
    <row r="24" spans="1:14" x14ac:dyDescent="0.3">
      <c r="A24" s="922"/>
      <c r="B24" s="923"/>
      <c r="C24" s="933" t="s">
        <v>1751</v>
      </c>
      <c r="D24" s="922">
        <v>756</v>
      </c>
      <c r="E24" s="925" t="s">
        <v>2019</v>
      </c>
      <c r="F24" s="934" t="s">
        <v>2020</v>
      </c>
      <c r="G24" s="935" t="s">
        <v>2024</v>
      </c>
      <c r="H24" s="936" t="s">
        <v>2010</v>
      </c>
      <c r="I24" s="937" t="s">
        <v>2011</v>
      </c>
      <c r="J24" s="938">
        <v>45920</v>
      </c>
      <c r="K24" s="938">
        <v>46099</v>
      </c>
      <c r="L24" s="939">
        <v>440</v>
      </c>
      <c r="M24" s="939">
        <v>497.15</v>
      </c>
      <c r="N24" s="915"/>
    </row>
    <row r="25" spans="1:14" x14ac:dyDescent="0.3">
      <c r="A25" s="916"/>
      <c r="B25" s="917"/>
      <c r="C25" s="932" t="s">
        <v>1756</v>
      </c>
      <c r="D25" s="916">
        <v>756</v>
      </c>
      <c r="E25" s="919" t="s">
        <v>2019</v>
      </c>
      <c r="F25" s="934" t="s">
        <v>2020</v>
      </c>
      <c r="G25" s="935" t="s">
        <v>2025</v>
      </c>
      <c r="H25" s="936" t="s">
        <v>2010</v>
      </c>
      <c r="I25" s="937" t="s">
        <v>2011</v>
      </c>
      <c r="J25" s="938">
        <v>45920</v>
      </c>
      <c r="K25" s="938">
        <v>46099</v>
      </c>
      <c r="L25" s="939">
        <v>171.12</v>
      </c>
      <c r="M25" s="939">
        <v>193.34</v>
      </c>
      <c r="N25" s="915"/>
    </row>
    <row r="26" spans="1:14" x14ac:dyDescent="0.3">
      <c r="A26" s="922"/>
      <c r="B26" s="923"/>
      <c r="C26" s="933" t="s">
        <v>649</v>
      </c>
      <c r="D26" s="922">
        <v>756</v>
      </c>
      <c r="E26" s="925" t="s">
        <v>2019</v>
      </c>
      <c r="F26" s="934" t="s">
        <v>2020</v>
      </c>
      <c r="G26" s="935" t="s">
        <v>2026</v>
      </c>
      <c r="H26" s="936" t="s">
        <v>2010</v>
      </c>
      <c r="I26" s="937" t="s">
        <v>2011</v>
      </c>
      <c r="J26" s="938">
        <v>45920</v>
      </c>
      <c r="K26" s="938">
        <v>46099</v>
      </c>
      <c r="L26" s="939">
        <v>453.3</v>
      </c>
      <c r="M26" s="939">
        <v>512.16999999999996</v>
      </c>
      <c r="N26" s="915"/>
    </row>
    <row r="27" spans="1:14" x14ac:dyDescent="0.3">
      <c r="A27" s="916"/>
      <c r="B27" s="917"/>
      <c r="C27" s="932" t="s">
        <v>1758</v>
      </c>
      <c r="D27" s="916">
        <v>756</v>
      </c>
      <c r="E27" s="919" t="s">
        <v>2019</v>
      </c>
      <c r="F27" s="934" t="s">
        <v>2020</v>
      </c>
      <c r="G27" s="935" t="s">
        <v>2027</v>
      </c>
      <c r="H27" s="936" t="s">
        <v>2010</v>
      </c>
      <c r="I27" s="937" t="s">
        <v>2011</v>
      </c>
      <c r="J27" s="938">
        <v>45920</v>
      </c>
      <c r="K27" s="938">
        <v>46099</v>
      </c>
      <c r="L27" s="939">
        <v>205.62</v>
      </c>
      <c r="M27" s="939">
        <v>232.32</v>
      </c>
      <c r="N27" s="915"/>
    </row>
    <row r="28" spans="1:14" x14ac:dyDescent="0.3">
      <c r="A28" s="922"/>
      <c r="B28" s="923"/>
      <c r="C28" s="933" t="s">
        <v>1755</v>
      </c>
      <c r="D28" s="922">
        <v>756</v>
      </c>
      <c r="E28" s="925" t="s">
        <v>2019</v>
      </c>
      <c r="F28" s="934" t="s">
        <v>2020</v>
      </c>
      <c r="G28" s="935" t="s">
        <v>2028</v>
      </c>
      <c r="H28" s="936" t="s">
        <v>2010</v>
      </c>
      <c r="I28" s="937" t="s">
        <v>2011</v>
      </c>
      <c r="J28" s="938">
        <v>45920</v>
      </c>
      <c r="K28" s="938">
        <v>46099</v>
      </c>
      <c r="L28" s="939">
        <v>463.37</v>
      </c>
      <c r="M28" s="939">
        <v>523.54</v>
      </c>
      <c r="N28" s="915"/>
    </row>
    <row r="29" spans="1:14" x14ac:dyDescent="0.3">
      <c r="A29" s="916"/>
      <c r="B29" s="917"/>
      <c r="C29" s="932" t="s">
        <v>1757</v>
      </c>
      <c r="D29" s="916">
        <v>756</v>
      </c>
      <c r="E29" s="919" t="s">
        <v>2019</v>
      </c>
      <c r="F29" s="934" t="s">
        <v>2020</v>
      </c>
      <c r="G29" s="935" t="s">
        <v>2029</v>
      </c>
      <c r="H29" s="936" t="s">
        <v>2010</v>
      </c>
      <c r="I29" s="937" t="s">
        <v>2011</v>
      </c>
      <c r="J29" s="938">
        <v>45920</v>
      </c>
      <c r="K29" s="938">
        <v>46099</v>
      </c>
      <c r="L29" s="939">
        <v>579.29</v>
      </c>
      <c r="M29" s="939">
        <v>654.52</v>
      </c>
      <c r="N29" s="915"/>
    </row>
    <row r="30" spans="1:14" x14ac:dyDescent="0.3">
      <c r="A30" s="922"/>
      <c r="B30" s="923"/>
      <c r="C30" s="933" t="s">
        <v>2030</v>
      </c>
      <c r="D30" s="922">
        <v>33</v>
      </c>
      <c r="E30" s="925" t="s">
        <v>2031</v>
      </c>
      <c r="F30" s="930" t="s">
        <v>2032</v>
      </c>
      <c r="G30" s="923">
        <v>217281675</v>
      </c>
      <c r="H30" s="922" t="s">
        <v>2010</v>
      </c>
      <c r="I30" s="924" t="s">
        <v>2011</v>
      </c>
      <c r="J30" s="926">
        <v>45924</v>
      </c>
      <c r="K30" s="926">
        <v>45953</v>
      </c>
      <c r="L30" s="927">
        <v>3405.66</v>
      </c>
      <c r="M30" s="927">
        <v>3506.68</v>
      </c>
      <c r="N30" s="915"/>
    </row>
    <row r="31" spans="1:14" s="949" customFormat="1" x14ac:dyDescent="0.3">
      <c r="A31" s="950"/>
      <c r="B31" s="951"/>
      <c r="C31" s="952" t="s">
        <v>2033</v>
      </c>
      <c r="D31" s="950">
        <v>104</v>
      </c>
      <c r="E31" s="953" t="s">
        <v>2034</v>
      </c>
      <c r="F31" s="944" t="s">
        <v>654</v>
      </c>
      <c r="G31" s="951">
        <v>16020601</v>
      </c>
      <c r="H31" s="950" t="s">
        <v>2010</v>
      </c>
      <c r="I31" s="954" t="s">
        <v>2011</v>
      </c>
      <c r="J31" s="955">
        <v>45929</v>
      </c>
      <c r="K31" s="955">
        <v>45958</v>
      </c>
      <c r="L31" s="957">
        <v>1565.84</v>
      </c>
      <c r="M31" s="957">
        <v>1565.84</v>
      </c>
      <c r="N31" s="948"/>
    </row>
    <row r="32" spans="1:14" s="949" customFormat="1" x14ac:dyDescent="0.3">
      <c r="A32" s="940"/>
      <c r="B32" s="941"/>
      <c r="C32" s="942" t="s">
        <v>1751</v>
      </c>
      <c r="D32" s="940">
        <v>104</v>
      </c>
      <c r="E32" s="943" t="s">
        <v>2034</v>
      </c>
      <c r="F32" s="944" t="s">
        <v>654</v>
      </c>
      <c r="G32" s="941">
        <v>16020699</v>
      </c>
      <c r="H32" s="940" t="s">
        <v>2010</v>
      </c>
      <c r="I32" s="945" t="s">
        <v>2011</v>
      </c>
      <c r="J32" s="946">
        <v>45929</v>
      </c>
      <c r="K32" s="946">
        <v>45958</v>
      </c>
      <c r="L32" s="958">
        <v>3918.45</v>
      </c>
      <c r="M32" s="958">
        <v>3918.45</v>
      </c>
      <c r="N32" s="948"/>
    </row>
    <row r="33" spans="1:14" x14ac:dyDescent="0.3">
      <c r="A33" s="916"/>
      <c r="B33" s="917"/>
      <c r="C33" s="932" t="s">
        <v>2008</v>
      </c>
      <c r="D33" s="916">
        <v>341</v>
      </c>
      <c r="E33" s="919" t="s">
        <v>2009</v>
      </c>
      <c r="F33" s="930" t="s">
        <v>198</v>
      </c>
      <c r="G33" s="917"/>
      <c r="H33" s="916" t="s">
        <v>2010</v>
      </c>
      <c r="I33" s="918" t="s">
        <v>2011</v>
      </c>
      <c r="J33" s="920">
        <v>45930</v>
      </c>
      <c r="K33" s="920">
        <v>46028</v>
      </c>
      <c r="L33" s="921">
        <v>4169.6000000000004</v>
      </c>
      <c r="M33" s="921">
        <v>4284.7299999999996</v>
      </c>
      <c r="N33" s="915"/>
    </row>
    <row r="34" spans="1:14" x14ac:dyDescent="0.3">
      <c r="A34" s="922"/>
      <c r="B34" s="923"/>
      <c r="C34" s="933" t="s">
        <v>1757</v>
      </c>
      <c r="D34" s="922">
        <v>341</v>
      </c>
      <c r="E34" s="925" t="s">
        <v>2009</v>
      </c>
      <c r="F34" s="930" t="s">
        <v>198</v>
      </c>
      <c r="G34" s="923"/>
      <c r="H34" s="922" t="s">
        <v>2010</v>
      </c>
      <c r="I34" s="924" t="s">
        <v>2011</v>
      </c>
      <c r="J34" s="926">
        <v>45930</v>
      </c>
      <c r="K34" s="926">
        <v>46028</v>
      </c>
      <c r="L34" s="927">
        <v>6274.7</v>
      </c>
      <c r="M34" s="927">
        <v>6448.26</v>
      </c>
      <c r="N34" s="915"/>
    </row>
    <row r="35" spans="1:14" x14ac:dyDescent="0.3">
      <c r="A35" s="916"/>
      <c r="B35" s="917"/>
      <c r="C35" s="932" t="s">
        <v>1757</v>
      </c>
      <c r="D35" s="916">
        <v>341</v>
      </c>
      <c r="E35" s="919" t="s">
        <v>2009</v>
      </c>
      <c r="F35" s="930" t="s">
        <v>198</v>
      </c>
      <c r="G35" s="917"/>
      <c r="H35" s="916" t="s">
        <v>2010</v>
      </c>
      <c r="I35" s="918" t="s">
        <v>2011</v>
      </c>
      <c r="J35" s="920">
        <v>45930</v>
      </c>
      <c r="K35" s="920">
        <v>46028</v>
      </c>
      <c r="L35" s="921">
        <v>2684.57</v>
      </c>
      <c r="M35" s="921">
        <v>2758.73</v>
      </c>
      <c r="N35" s="915"/>
    </row>
    <row r="36" spans="1:14" s="949" customFormat="1" x14ac:dyDescent="0.3">
      <c r="A36" s="940"/>
      <c r="B36" s="941"/>
      <c r="C36" s="942" t="s">
        <v>1755</v>
      </c>
      <c r="D36" s="940">
        <v>104</v>
      </c>
      <c r="E36" s="943" t="s">
        <v>2035</v>
      </c>
      <c r="F36" s="944" t="s">
        <v>2036</v>
      </c>
      <c r="G36" s="941">
        <v>606442704</v>
      </c>
      <c r="H36" s="940" t="s">
        <v>2010</v>
      </c>
      <c r="I36" s="945" t="s">
        <v>2011</v>
      </c>
      <c r="J36" s="946">
        <v>45932</v>
      </c>
      <c r="K36" s="946">
        <v>45961</v>
      </c>
      <c r="L36" s="947">
        <v>498.5</v>
      </c>
      <c r="M36" s="947">
        <v>498.5</v>
      </c>
      <c r="N36" s="948"/>
    </row>
    <row r="37" spans="1:14" s="949" customFormat="1" x14ac:dyDescent="0.3">
      <c r="A37" s="950"/>
      <c r="B37" s="951"/>
      <c r="C37" s="952" t="s">
        <v>2012</v>
      </c>
      <c r="D37" s="950">
        <v>237</v>
      </c>
      <c r="E37" s="953" t="s">
        <v>2013</v>
      </c>
      <c r="F37" s="944" t="s">
        <v>2014</v>
      </c>
      <c r="G37" s="951">
        <v>29994107</v>
      </c>
      <c r="H37" s="950" t="s">
        <v>2010</v>
      </c>
      <c r="I37" s="954" t="s">
        <v>2011</v>
      </c>
      <c r="J37" s="955">
        <v>45935</v>
      </c>
      <c r="K37" s="955">
        <v>45995</v>
      </c>
      <c r="L37" s="956">
        <v>89</v>
      </c>
      <c r="M37" s="956">
        <v>90.78</v>
      </c>
      <c r="N37" s="948"/>
    </row>
    <row r="38" spans="1:14" s="949" customFormat="1" x14ac:dyDescent="0.3">
      <c r="A38" s="940"/>
      <c r="B38" s="941"/>
      <c r="C38" s="942" t="s">
        <v>2012</v>
      </c>
      <c r="D38" s="940">
        <v>237</v>
      </c>
      <c r="E38" s="943" t="s">
        <v>2013</v>
      </c>
      <c r="F38" s="944" t="s">
        <v>2014</v>
      </c>
      <c r="G38" s="941">
        <v>29994095</v>
      </c>
      <c r="H38" s="940" t="s">
        <v>2010</v>
      </c>
      <c r="I38" s="945" t="s">
        <v>2011</v>
      </c>
      <c r="J38" s="946">
        <v>45935</v>
      </c>
      <c r="K38" s="946">
        <v>45995</v>
      </c>
      <c r="L38" s="947">
        <v>89</v>
      </c>
      <c r="M38" s="947">
        <v>90.78</v>
      </c>
      <c r="N38" s="948"/>
    </row>
    <row r="39" spans="1:14" s="949" customFormat="1" x14ac:dyDescent="0.3">
      <c r="A39" s="950"/>
      <c r="B39" s="951"/>
      <c r="C39" s="952" t="s">
        <v>2012</v>
      </c>
      <c r="D39" s="950">
        <v>237</v>
      </c>
      <c r="E39" s="953" t="s">
        <v>2013</v>
      </c>
      <c r="F39" s="944" t="s">
        <v>2014</v>
      </c>
      <c r="G39" s="951">
        <v>29994119</v>
      </c>
      <c r="H39" s="950" t="s">
        <v>2010</v>
      </c>
      <c r="I39" s="954" t="s">
        <v>2011</v>
      </c>
      <c r="J39" s="955">
        <v>45935</v>
      </c>
      <c r="K39" s="955">
        <v>45995</v>
      </c>
      <c r="L39" s="956">
        <v>89</v>
      </c>
      <c r="M39" s="956">
        <v>90.78</v>
      </c>
      <c r="N39" s="948"/>
    </row>
    <row r="40" spans="1:14" s="949" customFormat="1" x14ac:dyDescent="0.3">
      <c r="A40" s="940"/>
      <c r="B40" s="941"/>
      <c r="C40" s="942" t="s">
        <v>2012</v>
      </c>
      <c r="D40" s="940">
        <v>237</v>
      </c>
      <c r="E40" s="943" t="s">
        <v>2013</v>
      </c>
      <c r="F40" s="944" t="s">
        <v>2014</v>
      </c>
      <c r="G40" s="941">
        <v>29994131</v>
      </c>
      <c r="H40" s="940" t="s">
        <v>2010</v>
      </c>
      <c r="I40" s="945" t="s">
        <v>2011</v>
      </c>
      <c r="J40" s="946">
        <v>45935</v>
      </c>
      <c r="K40" s="946">
        <v>45995</v>
      </c>
      <c r="L40" s="947">
        <v>89</v>
      </c>
      <c r="M40" s="947">
        <v>90.78</v>
      </c>
      <c r="N40" s="948"/>
    </row>
    <row r="41" spans="1:14" s="949" customFormat="1" x14ac:dyDescent="0.3">
      <c r="A41" s="950"/>
      <c r="B41" s="951"/>
      <c r="C41" s="952" t="s">
        <v>2012</v>
      </c>
      <c r="D41" s="950">
        <v>237</v>
      </c>
      <c r="E41" s="953" t="s">
        <v>2013</v>
      </c>
      <c r="F41" s="944" t="s">
        <v>2014</v>
      </c>
      <c r="G41" s="951">
        <v>29994143</v>
      </c>
      <c r="H41" s="950" t="s">
        <v>2010</v>
      </c>
      <c r="I41" s="954" t="s">
        <v>2011</v>
      </c>
      <c r="J41" s="955">
        <v>45935</v>
      </c>
      <c r="K41" s="955">
        <v>45995</v>
      </c>
      <c r="L41" s="956">
        <v>89</v>
      </c>
      <c r="M41" s="956">
        <v>90.78</v>
      </c>
      <c r="N41" s="948"/>
    </row>
    <row r="42" spans="1:14" s="949" customFormat="1" x14ac:dyDescent="0.3">
      <c r="A42" s="940"/>
      <c r="B42" s="941"/>
      <c r="C42" s="942" t="s">
        <v>2012</v>
      </c>
      <c r="D42" s="940">
        <v>237</v>
      </c>
      <c r="E42" s="943" t="s">
        <v>2013</v>
      </c>
      <c r="F42" s="944" t="s">
        <v>2014</v>
      </c>
      <c r="G42" s="941">
        <v>29994155</v>
      </c>
      <c r="H42" s="940" t="s">
        <v>2010</v>
      </c>
      <c r="I42" s="945" t="s">
        <v>2011</v>
      </c>
      <c r="J42" s="946">
        <v>45935</v>
      </c>
      <c r="K42" s="946">
        <v>45995</v>
      </c>
      <c r="L42" s="947">
        <v>89</v>
      </c>
      <c r="M42" s="947">
        <v>90.78</v>
      </c>
      <c r="N42" s="948"/>
    </row>
    <row r="43" spans="1:14" s="949" customFormat="1" x14ac:dyDescent="0.3">
      <c r="A43" s="950"/>
      <c r="B43" s="951"/>
      <c r="C43" s="952" t="s">
        <v>2012</v>
      </c>
      <c r="D43" s="950">
        <v>237</v>
      </c>
      <c r="E43" s="953" t="s">
        <v>2013</v>
      </c>
      <c r="F43" s="944" t="s">
        <v>2014</v>
      </c>
      <c r="G43" s="951">
        <v>29994167</v>
      </c>
      <c r="H43" s="950" t="s">
        <v>2010</v>
      </c>
      <c r="I43" s="954" t="s">
        <v>2011</v>
      </c>
      <c r="J43" s="955">
        <v>45935</v>
      </c>
      <c r="K43" s="955">
        <v>45995</v>
      </c>
      <c r="L43" s="956">
        <v>89</v>
      </c>
      <c r="M43" s="956">
        <v>90.78</v>
      </c>
      <c r="N43" s="948"/>
    </row>
    <row r="44" spans="1:14" s="949" customFormat="1" x14ac:dyDescent="0.3">
      <c r="A44" s="940"/>
      <c r="B44" s="941"/>
      <c r="C44" s="942" t="s">
        <v>2012</v>
      </c>
      <c r="D44" s="940">
        <v>237</v>
      </c>
      <c r="E44" s="943" t="s">
        <v>2013</v>
      </c>
      <c r="F44" s="944" t="s">
        <v>2014</v>
      </c>
      <c r="G44" s="941">
        <v>29994179</v>
      </c>
      <c r="H44" s="940" t="s">
        <v>2010</v>
      </c>
      <c r="I44" s="945" t="s">
        <v>2011</v>
      </c>
      <c r="J44" s="946">
        <v>45935</v>
      </c>
      <c r="K44" s="946">
        <v>45995</v>
      </c>
      <c r="L44" s="947">
        <v>89</v>
      </c>
      <c r="M44" s="947">
        <v>90.78</v>
      </c>
      <c r="N44" s="948"/>
    </row>
    <row r="45" spans="1:14" s="949" customFormat="1" x14ac:dyDescent="0.3">
      <c r="A45" s="950"/>
      <c r="B45" s="951"/>
      <c r="C45" s="952" t="s">
        <v>2012</v>
      </c>
      <c r="D45" s="950">
        <v>237</v>
      </c>
      <c r="E45" s="953" t="s">
        <v>2013</v>
      </c>
      <c r="F45" s="944" t="s">
        <v>2014</v>
      </c>
      <c r="G45" s="951">
        <v>29994191</v>
      </c>
      <c r="H45" s="950" t="s">
        <v>2010</v>
      </c>
      <c r="I45" s="954" t="s">
        <v>2011</v>
      </c>
      <c r="J45" s="955">
        <v>45935</v>
      </c>
      <c r="K45" s="955">
        <v>45995</v>
      </c>
      <c r="L45" s="956">
        <v>89</v>
      </c>
      <c r="M45" s="956">
        <v>90.78</v>
      </c>
      <c r="N45" s="948"/>
    </row>
    <row r="46" spans="1:14" s="949" customFormat="1" x14ac:dyDescent="0.3">
      <c r="A46" s="940"/>
      <c r="B46" s="941"/>
      <c r="C46" s="942" t="s">
        <v>1757</v>
      </c>
      <c r="D46" s="940">
        <v>748</v>
      </c>
      <c r="E46" s="943" t="s">
        <v>2037</v>
      </c>
      <c r="F46" s="944" t="s">
        <v>2038</v>
      </c>
      <c r="G46" s="941">
        <v>415325</v>
      </c>
      <c r="H46" s="940" t="s">
        <v>2010</v>
      </c>
      <c r="I46" s="945" t="s">
        <v>2011</v>
      </c>
      <c r="J46" s="946">
        <v>45937</v>
      </c>
      <c r="K46" s="946">
        <v>49587</v>
      </c>
      <c r="L46" s="947">
        <v>154.9</v>
      </c>
      <c r="M46" s="947">
        <v>158.79</v>
      </c>
      <c r="N46" s="948"/>
    </row>
    <row r="47" spans="1:14" s="949" customFormat="1" x14ac:dyDescent="0.3">
      <c r="A47" s="950"/>
      <c r="B47" s="951"/>
      <c r="C47" s="952" t="s">
        <v>1757</v>
      </c>
      <c r="D47" s="950">
        <v>748</v>
      </c>
      <c r="E47" s="953" t="s">
        <v>2039</v>
      </c>
      <c r="F47" s="944" t="s">
        <v>2040</v>
      </c>
      <c r="G47" s="951">
        <v>415324</v>
      </c>
      <c r="H47" s="950" t="s">
        <v>2010</v>
      </c>
      <c r="I47" s="954" t="s">
        <v>2011</v>
      </c>
      <c r="J47" s="955">
        <v>45937</v>
      </c>
      <c r="K47" s="955">
        <v>49587</v>
      </c>
      <c r="L47" s="956">
        <v>139.9</v>
      </c>
      <c r="M47" s="956">
        <v>143.49</v>
      </c>
      <c r="N47" s="948"/>
    </row>
    <row r="48" spans="1:14" s="949" customFormat="1" x14ac:dyDescent="0.3">
      <c r="A48" s="940"/>
      <c r="B48" s="941"/>
      <c r="C48" s="942" t="s">
        <v>1752</v>
      </c>
      <c r="D48" s="940">
        <v>104</v>
      </c>
      <c r="E48" s="943" t="s">
        <v>2035</v>
      </c>
      <c r="F48" s="944" t="s">
        <v>2036</v>
      </c>
      <c r="G48" s="941">
        <v>607406560</v>
      </c>
      <c r="H48" s="940" t="s">
        <v>2010</v>
      </c>
      <c r="I48" s="945" t="s">
        <v>2011</v>
      </c>
      <c r="J48" s="946">
        <v>45939</v>
      </c>
      <c r="K48" s="946">
        <v>45968</v>
      </c>
      <c r="L48" s="947">
        <v>498.5</v>
      </c>
      <c r="M48" s="947">
        <v>498.5</v>
      </c>
      <c r="N48" s="948"/>
    </row>
    <row r="49" spans="1:14" s="949" customFormat="1" x14ac:dyDescent="0.3">
      <c r="A49" s="950"/>
      <c r="B49" s="951"/>
      <c r="C49" s="952" t="s">
        <v>1751</v>
      </c>
      <c r="D49" s="950">
        <v>104</v>
      </c>
      <c r="E49" s="953" t="s">
        <v>2035</v>
      </c>
      <c r="F49" s="944" t="s">
        <v>2036</v>
      </c>
      <c r="G49" s="951">
        <v>607406563</v>
      </c>
      <c r="H49" s="950" t="s">
        <v>2010</v>
      </c>
      <c r="I49" s="954" t="s">
        <v>2011</v>
      </c>
      <c r="J49" s="955">
        <v>45939</v>
      </c>
      <c r="K49" s="955">
        <v>45968</v>
      </c>
      <c r="L49" s="956">
        <v>498.5</v>
      </c>
      <c r="M49" s="956">
        <v>498.5</v>
      </c>
      <c r="N49" s="948"/>
    </row>
    <row r="50" spans="1:14" s="949" customFormat="1" x14ac:dyDescent="0.3">
      <c r="A50" s="940"/>
      <c r="B50" s="941"/>
      <c r="C50" s="942" t="s">
        <v>1753</v>
      </c>
      <c r="D50" s="940">
        <v>104</v>
      </c>
      <c r="E50" s="943" t="s">
        <v>2035</v>
      </c>
      <c r="F50" s="944" t="s">
        <v>2036</v>
      </c>
      <c r="G50" s="941">
        <v>607406561</v>
      </c>
      <c r="H50" s="940" t="s">
        <v>2010</v>
      </c>
      <c r="I50" s="945" t="s">
        <v>2011</v>
      </c>
      <c r="J50" s="946">
        <v>45939</v>
      </c>
      <c r="K50" s="946">
        <v>45968</v>
      </c>
      <c r="L50" s="947">
        <v>498.5</v>
      </c>
      <c r="M50" s="947">
        <v>498.5</v>
      </c>
      <c r="N50" s="948"/>
    </row>
    <row r="51" spans="1:14" x14ac:dyDescent="0.3">
      <c r="A51" s="916"/>
      <c r="B51" s="917"/>
      <c r="C51" s="932" t="s">
        <v>649</v>
      </c>
      <c r="D51" s="916">
        <v>341</v>
      </c>
      <c r="E51" s="919" t="s">
        <v>2041</v>
      </c>
      <c r="F51" s="930" t="s">
        <v>2042</v>
      </c>
      <c r="G51" s="917">
        <v>1222093</v>
      </c>
      <c r="H51" s="916" t="s">
        <v>2010</v>
      </c>
      <c r="I51" s="918" t="s">
        <v>2011</v>
      </c>
      <c r="J51" s="920">
        <v>45940</v>
      </c>
      <c r="K51" s="920">
        <v>49592</v>
      </c>
      <c r="L51" s="928">
        <v>183.86</v>
      </c>
      <c r="M51" s="928">
        <v>203.02</v>
      </c>
      <c r="N51" s="915"/>
    </row>
    <row r="52" spans="1:14" x14ac:dyDescent="0.3">
      <c r="A52" s="922"/>
      <c r="B52" s="923"/>
      <c r="C52" s="933" t="s">
        <v>2043</v>
      </c>
      <c r="D52" s="922">
        <v>341</v>
      </c>
      <c r="E52" s="925" t="s">
        <v>2041</v>
      </c>
      <c r="F52" s="930" t="s">
        <v>2042</v>
      </c>
      <c r="G52" s="923">
        <v>1222092</v>
      </c>
      <c r="H52" s="922" t="s">
        <v>2010</v>
      </c>
      <c r="I52" s="924" t="s">
        <v>2011</v>
      </c>
      <c r="J52" s="926">
        <v>45940</v>
      </c>
      <c r="K52" s="926">
        <v>49592</v>
      </c>
      <c r="L52" s="929">
        <v>765.25</v>
      </c>
      <c r="M52" s="929">
        <v>845.15</v>
      </c>
      <c r="N52" s="915"/>
    </row>
    <row r="53" spans="1:14" x14ac:dyDescent="0.3">
      <c r="A53" s="916"/>
      <c r="B53" s="917"/>
      <c r="C53" s="932" t="s">
        <v>1751</v>
      </c>
      <c r="D53" s="916">
        <v>341</v>
      </c>
      <c r="E53" s="919" t="s">
        <v>2041</v>
      </c>
      <c r="F53" s="930" t="s">
        <v>2042</v>
      </c>
      <c r="G53" s="917">
        <v>1222098</v>
      </c>
      <c r="H53" s="916" t="s">
        <v>2010</v>
      </c>
      <c r="I53" s="918" t="s">
        <v>2011</v>
      </c>
      <c r="J53" s="920">
        <v>45940</v>
      </c>
      <c r="K53" s="920">
        <v>49592</v>
      </c>
      <c r="L53" s="921">
        <v>1750.93</v>
      </c>
      <c r="M53" s="921">
        <v>1933.56</v>
      </c>
      <c r="N53" s="915"/>
    </row>
    <row r="54" spans="1:14" x14ac:dyDescent="0.3">
      <c r="A54" s="922"/>
      <c r="B54" s="923"/>
      <c r="C54" s="933" t="s">
        <v>1754</v>
      </c>
      <c r="D54" s="922">
        <v>341</v>
      </c>
      <c r="E54" s="925" t="s">
        <v>2041</v>
      </c>
      <c r="F54" s="930" t="s">
        <v>2042</v>
      </c>
      <c r="G54" s="923">
        <v>1222095</v>
      </c>
      <c r="H54" s="922" t="s">
        <v>2010</v>
      </c>
      <c r="I54" s="924" t="s">
        <v>2011</v>
      </c>
      <c r="J54" s="926">
        <v>45940</v>
      </c>
      <c r="K54" s="926">
        <v>49592</v>
      </c>
      <c r="L54" s="929">
        <v>650.85</v>
      </c>
      <c r="M54" s="929">
        <v>718.79</v>
      </c>
      <c r="N54" s="915"/>
    </row>
    <row r="55" spans="1:14" x14ac:dyDescent="0.3">
      <c r="A55" s="916"/>
      <c r="B55" s="917"/>
      <c r="C55" s="932" t="s">
        <v>2044</v>
      </c>
      <c r="D55" s="916">
        <v>341</v>
      </c>
      <c r="E55" s="919" t="s">
        <v>2041</v>
      </c>
      <c r="F55" s="930" t="s">
        <v>2042</v>
      </c>
      <c r="G55" s="917">
        <v>1222090</v>
      </c>
      <c r="H55" s="916" t="s">
        <v>2010</v>
      </c>
      <c r="I55" s="918" t="s">
        <v>2011</v>
      </c>
      <c r="J55" s="920">
        <v>45940</v>
      </c>
      <c r="K55" s="920">
        <v>49592</v>
      </c>
      <c r="L55" s="928">
        <v>646.16999999999996</v>
      </c>
      <c r="M55" s="928">
        <v>713.64</v>
      </c>
      <c r="N55" s="915"/>
    </row>
    <row r="56" spans="1:14" x14ac:dyDescent="0.3">
      <c r="A56" s="922"/>
      <c r="B56" s="923"/>
      <c r="C56" s="933" t="s">
        <v>1755</v>
      </c>
      <c r="D56" s="922">
        <v>341</v>
      </c>
      <c r="E56" s="925" t="s">
        <v>2041</v>
      </c>
      <c r="F56" s="930" t="s">
        <v>2042</v>
      </c>
      <c r="G56" s="923">
        <v>1222094</v>
      </c>
      <c r="H56" s="922" t="s">
        <v>2010</v>
      </c>
      <c r="I56" s="924" t="s">
        <v>2011</v>
      </c>
      <c r="J56" s="926">
        <v>45940</v>
      </c>
      <c r="K56" s="926">
        <v>49592</v>
      </c>
      <c r="L56" s="927">
        <v>2341.2199999999998</v>
      </c>
      <c r="M56" s="927">
        <v>2585.48</v>
      </c>
      <c r="N56" s="915"/>
    </row>
    <row r="57" spans="1:14" x14ac:dyDescent="0.3">
      <c r="A57" s="916"/>
      <c r="B57" s="917"/>
      <c r="C57" s="932" t="s">
        <v>2012</v>
      </c>
      <c r="D57" s="916">
        <v>341</v>
      </c>
      <c r="E57" s="919" t="s">
        <v>2041</v>
      </c>
      <c r="F57" s="930" t="s">
        <v>2042</v>
      </c>
      <c r="G57" s="917">
        <v>1222091</v>
      </c>
      <c r="H57" s="916" t="s">
        <v>2010</v>
      </c>
      <c r="I57" s="918" t="s">
        <v>2011</v>
      </c>
      <c r="J57" s="920">
        <v>45940</v>
      </c>
      <c r="K57" s="920">
        <v>49592</v>
      </c>
      <c r="L57" s="921">
        <v>1051.5999999999999</v>
      </c>
      <c r="M57" s="921">
        <v>1161.31</v>
      </c>
      <c r="N57" s="915"/>
    </row>
    <row r="58" spans="1:14" x14ac:dyDescent="0.3">
      <c r="A58" s="922"/>
      <c r="B58" s="923"/>
      <c r="C58" s="933" t="s">
        <v>1752</v>
      </c>
      <c r="D58" s="922">
        <v>341</v>
      </c>
      <c r="E58" s="925" t="s">
        <v>2041</v>
      </c>
      <c r="F58" s="930" t="s">
        <v>2042</v>
      </c>
      <c r="G58" s="923">
        <v>1222097</v>
      </c>
      <c r="H58" s="922" t="s">
        <v>2010</v>
      </c>
      <c r="I58" s="924" t="s">
        <v>2011</v>
      </c>
      <c r="J58" s="926">
        <v>45940</v>
      </c>
      <c r="K58" s="926">
        <v>49592</v>
      </c>
      <c r="L58" s="929">
        <v>565.88</v>
      </c>
      <c r="M58" s="929">
        <v>624.92999999999995</v>
      </c>
      <c r="N58" s="915"/>
    </row>
    <row r="59" spans="1:14" x14ac:dyDescent="0.3">
      <c r="A59" s="916"/>
      <c r="B59" s="917"/>
      <c r="C59" s="932" t="s">
        <v>1753</v>
      </c>
      <c r="D59" s="916">
        <v>341</v>
      </c>
      <c r="E59" s="919" t="s">
        <v>2041</v>
      </c>
      <c r="F59" s="930" t="s">
        <v>2042</v>
      </c>
      <c r="G59" s="917">
        <v>1222096</v>
      </c>
      <c r="H59" s="916" t="s">
        <v>2010</v>
      </c>
      <c r="I59" s="918" t="s">
        <v>2011</v>
      </c>
      <c r="J59" s="920">
        <v>45940</v>
      </c>
      <c r="K59" s="920">
        <v>49592</v>
      </c>
      <c r="L59" s="928">
        <v>968.18</v>
      </c>
      <c r="M59" s="921">
        <v>1069.1500000000001</v>
      </c>
      <c r="N59" s="915"/>
    </row>
    <row r="60" spans="1:14" s="949" customFormat="1" x14ac:dyDescent="0.3">
      <c r="A60" s="940"/>
      <c r="B60" s="941"/>
      <c r="C60" s="942" t="s">
        <v>2045</v>
      </c>
      <c r="D60" s="940">
        <v>104</v>
      </c>
      <c r="E60" s="943" t="s">
        <v>2035</v>
      </c>
      <c r="F60" s="944" t="s">
        <v>2036</v>
      </c>
      <c r="G60" s="941">
        <v>14196414</v>
      </c>
      <c r="H60" s="940" t="s">
        <v>2010</v>
      </c>
      <c r="I60" s="945" t="s">
        <v>2011</v>
      </c>
      <c r="J60" s="946">
        <v>45940</v>
      </c>
      <c r="K60" s="946">
        <v>45969</v>
      </c>
      <c r="L60" s="947">
        <v>498.5</v>
      </c>
      <c r="M60" s="947">
        <v>498.5</v>
      </c>
      <c r="N60" s="948"/>
    </row>
    <row r="61" spans="1:14" x14ac:dyDescent="0.3">
      <c r="A61" s="916"/>
      <c r="B61" s="917"/>
      <c r="C61" s="932" t="s">
        <v>2030</v>
      </c>
      <c r="D61" s="916">
        <v>33</v>
      </c>
      <c r="E61" s="919" t="s">
        <v>2031</v>
      </c>
      <c r="F61" s="930" t="s">
        <v>2032</v>
      </c>
      <c r="G61" s="917">
        <v>217461507</v>
      </c>
      <c r="H61" s="916" t="s">
        <v>2010</v>
      </c>
      <c r="I61" s="918" t="s">
        <v>2011</v>
      </c>
      <c r="J61" s="920">
        <v>45941</v>
      </c>
      <c r="K61" s="920">
        <v>45970</v>
      </c>
      <c r="L61" s="928">
        <v>9.9</v>
      </c>
      <c r="M61" s="928">
        <v>10.130000000000001</v>
      </c>
      <c r="N61" s="915"/>
    </row>
    <row r="62" spans="1:14" x14ac:dyDescent="0.3">
      <c r="A62" s="922"/>
      <c r="B62" s="923"/>
      <c r="C62" s="933" t="s">
        <v>649</v>
      </c>
      <c r="D62" s="922">
        <v>1</v>
      </c>
      <c r="E62" s="925" t="s">
        <v>2046</v>
      </c>
      <c r="F62" s="930" t="s">
        <v>2047</v>
      </c>
      <c r="G62" s="923">
        <v>432859</v>
      </c>
      <c r="H62" s="922" t="s">
        <v>2010</v>
      </c>
      <c r="I62" s="924" t="s">
        <v>2011</v>
      </c>
      <c r="J62" s="926">
        <v>45945</v>
      </c>
      <c r="K62" s="926">
        <v>45975</v>
      </c>
      <c r="L62" s="929">
        <v>282.64</v>
      </c>
      <c r="M62" s="929">
        <v>311.62</v>
      </c>
      <c r="N62" s="915"/>
    </row>
    <row r="63" spans="1:14" x14ac:dyDescent="0.3">
      <c r="A63" s="916"/>
      <c r="B63" s="917"/>
      <c r="C63" s="932" t="s">
        <v>1754</v>
      </c>
      <c r="D63" s="916">
        <v>1</v>
      </c>
      <c r="E63" s="919" t="s">
        <v>2046</v>
      </c>
      <c r="F63" s="930" t="s">
        <v>2047</v>
      </c>
      <c r="G63" s="917">
        <v>432853</v>
      </c>
      <c r="H63" s="916" t="s">
        <v>2010</v>
      </c>
      <c r="I63" s="918" t="s">
        <v>2011</v>
      </c>
      <c r="J63" s="920">
        <v>45945</v>
      </c>
      <c r="K63" s="920">
        <v>45975</v>
      </c>
      <c r="L63" s="928">
        <v>741.93</v>
      </c>
      <c r="M63" s="928">
        <v>818.12</v>
      </c>
      <c r="N63" s="915"/>
    </row>
    <row r="64" spans="1:14" x14ac:dyDescent="0.3">
      <c r="A64" s="922"/>
      <c r="B64" s="923"/>
      <c r="C64" s="933" t="s">
        <v>1756</v>
      </c>
      <c r="D64" s="922">
        <v>1</v>
      </c>
      <c r="E64" s="925" t="s">
        <v>2046</v>
      </c>
      <c r="F64" s="930" t="s">
        <v>2047</v>
      </c>
      <c r="G64" s="923">
        <v>432846</v>
      </c>
      <c r="H64" s="922" t="s">
        <v>2010</v>
      </c>
      <c r="I64" s="924" t="s">
        <v>2011</v>
      </c>
      <c r="J64" s="926">
        <v>45945</v>
      </c>
      <c r="K64" s="926">
        <v>45975</v>
      </c>
      <c r="L64" s="929">
        <v>777.26</v>
      </c>
      <c r="M64" s="929">
        <v>857.06</v>
      </c>
      <c r="N64" s="915"/>
    </row>
    <row r="65" spans="1:14" x14ac:dyDescent="0.3">
      <c r="A65" s="916"/>
      <c r="B65" s="917"/>
      <c r="C65" s="932" t="s">
        <v>1755</v>
      </c>
      <c r="D65" s="916">
        <v>1</v>
      </c>
      <c r="E65" s="919" t="s">
        <v>2046</v>
      </c>
      <c r="F65" s="930" t="s">
        <v>2047</v>
      </c>
      <c r="G65" s="917">
        <v>432855</v>
      </c>
      <c r="H65" s="916" t="s">
        <v>2010</v>
      </c>
      <c r="I65" s="918" t="s">
        <v>2011</v>
      </c>
      <c r="J65" s="920">
        <v>45945</v>
      </c>
      <c r="K65" s="920">
        <v>45975</v>
      </c>
      <c r="L65" s="921">
        <v>2155.13</v>
      </c>
      <c r="M65" s="921">
        <v>2376.4</v>
      </c>
      <c r="N65" s="915"/>
    </row>
    <row r="66" spans="1:14" x14ac:dyDescent="0.3">
      <c r="A66" s="922"/>
      <c r="B66" s="923"/>
      <c r="C66" s="933" t="s">
        <v>1753</v>
      </c>
      <c r="D66" s="922">
        <v>1</v>
      </c>
      <c r="E66" s="925" t="s">
        <v>2046</v>
      </c>
      <c r="F66" s="930" t="s">
        <v>2047</v>
      </c>
      <c r="G66" s="923">
        <v>432873</v>
      </c>
      <c r="H66" s="922" t="s">
        <v>2010</v>
      </c>
      <c r="I66" s="924" t="s">
        <v>2011</v>
      </c>
      <c r="J66" s="926">
        <v>45945</v>
      </c>
      <c r="K66" s="926">
        <v>45975</v>
      </c>
      <c r="L66" s="929">
        <v>918.58</v>
      </c>
      <c r="M66" s="927">
        <v>1012.91</v>
      </c>
      <c r="N66" s="915"/>
    </row>
    <row r="67" spans="1:14" x14ac:dyDescent="0.3">
      <c r="A67" s="916"/>
      <c r="B67" s="917"/>
      <c r="C67" s="932" t="s">
        <v>1758</v>
      </c>
      <c r="D67" s="916">
        <v>1</v>
      </c>
      <c r="E67" s="919" t="s">
        <v>2046</v>
      </c>
      <c r="F67" s="930" t="s">
        <v>2047</v>
      </c>
      <c r="G67" s="917">
        <v>432841</v>
      </c>
      <c r="H67" s="916" t="s">
        <v>2010</v>
      </c>
      <c r="I67" s="918" t="s">
        <v>2011</v>
      </c>
      <c r="J67" s="920">
        <v>45945</v>
      </c>
      <c r="K67" s="920">
        <v>45975</v>
      </c>
      <c r="L67" s="928">
        <v>706.6</v>
      </c>
      <c r="M67" s="928">
        <v>779.18</v>
      </c>
      <c r="N67" s="915"/>
    </row>
    <row r="68" spans="1:14" x14ac:dyDescent="0.3">
      <c r="A68" s="922"/>
      <c r="B68" s="923"/>
      <c r="C68" s="933" t="s">
        <v>1752</v>
      </c>
      <c r="D68" s="922">
        <v>1</v>
      </c>
      <c r="E68" s="925" t="s">
        <v>2046</v>
      </c>
      <c r="F68" s="930" t="s">
        <v>2047</v>
      </c>
      <c r="G68" s="923">
        <v>432850</v>
      </c>
      <c r="H68" s="922" t="s">
        <v>2010</v>
      </c>
      <c r="I68" s="924" t="s">
        <v>2011</v>
      </c>
      <c r="J68" s="926">
        <v>45945</v>
      </c>
      <c r="K68" s="926">
        <v>45975</v>
      </c>
      <c r="L68" s="929">
        <v>600.61</v>
      </c>
      <c r="M68" s="929">
        <v>662.27</v>
      </c>
      <c r="N68" s="915"/>
    </row>
    <row r="69" spans="1:14" x14ac:dyDescent="0.3">
      <c r="A69" s="916"/>
      <c r="B69" s="917"/>
      <c r="C69" s="932" t="s">
        <v>1751</v>
      </c>
      <c r="D69" s="916">
        <v>1</v>
      </c>
      <c r="E69" s="919" t="s">
        <v>2046</v>
      </c>
      <c r="F69" s="930" t="s">
        <v>2047</v>
      </c>
      <c r="G69" s="917">
        <v>432867</v>
      </c>
      <c r="H69" s="916" t="s">
        <v>2010</v>
      </c>
      <c r="I69" s="918" t="s">
        <v>2011</v>
      </c>
      <c r="J69" s="920">
        <v>45945</v>
      </c>
      <c r="K69" s="920">
        <v>45975</v>
      </c>
      <c r="L69" s="921">
        <v>1589.85</v>
      </c>
      <c r="M69" s="921">
        <v>1753.07</v>
      </c>
      <c r="N69" s="915"/>
    </row>
    <row r="70" spans="1:14" x14ac:dyDescent="0.3">
      <c r="A70" s="922"/>
      <c r="B70" s="923"/>
      <c r="C70" s="933" t="s">
        <v>1757</v>
      </c>
      <c r="D70" s="922">
        <v>1</v>
      </c>
      <c r="E70" s="925" t="s">
        <v>2046</v>
      </c>
      <c r="F70" s="930" t="s">
        <v>2047</v>
      </c>
      <c r="G70" s="923">
        <v>432878</v>
      </c>
      <c r="H70" s="922" t="s">
        <v>2010</v>
      </c>
      <c r="I70" s="924" t="s">
        <v>2011</v>
      </c>
      <c r="J70" s="926">
        <v>45945</v>
      </c>
      <c r="K70" s="926">
        <v>45975</v>
      </c>
      <c r="L70" s="927">
        <v>1024.57</v>
      </c>
      <c r="M70" s="927">
        <v>1129.74</v>
      </c>
      <c r="N70" s="915"/>
    </row>
    <row r="71" spans="1:14" x14ac:dyDescent="0.3">
      <c r="A71" s="916"/>
      <c r="B71" s="917"/>
      <c r="C71" s="932" t="s">
        <v>2030</v>
      </c>
      <c r="D71" s="916">
        <v>33</v>
      </c>
      <c r="E71" s="919" t="s">
        <v>2031</v>
      </c>
      <c r="F71" s="930" t="s">
        <v>2032</v>
      </c>
      <c r="G71" s="917">
        <v>217416546</v>
      </c>
      <c r="H71" s="916" t="s">
        <v>2010</v>
      </c>
      <c r="I71" s="918" t="s">
        <v>2011</v>
      </c>
      <c r="J71" s="920">
        <v>45945</v>
      </c>
      <c r="K71" s="920">
        <v>45974</v>
      </c>
      <c r="L71" s="921">
        <v>4375.75</v>
      </c>
      <c r="M71" s="921">
        <v>4474.93</v>
      </c>
      <c r="N71" s="915"/>
    </row>
    <row r="72" spans="1:14" s="962" customFormat="1" ht="13.2" customHeight="1" x14ac:dyDescent="0.3">
      <c r="A72" s="936"/>
      <c r="B72" s="935"/>
      <c r="C72" s="959" t="s">
        <v>1756</v>
      </c>
      <c r="D72" s="936">
        <v>341</v>
      </c>
      <c r="E72" s="960" t="s">
        <v>2048</v>
      </c>
      <c r="F72" s="934" t="s">
        <v>2049</v>
      </c>
      <c r="G72" s="935" t="s">
        <v>2050</v>
      </c>
      <c r="H72" s="936" t="s">
        <v>2010</v>
      </c>
      <c r="I72" s="937" t="s">
        <v>2011</v>
      </c>
      <c r="J72" s="938">
        <v>45946</v>
      </c>
      <c r="K72" s="938">
        <v>49598</v>
      </c>
      <c r="L72" s="961">
        <v>1658.93</v>
      </c>
      <c r="M72" s="961">
        <v>1695.95</v>
      </c>
    </row>
    <row r="73" spans="1:14" x14ac:dyDescent="0.3">
      <c r="A73" s="916"/>
      <c r="B73" s="917"/>
      <c r="C73" s="932" t="s">
        <v>1757</v>
      </c>
      <c r="D73" s="916">
        <v>341</v>
      </c>
      <c r="E73" s="919" t="s">
        <v>2051</v>
      </c>
      <c r="F73" s="930" t="s">
        <v>2052</v>
      </c>
      <c r="G73" s="917" t="s">
        <v>2053</v>
      </c>
      <c r="H73" s="916" t="s">
        <v>2010</v>
      </c>
      <c r="I73" s="918" t="s">
        <v>2011</v>
      </c>
      <c r="J73" s="920">
        <v>45946</v>
      </c>
      <c r="K73" s="920">
        <v>49598</v>
      </c>
      <c r="L73" s="928">
        <v>619.96</v>
      </c>
      <c r="M73" s="928">
        <v>634.45000000000005</v>
      </c>
      <c r="N73" s="915"/>
    </row>
    <row r="74" spans="1:14" s="962" customFormat="1" x14ac:dyDescent="0.3">
      <c r="A74" s="936"/>
      <c r="B74" s="935"/>
      <c r="C74" s="959" t="s">
        <v>2033</v>
      </c>
      <c r="D74" s="936">
        <v>212</v>
      </c>
      <c r="E74" s="960" t="s">
        <v>2054</v>
      </c>
      <c r="F74" s="934" t="s">
        <v>2055</v>
      </c>
      <c r="G74" s="935">
        <v>1092112001</v>
      </c>
      <c r="H74" s="936" t="s">
        <v>2010</v>
      </c>
      <c r="I74" s="937" t="s">
        <v>2011</v>
      </c>
      <c r="J74" s="938">
        <v>45946</v>
      </c>
      <c r="K74" s="938">
        <v>46011</v>
      </c>
      <c r="L74" s="939">
        <v>467.6</v>
      </c>
      <c r="M74" s="939">
        <v>477.4</v>
      </c>
    </row>
    <row r="75" spans="1:14" s="962" customFormat="1" x14ac:dyDescent="0.3">
      <c r="A75" s="936"/>
      <c r="B75" s="935"/>
      <c r="C75" s="959" t="s">
        <v>1757</v>
      </c>
      <c r="D75" s="936">
        <v>748</v>
      </c>
      <c r="E75" s="960" t="s">
        <v>2056</v>
      </c>
      <c r="F75" s="934" t="s">
        <v>2057</v>
      </c>
      <c r="G75" s="935" t="s">
        <v>2058</v>
      </c>
      <c r="H75" s="936" t="s">
        <v>2010</v>
      </c>
      <c r="I75" s="937" t="s">
        <v>2011</v>
      </c>
      <c r="J75" s="938">
        <v>45946</v>
      </c>
      <c r="K75" s="938">
        <v>49596</v>
      </c>
      <c r="L75" s="939">
        <v>450</v>
      </c>
      <c r="M75" s="939">
        <v>474</v>
      </c>
    </row>
    <row r="76" spans="1:14" s="949" customFormat="1" x14ac:dyDescent="0.3">
      <c r="A76" s="940"/>
      <c r="B76" s="941"/>
      <c r="C76" s="942" t="s">
        <v>2059</v>
      </c>
      <c r="D76" s="940">
        <v>104</v>
      </c>
      <c r="E76" s="943" t="s">
        <v>2035</v>
      </c>
      <c r="F76" s="944" t="s">
        <v>2036</v>
      </c>
      <c r="G76" s="941">
        <v>608542974</v>
      </c>
      <c r="H76" s="940" t="s">
        <v>2010</v>
      </c>
      <c r="I76" s="945" t="s">
        <v>2011</v>
      </c>
      <c r="J76" s="946">
        <v>45946</v>
      </c>
      <c r="K76" s="946">
        <v>45975</v>
      </c>
      <c r="L76" s="947">
        <v>498.5</v>
      </c>
      <c r="M76" s="947">
        <v>498.5</v>
      </c>
      <c r="N76" s="948"/>
    </row>
    <row r="77" spans="1:14" s="949" customFormat="1" x14ac:dyDescent="0.3">
      <c r="A77" s="950"/>
      <c r="B77" s="951"/>
      <c r="C77" s="952" t="s">
        <v>1758</v>
      </c>
      <c r="D77" s="950">
        <v>461</v>
      </c>
      <c r="E77" s="953" t="s">
        <v>2060</v>
      </c>
      <c r="F77" s="944" t="s">
        <v>2061</v>
      </c>
      <c r="G77" s="951">
        <v>652450499</v>
      </c>
      <c r="H77" s="950" t="s">
        <v>2010</v>
      </c>
      <c r="I77" s="954" t="s">
        <v>2011</v>
      </c>
      <c r="J77" s="955">
        <v>45946</v>
      </c>
      <c r="K77" s="955">
        <v>46087</v>
      </c>
      <c r="L77" s="956">
        <v>928.9</v>
      </c>
      <c r="M77" s="956">
        <v>928.9</v>
      </c>
      <c r="N77" s="948"/>
    </row>
    <row r="78" spans="1:14" s="962" customFormat="1" x14ac:dyDescent="0.3">
      <c r="A78" s="936"/>
      <c r="B78" s="935"/>
      <c r="C78" s="959" t="s">
        <v>1757</v>
      </c>
      <c r="D78" s="936">
        <v>748</v>
      </c>
      <c r="E78" s="960" t="s">
        <v>2062</v>
      </c>
      <c r="F78" s="934" t="s">
        <v>2063</v>
      </c>
      <c r="G78" s="935" t="s">
        <v>2064</v>
      </c>
      <c r="H78" s="936" t="s">
        <v>2010</v>
      </c>
      <c r="I78" s="937" t="s">
        <v>2011</v>
      </c>
      <c r="J78" s="938">
        <v>45947</v>
      </c>
      <c r="K78" s="938">
        <v>49597</v>
      </c>
      <c r="L78" s="939">
        <v>109.06</v>
      </c>
      <c r="M78" s="939">
        <v>113.4</v>
      </c>
    </row>
    <row r="79" spans="1:14" s="962" customFormat="1" x14ac:dyDescent="0.3">
      <c r="A79" s="936"/>
      <c r="B79" s="935"/>
      <c r="C79" s="959" t="s">
        <v>1757</v>
      </c>
      <c r="D79" s="936">
        <v>748</v>
      </c>
      <c r="E79" s="960" t="s">
        <v>2056</v>
      </c>
      <c r="F79" s="934" t="s">
        <v>2057</v>
      </c>
      <c r="G79" s="935" t="s">
        <v>2065</v>
      </c>
      <c r="H79" s="936" t="s">
        <v>2010</v>
      </c>
      <c r="I79" s="937" t="s">
        <v>2011</v>
      </c>
      <c r="J79" s="938">
        <v>45947</v>
      </c>
      <c r="K79" s="938">
        <v>49597</v>
      </c>
      <c r="L79" s="939">
        <v>180</v>
      </c>
      <c r="M79" s="939">
        <v>189</v>
      </c>
    </row>
    <row r="80" spans="1:14" s="962" customFormat="1" x14ac:dyDescent="0.3">
      <c r="A80" s="936"/>
      <c r="B80" s="935"/>
      <c r="C80" s="959" t="s">
        <v>2066</v>
      </c>
      <c r="D80" s="936">
        <v>237</v>
      </c>
      <c r="E80" s="960" t="s">
        <v>2067</v>
      </c>
      <c r="F80" s="934" t="s">
        <v>2068</v>
      </c>
      <c r="G80" s="935" t="s">
        <v>2069</v>
      </c>
      <c r="H80" s="936" t="s">
        <v>2010</v>
      </c>
      <c r="I80" s="937" t="s">
        <v>2011</v>
      </c>
      <c r="J80" s="938">
        <v>45947</v>
      </c>
      <c r="K80" s="938">
        <v>46007</v>
      </c>
      <c r="L80" s="961">
        <v>5460</v>
      </c>
      <c r="M80" s="961">
        <v>6006</v>
      </c>
    </row>
    <row r="81" spans="1:14" s="962" customFormat="1" x14ac:dyDescent="0.3">
      <c r="A81" s="936"/>
      <c r="B81" s="935"/>
      <c r="C81" s="959" t="s">
        <v>2070</v>
      </c>
      <c r="D81" s="936">
        <v>33</v>
      </c>
      <c r="E81" s="960" t="s">
        <v>2071</v>
      </c>
      <c r="F81" s="934" t="s">
        <v>2072</v>
      </c>
      <c r="G81" s="935" t="s">
        <v>2073</v>
      </c>
      <c r="H81" s="936" t="s">
        <v>2010</v>
      </c>
      <c r="I81" s="937" t="s">
        <v>2011</v>
      </c>
      <c r="J81" s="938">
        <v>45947</v>
      </c>
      <c r="K81" s="938">
        <v>46946</v>
      </c>
      <c r="L81" s="961">
        <v>1651.54</v>
      </c>
      <c r="M81" s="961">
        <v>1685.66</v>
      </c>
    </row>
    <row r="82" spans="1:14" s="962" customFormat="1" x14ac:dyDescent="0.3">
      <c r="A82" s="936"/>
      <c r="B82" s="935"/>
      <c r="C82" s="959" t="s">
        <v>2044</v>
      </c>
      <c r="D82" s="936">
        <v>341</v>
      </c>
      <c r="E82" s="960" t="s">
        <v>2074</v>
      </c>
      <c r="F82" s="934" t="s">
        <v>2075</v>
      </c>
      <c r="G82" s="935">
        <v>997343</v>
      </c>
      <c r="H82" s="936" t="s">
        <v>2010</v>
      </c>
      <c r="I82" s="937" t="s">
        <v>2011</v>
      </c>
      <c r="J82" s="938">
        <v>45950</v>
      </c>
      <c r="K82" s="938">
        <v>49602</v>
      </c>
      <c r="L82" s="939">
        <v>39.799999999999997</v>
      </c>
      <c r="M82" s="939">
        <v>40.630000000000003</v>
      </c>
    </row>
    <row r="83" spans="1:14" x14ac:dyDescent="0.3">
      <c r="A83" s="916"/>
      <c r="B83" s="917"/>
      <c r="C83" s="932" t="s">
        <v>1758</v>
      </c>
      <c r="D83" s="916">
        <v>341</v>
      </c>
      <c r="E83" s="919" t="s">
        <v>2051</v>
      </c>
      <c r="F83" s="930" t="s">
        <v>2052</v>
      </c>
      <c r="G83" s="917" t="s">
        <v>2076</v>
      </c>
      <c r="H83" s="916" t="s">
        <v>2010</v>
      </c>
      <c r="I83" s="918" t="s">
        <v>2011</v>
      </c>
      <c r="J83" s="920">
        <v>45950</v>
      </c>
      <c r="K83" s="920">
        <v>49602</v>
      </c>
      <c r="L83" s="921">
        <v>1627.39</v>
      </c>
      <c r="M83" s="921">
        <v>1643.65</v>
      </c>
      <c r="N83" s="915"/>
    </row>
    <row r="84" spans="1:14" x14ac:dyDescent="0.3">
      <c r="A84" s="922"/>
      <c r="B84" s="923"/>
      <c r="C84" s="933" t="s">
        <v>2045</v>
      </c>
      <c r="D84" s="922">
        <v>341</v>
      </c>
      <c r="E84" s="925" t="s">
        <v>2051</v>
      </c>
      <c r="F84" s="930" t="s">
        <v>2052</v>
      </c>
      <c r="G84" s="923" t="s">
        <v>2077</v>
      </c>
      <c r="H84" s="922" t="s">
        <v>2010</v>
      </c>
      <c r="I84" s="924" t="s">
        <v>2011</v>
      </c>
      <c r="J84" s="926">
        <v>45950</v>
      </c>
      <c r="K84" s="926">
        <v>49602</v>
      </c>
      <c r="L84" s="927">
        <v>1162.42</v>
      </c>
      <c r="M84" s="927">
        <v>1174.03</v>
      </c>
      <c r="N84" s="915"/>
    </row>
    <row r="85" spans="1:14" x14ac:dyDescent="0.3">
      <c r="A85" s="916"/>
      <c r="B85" s="917"/>
      <c r="C85" s="932" t="s">
        <v>1755</v>
      </c>
      <c r="D85" s="916">
        <v>341</v>
      </c>
      <c r="E85" s="919" t="s">
        <v>2051</v>
      </c>
      <c r="F85" s="930" t="s">
        <v>2052</v>
      </c>
      <c r="G85" s="917" t="s">
        <v>2078</v>
      </c>
      <c r="H85" s="916" t="s">
        <v>2010</v>
      </c>
      <c r="I85" s="918" t="s">
        <v>2011</v>
      </c>
      <c r="J85" s="920">
        <v>45950</v>
      </c>
      <c r="K85" s="920">
        <v>49602</v>
      </c>
      <c r="L85" s="921">
        <v>3564.77</v>
      </c>
      <c r="M85" s="921">
        <v>3600.41</v>
      </c>
      <c r="N85" s="915"/>
    </row>
    <row r="86" spans="1:14" x14ac:dyDescent="0.3">
      <c r="A86" s="922"/>
      <c r="B86" s="923"/>
      <c r="C86" s="933" t="s">
        <v>1753</v>
      </c>
      <c r="D86" s="922">
        <v>341</v>
      </c>
      <c r="E86" s="925" t="s">
        <v>2051</v>
      </c>
      <c r="F86" s="930" t="s">
        <v>2052</v>
      </c>
      <c r="G86" s="923" t="s">
        <v>2079</v>
      </c>
      <c r="H86" s="922" t="s">
        <v>2010</v>
      </c>
      <c r="I86" s="924" t="s">
        <v>2011</v>
      </c>
      <c r="J86" s="926">
        <v>45950</v>
      </c>
      <c r="K86" s="926">
        <v>49602</v>
      </c>
      <c r="L86" s="927">
        <v>1394.91</v>
      </c>
      <c r="M86" s="927">
        <v>1408.86</v>
      </c>
      <c r="N86" s="915"/>
    </row>
    <row r="87" spans="1:14" x14ac:dyDescent="0.3">
      <c r="A87" s="916"/>
      <c r="B87" s="917"/>
      <c r="C87" s="932" t="s">
        <v>1751</v>
      </c>
      <c r="D87" s="916">
        <v>341</v>
      </c>
      <c r="E87" s="919" t="s">
        <v>2051</v>
      </c>
      <c r="F87" s="930" t="s">
        <v>2052</v>
      </c>
      <c r="G87" s="917" t="s">
        <v>2080</v>
      </c>
      <c r="H87" s="916" t="s">
        <v>2010</v>
      </c>
      <c r="I87" s="918" t="s">
        <v>2011</v>
      </c>
      <c r="J87" s="920">
        <v>45950</v>
      </c>
      <c r="K87" s="920">
        <v>49602</v>
      </c>
      <c r="L87" s="921">
        <v>2479.84</v>
      </c>
      <c r="M87" s="921">
        <v>2504.65</v>
      </c>
      <c r="N87" s="915"/>
    </row>
    <row r="88" spans="1:14" x14ac:dyDescent="0.3">
      <c r="A88" s="922"/>
      <c r="B88" s="923"/>
      <c r="C88" s="933" t="s">
        <v>1752</v>
      </c>
      <c r="D88" s="922">
        <v>341</v>
      </c>
      <c r="E88" s="925" t="s">
        <v>2051</v>
      </c>
      <c r="F88" s="930" t="s">
        <v>2052</v>
      </c>
      <c r="G88" s="923" t="s">
        <v>2081</v>
      </c>
      <c r="H88" s="922" t="s">
        <v>2010</v>
      </c>
      <c r="I88" s="924" t="s">
        <v>2011</v>
      </c>
      <c r="J88" s="926">
        <v>45950</v>
      </c>
      <c r="K88" s="926">
        <v>49602</v>
      </c>
      <c r="L88" s="929">
        <v>929.94</v>
      </c>
      <c r="M88" s="929">
        <v>939.24</v>
      </c>
      <c r="N88" s="915"/>
    </row>
    <row r="89" spans="1:14" x14ac:dyDescent="0.3">
      <c r="A89" s="916"/>
      <c r="B89" s="917"/>
      <c r="C89" s="932" t="s">
        <v>2045</v>
      </c>
      <c r="D89" s="916">
        <v>341</v>
      </c>
      <c r="E89" s="919" t="s">
        <v>2051</v>
      </c>
      <c r="F89" s="930" t="s">
        <v>2052</v>
      </c>
      <c r="G89" s="917" t="s">
        <v>2082</v>
      </c>
      <c r="H89" s="916" t="s">
        <v>2010</v>
      </c>
      <c r="I89" s="918" t="s">
        <v>2011</v>
      </c>
      <c r="J89" s="920">
        <v>45950</v>
      </c>
      <c r="K89" s="920">
        <v>49602</v>
      </c>
      <c r="L89" s="921">
        <v>3099.8</v>
      </c>
      <c r="M89" s="921">
        <v>3130.79</v>
      </c>
      <c r="N89" s="915"/>
    </row>
    <row r="90" spans="1:14" x14ac:dyDescent="0.3">
      <c r="A90" s="922"/>
      <c r="B90" s="923"/>
      <c r="C90" s="933" t="s">
        <v>649</v>
      </c>
      <c r="D90" s="922">
        <v>341</v>
      </c>
      <c r="E90" s="925" t="s">
        <v>2051</v>
      </c>
      <c r="F90" s="930" t="s">
        <v>2052</v>
      </c>
      <c r="G90" s="923" t="s">
        <v>2083</v>
      </c>
      <c r="H90" s="922" t="s">
        <v>2010</v>
      </c>
      <c r="I90" s="924" t="s">
        <v>2011</v>
      </c>
      <c r="J90" s="926">
        <v>45950</v>
      </c>
      <c r="K90" s="926">
        <v>49602</v>
      </c>
      <c r="L90" s="927">
        <v>1239.92</v>
      </c>
      <c r="M90" s="927">
        <v>1252.31</v>
      </c>
      <c r="N90" s="915"/>
    </row>
    <row r="91" spans="1:14" x14ac:dyDescent="0.3">
      <c r="A91" s="916"/>
      <c r="B91" s="917"/>
      <c r="C91" s="932" t="s">
        <v>1754</v>
      </c>
      <c r="D91" s="916">
        <v>341</v>
      </c>
      <c r="E91" s="919" t="s">
        <v>2051</v>
      </c>
      <c r="F91" s="930" t="s">
        <v>2052</v>
      </c>
      <c r="G91" s="917" t="s">
        <v>2084</v>
      </c>
      <c r="H91" s="916" t="s">
        <v>2010</v>
      </c>
      <c r="I91" s="918" t="s">
        <v>2011</v>
      </c>
      <c r="J91" s="920">
        <v>45950</v>
      </c>
      <c r="K91" s="920">
        <v>49602</v>
      </c>
      <c r="L91" s="928">
        <v>697.45</v>
      </c>
      <c r="M91" s="928">
        <v>704.41</v>
      </c>
      <c r="N91" s="915"/>
    </row>
    <row r="92" spans="1:14" x14ac:dyDescent="0.3">
      <c r="A92" s="922"/>
      <c r="B92" s="923"/>
      <c r="C92" s="933" t="s">
        <v>1755</v>
      </c>
      <c r="D92" s="922">
        <v>341</v>
      </c>
      <c r="E92" s="925" t="s">
        <v>2051</v>
      </c>
      <c r="F92" s="930" t="s">
        <v>2052</v>
      </c>
      <c r="G92" s="923" t="s">
        <v>2085</v>
      </c>
      <c r="H92" s="922" t="s">
        <v>2010</v>
      </c>
      <c r="I92" s="924" t="s">
        <v>2011</v>
      </c>
      <c r="J92" s="926">
        <v>45950</v>
      </c>
      <c r="K92" s="926">
        <v>49602</v>
      </c>
      <c r="L92" s="927">
        <v>2867.32</v>
      </c>
      <c r="M92" s="927">
        <v>2896</v>
      </c>
      <c r="N92" s="915"/>
    </row>
    <row r="93" spans="1:14" x14ac:dyDescent="0.3">
      <c r="A93" s="916"/>
      <c r="B93" s="917"/>
      <c r="C93" s="932" t="s">
        <v>1752</v>
      </c>
      <c r="D93" s="916">
        <v>341</v>
      </c>
      <c r="E93" s="919" t="s">
        <v>2051</v>
      </c>
      <c r="F93" s="930" t="s">
        <v>2052</v>
      </c>
      <c r="G93" s="917" t="s">
        <v>2086</v>
      </c>
      <c r="H93" s="916" t="s">
        <v>2010</v>
      </c>
      <c r="I93" s="918" t="s">
        <v>2011</v>
      </c>
      <c r="J93" s="920">
        <v>45950</v>
      </c>
      <c r="K93" s="920">
        <v>49602</v>
      </c>
      <c r="L93" s="928">
        <v>929.94</v>
      </c>
      <c r="M93" s="928">
        <v>939.24</v>
      </c>
      <c r="N93" s="915"/>
    </row>
    <row r="94" spans="1:14" x14ac:dyDescent="0.3">
      <c r="A94" s="922"/>
      <c r="B94" s="923"/>
      <c r="C94" s="933" t="s">
        <v>649</v>
      </c>
      <c r="D94" s="922">
        <v>341</v>
      </c>
      <c r="E94" s="925" t="s">
        <v>2051</v>
      </c>
      <c r="F94" s="930" t="s">
        <v>2052</v>
      </c>
      <c r="G94" s="923" t="s">
        <v>2087</v>
      </c>
      <c r="H94" s="922" t="s">
        <v>2010</v>
      </c>
      <c r="I94" s="924" t="s">
        <v>2011</v>
      </c>
      <c r="J94" s="926">
        <v>45950</v>
      </c>
      <c r="K94" s="926">
        <v>49602</v>
      </c>
      <c r="L94" s="929">
        <v>619.96</v>
      </c>
      <c r="M94" s="929">
        <v>626.16999999999996</v>
      </c>
      <c r="N94" s="915"/>
    </row>
    <row r="95" spans="1:14" x14ac:dyDescent="0.3">
      <c r="A95" s="916"/>
      <c r="B95" s="917"/>
      <c r="C95" s="932" t="s">
        <v>1753</v>
      </c>
      <c r="D95" s="916">
        <v>341</v>
      </c>
      <c r="E95" s="919" t="s">
        <v>2051</v>
      </c>
      <c r="F95" s="930" t="s">
        <v>2052</v>
      </c>
      <c r="G95" s="917" t="s">
        <v>2088</v>
      </c>
      <c r="H95" s="916" t="s">
        <v>2010</v>
      </c>
      <c r="I95" s="918" t="s">
        <v>2011</v>
      </c>
      <c r="J95" s="920">
        <v>45950</v>
      </c>
      <c r="K95" s="920">
        <v>49602</v>
      </c>
      <c r="L95" s="921">
        <v>1239.92</v>
      </c>
      <c r="M95" s="921">
        <v>1252.31</v>
      </c>
      <c r="N95" s="915"/>
    </row>
    <row r="96" spans="1:14" x14ac:dyDescent="0.3">
      <c r="A96" s="922"/>
      <c r="B96" s="923"/>
      <c r="C96" s="933" t="s">
        <v>1751</v>
      </c>
      <c r="D96" s="922">
        <v>341</v>
      </c>
      <c r="E96" s="925" t="s">
        <v>2051</v>
      </c>
      <c r="F96" s="930" t="s">
        <v>2052</v>
      </c>
      <c r="G96" s="923" t="s">
        <v>2089</v>
      </c>
      <c r="H96" s="922" t="s">
        <v>2010</v>
      </c>
      <c r="I96" s="924" t="s">
        <v>2011</v>
      </c>
      <c r="J96" s="926">
        <v>45950</v>
      </c>
      <c r="K96" s="926">
        <v>49602</v>
      </c>
      <c r="L96" s="927">
        <v>2092.37</v>
      </c>
      <c r="M96" s="927">
        <v>2113.2800000000002</v>
      </c>
      <c r="N96" s="915"/>
    </row>
    <row r="97" spans="1:14" x14ac:dyDescent="0.3">
      <c r="A97" s="916"/>
      <c r="B97" s="917"/>
      <c r="C97" s="932" t="s">
        <v>1757</v>
      </c>
      <c r="D97" s="916">
        <v>341</v>
      </c>
      <c r="E97" s="919" t="s">
        <v>2051</v>
      </c>
      <c r="F97" s="930" t="s">
        <v>2052</v>
      </c>
      <c r="G97" s="917" t="s">
        <v>2090</v>
      </c>
      <c r="H97" s="916" t="s">
        <v>2010</v>
      </c>
      <c r="I97" s="918" t="s">
        <v>2011</v>
      </c>
      <c r="J97" s="920">
        <v>45950</v>
      </c>
      <c r="K97" s="920">
        <v>49602</v>
      </c>
      <c r="L97" s="921">
        <v>1472.41</v>
      </c>
      <c r="M97" s="921">
        <v>1487.14</v>
      </c>
      <c r="N97" s="915"/>
    </row>
    <row r="98" spans="1:14" x14ac:dyDescent="0.3">
      <c r="A98" s="922"/>
      <c r="B98" s="923"/>
      <c r="C98" s="933" t="s">
        <v>2045</v>
      </c>
      <c r="D98" s="922">
        <v>341</v>
      </c>
      <c r="E98" s="925" t="s">
        <v>2051</v>
      </c>
      <c r="F98" s="930" t="s">
        <v>2052</v>
      </c>
      <c r="G98" s="923" t="s">
        <v>2091</v>
      </c>
      <c r="H98" s="922" t="s">
        <v>2010</v>
      </c>
      <c r="I98" s="924" t="s">
        <v>2011</v>
      </c>
      <c r="J98" s="926">
        <v>45950</v>
      </c>
      <c r="K98" s="926">
        <v>49602</v>
      </c>
      <c r="L98" s="927">
        <v>1007.44</v>
      </c>
      <c r="M98" s="927">
        <v>1017.52</v>
      </c>
      <c r="N98" s="915"/>
    </row>
    <row r="99" spans="1:14" x14ac:dyDescent="0.3">
      <c r="A99" s="916"/>
      <c r="B99" s="917"/>
      <c r="C99" s="932" t="s">
        <v>2045</v>
      </c>
      <c r="D99" s="916">
        <v>341</v>
      </c>
      <c r="E99" s="919" t="s">
        <v>2051</v>
      </c>
      <c r="F99" s="930" t="s">
        <v>2052</v>
      </c>
      <c r="G99" s="917" t="s">
        <v>2092</v>
      </c>
      <c r="H99" s="916" t="s">
        <v>2010</v>
      </c>
      <c r="I99" s="918" t="s">
        <v>2011</v>
      </c>
      <c r="J99" s="920">
        <v>45950</v>
      </c>
      <c r="K99" s="920">
        <v>49602</v>
      </c>
      <c r="L99" s="921">
        <v>2944.81</v>
      </c>
      <c r="M99" s="921">
        <v>2974.27</v>
      </c>
      <c r="N99" s="915"/>
    </row>
    <row r="100" spans="1:14" x14ac:dyDescent="0.3">
      <c r="A100" s="922"/>
      <c r="B100" s="923"/>
      <c r="C100" s="933" t="s">
        <v>1754</v>
      </c>
      <c r="D100" s="922">
        <v>341</v>
      </c>
      <c r="E100" s="925" t="s">
        <v>2051</v>
      </c>
      <c r="F100" s="930" t="s">
        <v>2052</v>
      </c>
      <c r="G100" s="923" t="s">
        <v>2093</v>
      </c>
      <c r="H100" s="922" t="s">
        <v>2010</v>
      </c>
      <c r="I100" s="924" t="s">
        <v>2011</v>
      </c>
      <c r="J100" s="926">
        <v>45950</v>
      </c>
      <c r="K100" s="926">
        <v>49602</v>
      </c>
      <c r="L100" s="929">
        <v>852.45</v>
      </c>
      <c r="M100" s="929">
        <v>860.97</v>
      </c>
      <c r="N100" s="915"/>
    </row>
    <row r="101" spans="1:14" x14ac:dyDescent="0.3">
      <c r="A101" s="916"/>
      <c r="B101" s="917"/>
      <c r="C101" s="932" t="s">
        <v>1758</v>
      </c>
      <c r="D101" s="916">
        <v>341</v>
      </c>
      <c r="E101" s="919" t="s">
        <v>2051</v>
      </c>
      <c r="F101" s="930" t="s">
        <v>2052</v>
      </c>
      <c r="G101" s="917" t="s">
        <v>2094</v>
      </c>
      <c r="H101" s="916" t="s">
        <v>2010</v>
      </c>
      <c r="I101" s="918" t="s">
        <v>2011</v>
      </c>
      <c r="J101" s="920">
        <v>45950</v>
      </c>
      <c r="K101" s="920">
        <v>49602</v>
      </c>
      <c r="L101" s="921">
        <v>1549.9</v>
      </c>
      <c r="M101" s="921">
        <v>1565.41</v>
      </c>
      <c r="N101" s="915"/>
    </row>
    <row r="102" spans="1:14" s="962" customFormat="1" x14ac:dyDescent="0.3">
      <c r="A102" s="936"/>
      <c r="B102" s="935"/>
      <c r="C102" s="959" t="s">
        <v>1757</v>
      </c>
      <c r="D102" s="936">
        <v>748</v>
      </c>
      <c r="E102" s="960" t="s">
        <v>2095</v>
      </c>
      <c r="F102" s="934" t="s">
        <v>2096</v>
      </c>
      <c r="G102" s="935">
        <v>233440</v>
      </c>
      <c r="H102" s="936" t="s">
        <v>2010</v>
      </c>
      <c r="I102" s="937" t="s">
        <v>2011</v>
      </c>
      <c r="J102" s="938">
        <v>45950</v>
      </c>
      <c r="K102" s="938">
        <v>49600</v>
      </c>
      <c r="L102" s="961">
        <v>1114.33</v>
      </c>
      <c r="M102" s="961">
        <v>1137.72</v>
      </c>
    </row>
    <row r="103" spans="1:14" s="949" customFormat="1" x14ac:dyDescent="0.3">
      <c r="A103" s="950"/>
      <c r="B103" s="951"/>
      <c r="C103" s="952" t="s">
        <v>44</v>
      </c>
      <c r="D103" s="950">
        <v>756</v>
      </c>
      <c r="E103" s="953" t="s">
        <v>2017</v>
      </c>
      <c r="F103" s="944" t="s">
        <v>2018</v>
      </c>
      <c r="G103" s="951">
        <v>40931</v>
      </c>
      <c r="H103" s="950" t="s">
        <v>2010</v>
      </c>
      <c r="I103" s="954" t="s">
        <v>2011</v>
      </c>
      <c r="J103" s="955">
        <v>45950</v>
      </c>
      <c r="K103" s="955">
        <v>49593</v>
      </c>
      <c r="L103" s="956">
        <v>45</v>
      </c>
      <c r="M103" s="956">
        <v>45.93</v>
      </c>
      <c r="N103" s="948"/>
    </row>
    <row r="104" spans="1:14" s="949" customFormat="1" x14ac:dyDescent="0.3">
      <c r="A104" s="940"/>
      <c r="B104" s="941"/>
      <c r="C104" s="942" t="s">
        <v>1757</v>
      </c>
      <c r="D104" s="940">
        <v>237</v>
      </c>
      <c r="E104" s="943" t="s">
        <v>2013</v>
      </c>
      <c r="F104" s="944" t="s">
        <v>2014</v>
      </c>
      <c r="G104" s="941">
        <v>30271319</v>
      </c>
      <c r="H104" s="940" t="s">
        <v>2010</v>
      </c>
      <c r="I104" s="945" t="s">
        <v>2011</v>
      </c>
      <c r="J104" s="946">
        <v>45950</v>
      </c>
      <c r="K104" s="946">
        <v>46010</v>
      </c>
      <c r="L104" s="947">
        <v>89</v>
      </c>
      <c r="M104" s="947">
        <v>90.78</v>
      </c>
      <c r="N104" s="948"/>
    </row>
    <row r="105" spans="1:14" x14ac:dyDescent="0.3">
      <c r="A105" s="916"/>
      <c r="B105" s="917"/>
      <c r="C105" s="932" t="s">
        <v>1754</v>
      </c>
      <c r="D105" s="916">
        <v>401</v>
      </c>
      <c r="E105" s="919" t="s">
        <v>2097</v>
      </c>
      <c r="F105" s="930" t="s">
        <v>2098</v>
      </c>
      <c r="G105" s="917"/>
      <c r="H105" s="916" t="s">
        <v>2010</v>
      </c>
      <c r="I105" s="918" t="s">
        <v>2011</v>
      </c>
      <c r="J105" s="920">
        <v>45950</v>
      </c>
      <c r="K105" s="920">
        <v>45980</v>
      </c>
      <c r="L105" s="921">
        <v>1689.3</v>
      </c>
      <c r="M105" s="921">
        <v>1859.91</v>
      </c>
      <c r="N105" s="915"/>
    </row>
    <row r="106" spans="1:14" x14ac:dyDescent="0.3">
      <c r="A106" s="922"/>
      <c r="B106" s="923"/>
      <c r="C106" s="933" t="s">
        <v>1754</v>
      </c>
      <c r="D106" s="922">
        <v>756</v>
      </c>
      <c r="E106" s="925" t="s">
        <v>2019</v>
      </c>
      <c r="F106" s="930" t="s">
        <v>2020</v>
      </c>
      <c r="G106" s="923" t="s">
        <v>2099</v>
      </c>
      <c r="H106" s="922" t="s">
        <v>2010</v>
      </c>
      <c r="I106" s="924" t="s">
        <v>2011</v>
      </c>
      <c r="J106" s="926">
        <v>45950</v>
      </c>
      <c r="K106" s="926">
        <v>46129</v>
      </c>
      <c r="L106" s="929">
        <v>500</v>
      </c>
      <c r="M106" s="929">
        <v>514.99</v>
      </c>
      <c r="N106" s="915"/>
    </row>
    <row r="107" spans="1:14" x14ac:dyDescent="0.3">
      <c r="A107" s="916"/>
      <c r="B107" s="917"/>
      <c r="C107" s="932" t="s">
        <v>1752</v>
      </c>
      <c r="D107" s="916">
        <v>756</v>
      </c>
      <c r="E107" s="919" t="s">
        <v>2019</v>
      </c>
      <c r="F107" s="930" t="s">
        <v>2020</v>
      </c>
      <c r="G107" s="917" t="s">
        <v>2100</v>
      </c>
      <c r="H107" s="916" t="s">
        <v>2010</v>
      </c>
      <c r="I107" s="918" t="s">
        <v>2011</v>
      </c>
      <c r="J107" s="920">
        <v>45950</v>
      </c>
      <c r="K107" s="920">
        <v>46129</v>
      </c>
      <c r="L107" s="928">
        <v>380</v>
      </c>
      <c r="M107" s="928">
        <v>391.39</v>
      </c>
      <c r="N107" s="915"/>
    </row>
    <row r="108" spans="1:14" x14ac:dyDescent="0.3">
      <c r="A108" s="922"/>
      <c r="B108" s="923"/>
      <c r="C108" s="933" t="s">
        <v>1753</v>
      </c>
      <c r="D108" s="922">
        <v>756</v>
      </c>
      <c r="E108" s="925" t="s">
        <v>2019</v>
      </c>
      <c r="F108" s="930" t="s">
        <v>2020</v>
      </c>
      <c r="G108" s="923" t="s">
        <v>2101</v>
      </c>
      <c r="H108" s="922" t="s">
        <v>2010</v>
      </c>
      <c r="I108" s="924" t="s">
        <v>2011</v>
      </c>
      <c r="J108" s="926">
        <v>45950</v>
      </c>
      <c r="K108" s="926">
        <v>46129</v>
      </c>
      <c r="L108" s="929">
        <v>630</v>
      </c>
      <c r="M108" s="929">
        <v>648.89</v>
      </c>
      <c r="N108" s="915"/>
    </row>
    <row r="109" spans="1:14" x14ac:dyDescent="0.3">
      <c r="A109" s="916"/>
      <c r="B109" s="917"/>
      <c r="C109" s="932" t="s">
        <v>1751</v>
      </c>
      <c r="D109" s="916">
        <v>756</v>
      </c>
      <c r="E109" s="919" t="s">
        <v>2019</v>
      </c>
      <c r="F109" s="930" t="s">
        <v>2020</v>
      </c>
      <c r="G109" s="917" t="s">
        <v>2102</v>
      </c>
      <c r="H109" s="916" t="s">
        <v>2010</v>
      </c>
      <c r="I109" s="918" t="s">
        <v>2011</v>
      </c>
      <c r="J109" s="920">
        <v>45950</v>
      </c>
      <c r="K109" s="920">
        <v>46129</v>
      </c>
      <c r="L109" s="928">
        <v>975</v>
      </c>
      <c r="M109" s="921">
        <v>1004.24</v>
      </c>
      <c r="N109" s="915"/>
    </row>
    <row r="110" spans="1:14" x14ac:dyDescent="0.3">
      <c r="A110" s="922"/>
      <c r="B110" s="923"/>
      <c r="C110" s="933" t="s">
        <v>1756</v>
      </c>
      <c r="D110" s="922">
        <v>756</v>
      </c>
      <c r="E110" s="925" t="s">
        <v>2019</v>
      </c>
      <c r="F110" s="930" t="s">
        <v>2020</v>
      </c>
      <c r="G110" s="923" t="s">
        <v>2025</v>
      </c>
      <c r="H110" s="922" t="s">
        <v>2010</v>
      </c>
      <c r="I110" s="924" t="s">
        <v>2011</v>
      </c>
      <c r="J110" s="926">
        <v>45950</v>
      </c>
      <c r="K110" s="926">
        <v>46129</v>
      </c>
      <c r="L110" s="929">
        <v>281.36</v>
      </c>
      <c r="M110" s="929">
        <v>289.79000000000002</v>
      </c>
      <c r="N110" s="915"/>
    </row>
    <row r="111" spans="1:14" x14ac:dyDescent="0.3">
      <c r="A111" s="916"/>
      <c r="B111" s="917"/>
      <c r="C111" s="932" t="s">
        <v>649</v>
      </c>
      <c r="D111" s="916">
        <v>756</v>
      </c>
      <c r="E111" s="919" t="s">
        <v>2019</v>
      </c>
      <c r="F111" s="930" t="s">
        <v>2020</v>
      </c>
      <c r="G111" s="917" t="s">
        <v>2103</v>
      </c>
      <c r="H111" s="916" t="s">
        <v>2010</v>
      </c>
      <c r="I111" s="918" t="s">
        <v>2011</v>
      </c>
      <c r="J111" s="920">
        <v>45950</v>
      </c>
      <c r="K111" s="920">
        <v>46129</v>
      </c>
      <c r="L111" s="928">
        <v>109.17</v>
      </c>
      <c r="M111" s="928">
        <v>112.44</v>
      </c>
      <c r="N111" s="915"/>
    </row>
    <row r="112" spans="1:14" x14ac:dyDescent="0.3">
      <c r="A112" s="922"/>
      <c r="B112" s="923"/>
      <c r="C112" s="933" t="s">
        <v>1758</v>
      </c>
      <c r="D112" s="922">
        <v>756</v>
      </c>
      <c r="E112" s="925" t="s">
        <v>2019</v>
      </c>
      <c r="F112" s="930" t="s">
        <v>2020</v>
      </c>
      <c r="G112" s="923" t="s">
        <v>2104</v>
      </c>
      <c r="H112" s="922" t="s">
        <v>2010</v>
      </c>
      <c r="I112" s="924" t="s">
        <v>2011</v>
      </c>
      <c r="J112" s="926">
        <v>45950</v>
      </c>
      <c r="K112" s="926">
        <v>46129</v>
      </c>
      <c r="L112" s="929">
        <v>244.73</v>
      </c>
      <c r="M112" s="929">
        <v>252.06</v>
      </c>
      <c r="N112" s="915"/>
    </row>
    <row r="113" spans="1:14" x14ac:dyDescent="0.3">
      <c r="A113" s="916"/>
      <c r="B113" s="917"/>
      <c r="C113" s="932" t="s">
        <v>1755</v>
      </c>
      <c r="D113" s="916">
        <v>756</v>
      </c>
      <c r="E113" s="919" t="s">
        <v>2019</v>
      </c>
      <c r="F113" s="930" t="s">
        <v>2020</v>
      </c>
      <c r="G113" s="917" t="s">
        <v>2105</v>
      </c>
      <c r="H113" s="916" t="s">
        <v>2010</v>
      </c>
      <c r="I113" s="918" t="s">
        <v>2011</v>
      </c>
      <c r="J113" s="920">
        <v>45950</v>
      </c>
      <c r="K113" s="920">
        <v>46129</v>
      </c>
      <c r="L113" s="921">
        <v>1122.19</v>
      </c>
      <c r="M113" s="921">
        <v>1155.8399999999999</v>
      </c>
      <c r="N113" s="915"/>
    </row>
    <row r="114" spans="1:14" x14ac:dyDescent="0.3">
      <c r="A114" s="922"/>
      <c r="B114" s="923"/>
      <c r="C114" s="933" t="s">
        <v>1757</v>
      </c>
      <c r="D114" s="922">
        <v>756</v>
      </c>
      <c r="E114" s="925" t="s">
        <v>2019</v>
      </c>
      <c r="F114" s="930" t="s">
        <v>2020</v>
      </c>
      <c r="G114" s="923" t="s">
        <v>2106</v>
      </c>
      <c r="H114" s="922" t="s">
        <v>2010</v>
      </c>
      <c r="I114" s="924" t="s">
        <v>2011</v>
      </c>
      <c r="J114" s="926">
        <v>45950</v>
      </c>
      <c r="K114" s="926">
        <v>46129</v>
      </c>
      <c r="L114" s="927">
        <v>1061.3800000000001</v>
      </c>
      <c r="M114" s="927">
        <v>1093.2</v>
      </c>
      <c r="N114" s="915"/>
    </row>
    <row r="115" spans="1:14" x14ac:dyDescent="0.3">
      <c r="A115" s="916"/>
      <c r="B115" s="917"/>
      <c r="C115" s="932" t="s">
        <v>1758</v>
      </c>
      <c r="D115" s="916">
        <v>401</v>
      </c>
      <c r="E115" s="919" t="s">
        <v>2097</v>
      </c>
      <c r="F115" s="930" t="s">
        <v>2098</v>
      </c>
      <c r="G115" s="917"/>
      <c r="H115" s="916" t="s">
        <v>2010</v>
      </c>
      <c r="I115" s="918" t="s">
        <v>2011</v>
      </c>
      <c r="J115" s="920">
        <v>45950</v>
      </c>
      <c r="K115" s="920">
        <v>45980</v>
      </c>
      <c r="L115" s="921">
        <v>1689.3</v>
      </c>
      <c r="M115" s="921">
        <v>1859.91</v>
      </c>
      <c r="N115" s="915"/>
    </row>
    <row r="116" spans="1:14" x14ac:dyDescent="0.3">
      <c r="A116" s="922"/>
      <c r="B116" s="923"/>
      <c r="C116" s="933" t="s">
        <v>1756</v>
      </c>
      <c r="D116" s="922">
        <v>401</v>
      </c>
      <c r="E116" s="925" t="s">
        <v>2097</v>
      </c>
      <c r="F116" s="930" t="s">
        <v>2098</v>
      </c>
      <c r="G116" s="923"/>
      <c r="H116" s="922" t="s">
        <v>2010</v>
      </c>
      <c r="I116" s="924" t="s">
        <v>2011</v>
      </c>
      <c r="J116" s="926">
        <v>45950</v>
      </c>
      <c r="K116" s="926">
        <v>45980</v>
      </c>
      <c r="L116" s="927">
        <v>1689.3</v>
      </c>
      <c r="M116" s="927">
        <v>1859.91</v>
      </c>
      <c r="N116" s="915"/>
    </row>
    <row r="117" spans="1:14" x14ac:dyDescent="0.3">
      <c r="A117" s="916"/>
      <c r="B117" s="917"/>
      <c r="C117" s="932" t="s">
        <v>1755</v>
      </c>
      <c r="D117" s="916">
        <v>401</v>
      </c>
      <c r="E117" s="919" t="s">
        <v>2097</v>
      </c>
      <c r="F117" s="930" t="s">
        <v>2098</v>
      </c>
      <c r="G117" s="917"/>
      <c r="H117" s="916" t="s">
        <v>2010</v>
      </c>
      <c r="I117" s="918" t="s">
        <v>2011</v>
      </c>
      <c r="J117" s="920">
        <v>45950</v>
      </c>
      <c r="K117" s="920">
        <v>45980</v>
      </c>
      <c r="L117" s="921">
        <v>1689.3</v>
      </c>
      <c r="M117" s="921">
        <v>1859.91</v>
      </c>
      <c r="N117" s="915"/>
    </row>
    <row r="118" spans="1:14" x14ac:dyDescent="0.3">
      <c r="A118" s="922"/>
      <c r="B118" s="923"/>
      <c r="C118" s="933" t="s">
        <v>649</v>
      </c>
      <c r="D118" s="922">
        <v>401</v>
      </c>
      <c r="E118" s="925" t="s">
        <v>2097</v>
      </c>
      <c r="F118" s="930" t="s">
        <v>2098</v>
      </c>
      <c r="G118" s="923"/>
      <c r="H118" s="922" t="s">
        <v>2010</v>
      </c>
      <c r="I118" s="924" t="s">
        <v>2011</v>
      </c>
      <c r="J118" s="926">
        <v>45950</v>
      </c>
      <c r="K118" s="926">
        <v>45980</v>
      </c>
      <c r="L118" s="927">
        <v>1689.3</v>
      </c>
      <c r="M118" s="927">
        <v>1859.91</v>
      </c>
      <c r="N118" s="915"/>
    </row>
    <row r="119" spans="1:14" x14ac:dyDescent="0.3">
      <c r="A119" s="916"/>
      <c r="B119" s="917"/>
      <c r="C119" s="932" t="s">
        <v>1752</v>
      </c>
      <c r="D119" s="916">
        <v>401</v>
      </c>
      <c r="E119" s="919" t="s">
        <v>2097</v>
      </c>
      <c r="F119" s="930" t="s">
        <v>2098</v>
      </c>
      <c r="G119" s="917"/>
      <c r="H119" s="916" t="s">
        <v>2010</v>
      </c>
      <c r="I119" s="918" t="s">
        <v>2011</v>
      </c>
      <c r="J119" s="920">
        <v>45950</v>
      </c>
      <c r="K119" s="920">
        <v>45980</v>
      </c>
      <c r="L119" s="921">
        <v>1689.3</v>
      </c>
      <c r="M119" s="921">
        <v>1859.91</v>
      </c>
      <c r="N119" s="915"/>
    </row>
    <row r="120" spans="1:14" x14ac:dyDescent="0.3">
      <c r="A120" s="922"/>
      <c r="B120" s="923"/>
      <c r="C120" s="933" t="s">
        <v>1753</v>
      </c>
      <c r="D120" s="922">
        <v>401</v>
      </c>
      <c r="E120" s="925" t="s">
        <v>2097</v>
      </c>
      <c r="F120" s="930" t="s">
        <v>2098</v>
      </c>
      <c r="G120" s="923"/>
      <c r="H120" s="922" t="s">
        <v>2010</v>
      </c>
      <c r="I120" s="924" t="s">
        <v>2011</v>
      </c>
      <c r="J120" s="926">
        <v>45950</v>
      </c>
      <c r="K120" s="926">
        <v>45980</v>
      </c>
      <c r="L120" s="927">
        <v>1689.3</v>
      </c>
      <c r="M120" s="927">
        <v>1859.91</v>
      </c>
      <c r="N120" s="915"/>
    </row>
    <row r="121" spans="1:14" x14ac:dyDescent="0.3">
      <c r="A121" s="916"/>
      <c r="B121" s="917"/>
      <c r="C121" s="932" t="s">
        <v>1751</v>
      </c>
      <c r="D121" s="916">
        <v>401</v>
      </c>
      <c r="E121" s="919" t="s">
        <v>2097</v>
      </c>
      <c r="F121" s="930" t="s">
        <v>2098</v>
      </c>
      <c r="G121" s="917"/>
      <c r="H121" s="916" t="s">
        <v>2010</v>
      </c>
      <c r="I121" s="918" t="s">
        <v>2011</v>
      </c>
      <c r="J121" s="920">
        <v>45950</v>
      </c>
      <c r="K121" s="920">
        <v>45980</v>
      </c>
      <c r="L121" s="921">
        <v>1689.3</v>
      </c>
      <c r="M121" s="921">
        <v>1859.91</v>
      </c>
      <c r="N121" s="915"/>
    </row>
    <row r="122" spans="1:14" x14ac:dyDescent="0.3">
      <c r="A122" s="922"/>
      <c r="B122" s="923"/>
      <c r="C122" s="933" t="s">
        <v>1757</v>
      </c>
      <c r="D122" s="922">
        <v>401</v>
      </c>
      <c r="E122" s="925" t="s">
        <v>2097</v>
      </c>
      <c r="F122" s="930" t="s">
        <v>2098</v>
      </c>
      <c r="G122" s="923"/>
      <c r="H122" s="922" t="s">
        <v>2010</v>
      </c>
      <c r="I122" s="924" t="s">
        <v>2011</v>
      </c>
      <c r="J122" s="926">
        <v>45950</v>
      </c>
      <c r="K122" s="926">
        <v>45980</v>
      </c>
      <c r="L122" s="927">
        <v>2346.25</v>
      </c>
      <c r="M122" s="927">
        <v>2583.21</v>
      </c>
      <c r="N122" s="915"/>
    </row>
    <row r="123" spans="1:14" s="949" customFormat="1" x14ac:dyDescent="0.3">
      <c r="A123" s="950"/>
      <c r="B123" s="951"/>
      <c r="C123" s="952" t="s">
        <v>1571</v>
      </c>
      <c r="D123" s="950">
        <v>341</v>
      </c>
      <c r="E123" s="953" t="s">
        <v>2107</v>
      </c>
      <c r="F123" s="944" t="s">
        <v>2108</v>
      </c>
      <c r="G123" s="951"/>
      <c r="H123" s="950" t="s">
        <v>2010</v>
      </c>
      <c r="I123" s="954" t="s">
        <v>2011</v>
      </c>
      <c r="J123" s="955">
        <v>45951</v>
      </c>
      <c r="K123" s="955">
        <v>49603</v>
      </c>
      <c r="L123" s="956">
        <v>338.32</v>
      </c>
      <c r="M123" s="956">
        <v>341.92</v>
      </c>
      <c r="N123" s="948"/>
    </row>
    <row r="124" spans="1:14" s="962" customFormat="1" x14ac:dyDescent="0.3">
      <c r="A124" s="936"/>
      <c r="B124" s="935"/>
      <c r="C124" s="959" t="s">
        <v>1757</v>
      </c>
      <c r="D124" s="936">
        <v>748</v>
      </c>
      <c r="E124" s="960" t="s">
        <v>2062</v>
      </c>
      <c r="F124" s="934" t="s">
        <v>2063</v>
      </c>
      <c r="G124" s="935" t="s">
        <v>2109</v>
      </c>
      <c r="H124" s="936" t="s">
        <v>2010</v>
      </c>
      <c r="I124" s="937" t="s">
        <v>2011</v>
      </c>
      <c r="J124" s="938">
        <v>45951</v>
      </c>
      <c r="K124" s="938">
        <v>49601</v>
      </c>
      <c r="L124" s="939">
        <v>84.56</v>
      </c>
      <c r="M124" s="939">
        <v>86.81</v>
      </c>
    </row>
    <row r="125" spans="1:14" s="949" customFormat="1" x14ac:dyDescent="0.3">
      <c r="A125" s="950"/>
      <c r="B125" s="951"/>
      <c r="C125" s="952" t="s">
        <v>1758</v>
      </c>
      <c r="D125" s="950">
        <v>237</v>
      </c>
      <c r="E125" s="953" t="s">
        <v>2110</v>
      </c>
      <c r="F125" s="944" t="s">
        <v>2111</v>
      </c>
      <c r="G125" s="951">
        <v>668193778</v>
      </c>
      <c r="H125" s="950" t="s">
        <v>2112</v>
      </c>
      <c r="I125" s="954" t="s">
        <v>2011</v>
      </c>
      <c r="J125" s="955">
        <v>45951</v>
      </c>
      <c r="K125" s="955">
        <v>45951</v>
      </c>
      <c r="L125" s="956">
        <v>619.79999999999995</v>
      </c>
      <c r="M125" s="950" t="s">
        <v>1926</v>
      </c>
      <c r="N125" s="948"/>
    </row>
    <row r="126" spans="1:14" s="949" customFormat="1" x14ac:dyDescent="0.3">
      <c r="A126" s="940"/>
      <c r="B126" s="941"/>
      <c r="C126" s="942" t="s">
        <v>1757</v>
      </c>
      <c r="D126" s="940">
        <v>237</v>
      </c>
      <c r="E126" s="943" t="s">
        <v>2110</v>
      </c>
      <c r="F126" s="944" t="s">
        <v>2111</v>
      </c>
      <c r="G126" s="941">
        <v>668193780</v>
      </c>
      <c r="H126" s="940" t="s">
        <v>2112</v>
      </c>
      <c r="I126" s="945" t="s">
        <v>2011</v>
      </c>
      <c r="J126" s="946">
        <v>45951</v>
      </c>
      <c r="K126" s="946">
        <v>45951</v>
      </c>
      <c r="L126" s="947">
        <v>619.79999999999995</v>
      </c>
      <c r="M126" s="940" t="s">
        <v>1926</v>
      </c>
      <c r="N126" s="948"/>
    </row>
    <row r="127" spans="1:14" s="949" customFormat="1" x14ac:dyDescent="0.3">
      <c r="A127" s="950"/>
      <c r="B127" s="951"/>
      <c r="C127" s="952" t="s">
        <v>1756</v>
      </c>
      <c r="D127" s="950">
        <v>237</v>
      </c>
      <c r="E127" s="953" t="s">
        <v>2110</v>
      </c>
      <c r="F127" s="944" t="s">
        <v>2111</v>
      </c>
      <c r="G127" s="951">
        <v>668193779</v>
      </c>
      <c r="H127" s="950" t="s">
        <v>2112</v>
      </c>
      <c r="I127" s="954" t="s">
        <v>2011</v>
      </c>
      <c r="J127" s="955">
        <v>45951</v>
      </c>
      <c r="K127" s="955">
        <v>45951</v>
      </c>
      <c r="L127" s="956">
        <v>619.79999999999995</v>
      </c>
      <c r="M127" s="950" t="s">
        <v>1926</v>
      </c>
      <c r="N127" s="948"/>
    </row>
    <row r="128" spans="1:14" s="949" customFormat="1" x14ac:dyDescent="0.3">
      <c r="A128" s="940"/>
      <c r="B128" s="941"/>
      <c r="C128" s="942" t="s">
        <v>1755</v>
      </c>
      <c r="D128" s="940">
        <v>237</v>
      </c>
      <c r="E128" s="943" t="s">
        <v>2110</v>
      </c>
      <c r="F128" s="944" t="s">
        <v>2111</v>
      </c>
      <c r="G128" s="941">
        <v>668193782</v>
      </c>
      <c r="H128" s="940" t="s">
        <v>2112</v>
      </c>
      <c r="I128" s="945" t="s">
        <v>2011</v>
      </c>
      <c r="J128" s="946">
        <v>45951</v>
      </c>
      <c r="K128" s="946">
        <v>45951</v>
      </c>
      <c r="L128" s="947">
        <v>619.79999999999995</v>
      </c>
      <c r="M128" s="940" t="s">
        <v>1926</v>
      </c>
      <c r="N128" s="948"/>
    </row>
    <row r="129" spans="1:14" s="949" customFormat="1" x14ac:dyDescent="0.3">
      <c r="A129" s="950"/>
      <c r="B129" s="951"/>
      <c r="C129" s="952" t="s">
        <v>649</v>
      </c>
      <c r="D129" s="950">
        <v>237</v>
      </c>
      <c r="E129" s="953" t="s">
        <v>2110</v>
      </c>
      <c r="F129" s="944" t="s">
        <v>2111</v>
      </c>
      <c r="G129" s="951">
        <v>668193781</v>
      </c>
      <c r="H129" s="950" t="s">
        <v>2112</v>
      </c>
      <c r="I129" s="954" t="s">
        <v>2011</v>
      </c>
      <c r="J129" s="955">
        <v>45951</v>
      </c>
      <c r="K129" s="955">
        <v>45951</v>
      </c>
      <c r="L129" s="956">
        <v>619.79999999999995</v>
      </c>
      <c r="M129" s="950" t="s">
        <v>1926</v>
      </c>
      <c r="N129" s="948"/>
    </row>
    <row r="130" spans="1:14" s="949" customFormat="1" x14ac:dyDescent="0.3">
      <c r="A130" s="940"/>
      <c r="B130" s="941"/>
      <c r="C130" s="942" t="s">
        <v>1751</v>
      </c>
      <c r="D130" s="940">
        <v>237</v>
      </c>
      <c r="E130" s="943" t="s">
        <v>2110</v>
      </c>
      <c r="F130" s="944" t="s">
        <v>2111</v>
      </c>
      <c r="G130" s="941">
        <v>668193784</v>
      </c>
      <c r="H130" s="940" t="s">
        <v>2112</v>
      </c>
      <c r="I130" s="945" t="s">
        <v>2011</v>
      </c>
      <c r="J130" s="946">
        <v>45951</v>
      </c>
      <c r="K130" s="946">
        <v>45951</v>
      </c>
      <c r="L130" s="947">
        <v>619.79999999999995</v>
      </c>
      <c r="M130" s="940" t="s">
        <v>1926</v>
      </c>
      <c r="N130" s="948"/>
    </row>
    <row r="131" spans="1:14" s="949" customFormat="1" x14ac:dyDescent="0.3">
      <c r="A131" s="950"/>
      <c r="B131" s="951"/>
      <c r="C131" s="952" t="s">
        <v>1753</v>
      </c>
      <c r="D131" s="950">
        <v>237</v>
      </c>
      <c r="E131" s="953" t="s">
        <v>2110</v>
      </c>
      <c r="F131" s="944" t="s">
        <v>2111</v>
      </c>
      <c r="G131" s="951">
        <v>668193783</v>
      </c>
      <c r="H131" s="950" t="s">
        <v>2112</v>
      </c>
      <c r="I131" s="954" t="s">
        <v>2011</v>
      </c>
      <c r="J131" s="955">
        <v>45951</v>
      </c>
      <c r="K131" s="955">
        <v>45951</v>
      </c>
      <c r="L131" s="956">
        <v>619.79999999999995</v>
      </c>
      <c r="M131" s="950" t="s">
        <v>1926</v>
      </c>
      <c r="N131" s="948"/>
    </row>
    <row r="132" spans="1:14" s="949" customFormat="1" x14ac:dyDescent="0.3">
      <c r="A132" s="940"/>
      <c r="B132" s="941"/>
      <c r="C132" s="942" t="s">
        <v>1752</v>
      </c>
      <c r="D132" s="940">
        <v>237</v>
      </c>
      <c r="E132" s="943" t="s">
        <v>2110</v>
      </c>
      <c r="F132" s="944" t="s">
        <v>2111</v>
      </c>
      <c r="G132" s="941">
        <v>668193785</v>
      </c>
      <c r="H132" s="940" t="s">
        <v>2112</v>
      </c>
      <c r="I132" s="945" t="s">
        <v>2011</v>
      </c>
      <c r="J132" s="946">
        <v>45951</v>
      </c>
      <c r="K132" s="946">
        <v>45951</v>
      </c>
      <c r="L132" s="947">
        <v>619.79999999999995</v>
      </c>
      <c r="M132" s="940" t="s">
        <v>1926</v>
      </c>
      <c r="N132" s="948"/>
    </row>
    <row r="133" spans="1:14" s="949" customFormat="1" x14ac:dyDescent="0.3">
      <c r="A133" s="950"/>
      <c r="B133" s="951"/>
      <c r="C133" s="952" t="s">
        <v>649</v>
      </c>
      <c r="D133" s="950">
        <v>237</v>
      </c>
      <c r="E133" s="953" t="s">
        <v>2113</v>
      </c>
      <c r="F133" s="944" t="s">
        <v>2114</v>
      </c>
      <c r="G133" s="951">
        <v>1018544186</v>
      </c>
      <c r="H133" s="950" t="s">
        <v>2112</v>
      </c>
      <c r="I133" s="954" t="s">
        <v>2011</v>
      </c>
      <c r="J133" s="955">
        <v>45951</v>
      </c>
      <c r="K133" s="955">
        <v>45951</v>
      </c>
      <c r="L133" s="956">
        <v>638.20000000000005</v>
      </c>
      <c r="M133" s="950" t="s">
        <v>1926</v>
      </c>
      <c r="N133" s="948"/>
    </row>
    <row r="134" spans="1:14" s="949" customFormat="1" x14ac:dyDescent="0.3">
      <c r="A134" s="940"/>
      <c r="B134" s="941"/>
      <c r="C134" s="942" t="s">
        <v>1758</v>
      </c>
      <c r="D134" s="940">
        <v>1</v>
      </c>
      <c r="E134" s="943" t="s">
        <v>2115</v>
      </c>
      <c r="F134" s="944" t="s">
        <v>2116</v>
      </c>
      <c r="G134" s="941">
        <v>50925</v>
      </c>
      <c r="H134" s="940" t="s">
        <v>2112</v>
      </c>
      <c r="I134" s="945" t="s">
        <v>2011</v>
      </c>
      <c r="J134" s="946">
        <v>45952</v>
      </c>
      <c r="K134" s="946">
        <v>45952</v>
      </c>
      <c r="L134" s="947">
        <v>249</v>
      </c>
      <c r="M134" s="940" t="s">
        <v>1926</v>
      </c>
      <c r="N134" s="948"/>
    </row>
    <row r="135" spans="1:14" s="962" customFormat="1" x14ac:dyDescent="0.3">
      <c r="A135" s="936"/>
      <c r="B135" s="935"/>
      <c r="C135" s="959" t="s">
        <v>1757</v>
      </c>
      <c r="D135" s="936">
        <v>748</v>
      </c>
      <c r="E135" s="960" t="s">
        <v>2062</v>
      </c>
      <c r="F135" s="934" t="s">
        <v>2063</v>
      </c>
      <c r="G135" s="935" t="s">
        <v>2117</v>
      </c>
      <c r="H135" s="936" t="s">
        <v>2010</v>
      </c>
      <c r="I135" s="937" t="s">
        <v>2011</v>
      </c>
      <c r="J135" s="938">
        <v>45952</v>
      </c>
      <c r="K135" s="938">
        <v>49602</v>
      </c>
      <c r="L135" s="939">
        <v>65.13</v>
      </c>
      <c r="M135" s="939">
        <v>66.64</v>
      </c>
    </row>
    <row r="136" spans="1:14" s="962" customFormat="1" x14ac:dyDescent="0.3">
      <c r="A136" s="936"/>
      <c r="B136" s="935"/>
      <c r="C136" s="959" t="s">
        <v>1753</v>
      </c>
      <c r="D136" s="936">
        <v>237</v>
      </c>
      <c r="E136" s="960" t="s">
        <v>2118</v>
      </c>
      <c r="F136" s="934" t="s">
        <v>2119</v>
      </c>
      <c r="G136" s="935" t="s">
        <v>2120</v>
      </c>
      <c r="H136" s="936" t="s">
        <v>2010</v>
      </c>
      <c r="I136" s="937" t="s">
        <v>2011</v>
      </c>
      <c r="J136" s="938">
        <v>45952</v>
      </c>
      <c r="K136" s="938">
        <v>46012</v>
      </c>
      <c r="L136" s="939">
        <v>643.77</v>
      </c>
      <c r="M136" s="939">
        <v>680.24</v>
      </c>
    </row>
    <row r="137" spans="1:14" s="962" customFormat="1" x14ac:dyDescent="0.3">
      <c r="A137" s="936"/>
      <c r="B137" s="935"/>
      <c r="C137" s="959" t="s">
        <v>2121</v>
      </c>
      <c r="D137" s="936">
        <v>422</v>
      </c>
      <c r="E137" s="960" t="s">
        <v>2122</v>
      </c>
      <c r="F137" s="934" t="s">
        <v>2123</v>
      </c>
      <c r="G137" s="935">
        <v>25419501</v>
      </c>
      <c r="H137" s="936" t="s">
        <v>2010</v>
      </c>
      <c r="I137" s="937" t="s">
        <v>2011</v>
      </c>
      <c r="J137" s="938">
        <v>45952</v>
      </c>
      <c r="K137" s="938">
        <v>46042</v>
      </c>
      <c r="L137" s="961">
        <v>1420.97</v>
      </c>
      <c r="M137" s="961">
        <v>1423.33</v>
      </c>
    </row>
    <row r="138" spans="1:14" s="962" customFormat="1" x14ac:dyDescent="0.3">
      <c r="A138" s="936"/>
      <c r="B138" s="935"/>
      <c r="C138" s="959" t="s">
        <v>2124</v>
      </c>
      <c r="D138" s="936">
        <v>748</v>
      </c>
      <c r="E138" s="960" t="s">
        <v>2125</v>
      </c>
      <c r="F138" s="934" t="s">
        <v>2126</v>
      </c>
      <c r="G138" s="935" t="s">
        <v>2127</v>
      </c>
      <c r="H138" s="936" t="s">
        <v>2010</v>
      </c>
      <c r="I138" s="937" t="s">
        <v>2011</v>
      </c>
      <c r="J138" s="938">
        <v>45952</v>
      </c>
      <c r="K138" s="938">
        <v>49602</v>
      </c>
      <c r="L138" s="939">
        <v>427.46</v>
      </c>
      <c r="M138" s="939">
        <v>440.27</v>
      </c>
    </row>
  </sheetData>
  <mergeCells count="14">
    <mergeCell ref="A2:A6"/>
    <mergeCell ref="B2:B6"/>
    <mergeCell ref="C2:C6"/>
    <mergeCell ref="D2:F4"/>
    <mergeCell ref="G2:G6"/>
    <mergeCell ref="I2:I6"/>
    <mergeCell ref="J2:J6"/>
    <mergeCell ref="L2:N4"/>
    <mergeCell ref="D5:D6"/>
    <mergeCell ref="E5:E6"/>
    <mergeCell ref="F5:F6"/>
    <mergeCell ref="L5:L6"/>
    <mergeCell ref="M5:M6"/>
    <mergeCell ref="H2:H6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29832" r:id="rId3" name="Control 136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60960</xdr:rowOff>
              </to>
            </anchor>
          </controlPr>
        </control>
      </mc:Choice>
      <mc:Fallback>
        <control shapeId="29832" r:id="rId3" name="Control 136"/>
      </mc:Fallback>
    </mc:AlternateContent>
    <mc:AlternateContent xmlns:mc="http://schemas.openxmlformats.org/markup-compatibility/2006">
      <mc:Choice Requires="x14">
        <control shapeId="29845" r:id="rId5" name="Control 149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29845" r:id="rId5" name="Control 149"/>
      </mc:Fallback>
    </mc:AlternateContent>
    <mc:AlternateContent xmlns:mc="http://schemas.openxmlformats.org/markup-compatibility/2006">
      <mc:Choice Requires="x14">
        <control shapeId="29846" r:id="rId6" name="Control 150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29846" r:id="rId6" name="Control 150"/>
      </mc:Fallback>
    </mc:AlternateContent>
    <mc:AlternateContent xmlns:mc="http://schemas.openxmlformats.org/markup-compatibility/2006">
      <mc:Choice Requires="x14">
        <control shapeId="29847" r:id="rId7" name="Control 151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29847" r:id="rId7" name="Control 151"/>
      </mc:Fallback>
    </mc:AlternateContent>
    <mc:AlternateContent xmlns:mc="http://schemas.openxmlformats.org/markup-compatibility/2006">
      <mc:Choice Requires="x14">
        <control shapeId="29848" r:id="rId8" name="Control 152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29848" r:id="rId8" name="Control 152"/>
      </mc:Fallback>
    </mc:AlternateContent>
    <mc:AlternateContent xmlns:mc="http://schemas.openxmlformats.org/markup-compatibility/2006">
      <mc:Choice Requires="x14">
        <control shapeId="29849" r:id="rId9" name="Control 153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29849" r:id="rId9" name="Control 153"/>
      </mc:Fallback>
    </mc:AlternateContent>
    <mc:AlternateContent xmlns:mc="http://schemas.openxmlformats.org/markup-compatibility/2006">
      <mc:Choice Requires="x14">
        <control shapeId="29850" r:id="rId10" name="Control 154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29850" r:id="rId10" name="Control 154"/>
      </mc:Fallback>
    </mc:AlternateContent>
    <mc:AlternateContent xmlns:mc="http://schemas.openxmlformats.org/markup-compatibility/2006">
      <mc:Choice Requires="x14">
        <control shapeId="29851" r:id="rId11" name="Control 155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29851" r:id="rId11" name="Control 155"/>
      </mc:Fallback>
    </mc:AlternateContent>
    <mc:AlternateContent xmlns:mc="http://schemas.openxmlformats.org/markup-compatibility/2006">
      <mc:Choice Requires="x14">
        <control shapeId="29852" r:id="rId12" name="Control 156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29852" r:id="rId12" name="Control 156"/>
      </mc:Fallback>
    </mc:AlternateContent>
    <mc:AlternateContent xmlns:mc="http://schemas.openxmlformats.org/markup-compatibility/2006">
      <mc:Choice Requires="x14">
        <control shapeId="29853" r:id="rId13" name="Control 157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29853" r:id="rId13" name="Control 157"/>
      </mc:Fallback>
    </mc:AlternateContent>
    <mc:AlternateContent xmlns:mc="http://schemas.openxmlformats.org/markup-compatibility/2006">
      <mc:Choice Requires="x14">
        <control shapeId="29854" r:id="rId14" name="Control 158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29854" r:id="rId14" name="Control 158"/>
      </mc:Fallback>
    </mc:AlternateContent>
    <mc:AlternateContent xmlns:mc="http://schemas.openxmlformats.org/markup-compatibility/2006">
      <mc:Choice Requires="x14">
        <control shapeId="29855" r:id="rId15" name="Control 159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29855" r:id="rId15" name="Control 159"/>
      </mc:Fallback>
    </mc:AlternateContent>
    <mc:AlternateContent xmlns:mc="http://schemas.openxmlformats.org/markup-compatibility/2006">
      <mc:Choice Requires="x14">
        <control shapeId="29856" r:id="rId16" name="Control 160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29856" r:id="rId16" name="Control 160"/>
      </mc:Fallback>
    </mc:AlternateContent>
    <mc:AlternateContent xmlns:mc="http://schemas.openxmlformats.org/markup-compatibility/2006">
      <mc:Choice Requires="x14">
        <control shapeId="29857" r:id="rId17" name="Control 161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29857" r:id="rId17" name="Control 161"/>
      </mc:Fallback>
    </mc:AlternateContent>
    <mc:AlternateContent xmlns:mc="http://schemas.openxmlformats.org/markup-compatibility/2006">
      <mc:Choice Requires="x14">
        <control shapeId="29858" r:id="rId18" name="Control 162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29858" r:id="rId18" name="Control 162"/>
      </mc:Fallback>
    </mc:AlternateContent>
    <mc:AlternateContent xmlns:mc="http://schemas.openxmlformats.org/markup-compatibility/2006">
      <mc:Choice Requires="x14">
        <control shapeId="29859" r:id="rId19" name="Control 163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29859" r:id="rId19" name="Control 163"/>
      </mc:Fallback>
    </mc:AlternateContent>
    <mc:AlternateContent xmlns:mc="http://schemas.openxmlformats.org/markup-compatibility/2006">
      <mc:Choice Requires="x14">
        <control shapeId="29860" r:id="rId20" name="Control 164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29860" r:id="rId20" name="Control 164"/>
      </mc:Fallback>
    </mc:AlternateContent>
    <mc:AlternateContent xmlns:mc="http://schemas.openxmlformats.org/markup-compatibility/2006">
      <mc:Choice Requires="x14">
        <control shapeId="29861" r:id="rId21" name="Control 165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29861" r:id="rId21" name="Control 165"/>
      </mc:Fallback>
    </mc:AlternateContent>
    <mc:AlternateContent xmlns:mc="http://schemas.openxmlformats.org/markup-compatibility/2006">
      <mc:Choice Requires="x14">
        <control shapeId="29862" r:id="rId22" name="Control 166">
          <controlPr defaultSize="0" r:id="rId4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29862" r:id="rId22" name="Control 166"/>
      </mc:Fallback>
    </mc:AlternateContent>
    <mc:AlternateContent xmlns:mc="http://schemas.openxmlformats.org/markup-compatibility/2006">
      <mc:Choice Requires="x14">
        <control shapeId="29863" r:id="rId23" name="Control 167">
          <controlPr defaultSize="0" r:id="rId4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29863" r:id="rId23" name="Control 167"/>
      </mc:Fallback>
    </mc:AlternateContent>
    <mc:AlternateContent xmlns:mc="http://schemas.openxmlformats.org/markup-compatibility/2006">
      <mc:Choice Requires="x14">
        <control shapeId="29864" r:id="rId24" name="Control 168">
          <controlPr defaultSize="0" r:id="rId4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29864" r:id="rId24" name="Control 168"/>
      </mc:Fallback>
    </mc:AlternateContent>
    <mc:AlternateContent xmlns:mc="http://schemas.openxmlformats.org/markup-compatibility/2006">
      <mc:Choice Requires="x14">
        <control shapeId="29865" r:id="rId25" name="Control 169">
          <controlPr defaultSize="0" r:id="rId4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29865" r:id="rId25" name="Control 169"/>
      </mc:Fallback>
    </mc:AlternateContent>
    <mc:AlternateContent xmlns:mc="http://schemas.openxmlformats.org/markup-compatibility/2006">
      <mc:Choice Requires="x14">
        <control shapeId="29866" r:id="rId26" name="Control 170">
          <controlPr defaultSize="0" r:id="rId4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29866" r:id="rId26" name="Control 170"/>
      </mc:Fallback>
    </mc:AlternateContent>
    <mc:AlternateContent xmlns:mc="http://schemas.openxmlformats.org/markup-compatibility/2006">
      <mc:Choice Requires="x14">
        <control shapeId="29867" r:id="rId27" name="Control 171">
          <controlPr defaultSize="0" r:id="rId4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29867" r:id="rId27" name="Control 171"/>
      </mc:Fallback>
    </mc:AlternateContent>
    <mc:AlternateContent xmlns:mc="http://schemas.openxmlformats.org/markup-compatibility/2006">
      <mc:Choice Requires="x14">
        <control shapeId="29868" r:id="rId28" name="Control 172">
          <controlPr defaultSize="0" r:id="rId4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29868" r:id="rId28" name="Control 172"/>
      </mc:Fallback>
    </mc:AlternateContent>
    <mc:AlternateContent xmlns:mc="http://schemas.openxmlformats.org/markup-compatibility/2006">
      <mc:Choice Requires="x14">
        <control shapeId="29869" r:id="rId29" name="Control 173">
          <controlPr defaultSize="0" r:id="rId4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29869" r:id="rId29" name="Control 173"/>
      </mc:Fallback>
    </mc:AlternateContent>
    <mc:AlternateContent xmlns:mc="http://schemas.openxmlformats.org/markup-compatibility/2006">
      <mc:Choice Requires="x14">
        <control shapeId="29870" r:id="rId30" name="Control 174">
          <controlPr defaultSize="0" r:id="rId4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29870" r:id="rId30" name="Control 174"/>
      </mc:Fallback>
    </mc:AlternateContent>
    <mc:AlternateContent xmlns:mc="http://schemas.openxmlformats.org/markup-compatibility/2006">
      <mc:Choice Requires="x14">
        <control shapeId="29871" r:id="rId31" name="Control 175">
          <controlPr defaultSize="0" r:id="rId4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228600</xdr:colOff>
                <xdr:row>33</xdr:row>
                <xdr:rowOff>60960</xdr:rowOff>
              </to>
            </anchor>
          </controlPr>
        </control>
      </mc:Choice>
      <mc:Fallback>
        <control shapeId="29871" r:id="rId31" name="Control 175"/>
      </mc:Fallback>
    </mc:AlternateContent>
    <mc:AlternateContent xmlns:mc="http://schemas.openxmlformats.org/markup-compatibility/2006">
      <mc:Choice Requires="x14">
        <control shapeId="29872" r:id="rId32" name="Control 176">
          <controlPr defaultSize="0" r:id="rId4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228600</xdr:colOff>
                <xdr:row>34</xdr:row>
                <xdr:rowOff>60960</xdr:rowOff>
              </to>
            </anchor>
          </controlPr>
        </control>
      </mc:Choice>
      <mc:Fallback>
        <control shapeId="29872" r:id="rId32" name="Control 176"/>
      </mc:Fallback>
    </mc:AlternateContent>
    <mc:AlternateContent xmlns:mc="http://schemas.openxmlformats.org/markup-compatibility/2006">
      <mc:Choice Requires="x14">
        <control shapeId="29873" r:id="rId33" name="Control 177">
          <controlPr defaultSize="0" r:id="rId4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228600</xdr:colOff>
                <xdr:row>35</xdr:row>
                <xdr:rowOff>60960</xdr:rowOff>
              </to>
            </anchor>
          </controlPr>
        </control>
      </mc:Choice>
      <mc:Fallback>
        <control shapeId="29873" r:id="rId33" name="Control 177"/>
      </mc:Fallback>
    </mc:AlternateContent>
    <mc:AlternateContent xmlns:mc="http://schemas.openxmlformats.org/markup-compatibility/2006">
      <mc:Choice Requires="x14">
        <control shapeId="29874" r:id="rId34" name="Control 178">
          <controlPr defaultSize="0" r:id="rId4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228600</xdr:colOff>
                <xdr:row>36</xdr:row>
                <xdr:rowOff>60960</xdr:rowOff>
              </to>
            </anchor>
          </controlPr>
        </control>
      </mc:Choice>
      <mc:Fallback>
        <control shapeId="29874" r:id="rId34" name="Control 178"/>
      </mc:Fallback>
    </mc:AlternateContent>
    <mc:AlternateContent xmlns:mc="http://schemas.openxmlformats.org/markup-compatibility/2006">
      <mc:Choice Requires="x14">
        <control shapeId="29875" r:id="rId35" name="Control 179">
          <controlPr defaultSize="0" r:id="rId4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228600</xdr:colOff>
                <xdr:row>37</xdr:row>
                <xdr:rowOff>60960</xdr:rowOff>
              </to>
            </anchor>
          </controlPr>
        </control>
      </mc:Choice>
      <mc:Fallback>
        <control shapeId="29875" r:id="rId35" name="Control 179"/>
      </mc:Fallback>
    </mc:AlternateContent>
    <mc:AlternateContent xmlns:mc="http://schemas.openxmlformats.org/markup-compatibility/2006">
      <mc:Choice Requires="x14">
        <control shapeId="29876" r:id="rId36" name="Control 180">
          <controlPr defaultSize="0" r:id="rId4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228600</xdr:colOff>
                <xdr:row>38</xdr:row>
                <xdr:rowOff>60960</xdr:rowOff>
              </to>
            </anchor>
          </controlPr>
        </control>
      </mc:Choice>
      <mc:Fallback>
        <control shapeId="29876" r:id="rId36" name="Control 180"/>
      </mc:Fallback>
    </mc:AlternateContent>
    <mc:AlternateContent xmlns:mc="http://schemas.openxmlformats.org/markup-compatibility/2006">
      <mc:Choice Requires="x14">
        <control shapeId="29877" r:id="rId37" name="Control 181">
          <controlPr defaultSize="0" r:id="rId4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228600</xdr:colOff>
                <xdr:row>39</xdr:row>
                <xdr:rowOff>60960</xdr:rowOff>
              </to>
            </anchor>
          </controlPr>
        </control>
      </mc:Choice>
      <mc:Fallback>
        <control shapeId="29877" r:id="rId37" name="Control 181"/>
      </mc:Fallback>
    </mc:AlternateContent>
    <mc:AlternateContent xmlns:mc="http://schemas.openxmlformats.org/markup-compatibility/2006">
      <mc:Choice Requires="x14">
        <control shapeId="29878" r:id="rId38" name="Control 182">
          <controlPr defaultSize="0" r:id="rId4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228600</xdr:colOff>
                <xdr:row>40</xdr:row>
                <xdr:rowOff>60960</xdr:rowOff>
              </to>
            </anchor>
          </controlPr>
        </control>
      </mc:Choice>
      <mc:Fallback>
        <control shapeId="29878" r:id="rId38" name="Control 182"/>
      </mc:Fallback>
    </mc:AlternateContent>
    <mc:AlternateContent xmlns:mc="http://schemas.openxmlformats.org/markup-compatibility/2006">
      <mc:Choice Requires="x14">
        <control shapeId="29879" r:id="rId39" name="Control 183">
          <controlPr defaultSize="0" r:id="rId4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228600</xdr:colOff>
                <xdr:row>41</xdr:row>
                <xdr:rowOff>60960</xdr:rowOff>
              </to>
            </anchor>
          </controlPr>
        </control>
      </mc:Choice>
      <mc:Fallback>
        <control shapeId="29879" r:id="rId39" name="Control 183"/>
      </mc:Fallback>
    </mc:AlternateContent>
    <mc:AlternateContent xmlns:mc="http://schemas.openxmlformats.org/markup-compatibility/2006">
      <mc:Choice Requires="x14">
        <control shapeId="29880" r:id="rId40" name="Control 184">
          <controlPr defaultSize="0" r:id="rId4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42</xdr:row>
                <xdr:rowOff>60960</xdr:rowOff>
              </to>
            </anchor>
          </controlPr>
        </control>
      </mc:Choice>
      <mc:Fallback>
        <control shapeId="29880" r:id="rId40" name="Control 184"/>
      </mc:Fallback>
    </mc:AlternateContent>
    <mc:AlternateContent xmlns:mc="http://schemas.openxmlformats.org/markup-compatibility/2006">
      <mc:Choice Requires="x14">
        <control shapeId="29881" r:id="rId41" name="Control 185">
          <controlPr defaultSize="0" r:id="rId4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228600</xdr:colOff>
                <xdr:row>43</xdr:row>
                <xdr:rowOff>60960</xdr:rowOff>
              </to>
            </anchor>
          </controlPr>
        </control>
      </mc:Choice>
      <mc:Fallback>
        <control shapeId="29881" r:id="rId41" name="Control 185"/>
      </mc:Fallback>
    </mc:AlternateContent>
    <mc:AlternateContent xmlns:mc="http://schemas.openxmlformats.org/markup-compatibility/2006">
      <mc:Choice Requires="x14">
        <control shapeId="29882" r:id="rId42" name="Control 186">
          <controlPr defaultSize="0" r:id="rId4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228600</xdr:colOff>
                <xdr:row>44</xdr:row>
                <xdr:rowOff>60960</xdr:rowOff>
              </to>
            </anchor>
          </controlPr>
        </control>
      </mc:Choice>
      <mc:Fallback>
        <control shapeId="29882" r:id="rId42" name="Control 186"/>
      </mc:Fallback>
    </mc:AlternateContent>
    <mc:AlternateContent xmlns:mc="http://schemas.openxmlformats.org/markup-compatibility/2006">
      <mc:Choice Requires="x14">
        <control shapeId="29883" r:id="rId43" name="Control 187">
          <controlPr defaultSize="0" r:id="rId4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228600</xdr:colOff>
                <xdr:row>45</xdr:row>
                <xdr:rowOff>60960</xdr:rowOff>
              </to>
            </anchor>
          </controlPr>
        </control>
      </mc:Choice>
      <mc:Fallback>
        <control shapeId="29883" r:id="rId43" name="Control 187"/>
      </mc:Fallback>
    </mc:AlternateContent>
    <mc:AlternateContent xmlns:mc="http://schemas.openxmlformats.org/markup-compatibility/2006">
      <mc:Choice Requires="x14">
        <control shapeId="29884" r:id="rId44" name="Control 188">
          <controlPr defaultSize="0" r:id="rId4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228600</xdr:colOff>
                <xdr:row>46</xdr:row>
                <xdr:rowOff>60960</xdr:rowOff>
              </to>
            </anchor>
          </controlPr>
        </control>
      </mc:Choice>
      <mc:Fallback>
        <control shapeId="29884" r:id="rId44" name="Control 188"/>
      </mc:Fallback>
    </mc:AlternateContent>
    <mc:AlternateContent xmlns:mc="http://schemas.openxmlformats.org/markup-compatibility/2006">
      <mc:Choice Requires="x14">
        <control shapeId="29885" r:id="rId45" name="Control 189">
          <controlPr defaultSize="0" r:id="rId4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228600</xdr:colOff>
                <xdr:row>47</xdr:row>
                <xdr:rowOff>60960</xdr:rowOff>
              </to>
            </anchor>
          </controlPr>
        </control>
      </mc:Choice>
      <mc:Fallback>
        <control shapeId="29885" r:id="rId45" name="Control 189"/>
      </mc:Fallback>
    </mc:AlternateContent>
    <mc:AlternateContent xmlns:mc="http://schemas.openxmlformats.org/markup-compatibility/2006">
      <mc:Choice Requires="x14">
        <control shapeId="29886" r:id="rId46" name="Control 190">
          <controlPr defaultSize="0" r:id="rId4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228600</xdr:colOff>
                <xdr:row>48</xdr:row>
                <xdr:rowOff>60960</xdr:rowOff>
              </to>
            </anchor>
          </controlPr>
        </control>
      </mc:Choice>
      <mc:Fallback>
        <control shapeId="29886" r:id="rId46" name="Control 190"/>
      </mc:Fallback>
    </mc:AlternateContent>
    <mc:AlternateContent xmlns:mc="http://schemas.openxmlformats.org/markup-compatibility/2006">
      <mc:Choice Requires="x14">
        <control shapeId="29887" r:id="rId47" name="Control 191">
          <controlPr defaultSize="0" r:id="rId4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228600</xdr:colOff>
                <xdr:row>49</xdr:row>
                <xdr:rowOff>60960</xdr:rowOff>
              </to>
            </anchor>
          </controlPr>
        </control>
      </mc:Choice>
      <mc:Fallback>
        <control shapeId="29887" r:id="rId47" name="Control 191"/>
      </mc:Fallback>
    </mc:AlternateContent>
    <mc:AlternateContent xmlns:mc="http://schemas.openxmlformats.org/markup-compatibility/2006">
      <mc:Choice Requires="x14">
        <control shapeId="29888" r:id="rId48" name="Control 192">
          <controlPr defaultSize="0" r:id="rId4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228600</xdr:colOff>
                <xdr:row>50</xdr:row>
                <xdr:rowOff>60960</xdr:rowOff>
              </to>
            </anchor>
          </controlPr>
        </control>
      </mc:Choice>
      <mc:Fallback>
        <control shapeId="29888" r:id="rId48" name="Control 192"/>
      </mc:Fallback>
    </mc:AlternateContent>
    <mc:AlternateContent xmlns:mc="http://schemas.openxmlformats.org/markup-compatibility/2006">
      <mc:Choice Requires="x14">
        <control shapeId="29889" r:id="rId49" name="Control 193">
          <controlPr defaultSize="0" r:id="rId4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228600</xdr:colOff>
                <xdr:row>51</xdr:row>
                <xdr:rowOff>60960</xdr:rowOff>
              </to>
            </anchor>
          </controlPr>
        </control>
      </mc:Choice>
      <mc:Fallback>
        <control shapeId="29889" r:id="rId49" name="Control 193"/>
      </mc:Fallback>
    </mc:AlternateContent>
    <mc:AlternateContent xmlns:mc="http://schemas.openxmlformats.org/markup-compatibility/2006">
      <mc:Choice Requires="x14">
        <control shapeId="29890" r:id="rId50" name="Control 194">
          <controlPr defaultSize="0" r:id="rId4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228600</xdr:colOff>
                <xdr:row>52</xdr:row>
                <xdr:rowOff>60960</xdr:rowOff>
              </to>
            </anchor>
          </controlPr>
        </control>
      </mc:Choice>
      <mc:Fallback>
        <control shapeId="29890" r:id="rId50" name="Control 194"/>
      </mc:Fallback>
    </mc:AlternateContent>
    <mc:AlternateContent xmlns:mc="http://schemas.openxmlformats.org/markup-compatibility/2006">
      <mc:Choice Requires="x14">
        <control shapeId="29891" r:id="rId51" name="Control 195">
          <controlPr defaultSize="0" r:id="rId4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228600</xdr:colOff>
                <xdr:row>53</xdr:row>
                <xdr:rowOff>60960</xdr:rowOff>
              </to>
            </anchor>
          </controlPr>
        </control>
      </mc:Choice>
      <mc:Fallback>
        <control shapeId="29891" r:id="rId51" name="Control 195"/>
      </mc:Fallback>
    </mc:AlternateContent>
    <mc:AlternateContent xmlns:mc="http://schemas.openxmlformats.org/markup-compatibility/2006">
      <mc:Choice Requires="x14">
        <control shapeId="29892" r:id="rId52" name="Control 196">
          <controlPr defaultSize="0" r:id="rId4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228600</xdr:colOff>
                <xdr:row>54</xdr:row>
                <xdr:rowOff>60960</xdr:rowOff>
              </to>
            </anchor>
          </controlPr>
        </control>
      </mc:Choice>
      <mc:Fallback>
        <control shapeId="29892" r:id="rId52" name="Control 196"/>
      </mc:Fallback>
    </mc:AlternateContent>
    <mc:AlternateContent xmlns:mc="http://schemas.openxmlformats.org/markup-compatibility/2006">
      <mc:Choice Requires="x14">
        <control shapeId="29893" r:id="rId53" name="Control 197">
          <controlPr defaultSize="0" r:id="rId4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228600</xdr:colOff>
                <xdr:row>55</xdr:row>
                <xdr:rowOff>60960</xdr:rowOff>
              </to>
            </anchor>
          </controlPr>
        </control>
      </mc:Choice>
      <mc:Fallback>
        <control shapeId="29893" r:id="rId53" name="Control 197"/>
      </mc:Fallback>
    </mc:AlternateContent>
    <mc:AlternateContent xmlns:mc="http://schemas.openxmlformats.org/markup-compatibility/2006">
      <mc:Choice Requires="x14">
        <control shapeId="29894" r:id="rId54" name="Control 198">
          <controlPr defaultSize="0" r:id="rId4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228600</xdr:colOff>
                <xdr:row>56</xdr:row>
                <xdr:rowOff>60960</xdr:rowOff>
              </to>
            </anchor>
          </controlPr>
        </control>
      </mc:Choice>
      <mc:Fallback>
        <control shapeId="29894" r:id="rId54" name="Control 198"/>
      </mc:Fallback>
    </mc:AlternateContent>
    <mc:AlternateContent xmlns:mc="http://schemas.openxmlformats.org/markup-compatibility/2006">
      <mc:Choice Requires="x14">
        <control shapeId="29895" r:id="rId55" name="Control 199">
          <controlPr defaultSize="0" r:id="rId4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228600</xdr:colOff>
                <xdr:row>57</xdr:row>
                <xdr:rowOff>60960</xdr:rowOff>
              </to>
            </anchor>
          </controlPr>
        </control>
      </mc:Choice>
      <mc:Fallback>
        <control shapeId="29895" r:id="rId55" name="Control 199"/>
      </mc:Fallback>
    </mc:AlternateContent>
    <mc:AlternateContent xmlns:mc="http://schemas.openxmlformats.org/markup-compatibility/2006">
      <mc:Choice Requires="x14">
        <control shapeId="29896" r:id="rId56" name="Control 200">
          <controlPr defaultSize="0" r:id="rId4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29896" r:id="rId56" name="Control 200"/>
      </mc:Fallback>
    </mc:AlternateContent>
    <mc:AlternateContent xmlns:mc="http://schemas.openxmlformats.org/markup-compatibility/2006">
      <mc:Choice Requires="x14">
        <control shapeId="29897" r:id="rId57" name="Control 201">
          <controlPr defaultSize="0" r:id="rId4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29897" r:id="rId57" name="Control 201"/>
      </mc:Fallback>
    </mc:AlternateContent>
    <mc:AlternateContent xmlns:mc="http://schemas.openxmlformats.org/markup-compatibility/2006">
      <mc:Choice Requires="x14">
        <control shapeId="29898" r:id="rId58" name="Control 202">
          <controlPr defaultSize="0" r:id="rId4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29898" r:id="rId58" name="Control 202"/>
      </mc:Fallback>
    </mc:AlternateContent>
    <mc:AlternateContent xmlns:mc="http://schemas.openxmlformats.org/markup-compatibility/2006">
      <mc:Choice Requires="x14">
        <control shapeId="29899" r:id="rId59" name="Control 203">
          <controlPr defaultSize="0" r:id="rId4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29899" r:id="rId59" name="Control 203"/>
      </mc:Fallback>
    </mc:AlternateContent>
    <mc:AlternateContent xmlns:mc="http://schemas.openxmlformats.org/markup-compatibility/2006">
      <mc:Choice Requires="x14">
        <control shapeId="29900" r:id="rId60" name="Control 204">
          <controlPr defaultSize="0" r:id="rId4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29900" r:id="rId60" name="Control 204"/>
      </mc:Fallback>
    </mc:AlternateContent>
    <mc:AlternateContent xmlns:mc="http://schemas.openxmlformats.org/markup-compatibility/2006">
      <mc:Choice Requires="x14">
        <control shapeId="29901" r:id="rId61" name="Control 205">
          <controlPr defaultSize="0" r:id="rId4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29901" r:id="rId61" name="Control 205"/>
      </mc:Fallback>
    </mc:AlternateContent>
    <mc:AlternateContent xmlns:mc="http://schemas.openxmlformats.org/markup-compatibility/2006">
      <mc:Choice Requires="x14">
        <control shapeId="29902" r:id="rId62" name="Control 206">
          <controlPr defaultSize="0" r:id="rId4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29902" r:id="rId62" name="Control 206"/>
      </mc:Fallback>
    </mc:AlternateContent>
    <mc:AlternateContent xmlns:mc="http://schemas.openxmlformats.org/markup-compatibility/2006">
      <mc:Choice Requires="x14">
        <control shapeId="29903" r:id="rId63" name="Control 207">
          <controlPr defaultSize="0" r:id="rId4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29903" r:id="rId63" name="Control 207"/>
      </mc:Fallback>
    </mc:AlternateContent>
    <mc:AlternateContent xmlns:mc="http://schemas.openxmlformats.org/markup-compatibility/2006">
      <mc:Choice Requires="x14">
        <control shapeId="29904" r:id="rId64" name="Control 208">
          <controlPr defaultSize="0" r:id="rId4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29904" r:id="rId64" name="Control 208"/>
      </mc:Fallback>
    </mc:AlternateContent>
    <mc:AlternateContent xmlns:mc="http://schemas.openxmlformats.org/markup-compatibility/2006">
      <mc:Choice Requires="x14">
        <control shapeId="29905" r:id="rId65" name="Control 209">
          <controlPr defaultSize="0" r:id="rId4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29905" r:id="rId65" name="Control 209"/>
      </mc:Fallback>
    </mc:AlternateContent>
    <mc:AlternateContent xmlns:mc="http://schemas.openxmlformats.org/markup-compatibility/2006">
      <mc:Choice Requires="x14">
        <control shapeId="29906" r:id="rId66" name="Control 210">
          <controlPr defaultSize="0" r:id="rId4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29906" r:id="rId66" name="Control 210"/>
      </mc:Fallback>
    </mc:AlternateContent>
    <mc:AlternateContent xmlns:mc="http://schemas.openxmlformats.org/markup-compatibility/2006">
      <mc:Choice Requires="x14">
        <control shapeId="29907" r:id="rId67" name="Control 211">
          <controlPr defaultSize="0" r:id="rId4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29907" r:id="rId67" name="Control 211"/>
      </mc:Fallback>
    </mc:AlternateContent>
    <mc:AlternateContent xmlns:mc="http://schemas.openxmlformats.org/markup-compatibility/2006">
      <mc:Choice Requires="x14">
        <control shapeId="29908" r:id="rId68" name="Control 212">
          <controlPr defaultSize="0" r:id="rId4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29908" r:id="rId68" name="Control 212"/>
      </mc:Fallback>
    </mc:AlternateContent>
    <mc:AlternateContent xmlns:mc="http://schemas.openxmlformats.org/markup-compatibility/2006">
      <mc:Choice Requires="x14">
        <control shapeId="29909" r:id="rId69" name="Control 213">
          <controlPr defaultSize="0" r:id="rId4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29909" r:id="rId69" name="Control 213"/>
      </mc:Fallback>
    </mc:AlternateContent>
    <mc:AlternateContent xmlns:mc="http://schemas.openxmlformats.org/markup-compatibility/2006">
      <mc:Choice Requires="x14">
        <control shapeId="29910" r:id="rId70" name="Control 214">
          <controlPr defaultSize="0" r:id="rId4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228600</xdr:colOff>
                <xdr:row>72</xdr:row>
                <xdr:rowOff>68580</xdr:rowOff>
              </to>
            </anchor>
          </controlPr>
        </control>
      </mc:Choice>
      <mc:Fallback>
        <control shapeId="29910" r:id="rId70" name="Control 214"/>
      </mc:Fallback>
    </mc:AlternateContent>
    <mc:AlternateContent xmlns:mc="http://schemas.openxmlformats.org/markup-compatibility/2006">
      <mc:Choice Requires="x14">
        <control shapeId="29911" r:id="rId71" name="Control 215">
          <controlPr defaultSize="0" r:id="rId4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29911" r:id="rId71" name="Control 215"/>
      </mc:Fallback>
    </mc:AlternateContent>
    <mc:AlternateContent xmlns:mc="http://schemas.openxmlformats.org/markup-compatibility/2006">
      <mc:Choice Requires="x14">
        <control shapeId="29912" r:id="rId72" name="Control 216">
          <controlPr defaultSize="0" r:id="rId4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29912" r:id="rId72" name="Control 216"/>
      </mc:Fallback>
    </mc:AlternateContent>
    <mc:AlternateContent xmlns:mc="http://schemas.openxmlformats.org/markup-compatibility/2006">
      <mc:Choice Requires="x14">
        <control shapeId="29913" r:id="rId73" name="Control 217">
          <controlPr defaultSize="0" r:id="rId4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29913" r:id="rId73" name="Control 217"/>
      </mc:Fallback>
    </mc:AlternateContent>
    <mc:AlternateContent xmlns:mc="http://schemas.openxmlformats.org/markup-compatibility/2006">
      <mc:Choice Requires="x14">
        <control shapeId="29914" r:id="rId74" name="Control 218">
          <controlPr defaultSize="0" r:id="rId4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29914" r:id="rId74" name="Control 218"/>
      </mc:Fallback>
    </mc:AlternateContent>
    <mc:AlternateContent xmlns:mc="http://schemas.openxmlformats.org/markup-compatibility/2006">
      <mc:Choice Requires="x14">
        <control shapeId="29915" r:id="rId75" name="Control 219">
          <controlPr defaultSize="0" r:id="rId4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29915" r:id="rId75" name="Control 219"/>
      </mc:Fallback>
    </mc:AlternateContent>
    <mc:AlternateContent xmlns:mc="http://schemas.openxmlformats.org/markup-compatibility/2006">
      <mc:Choice Requires="x14">
        <control shapeId="29916" r:id="rId76" name="Control 220">
          <controlPr defaultSize="0" r:id="rId4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29916" r:id="rId76" name="Control 220"/>
      </mc:Fallback>
    </mc:AlternateContent>
    <mc:AlternateContent xmlns:mc="http://schemas.openxmlformats.org/markup-compatibility/2006">
      <mc:Choice Requires="x14">
        <control shapeId="29917" r:id="rId77" name="Control 221">
          <controlPr defaultSize="0" r:id="rId4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29917" r:id="rId77" name="Control 221"/>
      </mc:Fallback>
    </mc:AlternateContent>
    <mc:AlternateContent xmlns:mc="http://schemas.openxmlformats.org/markup-compatibility/2006">
      <mc:Choice Requires="x14">
        <control shapeId="29918" r:id="rId78" name="Control 222">
          <controlPr defaultSize="0" r:id="rId4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29918" r:id="rId78" name="Control 222"/>
      </mc:Fallback>
    </mc:AlternateContent>
    <mc:AlternateContent xmlns:mc="http://schemas.openxmlformats.org/markup-compatibility/2006">
      <mc:Choice Requires="x14">
        <control shapeId="29919" r:id="rId79" name="Control 223">
          <controlPr defaultSize="0" r:id="rId4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29919" r:id="rId79" name="Control 223"/>
      </mc:Fallback>
    </mc:AlternateContent>
    <mc:AlternateContent xmlns:mc="http://schemas.openxmlformats.org/markup-compatibility/2006">
      <mc:Choice Requires="x14">
        <control shapeId="29920" r:id="rId80" name="Control 224">
          <controlPr defaultSize="0" r:id="rId4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29920" r:id="rId80" name="Control 224"/>
      </mc:Fallback>
    </mc:AlternateContent>
    <mc:AlternateContent xmlns:mc="http://schemas.openxmlformats.org/markup-compatibility/2006">
      <mc:Choice Requires="x14">
        <control shapeId="29921" r:id="rId81" name="Control 225">
          <controlPr defaultSize="0" r:id="rId4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29921" r:id="rId81" name="Control 225"/>
      </mc:Fallback>
    </mc:AlternateContent>
    <mc:AlternateContent xmlns:mc="http://schemas.openxmlformats.org/markup-compatibility/2006">
      <mc:Choice Requires="x14">
        <control shapeId="29922" r:id="rId82" name="Control 226">
          <controlPr defaultSize="0" r:id="rId4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29922" r:id="rId82" name="Control 226"/>
      </mc:Fallback>
    </mc:AlternateContent>
    <mc:AlternateContent xmlns:mc="http://schemas.openxmlformats.org/markup-compatibility/2006">
      <mc:Choice Requires="x14">
        <control shapeId="29923" r:id="rId83" name="Control 227">
          <controlPr defaultSize="0" r:id="rId4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29923" r:id="rId83" name="Control 227"/>
      </mc:Fallback>
    </mc:AlternateContent>
    <mc:AlternateContent xmlns:mc="http://schemas.openxmlformats.org/markup-compatibility/2006">
      <mc:Choice Requires="x14">
        <control shapeId="29924" r:id="rId84" name="Control 228">
          <controlPr defaultSize="0" r:id="rId4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29924" r:id="rId84" name="Control 228"/>
      </mc:Fallback>
    </mc:AlternateContent>
    <mc:AlternateContent xmlns:mc="http://schemas.openxmlformats.org/markup-compatibility/2006">
      <mc:Choice Requires="x14">
        <control shapeId="29925" r:id="rId85" name="Control 229">
          <controlPr defaultSize="0" r:id="rId4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29925" r:id="rId85" name="Control 229"/>
      </mc:Fallback>
    </mc:AlternateContent>
    <mc:AlternateContent xmlns:mc="http://schemas.openxmlformats.org/markup-compatibility/2006">
      <mc:Choice Requires="x14">
        <control shapeId="29926" r:id="rId86" name="Control 230">
          <controlPr defaultSize="0" r:id="rId4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29926" r:id="rId86" name="Control 230"/>
      </mc:Fallback>
    </mc:AlternateContent>
    <mc:AlternateContent xmlns:mc="http://schemas.openxmlformats.org/markup-compatibility/2006">
      <mc:Choice Requires="x14">
        <control shapeId="29927" r:id="rId87" name="Control 231">
          <controlPr defaultSize="0" r:id="rId4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29927" r:id="rId87" name="Control 231"/>
      </mc:Fallback>
    </mc:AlternateContent>
    <mc:AlternateContent xmlns:mc="http://schemas.openxmlformats.org/markup-compatibility/2006">
      <mc:Choice Requires="x14">
        <control shapeId="29928" r:id="rId88" name="Control 232">
          <controlPr defaultSize="0" r:id="rId4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29928" r:id="rId88" name="Control 232"/>
      </mc:Fallback>
    </mc:AlternateContent>
    <mc:AlternateContent xmlns:mc="http://schemas.openxmlformats.org/markup-compatibility/2006">
      <mc:Choice Requires="x14">
        <control shapeId="29929" r:id="rId89" name="Control 233">
          <controlPr defaultSize="0" r:id="rId4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29929" r:id="rId89" name="Control 233"/>
      </mc:Fallback>
    </mc:AlternateContent>
    <mc:AlternateContent xmlns:mc="http://schemas.openxmlformats.org/markup-compatibility/2006">
      <mc:Choice Requires="x14">
        <control shapeId="29930" r:id="rId90" name="Control 234">
          <controlPr defaultSize="0" r:id="rId4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29930" r:id="rId90" name="Control 234"/>
      </mc:Fallback>
    </mc:AlternateContent>
    <mc:AlternateContent xmlns:mc="http://schemas.openxmlformats.org/markup-compatibility/2006">
      <mc:Choice Requires="x14">
        <control shapeId="29931" r:id="rId91" name="Control 235">
          <controlPr defaultSize="0" r:id="rId4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29931" r:id="rId91" name="Control 235"/>
      </mc:Fallback>
    </mc:AlternateContent>
    <mc:AlternateContent xmlns:mc="http://schemas.openxmlformats.org/markup-compatibility/2006">
      <mc:Choice Requires="x14">
        <control shapeId="29932" r:id="rId92" name="Control 236">
          <controlPr defaultSize="0" r:id="rId4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29932" r:id="rId92" name="Control 236"/>
      </mc:Fallback>
    </mc:AlternateContent>
    <mc:AlternateContent xmlns:mc="http://schemas.openxmlformats.org/markup-compatibility/2006">
      <mc:Choice Requires="x14">
        <control shapeId="29933" r:id="rId93" name="Control 237">
          <controlPr defaultSize="0" r:id="rId4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29933" r:id="rId93" name="Control 237"/>
      </mc:Fallback>
    </mc:AlternateContent>
    <mc:AlternateContent xmlns:mc="http://schemas.openxmlformats.org/markup-compatibility/2006">
      <mc:Choice Requires="x14">
        <control shapeId="29934" r:id="rId94" name="Control 238">
          <controlPr defaultSize="0" r:id="rId4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228600</xdr:colOff>
                <xdr:row>96</xdr:row>
                <xdr:rowOff>60960</xdr:rowOff>
              </to>
            </anchor>
          </controlPr>
        </control>
      </mc:Choice>
      <mc:Fallback>
        <control shapeId="29934" r:id="rId94" name="Control 238"/>
      </mc:Fallback>
    </mc:AlternateContent>
    <mc:AlternateContent xmlns:mc="http://schemas.openxmlformats.org/markup-compatibility/2006">
      <mc:Choice Requires="x14">
        <control shapeId="29935" r:id="rId95" name="Control 239">
          <controlPr defaultSize="0" r:id="rId4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29935" r:id="rId95" name="Control 239"/>
      </mc:Fallback>
    </mc:AlternateContent>
    <mc:AlternateContent xmlns:mc="http://schemas.openxmlformats.org/markup-compatibility/2006">
      <mc:Choice Requires="x14">
        <control shapeId="29936" r:id="rId96" name="Control 240">
          <controlPr defaultSize="0" r:id="rId4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29936" r:id="rId96" name="Control 240"/>
      </mc:Fallback>
    </mc:AlternateContent>
    <mc:AlternateContent xmlns:mc="http://schemas.openxmlformats.org/markup-compatibility/2006">
      <mc:Choice Requires="x14">
        <control shapeId="29937" r:id="rId97" name="Control 241">
          <controlPr defaultSize="0" r:id="rId4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29937" r:id="rId97" name="Control 241"/>
      </mc:Fallback>
    </mc:AlternateContent>
    <mc:AlternateContent xmlns:mc="http://schemas.openxmlformats.org/markup-compatibility/2006">
      <mc:Choice Requires="x14">
        <control shapeId="29938" r:id="rId98" name="Control 242">
          <controlPr defaultSize="0" r:id="rId4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29938" r:id="rId98" name="Control 242"/>
      </mc:Fallback>
    </mc:AlternateContent>
    <mc:AlternateContent xmlns:mc="http://schemas.openxmlformats.org/markup-compatibility/2006">
      <mc:Choice Requires="x14">
        <control shapeId="29939" r:id="rId99" name="Control 243">
          <controlPr defaultSize="0" r:id="rId4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29939" r:id="rId99" name="Control 243"/>
      </mc:Fallback>
    </mc:AlternateContent>
    <mc:AlternateContent xmlns:mc="http://schemas.openxmlformats.org/markup-compatibility/2006">
      <mc:Choice Requires="x14">
        <control shapeId="29940" r:id="rId100" name="Control 244">
          <controlPr defaultSize="0" r:id="rId4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29940" r:id="rId100" name="Control 244"/>
      </mc:Fallback>
    </mc:AlternateContent>
    <mc:AlternateContent xmlns:mc="http://schemas.openxmlformats.org/markup-compatibility/2006">
      <mc:Choice Requires="x14">
        <control shapeId="29941" r:id="rId101" name="Control 245">
          <controlPr defaultSize="0" r:id="rId4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29941" r:id="rId101" name="Control 245"/>
      </mc:Fallback>
    </mc:AlternateContent>
    <mc:AlternateContent xmlns:mc="http://schemas.openxmlformats.org/markup-compatibility/2006">
      <mc:Choice Requires="x14">
        <control shapeId="29942" r:id="rId102" name="Control 246">
          <controlPr defaultSize="0" r:id="rId4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29942" r:id="rId102" name="Control 246"/>
      </mc:Fallback>
    </mc:AlternateContent>
    <mc:AlternateContent xmlns:mc="http://schemas.openxmlformats.org/markup-compatibility/2006">
      <mc:Choice Requires="x14">
        <control shapeId="29943" r:id="rId103" name="Control 247">
          <controlPr defaultSize="0" r:id="rId4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29943" r:id="rId103" name="Control 247"/>
      </mc:Fallback>
    </mc:AlternateContent>
    <mc:AlternateContent xmlns:mc="http://schemas.openxmlformats.org/markup-compatibility/2006">
      <mc:Choice Requires="x14">
        <control shapeId="29944" r:id="rId104" name="Control 248">
          <controlPr defaultSize="0" r:id="rId4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29944" r:id="rId104" name="Control 248"/>
      </mc:Fallback>
    </mc:AlternateContent>
    <mc:AlternateContent xmlns:mc="http://schemas.openxmlformats.org/markup-compatibility/2006">
      <mc:Choice Requires="x14">
        <control shapeId="29945" r:id="rId105" name="Control 249">
          <controlPr defaultSize="0" r:id="rId4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29945" r:id="rId105" name="Control 249"/>
      </mc:Fallback>
    </mc:AlternateContent>
    <mc:AlternateContent xmlns:mc="http://schemas.openxmlformats.org/markup-compatibility/2006">
      <mc:Choice Requires="x14">
        <control shapeId="29946" r:id="rId106" name="Control 250">
          <controlPr defaultSize="0" r:id="rId4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29946" r:id="rId106" name="Control 250"/>
      </mc:Fallback>
    </mc:AlternateContent>
    <mc:AlternateContent xmlns:mc="http://schemas.openxmlformats.org/markup-compatibility/2006">
      <mc:Choice Requires="x14">
        <control shapeId="29947" r:id="rId107" name="Control 251">
          <controlPr defaultSize="0" r:id="rId4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228600</xdr:colOff>
                <xdr:row>109</xdr:row>
                <xdr:rowOff>60960</xdr:rowOff>
              </to>
            </anchor>
          </controlPr>
        </control>
      </mc:Choice>
      <mc:Fallback>
        <control shapeId="29947" r:id="rId107" name="Control 251"/>
      </mc:Fallback>
    </mc:AlternateContent>
    <mc:AlternateContent xmlns:mc="http://schemas.openxmlformats.org/markup-compatibility/2006">
      <mc:Choice Requires="x14">
        <control shapeId="29948" r:id="rId108" name="Control 252">
          <controlPr defaultSize="0" r:id="rId4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228600</xdr:colOff>
                <xdr:row>110</xdr:row>
                <xdr:rowOff>60960</xdr:rowOff>
              </to>
            </anchor>
          </controlPr>
        </control>
      </mc:Choice>
      <mc:Fallback>
        <control shapeId="29948" r:id="rId108" name="Control 252"/>
      </mc:Fallback>
    </mc:AlternateContent>
    <mc:AlternateContent xmlns:mc="http://schemas.openxmlformats.org/markup-compatibility/2006">
      <mc:Choice Requires="x14">
        <control shapeId="29949" r:id="rId109" name="Control 253">
          <controlPr defaultSize="0" r:id="rId4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29949" r:id="rId109" name="Control 253"/>
      </mc:Fallback>
    </mc:AlternateContent>
    <mc:AlternateContent xmlns:mc="http://schemas.openxmlformats.org/markup-compatibility/2006">
      <mc:Choice Requires="x14">
        <control shapeId="29950" r:id="rId110" name="Control 254">
          <controlPr defaultSize="0" r:id="rId4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29950" r:id="rId110" name="Control 254"/>
      </mc:Fallback>
    </mc:AlternateContent>
    <mc:AlternateContent xmlns:mc="http://schemas.openxmlformats.org/markup-compatibility/2006">
      <mc:Choice Requires="x14">
        <control shapeId="29951" r:id="rId111" name="Control 255">
          <controlPr defaultSize="0" r:id="rId4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29951" r:id="rId111" name="Control 255"/>
      </mc:Fallback>
    </mc:AlternateContent>
    <mc:AlternateContent xmlns:mc="http://schemas.openxmlformats.org/markup-compatibility/2006">
      <mc:Choice Requires="x14">
        <control shapeId="29952" r:id="rId112" name="Control 256">
          <controlPr defaultSize="0" r:id="rId4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29952" r:id="rId112" name="Control 256"/>
      </mc:Fallback>
    </mc:AlternateContent>
    <mc:AlternateContent xmlns:mc="http://schemas.openxmlformats.org/markup-compatibility/2006">
      <mc:Choice Requires="x14">
        <control shapeId="29953" r:id="rId113" name="Control 257">
          <controlPr defaultSize="0" r:id="rId4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228600</xdr:colOff>
                <xdr:row>115</xdr:row>
                <xdr:rowOff>60960</xdr:rowOff>
              </to>
            </anchor>
          </controlPr>
        </control>
      </mc:Choice>
      <mc:Fallback>
        <control shapeId="29953" r:id="rId113" name="Control 257"/>
      </mc:Fallback>
    </mc:AlternateContent>
    <mc:AlternateContent xmlns:mc="http://schemas.openxmlformats.org/markup-compatibility/2006">
      <mc:Choice Requires="x14">
        <control shapeId="29954" r:id="rId114" name="Control 258">
          <controlPr defaultSize="0" r:id="rId4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228600</xdr:colOff>
                <xdr:row>116</xdr:row>
                <xdr:rowOff>60960</xdr:rowOff>
              </to>
            </anchor>
          </controlPr>
        </control>
      </mc:Choice>
      <mc:Fallback>
        <control shapeId="29954" r:id="rId114" name="Control 258"/>
      </mc:Fallback>
    </mc:AlternateContent>
    <mc:AlternateContent xmlns:mc="http://schemas.openxmlformats.org/markup-compatibility/2006">
      <mc:Choice Requires="x14">
        <control shapeId="29955" r:id="rId115" name="Control 259">
          <controlPr defaultSize="0" r:id="rId4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228600</xdr:colOff>
                <xdr:row>117</xdr:row>
                <xdr:rowOff>60960</xdr:rowOff>
              </to>
            </anchor>
          </controlPr>
        </control>
      </mc:Choice>
      <mc:Fallback>
        <control shapeId="29955" r:id="rId115" name="Control 259"/>
      </mc:Fallback>
    </mc:AlternateContent>
    <mc:AlternateContent xmlns:mc="http://schemas.openxmlformats.org/markup-compatibility/2006">
      <mc:Choice Requires="x14">
        <control shapeId="29956" r:id="rId116" name="Control 260">
          <controlPr defaultSize="0" r:id="rId4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228600</xdr:colOff>
                <xdr:row>118</xdr:row>
                <xdr:rowOff>60960</xdr:rowOff>
              </to>
            </anchor>
          </controlPr>
        </control>
      </mc:Choice>
      <mc:Fallback>
        <control shapeId="29956" r:id="rId116" name="Control 260"/>
      </mc:Fallback>
    </mc:AlternateContent>
    <mc:AlternateContent xmlns:mc="http://schemas.openxmlformats.org/markup-compatibility/2006">
      <mc:Choice Requires="x14">
        <control shapeId="29957" r:id="rId117" name="Control 261">
          <controlPr defaultSize="0" r:id="rId4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29957" r:id="rId117" name="Control 261"/>
      </mc:Fallback>
    </mc:AlternateContent>
    <mc:AlternateContent xmlns:mc="http://schemas.openxmlformats.org/markup-compatibility/2006">
      <mc:Choice Requires="x14">
        <control shapeId="29958" r:id="rId118" name="Control 262">
          <controlPr defaultSize="0" r:id="rId4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228600</xdr:colOff>
                <xdr:row>120</xdr:row>
                <xdr:rowOff>60960</xdr:rowOff>
              </to>
            </anchor>
          </controlPr>
        </control>
      </mc:Choice>
      <mc:Fallback>
        <control shapeId="29958" r:id="rId118" name="Control 262"/>
      </mc:Fallback>
    </mc:AlternateContent>
    <mc:AlternateContent xmlns:mc="http://schemas.openxmlformats.org/markup-compatibility/2006">
      <mc:Choice Requires="x14">
        <control shapeId="29959" r:id="rId119" name="Control 263">
          <controlPr defaultSize="0" r:id="rId4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228600</xdr:colOff>
                <xdr:row>121</xdr:row>
                <xdr:rowOff>60960</xdr:rowOff>
              </to>
            </anchor>
          </controlPr>
        </control>
      </mc:Choice>
      <mc:Fallback>
        <control shapeId="29959" r:id="rId119" name="Control 263"/>
      </mc:Fallback>
    </mc:AlternateContent>
    <mc:AlternateContent xmlns:mc="http://schemas.openxmlformats.org/markup-compatibility/2006">
      <mc:Choice Requires="x14">
        <control shapeId="29960" r:id="rId120" name="Control 264">
          <controlPr defaultSize="0" r:id="rId4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228600</xdr:colOff>
                <xdr:row>122</xdr:row>
                <xdr:rowOff>60960</xdr:rowOff>
              </to>
            </anchor>
          </controlPr>
        </control>
      </mc:Choice>
      <mc:Fallback>
        <control shapeId="29960" r:id="rId120" name="Control 264"/>
      </mc:Fallback>
    </mc:AlternateContent>
    <mc:AlternateContent xmlns:mc="http://schemas.openxmlformats.org/markup-compatibility/2006">
      <mc:Choice Requires="x14">
        <control shapeId="29961" r:id="rId121" name="Control 265">
          <controlPr defaultSize="0" r:id="rId4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228600</xdr:colOff>
                <xdr:row>123</xdr:row>
                <xdr:rowOff>60960</xdr:rowOff>
              </to>
            </anchor>
          </controlPr>
        </control>
      </mc:Choice>
      <mc:Fallback>
        <control shapeId="29961" r:id="rId121" name="Control 265"/>
      </mc:Fallback>
    </mc:AlternateContent>
    <mc:AlternateContent xmlns:mc="http://schemas.openxmlformats.org/markup-compatibility/2006">
      <mc:Choice Requires="x14">
        <control shapeId="29962" r:id="rId122" name="Control 266">
          <controlPr defaultSize="0" r:id="rId4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228600</xdr:colOff>
                <xdr:row>124</xdr:row>
                <xdr:rowOff>60960</xdr:rowOff>
              </to>
            </anchor>
          </controlPr>
        </control>
      </mc:Choice>
      <mc:Fallback>
        <control shapeId="29962" r:id="rId122" name="Control 266"/>
      </mc:Fallback>
    </mc:AlternateContent>
    <mc:AlternateContent xmlns:mc="http://schemas.openxmlformats.org/markup-compatibility/2006">
      <mc:Choice Requires="x14">
        <control shapeId="29963" r:id="rId123" name="Control 267">
          <controlPr defaultSize="0" r:id="rId4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228600</xdr:colOff>
                <xdr:row>135</xdr:row>
                <xdr:rowOff>60960</xdr:rowOff>
              </to>
            </anchor>
          </controlPr>
        </control>
      </mc:Choice>
      <mc:Fallback>
        <control shapeId="29963" r:id="rId123" name="Control 267"/>
      </mc:Fallback>
    </mc:AlternateContent>
    <mc:AlternateContent xmlns:mc="http://schemas.openxmlformats.org/markup-compatibility/2006">
      <mc:Choice Requires="x14">
        <control shapeId="29964" r:id="rId124" name="Control 268">
          <controlPr defaultSize="0" r:id="rId4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228600</xdr:colOff>
                <xdr:row>136</xdr:row>
                <xdr:rowOff>60960</xdr:rowOff>
              </to>
            </anchor>
          </controlPr>
        </control>
      </mc:Choice>
      <mc:Fallback>
        <control shapeId="29964" r:id="rId124" name="Control 268"/>
      </mc:Fallback>
    </mc:AlternateContent>
    <mc:AlternateContent xmlns:mc="http://schemas.openxmlformats.org/markup-compatibility/2006">
      <mc:Choice Requires="x14">
        <control shapeId="29965" r:id="rId125" name="Control 269">
          <controlPr defaultSize="0" r:id="rId4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228600</xdr:colOff>
                <xdr:row>137</xdr:row>
                <xdr:rowOff>60960</xdr:rowOff>
              </to>
            </anchor>
          </controlPr>
        </control>
      </mc:Choice>
      <mc:Fallback>
        <control shapeId="29965" r:id="rId125" name="Control 269"/>
      </mc:Fallback>
    </mc:AlternateContent>
    <mc:AlternateContent xmlns:mc="http://schemas.openxmlformats.org/markup-compatibility/2006">
      <mc:Choice Requires="x14">
        <control shapeId="29966" r:id="rId126" name="Control 270">
          <controlPr defaultSize="0" r:id="rId4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228600</xdr:colOff>
                <xdr:row>138</xdr:row>
                <xdr:rowOff>60960</xdr:rowOff>
              </to>
            </anchor>
          </controlPr>
        </control>
      </mc:Choice>
      <mc:Fallback>
        <control shapeId="29966" r:id="rId126" name="Control 270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D5AD-1F94-4FAE-8183-60459106A6D7}">
  <dimension ref="A3:M61"/>
  <sheetViews>
    <sheetView showGridLines="0" workbookViewId="0">
      <selection activeCell="C24" sqref="C24"/>
    </sheetView>
  </sheetViews>
  <sheetFormatPr defaultRowHeight="14.4" x14ac:dyDescent="0.3"/>
  <cols>
    <col min="1" max="1" width="16.33203125" style="659" customWidth="1"/>
    <col min="2" max="2" width="14.44140625" style="1" bestFit="1" customWidth="1"/>
    <col min="3" max="3" width="12.88671875" bestFit="1" customWidth="1"/>
    <col min="9" max="9" width="12" bestFit="1" customWidth="1"/>
  </cols>
  <sheetData>
    <row r="3" spans="1:3" x14ac:dyDescent="0.3">
      <c r="A3" s="18" t="s">
        <v>1951</v>
      </c>
      <c r="B3" s="848">
        <v>56665.65</v>
      </c>
    </row>
    <row r="5" spans="1:3" x14ac:dyDescent="0.3">
      <c r="A5" s="847">
        <v>45950</v>
      </c>
      <c r="B5" s="22">
        <v>90413.67</v>
      </c>
      <c r="C5" s="25">
        <f>B3-B5</f>
        <v>-33748.019999999997</v>
      </c>
    </row>
    <row r="6" spans="1:3" x14ac:dyDescent="0.3">
      <c r="A6" s="847">
        <v>45951</v>
      </c>
      <c r="B6" s="22">
        <v>65119.23</v>
      </c>
    </row>
    <row r="7" spans="1:3" x14ac:dyDescent="0.3">
      <c r="A7" s="847">
        <v>45952</v>
      </c>
      <c r="B7" s="22">
        <v>8214.73</v>
      </c>
    </row>
    <row r="8" spans="1:3" x14ac:dyDescent="0.3">
      <c r="A8" s="847">
        <v>45953</v>
      </c>
      <c r="B8" s="22">
        <v>72058.149999999994</v>
      </c>
    </row>
    <row r="9" spans="1:3" x14ac:dyDescent="0.3">
      <c r="A9" s="847">
        <v>45954</v>
      </c>
      <c r="B9" s="22">
        <v>24989.41</v>
      </c>
    </row>
    <row r="10" spans="1:3" x14ac:dyDescent="0.3">
      <c r="A10" s="847">
        <v>45957</v>
      </c>
      <c r="B10" s="22">
        <v>8636.7900000000009</v>
      </c>
    </row>
    <row r="11" spans="1:3" x14ac:dyDescent="0.3">
      <c r="A11" s="847">
        <v>45959</v>
      </c>
      <c r="B11" s="22">
        <v>10182.74</v>
      </c>
    </row>
    <row r="12" spans="1:3" x14ac:dyDescent="0.3">
      <c r="B12" s="28">
        <f>SUM(B5:B11)</f>
        <v>279614.71999999997</v>
      </c>
    </row>
    <row r="20" spans="7:13" x14ac:dyDescent="0.3">
      <c r="I20" s="25"/>
    </row>
    <row r="29" spans="7:13" x14ac:dyDescent="0.3">
      <c r="G29" s="903"/>
      <c r="H29" s="903"/>
      <c r="I29" s="903"/>
      <c r="J29" s="903"/>
      <c r="K29" s="903"/>
      <c r="L29" s="903"/>
      <c r="M29" s="903"/>
    </row>
    <row r="30" spans="7:13" ht="15" x14ac:dyDescent="0.3">
      <c r="G30" s="904"/>
      <c r="H30" s="1143"/>
      <c r="I30" s="1143"/>
      <c r="J30" s="1144"/>
      <c r="K30" s="1145"/>
      <c r="L30" s="1146"/>
      <c r="M30" s="903"/>
    </row>
    <row r="31" spans="7:13" ht="15" x14ac:dyDescent="0.3">
      <c r="G31" s="904"/>
      <c r="H31" s="1143"/>
      <c r="I31" s="1143"/>
      <c r="J31" s="1144"/>
      <c r="K31" s="1145"/>
      <c r="L31" s="1146"/>
      <c r="M31" s="903"/>
    </row>
    <row r="32" spans="7:13" ht="15" x14ac:dyDescent="0.3">
      <c r="G32" s="1148"/>
      <c r="H32" s="905"/>
      <c r="I32" s="1148"/>
      <c r="J32" s="1148"/>
      <c r="K32" s="1149"/>
      <c r="L32" s="1150"/>
      <c r="M32" s="1147"/>
    </row>
    <row r="33" spans="7:13" ht="15" x14ac:dyDescent="0.3">
      <c r="G33" s="1148"/>
      <c r="H33" s="905"/>
      <c r="I33" s="1148"/>
      <c r="J33" s="1148"/>
      <c r="K33" s="1149"/>
      <c r="L33" s="1150"/>
      <c r="M33" s="1147"/>
    </row>
    <row r="34" spans="7:13" ht="15" x14ac:dyDescent="0.3">
      <c r="G34" s="1143"/>
      <c r="H34" s="904"/>
      <c r="I34" s="1143"/>
      <c r="J34" s="1143"/>
      <c r="K34" s="1144"/>
      <c r="L34" s="1145"/>
      <c r="M34" s="1146"/>
    </row>
    <row r="35" spans="7:13" ht="15" x14ac:dyDescent="0.3">
      <c r="G35" s="1143"/>
      <c r="H35" s="904"/>
      <c r="I35" s="1143"/>
      <c r="J35" s="1143"/>
      <c r="K35" s="1144"/>
      <c r="L35" s="1145"/>
      <c r="M35" s="1146"/>
    </row>
    <row r="36" spans="7:13" ht="15" x14ac:dyDescent="0.3">
      <c r="G36" s="1148"/>
      <c r="H36" s="905"/>
      <c r="I36" s="1148"/>
      <c r="J36" s="1148"/>
      <c r="K36" s="1149"/>
      <c r="L36" s="1150"/>
      <c r="M36" s="1147"/>
    </row>
    <row r="37" spans="7:13" ht="15" x14ac:dyDescent="0.3">
      <c r="G37" s="1148"/>
      <c r="H37" s="905"/>
      <c r="I37" s="1148"/>
      <c r="J37" s="1148"/>
      <c r="K37" s="1149"/>
      <c r="L37" s="1150"/>
      <c r="M37" s="1147"/>
    </row>
    <row r="38" spans="7:13" ht="15" x14ac:dyDescent="0.3">
      <c r="G38" s="1143"/>
      <c r="H38" s="904"/>
      <c r="I38" s="1143"/>
      <c r="J38" s="1143"/>
      <c r="K38" s="1144"/>
      <c r="L38" s="1145"/>
      <c r="M38" s="1144"/>
    </row>
    <row r="39" spans="7:13" ht="15" x14ac:dyDescent="0.3">
      <c r="G39" s="1143"/>
      <c r="H39" s="904"/>
      <c r="I39" s="1143"/>
      <c r="J39" s="1143"/>
      <c r="K39" s="1144"/>
      <c r="L39" s="1145"/>
      <c r="M39" s="1144"/>
    </row>
    <row r="57" spans="6:9" ht="57.6" x14ac:dyDescent="0.3">
      <c r="F57" s="907" t="s">
        <v>1981</v>
      </c>
      <c r="G57" s="907" t="s">
        <v>1982</v>
      </c>
      <c r="H57" s="907">
        <v>35.700000000000003</v>
      </c>
      <c r="I57" s="907"/>
    </row>
    <row r="58" spans="6:9" ht="57.6" x14ac:dyDescent="0.3">
      <c r="F58" s="908">
        <v>45953</v>
      </c>
      <c r="G58" s="907" t="s">
        <v>1983</v>
      </c>
      <c r="H58" s="907">
        <v>49.49</v>
      </c>
      <c r="I58" s="907"/>
    </row>
    <row r="59" spans="6:9" ht="57.6" x14ac:dyDescent="0.3">
      <c r="F59" s="908">
        <v>45953</v>
      </c>
      <c r="G59" s="907" t="s">
        <v>1984</v>
      </c>
      <c r="H59" s="907">
        <v>58.1</v>
      </c>
      <c r="I59" s="907"/>
    </row>
    <row r="60" spans="6:9" ht="57.6" x14ac:dyDescent="0.3">
      <c r="F60" s="908">
        <v>45953</v>
      </c>
      <c r="G60" s="907" t="s">
        <v>1985</v>
      </c>
      <c r="H60" s="907">
        <v>70.59</v>
      </c>
      <c r="I60" s="907"/>
    </row>
    <row r="61" spans="6:9" ht="57.6" x14ac:dyDescent="0.3">
      <c r="F61" s="908">
        <v>45953</v>
      </c>
      <c r="G61" s="907" t="s">
        <v>1986</v>
      </c>
      <c r="H61" s="907">
        <v>17.86</v>
      </c>
      <c r="I61" s="907"/>
    </row>
  </sheetData>
  <mergeCells count="29">
    <mergeCell ref="M38:M39"/>
    <mergeCell ref="G36:G37"/>
    <mergeCell ref="I36:I37"/>
    <mergeCell ref="J36:J37"/>
    <mergeCell ref="K36:K37"/>
    <mergeCell ref="L36:L37"/>
    <mergeCell ref="M36:M37"/>
    <mergeCell ref="G38:G39"/>
    <mergeCell ref="I38:I39"/>
    <mergeCell ref="J38:J39"/>
    <mergeCell ref="K38:K39"/>
    <mergeCell ref="L38:L39"/>
    <mergeCell ref="M32:M33"/>
    <mergeCell ref="G34:G35"/>
    <mergeCell ref="I34:I35"/>
    <mergeCell ref="J34:J35"/>
    <mergeCell ref="K34:K35"/>
    <mergeCell ref="L34:L35"/>
    <mergeCell ref="M34:M35"/>
    <mergeCell ref="G32:G33"/>
    <mergeCell ref="I32:I33"/>
    <mergeCell ref="J32:J33"/>
    <mergeCell ref="K32:K33"/>
    <mergeCell ref="L32:L33"/>
    <mergeCell ref="H30:H31"/>
    <mergeCell ref="I30:I31"/>
    <mergeCell ref="J30:J31"/>
    <mergeCell ref="K30:K31"/>
    <mergeCell ref="L30:L3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A6D7-B3F2-41B5-8E60-5FA4DBC64DBF}">
  <dimension ref="A1:G22"/>
  <sheetViews>
    <sheetView showGridLines="0" workbookViewId="0">
      <selection activeCell="D24" sqref="D24"/>
    </sheetView>
  </sheetViews>
  <sheetFormatPr defaultRowHeight="14.4" x14ac:dyDescent="0.3"/>
  <cols>
    <col min="1" max="1" width="10.33203125" bestFit="1" customWidth="1"/>
    <col min="2" max="2" width="8.88671875" customWidth="1"/>
    <col min="3" max="3" width="28.77734375" customWidth="1"/>
    <col min="4" max="4" width="56.6640625" customWidth="1"/>
    <col min="5" max="5" width="23.88671875" customWidth="1"/>
    <col min="6" max="6" width="15.88671875" customWidth="1"/>
    <col min="7" max="7" width="18.77734375" customWidth="1"/>
  </cols>
  <sheetData>
    <row r="1" spans="1:7" x14ac:dyDescent="0.3">
      <c r="A1" s="78">
        <v>45932</v>
      </c>
      <c r="B1" s="100" t="s">
        <v>211</v>
      </c>
      <c r="C1" s="694" t="s">
        <v>44</v>
      </c>
      <c r="D1" s="693" t="s">
        <v>1552</v>
      </c>
      <c r="E1" s="8">
        <v>-1383.98</v>
      </c>
      <c r="F1" s="13" t="s">
        <v>8</v>
      </c>
      <c r="G1" s="5" t="s">
        <v>75</v>
      </c>
    </row>
    <row r="2" spans="1:7" x14ac:dyDescent="0.3">
      <c r="A2" s="100">
        <v>45936</v>
      </c>
      <c r="B2" s="100" t="s">
        <v>211</v>
      </c>
      <c r="C2" s="7" t="s">
        <v>17</v>
      </c>
      <c r="D2" s="7" t="s">
        <v>500</v>
      </c>
      <c r="E2" s="8">
        <v>-2207.67</v>
      </c>
      <c r="F2" s="13" t="s">
        <v>8</v>
      </c>
      <c r="G2" s="9" t="s">
        <v>75</v>
      </c>
    </row>
    <row r="3" spans="1:7" x14ac:dyDescent="0.3">
      <c r="A3" s="100">
        <v>45936</v>
      </c>
      <c r="B3" s="100" t="s">
        <v>211</v>
      </c>
      <c r="C3" s="7" t="s">
        <v>32</v>
      </c>
      <c r="D3" s="7" t="s">
        <v>1271</v>
      </c>
      <c r="E3" s="8">
        <v>-2561.04</v>
      </c>
      <c r="F3" s="13" t="s">
        <v>8</v>
      </c>
      <c r="G3" s="9" t="s">
        <v>75</v>
      </c>
    </row>
    <row r="4" spans="1:7" x14ac:dyDescent="0.3">
      <c r="A4" s="100">
        <v>45937</v>
      </c>
      <c r="B4" s="100" t="s">
        <v>211</v>
      </c>
      <c r="C4" s="7" t="s">
        <v>32</v>
      </c>
      <c r="D4" s="7" t="s">
        <v>1271</v>
      </c>
      <c r="E4" s="8">
        <v>-211.3</v>
      </c>
      <c r="F4" s="13" t="s">
        <v>8</v>
      </c>
      <c r="G4" s="9" t="s">
        <v>75</v>
      </c>
    </row>
    <row r="5" spans="1:7" x14ac:dyDescent="0.3">
      <c r="A5" s="146">
        <v>45933</v>
      </c>
      <c r="B5" s="146" t="s">
        <v>211</v>
      </c>
      <c r="C5" s="88" t="s">
        <v>32</v>
      </c>
      <c r="D5" s="7" t="s">
        <v>1369</v>
      </c>
      <c r="E5" s="8">
        <v>-7022.51</v>
      </c>
      <c r="F5" s="110" t="s">
        <v>8</v>
      </c>
      <c r="G5" s="24" t="s">
        <v>75</v>
      </c>
    </row>
    <row r="6" spans="1:7" x14ac:dyDescent="0.3">
      <c r="A6" s="146">
        <v>45933</v>
      </c>
      <c r="B6" s="146" t="s">
        <v>211</v>
      </c>
      <c r="C6" s="643" t="s">
        <v>17</v>
      </c>
      <c r="D6" s="7" t="s">
        <v>1192</v>
      </c>
      <c r="E6" s="8">
        <v>-329.28</v>
      </c>
      <c r="F6" s="13" t="s">
        <v>8</v>
      </c>
      <c r="G6" s="24" t="s">
        <v>75</v>
      </c>
    </row>
    <row r="7" spans="1:7" x14ac:dyDescent="0.3">
      <c r="A7" s="146">
        <v>45933</v>
      </c>
      <c r="B7" s="100" t="s">
        <v>211</v>
      </c>
      <c r="C7" s="7" t="s">
        <v>17</v>
      </c>
      <c r="D7" s="7" t="s">
        <v>1192</v>
      </c>
      <c r="E7" s="8">
        <v>-89.27</v>
      </c>
      <c r="F7" s="13" t="s">
        <v>8</v>
      </c>
      <c r="G7" s="5" t="s">
        <v>75</v>
      </c>
    </row>
    <row r="8" spans="1:7" x14ac:dyDescent="0.3">
      <c r="A8" s="146">
        <v>45933</v>
      </c>
      <c r="B8" s="100" t="s">
        <v>211</v>
      </c>
      <c r="C8" s="7" t="s">
        <v>32</v>
      </c>
      <c r="D8" s="7" t="s">
        <v>1589</v>
      </c>
      <c r="E8" s="8">
        <v>-1213.26</v>
      </c>
      <c r="F8" s="13" t="s">
        <v>8</v>
      </c>
      <c r="G8" s="5" t="s">
        <v>75</v>
      </c>
    </row>
    <row r="9" spans="1:7" x14ac:dyDescent="0.3">
      <c r="A9" s="100">
        <v>45940</v>
      </c>
      <c r="B9" s="100" t="s">
        <v>211</v>
      </c>
      <c r="C9" s="7" t="s">
        <v>25</v>
      </c>
      <c r="D9" s="7" t="s">
        <v>1231</v>
      </c>
      <c r="E9" s="8">
        <v>-6999.49</v>
      </c>
      <c r="F9" s="13" t="s">
        <v>8</v>
      </c>
      <c r="G9" s="9" t="s">
        <v>75</v>
      </c>
    </row>
    <row r="10" spans="1:7" x14ac:dyDescent="0.3">
      <c r="A10" s="100">
        <v>45940</v>
      </c>
      <c r="B10" s="100" t="s">
        <v>211</v>
      </c>
      <c r="C10" s="7" t="s">
        <v>25</v>
      </c>
      <c r="D10" s="7" t="s">
        <v>1441</v>
      </c>
      <c r="E10" s="8">
        <v>-2365.2199999999998</v>
      </c>
      <c r="F10" s="13" t="s">
        <v>8</v>
      </c>
      <c r="G10" s="9" t="s">
        <v>75</v>
      </c>
    </row>
    <row r="11" spans="1:7" x14ac:dyDescent="0.3">
      <c r="A11" s="100">
        <v>45940</v>
      </c>
      <c r="B11" s="100" t="s">
        <v>211</v>
      </c>
      <c r="C11" s="7" t="s">
        <v>32</v>
      </c>
      <c r="D11" s="7" t="s">
        <v>1247</v>
      </c>
      <c r="E11" s="8">
        <v>-7009.1</v>
      </c>
      <c r="F11" s="13" t="s">
        <v>8</v>
      </c>
      <c r="G11" s="9" t="s">
        <v>75</v>
      </c>
    </row>
    <row r="12" spans="1:7" x14ac:dyDescent="0.3">
      <c r="A12" s="100">
        <v>45940</v>
      </c>
      <c r="B12" s="100" t="s">
        <v>211</v>
      </c>
      <c r="C12" s="7" t="s">
        <v>32</v>
      </c>
      <c r="D12" s="7" t="s">
        <v>1443</v>
      </c>
      <c r="E12" s="8">
        <v>-1321.77</v>
      </c>
      <c r="F12" s="13" t="s">
        <v>8</v>
      </c>
      <c r="G12" s="9" t="s">
        <v>75</v>
      </c>
    </row>
    <row r="13" spans="1:7" x14ac:dyDescent="0.3">
      <c r="A13" s="100">
        <v>45940</v>
      </c>
      <c r="B13" s="100" t="s">
        <v>211</v>
      </c>
      <c r="C13" s="7" t="s">
        <v>71</v>
      </c>
      <c r="D13" s="7" t="s">
        <v>86</v>
      </c>
      <c r="E13" s="8">
        <v>-5270.17</v>
      </c>
      <c r="F13" s="13" t="s">
        <v>8</v>
      </c>
      <c r="G13" s="9" t="s">
        <v>75</v>
      </c>
    </row>
    <row r="14" spans="1:7" x14ac:dyDescent="0.3">
      <c r="A14" s="100">
        <v>45940</v>
      </c>
      <c r="B14" s="100" t="s">
        <v>211</v>
      </c>
      <c r="C14" s="7" t="s">
        <v>71</v>
      </c>
      <c r="D14" s="7" t="s">
        <v>1621</v>
      </c>
      <c r="E14" s="8">
        <v>-1430.57</v>
      </c>
      <c r="F14" s="13" t="s">
        <v>8</v>
      </c>
      <c r="G14" s="9" t="s">
        <v>75</v>
      </c>
    </row>
    <row r="15" spans="1:7" x14ac:dyDescent="0.3">
      <c r="A15" s="100">
        <v>45940</v>
      </c>
      <c r="B15" s="100" t="s">
        <v>211</v>
      </c>
      <c r="C15" s="7" t="s">
        <v>17</v>
      </c>
      <c r="D15" s="7" t="s">
        <v>500</v>
      </c>
      <c r="E15" s="8">
        <v>-149.74</v>
      </c>
      <c r="F15" s="13" t="s">
        <v>8</v>
      </c>
      <c r="G15" s="9" t="s">
        <v>75</v>
      </c>
    </row>
    <row r="16" spans="1:7" x14ac:dyDescent="0.3">
      <c r="A16" s="146">
        <v>45943</v>
      </c>
      <c r="B16" s="100" t="s">
        <v>211</v>
      </c>
      <c r="C16" s="7" t="s">
        <v>31</v>
      </c>
      <c r="D16" s="7" t="s">
        <v>1736</v>
      </c>
      <c r="E16" s="8">
        <v>-300</v>
      </c>
      <c r="F16" s="13" t="s">
        <v>8</v>
      </c>
      <c r="G16" s="9" t="s">
        <v>75</v>
      </c>
    </row>
    <row r="17" spans="1:7" x14ac:dyDescent="0.3">
      <c r="A17" s="146">
        <v>45943</v>
      </c>
      <c r="B17" s="100" t="s">
        <v>211</v>
      </c>
      <c r="C17" s="7" t="s">
        <v>31</v>
      </c>
      <c r="D17" s="7" t="s">
        <v>1736</v>
      </c>
      <c r="E17" s="8">
        <v>-1300</v>
      </c>
      <c r="F17" s="13" t="s">
        <v>8</v>
      </c>
      <c r="G17" s="9" t="s">
        <v>75</v>
      </c>
    </row>
    <row r="18" spans="1:7" x14ac:dyDescent="0.3">
      <c r="A18" s="146">
        <v>45943</v>
      </c>
      <c r="B18" s="100" t="s">
        <v>211</v>
      </c>
      <c r="C18" s="7" t="s">
        <v>17</v>
      </c>
      <c r="D18" s="7" t="s">
        <v>1706</v>
      </c>
      <c r="E18" s="8">
        <v>-350</v>
      </c>
      <c r="F18" s="13" t="s">
        <v>8</v>
      </c>
      <c r="G18" s="9" t="s">
        <v>75</v>
      </c>
    </row>
    <row r="19" spans="1:7" x14ac:dyDescent="0.3">
      <c r="A19" s="100">
        <v>45943</v>
      </c>
      <c r="B19" s="100" t="s">
        <v>211</v>
      </c>
      <c r="C19" s="7" t="s">
        <v>17</v>
      </c>
      <c r="D19" s="7" t="s">
        <v>1706</v>
      </c>
      <c r="E19" s="8">
        <v>-2000</v>
      </c>
      <c r="F19" s="13" t="s">
        <v>8</v>
      </c>
      <c r="G19" s="9" t="s">
        <v>75</v>
      </c>
    </row>
    <row r="20" spans="1:7" x14ac:dyDescent="0.3">
      <c r="A20" s="100">
        <v>45931</v>
      </c>
      <c r="B20" s="100" t="s">
        <v>211</v>
      </c>
      <c r="C20" s="7" t="s">
        <v>31</v>
      </c>
      <c r="D20" s="7" t="s">
        <v>1550</v>
      </c>
      <c r="E20" s="8">
        <v>-1263.33</v>
      </c>
      <c r="F20" s="13" t="s">
        <v>8</v>
      </c>
      <c r="G20" s="9" t="s">
        <v>75</v>
      </c>
    </row>
    <row r="21" spans="1:7" x14ac:dyDescent="0.3">
      <c r="A21" s="100">
        <v>45931</v>
      </c>
      <c r="B21" s="100" t="s">
        <v>211</v>
      </c>
      <c r="C21" s="7" t="s">
        <v>32</v>
      </c>
      <c r="D21" s="7" t="s">
        <v>1551</v>
      </c>
      <c r="E21" s="8">
        <v>-593.25</v>
      </c>
      <c r="F21" s="13" t="s">
        <v>8</v>
      </c>
      <c r="G21" s="9" t="s">
        <v>75</v>
      </c>
    </row>
    <row r="22" spans="1:7" x14ac:dyDescent="0.3">
      <c r="E22" s="28">
        <f>SUM(E1:E21)</f>
        <v>-45370.950000000004</v>
      </c>
    </row>
  </sheetData>
  <conditionalFormatting sqref="F1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:F4">
    <cfRule type="colorScale" priority="11">
      <colorScale>
        <cfvo type="min"/>
        <cfvo type="max"/>
        <color rgb="FFF8696B"/>
        <color rgb="FFFCFCFF"/>
      </colorScale>
    </cfRule>
  </conditionalFormatting>
  <conditionalFormatting sqref="F5:F19">
    <cfRule type="colorScale" priority="9">
      <colorScale>
        <cfvo type="min"/>
        <cfvo type="max"/>
        <color rgb="FFF8696B"/>
        <color rgb="FFFCFCFF"/>
      </colorScale>
    </cfRule>
  </conditionalFormatting>
  <conditionalFormatting sqref="F20:F21">
    <cfRule type="colorScale" priority="1">
      <colorScale>
        <cfvo type="min"/>
        <cfvo type="max"/>
        <color rgb="FFF8696B"/>
        <color rgb="FFFCFCFF"/>
      </colorScale>
    </cfRule>
  </conditionalFormatting>
  <conditionalFormatting sqref="G2:G4">
    <cfRule type="colorScale" priority="10">
      <colorScale>
        <cfvo type="min"/>
        <cfvo type="max"/>
        <color rgb="FFF8696B"/>
        <color rgb="FFFCFCFF"/>
      </colorScale>
    </cfRule>
  </conditionalFormatting>
  <conditionalFormatting sqref="G9">
    <cfRule type="colorScale" priority="8">
      <colorScale>
        <cfvo type="min"/>
        <cfvo type="max"/>
        <color rgb="FFF8696B"/>
        <color rgb="FFFCFCFF"/>
      </colorScale>
    </cfRule>
  </conditionalFormatting>
  <conditionalFormatting sqref="G10">
    <cfRule type="colorScale" priority="7">
      <colorScale>
        <cfvo type="min"/>
        <cfvo type="max"/>
        <color rgb="FFF8696B"/>
        <color rgb="FFFCFCFF"/>
      </colorScale>
    </cfRule>
  </conditionalFormatting>
  <conditionalFormatting sqref="G11">
    <cfRule type="colorScale" priority="6">
      <colorScale>
        <cfvo type="min"/>
        <cfvo type="max"/>
        <color rgb="FFF8696B"/>
        <color rgb="FFFCFCFF"/>
      </colorScale>
    </cfRule>
  </conditionalFormatting>
  <conditionalFormatting sqref="G12">
    <cfRule type="colorScale" priority="5">
      <colorScale>
        <cfvo type="min"/>
        <cfvo type="max"/>
        <color rgb="FFF8696B"/>
        <color rgb="FFFCFCFF"/>
      </colorScale>
    </cfRule>
  </conditionalFormatting>
  <conditionalFormatting sqref="G13">
    <cfRule type="colorScale" priority="4">
      <colorScale>
        <cfvo type="min"/>
        <cfvo type="max"/>
        <color rgb="FFF8696B"/>
        <color rgb="FFFCFCFF"/>
      </colorScale>
    </cfRule>
  </conditionalFormatting>
  <conditionalFormatting sqref="G14">
    <cfRule type="colorScale" priority="3">
      <colorScale>
        <cfvo type="min"/>
        <cfvo type="max"/>
        <color rgb="FFF8696B"/>
        <color rgb="FFFCFCFF"/>
      </colorScale>
    </cfRule>
  </conditionalFormatting>
  <conditionalFormatting sqref="G15:G19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5016-E582-4307-A395-8CEAF0BC58E8}">
  <sheetPr codeName="Planilha1"/>
  <dimension ref="A1:F10"/>
  <sheetViews>
    <sheetView workbookViewId="0">
      <selection activeCell="D28" sqref="D28"/>
    </sheetView>
  </sheetViews>
  <sheetFormatPr defaultColWidth="28.33203125" defaultRowHeight="13.8" x14ac:dyDescent="0.3"/>
  <cols>
    <col min="1" max="1" width="28.33203125" style="707"/>
    <col min="2" max="2" width="4" style="707" bestFit="1" customWidth="1"/>
    <col min="3" max="3" width="36.109375" style="707" customWidth="1"/>
    <col min="4" max="4" width="28.33203125" style="707"/>
    <col min="5" max="6" width="12.88671875" style="716" bestFit="1" customWidth="1"/>
    <col min="7" max="16384" width="28.33203125" style="707"/>
  </cols>
  <sheetData>
    <row r="1" spans="1:6" x14ac:dyDescent="0.3">
      <c r="A1" s="705"/>
      <c r="B1" s="706">
        <v>341</v>
      </c>
      <c r="C1" s="711" t="s">
        <v>1751</v>
      </c>
      <c r="D1" s="707" t="s">
        <v>1730</v>
      </c>
      <c r="E1" s="713">
        <v>785.34</v>
      </c>
      <c r="F1" s="713">
        <v>702.24</v>
      </c>
    </row>
    <row r="2" spans="1:6" x14ac:dyDescent="0.3">
      <c r="A2" s="709"/>
      <c r="B2" s="710"/>
      <c r="C2" s="712" t="s">
        <v>1752</v>
      </c>
      <c r="D2" s="707" t="s">
        <v>1730</v>
      </c>
      <c r="E2" s="714">
        <v>267.54000000000002</v>
      </c>
      <c r="F2" s="714">
        <v>239.4</v>
      </c>
    </row>
    <row r="3" spans="1:6" x14ac:dyDescent="0.3">
      <c r="A3" s="706"/>
      <c r="B3" s="708"/>
      <c r="C3" s="711" t="s">
        <v>1753</v>
      </c>
      <c r="D3" s="707" t="s">
        <v>1730</v>
      </c>
      <c r="E3" s="713">
        <v>428.34</v>
      </c>
      <c r="F3" s="713">
        <v>383.04</v>
      </c>
    </row>
    <row r="4" spans="1:6" x14ac:dyDescent="0.3">
      <c r="A4" s="709"/>
      <c r="B4" s="710"/>
      <c r="C4" s="712" t="s">
        <v>1754</v>
      </c>
      <c r="D4" s="707" t="s">
        <v>1730</v>
      </c>
      <c r="E4" s="714">
        <v>321.32</v>
      </c>
      <c r="F4" s="714">
        <v>287.27999999999997</v>
      </c>
    </row>
    <row r="5" spans="1:6" x14ac:dyDescent="0.3">
      <c r="A5" s="706"/>
      <c r="B5" s="708"/>
      <c r="C5" s="711" t="s">
        <v>1755</v>
      </c>
      <c r="D5" s="707" t="s">
        <v>1730</v>
      </c>
      <c r="E5" s="713">
        <v>892.64</v>
      </c>
      <c r="F5" s="713">
        <v>798</v>
      </c>
    </row>
    <row r="6" spans="1:6" x14ac:dyDescent="0.3">
      <c r="A6" s="709"/>
      <c r="B6" s="710"/>
      <c r="C6" s="712" t="s">
        <v>649</v>
      </c>
      <c r="D6" s="707" t="s">
        <v>1730</v>
      </c>
      <c r="E6" s="714">
        <v>178.36</v>
      </c>
      <c r="F6" s="714">
        <v>159.6</v>
      </c>
    </row>
    <row r="7" spans="1:6" x14ac:dyDescent="0.3">
      <c r="A7" s="706"/>
      <c r="B7" s="708"/>
      <c r="C7" s="711" t="s">
        <v>1756</v>
      </c>
      <c r="D7" s="707" t="s">
        <v>1730</v>
      </c>
      <c r="E7" s="713">
        <v>428.34</v>
      </c>
      <c r="F7" s="713">
        <v>383.04</v>
      </c>
    </row>
    <row r="8" spans="1:6" x14ac:dyDescent="0.3">
      <c r="A8" s="709"/>
      <c r="B8" s="710"/>
      <c r="C8" s="712" t="s">
        <v>1757</v>
      </c>
      <c r="D8" s="707" t="s">
        <v>1730</v>
      </c>
      <c r="E8" s="714">
        <v>499.68</v>
      </c>
      <c r="F8" s="714">
        <v>446.88</v>
      </c>
    </row>
    <row r="9" spans="1:6" x14ac:dyDescent="0.3">
      <c r="A9" s="706"/>
      <c r="B9" s="708"/>
      <c r="C9" s="711" t="s">
        <v>1758</v>
      </c>
      <c r="D9" s="707" t="s">
        <v>1730</v>
      </c>
      <c r="E9" s="713">
        <v>410.5</v>
      </c>
      <c r="F9" s="713">
        <v>367.08</v>
      </c>
    </row>
    <row r="10" spans="1:6" x14ac:dyDescent="0.3">
      <c r="E10" s="715">
        <f>SUM(E1:E9)</f>
        <v>4212.0599999999995</v>
      </c>
      <c r="F10" s="715">
        <f>SUM(F1:F9)</f>
        <v>3766.56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2289" r:id="rId3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60960</xdr:rowOff>
              </to>
            </anchor>
          </controlPr>
        </control>
      </mc:Choice>
      <mc:Fallback>
        <control shapeId="12289" r:id="rId3" name="Control 1"/>
      </mc:Fallback>
    </mc:AlternateContent>
    <mc:AlternateContent xmlns:mc="http://schemas.openxmlformats.org/markup-compatibility/2006">
      <mc:Choice Requires="x14">
        <control shapeId="12290" r:id="rId5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60960</xdr:rowOff>
              </to>
            </anchor>
          </controlPr>
        </control>
      </mc:Choice>
      <mc:Fallback>
        <control shapeId="12290" r:id="rId5" name="Control 2"/>
      </mc:Fallback>
    </mc:AlternateContent>
    <mc:AlternateContent xmlns:mc="http://schemas.openxmlformats.org/markup-compatibility/2006">
      <mc:Choice Requires="x14">
        <control shapeId="12291" r:id="rId6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12291" r:id="rId6" name="Control 3"/>
      </mc:Fallback>
    </mc:AlternateContent>
    <mc:AlternateContent xmlns:mc="http://schemas.openxmlformats.org/markup-compatibility/2006">
      <mc:Choice Requires="x14">
        <control shapeId="12292" r:id="rId7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12292" r:id="rId7" name="Control 4"/>
      </mc:Fallback>
    </mc:AlternateContent>
    <mc:AlternateContent xmlns:mc="http://schemas.openxmlformats.org/markup-compatibility/2006">
      <mc:Choice Requires="x14">
        <control shapeId="12293" r:id="rId8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12293" r:id="rId8" name="Control 5"/>
      </mc:Fallback>
    </mc:AlternateContent>
    <mc:AlternateContent xmlns:mc="http://schemas.openxmlformats.org/markup-compatibility/2006">
      <mc:Choice Requires="x14">
        <control shapeId="12294" r:id="rId9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12294" r:id="rId9" name="Control 6"/>
      </mc:Fallback>
    </mc:AlternateContent>
    <mc:AlternateContent xmlns:mc="http://schemas.openxmlformats.org/markup-compatibility/2006">
      <mc:Choice Requires="x14">
        <control shapeId="12295" r:id="rId10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12295" r:id="rId10" name="Control 7"/>
      </mc:Fallback>
    </mc:AlternateContent>
    <mc:AlternateContent xmlns:mc="http://schemas.openxmlformats.org/markup-compatibility/2006">
      <mc:Choice Requires="x14">
        <control shapeId="12296" r:id="rId11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12296" r:id="rId11" name="Control 8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1D75-38C2-45E3-A45D-557C29490527}">
  <dimension ref="A4:G17"/>
  <sheetViews>
    <sheetView topLeftCell="A4" workbookViewId="0">
      <selection activeCell="A4" sqref="A4:G17"/>
    </sheetView>
  </sheetViews>
  <sheetFormatPr defaultRowHeight="14.4" x14ac:dyDescent="0.3"/>
  <sheetData>
    <row r="4" spans="1:7" x14ac:dyDescent="0.3">
      <c r="A4" s="127" t="s">
        <v>0</v>
      </c>
      <c r="B4" s="1002" t="s">
        <v>1038</v>
      </c>
      <c r="C4" s="58" t="s">
        <v>1</v>
      </c>
      <c r="D4" s="127" t="s">
        <v>2</v>
      </c>
      <c r="E4" s="59" t="s">
        <v>3</v>
      </c>
      <c r="F4" s="59" t="s">
        <v>4</v>
      </c>
      <c r="G4" s="280" t="s">
        <v>5</v>
      </c>
    </row>
    <row r="5" spans="1:7" x14ac:dyDescent="0.3">
      <c r="A5" s="1049">
        <v>45958</v>
      </c>
      <c r="B5" s="375" t="s">
        <v>211</v>
      </c>
      <c r="C5" s="1050" t="s">
        <v>13</v>
      </c>
      <c r="D5" s="376" t="s">
        <v>1967</v>
      </c>
      <c r="E5" s="401">
        <v>-1646</v>
      </c>
      <c r="F5" s="378" t="s">
        <v>8</v>
      </c>
      <c r="G5" s="379" t="s">
        <v>27</v>
      </c>
    </row>
    <row r="6" spans="1:7" x14ac:dyDescent="0.3">
      <c r="A6" s="660">
        <v>45958</v>
      </c>
      <c r="B6" s="660" t="s">
        <v>211</v>
      </c>
      <c r="C6" s="1035" t="s">
        <v>25</v>
      </c>
      <c r="D6" s="1036" t="s">
        <v>2203</v>
      </c>
      <c r="E6" s="1037">
        <v>-2001.54</v>
      </c>
      <c r="F6" s="1038" t="s">
        <v>8</v>
      </c>
      <c r="G6" s="1039" t="s">
        <v>153</v>
      </c>
    </row>
    <row r="7" spans="1:7" ht="82.8" x14ac:dyDescent="0.3">
      <c r="A7" s="375">
        <v>45958</v>
      </c>
      <c r="B7" s="375" t="s">
        <v>211</v>
      </c>
      <c r="C7" s="661" t="s">
        <v>25</v>
      </c>
      <c r="D7" s="661" t="s">
        <v>1866</v>
      </c>
      <c r="E7" s="662">
        <v>-268.8</v>
      </c>
      <c r="F7" s="378" t="s">
        <v>8</v>
      </c>
      <c r="G7" s="209" t="s">
        <v>82</v>
      </c>
    </row>
    <row r="8" spans="1:7" ht="55.2" x14ac:dyDescent="0.3">
      <c r="A8" s="375">
        <v>45958</v>
      </c>
      <c r="B8" s="375" t="s">
        <v>211</v>
      </c>
      <c r="C8" s="661" t="s">
        <v>25</v>
      </c>
      <c r="D8" s="661" t="s">
        <v>1305</v>
      </c>
      <c r="E8" s="662">
        <v>-177</v>
      </c>
      <c r="F8" s="378" t="s">
        <v>8</v>
      </c>
      <c r="G8" s="209" t="s">
        <v>82</v>
      </c>
    </row>
    <row r="9" spans="1:7" ht="69" x14ac:dyDescent="0.3">
      <c r="A9" s="375">
        <v>45958</v>
      </c>
      <c r="B9" s="375" t="s">
        <v>211</v>
      </c>
      <c r="C9" s="661" t="s">
        <v>25</v>
      </c>
      <c r="D9" s="661" t="s">
        <v>2184</v>
      </c>
      <c r="E9" s="662">
        <v>-75</v>
      </c>
      <c r="F9" s="378" t="s">
        <v>8</v>
      </c>
      <c r="G9" s="209" t="s">
        <v>82</v>
      </c>
    </row>
    <row r="10" spans="1:7" ht="41.4" x14ac:dyDescent="0.3">
      <c r="A10" s="375">
        <v>45958</v>
      </c>
      <c r="B10" s="375" t="s">
        <v>211</v>
      </c>
      <c r="C10" s="661" t="s">
        <v>25</v>
      </c>
      <c r="D10" s="661" t="s">
        <v>1453</v>
      </c>
      <c r="E10" s="662">
        <v>-209.1</v>
      </c>
      <c r="F10" s="378" t="s">
        <v>8</v>
      </c>
      <c r="G10" s="209" t="s">
        <v>82</v>
      </c>
    </row>
    <row r="11" spans="1:7" ht="55.2" x14ac:dyDescent="0.3">
      <c r="A11" s="375">
        <v>45958</v>
      </c>
      <c r="B11" s="375" t="s">
        <v>211</v>
      </c>
      <c r="C11" s="661" t="s">
        <v>71</v>
      </c>
      <c r="D11" s="661" t="s">
        <v>1207</v>
      </c>
      <c r="E11" s="662">
        <v>-162.28</v>
      </c>
      <c r="F11" s="378" t="s">
        <v>8</v>
      </c>
      <c r="G11" s="209" t="s">
        <v>75</v>
      </c>
    </row>
    <row r="12" spans="1:7" ht="55.2" x14ac:dyDescent="0.3">
      <c r="A12" s="375">
        <v>45958</v>
      </c>
      <c r="B12" s="375" t="s">
        <v>211</v>
      </c>
      <c r="C12" s="661" t="s">
        <v>71</v>
      </c>
      <c r="D12" s="661" t="s">
        <v>1207</v>
      </c>
      <c r="E12" s="662">
        <v>-2210.5500000000002</v>
      </c>
      <c r="F12" s="378" t="s">
        <v>8</v>
      </c>
      <c r="G12" s="209" t="s">
        <v>75</v>
      </c>
    </row>
    <row r="13" spans="1:7" ht="41.4" x14ac:dyDescent="0.3">
      <c r="A13" s="375">
        <v>45958</v>
      </c>
      <c r="B13" s="375" t="s">
        <v>211</v>
      </c>
      <c r="C13" s="661" t="s">
        <v>25</v>
      </c>
      <c r="D13" s="661" t="s">
        <v>1387</v>
      </c>
      <c r="E13" s="662">
        <v>-1095.07</v>
      </c>
      <c r="F13" s="378" t="s">
        <v>8</v>
      </c>
      <c r="G13" s="209" t="s">
        <v>75</v>
      </c>
    </row>
    <row r="14" spans="1:7" ht="138" x14ac:dyDescent="0.3">
      <c r="A14" s="375">
        <v>45958</v>
      </c>
      <c r="B14" s="375" t="s">
        <v>211</v>
      </c>
      <c r="C14" s="661" t="s">
        <v>25</v>
      </c>
      <c r="D14" s="661" t="s">
        <v>1565</v>
      </c>
      <c r="E14" s="662">
        <v>-1501.45</v>
      </c>
      <c r="F14" s="378" t="s">
        <v>8</v>
      </c>
      <c r="G14" s="209" t="s">
        <v>153</v>
      </c>
    </row>
    <row r="15" spans="1:7" ht="276" x14ac:dyDescent="0.3">
      <c r="A15" s="375">
        <v>45958</v>
      </c>
      <c r="B15" s="375" t="s">
        <v>211</v>
      </c>
      <c r="C15" s="661" t="s">
        <v>17</v>
      </c>
      <c r="D15" s="661" t="s">
        <v>2191</v>
      </c>
      <c r="E15" s="662">
        <v>-87452.75</v>
      </c>
      <c r="F15" s="378" t="s">
        <v>8</v>
      </c>
      <c r="G15" s="379" t="s">
        <v>1931</v>
      </c>
    </row>
    <row r="16" spans="1:7" ht="96.6" x14ac:dyDescent="0.3">
      <c r="A16" s="375">
        <v>45958</v>
      </c>
      <c r="B16" s="375" t="s">
        <v>211</v>
      </c>
      <c r="C16" s="661" t="s">
        <v>33</v>
      </c>
      <c r="D16" s="661" t="s">
        <v>2236</v>
      </c>
      <c r="E16" s="1034">
        <v>-111.06</v>
      </c>
      <c r="F16" s="378" t="s">
        <v>8</v>
      </c>
      <c r="G16" s="379" t="s">
        <v>746</v>
      </c>
    </row>
    <row r="17" spans="1:7" x14ac:dyDescent="0.3">
      <c r="A17" s="375">
        <v>45958</v>
      </c>
      <c r="B17" s="375" t="s">
        <v>211</v>
      </c>
      <c r="C17" s="376" t="s">
        <v>17</v>
      </c>
      <c r="D17" s="376" t="s">
        <v>18</v>
      </c>
      <c r="E17" s="824">
        <v>-13041.15</v>
      </c>
      <c r="F17" s="378" t="s">
        <v>8</v>
      </c>
      <c r="G17" s="379" t="s">
        <v>19</v>
      </c>
    </row>
  </sheetData>
  <conditionalFormatting sqref="F4">
    <cfRule type="colorScale" priority="5">
      <colorScale>
        <cfvo type="min"/>
        <cfvo type="max"/>
        <color rgb="FFF8696B"/>
        <color rgb="FFFCFCFF"/>
      </colorScale>
    </cfRule>
  </conditionalFormatting>
  <conditionalFormatting sqref="F5:F17">
    <cfRule type="colorScale" priority="4">
      <colorScale>
        <cfvo type="min"/>
        <cfvo type="max"/>
        <color rgb="FFF8696B"/>
        <color rgb="FFFCFCFF"/>
      </colorScale>
    </cfRule>
  </conditionalFormatting>
  <conditionalFormatting sqref="G7:G11">
    <cfRule type="colorScale" priority="3">
      <colorScale>
        <cfvo type="min"/>
        <cfvo type="max"/>
        <color rgb="FFF8696B"/>
        <color rgb="FFFCFCFF"/>
      </colorScale>
    </cfRule>
  </conditionalFormatting>
  <conditionalFormatting sqref="G12:G13">
    <cfRule type="colorScale" priority="2">
      <colorScale>
        <cfvo type="min"/>
        <cfvo type="max"/>
        <color rgb="FFF8696B"/>
        <color rgb="FFFCFCFF"/>
      </colorScale>
    </cfRule>
  </conditionalFormatting>
  <conditionalFormatting sqref="G14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8382-3A1A-4AA6-82B3-51DBC2F01CFA}">
  <sheetPr codeName="Planilha3"/>
  <dimension ref="A1:M124"/>
  <sheetViews>
    <sheetView topLeftCell="A22" workbookViewId="0">
      <selection activeCell="G125" sqref="G125"/>
    </sheetView>
  </sheetViews>
  <sheetFormatPr defaultColWidth="6.6640625" defaultRowHeight="13.8" x14ac:dyDescent="0.3"/>
  <cols>
    <col min="1" max="2" width="6.6640625" style="707"/>
    <col min="3" max="3" width="36.33203125" style="998" customWidth="1"/>
    <col min="4" max="4" width="47.6640625" style="707" customWidth="1"/>
    <col min="5" max="5" width="8" style="707" bestFit="1" customWidth="1"/>
    <col min="6" max="7" width="11.44140625" style="707" bestFit="1" customWidth="1"/>
    <col min="8" max="9" width="8" style="707" bestFit="1" customWidth="1"/>
    <col min="10" max="10" width="6.6640625" style="707"/>
    <col min="11" max="11" width="18.44140625" style="707" customWidth="1"/>
    <col min="12" max="16384" width="6.6640625" style="707"/>
  </cols>
  <sheetData>
    <row r="1" spans="1:11" x14ac:dyDescent="0.3">
      <c r="A1" s="1152"/>
      <c r="B1" s="1152"/>
      <c r="C1" s="1155" t="s">
        <v>2002</v>
      </c>
      <c r="D1" s="1156"/>
      <c r="E1" s="1057"/>
      <c r="F1" s="1151" t="s">
        <v>1995</v>
      </c>
      <c r="G1" s="707" t="s">
        <v>1996</v>
      </c>
      <c r="H1" s="1159" t="s">
        <v>2006</v>
      </c>
      <c r="I1" s="1160"/>
      <c r="J1" s="1156"/>
      <c r="K1" s="1151" t="s">
        <v>2004</v>
      </c>
    </row>
    <row r="2" spans="1:11" x14ac:dyDescent="0.3">
      <c r="A2" s="1153"/>
      <c r="B2" s="1153"/>
      <c r="C2" s="1155"/>
      <c r="D2" s="1157"/>
      <c r="E2" s="1057"/>
      <c r="F2" s="1151"/>
      <c r="G2" s="707" t="s">
        <v>1997</v>
      </c>
      <c r="H2" s="1161"/>
      <c r="I2" s="1162"/>
      <c r="J2" s="1157"/>
      <c r="K2" s="1151"/>
    </row>
    <row r="3" spans="1:11" ht="14.4" thickBot="1" x14ac:dyDescent="0.35">
      <c r="A3" s="1153"/>
      <c r="B3" s="1153"/>
      <c r="C3" s="1155"/>
      <c r="D3" s="1158"/>
      <c r="E3" s="1057"/>
      <c r="F3" s="1151"/>
      <c r="G3" s="1056" t="s">
        <v>2005</v>
      </c>
      <c r="H3" s="1163"/>
      <c r="I3" s="1164"/>
      <c r="J3" s="1158"/>
      <c r="K3" s="1151"/>
    </row>
    <row r="4" spans="1:11" x14ac:dyDescent="0.3">
      <c r="A4" s="1153"/>
      <c r="B4" s="1153"/>
      <c r="C4" s="1155"/>
      <c r="D4" s="1151" t="s">
        <v>1999</v>
      </c>
      <c r="E4" s="1151" t="s">
        <v>2001</v>
      </c>
      <c r="F4" s="1151"/>
      <c r="G4" s="1056"/>
      <c r="H4" s="1151" t="s">
        <v>2000</v>
      </c>
      <c r="I4" s="1151" t="s">
        <v>2001</v>
      </c>
      <c r="J4" s="1058"/>
      <c r="K4" s="1151"/>
    </row>
    <row r="5" spans="1:11" ht="14.4" thickBot="1" x14ac:dyDescent="0.35">
      <c r="A5" s="1154"/>
      <c r="B5" s="1154"/>
      <c r="C5" s="1155"/>
      <c r="D5" s="1151"/>
      <c r="E5" s="1151"/>
      <c r="F5" s="1151"/>
      <c r="G5" s="1056"/>
      <c r="H5" s="1151"/>
      <c r="I5" s="1151"/>
      <c r="J5" s="1058"/>
      <c r="K5" s="1151"/>
    </row>
    <row r="6" spans="1:11" x14ac:dyDescent="0.3">
      <c r="A6" s="706"/>
      <c r="B6" s="1059"/>
      <c r="C6" s="1061" t="s">
        <v>2008</v>
      </c>
      <c r="D6" s="1063" t="s">
        <v>198</v>
      </c>
      <c r="E6" s="1066">
        <v>4294.3900000000003</v>
      </c>
      <c r="F6" s="1065">
        <v>45930</v>
      </c>
      <c r="G6" s="1065">
        <v>46028</v>
      </c>
      <c r="H6" s="1066">
        <v>4169.6000000000004</v>
      </c>
      <c r="I6" s="1066">
        <v>4294.3900000000003</v>
      </c>
      <c r="J6" s="1058"/>
      <c r="K6" s="1064"/>
    </row>
    <row r="7" spans="1:11" x14ac:dyDescent="0.3">
      <c r="A7" s="709"/>
      <c r="B7" s="1060"/>
      <c r="C7" s="1067" t="s">
        <v>1757</v>
      </c>
      <c r="D7" s="1063" t="s">
        <v>198</v>
      </c>
      <c r="E7" s="1071">
        <v>6462.89</v>
      </c>
      <c r="F7" s="1070">
        <v>45930</v>
      </c>
      <c r="G7" s="1070">
        <v>46028</v>
      </c>
      <c r="H7" s="1071">
        <v>6274.7</v>
      </c>
      <c r="I7" s="1071">
        <v>6462.89</v>
      </c>
      <c r="J7" s="1058"/>
      <c r="K7" s="1069"/>
    </row>
    <row r="8" spans="1:11" x14ac:dyDescent="0.3">
      <c r="A8" s="706"/>
      <c r="B8" s="1059"/>
      <c r="C8" s="1061" t="s">
        <v>1757</v>
      </c>
      <c r="D8" s="1063" t="s">
        <v>198</v>
      </c>
      <c r="E8" s="1066">
        <v>2764.96</v>
      </c>
      <c r="F8" s="1065">
        <v>45930</v>
      </c>
      <c r="G8" s="1065">
        <v>46028</v>
      </c>
      <c r="H8" s="1066">
        <v>2684.57</v>
      </c>
      <c r="I8" s="1066">
        <v>2764.96</v>
      </c>
      <c r="J8" s="1058"/>
      <c r="K8" s="1064"/>
    </row>
    <row r="9" spans="1:11" s="1082" customFormat="1" x14ac:dyDescent="0.3">
      <c r="A9" s="1074"/>
      <c r="B9" s="1075"/>
      <c r="C9" s="1076" t="s">
        <v>1755</v>
      </c>
      <c r="D9" s="1077" t="s">
        <v>2036</v>
      </c>
      <c r="E9" s="1080">
        <v>498.5</v>
      </c>
      <c r="F9" s="1079">
        <v>45932</v>
      </c>
      <c r="G9" s="1079">
        <v>45961</v>
      </c>
      <c r="H9" s="1080">
        <v>498.5</v>
      </c>
      <c r="I9" s="1080">
        <v>498.5</v>
      </c>
      <c r="J9" s="1081"/>
      <c r="K9" s="1078">
        <v>606442704</v>
      </c>
    </row>
    <row r="10" spans="1:11" s="1082" customFormat="1" x14ac:dyDescent="0.3">
      <c r="A10" s="1083"/>
      <c r="B10" s="1084"/>
      <c r="C10" s="1085" t="s">
        <v>2012</v>
      </c>
      <c r="D10" s="1077" t="s">
        <v>2014</v>
      </c>
      <c r="E10" s="1088">
        <v>90.78</v>
      </c>
      <c r="F10" s="1087">
        <v>45935</v>
      </c>
      <c r="G10" s="1087">
        <v>45995</v>
      </c>
      <c r="H10" s="1088">
        <v>89</v>
      </c>
      <c r="I10" s="1088">
        <v>90.78</v>
      </c>
      <c r="J10" s="1081"/>
      <c r="K10" s="1086">
        <v>29994107</v>
      </c>
    </row>
    <row r="11" spans="1:11" s="1082" customFormat="1" x14ac:dyDescent="0.3">
      <c r="A11" s="1074"/>
      <c r="B11" s="1075"/>
      <c r="C11" s="1076" t="s">
        <v>2012</v>
      </c>
      <c r="D11" s="1077" t="s">
        <v>2014</v>
      </c>
      <c r="E11" s="1080">
        <v>90.78</v>
      </c>
      <c r="F11" s="1079">
        <v>45935</v>
      </c>
      <c r="G11" s="1079">
        <v>45995</v>
      </c>
      <c r="H11" s="1080">
        <v>89</v>
      </c>
      <c r="I11" s="1080">
        <v>90.78</v>
      </c>
      <c r="J11" s="1081"/>
      <c r="K11" s="1078">
        <v>29994095</v>
      </c>
    </row>
    <row r="12" spans="1:11" s="1082" customFormat="1" x14ac:dyDescent="0.3">
      <c r="A12" s="1083"/>
      <c r="B12" s="1084"/>
      <c r="C12" s="1085" t="s">
        <v>2012</v>
      </c>
      <c r="D12" s="1077" t="s">
        <v>2014</v>
      </c>
      <c r="E12" s="1088">
        <v>90.78</v>
      </c>
      <c r="F12" s="1087">
        <v>45935</v>
      </c>
      <c r="G12" s="1087">
        <v>45995</v>
      </c>
      <c r="H12" s="1088">
        <v>89</v>
      </c>
      <c r="I12" s="1088">
        <v>90.78</v>
      </c>
      <c r="J12" s="1081"/>
      <c r="K12" s="1086">
        <v>29994119</v>
      </c>
    </row>
    <row r="13" spans="1:11" s="1082" customFormat="1" x14ac:dyDescent="0.3">
      <c r="A13" s="1074"/>
      <c r="B13" s="1075"/>
      <c r="C13" s="1076" t="s">
        <v>2012</v>
      </c>
      <c r="D13" s="1077" t="s">
        <v>2014</v>
      </c>
      <c r="E13" s="1080">
        <v>90.78</v>
      </c>
      <c r="F13" s="1079">
        <v>45935</v>
      </c>
      <c r="G13" s="1079">
        <v>45995</v>
      </c>
      <c r="H13" s="1080">
        <v>89</v>
      </c>
      <c r="I13" s="1080">
        <v>90.78</v>
      </c>
      <c r="J13" s="1081"/>
      <c r="K13" s="1078">
        <v>29994131</v>
      </c>
    </row>
    <row r="14" spans="1:11" s="1082" customFormat="1" x14ac:dyDescent="0.3">
      <c r="A14" s="1083"/>
      <c r="B14" s="1084"/>
      <c r="C14" s="1085" t="s">
        <v>2012</v>
      </c>
      <c r="D14" s="1077" t="s">
        <v>2014</v>
      </c>
      <c r="E14" s="1088">
        <v>90.78</v>
      </c>
      <c r="F14" s="1087">
        <v>45935</v>
      </c>
      <c r="G14" s="1087">
        <v>45995</v>
      </c>
      <c r="H14" s="1088">
        <v>89</v>
      </c>
      <c r="I14" s="1088">
        <v>90.78</v>
      </c>
      <c r="J14" s="1081"/>
      <c r="K14" s="1086">
        <v>29994143</v>
      </c>
    </row>
    <row r="15" spans="1:11" s="1082" customFormat="1" x14ac:dyDescent="0.3">
      <c r="A15" s="1074"/>
      <c r="B15" s="1075"/>
      <c r="C15" s="1076" t="s">
        <v>2012</v>
      </c>
      <c r="D15" s="1077" t="s">
        <v>2014</v>
      </c>
      <c r="E15" s="1080">
        <v>90.78</v>
      </c>
      <c r="F15" s="1079">
        <v>45935</v>
      </c>
      <c r="G15" s="1079">
        <v>45995</v>
      </c>
      <c r="H15" s="1080">
        <v>89</v>
      </c>
      <c r="I15" s="1080">
        <v>90.78</v>
      </c>
      <c r="J15" s="1081"/>
      <c r="K15" s="1078">
        <v>29994155</v>
      </c>
    </row>
    <row r="16" spans="1:11" s="1082" customFormat="1" x14ac:dyDescent="0.3">
      <c r="A16" s="1083"/>
      <c r="B16" s="1084"/>
      <c r="C16" s="1085" t="s">
        <v>2012</v>
      </c>
      <c r="D16" s="1077" t="s">
        <v>2014</v>
      </c>
      <c r="E16" s="1088">
        <v>90.78</v>
      </c>
      <c r="F16" s="1087">
        <v>45935</v>
      </c>
      <c r="G16" s="1087">
        <v>45995</v>
      </c>
      <c r="H16" s="1088">
        <v>89</v>
      </c>
      <c r="I16" s="1088">
        <v>90.78</v>
      </c>
      <c r="J16" s="1081"/>
      <c r="K16" s="1086">
        <v>29994167</v>
      </c>
    </row>
    <row r="17" spans="1:11" s="1082" customFormat="1" x14ac:dyDescent="0.3">
      <c r="A17" s="1074"/>
      <c r="B17" s="1075"/>
      <c r="C17" s="1076" t="s">
        <v>2012</v>
      </c>
      <c r="D17" s="1077" t="s">
        <v>2014</v>
      </c>
      <c r="E17" s="1080">
        <v>90.78</v>
      </c>
      <c r="F17" s="1079">
        <v>45935</v>
      </c>
      <c r="G17" s="1079">
        <v>45995</v>
      </c>
      <c r="H17" s="1080">
        <v>89</v>
      </c>
      <c r="I17" s="1080">
        <v>90.78</v>
      </c>
      <c r="J17" s="1081"/>
      <c r="K17" s="1078">
        <v>29994179</v>
      </c>
    </row>
    <row r="18" spans="1:11" s="1082" customFormat="1" x14ac:dyDescent="0.3">
      <c r="A18" s="1083"/>
      <c r="B18" s="1084"/>
      <c r="C18" s="1085" t="s">
        <v>2012</v>
      </c>
      <c r="D18" s="1077" t="s">
        <v>2014</v>
      </c>
      <c r="E18" s="1088">
        <v>90.78</v>
      </c>
      <c r="F18" s="1087">
        <v>45935</v>
      </c>
      <c r="G18" s="1087">
        <v>45995</v>
      </c>
      <c r="H18" s="1088">
        <v>89</v>
      </c>
      <c r="I18" s="1088">
        <v>90.78</v>
      </c>
      <c r="J18" s="1081"/>
      <c r="K18" s="1086">
        <v>29994191</v>
      </c>
    </row>
    <row r="19" spans="1:11" s="1082" customFormat="1" x14ac:dyDescent="0.3">
      <c r="A19" s="1074"/>
      <c r="B19" s="1075"/>
      <c r="C19" s="1076" t="s">
        <v>1757</v>
      </c>
      <c r="D19" s="1077" t="s">
        <v>2038</v>
      </c>
      <c r="E19" s="1080">
        <v>159.13999999999999</v>
      </c>
      <c r="F19" s="1079">
        <v>45937</v>
      </c>
      <c r="G19" s="1079">
        <v>49587</v>
      </c>
      <c r="H19" s="1080">
        <v>154.9</v>
      </c>
      <c r="I19" s="1080">
        <v>159.13999999999999</v>
      </c>
      <c r="J19" s="1081"/>
      <c r="K19" s="1078">
        <v>415325</v>
      </c>
    </row>
    <row r="20" spans="1:11" s="1082" customFormat="1" x14ac:dyDescent="0.3">
      <c r="A20" s="1083"/>
      <c r="B20" s="1084"/>
      <c r="C20" s="1085" t="s">
        <v>1757</v>
      </c>
      <c r="D20" s="1077" t="s">
        <v>2040</v>
      </c>
      <c r="E20" s="1088">
        <v>143.84</v>
      </c>
      <c r="F20" s="1087">
        <v>45937</v>
      </c>
      <c r="G20" s="1087">
        <v>49587</v>
      </c>
      <c r="H20" s="1088">
        <v>139.9</v>
      </c>
      <c r="I20" s="1088">
        <v>143.84</v>
      </c>
      <c r="J20" s="1081"/>
      <c r="K20" s="1086">
        <v>415324</v>
      </c>
    </row>
    <row r="21" spans="1:11" s="1082" customFormat="1" x14ac:dyDescent="0.3">
      <c r="A21" s="1074"/>
      <c r="B21" s="1075"/>
      <c r="C21" s="1076" t="s">
        <v>1752</v>
      </c>
      <c r="D21" s="1077" t="s">
        <v>2036</v>
      </c>
      <c r="E21" s="1080">
        <v>498.5</v>
      </c>
      <c r="F21" s="1079">
        <v>45939</v>
      </c>
      <c r="G21" s="1079">
        <v>45968</v>
      </c>
      <c r="H21" s="1080">
        <v>498.5</v>
      </c>
      <c r="I21" s="1080">
        <v>498.5</v>
      </c>
      <c r="J21" s="1081"/>
      <c r="K21" s="1078">
        <v>607406560</v>
      </c>
    </row>
    <row r="22" spans="1:11" s="1082" customFormat="1" x14ac:dyDescent="0.3">
      <c r="A22" s="1083"/>
      <c r="B22" s="1084"/>
      <c r="C22" s="1085" t="s">
        <v>1751</v>
      </c>
      <c r="D22" s="1077" t="s">
        <v>2036</v>
      </c>
      <c r="E22" s="1088">
        <v>498.5</v>
      </c>
      <c r="F22" s="1087">
        <v>45939</v>
      </c>
      <c r="G22" s="1087">
        <v>45968</v>
      </c>
      <c r="H22" s="1088">
        <v>498.5</v>
      </c>
      <c r="I22" s="1088">
        <v>498.5</v>
      </c>
      <c r="J22" s="1081"/>
      <c r="K22" s="1086">
        <v>607406563</v>
      </c>
    </row>
    <row r="23" spans="1:11" s="1082" customFormat="1" x14ac:dyDescent="0.3">
      <c r="A23" s="1074"/>
      <c r="B23" s="1075"/>
      <c r="C23" s="1076" t="s">
        <v>1753</v>
      </c>
      <c r="D23" s="1077" t="s">
        <v>2036</v>
      </c>
      <c r="E23" s="1080">
        <v>498.5</v>
      </c>
      <c r="F23" s="1079">
        <v>45939</v>
      </c>
      <c r="G23" s="1079">
        <v>45968</v>
      </c>
      <c r="H23" s="1080">
        <v>498.5</v>
      </c>
      <c r="I23" s="1080">
        <v>498.5</v>
      </c>
      <c r="J23" s="1081"/>
      <c r="K23" s="1078">
        <v>607406561</v>
      </c>
    </row>
    <row r="24" spans="1:11" x14ac:dyDescent="0.3">
      <c r="A24" s="706"/>
      <c r="B24" s="1059"/>
      <c r="C24" s="1061" t="s">
        <v>649</v>
      </c>
      <c r="D24" s="1063" t="s">
        <v>2042</v>
      </c>
      <c r="E24" s="1073">
        <v>203.44</v>
      </c>
      <c r="F24" s="1065">
        <v>45940</v>
      </c>
      <c r="G24" s="1065">
        <v>49592</v>
      </c>
      <c r="H24" s="1073">
        <v>183.86</v>
      </c>
      <c r="I24" s="1073">
        <v>203.44</v>
      </c>
      <c r="J24" s="1058"/>
      <c r="K24" s="1064">
        <v>1222093</v>
      </c>
    </row>
    <row r="25" spans="1:11" x14ac:dyDescent="0.3">
      <c r="A25" s="709"/>
      <c r="B25" s="1060"/>
      <c r="C25" s="1067" t="s">
        <v>2043</v>
      </c>
      <c r="D25" s="1063" t="s">
        <v>2042</v>
      </c>
      <c r="E25" s="1072">
        <v>846.97</v>
      </c>
      <c r="F25" s="1070">
        <v>45940</v>
      </c>
      <c r="G25" s="1070">
        <v>49592</v>
      </c>
      <c r="H25" s="1072">
        <v>765.25</v>
      </c>
      <c r="I25" s="1072">
        <v>846.97</v>
      </c>
      <c r="J25" s="1058"/>
      <c r="K25" s="1069">
        <v>1222092</v>
      </c>
    </row>
    <row r="26" spans="1:11" x14ac:dyDescent="0.3">
      <c r="A26" s="706"/>
      <c r="B26" s="1059"/>
      <c r="C26" s="1061" t="s">
        <v>1751</v>
      </c>
      <c r="D26" s="1063" t="s">
        <v>2042</v>
      </c>
      <c r="E26" s="1066">
        <v>1937.62</v>
      </c>
      <c r="F26" s="1065">
        <v>45940</v>
      </c>
      <c r="G26" s="1065">
        <v>49592</v>
      </c>
      <c r="H26" s="1066">
        <v>1750.93</v>
      </c>
      <c r="I26" s="1066">
        <v>1937.62</v>
      </c>
      <c r="J26" s="1058"/>
      <c r="K26" s="1064">
        <v>1222098</v>
      </c>
    </row>
    <row r="27" spans="1:11" x14ac:dyDescent="0.3">
      <c r="A27" s="709"/>
      <c r="B27" s="1060"/>
      <c r="C27" s="1067" t="s">
        <v>1754</v>
      </c>
      <c r="D27" s="1063" t="s">
        <v>2042</v>
      </c>
      <c r="E27" s="1072">
        <v>720.33</v>
      </c>
      <c r="F27" s="1070">
        <v>45940</v>
      </c>
      <c r="G27" s="1070">
        <v>49592</v>
      </c>
      <c r="H27" s="1072">
        <v>650.85</v>
      </c>
      <c r="I27" s="1072">
        <v>720.33</v>
      </c>
      <c r="J27" s="1058"/>
      <c r="K27" s="1069">
        <v>1222095</v>
      </c>
    </row>
    <row r="28" spans="1:11" x14ac:dyDescent="0.3">
      <c r="A28" s="706"/>
      <c r="B28" s="1059"/>
      <c r="C28" s="1061" t="s">
        <v>2044</v>
      </c>
      <c r="D28" s="1063" t="s">
        <v>2042</v>
      </c>
      <c r="E28" s="1073">
        <v>715.18</v>
      </c>
      <c r="F28" s="1065">
        <v>45940</v>
      </c>
      <c r="G28" s="1065">
        <v>49592</v>
      </c>
      <c r="H28" s="1073">
        <v>646.16999999999996</v>
      </c>
      <c r="I28" s="1073">
        <v>715.18</v>
      </c>
      <c r="J28" s="1058"/>
      <c r="K28" s="1064">
        <v>1222090</v>
      </c>
    </row>
    <row r="29" spans="1:11" x14ac:dyDescent="0.3">
      <c r="A29" s="709"/>
      <c r="B29" s="1060"/>
      <c r="C29" s="1067" t="s">
        <v>1755</v>
      </c>
      <c r="D29" s="1063" t="s">
        <v>2042</v>
      </c>
      <c r="E29" s="1071">
        <v>2590.94</v>
      </c>
      <c r="F29" s="1070">
        <v>45940</v>
      </c>
      <c r="G29" s="1070">
        <v>49592</v>
      </c>
      <c r="H29" s="1071">
        <v>2341.2199999999998</v>
      </c>
      <c r="I29" s="1071">
        <v>2590.94</v>
      </c>
      <c r="J29" s="1058"/>
      <c r="K29" s="1069">
        <v>1222094</v>
      </c>
    </row>
    <row r="30" spans="1:11" x14ac:dyDescent="0.3">
      <c r="A30" s="706"/>
      <c r="B30" s="1059"/>
      <c r="C30" s="1061" t="s">
        <v>2012</v>
      </c>
      <c r="D30" s="1063" t="s">
        <v>2042</v>
      </c>
      <c r="E30" s="1066">
        <v>1163.76</v>
      </c>
      <c r="F30" s="1065">
        <v>45940</v>
      </c>
      <c r="G30" s="1065">
        <v>49592</v>
      </c>
      <c r="H30" s="1066">
        <v>1051.5999999999999</v>
      </c>
      <c r="I30" s="1066">
        <v>1163.76</v>
      </c>
      <c r="J30" s="1058"/>
      <c r="K30" s="1064">
        <v>1222091</v>
      </c>
    </row>
    <row r="31" spans="1:11" x14ac:dyDescent="0.3">
      <c r="A31" s="709"/>
      <c r="B31" s="1060"/>
      <c r="C31" s="1067" t="s">
        <v>1752</v>
      </c>
      <c r="D31" s="1063" t="s">
        <v>2042</v>
      </c>
      <c r="E31" s="1072">
        <v>626.26</v>
      </c>
      <c r="F31" s="1070">
        <v>45940</v>
      </c>
      <c r="G31" s="1070">
        <v>49592</v>
      </c>
      <c r="H31" s="1072">
        <v>565.88</v>
      </c>
      <c r="I31" s="1072">
        <v>626.26</v>
      </c>
      <c r="J31" s="1058"/>
      <c r="K31" s="1069">
        <v>1222097</v>
      </c>
    </row>
    <row r="32" spans="1:11" ht="13.2" customHeight="1" x14ac:dyDescent="0.3">
      <c r="A32" s="706"/>
      <c r="B32" s="1059"/>
      <c r="C32" s="1061" t="s">
        <v>1753</v>
      </c>
      <c r="D32" s="1063" t="s">
        <v>2042</v>
      </c>
      <c r="E32" s="1066">
        <v>1071.3900000000001</v>
      </c>
      <c r="F32" s="1065">
        <v>45940</v>
      </c>
      <c r="G32" s="1065">
        <v>49592</v>
      </c>
      <c r="H32" s="1073">
        <v>968.18</v>
      </c>
      <c r="I32" s="1066">
        <v>1071.3900000000001</v>
      </c>
      <c r="J32" s="1058"/>
      <c r="K32" s="1064">
        <v>1222096</v>
      </c>
    </row>
    <row r="33" spans="1:11" s="1082" customFormat="1" x14ac:dyDescent="0.3">
      <c r="A33" s="1074"/>
      <c r="B33" s="1075"/>
      <c r="C33" s="1076" t="s">
        <v>2045</v>
      </c>
      <c r="D33" s="1077" t="s">
        <v>2036</v>
      </c>
      <c r="E33" s="1080">
        <v>498.5</v>
      </c>
      <c r="F33" s="1079">
        <v>45940</v>
      </c>
      <c r="G33" s="1079">
        <v>45969</v>
      </c>
      <c r="H33" s="1080">
        <v>498.5</v>
      </c>
      <c r="I33" s="1080">
        <v>498.5</v>
      </c>
      <c r="J33" s="1081"/>
      <c r="K33" s="1078">
        <v>14196414</v>
      </c>
    </row>
    <row r="34" spans="1:11" x14ac:dyDescent="0.3">
      <c r="A34" s="706"/>
      <c r="B34" s="1059"/>
      <c r="C34" s="1061" t="s">
        <v>2030</v>
      </c>
      <c r="D34" s="1063" t="s">
        <v>2032</v>
      </c>
      <c r="E34" s="1073">
        <v>10.16</v>
      </c>
      <c r="F34" s="1065">
        <v>45941</v>
      </c>
      <c r="G34" s="1065">
        <v>45970</v>
      </c>
      <c r="H34" s="1073">
        <v>9.9</v>
      </c>
      <c r="I34" s="1073">
        <v>10.16</v>
      </c>
      <c r="J34" s="1058"/>
      <c r="K34" s="1064">
        <v>217461507</v>
      </c>
    </row>
    <row r="35" spans="1:11" x14ac:dyDescent="0.3">
      <c r="A35" s="709"/>
      <c r="B35" s="1060"/>
      <c r="C35" s="1067" t="s">
        <v>649</v>
      </c>
      <c r="D35" s="1063" t="s">
        <v>2047</v>
      </c>
      <c r="E35" s="1072">
        <v>312.25</v>
      </c>
      <c r="F35" s="1070">
        <v>45945</v>
      </c>
      <c r="G35" s="1070">
        <v>45975</v>
      </c>
      <c r="H35" s="1072">
        <v>282.64</v>
      </c>
      <c r="I35" s="1072">
        <v>312.25</v>
      </c>
      <c r="J35" s="1058"/>
      <c r="K35" s="1069">
        <v>432859</v>
      </c>
    </row>
    <row r="36" spans="1:11" x14ac:dyDescent="0.3">
      <c r="A36" s="706"/>
      <c r="B36" s="1059"/>
      <c r="C36" s="1061" t="s">
        <v>1754</v>
      </c>
      <c r="D36" s="1063" t="s">
        <v>2047</v>
      </c>
      <c r="E36" s="1073">
        <v>819.87</v>
      </c>
      <c r="F36" s="1065">
        <v>45945</v>
      </c>
      <c r="G36" s="1065">
        <v>45975</v>
      </c>
      <c r="H36" s="1073">
        <v>741.93</v>
      </c>
      <c r="I36" s="1073">
        <v>819.87</v>
      </c>
      <c r="J36" s="1058"/>
      <c r="K36" s="1064">
        <v>432853</v>
      </c>
    </row>
    <row r="37" spans="1:11" x14ac:dyDescent="0.3">
      <c r="A37" s="709"/>
      <c r="B37" s="1060"/>
      <c r="C37" s="1067" t="s">
        <v>1756</v>
      </c>
      <c r="D37" s="1063" t="s">
        <v>2047</v>
      </c>
      <c r="E37" s="1072">
        <v>858.88</v>
      </c>
      <c r="F37" s="1070">
        <v>45945</v>
      </c>
      <c r="G37" s="1070">
        <v>45975</v>
      </c>
      <c r="H37" s="1072">
        <v>777.26</v>
      </c>
      <c r="I37" s="1072">
        <v>858.88</v>
      </c>
      <c r="J37" s="1058"/>
      <c r="K37" s="1069">
        <v>432846</v>
      </c>
    </row>
    <row r="38" spans="1:11" x14ac:dyDescent="0.3">
      <c r="A38" s="706"/>
      <c r="B38" s="1059"/>
      <c r="C38" s="1061" t="s">
        <v>1755</v>
      </c>
      <c r="D38" s="1063" t="s">
        <v>2047</v>
      </c>
      <c r="E38" s="1066">
        <v>2381.44</v>
      </c>
      <c r="F38" s="1065">
        <v>45945</v>
      </c>
      <c r="G38" s="1065">
        <v>45975</v>
      </c>
      <c r="H38" s="1066">
        <v>2155.13</v>
      </c>
      <c r="I38" s="1066">
        <v>2381.44</v>
      </c>
      <c r="J38" s="1058"/>
      <c r="K38" s="1064">
        <v>432855</v>
      </c>
    </row>
    <row r="39" spans="1:11" x14ac:dyDescent="0.3">
      <c r="A39" s="709"/>
      <c r="B39" s="1060"/>
      <c r="C39" s="1067" t="s">
        <v>1753</v>
      </c>
      <c r="D39" s="1063" t="s">
        <v>2047</v>
      </c>
      <c r="E39" s="1071">
        <v>1015.08</v>
      </c>
      <c r="F39" s="1070">
        <v>45945</v>
      </c>
      <c r="G39" s="1070">
        <v>45975</v>
      </c>
      <c r="H39" s="1072">
        <v>918.58</v>
      </c>
      <c r="I39" s="1071">
        <v>1015.08</v>
      </c>
      <c r="J39" s="1058"/>
      <c r="K39" s="1069">
        <v>432873</v>
      </c>
    </row>
    <row r="40" spans="1:11" x14ac:dyDescent="0.3">
      <c r="A40" s="706"/>
      <c r="B40" s="1059"/>
      <c r="C40" s="1061" t="s">
        <v>1758</v>
      </c>
      <c r="D40" s="1063" t="s">
        <v>2047</v>
      </c>
      <c r="E40" s="1073">
        <v>780.86</v>
      </c>
      <c r="F40" s="1065">
        <v>45945</v>
      </c>
      <c r="G40" s="1065">
        <v>45975</v>
      </c>
      <c r="H40" s="1073">
        <v>706.6</v>
      </c>
      <c r="I40" s="1073">
        <v>780.86</v>
      </c>
      <c r="J40" s="1058"/>
      <c r="K40" s="1064">
        <v>432841</v>
      </c>
    </row>
    <row r="41" spans="1:11" x14ac:dyDescent="0.3">
      <c r="A41" s="709"/>
      <c r="B41" s="1060"/>
      <c r="C41" s="1067" t="s">
        <v>1752</v>
      </c>
      <c r="D41" s="1063" t="s">
        <v>2047</v>
      </c>
      <c r="E41" s="1072">
        <v>663.67</v>
      </c>
      <c r="F41" s="1070">
        <v>45945</v>
      </c>
      <c r="G41" s="1070">
        <v>45975</v>
      </c>
      <c r="H41" s="1072">
        <v>600.61</v>
      </c>
      <c r="I41" s="1072">
        <v>663.67</v>
      </c>
      <c r="J41" s="1058"/>
      <c r="K41" s="1069">
        <v>432850</v>
      </c>
    </row>
    <row r="42" spans="1:11" x14ac:dyDescent="0.3">
      <c r="A42" s="706"/>
      <c r="B42" s="1059"/>
      <c r="C42" s="1061" t="s">
        <v>1751</v>
      </c>
      <c r="D42" s="1063" t="s">
        <v>2047</v>
      </c>
      <c r="E42" s="1066">
        <v>1756.78</v>
      </c>
      <c r="F42" s="1065">
        <v>45945</v>
      </c>
      <c r="G42" s="1065">
        <v>45975</v>
      </c>
      <c r="H42" s="1066">
        <v>1589.85</v>
      </c>
      <c r="I42" s="1066">
        <v>1756.78</v>
      </c>
      <c r="J42" s="1058"/>
      <c r="K42" s="1064">
        <v>432867</v>
      </c>
    </row>
    <row r="43" spans="1:11" x14ac:dyDescent="0.3">
      <c r="A43" s="709"/>
      <c r="B43" s="1060"/>
      <c r="C43" s="1067" t="s">
        <v>1757</v>
      </c>
      <c r="D43" s="1063" t="s">
        <v>2047</v>
      </c>
      <c r="E43" s="1071">
        <v>1132.1199999999999</v>
      </c>
      <c r="F43" s="1070">
        <v>45945</v>
      </c>
      <c r="G43" s="1070">
        <v>45975</v>
      </c>
      <c r="H43" s="1071">
        <v>1024.57</v>
      </c>
      <c r="I43" s="1071">
        <v>1132.1199999999999</v>
      </c>
      <c r="J43" s="1058"/>
      <c r="K43" s="1069">
        <v>432878</v>
      </c>
    </row>
    <row r="44" spans="1:11" x14ac:dyDescent="0.3">
      <c r="A44" s="706"/>
      <c r="B44" s="1059"/>
      <c r="C44" s="1061" t="s">
        <v>2030</v>
      </c>
      <c r="D44" s="1063" t="s">
        <v>2032</v>
      </c>
      <c r="E44" s="1066">
        <v>4485.1400000000003</v>
      </c>
      <c r="F44" s="1065">
        <v>45945</v>
      </c>
      <c r="G44" s="1065">
        <v>45974</v>
      </c>
      <c r="H44" s="1066">
        <v>4375.75</v>
      </c>
      <c r="I44" s="1066">
        <v>4485.1400000000003</v>
      </c>
      <c r="J44" s="1058"/>
      <c r="K44" s="1064">
        <v>217416546</v>
      </c>
    </row>
    <row r="45" spans="1:11" x14ac:dyDescent="0.3">
      <c r="A45" s="709"/>
      <c r="B45" s="1060"/>
      <c r="C45" s="1067" t="s">
        <v>1757</v>
      </c>
      <c r="D45" s="1063" t="s">
        <v>2052</v>
      </c>
      <c r="E45" s="1072">
        <v>648.94000000000005</v>
      </c>
      <c r="F45" s="1070">
        <v>45946</v>
      </c>
      <c r="G45" s="1070">
        <v>49598</v>
      </c>
      <c r="H45" s="1072">
        <v>619.96</v>
      </c>
      <c r="I45" s="1072">
        <v>648.94000000000005</v>
      </c>
      <c r="J45" s="1058"/>
      <c r="K45" s="1069" t="s">
        <v>2053</v>
      </c>
    </row>
    <row r="46" spans="1:11" x14ac:dyDescent="0.3">
      <c r="A46" s="709"/>
      <c r="B46" s="1060"/>
      <c r="C46" s="1067" t="s">
        <v>1758</v>
      </c>
      <c r="D46" s="1063" t="s">
        <v>2052</v>
      </c>
      <c r="E46" s="1071">
        <v>1681.59</v>
      </c>
      <c r="F46" s="1070">
        <v>45950</v>
      </c>
      <c r="G46" s="1070">
        <v>49602</v>
      </c>
      <c r="H46" s="1071">
        <v>1627.39</v>
      </c>
      <c r="I46" s="1071">
        <v>1681.59</v>
      </c>
      <c r="J46" s="1058"/>
      <c r="K46" s="1069" t="s">
        <v>2076</v>
      </c>
    </row>
    <row r="47" spans="1:11" s="1095" customFormat="1" x14ac:dyDescent="0.3">
      <c r="A47" s="1089"/>
      <c r="B47" s="1090"/>
      <c r="C47" s="1091" t="s">
        <v>2045</v>
      </c>
      <c r="D47" s="1092" t="s">
        <v>2052</v>
      </c>
      <c r="E47" s="1093">
        <v>1201.1199999999999</v>
      </c>
      <c r="F47" s="1094">
        <v>45950</v>
      </c>
      <c r="G47" s="1094">
        <v>49602</v>
      </c>
      <c r="H47" s="1093">
        <v>1162.42</v>
      </c>
      <c r="I47" s="1093">
        <v>1201.1199999999999</v>
      </c>
      <c r="K47" s="1096" t="s">
        <v>2077</v>
      </c>
    </row>
    <row r="48" spans="1:11" x14ac:dyDescent="0.3">
      <c r="A48" s="709"/>
      <c r="B48" s="1060"/>
      <c r="C48" s="1067" t="s">
        <v>1755</v>
      </c>
      <c r="D48" s="1063" t="s">
        <v>2052</v>
      </c>
      <c r="E48" s="1071">
        <v>3683.57</v>
      </c>
      <c r="F48" s="1070">
        <v>45950</v>
      </c>
      <c r="G48" s="1070">
        <v>49602</v>
      </c>
      <c r="H48" s="1071">
        <v>3564.77</v>
      </c>
      <c r="I48" s="1071">
        <v>3683.57</v>
      </c>
      <c r="J48" s="1058"/>
      <c r="K48" s="1069" t="s">
        <v>2078</v>
      </c>
    </row>
    <row r="49" spans="1:11" x14ac:dyDescent="0.3">
      <c r="A49" s="706"/>
      <c r="B49" s="1059"/>
      <c r="C49" s="1061" t="s">
        <v>1753</v>
      </c>
      <c r="D49" s="1063" t="s">
        <v>2052</v>
      </c>
      <c r="E49" s="1066">
        <v>1441.41</v>
      </c>
      <c r="F49" s="1065">
        <v>45950</v>
      </c>
      <c r="G49" s="1065">
        <v>49602</v>
      </c>
      <c r="H49" s="1066">
        <v>1394.91</v>
      </c>
      <c r="I49" s="1066">
        <v>1441.41</v>
      </c>
      <c r="J49" s="1058"/>
      <c r="K49" s="1064" t="s">
        <v>2079</v>
      </c>
    </row>
    <row r="50" spans="1:11" x14ac:dyDescent="0.3">
      <c r="A50" s="709"/>
      <c r="B50" s="1060"/>
      <c r="C50" s="1067" t="s">
        <v>1751</v>
      </c>
      <c r="D50" s="1063" t="s">
        <v>2052</v>
      </c>
      <c r="E50" s="1071">
        <v>2562.54</v>
      </c>
      <c r="F50" s="1070">
        <v>45950</v>
      </c>
      <c r="G50" s="1070">
        <v>49602</v>
      </c>
      <c r="H50" s="1071">
        <v>2479.84</v>
      </c>
      <c r="I50" s="1071">
        <v>2562.54</v>
      </c>
      <c r="J50" s="1058"/>
      <c r="K50" s="1069" t="s">
        <v>2080</v>
      </c>
    </row>
    <row r="51" spans="1:11" x14ac:dyDescent="0.3">
      <c r="A51" s="706"/>
      <c r="B51" s="1059"/>
      <c r="C51" s="1061" t="s">
        <v>1752</v>
      </c>
      <c r="D51" s="1063" t="s">
        <v>2052</v>
      </c>
      <c r="E51" s="1073">
        <v>960.94</v>
      </c>
      <c r="F51" s="1065">
        <v>45950</v>
      </c>
      <c r="G51" s="1065">
        <v>49602</v>
      </c>
      <c r="H51" s="1073">
        <v>929.94</v>
      </c>
      <c r="I51" s="1073">
        <v>960.94</v>
      </c>
      <c r="J51" s="1058"/>
      <c r="K51" s="1064" t="s">
        <v>2081</v>
      </c>
    </row>
    <row r="52" spans="1:11" s="1095" customFormat="1" x14ac:dyDescent="0.3">
      <c r="A52" s="1089"/>
      <c r="B52" s="1090"/>
      <c r="C52" s="1091" t="s">
        <v>2045</v>
      </c>
      <c r="D52" s="1092" t="s">
        <v>2052</v>
      </c>
      <c r="E52" s="1093">
        <v>3203.1</v>
      </c>
      <c r="F52" s="1094">
        <v>45950</v>
      </c>
      <c r="G52" s="1094">
        <v>49602</v>
      </c>
      <c r="H52" s="1093">
        <v>3099.8</v>
      </c>
      <c r="I52" s="1093">
        <v>3203.1</v>
      </c>
      <c r="K52" s="1096" t="s">
        <v>2082</v>
      </c>
    </row>
    <row r="53" spans="1:11" x14ac:dyDescent="0.3">
      <c r="A53" s="706"/>
      <c r="B53" s="1059"/>
      <c r="C53" s="1061" t="s">
        <v>649</v>
      </c>
      <c r="D53" s="1063" t="s">
        <v>2052</v>
      </c>
      <c r="E53" s="1066">
        <v>1281.22</v>
      </c>
      <c r="F53" s="1065">
        <v>45950</v>
      </c>
      <c r="G53" s="1065">
        <v>49602</v>
      </c>
      <c r="H53" s="1066">
        <v>1239.92</v>
      </c>
      <c r="I53" s="1066">
        <v>1281.22</v>
      </c>
      <c r="J53" s="1058"/>
      <c r="K53" s="1064" t="s">
        <v>2083</v>
      </c>
    </row>
    <row r="54" spans="1:11" x14ac:dyDescent="0.3">
      <c r="A54" s="709"/>
      <c r="B54" s="1060"/>
      <c r="C54" s="1067" t="s">
        <v>1754</v>
      </c>
      <c r="D54" s="1063" t="s">
        <v>2052</v>
      </c>
      <c r="E54" s="1072">
        <v>720.65</v>
      </c>
      <c r="F54" s="1070">
        <v>45950</v>
      </c>
      <c r="G54" s="1070">
        <v>49602</v>
      </c>
      <c r="H54" s="1072">
        <v>697.45</v>
      </c>
      <c r="I54" s="1072">
        <v>720.65</v>
      </c>
      <c r="J54" s="1058"/>
      <c r="K54" s="1069" t="s">
        <v>2084</v>
      </c>
    </row>
    <row r="55" spans="1:11" x14ac:dyDescent="0.3">
      <c r="A55" s="706"/>
      <c r="B55" s="1059"/>
      <c r="C55" s="1061" t="s">
        <v>1755</v>
      </c>
      <c r="D55" s="1063" t="s">
        <v>2052</v>
      </c>
      <c r="E55" s="1066">
        <v>2962.92</v>
      </c>
      <c r="F55" s="1065">
        <v>45950</v>
      </c>
      <c r="G55" s="1065">
        <v>49602</v>
      </c>
      <c r="H55" s="1066">
        <v>2867.32</v>
      </c>
      <c r="I55" s="1066">
        <v>2962.92</v>
      </c>
      <c r="J55" s="1058"/>
      <c r="K55" s="1064" t="s">
        <v>2085</v>
      </c>
    </row>
    <row r="56" spans="1:11" x14ac:dyDescent="0.3">
      <c r="A56" s="709"/>
      <c r="B56" s="1060"/>
      <c r="C56" s="1067" t="s">
        <v>1752</v>
      </c>
      <c r="D56" s="1063" t="s">
        <v>2052</v>
      </c>
      <c r="E56" s="1072">
        <v>960.94</v>
      </c>
      <c r="F56" s="1070">
        <v>45950</v>
      </c>
      <c r="G56" s="1070">
        <v>49602</v>
      </c>
      <c r="H56" s="1072">
        <v>929.94</v>
      </c>
      <c r="I56" s="1072">
        <v>960.94</v>
      </c>
      <c r="J56" s="1058"/>
      <c r="K56" s="1069" t="s">
        <v>2086</v>
      </c>
    </row>
    <row r="57" spans="1:11" x14ac:dyDescent="0.3">
      <c r="A57" s="706"/>
      <c r="B57" s="1059"/>
      <c r="C57" s="1061" t="s">
        <v>649</v>
      </c>
      <c r="D57" s="1063" t="s">
        <v>2052</v>
      </c>
      <c r="E57" s="1073">
        <v>640.66</v>
      </c>
      <c r="F57" s="1065">
        <v>45950</v>
      </c>
      <c r="G57" s="1065">
        <v>49602</v>
      </c>
      <c r="H57" s="1073">
        <v>619.96</v>
      </c>
      <c r="I57" s="1073">
        <v>640.66</v>
      </c>
      <c r="J57" s="1058"/>
      <c r="K57" s="1064" t="s">
        <v>2087</v>
      </c>
    </row>
    <row r="58" spans="1:11" x14ac:dyDescent="0.3">
      <c r="A58" s="709"/>
      <c r="B58" s="1060"/>
      <c r="C58" s="1067" t="s">
        <v>1753</v>
      </c>
      <c r="D58" s="1063" t="s">
        <v>2052</v>
      </c>
      <c r="E58" s="1071">
        <v>1281.22</v>
      </c>
      <c r="F58" s="1070">
        <v>45950</v>
      </c>
      <c r="G58" s="1070">
        <v>49602</v>
      </c>
      <c r="H58" s="1071">
        <v>1239.92</v>
      </c>
      <c r="I58" s="1071">
        <v>1281.22</v>
      </c>
      <c r="J58" s="1058"/>
      <c r="K58" s="1069" t="s">
        <v>2088</v>
      </c>
    </row>
    <row r="59" spans="1:11" x14ac:dyDescent="0.3">
      <c r="A59" s="706"/>
      <c r="B59" s="1059"/>
      <c r="C59" s="1061" t="s">
        <v>1751</v>
      </c>
      <c r="D59" s="1063" t="s">
        <v>2052</v>
      </c>
      <c r="E59" s="1066">
        <v>2162.0700000000002</v>
      </c>
      <c r="F59" s="1065">
        <v>45950</v>
      </c>
      <c r="G59" s="1065">
        <v>49602</v>
      </c>
      <c r="H59" s="1066">
        <v>2092.37</v>
      </c>
      <c r="I59" s="1066">
        <v>2162.0700000000002</v>
      </c>
      <c r="J59" s="1058"/>
      <c r="K59" s="1064" t="s">
        <v>2089</v>
      </c>
    </row>
    <row r="60" spans="1:11" s="1095" customFormat="1" x14ac:dyDescent="0.3">
      <c r="A60" s="1089"/>
      <c r="B60" s="1090"/>
      <c r="C60" s="1091" t="s">
        <v>1757</v>
      </c>
      <c r="D60" s="1092" t="s">
        <v>2052</v>
      </c>
      <c r="E60" s="1093">
        <v>1521.51</v>
      </c>
      <c r="F60" s="1094">
        <v>45950</v>
      </c>
      <c r="G60" s="1094">
        <v>49602</v>
      </c>
      <c r="H60" s="1093">
        <v>1472.41</v>
      </c>
      <c r="I60" s="1093">
        <v>1521.51</v>
      </c>
      <c r="K60" s="1096" t="s">
        <v>2090</v>
      </c>
    </row>
    <row r="61" spans="1:11" x14ac:dyDescent="0.3">
      <c r="A61" s="706"/>
      <c r="B61" s="1059"/>
      <c r="C61" s="1061" t="s">
        <v>2045</v>
      </c>
      <c r="D61" s="1063" t="s">
        <v>2052</v>
      </c>
      <c r="E61" s="1066">
        <v>1041.04</v>
      </c>
      <c r="F61" s="1065">
        <v>45950</v>
      </c>
      <c r="G61" s="1065">
        <v>49602</v>
      </c>
      <c r="H61" s="1066">
        <v>1007.44</v>
      </c>
      <c r="I61" s="1066">
        <v>1041.04</v>
      </c>
      <c r="J61" s="1058"/>
      <c r="K61" s="1064" t="s">
        <v>2091</v>
      </c>
    </row>
    <row r="62" spans="1:11" x14ac:dyDescent="0.3">
      <c r="A62" s="709"/>
      <c r="B62" s="1060"/>
      <c r="C62" s="1067" t="s">
        <v>2045</v>
      </c>
      <c r="D62" s="1063" t="s">
        <v>2052</v>
      </c>
      <c r="E62" s="1071">
        <v>3043.01</v>
      </c>
      <c r="F62" s="1070">
        <v>45950</v>
      </c>
      <c r="G62" s="1070">
        <v>49602</v>
      </c>
      <c r="H62" s="1071">
        <v>2944.81</v>
      </c>
      <c r="I62" s="1071">
        <v>3043.01</v>
      </c>
      <c r="J62" s="1058"/>
      <c r="K62" s="1069" t="s">
        <v>2092</v>
      </c>
    </row>
    <row r="63" spans="1:11" x14ac:dyDescent="0.3">
      <c r="A63" s="706"/>
      <c r="B63" s="1059"/>
      <c r="C63" s="1061" t="s">
        <v>1754</v>
      </c>
      <c r="D63" s="1063" t="s">
        <v>2052</v>
      </c>
      <c r="E63" s="1073">
        <v>880.85</v>
      </c>
      <c r="F63" s="1065">
        <v>45950</v>
      </c>
      <c r="G63" s="1065">
        <v>49602</v>
      </c>
      <c r="H63" s="1073">
        <v>852.45</v>
      </c>
      <c r="I63" s="1073">
        <v>880.85</v>
      </c>
      <c r="J63" s="1058"/>
      <c r="K63" s="1064" t="s">
        <v>2093</v>
      </c>
    </row>
    <row r="64" spans="1:11" x14ac:dyDescent="0.3">
      <c r="A64" s="709"/>
      <c r="B64" s="1060"/>
      <c r="C64" s="1067" t="s">
        <v>1758</v>
      </c>
      <c r="D64" s="1063" t="s">
        <v>2052</v>
      </c>
      <c r="E64" s="1071">
        <v>1601.6</v>
      </c>
      <c r="F64" s="1070">
        <v>45950</v>
      </c>
      <c r="G64" s="1070">
        <v>49602</v>
      </c>
      <c r="H64" s="1071">
        <v>1549.9</v>
      </c>
      <c r="I64" s="1071">
        <v>1601.6</v>
      </c>
      <c r="J64" s="1058"/>
      <c r="K64" s="1069" t="s">
        <v>2094</v>
      </c>
    </row>
    <row r="65" spans="1:11" x14ac:dyDescent="0.3">
      <c r="A65" s="706"/>
      <c r="B65" s="1059"/>
      <c r="C65" s="1061" t="s">
        <v>44</v>
      </c>
      <c r="D65" s="1063" t="s">
        <v>2018</v>
      </c>
      <c r="E65" s="1073">
        <v>46</v>
      </c>
      <c r="F65" s="1065">
        <v>45950</v>
      </c>
      <c r="G65" s="1065">
        <v>49593</v>
      </c>
      <c r="H65" s="1073">
        <v>45</v>
      </c>
      <c r="I65" s="1073">
        <v>46</v>
      </c>
      <c r="J65" s="1058"/>
      <c r="K65" s="1064">
        <v>40931</v>
      </c>
    </row>
    <row r="66" spans="1:11" x14ac:dyDescent="0.3">
      <c r="A66" s="709"/>
      <c r="B66" s="1060"/>
      <c r="C66" s="1067" t="s">
        <v>1757</v>
      </c>
      <c r="D66" s="1063" t="s">
        <v>2014</v>
      </c>
      <c r="E66" s="1072">
        <v>90.78</v>
      </c>
      <c r="F66" s="1070">
        <v>45950</v>
      </c>
      <c r="G66" s="1070">
        <v>46010</v>
      </c>
      <c r="H66" s="1072">
        <v>89</v>
      </c>
      <c r="I66" s="1072">
        <v>90.78</v>
      </c>
      <c r="J66" s="1058"/>
      <c r="K66" s="1069">
        <v>30271319</v>
      </c>
    </row>
    <row r="67" spans="1:11" x14ac:dyDescent="0.3">
      <c r="A67" s="706"/>
      <c r="B67" s="1059"/>
      <c r="C67" s="1061" t="s">
        <v>1754</v>
      </c>
      <c r="D67" s="1063" t="s">
        <v>2098</v>
      </c>
      <c r="E67" s="1066">
        <v>1863.83</v>
      </c>
      <c r="F67" s="1065">
        <v>45950</v>
      </c>
      <c r="G67" s="1065">
        <v>45980</v>
      </c>
      <c r="H67" s="1066">
        <v>1689.3</v>
      </c>
      <c r="I67" s="1066">
        <v>1863.83</v>
      </c>
      <c r="J67" s="1058"/>
      <c r="K67" s="1064"/>
    </row>
    <row r="68" spans="1:11" x14ac:dyDescent="0.3">
      <c r="A68" s="709"/>
      <c r="B68" s="1060"/>
      <c r="C68" s="1067" t="s">
        <v>1754</v>
      </c>
      <c r="D68" s="1063" t="s">
        <v>2020</v>
      </c>
      <c r="E68" s="1072">
        <v>526.65</v>
      </c>
      <c r="F68" s="1070">
        <v>45950</v>
      </c>
      <c r="G68" s="1070">
        <v>46129</v>
      </c>
      <c r="H68" s="1072">
        <v>500</v>
      </c>
      <c r="I68" s="1072">
        <v>526.65</v>
      </c>
      <c r="J68" s="1058"/>
      <c r="K68" s="1069" t="s">
        <v>2099</v>
      </c>
    </row>
    <row r="69" spans="1:11" x14ac:dyDescent="0.3">
      <c r="A69" s="706"/>
      <c r="B69" s="1059"/>
      <c r="C69" s="1061" t="s">
        <v>1752</v>
      </c>
      <c r="D69" s="1063" t="s">
        <v>2020</v>
      </c>
      <c r="E69" s="1073">
        <v>400.25</v>
      </c>
      <c r="F69" s="1065">
        <v>45950</v>
      </c>
      <c r="G69" s="1065">
        <v>46129</v>
      </c>
      <c r="H69" s="1073">
        <v>380</v>
      </c>
      <c r="I69" s="1073">
        <v>400.25</v>
      </c>
      <c r="J69" s="1058"/>
      <c r="K69" s="1064" t="s">
        <v>2100</v>
      </c>
    </row>
    <row r="70" spans="1:11" x14ac:dyDescent="0.3">
      <c r="A70" s="709"/>
      <c r="B70" s="1060"/>
      <c r="C70" s="1067" t="s">
        <v>1753</v>
      </c>
      <c r="D70" s="1063" t="s">
        <v>2020</v>
      </c>
      <c r="E70" s="1072">
        <v>663.57</v>
      </c>
      <c r="F70" s="1070">
        <v>45950</v>
      </c>
      <c r="G70" s="1070">
        <v>46129</v>
      </c>
      <c r="H70" s="1072">
        <v>630</v>
      </c>
      <c r="I70" s="1072">
        <v>663.57</v>
      </c>
      <c r="J70" s="1058"/>
      <c r="K70" s="1069" t="s">
        <v>2101</v>
      </c>
    </row>
    <row r="71" spans="1:11" x14ac:dyDescent="0.3">
      <c r="A71" s="706"/>
      <c r="B71" s="1059"/>
      <c r="C71" s="1061" t="s">
        <v>1751</v>
      </c>
      <c r="D71" s="1063" t="s">
        <v>2020</v>
      </c>
      <c r="E71" s="1066">
        <v>1026.96</v>
      </c>
      <c r="F71" s="1065">
        <v>45950</v>
      </c>
      <c r="G71" s="1065">
        <v>46129</v>
      </c>
      <c r="H71" s="1073">
        <v>975</v>
      </c>
      <c r="I71" s="1066">
        <v>1026.96</v>
      </c>
      <c r="J71" s="1058"/>
      <c r="K71" s="1064" t="s">
        <v>2102</v>
      </c>
    </row>
    <row r="72" spans="1:11" x14ac:dyDescent="0.3">
      <c r="A72" s="709"/>
      <c r="B72" s="1060"/>
      <c r="C72" s="1067" t="s">
        <v>1756</v>
      </c>
      <c r="D72" s="1063" t="s">
        <v>2020</v>
      </c>
      <c r="E72" s="1072">
        <v>296.33999999999997</v>
      </c>
      <c r="F72" s="1070">
        <v>45950</v>
      </c>
      <c r="G72" s="1070">
        <v>46129</v>
      </c>
      <c r="H72" s="1072">
        <v>281.36</v>
      </c>
      <c r="I72" s="1072">
        <v>296.33999999999997</v>
      </c>
      <c r="J72" s="1058"/>
      <c r="K72" s="1069" t="s">
        <v>2025</v>
      </c>
    </row>
    <row r="73" spans="1:11" x14ac:dyDescent="0.3">
      <c r="A73" s="706"/>
      <c r="B73" s="1059"/>
      <c r="C73" s="1061" t="s">
        <v>649</v>
      </c>
      <c r="D73" s="1063" t="s">
        <v>2020</v>
      </c>
      <c r="E73" s="1073">
        <v>114.98</v>
      </c>
      <c r="F73" s="1065">
        <v>45950</v>
      </c>
      <c r="G73" s="1065">
        <v>46129</v>
      </c>
      <c r="H73" s="1073">
        <v>109.17</v>
      </c>
      <c r="I73" s="1073">
        <v>114.98</v>
      </c>
      <c r="J73" s="1058"/>
      <c r="K73" s="1064" t="s">
        <v>2103</v>
      </c>
    </row>
    <row r="74" spans="1:11" x14ac:dyDescent="0.3">
      <c r="A74" s="709"/>
      <c r="B74" s="1060"/>
      <c r="C74" s="1067" t="s">
        <v>1758</v>
      </c>
      <c r="D74" s="1063" t="s">
        <v>2020</v>
      </c>
      <c r="E74" s="1072">
        <v>257.76</v>
      </c>
      <c r="F74" s="1070">
        <v>45950</v>
      </c>
      <c r="G74" s="1070">
        <v>46129</v>
      </c>
      <c r="H74" s="1072">
        <v>244.73</v>
      </c>
      <c r="I74" s="1072">
        <v>257.76</v>
      </c>
      <c r="J74" s="1058"/>
      <c r="K74" s="1069" t="s">
        <v>2104</v>
      </c>
    </row>
    <row r="75" spans="1:11" x14ac:dyDescent="0.3">
      <c r="A75" s="706"/>
      <c r="B75" s="1059"/>
      <c r="C75" s="1061" t="s">
        <v>1755</v>
      </c>
      <c r="D75" s="1063" t="s">
        <v>2020</v>
      </c>
      <c r="E75" s="1066">
        <v>1181.99</v>
      </c>
      <c r="F75" s="1065">
        <v>45950</v>
      </c>
      <c r="G75" s="1065">
        <v>46129</v>
      </c>
      <c r="H75" s="1066">
        <v>1122.19</v>
      </c>
      <c r="I75" s="1066">
        <v>1181.99</v>
      </c>
      <c r="J75" s="1058"/>
      <c r="K75" s="1064" t="s">
        <v>2105</v>
      </c>
    </row>
    <row r="76" spans="1:11" x14ac:dyDescent="0.3">
      <c r="A76" s="709"/>
      <c r="B76" s="1060"/>
      <c r="C76" s="1067" t="s">
        <v>1757</v>
      </c>
      <c r="D76" s="1063" t="s">
        <v>2020</v>
      </c>
      <c r="E76" s="1071">
        <v>1117.94</v>
      </c>
      <c r="F76" s="1070">
        <v>45950</v>
      </c>
      <c r="G76" s="1070">
        <v>46129</v>
      </c>
      <c r="H76" s="1071">
        <v>1061.3800000000001</v>
      </c>
      <c r="I76" s="1071">
        <v>1117.94</v>
      </c>
      <c r="J76" s="1058"/>
      <c r="K76" s="1069" t="s">
        <v>2106</v>
      </c>
    </row>
    <row r="77" spans="1:11" x14ac:dyDescent="0.3">
      <c r="A77" s="706"/>
      <c r="B77" s="1059"/>
      <c r="C77" s="1061" t="s">
        <v>1758</v>
      </c>
      <c r="D77" s="1063" t="s">
        <v>2098</v>
      </c>
      <c r="E77" s="1066">
        <v>1863.83</v>
      </c>
      <c r="F77" s="1065">
        <v>45950</v>
      </c>
      <c r="G77" s="1065">
        <v>45980</v>
      </c>
      <c r="H77" s="1066">
        <v>1689.3</v>
      </c>
      <c r="I77" s="1066">
        <v>1863.83</v>
      </c>
      <c r="J77" s="1058"/>
      <c r="K77" s="1064"/>
    </row>
    <row r="78" spans="1:11" x14ac:dyDescent="0.3">
      <c r="A78" s="709"/>
      <c r="B78" s="1060"/>
      <c r="C78" s="1067" t="s">
        <v>1756</v>
      </c>
      <c r="D78" s="1063" t="s">
        <v>2098</v>
      </c>
      <c r="E78" s="1071">
        <v>1863.83</v>
      </c>
      <c r="F78" s="1070">
        <v>45950</v>
      </c>
      <c r="G78" s="1070">
        <v>45980</v>
      </c>
      <c r="H78" s="1071">
        <v>1689.3</v>
      </c>
      <c r="I78" s="1071">
        <v>1863.83</v>
      </c>
      <c r="J78" s="1058"/>
      <c r="K78" s="1069"/>
    </row>
    <row r="79" spans="1:11" x14ac:dyDescent="0.3">
      <c r="A79" s="706"/>
      <c r="B79" s="1059"/>
      <c r="C79" s="1061" t="s">
        <v>1755</v>
      </c>
      <c r="D79" s="1063" t="s">
        <v>2098</v>
      </c>
      <c r="E79" s="1066">
        <v>1863.83</v>
      </c>
      <c r="F79" s="1065">
        <v>45950</v>
      </c>
      <c r="G79" s="1065">
        <v>45980</v>
      </c>
      <c r="H79" s="1066">
        <v>1689.3</v>
      </c>
      <c r="I79" s="1066">
        <v>1863.83</v>
      </c>
      <c r="J79" s="1058"/>
      <c r="K79" s="1064"/>
    </row>
    <row r="80" spans="1:11" x14ac:dyDescent="0.3">
      <c r="A80" s="709"/>
      <c r="B80" s="1060"/>
      <c r="C80" s="1067" t="s">
        <v>649</v>
      </c>
      <c r="D80" s="1063" t="s">
        <v>2098</v>
      </c>
      <c r="E80" s="1071">
        <v>1863.83</v>
      </c>
      <c r="F80" s="1070">
        <v>45950</v>
      </c>
      <c r="G80" s="1070">
        <v>45980</v>
      </c>
      <c r="H80" s="1071">
        <v>1689.3</v>
      </c>
      <c r="I80" s="1071">
        <v>1863.83</v>
      </c>
      <c r="J80" s="1058"/>
      <c r="K80" s="1069"/>
    </row>
    <row r="81" spans="1:11" x14ac:dyDescent="0.3">
      <c r="A81" s="706"/>
      <c r="B81" s="1059"/>
      <c r="C81" s="1061" t="s">
        <v>1752</v>
      </c>
      <c r="D81" s="1063" t="s">
        <v>2098</v>
      </c>
      <c r="E81" s="1066">
        <v>1863.83</v>
      </c>
      <c r="F81" s="1065">
        <v>45950</v>
      </c>
      <c r="G81" s="1065">
        <v>45980</v>
      </c>
      <c r="H81" s="1066">
        <v>1689.3</v>
      </c>
      <c r="I81" s="1066">
        <v>1863.83</v>
      </c>
      <c r="J81" s="1058"/>
      <c r="K81" s="1064"/>
    </row>
    <row r="82" spans="1:11" x14ac:dyDescent="0.3">
      <c r="A82" s="709"/>
      <c r="B82" s="1060"/>
      <c r="C82" s="1067" t="s">
        <v>1753</v>
      </c>
      <c r="D82" s="1063" t="s">
        <v>2098</v>
      </c>
      <c r="E82" s="1071">
        <v>1863.83</v>
      </c>
      <c r="F82" s="1070">
        <v>45950</v>
      </c>
      <c r="G82" s="1070">
        <v>45980</v>
      </c>
      <c r="H82" s="1071">
        <v>1689.3</v>
      </c>
      <c r="I82" s="1071">
        <v>1863.83</v>
      </c>
      <c r="J82" s="1058"/>
      <c r="K82" s="1069"/>
    </row>
    <row r="83" spans="1:11" x14ac:dyDescent="0.3">
      <c r="A83" s="706"/>
      <c r="B83" s="1059"/>
      <c r="C83" s="1061" t="s">
        <v>1751</v>
      </c>
      <c r="D83" s="1063" t="s">
        <v>2098</v>
      </c>
      <c r="E83" s="1066">
        <v>1863.83</v>
      </c>
      <c r="F83" s="1065">
        <v>45950</v>
      </c>
      <c r="G83" s="1065">
        <v>45980</v>
      </c>
      <c r="H83" s="1066">
        <v>1689.3</v>
      </c>
      <c r="I83" s="1066">
        <v>1863.83</v>
      </c>
      <c r="J83" s="1058"/>
      <c r="K83" s="1064"/>
    </row>
    <row r="84" spans="1:11" x14ac:dyDescent="0.3">
      <c r="A84" s="709"/>
      <c r="B84" s="1060"/>
      <c r="C84" s="1067" t="s">
        <v>1757</v>
      </c>
      <c r="D84" s="1063" t="s">
        <v>2098</v>
      </c>
      <c r="E84" s="1071">
        <v>2588.67</v>
      </c>
      <c r="F84" s="1070">
        <v>45950</v>
      </c>
      <c r="G84" s="1070">
        <v>45980</v>
      </c>
      <c r="H84" s="1071">
        <v>2346.25</v>
      </c>
      <c r="I84" s="1071">
        <v>2588.67</v>
      </c>
      <c r="J84" s="1058"/>
      <c r="K84" s="1069"/>
    </row>
    <row r="85" spans="1:11" x14ac:dyDescent="0.3">
      <c r="A85" s="706"/>
      <c r="B85" s="1059"/>
      <c r="C85" s="1061" t="s">
        <v>1757</v>
      </c>
      <c r="D85" s="1063" t="s">
        <v>385</v>
      </c>
      <c r="E85" s="1073">
        <v>728</v>
      </c>
      <c r="F85" s="1065">
        <v>45953</v>
      </c>
      <c r="G85" s="1065">
        <v>49605</v>
      </c>
      <c r="H85" s="1073">
        <v>718.12</v>
      </c>
      <c r="I85" s="1073">
        <v>728</v>
      </c>
      <c r="J85" s="1058"/>
      <c r="K85" s="1064">
        <v>5329</v>
      </c>
    </row>
    <row r="86" spans="1:11" x14ac:dyDescent="0.3">
      <c r="A86" s="709"/>
      <c r="B86" s="1060"/>
      <c r="C86" s="1067" t="s">
        <v>2044</v>
      </c>
      <c r="D86" s="1063" t="s">
        <v>2250</v>
      </c>
      <c r="E86" s="1072">
        <v>878.13</v>
      </c>
      <c r="F86" s="1070">
        <v>45953</v>
      </c>
      <c r="G86" s="1070">
        <v>45983</v>
      </c>
      <c r="H86" s="1072">
        <v>796.59</v>
      </c>
      <c r="I86" s="1072">
        <v>878.13</v>
      </c>
      <c r="J86" s="1058"/>
      <c r="K86" s="1069">
        <v>5038991</v>
      </c>
    </row>
    <row r="87" spans="1:11" x14ac:dyDescent="0.3">
      <c r="A87" s="706"/>
      <c r="B87" s="1059"/>
      <c r="C87" s="1061" t="s">
        <v>1755</v>
      </c>
      <c r="D87" s="1063" t="s">
        <v>2250</v>
      </c>
      <c r="E87" s="1066">
        <v>2510.15</v>
      </c>
      <c r="F87" s="1065">
        <v>45953</v>
      </c>
      <c r="G87" s="1065">
        <v>45983</v>
      </c>
      <c r="H87" s="1066">
        <v>2277.12</v>
      </c>
      <c r="I87" s="1066">
        <v>2510.15</v>
      </c>
      <c r="J87" s="1058"/>
      <c r="K87" s="1064">
        <v>5038999</v>
      </c>
    </row>
    <row r="88" spans="1:11" x14ac:dyDescent="0.3">
      <c r="A88" s="709"/>
      <c r="B88" s="1060"/>
      <c r="C88" s="1067" t="s">
        <v>1751</v>
      </c>
      <c r="D88" s="1063" t="s">
        <v>2250</v>
      </c>
      <c r="E88" s="1071">
        <v>2273.87</v>
      </c>
      <c r="F88" s="1070">
        <v>45953</v>
      </c>
      <c r="G88" s="1070">
        <v>45983</v>
      </c>
      <c r="H88" s="1071">
        <v>2062.77</v>
      </c>
      <c r="I88" s="1071">
        <v>2273.87</v>
      </c>
      <c r="J88" s="1058"/>
      <c r="K88" s="1069">
        <v>5038996</v>
      </c>
    </row>
    <row r="89" spans="1:11" x14ac:dyDescent="0.3">
      <c r="A89" s="706"/>
      <c r="B89" s="1059"/>
      <c r="C89" s="1061" t="s">
        <v>649</v>
      </c>
      <c r="D89" s="1063" t="s">
        <v>2250</v>
      </c>
      <c r="E89" s="1073">
        <v>321.58</v>
      </c>
      <c r="F89" s="1065">
        <v>45953</v>
      </c>
      <c r="G89" s="1065">
        <v>45983</v>
      </c>
      <c r="H89" s="1073">
        <v>291.70999999999998</v>
      </c>
      <c r="I89" s="1073">
        <v>321.58</v>
      </c>
      <c r="J89" s="1058"/>
      <c r="K89" s="1064">
        <v>5038993</v>
      </c>
    </row>
    <row r="90" spans="1:11" x14ac:dyDescent="0.3">
      <c r="A90" s="709"/>
      <c r="B90" s="1060"/>
      <c r="C90" s="1067" t="s">
        <v>1754</v>
      </c>
      <c r="D90" s="1063" t="s">
        <v>2250</v>
      </c>
      <c r="E90" s="1072">
        <v>859.07</v>
      </c>
      <c r="F90" s="1070">
        <v>45953</v>
      </c>
      <c r="G90" s="1070">
        <v>45983</v>
      </c>
      <c r="H90" s="1072">
        <v>779.32</v>
      </c>
      <c r="I90" s="1072">
        <v>859.07</v>
      </c>
      <c r="J90" s="1058"/>
      <c r="K90" s="1069">
        <v>5038994</v>
      </c>
    </row>
    <row r="91" spans="1:11" x14ac:dyDescent="0.3">
      <c r="A91" s="706"/>
      <c r="B91" s="1059"/>
      <c r="C91" s="1061" t="s">
        <v>2043</v>
      </c>
      <c r="D91" s="1063" t="s">
        <v>2250</v>
      </c>
      <c r="E91" s="1073">
        <v>891.32</v>
      </c>
      <c r="F91" s="1065">
        <v>45953</v>
      </c>
      <c r="G91" s="1065">
        <v>45983</v>
      </c>
      <c r="H91" s="1073">
        <v>808.58</v>
      </c>
      <c r="I91" s="1073">
        <v>891.32</v>
      </c>
      <c r="J91" s="1058"/>
      <c r="K91" s="1064">
        <v>5038998</v>
      </c>
    </row>
    <row r="92" spans="1:11" x14ac:dyDescent="0.3">
      <c r="A92" s="709"/>
      <c r="B92" s="1060"/>
      <c r="C92" s="1067" t="s">
        <v>1753</v>
      </c>
      <c r="D92" s="1063" t="s">
        <v>2250</v>
      </c>
      <c r="E92" s="1071">
        <v>1181.83</v>
      </c>
      <c r="F92" s="1070">
        <v>45953</v>
      </c>
      <c r="G92" s="1070">
        <v>45983</v>
      </c>
      <c r="H92" s="1071">
        <v>1072.0999999999999</v>
      </c>
      <c r="I92" s="1071">
        <v>1181.83</v>
      </c>
      <c r="J92" s="1058"/>
      <c r="K92" s="1069">
        <v>5038997</v>
      </c>
    </row>
    <row r="93" spans="1:11" x14ac:dyDescent="0.3">
      <c r="A93" s="706"/>
      <c r="B93" s="1059"/>
      <c r="C93" s="1061" t="s">
        <v>2012</v>
      </c>
      <c r="D93" s="1063" t="s">
        <v>2250</v>
      </c>
      <c r="E93" s="1066">
        <v>1752.24</v>
      </c>
      <c r="F93" s="1065">
        <v>45953</v>
      </c>
      <c r="G93" s="1065">
        <v>45983</v>
      </c>
      <c r="H93" s="1066">
        <v>1589.58</v>
      </c>
      <c r="I93" s="1066">
        <v>1752.24</v>
      </c>
      <c r="J93" s="1058"/>
      <c r="K93" s="1064">
        <v>5038992</v>
      </c>
    </row>
    <row r="94" spans="1:11" x14ac:dyDescent="0.3">
      <c r="A94" s="709"/>
      <c r="B94" s="1060"/>
      <c r="C94" s="1067" t="s">
        <v>1752</v>
      </c>
      <c r="D94" s="1063" t="s">
        <v>2250</v>
      </c>
      <c r="E94" s="1072">
        <v>920.99</v>
      </c>
      <c r="F94" s="1070">
        <v>45953</v>
      </c>
      <c r="G94" s="1070">
        <v>45983</v>
      </c>
      <c r="H94" s="1072">
        <v>835.49</v>
      </c>
      <c r="I94" s="1072">
        <v>920.99</v>
      </c>
      <c r="J94" s="1058"/>
      <c r="K94" s="1069">
        <v>5038995</v>
      </c>
    </row>
    <row r="95" spans="1:11" x14ac:dyDescent="0.3">
      <c r="A95" s="706"/>
      <c r="B95" s="1059"/>
      <c r="C95" s="1061" t="s">
        <v>1752</v>
      </c>
      <c r="D95" s="1063" t="s">
        <v>1730</v>
      </c>
      <c r="E95" s="1073">
        <v>277.27999999999997</v>
      </c>
      <c r="F95" s="1065">
        <v>45954</v>
      </c>
      <c r="G95" s="1065">
        <v>49606</v>
      </c>
      <c r="H95" s="1073">
        <v>271.32</v>
      </c>
      <c r="I95" s="1073">
        <v>277.27999999999997</v>
      </c>
      <c r="J95" s="1058"/>
      <c r="K95" s="1064">
        <v>34420</v>
      </c>
    </row>
    <row r="96" spans="1:11" x14ac:dyDescent="0.3">
      <c r="A96" s="709"/>
      <c r="B96" s="1060"/>
      <c r="C96" s="1067" t="s">
        <v>1751</v>
      </c>
      <c r="D96" s="1063" t="s">
        <v>1730</v>
      </c>
      <c r="E96" s="1072">
        <v>717.66</v>
      </c>
      <c r="F96" s="1070">
        <v>45954</v>
      </c>
      <c r="G96" s="1070">
        <v>49606</v>
      </c>
      <c r="H96" s="1072">
        <v>702.24</v>
      </c>
      <c r="I96" s="1072">
        <v>717.66</v>
      </c>
      <c r="J96" s="1058"/>
      <c r="K96" s="1069">
        <v>34452</v>
      </c>
    </row>
    <row r="97" spans="1:11" x14ac:dyDescent="0.3">
      <c r="A97" s="706"/>
      <c r="B97" s="1059"/>
      <c r="C97" s="1061" t="s">
        <v>1754</v>
      </c>
      <c r="D97" s="1063" t="s">
        <v>1730</v>
      </c>
      <c r="E97" s="1073">
        <v>293.62</v>
      </c>
      <c r="F97" s="1065">
        <v>45954</v>
      </c>
      <c r="G97" s="1065">
        <v>49606</v>
      </c>
      <c r="H97" s="1073">
        <v>287.27999999999997</v>
      </c>
      <c r="I97" s="1073">
        <v>293.62</v>
      </c>
      <c r="J97" s="1058"/>
      <c r="K97" s="1064">
        <v>34610</v>
      </c>
    </row>
    <row r="98" spans="1:11" x14ac:dyDescent="0.3">
      <c r="A98" s="709"/>
      <c r="B98" s="1060"/>
      <c r="C98" s="1067" t="s">
        <v>2251</v>
      </c>
      <c r="D98" s="1063" t="s">
        <v>1730</v>
      </c>
      <c r="E98" s="1072">
        <v>163.09</v>
      </c>
      <c r="F98" s="1070">
        <v>45954</v>
      </c>
      <c r="G98" s="1070">
        <v>49606</v>
      </c>
      <c r="H98" s="1072">
        <v>159.6</v>
      </c>
      <c r="I98" s="1072">
        <v>163.09</v>
      </c>
      <c r="J98" s="1058"/>
      <c r="K98" s="1069">
        <v>34726</v>
      </c>
    </row>
    <row r="99" spans="1:11" x14ac:dyDescent="0.3">
      <c r="A99" s="706"/>
      <c r="B99" s="1059"/>
      <c r="C99" s="1061" t="s">
        <v>1756</v>
      </c>
      <c r="D99" s="1063" t="s">
        <v>1730</v>
      </c>
      <c r="E99" s="1073">
        <v>391.48</v>
      </c>
      <c r="F99" s="1065">
        <v>45954</v>
      </c>
      <c r="G99" s="1065">
        <v>49606</v>
      </c>
      <c r="H99" s="1073">
        <v>383.04</v>
      </c>
      <c r="I99" s="1073">
        <v>391.48</v>
      </c>
      <c r="J99" s="1058"/>
      <c r="K99" s="1064">
        <v>34496</v>
      </c>
    </row>
    <row r="100" spans="1:11" x14ac:dyDescent="0.3">
      <c r="A100" s="709"/>
      <c r="B100" s="1060"/>
      <c r="C100" s="1067" t="s">
        <v>2012</v>
      </c>
      <c r="D100" s="1063" t="s">
        <v>1730</v>
      </c>
      <c r="E100" s="1072">
        <v>521.95000000000005</v>
      </c>
      <c r="F100" s="1070">
        <v>45954</v>
      </c>
      <c r="G100" s="1070">
        <v>49606</v>
      </c>
      <c r="H100" s="1072">
        <v>510.72</v>
      </c>
      <c r="I100" s="1072">
        <v>521.95000000000005</v>
      </c>
      <c r="J100" s="1058"/>
      <c r="K100" s="1069">
        <v>34378</v>
      </c>
    </row>
    <row r="101" spans="1:11" x14ac:dyDescent="0.3">
      <c r="A101" s="706"/>
      <c r="B101" s="1059"/>
      <c r="C101" s="1061" t="s">
        <v>1753</v>
      </c>
      <c r="D101" s="1063" t="s">
        <v>1730</v>
      </c>
      <c r="E101" s="1073">
        <v>391.48</v>
      </c>
      <c r="F101" s="1065">
        <v>45954</v>
      </c>
      <c r="G101" s="1065">
        <v>49606</v>
      </c>
      <c r="H101" s="1073">
        <v>383.04</v>
      </c>
      <c r="I101" s="1073">
        <v>391.48</v>
      </c>
      <c r="J101" s="1058"/>
      <c r="K101" s="1064">
        <v>34497</v>
      </c>
    </row>
    <row r="102" spans="1:11" x14ac:dyDescent="0.3">
      <c r="A102" s="709"/>
      <c r="B102" s="1060"/>
      <c r="C102" s="1067" t="s">
        <v>1758</v>
      </c>
      <c r="D102" s="1063" t="s">
        <v>1730</v>
      </c>
      <c r="E102" s="1072">
        <v>407.76</v>
      </c>
      <c r="F102" s="1070">
        <v>45954</v>
      </c>
      <c r="G102" s="1070">
        <v>49606</v>
      </c>
      <c r="H102" s="1072">
        <v>399</v>
      </c>
      <c r="I102" s="1072">
        <v>407.76</v>
      </c>
      <c r="J102" s="1058"/>
      <c r="K102" s="1069">
        <v>34723</v>
      </c>
    </row>
    <row r="103" spans="1:11" x14ac:dyDescent="0.3">
      <c r="A103" s="706"/>
      <c r="B103" s="1059"/>
      <c r="C103" s="1061" t="s">
        <v>1755</v>
      </c>
      <c r="D103" s="1063" t="s">
        <v>1730</v>
      </c>
      <c r="E103" s="1073">
        <v>864.47</v>
      </c>
      <c r="F103" s="1065">
        <v>45954</v>
      </c>
      <c r="G103" s="1065">
        <v>49606</v>
      </c>
      <c r="H103" s="1073">
        <v>845.88</v>
      </c>
      <c r="I103" s="1073">
        <v>864.47</v>
      </c>
      <c r="J103" s="1058"/>
      <c r="K103" s="1064">
        <v>34721</v>
      </c>
    </row>
    <row r="104" spans="1:11" x14ac:dyDescent="0.3">
      <c r="A104" s="709"/>
      <c r="B104" s="1060"/>
      <c r="C104" s="1067" t="s">
        <v>2121</v>
      </c>
      <c r="D104" s="1063" t="s">
        <v>2123</v>
      </c>
      <c r="E104" s="1072">
        <v>461.66</v>
      </c>
      <c r="F104" s="1070">
        <v>45954</v>
      </c>
      <c r="G104" s="1070">
        <v>46044</v>
      </c>
      <c r="H104" s="1072">
        <v>457.16</v>
      </c>
      <c r="I104" s="1072">
        <v>461.66</v>
      </c>
      <c r="J104" s="1058"/>
      <c r="K104" s="1069">
        <v>25670301</v>
      </c>
    </row>
    <row r="105" spans="1:11" x14ac:dyDescent="0.3">
      <c r="A105" s="706"/>
      <c r="B105" s="1059"/>
      <c r="C105" s="1061" t="s">
        <v>2030</v>
      </c>
      <c r="D105" s="1063" t="s">
        <v>2032</v>
      </c>
      <c r="E105" s="1073">
        <v>199.52</v>
      </c>
      <c r="F105" s="1065">
        <v>45954</v>
      </c>
      <c r="G105" s="1065">
        <v>45983</v>
      </c>
      <c r="H105" s="1073">
        <v>195.23</v>
      </c>
      <c r="I105" s="1073">
        <v>199.52</v>
      </c>
      <c r="J105" s="1058"/>
      <c r="K105" s="1064">
        <v>156804996</v>
      </c>
    </row>
    <row r="106" spans="1:11" x14ac:dyDescent="0.3">
      <c r="A106" s="709"/>
      <c r="B106" s="1060"/>
      <c r="C106" s="1067" t="s">
        <v>2030</v>
      </c>
      <c r="D106" s="1063" t="s">
        <v>2032</v>
      </c>
      <c r="E106" s="1071">
        <v>3299.45</v>
      </c>
      <c r="F106" s="1070">
        <v>45954</v>
      </c>
      <c r="G106" s="1070">
        <v>45983</v>
      </c>
      <c r="H106" s="1071">
        <v>3228.43</v>
      </c>
      <c r="I106" s="1071">
        <v>3299.45</v>
      </c>
      <c r="J106" s="1058"/>
      <c r="K106" s="1069">
        <v>217601659</v>
      </c>
    </row>
    <row r="107" spans="1:11" x14ac:dyDescent="0.3">
      <c r="A107" s="706"/>
      <c r="B107" s="1059"/>
      <c r="C107" s="1061" t="s">
        <v>2030</v>
      </c>
      <c r="D107" s="1063" t="s">
        <v>2032</v>
      </c>
      <c r="E107" s="1066">
        <v>4899.82</v>
      </c>
      <c r="F107" s="1065">
        <v>45954</v>
      </c>
      <c r="G107" s="1065">
        <v>45983</v>
      </c>
      <c r="H107" s="1066">
        <v>4794.3500000000004</v>
      </c>
      <c r="I107" s="1066">
        <v>4899.82</v>
      </c>
      <c r="J107" s="1058"/>
      <c r="K107" s="1064">
        <v>156827984</v>
      </c>
    </row>
    <row r="108" spans="1:11" x14ac:dyDescent="0.3">
      <c r="A108" s="709"/>
      <c r="B108" s="1060"/>
      <c r="C108" s="1067" t="s">
        <v>2012</v>
      </c>
      <c r="D108" s="1063" t="s">
        <v>2252</v>
      </c>
      <c r="E108" s="1072">
        <v>144.91999999999999</v>
      </c>
      <c r="F108" s="1070">
        <v>45955</v>
      </c>
      <c r="G108" s="1070">
        <v>46015</v>
      </c>
      <c r="H108" s="1072">
        <v>141.63999999999999</v>
      </c>
      <c r="I108" s="1072">
        <v>144.91999999999999</v>
      </c>
      <c r="J108" s="1058"/>
      <c r="K108" s="1069" t="s">
        <v>2253</v>
      </c>
    </row>
    <row r="109" spans="1:11" x14ac:dyDescent="0.3">
      <c r="A109" s="706"/>
      <c r="B109" s="1059"/>
      <c r="C109" s="1061" t="s">
        <v>1756</v>
      </c>
      <c r="D109" s="1063" t="s">
        <v>2049</v>
      </c>
      <c r="E109" s="1066">
        <v>1151.19</v>
      </c>
      <c r="F109" s="1065">
        <v>45957</v>
      </c>
      <c r="G109" s="1065">
        <v>49609</v>
      </c>
      <c r="H109" s="1066">
        <v>1127.5</v>
      </c>
      <c r="I109" s="1066">
        <v>1151.19</v>
      </c>
      <c r="J109" s="1058"/>
      <c r="K109" s="1064" t="s">
        <v>2254</v>
      </c>
    </row>
    <row r="110" spans="1:11" x14ac:dyDescent="0.3">
      <c r="A110" s="709"/>
      <c r="B110" s="1060"/>
      <c r="C110" s="1067" t="s">
        <v>1756</v>
      </c>
      <c r="D110" s="1063" t="s">
        <v>2049</v>
      </c>
      <c r="E110" s="1072">
        <v>428.82</v>
      </c>
      <c r="F110" s="1070">
        <v>45957</v>
      </c>
      <c r="G110" s="1070">
        <v>49609</v>
      </c>
      <c r="H110" s="1072">
        <v>420</v>
      </c>
      <c r="I110" s="1072">
        <v>428.82</v>
      </c>
      <c r="J110" s="1058"/>
      <c r="K110" s="1069" t="s">
        <v>2255</v>
      </c>
    </row>
    <row r="111" spans="1:11" x14ac:dyDescent="0.3">
      <c r="A111" s="706"/>
      <c r="B111" s="1059"/>
      <c r="C111" s="1061" t="s">
        <v>1756</v>
      </c>
      <c r="D111" s="1063" t="s">
        <v>2049</v>
      </c>
      <c r="E111" s="1073">
        <v>168.45</v>
      </c>
      <c r="F111" s="1065">
        <v>45957</v>
      </c>
      <c r="G111" s="1065">
        <v>49609</v>
      </c>
      <c r="H111" s="1073">
        <v>165</v>
      </c>
      <c r="I111" s="1073">
        <v>168.45</v>
      </c>
      <c r="J111" s="1058"/>
      <c r="K111" s="1064" t="s">
        <v>2256</v>
      </c>
    </row>
    <row r="112" spans="1:11" x14ac:dyDescent="0.3">
      <c r="A112" s="709"/>
      <c r="B112" s="1060"/>
      <c r="C112" s="1067" t="s">
        <v>1757</v>
      </c>
      <c r="D112" s="1063" t="s">
        <v>2063</v>
      </c>
      <c r="E112" s="1072">
        <v>58.78</v>
      </c>
      <c r="F112" s="1070">
        <v>45958</v>
      </c>
      <c r="G112" s="1070">
        <v>49608</v>
      </c>
      <c r="H112" s="1072">
        <v>57.26</v>
      </c>
      <c r="I112" s="1072">
        <v>58.78</v>
      </c>
      <c r="J112" s="1058"/>
      <c r="K112" s="1069" t="s">
        <v>2257</v>
      </c>
    </row>
    <row r="113" spans="1:13" x14ac:dyDescent="0.3">
      <c r="A113" s="706"/>
      <c r="B113" s="1059"/>
      <c r="C113" s="1061" t="s">
        <v>1756</v>
      </c>
      <c r="D113" s="1063" t="s">
        <v>2258</v>
      </c>
      <c r="E113" s="1066">
        <v>4070.92</v>
      </c>
      <c r="F113" s="1065">
        <v>45959</v>
      </c>
      <c r="G113" s="1065">
        <v>49611</v>
      </c>
      <c r="H113" s="1066">
        <v>4057.4</v>
      </c>
      <c r="I113" s="1066">
        <v>4070.92</v>
      </c>
      <c r="J113" s="1058"/>
      <c r="K113" s="1064" t="s">
        <v>2259</v>
      </c>
    </row>
    <row r="114" spans="1:13" x14ac:dyDescent="0.3">
      <c r="A114" s="709"/>
      <c r="B114" s="1060"/>
      <c r="C114" s="1067" t="s">
        <v>1753</v>
      </c>
      <c r="D114" s="1063" t="s">
        <v>2119</v>
      </c>
      <c r="E114" s="1072">
        <v>680.24</v>
      </c>
      <c r="F114" s="1070">
        <v>45959</v>
      </c>
      <c r="G114" s="1070">
        <v>46019</v>
      </c>
      <c r="H114" s="1072">
        <v>643.77</v>
      </c>
      <c r="I114" s="1072">
        <v>680.24</v>
      </c>
      <c r="J114" s="1058"/>
      <c r="K114" s="1069" t="s">
        <v>2260</v>
      </c>
    </row>
    <row r="115" spans="1:13" x14ac:dyDescent="0.3">
      <c r="A115" s="706"/>
      <c r="B115" s="1059"/>
      <c r="C115" s="1061" t="s">
        <v>1753</v>
      </c>
      <c r="D115" s="1063" t="s">
        <v>2261</v>
      </c>
      <c r="E115" s="1062" t="s">
        <v>1926</v>
      </c>
      <c r="F115" s="1065">
        <v>45959</v>
      </c>
      <c r="G115" s="1065">
        <v>45959</v>
      </c>
      <c r="H115" s="1073">
        <v>783.6</v>
      </c>
      <c r="I115" s="1062" t="s">
        <v>1926</v>
      </c>
      <c r="J115" s="1058"/>
      <c r="K115" s="1064">
        <v>661267043</v>
      </c>
    </row>
    <row r="116" spans="1:13" x14ac:dyDescent="0.3">
      <c r="A116" s="709"/>
      <c r="B116" s="1060"/>
      <c r="C116" s="1067" t="s">
        <v>1751</v>
      </c>
      <c r="D116" s="1063" t="s">
        <v>2261</v>
      </c>
      <c r="E116" s="1068" t="s">
        <v>1926</v>
      </c>
      <c r="F116" s="1070">
        <v>45959</v>
      </c>
      <c r="G116" s="1070">
        <v>45959</v>
      </c>
      <c r="H116" s="1072">
        <v>783.6</v>
      </c>
      <c r="I116" s="1068" t="s">
        <v>1926</v>
      </c>
      <c r="J116" s="1058"/>
      <c r="K116" s="1069">
        <v>661267044</v>
      </c>
    </row>
    <row r="117" spans="1:13" x14ac:dyDescent="0.3">
      <c r="A117" s="706"/>
      <c r="B117" s="1059"/>
      <c r="C117" s="1061" t="s">
        <v>1752</v>
      </c>
      <c r="D117" s="1063" t="s">
        <v>2261</v>
      </c>
      <c r="E117" s="1062" t="s">
        <v>1926</v>
      </c>
      <c r="F117" s="1065">
        <v>45959</v>
      </c>
      <c r="G117" s="1065">
        <v>45959</v>
      </c>
      <c r="H117" s="1073">
        <v>783.6</v>
      </c>
      <c r="I117" s="1062" t="s">
        <v>1926</v>
      </c>
      <c r="J117" s="1058"/>
      <c r="K117" s="1064">
        <v>661267045</v>
      </c>
    </row>
    <row r="118" spans="1:13" x14ac:dyDescent="0.3">
      <c r="A118" s="709"/>
      <c r="B118" s="1060"/>
      <c r="C118" s="1067" t="s">
        <v>1757</v>
      </c>
      <c r="D118" s="1063" t="s">
        <v>2261</v>
      </c>
      <c r="E118" s="1068" t="s">
        <v>1926</v>
      </c>
      <c r="F118" s="1070">
        <v>45959</v>
      </c>
      <c r="G118" s="1070">
        <v>45959</v>
      </c>
      <c r="H118" s="1072">
        <v>783.6</v>
      </c>
      <c r="I118" s="1068" t="s">
        <v>1926</v>
      </c>
      <c r="J118" s="1058"/>
      <c r="K118" s="1069">
        <v>661635656</v>
      </c>
    </row>
    <row r="119" spans="1:13" x14ac:dyDescent="0.3">
      <c r="A119" s="706"/>
      <c r="B119" s="1059"/>
      <c r="C119" s="1061" t="s">
        <v>1757</v>
      </c>
      <c r="D119" s="1063" t="s">
        <v>390</v>
      </c>
      <c r="E119" s="1073">
        <v>545.97</v>
      </c>
      <c r="F119" s="1065">
        <v>45959</v>
      </c>
      <c r="G119" s="1065">
        <v>45989</v>
      </c>
      <c r="H119" s="1073">
        <v>535.1</v>
      </c>
      <c r="I119" s="1073">
        <v>545.97</v>
      </c>
      <c r="J119" s="1058"/>
      <c r="K119" s="1064"/>
    </row>
    <row r="123" spans="1:13" ht="14.4" x14ac:dyDescent="0.3">
      <c r="A123" s="1113"/>
      <c r="B123" s="1114"/>
      <c r="C123" s="1115" t="s">
        <v>2008</v>
      </c>
      <c r="D123" s="1117" t="s">
        <v>198</v>
      </c>
      <c r="E123" s="1116" t="s">
        <v>2009</v>
      </c>
      <c r="F123" s="1117"/>
      <c r="G123" s="1118">
        <v>45899</v>
      </c>
      <c r="H123" s="1119">
        <v>4169.6000000000004</v>
      </c>
      <c r="I123" s="1119">
        <v>4338.55</v>
      </c>
      <c r="J123" s="1118">
        <v>45899</v>
      </c>
      <c r="K123" s="1118">
        <v>45997</v>
      </c>
      <c r="L123" s="1119">
        <v>4169.6000000000004</v>
      </c>
      <c r="M123" s="1119">
        <v>4338.55</v>
      </c>
    </row>
    <row r="124" spans="1:13" ht="28.8" x14ac:dyDescent="0.3">
      <c r="A124" s="1120"/>
      <c r="B124" s="1121"/>
      <c r="C124" s="1122" t="s">
        <v>1757</v>
      </c>
      <c r="D124" s="1124" t="s">
        <v>198</v>
      </c>
      <c r="E124" s="1123" t="s">
        <v>2009</v>
      </c>
      <c r="F124" s="1124" t="s">
        <v>198</v>
      </c>
      <c r="G124" s="1125">
        <v>45899</v>
      </c>
      <c r="H124" s="1126">
        <v>6274.7</v>
      </c>
      <c r="I124" s="1126">
        <v>6529.77</v>
      </c>
      <c r="J124" s="1125">
        <v>45899</v>
      </c>
      <c r="K124" s="1125">
        <v>45997</v>
      </c>
      <c r="L124" s="1126">
        <v>6274.7</v>
      </c>
      <c r="M124" s="1126">
        <v>6529.77</v>
      </c>
    </row>
  </sheetData>
  <mergeCells count="11">
    <mergeCell ref="K1:K5"/>
    <mergeCell ref="A1:A5"/>
    <mergeCell ref="B1:B5"/>
    <mergeCell ref="C1:C5"/>
    <mergeCell ref="D1:D3"/>
    <mergeCell ref="F1:F5"/>
    <mergeCell ref="H1:J3"/>
    <mergeCell ref="E4:E5"/>
    <mergeCell ref="D4:D5"/>
    <mergeCell ref="H4:H5"/>
    <mergeCell ref="I4:I5"/>
  </mergeCells>
  <hyperlinks>
    <hyperlink ref="F124" r:id="rId1" tooltip="visualizar boleto" display="javascript:Visualizar('2');" xr:uid="{7C84FEBB-5ACB-412C-821E-9C3A9AE3A18F}"/>
    <hyperlink ref="D123" r:id="rId2" tooltip="visualizar boleto" display="javascript:Visualizar('1');" xr:uid="{DF2F4B2D-47A6-4A07-BA40-B16D2CB03F5B}"/>
    <hyperlink ref="D124" r:id="rId3" tooltip="visualizar boleto" display="javascript:Visualizar('2');" xr:uid="{1E27CC1F-E90E-4667-A92E-A3379A43B81A}"/>
  </hyperlinks>
  <pageMargins left="0.511811024" right="0.511811024" top="0.78740157499999996" bottom="0.78740157499999996" header="0.31496062000000002" footer="0.31496062000000002"/>
  <drawing r:id="rId4"/>
  <legacyDrawing r:id="rId5"/>
  <controls>
    <mc:AlternateContent xmlns:mc="http://schemas.openxmlformats.org/markup-compatibility/2006">
      <mc:Choice Requires="x14">
        <control shapeId="65787" r:id="rId6" name="Control 251">
          <controlPr defaultSize="0" r:id="rId7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228600</xdr:colOff>
                <xdr:row>123</xdr:row>
                <xdr:rowOff>205740</xdr:rowOff>
              </to>
            </anchor>
          </controlPr>
        </control>
      </mc:Choice>
      <mc:Fallback>
        <control shapeId="65787" r:id="rId6" name="Control 251"/>
      </mc:Fallback>
    </mc:AlternateContent>
    <mc:AlternateContent xmlns:mc="http://schemas.openxmlformats.org/markup-compatibility/2006">
      <mc:Choice Requires="x14">
        <control shapeId="65786" r:id="rId8" name="Control 250">
          <controlPr defaultSize="0" r:id="rId7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228600</xdr:colOff>
                <xdr:row>123</xdr:row>
                <xdr:rowOff>22860</xdr:rowOff>
              </to>
            </anchor>
          </controlPr>
        </control>
      </mc:Choice>
      <mc:Fallback>
        <control shapeId="65786" r:id="rId8" name="Control 250"/>
      </mc:Fallback>
    </mc:AlternateContent>
    <mc:AlternateContent xmlns:mc="http://schemas.openxmlformats.org/markup-compatibility/2006">
      <mc:Choice Requires="x14">
        <control shapeId="65660" r:id="rId9" name="Control 124">
          <controlPr defaultSize="0" r:id="rId1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228600</xdr:colOff>
                <xdr:row>1</xdr:row>
                <xdr:rowOff>60960</xdr:rowOff>
              </to>
            </anchor>
          </controlPr>
        </control>
      </mc:Choice>
      <mc:Fallback>
        <control shapeId="65660" r:id="rId9" name="Control 124"/>
      </mc:Fallback>
    </mc:AlternateContent>
    <mc:AlternateContent xmlns:mc="http://schemas.openxmlformats.org/markup-compatibility/2006">
      <mc:Choice Requires="x14">
        <control shapeId="65673" r:id="rId11" name="Control 137">
          <controlPr defaultSize="0" r:id="rId1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65673" r:id="rId11" name="Control 137"/>
      </mc:Fallback>
    </mc:AlternateContent>
    <mc:AlternateContent xmlns:mc="http://schemas.openxmlformats.org/markup-compatibility/2006">
      <mc:Choice Requires="x14">
        <control shapeId="65674" r:id="rId12" name="Control 138">
          <controlPr defaultSize="0" r:id="rId10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60960</xdr:rowOff>
              </to>
            </anchor>
          </controlPr>
        </control>
      </mc:Choice>
      <mc:Fallback>
        <control shapeId="65674" r:id="rId12" name="Control 138"/>
      </mc:Fallback>
    </mc:AlternateContent>
    <mc:AlternateContent xmlns:mc="http://schemas.openxmlformats.org/markup-compatibility/2006">
      <mc:Choice Requires="x14">
        <control shapeId="65675" r:id="rId13" name="Control 139">
          <controlPr defaultSize="0" r:id="rId1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60960</xdr:rowOff>
              </to>
            </anchor>
          </controlPr>
        </control>
      </mc:Choice>
      <mc:Fallback>
        <control shapeId="65675" r:id="rId13" name="Control 139"/>
      </mc:Fallback>
    </mc:AlternateContent>
    <mc:AlternateContent xmlns:mc="http://schemas.openxmlformats.org/markup-compatibility/2006">
      <mc:Choice Requires="x14">
        <control shapeId="65676" r:id="rId14" name="Control 140">
          <controlPr defaultSize="0" r:id="rId10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60960</xdr:rowOff>
              </to>
            </anchor>
          </controlPr>
        </control>
      </mc:Choice>
      <mc:Fallback>
        <control shapeId="65676" r:id="rId14" name="Control 140"/>
      </mc:Fallback>
    </mc:AlternateContent>
    <mc:AlternateContent xmlns:mc="http://schemas.openxmlformats.org/markup-compatibility/2006">
      <mc:Choice Requires="x14">
        <control shapeId="65677" r:id="rId15" name="Control 141">
          <controlPr defaultSize="0" r:id="rId1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65677" r:id="rId15" name="Control 141"/>
      </mc:Fallback>
    </mc:AlternateContent>
    <mc:AlternateContent xmlns:mc="http://schemas.openxmlformats.org/markup-compatibility/2006">
      <mc:Choice Requires="x14">
        <control shapeId="65678" r:id="rId16" name="Control 142">
          <controlPr defaultSize="0" r:id="rId10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65678" r:id="rId16" name="Control 142"/>
      </mc:Fallback>
    </mc:AlternateContent>
    <mc:AlternateContent xmlns:mc="http://schemas.openxmlformats.org/markup-compatibility/2006">
      <mc:Choice Requires="x14">
        <control shapeId="65679" r:id="rId17" name="Control 143">
          <controlPr defaultSize="0" r:id="rId10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65679" r:id="rId17" name="Control 143"/>
      </mc:Fallback>
    </mc:AlternateContent>
    <mc:AlternateContent xmlns:mc="http://schemas.openxmlformats.org/markup-compatibility/2006">
      <mc:Choice Requires="x14">
        <control shapeId="65680" r:id="rId18" name="Control 144">
          <controlPr defaultSize="0" r:id="rId10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65680" r:id="rId18" name="Control 144"/>
      </mc:Fallback>
    </mc:AlternateContent>
    <mc:AlternateContent xmlns:mc="http://schemas.openxmlformats.org/markup-compatibility/2006">
      <mc:Choice Requires="x14">
        <control shapeId="65681" r:id="rId19" name="Control 145">
          <controlPr defaultSize="0" r:id="rId1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65681" r:id="rId19" name="Control 145"/>
      </mc:Fallback>
    </mc:AlternateContent>
    <mc:AlternateContent xmlns:mc="http://schemas.openxmlformats.org/markup-compatibility/2006">
      <mc:Choice Requires="x14">
        <control shapeId="65682" r:id="rId20" name="Control 146">
          <controlPr defaultSize="0" r:id="rId10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65682" r:id="rId20" name="Control 146"/>
      </mc:Fallback>
    </mc:AlternateContent>
    <mc:AlternateContent xmlns:mc="http://schemas.openxmlformats.org/markup-compatibility/2006">
      <mc:Choice Requires="x14">
        <control shapeId="65683" r:id="rId21" name="Control 147">
          <controlPr defaultSize="0" r:id="rId1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65683" r:id="rId21" name="Control 147"/>
      </mc:Fallback>
    </mc:AlternateContent>
    <mc:AlternateContent xmlns:mc="http://schemas.openxmlformats.org/markup-compatibility/2006">
      <mc:Choice Requires="x14">
        <control shapeId="65684" r:id="rId22" name="Control 148">
          <controlPr defaultSize="0" r:id="rId10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65684" r:id="rId22" name="Control 148"/>
      </mc:Fallback>
    </mc:AlternateContent>
    <mc:AlternateContent xmlns:mc="http://schemas.openxmlformats.org/markup-compatibility/2006">
      <mc:Choice Requires="x14">
        <control shapeId="65685" r:id="rId23" name="Control 149">
          <controlPr defaultSize="0" r:id="rId1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65685" r:id="rId23" name="Control 149"/>
      </mc:Fallback>
    </mc:AlternateContent>
    <mc:AlternateContent xmlns:mc="http://schemas.openxmlformats.org/markup-compatibility/2006">
      <mc:Choice Requires="x14">
        <control shapeId="65686" r:id="rId24" name="Control 150">
          <controlPr defaultSize="0" r:id="rId10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65686" r:id="rId24" name="Control 150"/>
      </mc:Fallback>
    </mc:AlternateContent>
    <mc:AlternateContent xmlns:mc="http://schemas.openxmlformats.org/markup-compatibility/2006">
      <mc:Choice Requires="x14">
        <control shapeId="65687" r:id="rId25" name="Control 151">
          <controlPr defaultSize="0" r:id="rId1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65687" r:id="rId25" name="Control 151"/>
      </mc:Fallback>
    </mc:AlternateContent>
    <mc:AlternateContent xmlns:mc="http://schemas.openxmlformats.org/markup-compatibility/2006">
      <mc:Choice Requires="x14">
        <control shapeId="65688" r:id="rId26" name="Control 152">
          <controlPr defaultSize="0" r:id="rId10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65688" r:id="rId26" name="Control 152"/>
      </mc:Fallback>
    </mc:AlternateContent>
    <mc:AlternateContent xmlns:mc="http://schemas.openxmlformats.org/markup-compatibility/2006">
      <mc:Choice Requires="x14">
        <control shapeId="65689" r:id="rId27" name="Control 153">
          <controlPr defaultSize="0" r:id="rId1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65689" r:id="rId27" name="Control 153"/>
      </mc:Fallback>
    </mc:AlternateContent>
    <mc:AlternateContent xmlns:mc="http://schemas.openxmlformats.org/markup-compatibility/2006">
      <mc:Choice Requires="x14">
        <control shapeId="65690" r:id="rId28" name="Control 154">
          <controlPr defaultSize="0" r:id="rId10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65690" r:id="rId28" name="Control 154"/>
      </mc:Fallback>
    </mc:AlternateContent>
    <mc:AlternateContent xmlns:mc="http://schemas.openxmlformats.org/markup-compatibility/2006">
      <mc:Choice Requires="x14">
        <control shapeId="65691" r:id="rId29" name="Control 155">
          <controlPr defaultSize="0" r:id="rId10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65691" r:id="rId29" name="Control 155"/>
      </mc:Fallback>
    </mc:AlternateContent>
    <mc:AlternateContent xmlns:mc="http://schemas.openxmlformats.org/markup-compatibility/2006">
      <mc:Choice Requires="x14">
        <control shapeId="65692" r:id="rId30" name="Control 156">
          <controlPr defaultSize="0" r:id="rId10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65692" r:id="rId30" name="Control 156"/>
      </mc:Fallback>
    </mc:AlternateContent>
    <mc:AlternateContent xmlns:mc="http://schemas.openxmlformats.org/markup-compatibility/2006">
      <mc:Choice Requires="x14">
        <control shapeId="65693" r:id="rId31" name="Control 157">
          <controlPr defaultSize="0" r:id="rId1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65693" r:id="rId31" name="Control 157"/>
      </mc:Fallback>
    </mc:AlternateContent>
    <mc:AlternateContent xmlns:mc="http://schemas.openxmlformats.org/markup-compatibility/2006">
      <mc:Choice Requires="x14">
        <control shapeId="65694" r:id="rId32" name="Control 158">
          <controlPr defaultSize="0" r:id="rId10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65694" r:id="rId32" name="Control 158"/>
      </mc:Fallback>
    </mc:AlternateContent>
    <mc:AlternateContent xmlns:mc="http://schemas.openxmlformats.org/markup-compatibility/2006">
      <mc:Choice Requires="x14">
        <control shapeId="65695" r:id="rId33" name="Control 159">
          <controlPr defaultSize="0" r:id="rId10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65695" r:id="rId33" name="Control 159"/>
      </mc:Fallback>
    </mc:AlternateContent>
    <mc:AlternateContent xmlns:mc="http://schemas.openxmlformats.org/markup-compatibility/2006">
      <mc:Choice Requires="x14">
        <control shapeId="65696" r:id="rId34" name="Control 160">
          <controlPr defaultSize="0" r:id="rId10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65696" r:id="rId34" name="Control 160"/>
      </mc:Fallback>
    </mc:AlternateContent>
    <mc:AlternateContent xmlns:mc="http://schemas.openxmlformats.org/markup-compatibility/2006">
      <mc:Choice Requires="x14">
        <control shapeId="65697" r:id="rId35" name="Control 161">
          <controlPr defaultSize="0" r:id="rId1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65697" r:id="rId35" name="Control 161"/>
      </mc:Fallback>
    </mc:AlternateContent>
    <mc:AlternateContent xmlns:mc="http://schemas.openxmlformats.org/markup-compatibility/2006">
      <mc:Choice Requires="x14">
        <control shapeId="65698" r:id="rId36" name="Control 162">
          <controlPr defaultSize="0" r:id="rId1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65698" r:id="rId36" name="Control 162"/>
      </mc:Fallback>
    </mc:AlternateContent>
    <mc:AlternateContent xmlns:mc="http://schemas.openxmlformats.org/markup-compatibility/2006">
      <mc:Choice Requires="x14">
        <control shapeId="65699" r:id="rId37" name="Control 163">
          <controlPr defaultSize="0" r:id="rId10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228600</xdr:colOff>
                <xdr:row>32</xdr:row>
                <xdr:rowOff>68580</xdr:rowOff>
              </to>
            </anchor>
          </controlPr>
        </control>
      </mc:Choice>
      <mc:Fallback>
        <control shapeId="65699" r:id="rId37" name="Control 163"/>
      </mc:Fallback>
    </mc:AlternateContent>
    <mc:AlternateContent xmlns:mc="http://schemas.openxmlformats.org/markup-compatibility/2006">
      <mc:Choice Requires="x14">
        <control shapeId="65700" r:id="rId38" name="Control 164">
          <controlPr defaultSize="0" r:id="rId10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228600</xdr:colOff>
                <xdr:row>33</xdr:row>
                <xdr:rowOff>60960</xdr:rowOff>
              </to>
            </anchor>
          </controlPr>
        </control>
      </mc:Choice>
      <mc:Fallback>
        <control shapeId="65700" r:id="rId38" name="Control 164"/>
      </mc:Fallback>
    </mc:AlternateContent>
    <mc:AlternateContent xmlns:mc="http://schemas.openxmlformats.org/markup-compatibility/2006">
      <mc:Choice Requires="x14">
        <control shapeId="65701" r:id="rId39" name="Control 165">
          <controlPr defaultSize="0" r:id="rId1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228600</xdr:colOff>
                <xdr:row>34</xdr:row>
                <xdr:rowOff>60960</xdr:rowOff>
              </to>
            </anchor>
          </controlPr>
        </control>
      </mc:Choice>
      <mc:Fallback>
        <control shapeId="65701" r:id="rId39" name="Control 165"/>
      </mc:Fallback>
    </mc:AlternateContent>
    <mc:AlternateContent xmlns:mc="http://schemas.openxmlformats.org/markup-compatibility/2006">
      <mc:Choice Requires="x14">
        <control shapeId="65702" r:id="rId40" name="Control 166">
          <controlPr defaultSize="0" r:id="rId10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228600</xdr:colOff>
                <xdr:row>35</xdr:row>
                <xdr:rowOff>60960</xdr:rowOff>
              </to>
            </anchor>
          </controlPr>
        </control>
      </mc:Choice>
      <mc:Fallback>
        <control shapeId="65702" r:id="rId40" name="Control 166"/>
      </mc:Fallback>
    </mc:AlternateContent>
    <mc:AlternateContent xmlns:mc="http://schemas.openxmlformats.org/markup-compatibility/2006">
      <mc:Choice Requires="x14">
        <control shapeId="65703" r:id="rId41" name="Control 167">
          <controlPr defaultSize="0" r:id="rId1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228600</xdr:colOff>
                <xdr:row>36</xdr:row>
                <xdr:rowOff>60960</xdr:rowOff>
              </to>
            </anchor>
          </controlPr>
        </control>
      </mc:Choice>
      <mc:Fallback>
        <control shapeId="65703" r:id="rId41" name="Control 167"/>
      </mc:Fallback>
    </mc:AlternateContent>
    <mc:AlternateContent xmlns:mc="http://schemas.openxmlformats.org/markup-compatibility/2006">
      <mc:Choice Requires="x14">
        <control shapeId="65704" r:id="rId42" name="Control 168">
          <controlPr defaultSize="0" r:id="rId10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228600</xdr:colOff>
                <xdr:row>37</xdr:row>
                <xdr:rowOff>60960</xdr:rowOff>
              </to>
            </anchor>
          </controlPr>
        </control>
      </mc:Choice>
      <mc:Fallback>
        <control shapeId="65704" r:id="rId42" name="Control 168"/>
      </mc:Fallback>
    </mc:AlternateContent>
    <mc:AlternateContent xmlns:mc="http://schemas.openxmlformats.org/markup-compatibility/2006">
      <mc:Choice Requires="x14">
        <control shapeId="65705" r:id="rId43" name="Control 169">
          <controlPr defaultSize="0" r:id="rId1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228600</xdr:colOff>
                <xdr:row>38</xdr:row>
                <xdr:rowOff>60960</xdr:rowOff>
              </to>
            </anchor>
          </controlPr>
        </control>
      </mc:Choice>
      <mc:Fallback>
        <control shapeId="65705" r:id="rId43" name="Control 169"/>
      </mc:Fallback>
    </mc:AlternateContent>
    <mc:AlternateContent xmlns:mc="http://schemas.openxmlformats.org/markup-compatibility/2006">
      <mc:Choice Requires="x14">
        <control shapeId="65706" r:id="rId44" name="Control 170">
          <controlPr defaultSize="0" r:id="rId10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228600</xdr:colOff>
                <xdr:row>39</xdr:row>
                <xdr:rowOff>60960</xdr:rowOff>
              </to>
            </anchor>
          </controlPr>
        </control>
      </mc:Choice>
      <mc:Fallback>
        <control shapeId="65706" r:id="rId44" name="Control 170"/>
      </mc:Fallback>
    </mc:AlternateContent>
    <mc:AlternateContent xmlns:mc="http://schemas.openxmlformats.org/markup-compatibility/2006">
      <mc:Choice Requires="x14">
        <control shapeId="65707" r:id="rId45" name="Control 171">
          <controlPr defaultSize="0" r:id="rId10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228600</xdr:colOff>
                <xdr:row>40</xdr:row>
                <xdr:rowOff>60960</xdr:rowOff>
              </to>
            </anchor>
          </controlPr>
        </control>
      </mc:Choice>
      <mc:Fallback>
        <control shapeId="65707" r:id="rId45" name="Control 171"/>
      </mc:Fallback>
    </mc:AlternateContent>
    <mc:AlternateContent xmlns:mc="http://schemas.openxmlformats.org/markup-compatibility/2006">
      <mc:Choice Requires="x14">
        <control shapeId="65708" r:id="rId46" name="Control 172">
          <controlPr defaultSize="0" r:id="rId10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228600</xdr:colOff>
                <xdr:row>41</xdr:row>
                <xdr:rowOff>60960</xdr:rowOff>
              </to>
            </anchor>
          </controlPr>
        </control>
      </mc:Choice>
      <mc:Fallback>
        <control shapeId="65708" r:id="rId46" name="Control 172"/>
      </mc:Fallback>
    </mc:AlternateContent>
    <mc:AlternateContent xmlns:mc="http://schemas.openxmlformats.org/markup-compatibility/2006">
      <mc:Choice Requires="x14">
        <control shapeId="65709" r:id="rId47" name="Control 173">
          <controlPr defaultSize="0" r:id="rId1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228600</xdr:colOff>
                <xdr:row>42</xdr:row>
                <xdr:rowOff>60960</xdr:rowOff>
              </to>
            </anchor>
          </controlPr>
        </control>
      </mc:Choice>
      <mc:Fallback>
        <control shapeId="65709" r:id="rId47" name="Control 173"/>
      </mc:Fallback>
    </mc:AlternateContent>
    <mc:AlternateContent xmlns:mc="http://schemas.openxmlformats.org/markup-compatibility/2006">
      <mc:Choice Requires="x14">
        <control shapeId="65710" r:id="rId48" name="Control 174">
          <controlPr defaultSize="0" r:id="rId10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228600</xdr:colOff>
                <xdr:row>43</xdr:row>
                <xdr:rowOff>60960</xdr:rowOff>
              </to>
            </anchor>
          </controlPr>
        </control>
      </mc:Choice>
      <mc:Fallback>
        <control shapeId="65710" r:id="rId48" name="Control 174"/>
      </mc:Fallback>
    </mc:AlternateContent>
    <mc:AlternateContent xmlns:mc="http://schemas.openxmlformats.org/markup-compatibility/2006">
      <mc:Choice Requires="x14">
        <control shapeId="65711" r:id="rId49" name="Control 175">
          <controlPr defaultSize="0" r:id="rId10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228600</xdr:colOff>
                <xdr:row>44</xdr:row>
                <xdr:rowOff>60960</xdr:rowOff>
              </to>
            </anchor>
          </controlPr>
        </control>
      </mc:Choice>
      <mc:Fallback>
        <control shapeId="65711" r:id="rId49" name="Control 175"/>
      </mc:Fallback>
    </mc:AlternateContent>
    <mc:AlternateContent xmlns:mc="http://schemas.openxmlformats.org/markup-compatibility/2006">
      <mc:Choice Requires="x14">
        <control shapeId="65712" r:id="rId50" name="Control 176">
          <controlPr defaultSize="0" r:id="rId10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228600</xdr:colOff>
                <xdr:row>45</xdr:row>
                <xdr:rowOff>60960</xdr:rowOff>
              </to>
            </anchor>
          </controlPr>
        </control>
      </mc:Choice>
      <mc:Fallback>
        <control shapeId="65712" r:id="rId50" name="Control 176"/>
      </mc:Fallback>
    </mc:AlternateContent>
    <mc:AlternateContent xmlns:mc="http://schemas.openxmlformats.org/markup-compatibility/2006">
      <mc:Choice Requires="x14">
        <control shapeId="65713" r:id="rId51" name="Control 177">
          <controlPr defaultSize="0" r:id="rId1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228600</xdr:colOff>
                <xdr:row>46</xdr:row>
                <xdr:rowOff>60960</xdr:rowOff>
              </to>
            </anchor>
          </controlPr>
        </control>
      </mc:Choice>
      <mc:Fallback>
        <control shapeId="65713" r:id="rId51" name="Control 177"/>
      </mc:Fallback>
    </mc:AlternateContent>
    <mc:AlternateContent xmlns:mc="http://schemas.openxmlformats.org/markup-compatibility/2006">
      <mc:Choice Requires="x14">
        <control shapeId="65714" r:id="rId52" name="Control 178">
          <controlPr defaultSize="0" r:id="rId1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228600</xdr:colOff>
                <xdr:row>46</xdr:row>
                <xdr:rowOff>60960</xdr:rowOff>
              </to>
            </anchor>
          </controlPr>
        </control>
      </mc:Choice>
      <mc:Fallback>
        <control shapeId="65714" r:id="rId52" name="Control 178"/>
      </mc:Fallback>
    </mc:AlternateContent>
    <mc:AlternateContent xmlns:mc="http://schemas.openxmlformats.org/markup-compatibility/2006">
      <mc:Choice Requires="x14">
        <control shapeId="65715" r:id="rId53" name="Control 179">
          <controlPr defaultSize="0" r:id="rId10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228600</xdr:colOff>
                <xdr:row>47</xdr:row>
                <xdr:rowOff>60960</xdr:rowOff>
              </to>
            </anchor>
          </controlPr>
        </control>
      </mc:Choice>
      <mc:Fallback>
        <control shapeId="65715" r:id="rId53" name="Control 179"/>
      </mc:Fallback>
    </mc:AlternateContent>
    <mc:AlternateContent xmlns:mc="http://schemas.openxmlformats.org/markup-compatibility/2006">
      <mc:Choice Requires="x14">
        <control shapeId="65716" r:id="rId54" name="Control 180">
          <controlPr defaultSize="0" r:id="rId1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228600</xdr:colOff>
                <xdr:row>48</xdr:row>
                <xdr:rowOff>60960</xdr:rowOff>
              </to>
            </anchor>
          </controlPr>
        </control>
      </mc:Choice>
      <mc:Fallback>
        <control shapeId="65716" r:id="rId54" name="Control 180"/>
      </mc:Fallback>
    </mc:AlternateContent>
    <mc:AlternateContent xmlns:mc="http://schemas.openxmlformats.org/markup-compatibility/2006">
      <mc:Choice Requires="x14">
        <control shapeId="65717" r:id="rId55" name="Control 181">
          <controlPr defaultSize="0" r:id="rId10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228600</xdr:colOff>
                <xdr:row>49</xdr:row>
                <xdr:rowOff>60960</xdr:rowOff>
              </to>
            </anchor>
          </controlPr>
        </control>
      </mc:Choice>
      <mc:Fallback>
        <control shapeId="65717" r:id="rId55" name="Control 181"/>
      </mc:Fallback>
    </mc:AlternateContent>
    <mc:AlternateContent xmlns:mc="http://schemas.openxmlformats.org/markup-compatibility/2006">
      <mc:Choice Requires="x14">
        <control shapeId="65718" r:id="rId56" name="Control 182">
          <controlPr defaultSize="0" r:id="rId10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228600</xdr:colOff>
                <xdr:row>50</xdr:row>
                <xdr:rowOff>60960</xdr:rowOff>
              </to>
            </anchor>
          </controlPr>
        </control>
      </mc:Choice>
      <mc:Fallback>
        <control shapeId="65718" r:id="rId56" name="Control 182"/>
      </mc:Fallback>
    </mc:AlternateContent>
    <mc:AlternateContent xmlns:mc="http://schemas.openxmlformats.org/markup-compatibility/2006">
      <mc:Choice Requires="x14">
        <control shapeId="65719" r:id="rId57" name="Control 183">
          <controlPr defaultSize="0" r:id="rId10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228600</xdr:colOff>
                <xdr:row>51</xdr:row>
                <xdr:rowOff>60960</xdr:rowOff>
              </to>
            </anchor>
          </controlPr>
        </control>
      </mc:Choice>
      <mc:Fallback>
        <control shapeId="65719" r:id="rId57" name="Control 183"/>
      </mc:Fallback>
    </mc:AlternateContent>
    <mc:AlternateContent xmlns:mc="http://schemas.openxmlformats.org/markup-compatibility/2006">
      <mc:Choice Requires="x14">
        <control shapeId="65720" r:id="rId58" name="Control 184">
          <controlPr defaultSize="0" r:id="rId10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228600</xdr:colOff>
                <xdr:row>52</xdr:row>
                <xdr:rowOff>60960</xdr:rowOff>
              </to>
            </anchor>
          </controlPr>
        </control>
      </mc:Choice>
      <mc:Fallback>
        <control shapeId="65720" r:id="rId58" name="Control 184"/>
      </mc:Fallback>
    </mc:AlternateContent>
    <mc:AlternateContent xmlns:mc="http://schemas.openxmlformats.org/markup-compatibility/2006">
      <mc:Choice Requires="x14">
        <control shapeId="65721" r:id="rId59" name="Control 185">
          <controlPr defaultSize="0" r:id="rId10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228600</xdr:colOff>
                <xdr:row>53</xdr:row>
                <xdr:rowOff>60960</xdr:rowOff>
              </to>
            </anchor>
          </controlPr>
        </control>
      </mc:Choice>
      <mc:Fallback>
        <control shapeId="65721" r:id="rId59" name="Control 185"/>
      </mc:Fallback>
    </mc:AlternateContent>
    <mc:AlternateContent xmlns:mc="http://schemas.openxmlformats.org/markup-compatibility/2006">
      <mc:Choice Requires="x14">
        <control shapeId="65722" r:id="rId60" name="Control 186">
          <controlPr defaultSize="0" r:id="rId10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228600</xdr:colOff>
                <xdr:row>54</xdr:row>
                <xdr:rowOff>60960</xdr:rowOff>
              </to>
            </anchor>
          </controlPr>
        </control>
      </mc:Choice>
      <mc:Fallback>
        <control shapeId="65722" r:id="rId60" name="Control 186"/>
      </mc:Fallback>
    </mc:AlternateContent>
    <mc:AlternateContent xmlns:mc="http://schemas.openxmlformats.org/markup-compatibility/2006">
      <mc:Choice Requires="x14">
        <control shapeId="65723" r:id="rId61" name="Control 187">
          <controlPr defaultSize="0" r:id="rId1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228600</xdr:colOff>
                <xdr:row>55</xdr:row>
                <xdr:rowOff>60960</xdr:rowOff>
              </to>
            </anchor>
          </controlPr>
        </control>
      </mc:Choice>
      <mc:Fallback>
        <control shapeId="65723" r:id="rId61" name="Control 187"/>
      </mc:Fallback>
    </mc:AlternateContent>
    <mc:AlternateContent xmlns:mc="http://schemas.openxmlformats.org/markup-compatibility/2006">
      <mc:Choice Requires="x14">
        <control shapeId="65724" r:id="rId62" name="Control 188">
          <controlPr defaultSize="0" r:id="rId10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228600</xdr:colOff>
                <xdr:row>56</xdr:row>
                <xdr:rowOff>60960</xdr:rowOff>
              </to>
            </anchor>
          </controlPr>
        </control>
      </mc:Choice>
      <mc:Fallback>
        <control shapeId="65724" r:id="rId62" name="Control 188"/>
      </mc:Fallback>
    </mc:AlternateContent>
    <mc:AlternateContent xmlns:mc="http://schemas.openxmlformats.org/markup-compatibility/2006">
      <mc:Choice Requires="x14">
        <control shapeId="65725" r:id="rId63" name="Control 189">
          <controlPr defaultSize="0" r:id="rId10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228600</xdr:colOff>
                <xdr:row>57</xdr:row>
                <xdr:rowOff>60960</xdr:rowOff>
              </to>
            </anchor>
          </controlPr>
        </control>
      </mc:Choice>
      <mc:Fallback>
        <control shapeId="65725" r:id="rId63" name="Control 189"/>
      </mc:Fallback>
    </mc:AlternateContent>
    <mc:AlternateContent xmlns:mc="http://schemas.openxmlformats.org/markup-compatibility/2006">
      <mc:Choice Requires="x14">
        <control shapeId="65726" r:id="rId64" name="Control 190">
          <controlPr defaultSize="0" r:id="rId10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65726" r:id="rId64" name="Control 190"/>
      </mc:Fallback>
    </mc:AlternateContent>
    <mc:AlternateContent xmlns:mc="http://schemas.openxmlformats.org/markup-compatibility/2006">
      <mc:Choice Requires="x14">
        <control shapeId="65727" r:id="rId65" name="Control 191">
          <controlPr defaultSize="0" r:id="rId10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65727" r:id="rId65" name="Control 191"/>
      </mc:Fallback>
    </mc:AlternateContent>
    <mc:AlternateContent xmlns:mc="http://schemas.openxmlformats.org/markup-compatibility/2006">
      <mc:Choice Requires="x14">
        <control shapeId="65728" r:id="rId66" name="Control 192">
          <controlPr defaultSize="0" r:id="rId67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65728" r:id="rId66" name="Control 192"/>
      </mc:Fallback>
    </mc:AlternateContent>
    <mc:AlternateContent xmlns:mc="http://schemas.openxmlformats.org/markup-compatibility/2006">
      <mc:Choice Requires="x14">
        <control shapeId="65729" r:id="rId68" name="Control 193">
          <controlPr defaultSize="0" r:id="rId10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65729" r:id="rId68" name="Control 193"/>
      </mc:Fallback>
    </mc:AlternateContent>
    <mc:AlternateContent xmlns:mc="http://schemas.openxmlformats.org/markup-compatibility/2006">
      <mc:Choice Requires="x14">
        <control shapeId="65730" r:id="rId69" name="Control 194">
          <controlPr defaultSize="0" r:id="rId1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65730" r:id="rId69" name="Control 194"/>
      </mc:Fallback>
    </mc:AlternateContent>
    <mc:AlternateContent xmlns:mc="http://schemas.openxmlformats.org/markup-compatibility/2006">
      <mc:Choice Requires="x14">
        <control shapeId="65731" r:id="rId70" name="Control 195">
          <controlPr defaultSize="0" r:id="rId10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65731" r:id="rId70" name="Control 195"/>
      </mc:Fallback>
    </mc:AlternateContent>
    <mc:AlternateContent xmlns:mc="http://schemas.openxmlformats.org/markup-compatibility/2006">
      <mc:Choice Requires="x14">
        <control shapeId="65732" r:id="rId71" name="Control 196">
          <controlPr defaultSize="0" r:id="rId10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65732" r:id="rId71" name="Control 196"/>
      </mc:Fallback>
    </mc:AlternateContent>
    <mc:AlternateContent xmlns:mc="http://schemas.openxmlformats.org/markup-compatibility/2006">
      <mc:Choice Requires="x14">
        <control shapeId="65733" r:id="rId72" name="Control 197">
          <controlPr defaultSize="0" r:id="rId10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65733" r:id="rId72" name="Control 197"/>
      </mc:Fallback>
    </mc:AlternateContent>
    <mc:AlternateContent xmlns:mc="http://schemas.openxmlformats.org/markup-compatibility/2006">
      <mc:Choice Requires="x14">
        <control shapeId="65734" r:id="rId73" name="Control 198">
          <controlPr defaultSize="0" r:id="rId10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65734" r:id="rId73" name="Control 198"/>
      </mc:Fallback>
    </mc:AlternateContent>
    <mc:AlternateContent xmlns:mc="http://schemas.openxmlformats.org/markup-compatibility/2006">
      <mc:Choice Requires="x14">
        <control shapeId="65735" r:id="rId74" name="Control 199">
          <controlPr defaultSize="0" r:id="rId10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65735" r:id="rId74" name="Control 199"/>
      </mc:Fallback>
    </mc:AlternateContent>
    <mc:AlternateContent xmlns:mc="http://schemas.openxmlformats.org/markup-compatibility/2006">
      <mc:Choice Requires="x14">
        <control shapeId="65736" r:id="rId75" name="Control 200">
          <controlPr defaultSize="0" r:id="rId10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65736" r:id="rId75" name="Control 200"/>
      </mc:Fallback>
    </mc:AlternateContent>
    <mc:AlternateContent xmlns:mc="http://schemas.openxmlformats.org/markup-compatibility/2006">
      <mc:Choice Requires="x14">
        <control shapeId="65737" r:id="rId76" name="Control 201">
          <controlPr defaultSize="0" r:id="rId10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65737" r:id="rId76" name="Control 201"/>
      </mc:Fallback>
    </mc:AlternateContent>
    <mc:AlternateContent xmlns:mc="http://schemas.openxmlformats.org/markup-compatibility/2006">
      <mc:Choice Requires="x14">
        <control shapeId="65738" r:id="rId77" name="Control 202">
          <controlPr defaultSize="0" r:id="rId10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65738" r:id="rId77" name="Control 202"/>
      </mc:Fallback>
    </mc:AlternateContent>
    <mc:AlternateContent xmlns:mc="http://schemas.openxmlformats.org/markup-compatibility/2006">
      <mc:Choice Requires="x14">
        <control shapeId="65739" r:id="rId78" name="Control 203">
          <controlPr defaultSize="0" r:id="rId10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65739" r:id="rId78" name="Control 203"/>
      </mc:Fallback>
    </mc:AlternateContent>
    <mc:AlternateContent xmlns:mc="http://schemas.openxmlformats.org/markup-compatibility/2006">
      <mc:Choice Requires="x14">
        <control shapeId="65740" r:id="rId79" name="Control 204">
          <controlPr defaultSize="0" r:id="rId10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228600</xdr:colOff>
                <xdr:row>72</xdr:row>
                <xdr:rowOff>60960</xdr:rowOff>
              </to>
            </anchor>
          </controlPr>
        </control>
      </mc:Choice>
      <mc:Fallback>
        <control shapeId="65740" r:id="rId79" name="Control 204"/>
      </mc:Fallback>
    </mc:AlternateContent>
    <mc:AlternateContent xmlns:mc="http://schemas.openxmlformats.org/markup-compatibility/2006">
      <mc:Choice Requires="x14">
        <control shapeId="65741" r:id="rId80" name="Control 205">
          <controlPr defaultSize="0" r:id="rId10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65741" r:id="rId80" name="Control 205"/>
      </mc:Fallback>
    </mc:AlternateContent>
    <mc:AlternateContent xmlns:mc="http://schemas.openxmlformats.org/markup-compatibility/2006">
      <mc:Choice Requires="x14">
        <control shapeId="65742" r:id="rId81" name="Control 206">
          <controlPr defaultSize="0" r:id="rId10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65742" r:id="rId81" name="Control 206"/>
      </mc:Fallback>
    </mc:AlternateContent>
    <mc:AlternateContent xmlns:mc="http://schemas.openxmlformats.org/markup-compatibility/2006">
      <mc:Choice Requires="x14">
        <control shapeId="65743" r:id="rId82" name="Control 207">
          <controlPr defaultSize="0" r:id="rId10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65743" r:id="rId82" name="Control 207"/>
      </mc:Fallback>
    </mc:AlternateContent>
    <mc:AlternateContent xmlns:mc="http://schemas.openxmlformats.org/markup-compatibility/2006">
      <mc:Choice Requires="x14">
        <control shapeId="65744" r:id="rId83" name="Control 208">
          <controlPr defaultSize="0" r:id="rId1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65744" r:id="rId83" name="Control 208"/>
      </mc:Fallback>
    </mc:AlternateContent>
    <mc:AlternateContent xmlns:mc="http://schemas.openxmlformats.org/markup-compatibility/2006">
      <mc:Choice Requires="x14">
        <control shapeId="65745" r:id="rId84" name="Control 209">
          <controlPr defaultSize="0" r:id="rId10">
            <anchor moveWithCells="1">
              <from>
                <xdr:col>0</xdr:col>
                <xdr:colOff>0</xdr:colOff>
                <xdr:row>76</xdr:row>
                <xdr:rowOff>0</xdr:rowOff>
              </from>
              <to>
                <xdr:col>0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65745" r:id="rId84" name="Control 209"/>
      </mc:Fallback>
    </mc:AlternateContent>
    <mc:AlternateContent xmlns:mc="http://schemas.openxmlformats.org/markup-compatibility/2006">
      <mc:Choice Requires="x14">
        <control shapeId="65746" r:id="rId85" name="Control 210">
          <controlPr defaultSize="0" r:id="rId10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65746" r:id="rId85" name="Control 210"/>
      </mc:Fallback>
    </mc:AlternateContent>
    <mc:AlternateContent xmlns:mc="http://schemas.openxmlformats.org/markup-compatibility/2006">
      <mc:Choice Requires="x14">
        <control shapeId="65747" r:id="rId86" name="Control 211">
          <controlPr defaultSize="0" r:id="rId10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65747" r:id="rId86" name="Control 211"/>
      </mc:Fallback>
    </mc:AlternateContent>
    <mc:AlternateContent xmlns:mc="http://schemas.openxmlformats.org/markup-compatibility/2006">
      <mc:Choice Requires="x14">
        <control shapeId="65748" r:id="rId87" name="Control 212">
          <controlPr defaultSize="0" r:id="rId10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65748" r:id="rId87" name="Control 212"/>
      </mc:Fallback>
    </mc:AlternateContent>
    <mc:AlternateContent xmlns:mc="http://schemas.openxmlformats.org/markup-compatibility/2006">
      <mc:Choice Requires="x14">
        <control shapeId="65749" r:id="rId88" name="Control 213">
          <controlPr defaultSize="0" r:id="rId10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65749" r:id="rId88" name="Control 213"/>
      </mc:Fallback>
    </mc:AlternateContent>
    <mc:AlternateContent xmlns:mc="http://schemas.openxmlformats.org/markup-compatibility/2006">
      <mc:Choice Requires="x14">
        <control shapeId="65750" r:id="rId89" name="Control 214">
          <controlPr defaultSize="0" r:id="rId10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65750" r:id="rId89" name="Control 214"/>
      </mc:Fallback>
    </mc:AlternateContent>
    <mc:AlternateContent xmlns:mc="http://schemas.openxmlformats.org/markup-compatibility/2006">
      <mc:Choice Requires="x14">
        <control shapeId="65751" r:id="rId90" name="Control 215">
          <controlPr defaultSize="0" r:id="rId10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65751" r:id="rId90" name="Control 215"/>
      </mc:Fallback>
    </mc:AlternateContent>
    <mc:AlternateContent xmlns:mc="http://schemas.openxmlformats.org/markup-compatibility/2006">
      <mc:Choice Requires="x14">
        <control shapeId="65752" r:id="rId91" name="Control 216">
          <controlPr defaultSize="0" r:id="rId10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65752" r:id="rId91" name="Control 216"/>
      </mc:Fallback>
    </mc:AlternateContent>
    <mc:AlternateContent xmlns:mc="http://schemas.openxmlformats.org/markup-compatibility/2006">
      <mc:Choice Requires="x14">
        <control shapeId="65753" r:id="rId92" name="Control 217">
          <controlPr defaultSize="0" r:id="rId10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65753" r:id="rId92" name="Control 217"/>
      </mc:Fallback>
    </mc:AlternateContent>
    <mc:AlternateContent xmlns:mc="http://schemas.openxmlformats.org/markup-compatibility/2006">
      <mc:Choice Requires="x14">
        <control shapeId="65754" r:id="rId93" name="Control 218">
          <controlPr defaultSize="0" r:id="rId1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65754" r:id="rId93" name="Control 218"/>
      </mc:Fallback>
    </mc:AlternateContent>
    <mc:AlternateContent xmlns:mc="http://schemas.openxmlformats.org/markup-compatibility/2006">
      <mc:Choice Requires="x14">
        <control shapeId="65755" r:id="rId94" name="Control 219">
          <controlPr defaultSize="0" r:id="rId10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65755" r:id="rId94" name="Control 219"/>
      </mc:Fallback>
    </mc:AlternateContent>
    <mc:AlternateContent xmlns:mc="http://schemas.openxmlformats.org/markup-compatibility/2006">
      <mc:Choice Requires="x14">
        <control shapeId="65756" r:id="rId95" name="Control 220">
          <controlPr defaultSize="0" r:id="rId10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65756" r:id="rId95" name="Control 220"/>
      </mc:Fallback>
    </mc:AlternateContent>
    <mc:AlternateContent xmlns:mc="http://schemas.openxmlformats.org/markup-compatibility/2006">
      <mc:Choice Requires="x14">
        <control shapeId="65757" r:id="rId96" name="Control 221">
          <controlPr defaultSize="0" r:id="rId10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65757" r:id="rId96" name="Control 221"/>
      </mc:Fallback>
    </mc:AlternateContent>
    <mc:AlternateContent xmlns:mc="http://schemas.openxmlformats.org/markup-compatibility/2006">
      <mc:Choice Requires="x14">
        <control shapeId="65758" r:id="rId97" name="Control 222">
          <controlPr defaultSize="0" r:id="rId10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65758" r:id="rId97" name="Control 222"/>
      </mc:Fallback>
    </mc:AlternateContent>
    <mc:AlternateContent xmlns:mc="http://schemas.openxmlformats.org/markup-compatibility/2006">
      <mc:Choice Requires="x14">
        <control shapeId="65759" r:id="rId98" name="Control 223">
          <controlPr defaultSize="0" r:id="rId10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65759" r:id="rId98" name="Control 223"/>
      </mc:Fallback>
    </mc:AlternateContent>
    <mc:AlternateContent xmlns:mc="http://schemas.openxmlformats.org/markup-compatibility/2006">
      <mc:Choice Requires="x14">
        <control shapeId="65760" r:id="rId99" name="Control 224">
          <controlPr defaultSize="0" r:id="rId10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65760" r:id="rId99" name="Control 224"/>
      </mc:Fallback>
    </mc:AlternateContent>
    <mc:AlternateContent xmlns:mc="http://schemas.openxmlformats.org/markup-compatibility/2006">
      <mc:Choice Requires="x14">
        <control shapeId="65761" r:id="rId100" name="Control 225">
          <controlPr defaultSize="0" r:id="rId10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65761" r:id="rId100" name="Control 225"/>
      </mc:Fallback>
    </mc:AlternateContent>
    <mc:AlternateContent xmlns:mc="http://schemas.openxmlformats.org/markup-compatibility/2006">
      <mc:Choice Requires="x14">
        <control shapeId="65762" r:id="rId101" name="Control 226">
          <controlPr defaultSize="0" r:id="rId10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65762" r:id="rId101" name="Control 226"/>
      </mc:Fallback>
    </mc:AlternateContent>
    <mc:AlternateContent xmlns:mc="http://schemas.openxmlformats.org/markup-compatibility/2006">
      <mc:Choice Requires="x14">
        <control shapeId="65763" r:id="rId102" name="Control 227">
          <controlPr defaultSize="0" r:id="rId10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65763" r:id="rId102" name="Control 227"/>
      </mc:Fallback>
    </mc:AlternateContent>
    <mc:AlternateContent xmlns:mc="http://schemas.openxmlformats.org/markup-compatibility/2006">
      <mc:Choice Requires="x14">
        <control shapeId="65764" r:id="rId103" name="Control 228">
          <controlPr defaultSize="0" r:id="rId10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228600</xdr:colOff>
                <xdr:row>96</xdr:row>
                <xdr:rowOff>60960</xdr:rowOff>
              </to>
            </anchor>
          </controlPr>
        </control>
      </mc:Choice>
      <mc:Fallback>
        <control shapeId="65764" r:id="rId103" name="Control 228"/>
      </mc:Fallback>
    </mc:AlternateContent>
    <mc:AlternateContent xmlns:mc="http://schemas.openxmlformats.org/markup-compatibility/2006">
      <mc:Choice Requires="x14">
        <control shapeId="65765" r:id="rId104" name="Control 229">
          <controlPr defaultSize="0" r:id="rId10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65765" r:id="rId104" name="Control 229"/>
      </mc:Fallback>
    </mc:AlternateContent>
    <mc:AlternateContent xmlns:mc="http://schemas.openxmlformats.org/markup-compatibility/2006">
      <mc:Choice Requires="x14">
        <control shapeId="65766" r:id="rId105" name="Control 230">
          <controlPr defaultSize="0" r:id="rId10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65766" r:id="rId105" name="Control 230"/>
      </mc:Fallback>
    </mc:AlternateContent>
    <mc:AlternateContent xmlns:mc="http://schemas.openxmlformats.org/markup-compatibility/2006">
      <mc:Choice Requires="x14">
        <control shapeId="65767" r:id="rId106" name="Control 231">
          <controlPr defaultSize="0" r:id="rId10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65767" r:id="rId106" name="Control 231"/>
      </mc:Fallback>
    </mc:AlternateContent>
    <mc:AlternateContent xmlns:mc="http://schemas.openxmlformats.org/markup-compatibility/2006">
      <mc:Choice Requires="x14">
        <control shapeId="65768" r:id="rId107" name="Control 232">
          <controlPr defaultSize="0" r:id="rId10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65768" r:id="rId107" name="Control 232"/>
      </mc:Fallback>
    </mc:AlternateContent>
    <mc:AlternateContent xmlns:mc="http://schemas.openxmlformats.org/markup-compatibility/2006">
      <mc:Choice Requires="x14">
        <control shapeId="65769" r:id="rId108" name="Control 233">
          <controlPr defaultSize="0" r:id="rId10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65769" r:id="rId108" name="Control 233"/>
      </mc:Fallback>
    </mc:AlternateContent>
    <mc:AlternateContent xmlns:mc="http://schemas.openxmlformats.org/markup-compatibility/2006">
      <mc:Choice Requires="x14">
        <control shapeId="65770" r:id="rId109" name="Control 234">
          <controlPr defaultSize="0" r:id="rId10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65770" r:id="rId109" name="Control 234"/>
      </mc:Fallback>
    </mc:AlternateContent>
    <mc:AlternateContent xmlns:mc="http://schemas.openxmlformats.org/markup-compatibility/2006">
      <mc:Choice Requires="x14">
        <control shapeId="65771" r:id="rId110" name="Control 235">
          <controlPr defaultSize="0" r:id="rId10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65771" r:id="rId110" name="Control 235"/>
      </mc:Fallback>
    </mc:AlternateContent>
    <mc:AlternateContent xmlns:mc="http://schemas.openxmlformats.org/markup-compatibility/2006">
      <mc:Choice Requires="x14">
        <control shapeId="65772" r:id="rId111" name="Control 236">
          <controlPr defaultSize="0" r:id="rId10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65772" r:id="rId111" name="Control 236"/>
      </mc:Fallback>
    </mc:AlternateContent>
    <mc:AlternateContent xmlns:mc="http://schemas.openxmlformats.org/markup-compatibility/2006">
      <mc:Choice Requires="x14">
        <control shapeId="65773" r:id="rId112" name="Control 237">
          <controlPr defaultSize="0" r:id="rId10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65773" r:id="rId112" name="Control 237"/>
      </mc:Fallback>
    </mc:AlternateContent>
    <mc:AlternateContent xmlns:mc="http://schemas.openxmlformats.org/markup-compatibility/2006">
      <mc:Choice Requires="x14">
        <control shapeId="65774" r:id="rId113" name="Control 238">
          <controlPr defaultSize="0" r:id="rId10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65774" r:id="rId113" name="Control 238"/>
      </mc:Fallback>
    </mc:AlternateContent>
    <mc:AlternateContent xmlns:mc="http://schemas.openxmlformats.org/markup-compatibility/2006">
      <mc:Choice Requires="x14">
        <control shapeId="65775" r:id="rId114" name="Control 239">
          <controlPr defaultSize="0" r:id="rId10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65775" r:id="rId114" name="Control 239"/>
      </mc:Fallback>
    </mc:AlternateContent>
    <mc:AlternateContent xmlns:mc="http://schemas.openxmlformats.org/markup-compatibility/2006">
      <mc:Choice Requires="x14">
        <control shapeId="65776" r:id="rId115" name="Control 240">
          <controlPr defaultSize="0" r:id="rId10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65776" r:id="rId115" name="Control 240"/>
      </mc:Fallback>
    </mc:AlternateContent>
    <mc:AlternateContent xmlns:mc="http://schemas.openxmlformats.org/markup-compatibility/2006">
      <mc:Choice Requires="x14">
        <control shapeId="65777" r:id="rId116" name="Control 241">
          <controlPr defaultSize="0" r:id="rId10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228600</xdr:colOff>
                <xdr:row>109</xdr:row>
                <xdr:rowOff>60960</xdr:rowOff>
              </to>
            </anchor>
          </controlPr>
        </control>
      </mc:Choice>
      <mc:Fallback>
        <control shapeId="65777" r:id="rId116" name="Control 241"/>
      </mc:Fallback>
    </mc:AlternateContent>
    <mc:AlternateContent xmlns:mc="http://schemas.openxmlformats.org/markup-compatibility/2006">
      <mc:Choice Requires="x14">
        <control shapeId="65778" r:id="rId117" name="Control 242">
          <controlPr defaultSize="0" r:id="rId10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228600</xdr:colOff>
                <xdr:row>110</xdr:row>
                <xdr:rowOff>60960</xdr:rowOff>
              </to>
            </anchor>
          </controlPr>
        </control>
      </mc:Choice>
      <mc:Fallback>
        <control shapeId="65778" r:id="rId117" name="Control 242"/>
      </mc:Fallback>
    </mc:AlternateContent>
    <mc:AlternateContent xmlns:mc="http://schemas.openxmlformats.org/markup-compatibility/2006">
      <mc:Choice Requires="x14">
        <control shapeId="65779" r:id="rId118" name="Control 243">
          <controlPr defaultSize="0" r:id="rId10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65779" r:id="rId118" name="Control 243"/>
      </mc:Fallback>
    </mc:AlternateContent>
    <mc:AlternateContent xmlns:mc="http://schemas.openxmlformats.org/markup-compatibility/2006">
      <mc:Choice Requires="x14">
        <control shapeId="65780" r:id="rId119" name="Control 244">
          <controlPr defaultSize="0" r:id="rId10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65780" r:id="rId119" name="Control 244"/>
      </mc:Fallback>
    </mc:AlternateContent>
    <mc:AlternateContent xmlns:mc="http://schemas.openxmlformats.org/markup-compatibility/2006">
      <mc:Choice Requires="x14">
        <control shapeId="65781" r:id="rId120" name="Control 245">
          <controlPr defaultSize="0" r:id="rId10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65781" r:id="rId120" name="Control 245"/>
      </mc:Fallback>
    </mc:AlternateContent>
    <mc:AlternateContent xmlns:mc="http://schemas.openxmlformats.org/markup-compatibility/2006">
      <mc:Choice Requires="x14">
        <control shapeId="65782" r:id="rId121" name="Control 246">
          <controlPr defaultSize="0" r:id="rId10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65782" r:id="rId121" name="Control 246"/>
      </mc:Fallback>
    </mc:AlternateContent>
    <mc:AlternateContent xmlns:mc="http://schemas.openxmlformats.org/markup-compatibility/2006">
      <mc:Choice Requires="x14">
        <control shapeId="65783" r:id="rId122" name="Control 247">
          <controlPr defaultSize="0" r:id="rId10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65783" r:id="rId122" name="Control 247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AF42-1E33-4C08-B4E4-90FA73DE1735}">
  <dimension ref="A1:G1"/>
  <sheetViews>
    <sheetView workbookViewId="0">
      <selection sqref="A1:XFD1"/>
    </sheetView>
  </sheetViews>
  <sheetFormatPr defaultRowHeight="14.4" x14ac:dyDescent="0.3"/>
  <sheetData>
    <row r="1" spans="1:7" s="143" customFormat="1" ht="27.6" x14ac:dyDescent="0.3">
      <c r="A1" s="219">
        <v>45964</v>
      </c>
      <c r="B1" s="220" t="s">
        <v>212</v>
      </c>
      <c r="C1" s="120" t="s">
        <v>170</v>
      </c>
      <c r="D1" s="29" t="s">
        <v>1770</v>
      </c>
      <c r="E1" s="128">
        <v>34130.03</v>
      </c>
      <c r="F1" s="55" t="s">
        <v>161</v>
      </c>
      <c r="G1" s="61" t="s">
        <v>162</v>
      </c>
    </row>
  </sheetData>
  <conditionalFormatting sqref="F1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747F-33EA-4229-9112-0FEFD1F4131D}">
  <dimension ref="A1:G3"/>
  <sheetViews>
    <sheetView workbookViewId="0">
      <selection sqref="A1:XFD3"/>
    </sheetView>
  </sheetViews>
  <sheetFormatPr defaultRowHeight="14.4" x14ac:dyDescent="0.3"/>
  <cols>
    <col min="1" max="1" width="10.33203125" bestFit="1" customWidth="1"/>
    <col min="3" max="3" width="16.5546875" bestFit="1" customWidth="1"/>
    <col min="4" max="4" width="55.109375" bestFit="1" customWidth="1"/>
  </cols>
  <sheetData>
    <row r="1" spans="1:7" s="139" customFormat="1" ht="13.8" x14ac:dyDescent="0.3">
      <c r="A1" s="100">
        <v>45960</v>
      </c>
      <c r="B1" s="100" t="s">
        <v>211</v>
      </c>
      <c r="C1" s="14" t="s">
        <v>31</v>
      </c>
      <c r="D1" s="14" t="s">
        <v>1842</v>
      </c>
      <c r="E1" s="8">
        <v>-7240.94</v>
      </c>
      <c r="F1" s="13" t="s">
        <v>8</v>
      </c>
      <c r="G1" s="105" t="s">
        <v>124</v>
      </c>
    </row>
    <row r="2" spans="1:7" s="139" customFormat="1" ht="15" customHeight="1" x14ac:dyDescent="0.3">
      <c r="A2" s="100">
        <v>45960</v>
      </c>
      <c r="B2" s="100" t="s">
        <v>211</v>
      </c>
      <c r="C2" s="14" t="s">
        <v>6</v>
      </c>
      <c r="D2" s="97" t="s">
        <v>1843</v>
      </c>
      <c r="E2" s="77">
        <v>-10349.69</v>
      </c>
      <c r="F2" s="27" t="s">
        <v>8</v>
      </c>
      <c r="G2" s="180" t="s">
        <v>124</v>
      </c>
    </row>
    <row r="3" spans="1:7" s="139" customFormat="1" ht="13.8" x14ac:dyDescent="0.3">
      <c r="A3" s="100">
        <v>45960</v>
      </c>
      <c r="B3" s="100" t="s">
        <v>211</v>
      </c>
      <c r="C3" s="14" t="s">
        <v>32</v>
      </c>
      <c r="D3" s="97" t="s">
        <v>1844</v>
      </c>
      <c r="E3" s="77">
        <v>-7599.89</v>
      </c>
      <c r="F3" s="27" t="s">
        <v>8</v>
      </c>
      <c r="G3" s="180" t="s">
        <v>124</v>
      </c>
    </row>
  </sheetData>
  <conditionalFormatting sqref="F1:F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C4F-CE76-4AC2-9D90-BE63B45A95FE}">
  <dimension ref="A1:G3"/>
  <sheetViews>
    <sheetView showGridLines="0" workbookViewId="0">
      <selection activeCell="D28" sqref="D28"/>
    </sheetView>
  </sheetViews>
  <sheetFormatPr defaultRowHeight="14.4" x14ac:dyDescent="0.3"/>
  <cols>
    <col min="1" max="1" width="10.33203125" bestFit="1" customWidth="1"/>
    <col min="2" max="2" width="9.33203125" customWidth="1"/>
    <col min="4" max="4" width="64.88671875" customWidth="1"/>
    <col min="5" max="5" width="12.44140625" bestFit="1" customWidth="1"/>
  </cols>
  <sheetData>
    <row r="1" spans="1:7" s="139" customFormat="1" ht="13.8" x14ac:dyDescent="0.3">
      <c r="A1" s="607">
        <v>45930</v>
      </c>
      <c r="B1" s="100" t="s">
        <v>208</v>
      </c>
      <c r="C1" s="12" t="s">
        <v>17</v>
      </c>
      <c r="D1" s="569" t="s">
        <v>763</v>
      </c>
      <c r="E1" s="16">
        <v>-56900</v>
      </c>
      <c r="F1" s="13" t="s">
        <v>8</v>
      </c>
      <c r="G1" s="13" t="s">
        <v>153</v>
      </c>
    </row>
    <row r="2" spans="1:7" s="139" customFormat="1" ht="13.8" x14ac:dyDescent="0.3">
      <c r="A2" s="607">
        <v>45930</v>
      </c>
      <c r="B2" s="100" t="s">
        <v>208</v>
      </c>
      <c r="C2" s="12" t="s">
        <v>17</v>
      </c>
      <c r="D2" s="569" t="s">
        <v>763</v>
      </c>
      <c r="E2" s="16">
        <v>-56900</v>
      </c>
      <c r="F2" s="13" t="s">
        <v>8</v>
      </c>
      <c r="G2" s="13" t="s">
        <v>153</v>
      </c>
    </row>
    <row r="3" spans="1:7" s="139" customFormat="1" ht="13.8" x14ac:dyDescent="0.3">
      <c r="A3" s="607">
        <v>45930</v>
      </c>
      <c r="B3" s="100" t="s">
        <v>208</v>
      </c>
      <c r="C3" s="12" t="s">
        <v>17</v>
      </c>
      <c r="D3" s="569" t="s">
        <v>763</v>
      </c>
      <c r="E3" s="16">
        <v>-56900</v>
      </c>
      <c r="F3" s="13" t="s">
        <v>8</v>
      </c>
      <c r="G3" s="13" t="s">
        <v>153</v>
      </c>
    </row>
  </sheetData>
  <conditionalFormatting sqref="F1:F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72C-A4C8-46B1-AD57-29E64AB87866}">
  <sheetPr codeName="Planilha3"/>
  <dimension ref="A1:DX38"/>
  <sheetViews>
    <sheetView showGridLines="0" topLeftCell="CR1" workbookViewId="0">
      <selection activeCell="R9" sqref="R9"/>
    </sheetView>
  </sheetViews>
  <sheetFormatPr defaultColWidth="13" defaultRowHeight="14.4" x14ac:dyDescent="0.3"/>
  <cols>
    <col min="1" max="1" width="19.44140625" bestFit="1" customWidth="1"/>
    <col min="2" max="2" width="18.5546875" bestFit="1" customWidth="1"/>
    <col min="3" max="3" width="14.109375" bestFit="1" customWidth="1"/>
    <col min="4" max="4" width="11.88671875" bestFit="1" customWidth="1"/>
    <col min="5" max="5" width="14.109375" bestFit="1" customWidth="1"/>
    <col min="6" max="6" width="12.88671875" bestFit="1" customWidth="1"/>
    <col min="7" max="8" width="13.109375" bestFit="1" customWidth="1"/>
    <col min="9" max="9" width="14.109375" bestFit="1" customWidth="1"/>
    <col min="10" max="10" width="12" bestFit="1" customWidth="1"/>
    <col min="11" max="12" width="14.109375" bestFit="1" customWidth="1"/>
    <col min="13" max="13" width="13.109375" bestFit="1" customWidth="1"/>
    <col min="14" max="15" width="14.109375" bestFit="1" customWidth="1"/>
    <col min="16" max="20" width="13.109375" bestFit="1" customWidth="1"/>
    <col min="21" max="21" width="12" bestFit="1" customWidth="1"/>
    <col min="22" max="22" width="13.109375" bestFit="1" customWidth="1"/>
    <col min="23" max="23" width="14" bestFit="1" customWidth="1"/>
    <col min="24" max="24" width="12.88671875" bestFit="1" customWidth="1"/>
    <col min="25" max="25" width="12" bestFit="1" customWidth="1"/>
    <col min="26" max="27" width="14.109375" bestFit="1" customWidth="1"/>
    <col min="28" max="30" width="13.109375" bestFit="1" customWidth="1"/>
    <col min="31" max="31" width="13.88671875" bestFit="1" customWidth="1"/>
    <col min="32" max="32" width="11.88671875" bestFit="1" customWidth="1"/>
    <col min="33" max="33" width="12" bestFit="1" customWidth="1"/>
    <col min="34" max="34" width="14" bestFit="1" customWidth="1"/>
    <col min="35" max="37" width="14.109375" bestFit="1" customWidth="1"/>
    <col min="38" max="42" width="13.109375" bestFit="1" customWidth="1"/>
    <col min="43" max="44" width="14.109375" bestFit="1" customWidth="1"/>
    <col min="45" max="45" width="12.88671875" bestFit="1" customWidth="1"/>
    <col min="46" max="48" width="13.109375" bestFit="1" customWidth="1"/>
    <col min="49" max="49" width="14.109375" bestFit="1" customWidth="1"/>
    <col min="50" max="52" width="13.109375" bestFit="1" customWidth="1"/>
    <col min="53" max="53" width="14.109375" bestFit="1" customWidth="1"/>
    <col min="54" max="54" width="12.88671875" bestFit="1" customWidth="1"/>
    <col min="55" max="55" width="14.109375" bestFit="1" customWidth="1"/>
    <col min="56" max="57" width="13.109375" bestFit="1" customWidth="1"/>
    <col min="58" max="59" width="14.109375" bestFit="1" customWidth="1"/>
    <col min="60" max="63" width="13.109375" bestFit="1" customWidth="1"/>
    <col min="64" max="64" width="14.109375" bestFit="1" customWidth="1"/>
    <col min="65" max="65" width="13.109375" bestFit="1" customWidth="1"/>
    <col min="66" max="67" width="14.109375" bestFit="1" customWidth="1"/>
    <col min="68" max="68" width="13.88671875" bestFit="1" customWidth="1"/>
    <col min="69" max="69" width="14.109375" bestFit="1" customWidth="1"/>
    <col min="70" max="72" width="12" bestFit="1" customWidth="1"/>
    <col min="73" max="74" width="14.109375" bestFit="1" customWidth="1"/>
    <col min="75" max="75" width="12" bestFit="1" customWidth="1"/>
    <col min="76" max="77" width="14.109375" bestFit="1" customWidth="1"/>
    <col min="78" max="78" width="13.109375" bestFit="1" customWidth="1"/>
    <col min="79" max="79" width="14.109375" bestFit="1" customWidth="1"/>
    <col min="80" max="80" width="13.109375" bestFit="1" customWidth="1"/>
    <col min="81" max="81" width="12.77734375" bestFit="1" customWidth="1"/>
    <col min="82" max="85" width="13.109375" bestFit="1" customWidth="1"/>
    <col min="86" max="86" width="14.109375" bestFit="1" customWidth="1"/>
    <col min="87" max="87" width="14" bestFit="1" customWidth="1"/>
    <col min="88" max="88" width="13.109375" bestFit="1" customWidth="1"/>
    <col min="89" max="89" width="14.109375" bestFit="1" customWidth="1"/>
    <col min="90" max="90" width="12" bestFit="1" customWidth="1"/>
    <col min="91" max="91" width="10.44140625" bestFit="1" customWidth="1"/>
    <col min="92" max="92" width="14.109375" bestFit="1" customWidth="1"/>
    <col min="93" max="93" width="13.109375" bestFit="1" customWidth="1"/>
    <col min="94" max="94" width="14.109375" bestFit="1" customWidth="1"/>
    <col min="95" max="96" width="13.109375" bestFit="1" customWidth="1"/>
    <col min="97" max="97" width="14.109375" bestFit="1" customWidth="1"/>
    <col min="98" max="98" width="13.109375" bestFit="1" customWidth="1"/>
    <col min="99" max="99" width="14.109375" bestFit="1" customWidth="1"/>
    <col min="100" max="103" width="13.109375" bestFit="1" customWidth="1"/>
    <col min="104" max="104" width="12" bestFit="1" customWidth="1"/>
    <col min="105" max="105" width="14.109375" bestFit="1" customWidth="1"/>
    <col min="106" max="106" width="13.109375" bestFit="1" customWidth="1"/>
    <col min="107" max="107" width="14.109375" bestFit="1" customWidth="1"/>
    <col min="108" max="109" width="12" bestFit="1" customWidth="1"/>
    <col min="110" max="110" width="14.109375" bestFit="1" customWidth="1"/>
    <col min="111" max="112" width="12" bestFit="1" customWidth="1"/>
    <col min="113" max="113" width="13.109375" bestFit="1" customWidth="1"/>
    <col min="114" max="114" width="13.88671875" bestFit="1" customWidth="1"/>
    <col min="115" max="115" width="13.109375" bestFit="1" customWidth="1"/>
    <col min="116" max="116" width="14.109375" bestFit="1" customWidth="1"/>
    <col min="117" max="118" width="13.109375" bestFit="1" customWidth="1"/>
    <col min="119" max="119" width="12" bestFit="1" customWidth="1"/>
    <col min="120" max="121" width="14.109375" bestFit="1" customWidth="1"/>
    <col min="122" max="122" width="12" bestFit="1" customWidth="1"/>
    <col min="123" max="124" width="13.109375" bestFit="1" customWidth="1"/>
    <col min="125" max="125" width="14" bestFit="1" customWidth="1"/>
    <col min="126" max="126" width="16.5546875" bestFit="1" customWidth="1"/>
    <col min="127" max="127" width="14.109375" bestFit="1" customWidth="1"/>
    <col min="128" max="128" width="16.5546875" bestFit="1" customWidth="1"/>
  </cols>
  <sheetData>
    <row r="1" spans="1:128" ht="14.4" customHeight="1" x14ac:dyDescent="0.3">
      <c r="A1" s="1130" t="s">
        <v>223</v>
      </c>
      <c r="B1" s="1130"/>
      <c r="C1" s="1130"/>
      <c r="D1" s="1130"/>
      <c r="E1" s="1130"/>
      <c r="F1" s="1130"/>
      <c r="G1" s="1130"/>
      <c r="H1" s="1130"/>
    </row>
    <row r="2" spans="1:128" ht="14.4" customHeight="1" x14ac:dyDescent="0.3">
      <c r="A2" s="1130"/>
      <c r="B2" s="1130"/>
      <c r="C2" s="1130"/>
      <c r="D2" s="1130"/>
      <c r="E2" s="1130"/>
      <c r="F2" s="1130"/>
      <c r="G2" s="1130"/>
      <c r="H2" s="1130"/>
    </row>
    <row r="4" spans="1:128" x14ac:dyDescent="0.3">
      <c r="B4" s="18" t="s">
        <v>224</v>
      </c>
      <c r="C4" s="28">
        <v>37231.379999999997</v>
      </c>
    </row>
    <row r="6" spans="1:128" s="20" customFormat="1" x14ac:dyDescent="0.3">
      <c r="A6" s="655" t="s">
        <v>220</v>
      </c>
      <c r="B6" s="655" t="s">
        <v>222</v>
      </c>
      <c r="DW6"/>
      <c r="DX6"/>
    </row>
    <row r="7" spans="1:128" s="56" customFormat="1" x14ac:dyDescent="0.3">
      <c r="A7" s="656" t="s">
        <v>219</v>
      </c>
      <c r="B7" s="56" t="s">
        <v>230</v>
      </c>
      <c r="C7" s="56" t="s">
        <v>231</v>
      </c>
      <c r="D7" s="56" t="s">
        <v>232</v>
      </c>
      <c r="E7" s="56" t="s">
        <v>233</v>
      </c>
      <c r="F7" s="56" t="s">
        <v>234</v>
      </c>
      <c r="G7" s="56" t="s">
        <v>235</v>
      </c>
      <c r="H7" s="56" t="s">
        <v>236</v>
      </c>
      <c r="I7" s="56" t="s">
        <v>237</v>
      </c>
      <c r="J7" s="56" t="s">
        <v>238</v>
      </c>
      <c r="K7" s="56" t="s">
        <v>239</v>
      </c>
      <c r="L7" s="56" t="s">
        <v>240</v>
      </c>
      <c r="M7" s="56" t="s">
        <v>241</v>
      </c>
      <c r="N7" s="56" t="s">
        <v>242</v>
      </c>
      <c r="O7" s="56" t="s">
        <v>243</v>
      </c>
      <c r="P7" s="56" t="s">
        <v>244</v>
      </c>
      <c r="Q7" s="56" t="s">
        <v>245</v>
      </c>
      <c r="R7" s="56" t="s">
        <v>346</v>
      </c>
      <c r="S7" s="56" t="s">
        <v>246</v>
      </c>
      <c r="T7" s="56" t="s">
        <v>247</v>
      </c>
      <c r="U7" s="56" t="s">
        <v>410</v>
      </c>
      <c r="V7" s="56" t="s">
        <v>248</v>
      </c>
      <c r="W7" s="56" t="s">
        <v>249</v>
      </c>
      <c r="X7" s="56" t="s">
        <v>250</v>
      </c>
      <c r="Y7" s="56" t="s">
        <v>251</v>
      </c>
      <c r="Z7" s="56" t="s">
        <v>252</v>
      </c>
      <c r="AA7" s="56" t="s">
        <v>253</v>
      </c>
      <c r="AB7" s="56" t="s">
        <v>254</v>
      </c>
      <c r="AC7" s="56" t="s">
        <v>255</v>
      </c>
      <c r="AD7" s="56" t="s">
        <v>256</v>
      </c>
      <c r="AE7" s="56" t="s">
        <v>257</v>
      </c>
      <c r="AF7" s="56" t="s">
        <v>258</v>
      </c>
      <c r="AG7" s="56" t="s">
        <v>259</v>
      </c>
      <c r="AH7" s="56" t="s">
        <v>260</v>
      </c>
      <c r="AI7" s="56" t="s">
        <v>261</v>
      </c>
      <c r="AJ7" s="56" t="s">
        <v>262</v>
      </c>
      <c r="AK7" s="56" t="s">
        <v>263</v>
      </c>
      <c r="AL7" s="56" t="s">
        <v>264</v>
      </c>
      <c r="AM7" s="56" t="s">
        <v>265</v>
      </c>
      <c r="AN7" s="56" t="s">
        <v>266</v>
      </c>
      <c r="AO7" s="56" t="s">
        <v>267</v>
      </c>
      <c r="AP7" s="56" t="s">
        <v>268</v>
      </c>
      <c r="AQ7" s="56" t="s">
        <v>1164</v>
      </c>
      <c r="AR7" s="56" t="s">
        <v>269</v>
      </c>
      <c r="AS7" s="56" t="s">
        <v>270</v>
      </c>
      <c r="AT7" s="56" t="s">
        <v>271</v>
      </c>
      <c r="AU7" s="56" t="s">
        <v>272</v>
      </c>
      <c r="AV7" s="56" t="s">
        <v>273</v>
      </c>
      <c r="AW7" s="56" t="s">
        <v>274</v>
      </c>
      <c r="AX7" s="56" t="s">
        <v>275</v>
      </c>
      <c r="AY7" s="56" t="s">
        <v>276</v>
      </c>
      <c r="AZ7" s="56" t="s">
        <v>277</v>
      </c>
      <c r="BA7" s="56" t="s">
        <v>278</v>
      </c>
      <c r="BB7" s="56" t="s">
        <v>279</v>
      </c>
      <c r="BC7" s="56" t="s">
        <v>280</v>
      </c>
      <c r="BD7" s="56" t="s">
        <v>281</v>
      </c>
      <c r="BE7" s="56" t="s">
        <v>282</v>
      </c>
      <c r="BF7" s="56" t="s">
        <v>283</v>
      </c>
      <c r="BG7" s="56" t="s">
        <v>284</v>
      </c>
      <c r="BH7" s="56" t="s">
        <v>285</v>
      </c>
      <c r="BI7" s="56" t="s">
        <v>286</v>
      </c>
      <c r="BJ7" s="56" t="s">
        <v>287</v>
      </c>
      <c r="BK7" s="56" t="s">
        <v>288</v>
      </c>
      <c r="BL7" s="56" t="s">
        <v>289</v>
      </c>
      <c r="BM7" s="56" t="s">
        <v>290</v>
      </c>
      <c r="BN7" s="56" t="s">
        <v>291</v>
      </c>
      <c r="BO7" s="56" t="s">
        <v>292</v>
      </c>
      <c r="BP7" s="56" t="s">
        <v>293</v>
      </c>
      <c r="BQ7" s="56" t="s">
        <v>294</v>
      </c>
      <c r="BR7" s="56" t="s">
        <v>687</v>
      </c>
      <c r="BS7" s="56" t="s">
        <v>295</v>
      </c>
      <c r="BT7" s="56" t="s">
        <v>296</v>
      </c>
      <c r="BU7" s="56" t="s">
        <v>297</v>
      </c>
      <c r="BV7" s="56" t="s">
        <v>298</v>
      </c>
      <c r="BW7" s="56" t="s">
        <v>299</v>
      </c>
      <c r="BX7" s="56" t="s">
        <v>300</v>
      </c>
      <c r="BY7" s="56" t="s">
        <v>301</v>
      </c>
      <c r="BZ7" s="56" t="s">
        <v>302</v>
      </c>
      <c r="CA7" s="56" t="s">
        <v>303</v>
      </c>
      <c r="CB7" s="56" t="s">
        <v>621</v>
      </c>
      <c r="CC7" s="56" t="s">
        <v>304</v>
      </c>
      <c r="CD7" s="56" t="s">
        <v>1474</v>
      </c>
      <c r="CE7" s="56" t="s">
        <v>305</v>
      </c>
      <c r="CF7" s="56" t="s">
        <v>306</v>
      </c>
      <c r="CG7" s="56" t="s">
        <v>307</v>
      </c>
      <c r="CH7" s="56" t="s">
        <v>308</v>
      </c>
      <c r="CI7" s="56" t="s">
        <v>309</v>
      </c>
      <c r="CJ7" s="56" t="s">
        <v>310</v>
      </c>
      <c r="CK7" s="56" t="s">
        <v>311</v>
      </c>
      <c r="CL7" s="56" t="s">
        <v>312</v>
      </c>
      <c r="CM7" s="56" t="s">
        <v>313</v>
      </c>
      <c r="CN7" s="56" t="s">
        <v>314</v>
      </c>
      <c r="CO7" s="56" t="s">
        <v>315</v>
      </c>
      <c r="CP7" s="56" t="s">
        <v>316</v>
      </c>
      <c r="CQ7" s="56" t="s">
        <v>317</v>
      </c>
      <c r="CR7" s="56" t="s">
        <v>318</v>
      </c>
      <c r="CS7" s="56" t="s">
        <v>319</v>
      </c>
      <c r="CT7" s="56" t="s">
        <v>320</v>
      </c>
      <c r="CU7" s="56" t="s">
        <v>321</v>
      </c>
      <c r="CV7" s="56" t="s">
        <v>322</v>
      </c>
      <c r="CW7" s="56" t="s">
        <v>323</v>
      </c>
      <c r="CX7" s="56" t="s">
        <v>324</v>
      </c>
      <c r="CY7" s="56" t="s">
        <v>325</v>
      </c>
      <c r="CZ7" s="20" t="s">
        <v>1655</v>
      </c>
      <c r="DA7" s="56" t="s">
        <v>326</v>
      </c>
      <c r="DB7" s="56" t="s">
        <v>327</v>
      </c>
      <c r="DC7" s="56" t="s">
        <v>328</v>
      </c>
      <c r="DD7" s="20" t="s">
        <v>1668</v>
      </c>
      <c r="DE7" s="56" t="s">
        <v>329</v>
      </c>
      <c r="DF7" s="56" t="s">
        <v>330</v>
      </c>
      <c r="DG7" s="56" t="s">
        <v>331</v>
      </c>
      <c r="DH7" s="56" t="s">
        <v>332</v>
      </c>
      <c r="DI7" s="56" t="s">
        <v>333</v>
      </c>
      <c r="DJ7" s="56" t="s">
        <v>334</v>
      </c>
      <c r="DK7" s="56" t="s">
        <v>335</v>
      </c>
      <c r="DL7" s="56" t="s">
        <v>336</v>
      </c>
      <c r="DM7" s="56" t="s">
        <v>337</v>
      </c>
      <c r="DN7" s="56" t="s">
        <v>338</v>
      </c>
      <c r="DO7" s="56" t="s">
        <v>339</v>
      </c>
      <c r="DP7" s="56" t="s">
        <v>340</v>
      </c>
      <c r="DQ7" s="56" t="s">
        <v>341</v>
      </c>
      <c r="DR7" s="56" t="s">
        <v>342</v>
      </c>
      <c r="DS7" s="56" t="s">
        <v>343</v>
      </c>
      <c r="DT7" s="56" t="s">
        <v>344</v>
      </c>
      <c r="DU7" s="56" t="s">
        <v>345</v>
      </c>
      <c r="DV7" s="56" t="s">
        <v>221</v>
      </c>
      <c r="DW7"/>
      <c r="DX7"/>
    </row>
    <row r="8" spans="1:128" s="211" customFormat="1" x14ac:dyDescent="0.3">
      <c r="A8" s="726" t="s">
        <v>161</v>
      </c>
      <c r="B8" s="211">
        <v>138079.85</v>
      </c>
      <c r="C8" s="211">
        <v>650781.01</v>
      </c>
      <c r="D8" s="211">
        <v>8091.96</v>
      </c>
      <c r="F8" s="211">
        <v>15077.75</v>
      </c>
      <c r="H8" s="211">
        <v>40231.050000000003</v>
      </c>
      <c r="I8" s="211">
        <v>145883.66999999998</v>
      </c>
      <c r="J8" s="211">
        <v>9549.75</v>
      </c>
      <c r="K8" s="211">
        <v>909047.05</v>
      </c>
      <c r="L8" s="211">
        <v>20356.39</v>
      </c>
      <c r="T8" s="211">
        <v>15657.3</v>
      </c>
      <c r="U8" s="211">
        <v>4880.1400000000003</v>
      </c>
      <c r="W8" s="211">
        <v>144054.54</v>
      </c>
      <c r="X8" s="211">
        <v>41481.22</v>
      </c>
      <c r="Z8" s="211">
        <v>345280</v>
      </c>
      <c r="AB8" s="211">
        <v>49974.58</v>
      </c>
      <c r="AD8" s="211">
        <v>40542.71</v>
      </c>
      <c r="AE8" s="211">
        <v>102271.59999999999</v>
      </c>
      <c r="AF8" s="211">
        <v>8750</v>
      </c>
      <c r="AH8" s="211">
        <v>192273.31</v>
      </c>
      <c r="AJ8" s="211">
        <v>724856.69</v>
      </c>
      <c r="AN8" s="211">
        <v>8400</v>
      </c>
      <c r="AQ8" s="211">
        <v>135668.9</v>
      </c>
      <c r="AR8" s="211">
        <v>401655.80000000005</v>
      </c>
      <c r="AS8" s="211">
        <v>36159.379999999997</v>
      </c>
      <c r="AT8" s="211">
        <v>65157.26999999999</v>
      </c>
      <c r="AU8" s="211">
        <v>49289.86</v>
      </c>
      <c r="AW8" s="211">
        <v>10000</v>
      </c>
      <c r="AY8" s="211">
        <v>22930</v>
      </c>
      <c r="AZ8" s="211">
        <v>12221.92</v>
      </c>
      <c r="BA8" s="211">
        <v>144830.44</v>
      </c>
      <c r="BB8" s="211">
        <v>41789.379999999997</v>
      </c>
      <c r="BC8" s="211">
        <v>662619.46000000008</v>
      </c>
      <c r="BE8" s="211">
        <v>37545.81</v>
      </c>
      <c r="BI8" s="211">
        <v>680.03</v>
      </c>
      <c r="BK8" s="211">
        <v>53665.43</v>
      </c>
      <c r="BL8" s="211">
        <v>228251.75999999998</v>
      </c>
      <c r="BN8" s="211">
        <v>454048.31</v>
      </c>
      <c r="BP8" s="211">
        <v>103895.15000000001</v>
      </c>
      <c r="BR8" s="211">
        <v>4935</v>
      </c>
      <c r="BU8" s="211">
        <v>11000</v>
      </c>
      <c r="BV8" s="211">
        <v>132950.59000000003</v>
      </c>
      <c r="BY8" s="211">
        <v>17956.39</v>
      </c>
      <c r="CA8" s="211">
        <v>36795.81</v>
      </c>
      <c r="CC8" s="211">
        <v>14744.060000000001</v>
      </c>
      <c r="CH8" s="211">
        <v>839235.64</v>
      </c>
      <c r="CI8" s="211">
        <v>172061.06999999998</v>
      </c>
      <c r="CK8" s="211">
        <v>345280</v>
      </c>
      <c r="CN8" s="211">
        <v>4935</v>
      </c>
      <c r="CP8" s="211">
        <v>132950.59000000003</v>
      </c>
      <c r="CT8" s="211">
        <v>54752.2</v>
      </c>
      <c r="CV8" s="211">
        <v>14744.060000000001</v>
      </c>
      <c r="DA8" s="211">
        <v>880716.86</v>
      </c>
      <c r="DC8" s="211">
        <v>130579.84999999999</v>
      </c>
      <c r="DH8" s="211">
        <v>4935</v>
      </c>
      <c r="DJ8" s="211">
        <v>137560.20000000001</v>
      </c>
      <c r="DR8" s="211">
        <v>2284.4499999999998</v>
      </c>
      <c r="DU8" s="211">
        <v>22517.75</v>
      </c>
      <c r="DV8" s="211">
        <v>9036863.9899999965</v>
      </c>
      <c r="DW8"/>
      <c r="DX8"/>
    </row>
    <row r="9" spans="1:128" s="214" customFormat="1" x14ac:dyDescent="0.3">
      <c r="A9" s="213" t="s">
        <v>8</v>
      </c>
      <c r="B9" s="214">
        <v>-14279.350000000002</v>
      </c>
      <c r="C9" s="214">
        <v>-14379.23</v>
      </c>
      <c r="D9" s="214">
        <v>-7750.91</v>
      </c>
      <c r="E9" s="214">
        <v>-514385.73999999993</v>
      </c>
      <c r="F9" s="214">
        <v>-12876.61</v>
      </c>
      <c r="G9" s="214">
        <v>-30189.420000000006</v>
      </c>
      <c r="H9" s="214">
        <v>-80032.450000000012</v>
      </c>
      <c r="I9" s="214">
        <v>-27618.849999999995</v>
      </c>
      <c r="J9" s="214">
        <v>-8205.3100000000013</v>
      </c>
      <c r="K9" s="214">
        <v>-165790.33000000005</v>
      </c>
      <c r="L9" s="214">
        <v>-166519.58999999997</v>
      </c>
      <c r="M9" s="214">
        <v>-44137.010000000009</v>
      </c>
      <c r="N9" s="214">
        <v>-198325.29974400002</v>
      </c>
      <c r="O9" s="214">
        <v>-209039.13959500004</v>
      </c>
      <c r="P9" s="214">
        <v>-24532.89</v>
      </c>
      <c r="Q9" s="214">
        <v>-68357.540000000008</v>
      </c>
      <c r="R9" s="214">
        <v>-14448.34</v>
      </c>
      <c r="S9" s="214">
        <v>-52682.95</v>
      </c>
      <c r="T9" s="214">
        <v>-54023.03994499999</v>
      </c>
      <c r="U9" s="214">
        <v>-1076.8400000000001</v>
      </c>
      <c r="V9" s="214">
        <v>-49227.369997000002</v>
      </c>
      <c r="W9" s="214">
        <v>-133017.26999999996</v>
      </c>
      <c r="X9" s="214">
        <v>-44847.069999999992</v>
      </c>
      <c r="Y9" s="214">
        <v>-6776.72</v>
      </c>
      <c r="Z9" s="214">
        <v>-17370.830000000002</v>
      </c>
      <c r="AA9" s="214">
        <v>-476385.67</v>
      </c>
      <c r="AB9" s="214">
        <v>-17529.910000000003</v>
      </c>
      <c r="AC9" s="214">
        <v>-41104.490000000005</v>
      </c>
      <c r="AD9" s="214">
        <v>-85049.319999999992</v>
      </c>
      <c r="AE9" s="214">
        <v>-3555.92</v>
      </c>
      <c r="AF9" s="214">
        <v>-8557.5400000000009</v>
      </c>
      <c r="AG9" s="214">
        <v>-3271.55</v>
      </c>
      <c r="AH9" s="214">
        <v>-201350.26999999987</v>
      </c>
      <c r="AI9" s="214">
        <v>-100198.12</v>
      </c>
      <c r="AJ9" s="214">
        <v>-104618.79000000001</v>
      </c>
      <c r="AK9" s="214">
        <v>-300937.90969800012</v>
      </c>
      <c r="AL9" s="214">
        <v>-74881.539999999994</v>
      </c>
      <c r="AM9" s="214">
        <v>-58623.610000000008</v>
      </c>
      <c r="AN9" s="214">
        <v>-21571.239999999998</v>
      </c>
      <c r="AO9" s="214">
        <v>-21244.1</v>
      </c>
      <c r="AP9" s="214">
        <v>-42934.170303000006</v>
      </c>
      <c r="AQ9" s="214">
        <v>-18923.760000000002</v>
      </c>
      <c r="AR9" s="214">
        <v>-214058.859486</v>
      </c>
      <c r="AS9" s="214">
        <v>-27851.500006000002</v>
      </c>
      <c r="AT9" s="214">
        <v>-7388.77</v>
      </c>
      <c r="AU9" s="214">
        <v>-5101.9399999999996</v>
      </c>
      <c r="AV9" s="214">
        <v>-17302.97</v>
      </c>
      <c r="AW9" s="214">
        <v>-508690.12999999995</v>
      </c>
      <c r="AX9" s="214">
        <v>-31658.28</v>
      </c>
      <c r="AY9" s="214">
        <v>-5080.1899999999996</v>
      </c>
      <c r="AZ9" s="214">
        <v>-85425.470000000016</v>
      </c>
      <c r="BA9" s="214">
        <v>-4490.01</v>
      </c>
      <c r="BB9" s="214">
        <v>-42568.859999999993</v>
      </c>
      <c r="BC9" s="214">
        <v>-257987.09999999992</v>
      </c>
      <c r="BD9" s="214">
        <v>-56051.589999999989</v>
      </c>
      <c r="BE9" s="214">
        <v>-21598.289999999994</v>
      </c>
      <c r="BF9" s="214">
        <v>-178876.55</v>
      </c>
      <c r="BG9" s="214">
        <v>-153437.98000000001</v>
      </c>
      <c r="BH9" s="214">
        <v>-16111.430000000002</v>
      </c>
      <c r="BI9" s="214">
        <v>-24613.77</v>
      </c>
      <c r="BJ9" s="214">
        <v>-24368.62</v>
      </c>
      <c r="BK9" s="214">
        <v>-22188.48</v>
      </c>
      <c r="BL9" s="214">
        <v>-58809.1</v>
      </c>
      <c r="BM9" s="214">
        <v>-92433.48000000001</v>
      </c>
      <c r="BN9" s="214">
        <v>-28824.600000000002</v>
      </c>
      <c r="BO9" s="214">
        <v>-249165.49995000006</v>
      </c>
      <c r="BP9" s="214">
        <v>-40373.05999999999</v>
      </c>
      <c r="BQ9" s="214">
        <v>-494992.44</v>
      </c>
      <c r="BR9" s="214">
        <v>-2352.9900000000002</v>
      </c>
      <c r="BS9" s="214">
        <v>-8471.9</v>
      </c>
      <c r="BT9" s="214">
        <v>-9421.2099999999991</v>
      </c>
      <c r="BU9" s="214">
        <v>-142299.62999700004</v>
      </c>
      <c r="BV9" s="214">
        <v>-3780.2400000000002</v>
      </c>
      <c r="BW9" s="214">
        <v>-7536.2</v>
      </c>
      <c r="BX9" s="214">
        <v>-299357.03000000003</v>
      </c>
      <c r="BY9" s="214">
        <v>-182611.71000000005</v>
      </c>
      <c r="BZ9" s="214">
        <v>-86802.3</v>
      </c>
      <c r="CA9" s="214">
        <v>-347274.05000000005</v>
      </c>
      <c r="CB9" s="214">
        <v>-50353.479999999996</v>
      </c>
      <c r="CC9" s="214">
        <v>-8314.7300790000008</v>
      </c>
      <c r="CD9" s="214">
        <v>-14000</v>
      </c>
      <c r="CE9" s="214">
        <v>-29152.66</v>
      </c>
      <c r="CF9" s="214">
        <v>-49521.989995000004</v>
      </c>
      <c r="CG9" s="214">
        <v>-15374.010079</v>
      </c>
      <c r="CH9" s="214">
        <v>-45401.149999999994</v>
      </c>
      <c r="CI9" s="214">
        <v>-225234.27999999997</v>
      </c>
      <c r="CJ9" s="214">
        <v>-13546.33</v>
      </c>
      <c r="CK9" s="214">
        <v>-6023.98</v>
      </c>
      <c r="CL9" s="214">
        <v>-6701.1698429999997</v>
      </c>
      <c r="CM9" s="214">
        <v>-389</v>
      </c>
      <c r="CN9" s="214">
        <v>-522529.68</v>
      </c>
      <c r="CO9" s="214">
        <v>-97458.57</v>
      </c>
      <c r="CP9" s="214">
        <v>-348.44</v>
      </c>
      <c r="CQ9" s="214">
        <v>-37012.449999999997</v>
      </c>
      <c r="CR9" s="214">
        <v>-40215</v>
      </c>
      <c r="CS9" s="214">
        <v>-359338.42999999964</v>
      </c>
      <c r="CT9" s="214">
        <v>-6061.8</v>
      </c>
      <c r="CU9" s="214">
        <v>-347258.72000000003</v>
      </c>
      <c r="CV9" s="214">
        <v>-77483.92</v>
      </c>
      <c r="CW9" s="214">
        <v>-15700</v>
      </c>
      <c r="CX9" s="214">
        <v>-12239.279994999999</v>
      </c>
      <c r="CY9" s="214">
        <v>-35714.57</v>
      </c>
      <c r="CZ9" s="214">
        <v>-2872.84</v>
      </c>
      <c r="DA9" s="214">
        <v>-531964.48</v>
      </c>
      <c r="DB9" s="214">
        <v>-12489.99</v>
      </c>
      <c r="DC9" s="214">
        <v>-1179</v>
      </c>
      <c r="DD9" s="214">
        <v>-4125.33</v>
      </c>
      <c r="DE9" s="214">
        <v>-6412.98</v>
      </c>
      <c r="DF9" s="214">
        <v>-514961.68</v>
      </c>
      <c r="DG9" s="214">
        <v>-2000</v>
      </c>
      <c r="DI9" s="214">
        <v>-92512.1</v>
      </c>
      <c r="DJ9" s="214">
        <v>-40000</v>
      </c>
      <c r="DK9" s="214">
        <v>-19247.45</v>
      </c>
      <c r="DL9" s="214">
        <v>-302088.19999999966</v>
      </c>
      <c r="DM9" s="214">
        <v>-18203.920000000006</v>
      </c>
      <c r="DN9" s="214">
        <v>-46500.46</v>
      </c>
      <c r="DO9" s="214">
        <v>-5996.67</v>
      </c>
      <c r="DP9" s="214">
        <v>-503951.15</v>
      </c>
      <c r="DQ9" s="214">
        <v>-154533.39000000004</v>
      </c>
      <c r="DS9" s="214">
        <v>-74967.23000000001</v>
      </c>
      <c r="DT9" s="214">
        <v>-19812.25</v>
      </c>
      <c r="DU9" s="214">
        <v>-107430.29</v>
      </c>
      <c r="DV9" s="214">
        <v>-11776607.288712006</v>
      </c>
      <c r="DW9"/>
      <c r="DX9"/>
    </row>
    <row r="10" spans="1:128" s="22" customFormat="1" x14ac:dyDescent="0.3">
      <c r="A10" s="21" t="s">
        <v>221</v>
      </c>
      <c r="B10" s="22">
        <v>123800.5</v>
      </c>
      <c r="C10" s="22">
        <v>636401.78</v>
      </c>
      <c r="D10" s="22">
        <v>341.05000000000018</v>
      </c>
      <c r="E10" s="22">
        <v>-514385.73999999993</v>
      </c>
      <c r="F10" s="22">
        <v>2201.1399999999994</v>
      </c>
      <c r="G10" s="22">
        <v>-30189.420000000006</v>
      </c>
      <c r="H10" s="22">
        <v>-39801.400000000009</v>
      </c>
      <c r="I10" s="22">
        <v>118264.81999999999</v>
      </c>
      <c r="J10" s="22">
        <v>1344.4399999999987</v>
      </c>
      <c r="K10" s="22">
        <v>743256.72</v>
      </c>
      <c r="L10" s="22">
        <v>-146163.19999999995</v>
      </c>
      <c r="M10" s="22">
        <v>-44137.010000000009</v>
      </c>
      <c r="N10" s="22">
        <v>-198325.29974400002</v>
      </c>
      <c r="O10" s="22">
        <v>-209039.13959500004</v>
      </c>
      <c r="P10" s="22">
        <v>-24532.89</v>
      </c>
      <c r="Q10" s="22">
        <v>-68357.540000000008</v>
      </c>
      <c r="R10" s="22">
        <v>-14448.34</v>
      </c>
      <c r="S10" s="22">
        <v>-52682.95</v>
      </c>
      <c r="T10" s="22">
        <v>-38365.739944999994</v>
      </c>
      <c r="U10" s="22">
        <v>3803.3</v>
      </c>
      <c r="V10" s="22">
        <v>-49227.369997000002</v>
      </c>
      <c r="W10" s="22">
        <v>11037.270000000048</v>
      </c>
      <c r="X10" s="22">
        <v>-3365.8499999999913</v>
      </c>
      <c r="Y10" s="22">
        <v>-6776.72</v>
      </c>
      <c r="Z10" s="22">
        <v>327909.17</v>
      </c>
      <c r="AA10" s="22">
        <v>-476385.67</v>
      </c>
      <c r="AB10" s="22">
        <v>32444.67</v>
      </c>
      <c r="AC10" s="22">
        <v>-41104.490000000005</v>
      </c>
      <c r="AD10" s="22">
        <v>-44506.609999999993</v>
      </c>
      <c r="AE10" s="22">
        <v>98715.68</v>
      </c>
      <c r="AF10" s="22">
        <v>192.45999999999913</v>
      </c>
      <c r="AG10" s="22">
        <v>-3271.55</v>
      </c>
      <c r="AH10" s="22">
        <v>-9076.9599999998754</v>
      </c>
      <c r="AI10" s="22">
        <v>-100198.12</v>
      </c>
      <c r="AJ10" s="22">
        <v>620237.89999999991</v>
      </c>
      <c r="AK10" s="22">
        <v>-300937.90969800012</v>
      </c>
      <c r="AL10" s="22">
        <v>-74881.539999999994</v>
      </c>
      <c r="AM10" s="22">
        <v>-58623.610000000008</v>
      </c>
      <c r="AN10" s="22">
        <v>-13171.239999999998</v>
      </c>
      <c r="AO10" s="22">
        <v>-21244.1</v>
      </c>
      <c r="AP10" s="22">
        <v>-42934.170303000006</v>
      </c>
      <c r="AQ10" s="22">
        <v>116745.13999999998</v>
      </c>
      <c r="AR10" s="22">
        <v>187596.94051400005</v>
      </c>
      <c r="AS10" s="22">
        <v>8307.8799939999953</v>
      </c>
      <c r="AT10" s="22">
        <v>57768.499999999985</v>
      </c>
      <c r="AU10" s="22">
        <v>44187.92</v>
      </c>
      <c r="AV10" s="22">
        <v>-17302.97</v>
      </c>
      <c r="AW10" s="22">
        <v>-498690.12999999995</v>
      </c>
      <c r="AX10" s="22">
        <v>-31658.28</v>
      </c>
      <c r="AY10" s="22">
        <v>17849.810000000001</v>
      </c>
      <c r="AZ10" s="22">
        <v>-73203.550000000017</v>
      </c>
      <c r="BA10" s="22">
        <v>140340.43</v>
      </c>
      <c r="BB10" s="22">
        <v>-779.47999999999593</v>
      </c>
      <c r="BC10" s="22">
        <v>404632.36000000016</v>
      </c>
      <c r="BD10" s="22">
        <v>-56051.589999999989</v>
      </c>
      <c r="BE10" s="22">
        <v>15947.520000000004</v>
      </c>
      <c r="BF10" s="22">
        <v>-178876.55</v>
      </c>
      <c r="BG10" s="22">
        <v>-153437.98000000001</v>
      </c>
      <c r="BH10" s="22">
        <v>-16111.430000000002</v>
      </c>
      <c r="BI10" s="22">
        <v>-23933.74</v>
      </c>
      <c r="BJ10" s="22">
        <v>-24368.62</v>
      </c>
      <c r="BK10" s="22">
        <v>31476.95</v>
      </c>
      <c r="BL10" s="22">
        <v>169442.65999999997</v>
      </c>
      <c r="BM10" s="22">
        <v>-92433.48000000001</v>
      </c>
      <c r="BN10" s="22">
        <v>425223.71</v>
      </c>
      <c r="BO10" s="22">
        <v>-249165.49995000006</v>
      </c>
      <c r="BP10" s="22">
        <v>63522.090000000018</v>
      </c>
      <c r="BQ10" s="22">
        <v>-494992.44</v>
      </c>
      <c r="BR10" s="22">
        <v>2582.0099999999998</v>
      </c>
      <c r="BS10" s="22">
        <v>-8471.9</v>
      </c>
      <c r="BT10" s="22">
        <v>-9421.2099999999991</v>
      </c>
      <c r="BU10" s="22">
        <v>-131299.62999700004</v>
      </c>
      <c r="BV10" s="22">
        <v>129170.35000000002</v>
      </c>
      <c r="BW10" s="22">
        <v>-7536.2</v>
      </c>
      <c r="BX10" s="22">
        <v>-299357.03000000003</v>
      </c>
      <c r="BY10" s="22">
        <v>-164655.32000000007</v>
      </c>
      <c r="BZ10" s="22">
        <v>-86802.3</v>
      </c>
      <c r="CA10" s="22">
        <v>-310478.24000000005</v>
      </c>
      <c r="CB10" s="22">
        <v>-50353.479999999996</v>
      </c>
      <c r="CC10" s="22">
        <v>6429.3299210000005</v>
      </c>
      <c r="CD10" s="22">
        <v>-14000</v>
      </c>
      <c r="CE10" s="22">
        <v>-29152.66</v>
      </c>
      <c r="CF10" s="22">
        <v>-49521.989995000004</v>
      </c>
      <c r="CG10" s="22">
        <v>-15374.010079</v>
      </c>
      <c r="CH10" s="22">
        <v>793834.49</v>
      </c>
      <c r="CI10" s="22">
        <v>-53173.209999999992</v>
      </c>
      <c r="CJ10" s="22">
        <v>-13546.33</v>
      </c>
      <c r="CK10" s="22">
        <v>339256.02</v>
      </c>
      <c r="CL10" s="22">
        <v>-6701.1698429999997</v>
      </c>
      <c r="CM10" s="22">
        <v>-389</v>
      </c>
      <c r="CN10" s="22">
        <v>-517594.68</v>
      </c>
      <c r="CO10" s="22">
        <v>-97458.57</v>
      </c>
      <c r="CP10" s="22">
        <v>132602.15000000002</v>
      </c>
      <c r="CQ10" s="22">
        <v>-37012.449999999997</v>
      </c>
      <c r="CR10" s="22">
        <v>-40215</v>
      </c>
      <c r="CS10" s="22">
        <v>-359338.42999999964</v>
      </c>
      <c r="CT10" s="22">
        <v>48690.399999999994</v>
      </c>
      <c r="CU10" s="22">
        <v>-347258.72000000003</v>
      </c>
      <c r="CV10" s="22">
        <v>-62739.86</v>
      </c>
      <c r="CW10" s="22">
        <v>-15700</v>
      </c>
      <c r="CX10" s="22">
        <v>-12239.279994999999</v>
      </c>
      <c r="CY10" s="22">
        <v>-35714.57</v>
      </c>
      <c r="CZ10" s="22">
        <v>-2872.84</v>
      </c>
      <c r="DA10" s="22">
        <v>348752.38</v>
      </c>
      <c r="DB10" s="22">
        <v>-12489.99</v>
      </c>
      <c r="DC10" s="22">
        <v>129400.84999999999</v>
      </c>
      <c r="DD10" s="22">
        <v>-4125.33</v>
      </c>
      <c r="DE10" s="22">
        <v>-6412.98</v>
      </c>
      <c r="DF10" s="22">
        <v>-514961.68</v>
      </c>
      <c r="DG10" s="22">
        <v>-2000</v>
      </c>
      <c r="DH10" s="22">
        <v>4935</v>
      </c>
      <c r="DI10" s="22">
        <v>-92512.1</v>
      </c>
      <c r="DJ10" s="22">
        <v>97560.200000000012</v>
      </c>
      <c r="DK10" s="22">
        <v>-19247.45</v>
      </c>
      <c r="DL10" s="22">
        <v>-302088.19999999966</v>
      </c>
      <c r="DM10" s="22">
        <v>-18203.920000000006</v>
      </c>
      <c r="DN10" s="22">
        <v>-46500.46</v>
      </c>
      <c r="DO10" s="22">
        <v>-5996.67</v>
      </c>
      <c r="DP10" s="22">
        <v>-503951.15</v>
      </c>
      <c r="DQ10" s="22">
        <v>-154533.39000000004</v>
      </c>
      <c r="DR10" s="22">
        <v>2284.4499999999998</v>
      </c>
      <c r="DS10" s="22">
        <v>-74967.23000000001</v>
      </c>
      <c r="DT10" s="22">
        <v>-19812.25</v>
      </c>
      <c r="DU10" s="22">
        <v>-84912.54</v>
      </c>
      <c r="DV10" s="22">
        <v>-2739743.2987120096</v>
      </c>
      <c r="DW10"/>
      <c r="DX10"/>
    </row>
    <row r="13" spans="1:128" s="99" customFormat="1" x14ac:dyDescent="0.3">
      <c r="A13" s="28" t="s">
        <v>664</v>
      </c>
      <c r="B13" s="28">
        <f>C4+GETPIVOTDATA("VALOR",$A$6,"TIPO","RECEITAS","Dias (DATA)",183)+GETPIVOTDATA("VALOR",$A$6,"TIPO","DESPESAS","Dias (DATA)",183)</f>
        <v>161031.88</v>
      </c>
      <c r="C13" s="28">
        <f>B13+GETPIVOTDATA("VALOR",$A$6,"TIPO","RECEITAS","Dias (DATA)",184)+GETPIVOTDATA("VALOR",$A$6,"TIPO","DESPESAS","Dias (DATA)",184)</f>
        <v>797433.66</v>
      </c>
      <c r="D13" s="28">
        <f>C13+GETPIVOTDATA("VALOR",$A$6,"TIPO","RECEITAS","Dias (DATA)",185)+GETPIVOTDATA("VALOR",$A$6,"TIPO","DESPESAS","Dias (DATA)",185)</f>
        <v>797774.71</v>
      </c>
      <c r="E13" s="28">
        <f>D13+GETPIVOTDATA("VALOR",$A$6,"TIPO","RECEITAS","Dias (DATA)",186)+GETPIVOTDATA("VALOR",$A$6,"TIPO","DESPESAS","Dias (DATA)",186)</f>
        <v>283388.97000000003</v>
      </c>
      <c r="F13" s="28">
        <f>E13+GETPIVOTDATA("VALOR",$A$6,"TIPO","RECEITAS","Dias (DATA)",189)+GETPIVOTDATA("VALOR",$A$6,"TIPO","DESPESAS","Dias (DATA)",189)</f>
        <v>285590.11000000004</v>
      </c>
      <c r="G13" s="28">
        <f>F13+GETPIVOTDATA("VALOR",$A$6,"TIPO","RECEITAS","Dias (DATA)",190)+GETPIVOTDATA("VALOR",$A$6,"TIPO","DESPESAS","Dias (DATA)",190)</f>
        <v>255400.69000000003</v>
      </c>
      <c r="H13" s="28">
        <f>G13+GETPIVOTDATA("VALOR",$A$6,"TIPO","RECEITAS","Dias (DATA)",192)+GETPIVOTDATA("VALOR",$A$6,"TIPO","DESPESAS","Dias (DATA)",192)</f>
        <v>215599.29000000004</v>
      </c>
      <c r="I13" s="28">
        <f>H13+GETPIVOTDATA("VALOR",$A$6,"TIPO","RECEITAS","Dias (DATA)",193)+GETPIVOTDATA("VALOR",$A$6,"TIPO","DESPESAS","Dias (DATA)",193)</f>
        <v>333864.11000000004</v>
      </c>
      <c r="J13" s="28">
        <f>I13+GETPIVOTDATA("VALOR",$A$6,"TIPO","RECEITAS","Dias (DATA)",196)+GETPIVOTDATA("VALOR",$A$6,"TIPO","DESPESAS","Dias (DATA)",196)</f>
        <v>335208.55000000005</v>
      </c>
      <c r="K13" s="28">
        <f>J13+GETPIVOTDATA("VALOR",$A$6,"TIPO","RECEITAS","Dias (DATA)",197)+GETPIVOTDATA("VALOR",$A$6,"TIPO","DESPESAS","Dias (DATA)",197)</f>
        <v>1078465.27</v>
      </c>
      <c r="L13" s="28">
        <f>K13+GETPIVOTDATA("VALOR",$A$6,"TIPO","RECEITAS","Dias (DATA)",198)+GETPIVOTDATA("VALOR",$A$6,"TIPO","DESPESAS","Dias (DATA)",198)</f>
        <v>932302.07</v>
      </c>
      <c r="M13" s="28">
        <f>L13+GETPIVOTDATA("VALOR",$A$6,"TIPO","RECEITAS","Dias (DATA)",199)+GETPIVOTDATA("VALOR",$A$6,"TIPO","DESPESAS","Dias (DATA)",199)</f>
        <v>888165.05999999994</v>
      </c>
      <c r="N13" s="28">
        <f>M13+GETPIVOTDATA("VALOR",$A$6,"TIPO","RECEITAS","Dias (DATA)",200)+GETPIVOTDATA("VALOR",$A$6,"TIPO","DESPESAS","Dias (DATA)",200)</f>
        <v>689839.76025599986</v>
      </c>
      <c r="O13" s="28">
        <f>N13+GETPIVOTDATA("VALOR",$A$6,"TIPO","RECEITAS","Dias (DATA)",203)+GETPIVOTDATA("VALOR",$A$6,"TIPO","DESPESAS","Dias (DATA)",203)</f>
        <v>480800.62066099979</v>
      </c>
      <c r="P13" s="28">
        <f>O13+GETPIVOTDATA("VALOR",$A$6,"TIPO","RECEITAS","Dias (DATA)",204)+GETPIVOTDATA("VALOR",$A$6,"TIPO","DESPESAS","Dias (DATA)",204)</f>
        <v>456267.73066099978</v>
      </c>
      <c r="Q13" s="28">
        <f>P13+GETPIVOTDATA("VALOR",$A$6,"TIPO","RECEITAS","Dias (DATA)",206)+GETPIVOTDATA("VALOR",$A$6,"TIPO","DESPESAS","Dias (DATA)",205)</f>
        <v>387910.19066099974</v>
      </c>
      <c r="R13" s="28">
        <f>Q13+GETPIVOTDATA("VALOR",$A$6,"TIPO","RECEITAS","Dias (DATA)",206)+GETPIVOTDATA("VALOR",$A$6,"TIPO","DESPESAS","Dias (DATA)",206)</f>
        <v>373461.85066099971</v>
      </c>
      <c r="S13" s="28">
        <f>R13+GETPIVOTDATA("VALOR",$A$6,"TIPO","RECEITAS","Dias (DATA)",207)+GETPIVOTDATA("VALOR",$A$6,"TIPO","DESPESAS","Dias (DATA)",207)</f>
        <v>320778.9006609997</v>
      </c>
      <c r="T13" s="28">
        <f>S13+GETPIVOTDATA("VALOR",$A$6,"TIPO","RECEITAS","Dias (DATA)",210)+GETPIVOTDATA("VALOR",$A$6,"TIPO","DESPESAS","Dias (DATA)",210)</f>
        <v>282413.16071599972</v>
      </c>
      <c r="U13" s="28">
        <f>T13+GETPIVOTDATA("VALOR",$A$6,"TIPO","RECEITAS","Dias (DATA)",211)+GETPIVOTDATA("VALOR",$A$6,"TIPO","DESPESAS","Dias (DATA)",211)</f>
        <v>286216.46071599971</v>
      </c>
      <c r="V13" s="28">
        <f>U13+GETPIVOTDATA("VALOR",$A$6,"TIPO","RECEITAS","Dias (DATA)",212)+GETPIVOTDATA("VALOR",$A$6,"TIPO","DESPESAS","Dias (DATA)",212)</f>
        <v>236989.09071899971</v>
      </c>
      <c r="W13" s="28">
        <f>V13+GETPIVOTDATA("VALOR",$A$6,"TIPO","RECEITAS","Dias (DATA)",213)+GETPIVOTDATA("VALOR",$A$6,"TIPO","DESPESAS","Dias (DATA)",213)</f>
        <v>248026.36071899976</v>
      </c>
      <c r="X13" s="28">
        <f>W13+GETPIVOTDATA("VALOR",$A$6,"TIPO","RECEITAS","Dias (DATA)",214)+GETPIVOTDATA("VALOR",$A$6,"TIPO","DESPESAS","Dias (DATA)",214)</f>
        <v>244660.51071899972</v>
      </c>
      <c r="Y13" s="28">
        <f>X13+GETPIVOTDATA("VALOR",$A$6,"TIPO","RECEITAS","Dias (DATA)",217)+GETPIVOTDATA("VALOR",$A$6,"TIPO","DESPESAS","Dias (DATA)",217)</f>
        <v>237883.79071899972</v>
      </c>
      <c r="Z13" s="28">
        <f>Y13+GETPIVOTDATA("VALOR",$A$6,"TIPO","RECEITAS","Dias (DATA)",218)+GETPIVOTDATA("VALOR",$A$6,"TIPO","DESPESAS","Dias (DATA)",218)</f>
        <v>565792.96071899973</v>
      </c>
      <c r="AA13" s="218">
        <f>Z13+GETPIVOTDATA("VALOR",$A$6,"TIPO","RECEITAS","Dias (DATA)",219)+GETPIVOTDATA("VALOR",$A$6,"TIPO","DESPESAS","Dias (DATA)",219)</f>
        <v>89407.29071899975</v>
      </c>
      <c r="AB13" s="28">
        <f>AA13+GETPIVOTDATA("VALOR",$A$6,"TIPO","RECEITAS","Dias (DATA)",220)+GETPIVOTDATA("VALOR",$A$6,"TIPO","DESPESAS","Dias (DATA)",220)</f>
        <v>121851.96071899976</v>
      </c>
      <c r="AC13" s="28">
        <f>AB13+GETPIVOTDATA("VALOR",$A$6,"TIPO","RECEITAS","Dias (DATA)",221)+GETPIVOTDATA("VALOR",$A$6,"TIPO","DESPESAS","Dias (DATA)",221)</f>
        <v>80747.470718999757</v>
      </c>
      <c r="AD13" s="28">
        <f>AC13+GETPIVOTDATA("VALOR",$A$6,"TIPO","RECEITAS","Dias (DATA)",224)+GETPIVOTDATA("VALOR",$A$6,"TIPO","DESPESAS","Dias (DATA)",224)</f>
        <v>36240.860718999771</v>
      </c>
      <c r="AE13" s="28">
        <f>AD13+GETPIVOTDATA("VALOR",$A$6,"TIPO","RECEITAS","Dias (DATA)",225)+GETPIVOTDATA("VALOR",$A$6,"TIPO","DESPESAS","Dias (DATA)",225)</f>
        <v>134956.54071899975</v>
      </c>
      <c r="AF13" s="28">
        <f>AE13+GETPIVOTDATA("VALOR",$A$6,"TIPO","RECEITAS","Dias (DATA)",226)+GETPIVOTDATA("VALOR",$A$6,"TIPO","DESPESAS","Dias (DATA)",226)</f>
        <v>135149.00071899974</v>
      </c>
      <c r="AG13" s="28">
        <f>AF13+GETPIVOTDATA("VALOR",$A$6,"TIPO","RECEITAS","Dias (DATA)",227)+GETPIVOTDATA("VALOR",$A$6,"TIPO","DESPESAS","Dias (DATA)",227)</f>
        <v>131877.45071899975</v>
      </c>
      <c r="AH13" s="28">
        <f>AG13+GETPIVOTDATA("VALOR",$A$6,"TIPO","RECEITAS","Dias (DATA)",228)+GETPIVOTDATA("VALOR",$A$6,"TIPO","DESPESAS","Dias (DATA)",228)</f>
        <v>122800.49071899991</v>
      </c>
      <c r="AI13" s="28">
        <f>AH13+GETPIVOTDATA("VALOR",$A$6,"TIPO","RECEITAS","Dias (DATA)",231)+GETPIVOTDATA("VALOR",$A$6,"TIPO","DESPESAS","Dias (DATA)",231)</f>
        <v>22602.370718999911</v>
      </c>
      <c r="AJ13" s="28">
        <f>AI13+GETPIVOTDATA("VALOR",$A$6,"TIPO","RECEITAS","Dias (DATA)",232)+GETPIVOTDATA("VALOR",$A$6,"TIPO","DESPESAS","Dias (DATA)",232)</f>
        <v>642840.27071899979</v>
      </c>
      <c r="AK13" s="28">
        <f>AJ13+GETPIVOTDATA("VALOR",$A$6,"TIPO","RECEITAS","Dias (DATA)",233)+GETPIVOTDATA("VALOR",$A$6,"TIPO","DESPESAS","Dias (DATA)",233)</f>
        <v>341902.36102099967</v>
      </c>
      <c r="AL13" s="28">
        <f>AK13+GETPIVOTDATA("VALOR",$A$6,"TIPO","RECEITAS","Dias (DATA)",234)+GETPIVOTDATA("VALOR",$A$6,"TIPO","DESPESAS","Dias (DATA)",234)</f>
        <v>267020.82102099969</v>
      </c>
      <c r="AM13" s="28">
        <f>AL13+GETPIVOTDATA("VALOR",$A$6,"TIPO","RECEITAS","Dias (DATA)",235)+GETPIVOTDATA("VALOR",$A$6,"TIPO","DESPESAS","Dias (DATA)",235)</f>
        <v>208397.21102099968</v>
      </c>
      <c r="AN13" s="28">
        <f>AM13+GETPIVOTDATA("VALOR",$A$6,"TIPO","RECEITAS","Dias (DATA)",238)+GETPIVOTDATA("VALOR",$A$6,"TIPO","DESPESAS","Dias (DATA)",238)</f>
        <v>195225.97102099968</v>
      </c>
      <c r="AO13" s="28">
        <f>AN13+GETPIVOTDATA("VALOR",$A$6,"TIPO","RECEITAS","Dias (DATA)",239)+GETPIVOTDATA("VALOR",$A$6,"TIPO","DESPESAS","Dias (DATA)",239)</f>
        <v>173981.87102099968</v>
      </c>
      <c r="AP13" s="28">
        <f>AO13+GETPIVOTDATA("VALOR",$A$6,"TIPO","RECEITAS","Dias (DATA)",240)+GETPIVOTDATA("VALOR",$A$6,"TIPO","DESPESAS","Dias (DATA)",240)</f>
        <v>131047.70071799967</v>
      </c>
      <c r="AQ13" s="28">
        <f>AP13+GETPIVOTDATA("VALOR",$A$6,"TIPO","RECEITAS","Dias (DATA)",241)+GETPIVOTDATA("VALOR",$A$6,"TIPO","DESPESAS","Dias (DATA)",241)</f>
        <v>247792.84071799967</v>
      </c>
      <c r="AR13" s="28">
        <f>AQ13+GETPIVOTDATA("VALOR",$A$6,"TIPO","RECEITAS","Dias (DATA)",242)+GETPIVOTDATA("VALOR",$A$6,"TIPO","DESPESAS","Dias (DATA)",242)</f>
        <v>435389.78123199975</v>
      </c>
      <c r="AS13" s="28">
        <f>AR13+GETPIVOTDATA("VALOR",$A$6,"TIPO","RECEITAS","Dias (DATA)",245)+GETPIVOTDATA("VALOR",$A$6,"TIPO","DESPESAS","Dias (DATA)",245)</f>
        <v>443697.66122599976</v>
      </c>
      <c r="AT13" s="28">
        <f>AS13+GETPIVOTDATA("VALOR",$A$6,"TIPO","RECEITAS","Dias (DATA)",246)+GETPIVOTDATA("VALOR",$A$6,"TIPO","DESPESAS","Dias (DATA)",246)</f>
        <v>501466.16122599971</v>
      </c>
      <c r="AU13" s="28">
        <f>AT13+GETPIVOTDATA("VALOR",$A$6,"TIPO","RECEITAS","Dias (DATA)",247)+GETPIVOTDATA("VALOR",$A$6,"TIPO","DESPESAS","Dias (DATA)",247)</f>
        <v>545654.08122599975</v>
      </c>
      <c r="AV13" s="218">
        <f>AU13+GETPIVOTDATA("VALOR",$A$6,"TIPO","RECEITAS","Dias (DATA)",248)+GETPIVOTDATA("VALOR",$A$6,"TIPO","DESPESAS","Dias (DATA)",248)</f>
        <v>528351.11122599978</v>
      </c>
      <c r="AW13" s="218">
        <f>AV13+GETPIVOTDATA("VALOR",$A$6,"TIPO","RECEITAS","Dias (DATA)",249)+GETPIVOTDATA("VALOR",$A$6,"TIPO","DESPESAS","Dias (DATA)",249)</f>
        <v>29660.981225999829</v>
      </c>
      <c r="AX13" s="28">
        <f>AW13+GETPIVOTDATA("VALOR",$A$6,"TIPO","RECEITAS","Dias (DATA)",252)+GETPIVOTDATA("VALOR",$A$6,"TIPO","DESPESAS","Dias (DATA)",252)</f>
        <v>-1997.2987740001699</v>
      </c>
      <c r="AY13" s="415">
        <f>AX13+GETPIVOTDATA("VALOR",$A$6,"TIPO","RECEITAS","Dias (DATA)",253)+GETPIVOTDATA("VALOR",$A$6,"TIPO","DESPESAS","Dias (DATA)",253)</f>
        <v>15852.511225999831</v>
      </c>
      <c r="AZ13" s="28">
        <f>AY13+GETPIVOTDATA("VALOR",$A$6,"TIPO","RECEITAS","Dias (DATA)",254)+GETPIVOTDATA("VALOR",$A$6,"TIPO","DESPESAS","Dias (DATA)",254)</f>
        <v>-57351.038774000182</v>
      </c>
      <c r="BA13" s="28">
        <f>AZ13+GETPIVOTDATA("VALOR",$A$6,"TIPO","RECEITAS","Dias (DATA)",255)+GETPIVOTDATA("VALOR",$A$6,"TIPO","DESPESAS","Dias (DATA)",255)</f>
        <v>82989.391225999818</v>
      </c>
      <c r="BB13" s="28">
        <f>BA13+GETPIVOTDATA("VALOR",$A$6,"TIPO","RECEITAS","Dias (DATA)",256)+GETPIVOTDATA("VALOR",$A$6,"TIPO","DESPESAS","Dias (DATA)",256)</f>
        <v>82209.911225999822</v>
      </c>
      <c r="BC13" s="28">
        <f>BB13+GETPIVOTDATA("VALOR",$A$6,"TIPO","RECEITAS","Dias (DATA)",260)+GETPIVOTDATA("VALOR",$A$6,"TIPO","DESPESAS","Dias (DATA)",260)</f>
        <v>486842.27122599998</v>
      </c>
      <c r="BD13" s="28">
        <f>BC13+GETPIVOTDATA("VALOR",$A$6,"TIPO","RECEITAS","Dias (DATA)",261)+GETPIVOTDATA("VALOR",$A$6,"TIPO","DESPESAS","Dias (DATA)",261)</f>
        <v>430790.68122600002</v>
      </c>
      <c r="BE13" s="28">
        <f>BD13+GETPIVOTDATA("VALOR",$A$6,"TIPO","RECEITAS","Dias (DATA)",262)+GETPIVOTDATA("VALOR",$A$6,"TIPO","DESPESAS","Dias (DATA)",262)</f>
        <v>446738.20122600003</v>
      </c>
      <c r="BF13" s="28">
        <f>BE13+GETPIVOTDATA("VALOR",$A$6,"TIPO","RECEITAS","Dias (DATA)",263)+GETPIVOTDATA("VALOR",$A$6,"TIPO","DESPESAS","Dias (DATA)",263)</f>
        <v>267861.65122600005</v>
      </c>
      <c r="BG13" s="28">
        <f>BF13+GETPIVOTDATA("VALOR",$A$6,"TIPO","RECEITAS","Dias (DATA)",266)+GETPIVOTDATA("VALOR",$A$6,"TIPO","DESPESAS","Dias (DATA)",266)</f>
        <v>114423.67122600003</v>
      </c>
      <c r="BH13" s="28">
        <f>BG13+GETPIVOTDATA("VALOR",$A$6,"TIPO","RECEITAS","Dias (DATA)",267)+GETPIVOTDATA("VALOR",$A$6,"TIPO","DESPESAS","Dias (DATA)",267)</f>
        <v>98312.241226000027</v>
      </c>
      <c r="BI13" s="28">
        <f>BH13+GETPIVOTDATA("VALOR",$A$6,"TIPO","RECEITAS","Dias (DATA)",268)+GETPIVOTDATA("VALOR",$A$6,"TIPO","DESPESAS","Dias (DATA)",268)</f>
        <v>74378.501226000022</v>
      </c>
      <c r="BJ13" s="28">
        <f>BI13+GETPIVOTDATA("VALOR",$A$6,"TIPO","RECEITAS","Dias (DATA)",269)+GETPIVOTDATA("VALOR",$A$6,"TIPO","DESPESAS","Dias (DATA)",269)</f>
        <v>50009.881226000027</v>
      </c>
      <c r="BK13" s="28">
        <f>BJ13+GETPIVOTDATA("VALOR",$A$6,"TIPO","RECEITAS","Dias (DATA)",270)+GETPIVOTDATA("VALOR",$A$6,"TIPO","DESPESAS","Dias (DATA)",270)</f>
        <v>81486.831226000024</v>
      </c>
      <c r="BL13" s="28">
        <f>BK13+GETPIVOTDATA("VALOR",$A$6,"TIPO","RECEITAS","Dias (DATA)",273)+GETPIVOTDATA("VALOR",$A$6,"TIPO","DESPESAS","Dias (DATA)",273)</f>
        <v>250929.49122599998</v>
      </c>
      <c r="BM13" s="28">
        <f>BL13+GETPIVOTDATA("VALOR",$A$6,"TIPO","RECEITAS","Dias (DATA)",274)+GETPIVOTDATA("VALOR",$A$6,"TIPO","DESPESAS","Dias (DATA)",274)</f>
        <v>158496.01122599997</v>
      </c>
      <c r="BN13" s="28">
        <f>BM13+GETPIVOTDATA("VALOR",$A$6,"TIPO","RECEITAS","Dias (DATA)",275)+GETPIVOTDATA("VALOR",$A$6,"TIPO","DESPESAS","Dias (DATA)",275)</f>
        <v>583719.72122599999</v>
      </c>
      <c r="BO13" s="399">
        <f>BN13+GETPIVOTDATA("VALOR",$A$6,"TIPO","RECEITAS","Dias (DATA)",276)+GETPIVOTDATA("VALOR",$A$6,"TIPO","DESPESAS","Dias (DATA)",276)</f>
        <v>334554.22127599991</v>
      </c>
      <c r="BP13" s="28">
        <f>BO13+GETPIVOTDATA("VALOR",$A$6,"TIPO","RECEITAS","Dias (DATA)",277)+GETPIVOTDATA("VALOR",$A$6,"TIPO","DESPESAS","Dias (DATA)",277)</f>
        <v>398076.31127599993</v>
      </c>
      <c r="BQ13" s="28">
        <f>BP13+GETPIVOTDATA("VALOR",$A$6,"TIPO","RECEITAS","Dias (DATA)",280)+GETPIVOTDATA("VALOR",$A$6,"TIPO","DESPESAS","Dias (DATA)",280)</f>
        <v>-96916.128724000067</v>
      </c>
      <c r="BR13" s="212">
        <f>BQ13+GETPIVOTDATA("VALOR",$A$6,"TIPO","RECEITAS","Dias (DATA)",281)+GETPIVOTDATA("VALOR",$A$6,"TIPO","DESPESAS","Dias (DATA)",281)</f>
        <v>-94334.118724000073</v>
      </c>
      <c r="BS13" s="28">
        <f>BR13+GETPIVOTDATA("VALOR",$A$6,"TIPO","RECEITAS","Dias (DATA)",282)+GETPIVOTDATA("VALOR",$A$6,"TIPO","DESPESAS","Dias (DATA)",282)</f>
        <v>-102806.01872400007</v>
      </c>
      <c r="BT13" s="28">
        <f>BS13+GETPIVOTDATA("VALOR",$A$6,"TIPO","RECEITAS","Dias (DATA)",283)+GETPIVOTDATA("VALOR",$A$6,"TIPO","DESPESAS","Dias (DATA)",283)</f>
        <v>-112227.22872400007</v>
      </c>
      <c r="BU13" s="28">
        <f>BT13+GETPIVOTDATA("VALOR",$A$6,"TIPO","RECEITAS","Dias (DATA)",284)+GETPIVOTDATA("VALOR",$A$6,"TIPO","DESPESAS","Dias (DATA)",284)</f>
        <v>-243526.85872100011</v>
      </c>
      <c r="BV13" s="28">
        <f>BU13+GETPIVOTDATA("VALOR",$A$6,"TIPO","RECEITAS","Dias (DATA)",287)+GETPIVOTDATA("VALOR",$A$6,"TIPO","DESPESAS","Dias (DATA)",287)</f>
        <v>-114356.50872100009</v>
      </c>
      <c r="BW13" s="28">
        <f>BV13+GETPIVOTDATA("VALOR",$A$6,"TIPO","RECEITAS","Dias (DATA)",288)+GETPIVOTDATA("VALOR",$A$6,"TIPO","DESPESAS","Dias (DATA)",288)</f>
        <v>-121892.70872100009</v>
      </c>
      <c r="BX13" s="28">
        <f>BW13+GETPIVOTDATA("VALOR",$A$6,"TIPO","RECEITAS","Dias (DATA)",289)+GETPIVOTDATA("VALOR",$A$6,"TIPO","DESPESAS","Dias (DATA)",289)</f>
        <v>-421249.73872100015</v>
      </c>
      <c r="BY13" s="28">
        <f>BX13+GETPIVOTDATA("VALOR",$A$6,"TIPO","RECEITAS","Dias (DATA)",290)+GETPIVOTDATA("VALOR",$A$6,"TIPO","DESPESAS","Dias (DATA)",290)</f>
        <v>-585905.05872100021</v>
      </c>
      <c r="BZ13" s="28">
        <f>BY13+GETPIVOTDATA("VALOR",$A$6,"TIPO","RECEITAS","Dias (DATA)",291)+GETPIVOTDATA("VALOR",$A$6,"TIPO","DESPESAS","Dias (DATA)",291)</f>
        <v>-672707.35872100026</v>
      </c>
      <c r="CA13" s="28">
        <f>BZ13+GETPIVOTDATA("VALOR",$A$6,"TIPO","RECEITAS","Dias (DATA)",294)+GETPIVOTDATA("VALOR",$A$6,"TIPO","DESPESAS","Dias (DATA)",294)</f>
        <v>-983185.59872100037</v>
      </c>
      <c r="CB13" s="28">
        <f>CA13+GETPIVOTDATA("VALOR",$A$6,"TIPO","RECEITAS","Dias (DATA)",295)+GETPIVOTDATA("VALOR",$A$6,"TIPO","DESPESAS","Dias (DATA)",295)</f>
        <v>-1033539.0787210003</v>
      </c>
      <c r="CC13" s="28">
        <f>CB13+GETPIVOTDATA("VALOR",$A$6,"TIPO","RECEITAS","Dias (DATA)",296)+GETPIVOTDATA("VALOR",$A$6,"TIPO","DESPESAS","Dias (DATA)",296)</f>
        <v>-1027109.7488000003</v>
      </c>
      <c r="CD13" s="28">
        <f>CC13+GETPIVOTDATA("VALOR",$A$6,"TIPO","RECEITAS","Dias (DATA)",298)+GETPIVOTDATA("VALOR",$A$6,"TIPO","DESPESAS","Dias (DATA)",298)</f>
        <v>-1056262.4088000003</v>
      </c>
      <c r="CE13" s="28">
        <f>CD13+GETPIVOTDATA("VALOR",$A$6,"TIPO","RECEITAS","Dias (DATA)",301)+GETPIVOTDATA("VALOR",$A$6,"TIPO","DESPESAS","Dias (DATA)",301)</f>
        <v>-1105784.3987950003</v>
      </c>
      <c r="CF13" s="28">
        <f>CE13+GETPIVOTDATA("VALOR",$A$6,"TIPO","RECEITAS","Dias (DATA)",303)+GETPIVOTDATA("VALOR",$A$6,"TIPO","DESPESAS","Dias (DATA)",303)</f>
        <v>-1121158.4088740002</v>
      </c>
      <c r="CG13" s="28">
        <f>CF13+GETPIVOTDATA("VALOR",$A$6,"TIPO","RECEITAS","Dias (DATA)",304)+GETPIVOTDATA("VALOR",$A$6,"TIPO","DESPESAS","Dias (DATA)",304)</f>
        <v>-327323.9188740002</v>
      </c>
      <c r="CH13" s="28">
        <f>CG13+GETPIVOTDATA("VALOR",$A$6,"TIPO","RECEITAS","Dias (DATA)",305)+GETPIVOTDATA("VALOR",$A$6,"TIPO","DESPESAS","Dias (DATA)",305)</f>
        <v>-380497.12887400016</v>
      </c>
      <c r="CI13" s="28">
        <f>CH13+GETPIVOTDATA("VALOR",$A$6,"TIPO","RECEITAS","Dias (DATA)",308)+GETPIVOTDATA("VALOR",$A$6,"TIPO","DESPESAS","Dias (DATA)",308)</f>
        <v>-394043.45887400018</v>
      </c>
      <c r="CJ13" s="28">
        <f>CI13+GETPIVOTDATA("VALOR",$A$6,"TIPO","RECEITAS","Dias (DATA)",309)+GETPIVOTDATA("VALOR",$A$6,"TIPO","DESPESAS","Dias (DATA)",309)</f>
        <v>-54787.438874000174</v>
      </c>
      <c r="CK13" s="28">
        <f>CJ13+GETPIVOTDATA("VALOR",$A$6,"TIPO","RECEITAS","Dias (DATA)",310)+GETPIVOTDATA("VALOR",$A$6,"TIPO","DESPESAS","Dias (DATA)",310)</f>
        <v>-61488.60871700017</v>
      </c>
      <c r="CL13" s="28">
        <f>CK13+GETPIVOTDATA("VALOR",$A$6,"TIPO","RECEITAS","Dias (DATA)",311)+GETPIVOTDATA("VALOR",$A$6,"TIPO","DESPESAS","Dias (DATA)",311)</f>
        <v>-61877.60871700017</v>
      </c>
      <c r="CM13" s="28">
        <f>CL13+GETPIVOTDATA("VALOR",$A$6,"TIPO","RECEITAS","Dias (DATA)",312)+GETPIVOTDATA("VALOR",$A$6,"TIPO","DESPESAS","Dias (DATA)",312)</f>
        <v>-579472.28871700016</v>
      </c>
      <c r="CN13" s="212">
        <f>CM13+GETPIVOTDATA("VALOR",$A$6,"TIPO","RECEITAS","Dias (DATA)",315)+GETPIVOTDATA("VALOR",$A$6,"TIPO","DESPESAS","Dias (DATA)",315)</f>
        <v>-676930.85871700011</v>
      </c>
      <c r="CO13" s="28">
        <f>CN13+GETPIVOTDATA("VALOR",$A$6,"TIPO","RECEITAS","Dias (DATA)",316)+GETPIVOTDATA("VALOR",$A$6,"TIPO","DESPESAS","Dias (DATA)",316)</f>
        <v>-544328.70871699997</v>
      </c>
      <c r="CP13" s="28">
        <f>CO13+GETPIVOTDATA("VALOR",$A$6,"TIPO","RECEITAS","Dias (DATA)",318)+GETPIVOTDATA("VALOR",$A$6,"TIPO","DESPESAS","Dias (DATA)",318)</f>
        <v>-581341.15871699993</v>
      </c>
      <c r="CQ13" s="28">
        <f>CP13+GETPIVOTDATA("VALOR",$A$6,"TIPO","RECEITAS","Dias (DATA)",319)+GETPIVOTDATA("VALOR",$A$6,"TIPO","DESPESAS","Dias (DATA)",319)</f>
        <v>-621556.15871699993</v>
      </c>
      <c r="CR13" s="28">
        <f>CQ13+GETPIVOTDATA("VALOR",$A$6,"TIPO","RECEITAS","Dias (DATA)",322)+GETPIVOTDATA("VALOR",$A$6,"TIPO","DESPESAS","Dias (DATA)",322)</f>
        <v>-980894.58871699963</v>
      </c>
      <c r="CS13" s="28">
        <f>CR13+GETPIVOTDATA("VALOR",$A$6,"TIPO","RECEITAS","Dias (DATA)",323)+GETPIVOTDATA("VALOR",$A$6,"TIPO","DESPESAS","Dias (DATA)",323)</f>
        <v>-932204.18871699972</v>
      </c>
      <c r="CT13" s="28">
        <f>CS13+GETPIVOTDATA("VALOR",$A$6,"TIPO","RECEITAS","Dias (DATA)",325)+GETPIVOTDATA("VALOR",$A$6,"TIPO","DESPESAS","Dias (DATA)",325)</f>
        <v>-1279462.9087169997</v>
      </c>
      <c r="CU13" s="28">
        <f>CT13+GETPIVOTDATA("VALOR",$A$6,"TIPO","RECEITAS","Dias (DATA)",326)+GETPIVOTDATA("VALOR",$A$6,"TIPO","DESPESAS","Dias (DATA)",326)</f>
        <v>-1342202.7687169996</v>
      </c>
      <c r="CV13" s="28">
        <f>CU13+GETPIVOTDATA("VALOR",$A$6,"TIPO","RECEITAS","Dias (DATA)",329)+GETPIVOTDATA("VALOR",$A$6,"TIPO","DESPESAS","Dias (DATA)",329)</f>
        <v>-1357902.7687169996</v>
      </c>
      <c r="CW13" s="28">
        <f>CV13+GETPIVOTDATA("VALOR",$A$6,"TIPO","RECEITAS","Dias (DATA)",330)+GETPIVOTDATA("VALOR",$A$6,"TIPO","DESPESAS","Dias (DATA)",330)</f>
        <v>-1370142.0487119996</v>
      </c>
      <c r="CX13" s="28">
        <f>CW13+GETPIVOTDATA("VALOR",$A$6,"TIPO","RECEITAS","Dias (DATA)",331)+GETPIVOTDATA("VALOR",$A$6,"TIPO","DESPESAS","Dias (DATA)",331)</f>
        <v>-1405856.6187119996</v>
      </c>
      <c r="CY13" s="28">
        <f>CX13+GETPIVOTDATA("VALOR",$A$6,"TIPO","RECEITAS","Dias (DATA)",333)+GETPIVOTDATA("VALOR",$A$6,"TIPO","DESPESAS","Dias (DATA)",333)</f>
        <v>-1057104.2387119997</v>
      </c>
      <c r="CZ13" s="28">
        <f>CY13+GETPIVOTDATA("VALOR",$A$6,"TIPO","RECEITAS","Dias (DATA)",336)+GETPIVOTDATA("VALOR",$A$6,"TIPO","DESPESAS","Dias (DATA)",336)</f>
        <v>-1069594.2287119997</v>
      </c>
      <c r="DA13" s="28">
        <f>CZ13+GETPIVOTDATA("VALOR",$A$6,"TIPO","RECEITAS","Dias (DATA)",337)+GETPIVOTDATA("VALOR",$A$6,"TIPO","DESPESAS","Dias (DATA)",337)</f>
        <v>-940193.37871199974</v>
      </c>
      <c r="DB13" s="28">
        <f>DA13+GETPIVOTDATA("VALOR",$A$6,"TIPO","RECEITAS","Dias (DATA)",339)+GETPIVOTDATA("VALOR",$A$6,"TIPO","DESPESAS","Dias (DATA)",339)</f>
        <v>-946606.35871199972</v>
      </c>
      <c r="DC13" s="28">
        <f>DB13+GETPIVOTDATA("VALOR",$A$6,"TIPO","RECEITAS","Dias (DATA)",340)+GETPIVOTDATA("VALOR",$A$6,"TIPO","DESPESAS","Dias (DATA)",340)</f>
        <v>-1461568.0387119998</v>
      </c>
      <c r="DD13" s="212">
        <f>DC13+GETPIVOTDATA("VALOR",$A$6,"TIPO","RECEITAS","Dias (DATA)",343)+GETPIVOTDATA("VALOR",$A$6,"TIPO","DESPESAS","Dias (DATA)",343)</f>
        <v>-1463568.0387119998</v>
      </c>
      <c r="DE13" s="28">
        <f>DD13+GETPIVOTDATA("VALOR",$A$6,"TIPO","RECEITAS","Dias (DATA)",344)+GETPIVOTDATA("VALOR",$A$6,"TIPO","DESPESAS","Dias (DATA)",344)</f>
        <v>-1458633.0387119998</v>
      </c>
      <c r="DF13" s="28">
        <f>DE13+GETPIVOTDATA("VALOR",$A$6,"TIPO","RECEITAS","Dias (DATA)",345)+GETPIVOTDATA("VALOR",$A$6,"TIPO","DESPESAS","Dias (DATA)",345)</f>
        <v>-1551145.1387119999</v>
      </c>
      <c r="DG13" s="28">
        <f>DF13+GETPIVOTDATA("VALOR",$A$6,"TIPO","RECEITAS","Dias (DATA)",346)+GETPIVOTDATA("VALOR",$A$6,"TIPO","DESPESAS","Dias (DATA)",346)</f>
        <v>-1453584.9387119999</v>
      </c>
      <c r="DH13" s="28">
        <f>DG13+GETPIVOTDATA("VALOR",$A$6,"TIPO","RECEITAS","Dias (DATA)",347)+GETPIVOTDATA("VALOR",$A$6,"TIPO","DESPESAS","Dias (DATA)",347)</f>
        <v>-1472832.3887119999</v>
      </c>
      <c r="DI13" s="28">
        <f>DH13+GETPIVOTDATA("VALOR",$A$6,"TIPO","RECEITAS","Dias (DATA)",350)+GETPIVOTDATA("VALOR",$A$6,"TIPO","DESPESAS","Dias (DATA)",350)</f>
        <v>-1774920.5887119996</v>
      </c>
      <c r="DJ13" s="28">
        <f>DI13+GETPIVOTDATA("VALOR",$A$6,"TIPO","RECEITAS","Dias (DATA)",351)+GETPIVOTDATA("VALOR",$A$6,"TIPO","DESPESAS","Dias (DATA)",351)</f>
        <v>-1793124.5087119995</v>
      </c>
      <c r="DK13" s="28">
        <f>DJ13+GETPIVOTDATA("VALOR",$A$6,"TIPO","RECEITAS","Dias (DATA)",352)+GETPIVOTDATA("VALOR",$A$6,"TIPO","DESPESAS","Dias (DATA)",352)</f>
        <v>-1839624.9687119995</v>
      </c>
      <c r="DL13" s="28">
        <f>DK13+GETPIVOTDATA("VALOR",$A$6,"TIPO","RECEITAS","Dias (DATA)",353)+GETPIVOTDATA("VALOR",$A$6,"TIPO","DESPESAS","Dias (DATA)",353)</f>
        <v>-1845621.6387119994</v>
      </c>
      <c r="DM13" s="28">
        <f>DL13+GETPIVOTDATA("VALOR",$A$6,"TIPO","RECEITAS","Dias (DATA)",354)+GETPIVOTDATA("VALOR",$A$6,"TIPO","DESPESAS","Dias (DATA)",354)</f>
        <v>-2349572.7887119995</v>
      </c>
      <c r="DN13" s="28">
        <f>DM13+GETPIVOTDATA("VALOR",$A$6,"TIPO","RECEITAS","Dias (DATA)",357)+GETPIVOTDATA("VALOR",$A$6,"TIPO","DESPESAS","Dias (DATA)",357)</f>
        <v>-2504106.1787119997</v>
      </c>
      <c r="DO13" s="28">
        <f>DN13+GETPIVOTDATA("VALOR",$A$6,"TIPO","RECEITAS","Dias (DATA)",358)+GETPIVOTDATA("VALOR",$A$6,"TIPO","DESPESAS","Dias (DATA)",358)</f>
        <v>-2501821.7287119995</v>
      </c>
      <c r="DP13" s="28">
        <f>DO13+GETPIVOTDATA("VALOR",$A$6,"TIPO","RECEITAS","Dias (DATA)",358)+GETPIVOTDATA("VALOR",$A$6,"TIPO","DESPESAS","Dias (DATA)",358)</f>
        <v>-2499537.2787119993</v>
      </c>
      <c r="DQ13" s="28">
        <f>DP13+GETPIVOTDATA("VALOR",$A$6,"TIPO","RECEITAS","Dias (DATA)",361)+GETPIVOTDATA("VALOR",$A$6,"TIPO","DESPESAS","Dias (DATA)",361)</f>
        <v>-2574504.5087119993</v>
      </c>
      <c r="DR13" s="28">
        <f>DQ13+GETPIVOTDATA("VALOR",$A$6,"TIPO","RECEITAS","Dias (DATA)",364)+GETPIVOTDATA("VALOR",$A$6,"TIPO","DESPESAS","Dias (DATA)",364)</f>
        <v>-2594316.7587119993</v>
      </c>
      <c r="DS13" s="28">
        <f>DR13+GETPIVOTDATA("VALOR",$A$6,"TIPO","RECEITAS","Dias (DATA)",365)+GETPIVOTDATA("VALOR",$A$6,"TIPO","DESPESAS","Dias (DATA)",365)</f>
        <v>-2679229.2987119993</v>
      </c>
      <c r="DT13" s="28">
        <f>DS13+GETPIVOTDATA("VALOR",$A$6,"TIPO","RECEITAS","Dias (DATA)",365)+GETPIVOTDATA("VALOR",$A$6,"TIPO","DESPESAS","Dias (DATA)",365)</f>
        <v>-2764141.8387119994</v>
      </c>
    </row>
    <row r="14" spans="1:128" s="576" customFormat="1" x14ac:dyDescent="0.3">
      <c r="B14" s="577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7"/>
      <c r="N14" s="577"/>
      <c r="O14" s="577"/>
      <c r="P14" s="577"/>
      <c r="Q14" s="577"/>
      <c r="R14" s="577"/>
      <c r="S14" s="577"/>
      <c r="T14" s="577"/>
      <c r="U14" s="577"/>
      <c r="V14" s="577"/>
      <c r="W14" s="577"/>
      <c r="X14" s="577"/>
      <c r="Y14" s="577"/>
      <c r="Z14" s="577"/>
      <c r="AA14" s="578"/>
      <c r="AB14" s="577"/>
      <c r="AC14" s="577"/>
      <c r="AD14" s="577"/>
      <c r="AE14" s="577"/>
      <c r="AF14" s="577"/>
      <c r="AG14" s="577"/>
      <c r="AH14" s="577"/>
      <c r="AI14" s="577"/>
      <c r="AJ14" s="577"/>
      <c r="AK14" s="577"/>
      <c r="AL14" s="577"/>
      <c r="AM14" s="577"/>
      <c r="AN14" s="577"/>
      <c r="AO14" s="577"/>
      <c r="AP14" s="577"/>
      <c r="AQ14" s="577"/>
      <c r="AR14" s="577"/>
      <c r="AS14" s="577"/>
      <c r="AT14" s="577"/>
      <c r="AU14" s="577"/>
      <c r="AV14" s="579"/>
      <c r="AW14" s="577"/>
      <c r="AX14" s="577"/>
      <c r="AY14" s="577"/>
      <c r="AZ14" s="577"/>
      <c r="BA14" s="577"/>
      <c r="BB14" s="577"/>
      <c r="BC14" s="577"/>
      <c r="BD14" s="577"/>
      <c r="BE14" s="577"/>
      <c r="BF14" s="577">
        <f>BE13+GETPIVOTDATA("VALOR",$A$6,"TIPO","RECEITAS","Dias (DATA)",263)+GETPIVOTDATA("VALOR",$A$6,"TIPO","DESPESAS","Dias (DATA)",263)</f>
        <v>267861.65122600005</v>
      </c>
      <c r="BG14" s="577">
        <f>BF14+GETPIVOTDATA("VALOR",$A$6,"TIPO","RECEITAS","Dias (DATA)",266)+GETPIVOTDATA("VALOR",$A$6,"TIPO","DESPESAS","Dias (DATA)",266)</f>
        <v>114423.67122600003</v>
      </c>
      <c r="BH14" s="577">
        <f>BG14+GETPIVOTDATA("VALOR",$A$6,"TIPO","RECEITAS","Dias (DATA)",267)+GETPIVOTDATA("VALOR",$A$6,"TIPO","DESPESAS","Dias (DATA)",267)</f>
        <v>98312.241226000027</v>
      </c>
      <c r="BI14" s="577">
        <f>BH14+GETPIVOTDATA("VALOR",$A$6,"TIPO","RECEITAS","Dias (DATA)",268)+GETPIVOTDATA("VALOR",$A$6,"TIPO","DESPESAS","Dias (DATA)",268)</f>
        <v>74378.501226000022</v>
      </c>
      <c r="BJ14" s="577">
        <f>BI14+GETPIVOTDATA("VALOR",$A$6,"TIPO","RECEITAS","Dias (DATA)",269)+GETPIVOTDATA("VALOR",$A$6,"TIPO","DESPESAS","Dias (DATA)",269)</f>
        <v>50009.881226000027</v>
      </c>
      <c r="BK14" s="577">
        <f>BJ14+GETPIVOTDATA("VALOR",$A$6,"TIPO","RECEITAS","Dias (DATA)",270)+GETPIVOTDATA("VALOR",$A$6,"TIPO","DESPESAS","Dias (DATA)",270)</f>
        <v>81486.831226000024</v>
      </c>
      <c r="BL14" s="577">
        <f>BK14+GETPIVOTDATA("VALOR",$A$6,"TIPO","RECEITAS","Dias (DATA)",273)+GETPIVOTDATA("VALOR",$A$6,"TIPO","DESPESAS","Dias (DATA)",273)</f>
        <v>250929.49122599998</v>
      </c>
      <c r="BM14" s="577">
        <f>BL14+GETPIVOTDATA("VALOR",$A$6,"TIPO","RECEITAS","Dias (DATA)",274)+GETPIVOTDATA("VALOR",$A$6,"TIPO","DESPESAS","Dias (DATA)",274)</f>
        <v>158496.01122599997</v>
      </c>
      <c r="BN14" s="577">
        <f>BM14+GETPIVOTDATA("VALOR",$A$6,"TIPO","RECEITAS","Dias (DATA)",275)+GETPIVOTDATA("VALOR",$A$6,"TIPO","DESPESAS","Dias (DATA)",275)</f>
        <v>583719.72122599999</v>
      </c>
      <c r="BO14" s="577">
        <f>BN14+GETPIVOTDATA("VALOR",$A$6,"TIPO","RECEITAS","Dias (DATA)",276)+GETPIVOTDATA("VALOR",$A$6,"TIPO","DESPESAS","Dias (DATA)",276)</f>
        <v>334554.22127599991</v>
      </c>
      <c r="BP14" s="577">
        <f>BO14+GETPIVOTDATA("VALOR",$A$6,"TIPO","RECEITAS","Dias (DATA)",277)+GETPIVOTDATA("VALOR",$A$6,"TIPO","DESPESAS","Dias (DATA)",277)</f>
        <v>398076.31127599993</v>
      </c>
      <c r="BQ14" s="577">
        <f>BP14+GETPIVOTDATA("VALOR",$A$6,"TIPO","RECEITAS","Dias (DATA)",280)+GETPIVOTDATA("VALOR",$A$6,"TIPO","DESPESAS","Dias (DATA)",280)</f>
        <v>-96916.128724000067</v>
      </c>
      <c r="BR14" s="577">
        <f>BQ14+GETPIVOTDATA("VALOR",$A$6,"TIPO","RECEITAS","Dias (DATA)",281)+GETPIVOTDATA("VALOR",$A$6,"TIPO","DESPESAS","Dias (DATA)",281)</f>
        <v>-94334.118724000073</v>
      </c>
      <c r="BS14" s="577">
        <f>BR14+GETPIVOTDATA("VALOR",$A$6,"TIPO","RECEITAS","Dias (DATA)",282)+GETPIVOTDATA("VALOR",$A$6,"TIPO","DESPESAS","Dias (DATA)",282)</f>
        <v>-102806.01872400007</v>
      </c>
      <c r="BT14" s="577">
        <f>BS14+GETPIVOTDATA("VALOR",$A$6,"TIPO","RECEITAS","Dias (DATA)",283)+GETPIVOTDATA("VALOR",$A$6,"TIPO","DESPESAS","Dias (DATA)",283)</f>
        <v>-112227.22872400007</v>
      </c>
      <c r="BU14" s="577">
        <f>BT14+GETPIVOTDATA("VALOR",$A$6,"TIPO","RECEITAS","Dias (DATA)",284)+GETPIVOTDATA("VALOR",$A$6,"TIPO","DESPESAS","Dias (DATA)",284)</f>
        <v>-243526.85872100011</v>
      </c>
      <c r="BV14" s="577">
        <f>BU14+GETPIVOTDATA("VALOR",$A$6,"TIPO","RECEITAS","Dias (DATA)",287)+GETPIVOTDATA("VALOR",$A$6,"TIPO","DESPESAS","Dias (DATA)",287)</f>
        <v>-114356.50872100009</v>
      </c>
      <c r="BW14" s="577">
        <f>BV14+GETPIVOTDATA("VALOR",$A$6,"TIPO","RECEITAS","Dias (DATA)",288)+GETPIVOTDATA("VALOR",$A$6,"TIPO","DESPESAS","Dias (DATA)",288)</f>
        <v>-121892.70872100009</v>
      </c>
      <c r="BX14" s="577">
        <f>BW14+GETPIVOTDATA("VALOR",$A$6,"TIPO","RECEITAS","Dias (DATA)",289)+GETPIVOTDATA("VALOR",$A$6,"TIPO","DESPESAS","Dias (DATA)",289)</f>
        <v>-421249.73872100015</v>
      </c>
      <c r="BY14" s="577"/>
      <c r="BZ14" s="577"/>
      <c r="CA14" s="577"/>
      <c r="CB14" s="577"/>
      <c r="CC14" s="577"/>
      <c r="CD14" s="577"/>
      <c r="CE14" s="577"/>
      <c r="CF14" s="577"/>
      <c r="CG14" s="577"/>
      <c r="CH14" s="577"/>
      <c r="CI14" s="577"/>
      <c r="CJ14" s="577"/>
      <c r="CK14" s="577"/>
      <c r="CL14" s="577"/>
      <c r="CM14" s="577"/>
      <c r="CN14" s="577"/>
      <c r="CO14" s="577"/>
      <c r="CP14" s="577"/>
      <c r="CQ14" s="577"/>
      <c r="CR14" s="577"/>
      <c r="CS14" s="577"/>
      <c r="CT14" s="577"/>
      <c r="CU14" s="577"/>
      <c r="CV14" s="577"/>
      <c r="CW14" s="577"/>
      <c r="CX14" s="577"/>
      <c r="CY14" s="577"/>
      <c r="CZ14" s="577"/>
      <c r="DA14" s="577"/>
      <c r="DB14" s="577"/>
      <c r="DC14" s="577"/>
      <c r="DD14" s="577"/>
      <c r="DE14" s="577"/>
      <c r="DF14" s="577"/>
      <c r="DG14" s="577"/>
      <c r="DH14" s="577"/>
      <c r="DI14" s="577"/>
      <c r="DJ14" s="577"/>
      <c r="DK14" s="577"/>
      <c r="DL14" s="577"/>
      <c r="DM14" s="577"/>
      <c r="DN14" s="577"/>
      <c r="DO14" s="577"/>
      <c r="DP14" s="577"/>
      <c r="DQ14" s="577"/>
      <c r="DR14" s="577"/>
      <c r="DS14" s="577"/>
      <c r="DT14" s="577"/>
    </row>
    <row r="15" spans="1:128" x14ac:dyDescent="0.3">
      <c r="AL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128" x14ac:dyDescent="0.3">
      <c r="D16" s="1"/>
      <c r="AT16" s="1"/>
      <c r="AU16" s="1"/>
      <c r="BN16" s="1"/>
      <c r="BQ16" s="1"/>
    </row>
    <row r="17" spans="11:125" x14ac:dyDescent="0.3"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>
        <f>BL13+GETPIVOTDATA("VALOR",$A$6,"TIPO","RECEITAS","Dias (DATA)",274)+GETPIVOTDATA("VALOR",$A$6,"TIPO","DESPESAS","Dias (DATA)",274)</f>
        <v>158496.01122599997</v>
      </c>
      <c r="BN17" s="1">
        <f>BM17+GETPIVOTDATA("VALOR",$A$6,"TIPO","RECEITAS","Dias (DATA)",275)+GETPIVOTDATA("VALOR",$A$6,"TIPO","DESPESAS","Dias (DATA)",275)</f>
        <v>583719.72122599999</v>
      </c>
      <c r="BO17" s="1">
        <f>BN17+GETPIVOTDATA("VALOR",$A$6,"TIPO","RECEITAS","Dias (DATA)",276)+GETPIVOTDATA("VALOR",$A$6,"TIPO","DESPESAS","Dias (DATA)",276)</f>
        <v>334554.22127599991</v>
      </c>
      <c r="BP17" s="1">
        <f>BO17+GETPIVOTDATA("VALOR",$A$6,"TIPO","RECEITAS","Dias (DATA)",277)+GETPIVOTDATA("VALOR",$A$6,"TIPO","DESPESAS","Dias (DATA)",277)</f>
        <v>398076.31127599993</v>
      </c>
      <c r="BQ17" s="25">
        <f>BP17+GETPIVOTDATA("VALOR",$A$6,"TIPO","RECEITAS","Dias (DATA)",280)+GETPIVOTDATA("VALOR",$A$6,"TIPO","DESPESAS","Dias (DATA)",280)</f>
        <v>-96916.128724000067</v>
      </c>
      <c r="BR17" s="1">
        <f>BQ17+GETPIVOTDATA("VALOR",$A$6,"TIPO","RECEITAS","Dias (DATA)",281)+GETPIVOTDATA("VALOR",$A$6,"TIPO","DESPESAS","Dias (DATA)",281)</f>
        <v>-94334.118724000073</v>
      </c>
      <c r="BS17" s="1">
        <f>BR17+GETPIVOTDATA("VALOR",$A$6,"TIPO","RECEITAS","Dias (DATA)",282)+GETPIVOTDATA("VALOR",$A$6,"TIPO","DESPESAS","Dias (DATA)",282)</f>
        <v>-102806.01872400007</v>
      </c>
      <c r="BT17" s="1">
        <f>BS17+GETPIVOTDATA("VALOR",$A$6,"TIPO","RECEITAS","Dias (DATA)",283)+GETPIVOTDATA("VALOR",$A$6,"TIPO","DESPESAS","Dias (DATA)",283)</f>
        <v>-112227.22872400007</v>
      </c>
      <c r="BU17" s="1">
        <f>BT17+GETPIVOTDATA("VALOR",$A$6,"TIPO","RECEITAS","Dias (DATA)",284)+GETPIVOTDATA("VALOR",$A$6,"TIPO","DESPESAS","Dias (DATA)",284)</f>
        <v>-243526.85872100011</v>
      </c>
      <c r="BV17" s="1">
        <f>BU17+GETPIVOTDATA("VALOR",$A$6,"TIPO","RECEITAS","Dias (DATA)",287)+GETPIVOTDATA("VALOR",$A$6,"TIPO","DESPESAS","Dias (DATA)",287)</f>
        <v>-114356.50872100009</v>
      </c>
      <c r="BW17" s="1">
        <f>BV17+GETPIVOTDATA("VALOR",$A$6,"TIPO","RECEITAS","Dias (DATA)",288)+GETPIVOTDATA("VALOR",$A$6,"TIPO","DESPESAS","Dias (DATA)",288)</f>
        <v>-121892.70872100009</v>
      </c>
      <c r="BX17" s="1">
        <f>BW17+GETPIVOTDATA("VALOR",$A$6,"TIPO","RECEITAS","Dias (DATA)",289)+GETPIVOTDATA("VALOR",$A$6,"TIPO","DESPESAS","Dias (DATA)",289)</f>
        <v>-421249.73872100015</v>
      </c>
      <c r="DT17" s="22"/>
    </row>
    <row r="18" spans="11:125" ht="16.8" customHeight="1" x14ac:dyDescent="0.3">
      <c r="K18" s="1"/>
      <c r="BQ18" s="1"/>
      <c r="CE18" s="1"/>
      <c r="CF18" s="1"/>
      <c r="DT18" s="22">
        <v>180000</v>
      </c>
      <c r="DU18" t="s">
        <v>78</v>
      </c>
    </row>
    <row r="19" spans="11:125" ht="13.8" customHeight="1" x14ac:dyDescent="0.3">
      <c r="K19" s="1"/>
      <c r="BQ19" s="1">
        <v>235000</v>
      </c>
      <c r="CE19" s="1"/>
      <c r="CF19" s="1"/>
      <c r="DT19" s="22">
        <v>300000</v>
      </c>
      <c r="DU19" t="s">
        <v>665</v>
      </c>
    </row>
    <row r="20" spans="11:125" ht="13.8" customHeight="1" x14ac:dyDescent="0.3">
      <c r="K20" s="1"/>
      <c r="BQ20" s="1">
        <v>170000</v>
      </c>
      <c r="CE20" s="1"/>
      <c r="CF20" s="1"/>
      <c r="DT20" s="22">
        <v>300000</v>
      </c>
      <c r="DU20" t="s">
        <v>665</v>
      </c>
    </row>
    <row r="21" spans="11:125" x14ac:dyDescent="0.3">
      <c r="BQ21" s="216">
        <f>BQ19-BQ20</f>
        <v>65000</v>
      </c>
      <c r="CD21" s="217"/>
      <c r="CE21" s="1"/>
      <c r="CF21" s="1"/>
      <c r="DT21" s="22">
        <v>420000</v>
      </c>
      <c r="DU21" t="s">
        <v>666</v>
      </c>
    </row>
    <row r="22" spans="11:125" x14ac:dyDescent="0.3">
      <c r="CE22" s="1"/>
      <c r="CF22" s="1"/>
      <c r="DT22" s="1">
        <f>SUM(DT11:DT21)</f>
        <v>-1564141.8387119994</v>
      </c>
    </row>
    <row r="23" spans="11:125" x14ac:dyDescent="0.3">
      <c r="CD23" s="217"/>
      <c r="CE23" s="1"/>
      <c r="CF23" s="1"/>
      <c r="DT23" s="22">
        <v>420000</v>
      </c>
      <c r="DU23" t="s">
        <v>666</v>
      </c>
    </row>
    <row r="24" spans="11:125" x14ac:dyDescent="0.3">
      <c r="CE24" s="1"/>
      <c r="CF24" s="1"/>
      <c r="DT24" s="1">
        <f>SUM(DT16:DT23)</f>
        <v>55858.161288000643</v>
      </c>
    </row>
    <row r="25" spans="11:125" ht="13.8" customHeight="1" x14ac:dyDescent="0.3">
      <c r="K25" s="1"/>
      <c r="CE25" s="1"/>
      <c r="CF25" s="1"/>
      <c r="DT25" s="22">
        <v>300000</v>
      </c>
      <c r="DU25" t="s">
        <v>665</v>
      </c>
    </row>
    <row r="26" spans="11:125" x14ac:dyDescent="0.3">
      <c r="CD26" s="217"/>
      <c r="CE26" s="1"/>
      <c r="CF26" s="1"/>
      <c r="DT26" s="22">
        <v>420000</v>
      </c>
      <c r="DU26" t="s">
        <v>666</v>
      </c>
    </row>
    <row r="27" spans="11:125" x14ac:dyDescent="0.3">
      <c r="CE27" s="1"/>
      <c r="CF27" s="1"/>
      <c r="DT27" s="1">
        <f>SUM(DT16:DT26)</f>
        <v>831716.32257600129</v>
      </c>
    </row>
    <row r="28" spans="11:125" ht="13.8" customHeight="1" x14ac:dyDescent="0.3">
      <c r="K28" s="1"/>
      <c r="CE28" s="1"/>
      <c r="CF28" s="1"/>
      <c r="DT28" s="22">
        <v>300000</v>
      </c>
      <c r="DU28" t="s">
        <v>665</v>
      </c>
    </row>
    <row r="29" spans="11:125" x14ac:dyDescent="0.3">
      <c r="CD29" s="217"/>
      <c r="CE29" s="1"/>
      <c r="CF29" s="1"/>
      <c r="DT29" s="22">
        <v>420000</v>
      </c>
      <c r="DU29" t="s">
        <v>666</v>
      </c>
    </row>
    <row r="30" spans="11:125" x14ac:dyDescent="0.3">
      <c r="CE30" s="1"/>
      <c r="CF30" s="1"/>
      <c r="DT30" s="1">
        <f>SUM(DT17:DT29)</f>
        <v>2383432.6451520026</v>
      </c>
    </row>
    <row r="31" spans="11:125" ht="13.8" customHeight="1" x14ac:dyDescent="0.3">
      <c r="K31" s="1"/>
      <c r="CE31" s="1"/>
      <c r="CF31" s="1"/>
      <c r="DT31" s="22">
        <v>300000</v>
      </c>
      <c r="DU31" t="s">
        <v>665</v>
      </c>
    </row>
    <row r="32" spans="11:125" x14ac:dyDescent="0.3">
      <c r="CD32" s="217"/>
      <c r="CE32" s="1"/>
      <c r="CF32" s="1"/>
      <c r="DT32" s="22">
        <v>420000</v>
      </c>
      <c r="DU32" t="s">
        <v>666</v>
      </c>
    </row>
    <row r="33" spans="48:124" x14ac:dyDescent="0.3">
      <c r="CE33" s="1"/>
      <c r="CF33" s="1"/>
      <c r="DT33" s="1">
        <f>SUM(DT17:DT32)</f>
        <v>5486865.2903040051</v>
      </c>
    </row>
    <row r="34" spans="48:124" x14ac:dyDescent="0.3">
      <c r="CE34" s="1"/>
      <c r="CF34" s="1"/>
    </row>
    <row r="35" spans="48:124" x14ac:dyDescent="0.3">
      <c r="AV35" s="1">
        <v>1478270</v>
      </c>
      <c r="AW35" s="370">
        <v>633000</v>
      </c>
      <c r="CE35" s="1"/>
      <c r="CF35" s="1"/>
    </row>
    <row r="36" spans="48:124" x14ac:dyDescent="0.3">
      <c r="AV36" s="1"/>
      <c r="AW36" s="370">
        <v>706000</v>
      </c>
    </row>
    <row r="37" spans="48:124" x14ac:dyDescent="0.3">
      <c r="AW37" s="370">
        <f>SUM(AW35:AW36)</f>
        <v>1339000</v>
      </c>
    </row>
    <row r="38" spans="48:124" x14ac:dyDescent="0.3">
      <c r="AW38" s="216">
        <f>AW37-AV35</f>
        <v>-139270</v>
      </c>
    </row>
  </sheetData>
  <mergeCells count="1">
    <mergeCell ref="A1:H2"/>
  </mergeCells>
  <conditionalFormatting sqref="A13:XFD1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B40-E8E1-46B0-BB6B-C562BE7750C0}">
  <sheetPr codeName="Planilha4" filterMode="1"/>
  <dimension ref="A1:M2784"/>
  <sheetViews>
    <sheetView showGridLines="0" zoomScale="91" zoomScaleNormal="91" workbookViewId="0">
      <selection activeCell="D29" sqref="D29"/>
    </sheetView>
  </sheetViews>
  <sheetFormatPr defaultRowHeight="13.8" x14ac:dyDescent="0.3"/>
  <cols>
    <col min="1" max="1" width="17.6640625" style="348" customWidth="1"/>
    <col min="2" max="2" width="15" style="349" customWidth="1"/>
    <col min="3" max="3" width="24.44140625" style="143" customWidth="1"/>
    <col min="4" max="4" width="135.5546875" style="606" customWidth="1"/>
    <col min="5" max="5" width="16.44140625" style="350" customWidth="1"/>
    <col min="6" max="6" width="14.77734375" style="351" customWidth="1"/>
    <col min="7" max="7" width="27.77734375" style="351" customWidth="1"/>
    <col min="8" max="8" width="31.21875" style="143" bestFit="1" customWidth="1"/>
    <col min="9" max="11" width="8.88671875" style="143"/>
    <col min="12" max="12" width="12" style="143" bestFit="1" customWidth="1"/>
    <col min="13" max="13" width="9" style="143" bestFit="1" customWidth="1"/>
    <col min="14" max="16384" width="8.88671875" style="143"/>
  </cols>
  <sheetData>
    <row r="1" spans="1:7" x14ac:dyDescent="0.3">
      <c r="A1" s="123" t="s">
        <v>0</v>
      </c>
      <c r="B1" s="123" t="s">
        <v>1038</v>
      </c>
      <c r="C1" s="73" t="s">
        <v>1</v>
      </c>
      <c r="D1" s="605" t="s">
        <v>2</v>
      </c>
      <c r="E1" s="59" t="s">
        <v>3</v>
      </c>
      <c r="F1" s="61" t="s">
        <v>4</v>
      </c>
      <c r="G1" s="156" t="s">
        <v>5</v>
      </c>
    </row>
    <row r="2" spans="1:7" s="139" customFormat="1" x14ac:dyDescent="0.3">
      <c r="A2" s="182">
        <v>45861</v>
      </c>
      <c r="B2" s="23" t="s">
        <v>206</v>
      </c>
      <c r="C2" s="215" t="s">
        <v>6</v>
      </c>
      <c r="D2" s="109" t="s">
        <v>537</v>
      </c>
      <c r="E2" s="200">
        <v>-252.95</v>
      </c>
      <c r="F2" s="110" t="s">
        <v>8</v>
      </c>
      <c r="G2" s="24" t="s">
        <v>9</v>
      </c>
    </row>
    <row r="3" spans="1:7" s="139" customFormat="1" x14ac:dyDescent="0.3">
      <c r="A3" s="135">
        <v>45861</v>
      </c>
      <c r="B3" s="2" t="s">
        <v>206</v>
      </c>
      <c r="C3" s="3" t="s">
        <v>6</v>
      </c>
      <c r="D3" s="4" t="s">
        <v>539</v>
      </c>
      <c r="E3" s="10">
        <v>-259.85000000000002</v>
      </c>
      <c r="F3" s="13" t="s">
        <v>8</v>
      </c>
      <c r="G3" s="5" t="s">
        <v>9</v>
      </c>
    </row>
    <row r="4" spans="1:7" s="139" customFormat="1" x14ac:dyDescent="0.3">
      <c r="A4" s="135">
        <v>45861</v>
      </c>
      <c r="B4" s="2" t="s">
        <v>206</v>
      </c>
      <c r="C4" s="3" t="s">
        <v>6</v>
      </c>
      <c r="D4" s="4" t="s">
        <v>538</v>
      </c>
      <c r="E4" s="10">
        <v>-83.43</v>
      </c>
      <c r="F4" s="13" t="s">
        <v>8</v>
      </c>
      <c r="G4" s="5" t="s">
        <v>9</v>
      </c>
    </row>
    <row r="5" spans="1:7" s="139" customFormat="1" x14ac:dyDescent="0.3">
      <c r="A5" s="135">
        <v>45861</v>
      </c>
      <c r="B5" s="2" t="s">
        <v>206</v>
      </c>
      <c r="C5" s="3" t="s">
        <v>6</v>
      </c>
      <c r="D5" s="4" t="s">
        <v>538</v>
      </c>
      <c r="E5" s="10">
        <v>-168.11</v>
      </c>
      <c r="F5" s="13" t="s">
        <v>8</v>
      </c>
      <c r="G5" s="5" t="s">
        <v>9</v>
      </c>
    </row>
    <row r="6" spans="1:7" s="139" customFormat="1" x14ac:dyDescent="0.3">
      <c r="A6" s="135">
        <v>45839</v>
      </c>
      <c r="B6" s="2" t="s">
        <v>206</v>
      </c>
      <c r="C6" s="4" t="s">
        <v>13</v>
      </c>
      <c r="D6" s="4" t="s">
        <v>14</v>
      </c>
      <c r="E6" s="10">
        <v>-1500</v>
      </c>
      <c r="F6" s="13" t="s">
        <v>8</v>
      </c>
      <c r="G6" s="82" t="s">
        <v>15</v>
      </c>
    </row>
    <row r="7" spans="1:7" s="139" customFormat="1" x14ac:dyDescent="0.3">
      <c r="A7" s="135">
        <v>45842</v>
      </c>
      <c r="B7" s="2" t="s">
        <v>206</v>
      </c>
      <c r="C7" s="4" t="s">
        <v>17</v>
      </c>
      <c r="D7" s="4" t="s">
        <v>18</v>
      </c>
      <c r="E7" s="10">
        <v>-16869.599999999999</v>
      </c>
      <c r="F7" s="13" t="s">
        <v>8</v>
      </c>
      <c r="G7" s="5" t="s">
        <v>19</v>
      </c>
    </row>
    <row r="8" spans="1:7" s="164" customFormat="1" x14ac:dyDescent="0.3">
      <c r="A8" s="51">
        <v>45841</v>
      </c>
      <c r="B8" s="50" t="s">
        <v>206</v>
      </c>
      <c r="C8" s="73" t="s">
        <v>17</v>
      </c>
      <c r="D8" s="73" t="s">
        <v>411</v>
      </c>
      <c r="E8" s="53">
        <v>5807.51</v>
      </c>
      <c r="F8" s="55" t="s">
        <v>161</v>
      </c>
      <c r="G8" s="61" t="s">
        <v>162</v>
      </c>
    </row>
    <row r="9" spans="1:7" s="164" customFormat="1" x14ac:dyDescent="0.3">
      <c r="A9" s="51">
        <v>45840</v>
      </c>
      <c r="B9" s="50" t="s">
        <v>206</v>
      </c>
      <c r="C9" s="73" t="s">
        <v>17</v>
      </c>
      <c r="D9" s="73" t="s">
        <v>411</v>
      </c>
      <c r="E9" s="53">
        <v>291731.96000000002</v>
      </c>
      <c r="F9" s="55" t="s">
        <v>161</v>
      </c>
      <c r="G9" s="61" t="s">
        <v>162</v>
      </c>
    </row>
    <row r="10" spans="1:7" s="139" customFormat="1" x14ac:dyDescent="0.3">
      <c r="A10" s="78">
        <v>45840</v>
      </c>
      <c r="B10" s="2" t="s">
        <v>206</v>
      </c>
      <c r="C10" s="14" t="s">
        <v>44</v>
      </c>
      <c r="D10" s="14" t="s">
        <v>413</v>
      </c>
      <c r="E10" s="8">
        <v>-1709.15</v>
      </c>
      <c r="F10" s="13" t="s">
        <v>8</v>
      </c>
      <c r="G10" s="148" t="s">
        <v>227</v>
      </c>
    </row>
    <row r="11" spans="1:7" s="139" customFormat="1" x14ac:dyDescent="0.3">
      <c r="A11" s="78">
        <v>45840</v>
      </c>
      <c r="B11" s="2" t="s">
        <v>206</v>
      </c>
      <c r="C11" s="14" t="s">
        <v>71</v>
      </c>
      <c r="D11" s="14" t="s">
        <v>415</v>
      </c>
      <c r="E11" s="8">
        <v>-1330</v>
      </c>
      <c r="F11" s="13" t="s">
        <v>8</v>
      </c>
      <c r="G11" s="5" t="s">
        <v>203</v>
      </c>
    </row>
    <row r="12" spans="1:7" s="139" customFormat="1" x14ac:dyDescent="0.3">
      <c r="A12" s="133">
        <v>45840</v>
      </c>
      <c r="B12" s="134" t="s">
        <v>206</v>
      </c>
      <c r="C12" s="116" t="s">
        <v>31</v>
      </c>
      <c r="D12" s="116" t="s">
        <v>363</v>
      </c>
      <c r="E12" s="118">
        <v>-282.07</v>
      </c>
      <c r="F12" s="13" t="s">
        <v>8</v>
      </c>
      <c r="G12" s="148" t="s">
        <v>75</v>
      </c>
    </row>
    <row r="13" spans="1:7" s="139" customFormat="1" x14ac:dyDescent="0.3">
      <c r="A13" s="78">
        <v>45840</v>
      </c>
      <c r="B13" s="2" t="s">
        <v>206</v>
      </c>
      <c r="C13" s="14" t="s">
        <v>25</v>
      </c>
      <c r="D13" s="14" t="s">
        <v>352</v>
      </c>
      <c r="E13" s="8">
        <v>-21.33</v>
      </c>
      <c r="F13" s="13" t="s">
        <v>8</v>
      </c>
      <c r="G13" s="37" t="s">
        <v>75</v>
      </c>
    </row>
    <row r="14" spans="1:7" s="139" customFormat="1" x14ac:dyDescent="0.3">
      <c r="A14" s="78">
        <v>45840</v>
      </c>
      <c r="B14" s="2" t="s">
        <v>206</v>
      </c>
      <c r="C14" s="14" t="s">
        <v>71</v>
      </c>
      <c r="D14" s="14" t="s">
        <v>350</v>
      </c>
      <c r="E14" s="8">
        <v>-163</v>
      </c>
      <c r="F14" s="13" t="s">
        <v>8</v>
      </c>
      <c r="G14" s="37" t="s">
        <v>203</v>
      </c>
    </row>
    <row r="15" spans="1:7" s="137" customFormat="1" x14ac:dyDescent="0.3">
      <c r="A15" s="39">
        <v>45840</v>
      </c>
      <c r="B15" s="33" t="s">
        <v>206</v>
      </c>
      <c r="C15" s="36" t="s">
        <v>25</v>
      </c>
      <c r="D15" s="36" t="s">
        <v>368</v>
      </c>
      <c r="E15" s="40">
        <v>-99</v>
      </c>
      <c r="F15" s="34" t="s">
        <v>8</v>
      </c>
      <c r="G15" s="37" t="s">
        <v>82</v>
      </c>
    </row>
    <row r="16" spans="1:7" s="137" customFormat="1" x14ac:dyDescent="0.3">
      <c r="A16" s="39">
        <v>45840</v>
      </c>
      <c r="B16" s="33" t="s">
        <v>206</v>
      </c>
      <c r="C16" s="36" t="s">
        <v>25</v>
      </c>
      <c r="D16" s="36" t="s">
        <v>364</v>
      </c>
      <c r="E16" s="40">
        <v>-377.6</v>
      </c>
      <c r="F16" s="34" t="s">
        <v>8</v>
      </c>
      <c r="G16" s="37" t="s">
        <v>82</v>
      </c>
    </row>
    <row r="17" spans="1:8" s="137" customFormat="1" x14ac:dyDescent="0.3">
      <c r="A17" s="39">
        <v>45840</v>
      </c>
      <c r="B17" s="33" t="s">
        <v>206</v>
      </c>
      <c r="C17" s="36" t="s">
        <v>17</v>
      </c>
      <c r="D17" s="36" t="s">
        <v>369</v>
      </c>
      <c r="E17" s="40">
        <v>-165</v>
      </c>
      <c r="F17" s="34" t="s">
        <v>8</v>
      </c>
      <c r="G17" s="37" t="s">
        <v>82</v>
      </c>
    </row>
    <row r="18" spans="1:8" s="139" customFormat="1" x14ac:dyDescent="0.3">
      <c r="A18" s="135">
        <v>45842</v>
      </c>
      <c r="B18" s="2" t="s">
        <v>206</v>
      </c>
      <c r="C18" s="3" t="s">
        <v>6</v>
      </c>
      <c r="D18" s="4" t="s">
        <v>23</v>
      </c>
      <c r="E18" s="10">
        <v>-3809.98</v>
      </c>
      <c r="F18" s="13" t="s">
        <v>8</v>
      </c>
      <c r="G18" s="5" t="s">
        <v>24</v>
      </c>
    </row>
    <row r="19" spans="1:8" s="139" customFormat="1" x14ac:dyDescent="0.3">
      <c r="A19" s="135">
        <v>45842</v>
      </c>
      <c r="B19" s="2" t="s">
        <v>206</v>
      </c>
      <c r="C19" s="4" t="s">
        <v>25</v>
      </c>
      <c r="D19" s="4" t="s">
        <v>28</v>
      </c>
      <c r="E19" s="10">
        <v>-389</v>
      </c>
      <c r="F19" s="13" t="s">
        <v>8</v>
      </c>
      <c r="G19" s="82" t="s">
        <v>29</v>
      </c>
    </row>
    <row r="20" spans="1:8" s="139" customFormat="1" x14ac:dyDescent="0.3">
      <c r="A20" s="135">
        <v>45842</v>
      </c>
      <c r="B20" s="2" t="s">
        <v>206</v>
      </c>
      <c r="C20" s="4" t="s">
        <v>25</v>
      </c>
      <c r="D20" s="4" t="s">
        <v>430</v>
      </c>
      <c r="E20" s="10">
        <v>-389</v>
      </c>
      <c r="F20" s="13" t="s">
        <v>8</v>
      </c>
      <c r="G20" s="82" t="s">
        <v>29</v>
      </c>
    </row>
    <row r="21" spans="1:8" s="139" customFormat="1" x14ac:dyDescent="0.3">
      <c r="A21" s="135">
        <v>45842</v>
      </c>
      <c r="B21" s="2" t="s">
        <v>206</v>
      </c>
      <c r="C21" s="4" t="s">
        <v>33</v>
      </c>
      <c r="D21" s="4" t="s">
        <v>430</v>
      </c>
      <c r="E21" s="10">
        <v>-389</v>
      </c>
      <c r="F21" s="13" t="s">
        <v>8</v>
      </c>
      <c r="G21" s="82" t="s">
        <v>29</v>
      </c>
    </row>
    <row r="22" spans="1:8" s="139" customFormat="1" x14ac:dyDescent="0.3">
      <c r="A22" s="135">
        <v>45845</v>
      </c>
      <c r="B22" s="2" t="s">
        <v>206</v>
      </c>
      <c r="C22" s="119" t="s">
        <v>31</v>
      </c>
      <c r="D22" s="7" t="s">
        <v>38</v>
      </c>
      <c r="E22" s="10">
        <v>-613.47</v>
      </c>
      <c r="F22" s="13" t="s">
        <v>8</v>
      </c>
      <c r="G22" s="9" t="s">
        <v>39</v>
      </c>
    </row>
    <row r="23" spans="1:8" s="139" customFormat="1" x14ac:dyDescent="0.3">
      <c r="A23" s="135">
        <v>45842</v>
      </c>
      <c r="B23" s="2" t="s">
        <v>206</v>
      </c>
      <c r="C23" s="4" t="s">
        <v>6</v>
      </c>
      <c r="D23" s="4" t="s">
        <v>40</v>
      </c>
      <c r="E23" s="10">
        <v>-460657.26</v>
      </c>
      <c r="F23" s="13" t="s">
        <v>8</v>
      </c>
      <c r="G23" s="5" t="s">
        <v>41</v>
      </c>
    </row>
    <row r="24" spans="1:8" s="139" customFormat="1" x14ac:dyDescent="0.3">
      <c r="A24" s="135">
        <v>45842</v>
      </c>
      <c r="B24" s="2" t="s">
        <v>206</v>
      </c>
      <c r="C24" s="4" t="s">
        <v>421</v>
      </c>
      <c r="D24" s="4" t="s">
        <v>42</v>
      </c>
      <c r="E24" s="10">
        <v>-500</v>
      </c>
      <c r="F24" s="13" t="s">
        <v>8</v>
      </c>
      <c r="G24" s="5" t="s">
        <v>41</v>
      </c>
    </row>
    <row r="25" spans="1:8" s="139" customFormat="1" x14ac:dyDescent="0.3">
      <c r="A25" s="135">
        <v>45842</v>
      </c>
      <c r="B25" s="2" t="s">
        <v>206</v>
      </c>
      <c r="C25" s="4" t="s">
        <v>6</v>
      </c>
      <c r="D25" s="4" t="s">
        <v>431</v>
      </c>
      <c r="E25" s="10">
        <v>-1974.52</v>
      </c>
      <c r="F25" s="13" t="s">
        <v>8</v>
      </c>
      <c r="G25" s="5" t="s">
        <v>41</v>
      </c>
    </row>
    <row r="26" spans="1:8" x14ac:dyDescent="0.3">
      <c r="A26" s="226">
        <v>45852</v>
      </c>
      <c r="B26" s="44" t="s">
        <v>206</v>
      </c>
      <c r="C26" s="72" t="s">
        <v>44</v>
      </c>
      <c r="D26" s="227" t="s">
        <v>697</v>
      </c>
      <c r="E26" s="30">
        <v>2800.33</v>
      </c>
      <c r="F26" s="48" t="s">
        <v>161</v>
      </c>
      <c r="G26" s="229" t="s">
        <v>162</v>
      </c>
    </row>
    <row r="27" spans="1:8" x14ac:dyDescent="0.3">
      <c r="A27" s="226">
        <v>45852</v>
      </c>
      <c r="B27" s="44" t="s">
        <v>206</v>
      </c>
      <c r="C27" s="72" t="s">
        <v>44</v>
      </c>
      <c r="D27" s="227" t="s">
        <v>698</v>
      </c>
      <c r="E27" s="30">
        <v>1709.15</v>
      </c>
      <c r="F27" s="48" t="s">
        <v>161</v>
      </c>
      <c r="G27" s="229" t="s">
        <v>227</v>
      </c>
    </row>
    <row r="28" spans="1:8" x14ac:dyDescent="0.3">
      <c r="A28" s="226">
        <v>45840</v>
      </c>
      <c r="B28" s="44" t="s">
        <v>206</v>
      </c>
      <c r="C28" s="227" t="s">
        <v>30</v>
      </c>
      <c r="D28" s="227" t="s">
        <v>696</v>
      </c>
      <c r="E28" s="331">
        <v>6599.4</v>
      </c>
      <c r="F28" s="48" t="s">
        <v>161</v>
      </c>
      <c r="G28" s="229" t="s">
        <v>162</v>
      </c>
    </row>
    <row r="29" spans="1:8" x14ac:dyDescent="0.3">
      <c r="A29" s="226">
        <v>45852</v>
      </c>
      <c r="B29" s="44" t="s">
        <v>206</v>
      </c>
      <c r="C29" s="227" t="s">
        <v>30</v>
      </c>
      <c r="D29" s="227" t="s">
        <v>696</v>
      </c>
      <c r="E29" s="228">
        <v>5040.2700000000004</v>
      </c>
      <c r="F29" s="48" t="s">
        <v>161</v>
      </c>
      <c r="G29" s="229" t="s">
        <v>162</v>
      </c>
    </row>
    <row r="30" spans="1:8" s="139" customFormat="1" x14ac:dyDescent="0.3">
      <c r="A30" s="135">
        <v>45852</v>
      </c>
      <c r="B30" s="2" t="s">
        <v>206</v>
      </c>
      <c r="C30" s="6" t="s">
        <v>44</v>
      </c>
      <c r="D30" s="14" t="s">
        <v>209</v>
      </c>
      <c r="E30" s="8">
        <v>-5670.51</v>
      </c>
      <c r="F30" s="13" t="s">
        <v>8</v>
      </c>
      <c r="G30" s="9" t="s">
        <v>46</v>
      </c>
    </row>
    <row r="31" spans="1:8" s="139" customFormat="1" x14ac:dyDescent="0.3">
      <c r="A31" s="168">
        <v>45845</v>
      </c>
      <c r="B31" s="26" t="s">
        <v>206</v>
      </c>
      <c r="C31" s="205" t="s">
        <v>13</v>
      </c>
      <c r="D31" s="107" t="s">
        <v>442</v>
      </c>
      <c r="E31" s="169">
        <v>-2980</v>
      </c>
      <c r="F31" s="27" t="s">
        <v>8</v>
      </c>
      <c r="G31" s="41" t="s">
        <v>27</v>
      </c>
      <c r="H31" s="143"/>
    </row>
    <row r="32" spans="1:8" s="139" customFormat="1" x14ac:dyDescent="0.3">
      <c r="A32" s="135">
        <v>45849</v>
      </c>
      <c r="B32" s="2" t="s">
        <v>206</v>
      </c>
      <c r="C32" s="4" t="s">
        <v>17</v>
      </c>
      <c r="D32" s="4" t="s">
        <v>18</v>
      </c>
      <c r="E32" s="10">
        <v>-16200</v>
      </c>
      <c r="F32" s="13" t="s">
        <v>8</v>
      </c>
      <c r="G32" s="5" t="s">
        <v>19</v>
      </c>
    </row>
    <row r="33" spans="1:7" s="137" customFormat="1" x14ac:dyDescent="0.3">
      <c r="A33" s="206">
        <v>45848</v>
      </c>
      <c r="B33" s="184" t="s">
        <v>206</v>
      </c>
      <c r="C33" s="185" t="s">
        <v>31</v>
      </c>
      <c r="D33" s="185" t="s">
        <v>472</v>
      </c>
      <c r="E33" s="186">
        <v>-494.62</v>
      </c>
      <c r="F33" s="110" t="s">
        <v>8</v>
      </c>
      <c r="G33" s="81" t="s">
        <v>51</v>
      </c>
    </row>
    <row r="34" spans="1:7" s="137" customFormat="1" x14ac:dyDescent="0.3">
      <c r="A34" s="136">
        <v>45848</v>
      </c>
      <c r="B34" s="33" t="s">
        <v>206</v>
      </c>
      <c r="C34" s="36" t="s">
        <v>6</v>
      </c>
      <c r="D34" s="36" t="s">
        <v>472</v>
      </c>
      <c r="E34" s="40">
        <v>-883.25</v>
      </c>
      <c r="F34" s="13" t="s">
        <v>8</v>
      </c>
      <c r="G34" s="35" t="s">
        <v>51</v>
      </c>
    </row>
    <row r="35" spans="1:7" s="137" customFormat="1" x14ac:dyDescent="0.3">
      <c r="A35" s="136">
        <v>45848</v>
      </c>
      <c r="B35" s="33" t="s">
        <v>206</v>
      </c>
      <c r="C35" s="36" t="s">
        <v>44</v>
      </c>
      <c r="D35" s="36" t="s">
        <v>472</v>
      </c>
      <c r="E35" s="40">
        <v>-847.92</v>
      </c>
      <c r="F35" s="13" t="s">
        <v>8</v>
      </c>
      <c r="G35" s="35" t="s">
        <v>51</v>
      </c>
    </row>
    <row r="36" spans="1:7" s="137" customFormat="1" x14ac:dyDescent="0.3">
      <c r="A36" s="136">
        <v>45848</v>
      </c>
      <c r="B36" s="33" t="s">
        <v>206</v>
      </c>
      <c r="C36" s="36" t="s">
        <v>25</v>
      </c>
      <c r="D36" s="36" t="s">
        <v>472</v>
      </c>
      <c r="E36" s="40">
        <v>-2084.4699999999998</v>
      </c>
      <c r="F36" s="13" t="s">
        <v>8</v>
      </c>
      <c r="G36" s="35" t="s">
        <v>51</v>
      </c>
    </row>
    <row r="37" spans="1:7" s="137" customFormat="1" x14ac:dyDescent="0.3">
      <c r="A37" s="136">
        <v>45848</v>
      </c>
      <c r="B37" s="33" t="s">
        <v>206</v>
      </c>
      <c r="C37" s="36" t="s">
        <v>33</v>
      </c>
      <c r="D37" s="36" t="s">
        <v>472</v>
      </c>
      <c r="E37" s="40">
        <v>-600.61</v>
      </c>
      <c r="F37" s="13" t="s">
        <v>8</v>
      </c>
      <c r="G37" s="35" t="s">
        <v>51</v>
      </c>
    </row>
    <row r="38" spans="1:7" s="137" customFormat="1" x14ac:dyDescent="0.3">
      <c r="A38" s="136">
        <v>45848</v>
      </c>
      <c r="B38" s="33" t="s">
        <v>206</v>
      </c>
      <c r="C38" s="36" t="s">
        <v>104</v>
      </c>
      <c r="D38" s="36" t="s">
        <v>472</v>
      </c>
      <c r="E38" s="40">
        <v>-635.94000000000005</v>
      </c>
      <c r="F38" s="13" t="s">
        <v>8</v>
      </c>
      <c r="G38" s="35" t="s">
        <v>51</v>
      </c>
    </row>
    <row r="39" spans="1:7" s="137" customFormat="1" x14ac:dyDescent="0.3">
      <c r="A39" s="136">
        <v>45848</v>
      </c>
      <c r="B39" s="33" t="s">
        <v>206</v>
      </c>
      <c r="C39" s="36" t="s">
        <v>32</v>
      </c>
      <c r="D39" s="36" t="s">
        <v>472</v>
      </c>
      <c r="E39" s="40">
        <v>-1342.54</v>
      </c>
      <c r="F39" s="13" t="s">
        <v>8</v>
      </c>
      <c r="G39" s="35" t="s">
        <v>51</v>
      </c>
    </row>
    <row r="40" spans="1:7" s="137" customFormat="1" x14ac:dyDescent="0.3">
      <c r="A40" s="136">
        <v>45848</v>
      </c>
      <c r="B40" s="33" t="s">
        <v>206</v>
      </c>
      <c r="C40" s="36" t="s">
        <v>71</v>
      </c>
      <c r="D40" s="36" t="s">
        <v>472</v>
      </c>
      <c r="E40" s="40">
        <v>-777.26</v>
      </c>
      <c r="F40" s="13" t="s">
        <v>8</v>
      </c>
      <c r="G40" s="35" t="s">
        <v>51</v>
      </c>
    </row>
    <row r="41" spans="1:7" s="137" customFormat="1" x14ac:dyDescent="0.3">
      <c r="A41" s="136">
        <v>45848</v>
      </c>
      <c r="B41" s="33" t="s">
        <v>206</v>
      </c>
      <c r="C41" s="36" t="s">
        <v>17</v>
      </c>
      <c r="D41" s="36" t="s">
        <v>472</v>
      </c>
      <c r="E41" s="40">
        <v>-459.29</v>
      </c>
      <c r="F41" s="13" t="s">
        <v>8</v>
      </c>
      <c r="G41" s="35" t="s">
        <v>51</v>
      </c>
    </row>
    <row r="42" spans="1:7" s="139" customFormat="1" x14ac:dyDescent="0.3">
      <c r="A42" s="135">
        <v>45848</v>
      </c>
      <c r="B42" s="2" t="s">
        <v>206</v>
      </c>
      <c r="C42" s="12" t="s">
        <v>6</v>
      </c>
      <c r="D42" s="4" t="s">
        <v>52</v>
      </c>
      <c r="E42" s="40">
        <v>-421.26</v>
      </c>
      <c r="F42" s="13" t="s">
        <v>8</v>
      </c>
      <c r="G42" s="5" t="s">
        <v>53</v>
      </c>
    </row>
    <row r="43" spans="1:7" s="139" customFormat="1" x14ac:dyDescent="0.3">
      <c r="A43" s="135">
        <v>45848</v>
      </c>
      <c r="B43" s="2" t="s">
        <v>206</v>
      </c>
      <c r="C43" s="12" t="s">
        <v>17</v>
      </c>
      <c r="D43" s="4" t="s">
        <v>484</v>
      </c>
      <c r="E43" s="10">
        <v>-10500</v>
      </c>
      <c r="F43" s="27" t="s">
        <v>8</v>
      </c>
      <c r="G43" s="41" t="s">
        <v>56</v>
      </c>
    </row>
    <row r="44" spans="1:7" s="139" customFormat="1" x14ac:dyDescent="0.3">
      <c r="A44" s="135">
        <v>45860</v>
      </c>
      <c r="B44" s="2" t="s">
        <v>206</v>
      </c>
      <c r="C44" s="12" t="s">
        <v>13</v>
      </c>
      <c r="D44" s="4" t="s">
        <v>620</v>
      </c>
      <c r="E44" s="10">
        <v>-40</v>
      </c>
      <c r="F44" s="13" t="s">
        <v>8</v>
      </c>
      <c r="G44" s="5" t="s">
        <v>55</v>
      </c>
    </row>
    <row r="45" spans="1:7" s="139" customFormat="1" x14ac:dyDescent="0.3">
      <c r="A45" s="135">
        <v>45848</v>
      </c>
      <c r="B45" s="2" t="s">
        <v>206</v>
      </c>
      <c r="C45" s="12" t="s">
        <v>31</v>
      </c>
      <c r="D45" s="4" t="s">
        <v>479</v>
      </c>
      <c r="E45" s="10">
        <v>-1000</v>
      </c>
      <c r="F45" s="110" t="s">
        <v>8</v>
      </c>
      <c r="G45" s="24" t="s">
        <v>58</v>
      </c>
    </row>
    <row r="46" spans="1:7" s="139" customFormat="1" x14ac:dyDescent="0.3">
      <c r="A46" s="135">
        <v>45854</v>
      </c>
      <c r="B46" s="2" t="s">
        <v>206</v>
      </c>
      <c r="C46" s="12" t="s">
        <v>31</v>
      </c>
      <c r="D46" s="4" t="s">
        <v>534</v>
      </c>
      <c r="E46" s="10">
        <v>-2000</v>
      </c>
      <c r="F46" s="13" t="s">
        <v>8</v>
      </c>
      <c r="G46" s="5" t="s">
        <v>58</v>
      </c>
    </row>
    <row r="47" spans="1:7" s="139" customFormat="1" x14ac:dyDescent="0.3">
      <c r="A47" s="135">
        <v>45848</v>
      </c>
      <c r="B47" s="2" t="s">
        <v>206</v>
      </c>
      <c r="C47" s="12" t="s">
        <v>93</v>
      </c>
      <c r="D47" s="4" t="s">
        <v>59</v>
      </c>
      <c r="E47" s="10">
        <v>-5590.46</v>
      </c>
      <c r="F47" s="13" t="s">
        <v>8</v>
      </c>
      <c r="G47" s="5" t="s">
        <v>58</v>
      </c>
    </row>
    <row r="48" spans="1:7" s="139" customFormat="1" x14ac:dyDescent="0.3">
      <c r="A48" s="135">
        <v>45848</v>
      </c>
      <c r="B48" s="2" t="s">
        <v>206</v>
      </c>
      <c r="C48" s="12" t="s">
        <v>44</v>
      </c>
      <c r="D48" s="4" t="s">
        <v>60</v>
      </c>
      <c r="E48" s="10">
        <v>-9146.82</v>
      </c>
      <c r="F48" s="5" t="s">
        <v>8</v>
      </c>
      <c r="G48" s="5" t="s">
        <v>61</v>
      </c>
    </row>
    <row r="49" spans="1:8" s="139" customFormat="1" x14ac:dyDescent="0.3">
      <c r="A49" s="135">
        <v>45848</v>
      </c>
      <c r="B49" s="2" t="s">
        <v>206</v>
      </c>
      <c r="C49" s="12" t="s">
        <v>6</v>
      </c>
      <c r="D49" s="4" t="s">
        <v>62</v>
      </c>
      <c r="E49" s="40">
        <v>-5896.35</v>
      </c>
      <c r="F49" s="13" t="s">
        <v>8</v>
      </c>
      <c r="G49" s="5" t="s">
        <v>63</v>
      </c>
    </row>
    <row r="50" spans="1:8" s="139" customFormat="1" x14ac:dyDescent="0.3">
      <c r="A50" s="135">
        <v>45848</v>
      </c>
      <c r="B50" s="2" t="s">
        <v>206</v>
      </c>
      <c r="C50" s="15" t="s">
        <v>64</v>
      </c>
      <c r="D50" s="4" t="s">
        <v>483</v>
      </c>
      <c r="E50" s="10">
        <v>-441.64</v>
      </c>
      <c r="F50" s="13" t="s">
        <v>8</v>
      </c>
      <c r="G50" s="5" t="s">
        <v>39</v>
      </c>
    </row>
    <row r="51" spans="1:8" s="139" customFormat="1" x14ac:dyDescent="0.3">
      <c r="A51" s="135">
        <v>45848</v>
      </c>
      <c r="B51" s="2" t="s">
        <v>206</v>
      </c>
      <c r="C51" s="3" t="s">
        <v>66</v>
      </c>
      <c r="D51" s="4" t="s">
        <v>67</v>
      </c>
      <c r="E51" s="10">
        <v>-553.25</v>
      </c>
      <c r="F51" s="13" t="s">
        <v>8</v>
      </c>
      <c r="G51" s="82" t="s">
        <v>68</v>
      </c>
    </row>
    <row r="52" spans="1:8" s="139" customFormat="1" x14ac:dyDescent="0.3">
      <c r="A52" s="135">
        <v>45848</v>
      </c>
      <c r="B52" s="2" t="s">
        <v>206</v>
      </c>
      <c r="C52" s="6" t="s">
        <v>6</v>
      </c>
      <c r="D52" s="7" t="s">
        <v>69</v>
      </c>
      <c r="E52" s="8">
        <v>-545.78</v>
      </c>
      <c r="F52" s="13" t="s">
        <v>8</v>
      </c>
      <c r="G52" s="9" t="s">
        <v>70</v>
      </c>
    </row>
    <row r="53" spans="1:8" s="139" customFormat="1" x14ac:dyDescent="0.3">
      <c r="A53" s="182">
        <v>45853</v>
      </c>
      <c r="B53" s="23" t="s">
        <v>206</v>
      </c>
      <c r="C53" s="108" t="s">
        <v>6</v>
      </c>
      <c r="D53" s="108" t="s">
        <v>517</v>
      </c>
      <c r="E53" s="200">
        <v>-82400.03</v>
      </c>
      <c r="F53" s="24" t="s">
        <v>8</v>
      </c>
      <c r="G53" s="24" t="s">
        <v>41</v>
      </c>
      <c r="H53" s="150"/>
    </row>
    <row r="54" spans="1:8" s="139" customFormat="1" x14ac:dyDescent="0.3">
      <c r="A54" s="135">
        <v>45854</v>
      </c>
      <c r="B54" s="2" t="s">
        <v>206</v>
      </c>
      <c r="C54" s="14" t="s">
        <v>17</v>
      </c>
      <c r="D54" s="14" t="s">
        <v>519</v>
      </c>
      <c r="E54" s="8">
        <v>-18300</v>
      </c>
      <c r="F54" s="13" t="s">
        <v>8</v>
      </c>
      <c r="G54" s="5" t="s">
        <v>78</v>
      </c>
      <c r="H54" s="150"/>
    </row>
    <row r="55" spans="1:8" s="139" customFormat="1" x14ac:dyDescent="0.3">
      <c r="A55" s="135">
        <v>45854</v>
      </c>
      <c r="B55" s="2" t="s">
        <v>206</v>
      </c>
      <c r="C55" s="14" t="s">
        <v>17</v>
      </c>
      <c r="D55" s="14" t="s">
        <v>520</v>
      </c>
      <c r="E55" s="8">
        <v>-3700</v>
      </c>
      <c r="F55" s="13" t="s">
        <v>8</v>
      </c>
      <c r="G55" s="5" t="s">
        <v>78</v>
      </c>
      <c r="H55" s="150"/>
    </row>
    <row r="56" spans="1:8" s="139" customFormat="1" x14ac:dyDescent="0.3">
      <c r="A56" s="135">
        <v>45854</v>
      </c>
      <c r="B56" s="2" t="s">
        <v>206</v>
      </c>
      <c r="C56" s="14" t="s">
        <v>17</v>
      </c>
      <c r="D56" s="14" t="s">
        <v>521</v>
      </c>
      <c r="E56" s="8">
        <v>-900</v>
      </c>
      <c r="F56" s="13" t="s">
        <v>8</v>
      </c>
      <c r="G56" s="5" t="s">
        <v>78</v>
      </c>
      <c r="H56" s="150"/>
    </row>
    <row r="57" spans="1:8" s="139" customFormat="1" x14ac:dyDescent="0.3">
      <c r="A57" s="135">
        <v>45854</v>
      </c>
      <c r="B57" s="2" t="s">
        <v>206</v>
      </c>
      <c r="C57" s="14" t="s">
        <v>17</v>
      </c>
      <c r="D57" s="14" t="s">
        <v>522</v>
      </c>
      <c r="E57" s="8">
        <v>-12600</v>
      </c>
      <c r="F57" s="13" t="s">
        <v>8</v>
      </c>
      <c r="G57" s="5" t="s">
        <v>78</v>
      </c>
      <c r="H57" s="150"/>
    </row>
    <row r="58" spans="1:8" s="139" customFormat="1" x14ac:dyDescent="0.3">
      <c r="A58" s="135">
        <v>45854</v>
      </c>
      <c r="B58" s="2" t="s">
        <v>206</v>
      </c>
      <c r="C58" s="12" t="s">
        <v>6</v>
      </c>
      <c r="D58" s="4" t="s">
        <v>518</v>
      </c>
      <c r="E58" s="10">
        <v>-88560.88</v>
      </c>
      <c r="F58" s="13" t="s">
        <v>8</v>
      </c>
      <c r="G58" s="5" t="s">
        <v>19</v>
      </c>
    </row>
    <row r="59" spans="1:8" s="139" customFormat="1" x14ac:dyDescent="0.3">
      <c r="A59" s="135">
        <v>45853</v>
      </c>
      <c r="B59" s="2" t="s">
        <v>206</v>
      </c>
      <c r="C59" s="14" t="s">
        <v>25</v>
      </c>
      <c r="D59" s="14" t="s">
        <v>384</v>
      </c>
      <c r="E59" s="8">
        <v>-456.72</v>
      </c>
      <c r="F59" s="5" t="s">
        <v>8</v>
      </c>
      <c r="G59" s="9" t="s">
        <v>19</v>
      </c>
    </row>
    <row r="60" spans="1:8" s="139" customFormat="1" x14ac:dyDescent="0.3">
      <c r="A60" s="135">
        <v>45853</v>
      </c>
      <c r="B60" s="2" t="s">
        <v>206</v>
      </c>
      <c r="C60" s="14" t="s">
        <v>17</v>
      </c>
      <c r="D60" s="14" t="s">
        <v>84</v>
      </c>
      <c r="E60" s="8">
        <v>-456.72</v>
      </c>
      <c r="F60" s="5" t="s">
        <v>8</v>
      </c>
      <c r="G60" s="9" t="s">
        <v>19</v>
      </c>
    </row>
    <row r="61" spans="1:8" s="139" customFormat="1" x14ac:dyDescent="0.3">
      <c r="A61" s="135">
        <v>45853</v>
      </c>
      <c r="B61" s="2" t="s">
        <v>206</v>
      </c>
      <c r="C61" s="14" t="s">
        <v>17</v>
      </c>
      <c r="D61" s="14" t="s">
        <v>491</v>
      </c>
      <c r="E61" s="8">
        <v>-456.72</v>
      </c>
      <c r="F61" s="5" t="s">
        <v>8</v>
      </c>
      <c r="G61" s="9" t="s">
        <v>19</v>
      </c>
    </row>
    <row r="62" spans="1:8" s="139" customFormat="1" x14ac:dyDescent="0.3">
      <c r="A62" s="135">
        <v>45853</v>
      </c>
      <c r="B62" s="2" t="s">
        <v>206</v>
      </c>
      <c r="C62" s="14" t="s">
        <v>17</v>
      </c>
      <c r="D62" s="14" t="s">
        <v>26</v>
      </c>
      <c r="E62" s="8">
        <v>-415.2</v>
      </c>
      <c r="F62" s="5" t="s">
        <v>8</v>
      </c>
      <c r="G62" s="9" t="s">
        <v>19</v>
      </c>
    </row>
    <row r="63" spans="1:8" s="139" customFormat="1" x14ac:dyDescent="0.3">
      <c r="A63" s="135">
        <v>45853</v>
      </c>
      <c r="B63" s="2" t="s">
        <v>206</v>
      </c>
      <c r="C63" s="14" t="s">
        <v>17</v>
      </c>
      <c r="D63" s="14" t="s">
        <v>492</v>
      </c>
      <c r="E63" s="8">
        <v>-373.68</v>
      </c>
      <c r="F63" s="5" t="s">
        <v>8</v>
      </c>
      <c r="G63" s="9" t="s">
        <v>19</v>
      </c>
    </row>
    <row r="64" spans="1:8" s="139" customFormat="1" x14ac:dyDescent="0.3">
      <c r="A64" s="135">
        <v>45853</v>
      </c>
      <c r="B64" s="2" t="s">
        <v>206</v>
      </c>
      <c r="C64" s="14" t="s">
        <v>17</v>
      </c>
      <c r="D64" s="14" t="s">
        <v>493</v>
      </c>
      <c r="E64" s="8">
        <v>-456.72</v>
      </c>
      <c r="F64" s="5" t="s">
        <v>8</v>
      </c>
      <c r="G64" s="9" t="s">
        <v>19</v>
      </c>
    </row>
    <row r="65" spans="1:7" s="139" customFormat="1" x14ac:dyDescent="0.3">
      <c r="A65" s="135">
        <v>45853</v>
      </c>
      <c r="B65" s="2" t="s">
        <v>206</v>
      </c>
      <c r="C65" s="14" t="s">
        <v>17</v>
      </c>
      <c r="D65" s="14" t="s">
        <v>494</v>
      </c>
      <c r="E65" s="8">
        <v>-456.72</v>
      </c>
      <c r="F65" s="5" t="s">
        <v>8</v>
      </c>
      <c r="G65" s="9" t="s">
        <v>19</v>
      </c>
    </row>
    <row r="66" spans="1:7" s="139" customFormat="1" x14ac:dyDescent="0.3">
      <c r="A66" s="135">
        <v>45853</v>
      </c>
      <c r="B66" s="2" t="s">
        <v>206</v>
      </c>
      <c r="C66" s="14" t="s">
        <v>6</v>
      </c>
      <c r="D66" s="14" t="s">
        <v>477</v>
      </c>
      <c r="E66" s="8">
        <v>-267</v>
      </c>
      <c r="F66" s="5" t="s">
        <v>8</v>
      </c>
      <c r="G66" s="5" t="s">
        <v>82</v>
      </c>
    </row>
    <row r="67" spans="1:7" s="139" customFormat="1" x14ac:dyDescent="0.3">
      <c r="A67" s="135">
        <v>45853</v>
      </c>
      <c r="B67" s="2" t="s">
        <v>206</v>
      </c>
      <c r="C67" s="14" t="s">
        <v>32</v>
      </c>
      <c r="D67" s="14" t="s">
        <v>693</v>
      </c>
      <c r="E67" s="8">
        <v>-196.8</v>
      </c>
      <c r="F67" s="5" t="s">
        <v>8</v>
      </c>
      <c r="G67" s="5" t="s">
        <v>82</v>
      </c>
    </row>
    <row r="68" spans="1:7" s="139" customFormat="1" x14ac:dyDescent="0.3">
      <c r="A68" s="135">
        <v>45853</v>
      </c>
      <c r="B68" s="2" t="s">
        <v>206</v>
      </c>
      <c r="C68" s="14" t="s">
        <v>25</v>
      </c>
      <c r="D68" s="14" t="s">
        <v>433</v>
      </c>
      <c r="E68" s="8">
        <v>-177</v>
      </c>
      <c r="F68" s="13" t="s">
        <v>8</v>
      </c>
      <c r="G68" s="5" t="s">
        <v>82</v>
      </c>
    </row>
    <row r="69" spans="1:7" s="139" customFormat="1" x14ac:dyDescent="0.3">
      <c r="A69" s="135">
        <v>45853</v>
      </c>
      <c r="B69" s="2" t="s">
        <v>206</v>
      </c>
      <c r="C69" s="14" t="s">
        <v>25</v>
      </c>
      <c r="D69" s="14" t="s">
        <v>495</v>
      </c>
      <c r="E69" s="8">
        <v>-165.2</v>
      </c>
      <c r="F69" s="13" t="s">
        <v>8</v>
      </c>
      <c r="G69" s="5" t="s">
        <v>82</v>
      </c>
    </row>
    <row r="70" spans="1:7" s="139" customFormat="1" x14ac:dyDescent="0.3">
      <c r="A70" s="135">
        <v>45853</v>
      </c>
      <c r="B70" s="2" t="s">
        <v>206</v>
      </c>
      <c r="C70" s="14" t="s">
        <v>25</v>
      </c>
      <c r="D70" s="14" t="s">
        <v>496</v>
      </c>
      <c r="E70" s="8">
        <v>-346.5</v>
      </c>
      <c r="F70" s="13" t="s">
        <v>8</v>
      </c>
      <c r="G70" s="5" t="s">
        <v>82</v>
      </c>
    </row>
    <row r="71" spans="1:7" s="139" customFormat="1" x14ac:dyDescent="0.3">
      <c r="A71" s="135">
        <v>45853</v>
      </c>
      <c r="B71" s="2" t="s">
        <v>206</v>
      </c>
      <c r="C71" s="14" t="s">
        <v>25</v>
      </c>
      <c r="D71" s="14" t="s">
        <v>384</v>
      </c>
      <c r="E71" s="8">
        <v>-304</v>
      </c>
      <c r="F71" s="13" t="s">
        <v>8</v>
      </c>
      <c r="G71" s="5" t="s">
        <v>82</v>
      </c>
    </row>
    <row r="72" spans="1:7" s="139" customFormat="1" x14ac:dyDescent="0.3">
      <c r="A72" s="135">
        <v>45853</v>
      </c>
      <c r="B72" s="2" t="s">
        <v>206</v>
      </c>
      <c r="C72" s="14" t="s">
        <v>25</v>
      </c>
      <c r="D72" s="14" t="s">
        <v>497</v>
      </c>
      <c r="E72" s="8">
        <v>-271</v>
      </c>
      <c r="F72" s="13" t="s">
        <v>8</v>
      </c>
      <c r="G72" s="5" t="s">
        <v>82</v>
      </c>
    </row>
    <row r="73" spans="1:7" s="139" customFormat="1" x14ac:dyDescent="0.3">
      <c r="A73" s="135">
        <v>45853</v>
      </c>
      <c r="B73" s="2" t="s">
        <v>206</v>
      </c>
      <c r="C73" s="14" t="s">
        <v>71</v>
      </c>
      <c r="D73" s="14" t="s">
        <v>498</v>
      </c>
      <c r="E73" s="8">
        <v>-110</v>
      </c>
      <c r="F73" s="13" t="s">
        <v>8</v>
      </c>
      <c r="G73" s="5" t="s">
        <v>82</v>
      </c>
    </row>
    <row r="74" spans="1:7" s="139" customFormat="1" x14ac:dyDescent="0.3">
      <c r="A74" s="135">
        <v>45853</v>
      </c>
      <c r="B74" s="2" t="s">
        <v>206</v>
      </c>
      <c r="C74" s="14" t="s">
        <v>17</v>
      </c>
      <c r="D74" s="14" t="s">
        <v>499</v>
      </c>
      <c r="E74" s="8">
        <v>-261.8</v>
      </c>
      <c r="F74" s="13" t="s">
        <v>8</v>
      </c>
      <c r="G74" s="5" t="s">
        <v>82</v>
      </c>
    </row>
    <row r="75" spans="1:7" s="139" customFormat="1" x14ac:dyDescent="0.3">
      <c r="A75" s="135">
        <v>45853</v>
      </c>
      <c r="B75" s="2" t="s">
        <v>206</v>
      </c>
      <c r="C75" s="14" t="s">
        <v>17</v>
      </c>
      <c r="D75" s="14" t="s">
        <v>500</v>
      </c>
      <c r="E75" s="8">
        <v>-342</v>
      </c>
      <c r="F75" s="13" t="s">
        <v>8</v>
      </c>
      <c r="G75" s="5" t="s">
        <v>82</v>
      </c>
    </row>
    <row r="76" spans="1:7" s="139" customFormat="1" x14ac:dyDescent="0.3">
      <c r="A76" s="135">
        <v>45853</v>
      </c>
      <c r="B76" s="2" t="s">
        <v>206</v>
      </c>
      <c r="C76" s="14" t="s">
        <v>17</v>
      </c>
      <c r="D76" s="14" t="s">
        <v>84</v>
      </c>
      <c r="E76" s="8">
        <v>-300</v>
      </c>
      <c r="F76" s="13" t="s">
        <v>8</v>
      </c>
      <c r="G76" s="5" t="s">
        <v>82</v>
      </c>
    </row>
    <row r="77" spans="1:7" s="139" customFormat="1" x14ac:dyDescent="0.3">
      <c r="A77" s="135">
        <v>45853</v>
      </c>
      <c r="B77" s="2" t="s">
        <v>206</v>
      </c>
      <c r="C77" s="14" t="s">
        <v>17</v>
      </c>
      <c r="D77" s="14" t="s">
        <v>492</v>
      </c>
      <c r="E77" s="8">
        <v>-90</v>
      </c>
      <c r="F77" s="13" t="s">
        <v>8</v>
      </c>
      <c r="G77" s="5" t="s">
        <v>82</v>
      </c>
    </row>
    <row r="78" spans="1:7" s="139" customFormat="1" x14ac:dyDescent="0.3">
      <c r="A78" s="135">
        <v>45853</v>
      </c>
      <c r="B78" s="2" t="s">
        <v>206</v>
      </c>
      <c r="C78" s="14" t="s">
        <v>17</v>
      </c>
      <c r="D78" s="14" t="s">
        <v>494</v>
      </c>
      <c r="E78" s="8">
        <v>-32.549999999999997</v>
      </c>
      <c r="F78" s="13" t="s">
        <v>8</v>
      </c>
      <c r="G78" s="5" t="s">
        <v>82</v>
      </c>
    </row>
    <row r="79" spans="1:7" s="139" customFormat="1" x14ac:dyDescent="0.3">
      <c r="A79" s="135">
        <v>45853</v>
      </c>
      <c r="B79" s="2" t="s">
        <v>206</v>
      </c>
      <c r="C79" s="14" t="s">
        <v>17</v>
      </c>
      <c r="D79" s="14" t="s">
        <v>501</v>
      </c>
      <c r="E79" s="8">
        <v>-275</v>
      </c>
      <c r="F79" s="13" t="s">
        <v>8</v>
      </c>
      <c r="G79" s="5" t="s">
        <v>82</v>
      </c>
    </row>
    <row r="80" spans="1:7" s="139" customFormat="1" x14ac:dyDescent="0.3">
      <c r="A80" s="135">
        <v>45853</v>
      </c>
      <c r="B80" s="2" t="s">
        <v>206</v>
      </c>
      <c r="C80" s="14" t="s">
        <v>17</v>
      </c>
      <c r="D80" s="14" t="s">
        <v>493</v>
      </c>
      <c r="E80" s="8">
        <v>-110</v>
      </c>
      <c r="F80" s="13" t="s">
        <v>8</v>
      </c>
      <c r="G80" s="5" t="s">
        <v>82</v>
      </c>
    </row>
    <row r="81" spans="1:7" s="139" customFormat="1" x14ac:dyDescent="0.3">
      <c r="A81" s="135">
        <v>45853</v>
      </c>
      <c r="B81" s="2" t="s">
        <v>206</v>
      </c>
      <c r="C81" s="14" t="s">
        <v>17</v>
      </c>
      <c r="D81" s="14" t="s">
        <v>491</v>
      </c>
      <c r="E81" s="8">
        <v>-110</v>
      </c>
      <c r="F81" s="13" t="s">
        <v>8</v>
      </c>
      <c r="G81" s="5" t="s">
        <v>82</v>
      </c>
    </row>
    <row r="82" spans="1:7" s="139" customFormat="1" x14ac:dyDescent="0.3">
      <c r="A82" s="135">
        <v>45853</v>
      </c>
      <c r="B82" s="2" t="s">
        <v>206</v>
      </c>
      <c r="C82" s="14" t="s">
        <v>17</v>
      </c>
      <c r="D82" s="14" t="s">
        <v>26</v>
      </c>
      <c r="E82" s="8">
        <v>-90</v>
      </c>
      <c r="F82" s="13" t="s">
        <v>8</v>
      </c>
      <c r="G82" s="5" t="s">
        <v>82</v>
      </c>
    </row>
    <row r="83" spans="1:7" s="139" customFormat="1" x14ac:dyDescent="0.3">
      <c r="A83" s="135">
        <v>45853</v>
      </c>
      <c r="B83" s="2" t="s">
        <v>206</v>
      </c>
      <c r="C83" s="14" t="s">
        <v>17</v>
      </c>
      <c r="D83" s="14" t="s">
        <v>691</v>
      </c>
      <c r="E83" s="8">
        <v>-140</v>
      </c>
      <c r="F83" s="13" t="s">
        <v>8</v>
      </c>
      <c r="G83" s="5" t="s">
        <v>82</v>
      </c>
    </row>
    <row r="84" spans="1:7" s="139" customFormat="1" x14ac:dyDescent="0.3">
      <c r="A84" s="135">
        <v>45853</v>
      </c>
      <c r="B84" s="2" t="s">
        <v>206</v>
      </c>
      <c r="C84" s="14" t="s">
        <v>17</v>
      </c>
      <c r="D84" s="14" t="s">
        <v>692</v>
      </c>
      <c r="E84" s="8">
        <v>-222</v>
      </c>
      <c r="F84" s="13" t="s">
        <v>8</v>
      </c>
      <c r="G84" s="5" t="s">
        <v>82</v>
      </c>
    </row>
    <row r="85" spans="1:7" s="139" customFormat="1" x14ac:dyDescent="0.3">
      <c r="A85" s="135">
        <v>45853</v>
      </c>
      <c r="B85" s="2" t="s">
        <v>206</v>
      </c>
      <c r="C85" s="12" t="s">
        <v>17</v>
      </c>
      <c r="D85" s="12" t="s">
        <v>83</v>
      </c>
      <c r="E85" s="10">
        <v>-20498.98</v>
      </c>
      <c r="F85" s="13" t="s">
        <v>8</v>
      </c>
      <c r="G85" s="5" t="s">
        <v>58</v>
      </c>
    </row>
    <row r="86" spans="1:7" s="139" customFormat="1" x14ac:dyDescent="0.3">
      <c r="A86" s="135">
        <v>45853</v>
      </c>
      <c r="B86" s="2" t="s">
        <v>206</v>
      </c>
      <c r="C86" s="6" t="s">
        <v>17</v>
      </c>
      <c r="D86" s="14" t="s">
        <v>84</v>
      </c>
      <c r="E86" s="10">
        <v>-144.68</v>
      </c>
      <c r="F86" s="5" t="s">
        <v>8</v>
      </c>
      <c r="G86" s="5" t="s">
        <v>85</v>
      </c>
    </row>
    <row r="87" spans="1:7" s="139" customFormat="1" x14ac:dyDescent="0.3">
      <c r="A87" s="135">
        <v>45853</v>
      </c>
      <c r="B87" s="2" t="s">
        <v>206</v>
      </c>
      <c r="C87" s="4" t="s">
        <v>13</v>
      </c>
      <c r="D87" s="12" t="s">
        <v>509</v>
      </c>
      <c r="E87" s="10">
        <v>-1375</v>
      </c>
      <c r="F87" s="5" t="s">
        <v>8</v>
      </c>
      <c r="G87" s="5" t="s">
        <v>41</v>
      </c>
    </row>
    <row r="88" spans="1:7" s="139" customFormat="1" x14ac:dyDescent="0.3">
      <c r="A88" s="135">
        <v>45853</v>
      </c>
      <c r="B88" s="2" t="s">
        <v>206</v>
      </c>
      <c r="C88" s="3" t="s">
        <v>88</v>
      </c>
      <c r="D88" s="12" t="s">
        <v>508</v>
      </c>
      <c r="E88" s="10">
        <v>-2281.6999999999998</v>
      </c>
      <c r="F88" s="5" t="s">
        <v>8</v>
      </c>
      <c r="G88" s="5" t="s">
        <v>41</v>
      </c>
    </row>
    <row r="89" spans="1:7" s="139" customFormat="1" x14ac:dyDescent="0.3">
      <c r="A89" s="135">
        <v>45853</v>
      </c>
      <c r="B89" s="2" t="s">
        <v>206</v>
      </c>
      <c r="C89" s="12" t="s">
        <v>6</v>
      </c>
      <c r="D89" s="12" t="s">
        <v>89</v>
      </c>
      <c r="E89" s="10">
        <v>-6276.28</v>
      </c>
      <c r="F89" s="5" t="s">
        <v>8</v>
      </c>
      <c r="G89" s="5" t="s">
        <v>63</v>
      </c>
    </row>
    <row r="90" spans="1:7" s="139" customFormat="1" x14ac:dyDescent="0.3">
      <c r="A90" s="135">
        <v>45853</v>
      </c>
      <c r="B90" s="2" t="s">
        <v>206</v>
      </c>
      <c r="C90" s="12" t="s">
        <v>17</v>
      </c>
      <c r="D90" s="12" t="s">
        <v>516</v>
      </c>
      <c r="E90" s="10">
        <v>-10605.99</v>
      </c>
      <c r="F90" s="13" t="s">
        <v>8</v>
      </c>
      <c r="G90" s="5" t="s">
        <v>91</v>
      </c>
    </row>
    <row r="91" spans="1:7" s="139" customFormat="1" x14ac:dyDescent="0.3">
      <c r="A91" s="135">
        <v>45853</v>
      </c>
      <c r="B91" s="2" t="s">
        <v>206</v>
      </c>
      <c r="C91" s="6" t="s">
        <v>31</v>
      </c>
      <c r="D91" s="11" t="s">
        <v>646</v>
      </c>
      <c r="E91" s="10">
        <v>-2225.21</v>
      </c>
      <c r="F91" s="13" t="s">
        <v>8</v>
      </c>
      <c r="G91" s="82" t="s">
        <v>91</v>
      </c>
    </row>
    <row r="92" spans="1:7" s="139" customFormat="1" x14ac:dyDescent="0.3">
      <c r="A92" s="135">
        <v>45853</v>
      </c>
      <c r="B92" s="2" t="s">
        <v>206</v>
      </c>
      <c r="C92" s="15" t="s">
        <v>25</v>
      </c>
      <c r="D92" s="175" t="s">
        <v>646</v>
      </c>
      <c r="E92" s="169">
        <v>-1248.99</v>
      </c>
      <c r="F92" s="13" t="s">
        <v>8</v>
      </c>
      <c r="G92" s="82" t="s">
        <v>91</v>
      </c>
    </row>
    <row r="93" spans="1:7" s="139" customFormat="1" x14ac:dyDescent="0.3">
      <c r="A93" s="135">
        <v>45860</v>
      </c>
      <c r="B93" s="2" t="s">
        <v>206</v>
      </c>
      <c r="C93" s="14" t="s">
        <v>31</v>
      </c>
      <c r="D93" s="6" t="s">
        <v>525</v>
      </c>
      <c r="E93" s="93">
        <v>-928.72</v>
      </c>
      <c r="F93" s="92" t="s">
        <v>8</v>
      </c>
      <c r="G93" s="9" t="s">
        <v>51</v>
      </c>
    </row>
    <row r="94" spans="1:7" s="139" customFormat="1" x14ac:dyDescent="0.3">
      <c r="A94" s="135">
        <v>45860</v>
      </c>
      <c r="B94" s="2" t="s">
        <v>206</v>
      </c>
      <c r="C94" s="14" t="s">
        <v>6</v>
      </c>
      <c r="D94" s="6" t="s">
        <v>525</v>
      </c>
      <c r="E94" s="93">
        <v>-517.94000000000005</v>
      </c>
      <c r="F94" s="92" t="s">
        <v>8</v>
      </c>
      <c r="G94" s="9" t="s">
        <v>51</v>
      </c>
    </row>
    <row r="95" spans="1:7" s="139" customFormat="1" x14ac:dyDescent="0.3">
      <c r="A95" s="135">
        <v>45860</v>
      </c>
      <c r="B95" s="2" t="s">
        <v>206</v>
      </c>
      <c r="C95" s="14" t="s">
        <v>44</v>
      </c>
      <c r="D95" s="6" t="s">
        <v>525</v>
      </c>
      <c r="E95" s="93">
        <v>-339.33</v>
      </c>
      <c r="F95" s="92" t="s">
        <v>8</v>
      </c>
      <c r="G95" s="9" t="s">
        <v>51</v>
      </c>
    </row>
    <row r="96" spans="1:7" s="139" customFormat="1" x14ac:dyDescent="0.3">
      <c r="A96" s="135">
        <v>45860</v>
      </c>
      <c r="B96" s="2" t="s">
        <v>206</v>
      </c>
      <c r="C96" s="14" t="s">
        <v>25</v>
      </c>
      <c r="D96" s="6" t="s">
        <v>525</v>
      </c>
      <c r="E96" s="93">
        <v>-910.87</v>
      </c>
      <c r="F96" s="92" t="s">
        <v>8</v>
      </c>
      <c r="G96" s="9" t="s">
        <v>51</v>
      </c>
    </row>
    <row r="97" spans="1:8" s="139" customFormat="1" x14ac:dyDescent="0.3">
      <c r="A97" s="135">
        <v>45860</v>
      </c>
      <c r="B97" s="2" t="s">
        <v>206</v>
      </c>
      <c r="C97" s="14" t="s">
        <v>33</v>
      </c>
      <c r="D97" s="6" t="s">
        <v>525</v>
      </c>
      <c r="E97" s="93">
        <v>-232.18</v>
      </c>
      <c r="F97" s="92" t="s">
        <v>8</v>
      </c>
      <c r="G97" s="9" t="s">
        <v>51</v>
      </c>
    </row>
    <row r="98" spans="1:8" s="139" customFormat="1" x14ac:dyDescent="0.3">
      <c r="A98" s="135">
        <v>45860</v>
      </c>
      <c r="B98" s="2" t="s">
        <v>206</v>
      </c>
      <c r="C98" s="14" t="s">
        <v>104</v>
      </c>
      <c r="D98" s="6" t="s">
        <v>525</v>
      </c>
      <c r="E98" s="93">
        <v>-232.18</v>
      </c>
      <c r="F98" s="92" t="s">
        <v>8</v>
      </c>
      <c r="G98" s="9" t="s">
        <v>51</v>
      </c>
    </row>
    <row r="99" spans="1:8" s="139" customFormat="1" x14ac:dyDescent="0.3">
      <c r="A99" s="135">
        <v>45860</v>
      </c>
      <c r="B99" s="2" t="s">
        <v>206</v>
      </c>
      <c r="C99" s="14" t="s">
        <v>32</v>
      </c>
      <c r="D99" s="6" t="s">
        <v>525</v>
      </c>
      <c r="E99" s="93">
        <v>-71.430000000000007</v>
      </c>
      <c r="F99" s="92" t="s">
        <v>8</v>
      </c>
      <c r="G99" s="9" t="s">
        <v>51</v>
      </c>
    </row>
    <row r="100" spans="1:8" s="139" customFormat="1" x14ac:dyDescent="0.3">
      <c r="A100" s="135">
        <v>45860</v>
      </c>
      <c r="B100" s="2" t="s">
        <v>206</v>
      </c>
      <c r="C100" s="14" t="s">
        <v>71</v>
      </c>
      <c r="D100" s="6" t="s">
        <v>525</v>
      </c>
      <c r="E100" s="93">
        <v>-125.01</v>
      </c>
      <c r="F100" s="92" t="s">
        <v>8</v>
      </c>
      <c r="G100" s="9" t="s">
        <v>51</v>
      </c>
    </row>
    <row r="101" spans="1:8" s="139" customFormat="1" x14ac:dyDescent="0.3">
      <c r="A101" s="78">
        <v>45849</v>
      </c>
      <c r="B101" s="2" t="s">
        <v>206</v>
      </c>
      <c r="C101" s="6" t="s">
        <v>71</v>
      </c>
      <c r="D101" s="75" t="s">
        <v>643</v>
      </c>
      <c r="E101" s="77">
        <v>-1200</v>
      </c>
      <c r="F101" s="91" t="s">
        <v>8</v>
      </c>
      <c r="G101" s="91" t="s">
        <v>27</v>
      </c>
    </row>
    <row r="102" spans="1:8" s="139" customFormat="1" x14ac:dyDescent="0.3">
      <c r="A102" s="135">
        <v>45860</v>
      </c>
      <c r="B102" s="26" t="s">
        <v>206</v>
      </c>
      <c r="C102" s="97" t="s">
        <v>17</v>
      </c>
      <c r="D102" s="6" t="s">
        <v>525</v>
      </c>
      <c r="E102" s="93">
        <v>-357.2</v>
      </c>
      <c r="F102" s="275" t="s">
        <v>8</v>
      </c>
      <c r="G102" s="91" t="s">
        <v>51</v>
      </c>
      <c r="H102" s="143"/>
    </row>
    <row r="103" spans="1:8" s="139" customFormat="1" x14ac:dyDescent="0.3">
      <c r="A103" s="168">
        <v>45849</v>
      </c>
      <c r="B103" s="26" t="s">
        <v>206</v>
      </c>
      <c r="C103" s="97" t="s">
        <v>17</v>
      </c>
      <c r="D103" s="107" t="s">
        <v>406</v>
      </c>
      <c r="E103" s="169">
        <v>-535.1</v>
      </c>
      <c r="F103" s="27" t="s">
        <v>8</v>
      </c>
      <c r="G103" s="41" t="s">
        <v>68</v>
      </c>
      <c r="H103" s="143"/>
    </row>
    <row r="104" spans="1:8" s="139" customFormat="1" x14ac:dyDescent="0.3">
      <c r="A104" s="135">
        <v>45853</v>
      </c>
      <c r="B104" s="2" t="s">
        <v>206</v>
      </c>
      <c r="C104" s="12" t="s">
        <v>6</v>
      </c>
      <c r="D104" s="4" t="s">
        <v>566</v>
      </c>
      <c r="E104" s="10">
        <v>-2012.45</v>
      </c>
      <c r="F104" s="13" t="s">
        <v>8</v>
      </c>
      <c r="G104" s="9" t="s">
        <v>46</v>
      </c>
    </row>
    <row r="105" spans="1:8" s="139" customFormat="1" x14ac:dyDescent="0.3">
      <c r="A105" s="182">
        <v>45853</v>
      </c>
      <c r="B105" s="23" t="s">
        <v>206</v>
      </c>
      <c r="C105" s="109" t="s">
        <v>6</v>
      </c>
      <c r="D105" s="108" t="s">
        <v>92</v>
      </c>
      <c r="E105" s="200">
        <v>-171.1</v>
      </c>
      <c r="F105" s="110" t="s">
        <v>8</v>
      </c>
      <c r="G105" s="208" t="s">
        <v>29</v>
      </c>
    </row>
    <row r="106" spans="1:8" s="139" customFormat="1" x14ac:dyDescent="0.3">
      <c r="A106" s="182">
        <v>45853</v>
      </c>
      <c r="B106" s="23" t="s">
        <v>206</v>
      </c>
      <c r="C106" s="109" t="s">
        <v>44</v>
      </c>
      <c r="D106" s="108" t="s">
        <v>92</v>
      </c>
      <c r="E106" s="200">
        <v>-171.1</v>
      </c>
      <c r="F106" s="110" t="s">
        <v>8</v>
      </c>
      <c r="G106" s="208" t="s">
        <v>29</v>
      </c>
    </row>
    <row r="107" spans="1:8" s="139" customFormat="1" x14ac:dyDescent="0.3">
      <c r="A107" s="182">
        <v>45853</v>
      </c>
      <c r="B107" s="23" t="s">
        <v>206</v>
      </c>
      <c r="C107" s="109" t="s">
        <v>13</v>
      </c>
      <c r="D107" s="108" t="s">
        <v>92</v>
      </c>
      <c r="E107" s="200">
        <v>-171.1</v>
      </c>
      <c r="F107" s="110" t="s">
        <v>8</v>
      </c>
      <c r="G107" s="208" t="s">
        <v>29</v>
      </c>
    </row>
    <row r="108" spans="1:8" s="139" customFormat="1" x14ac:dyDescent="0.3">
      <c r="A108" s="182">
        <v>45853</v>
      </c>
      <c r="B108" s="23" t="s">
        <v>206</v>
      </c>
      <c r="C108" s="109" t="s">
        <v>648</v>
      </c>
      <c r="D108" s="108" t="s">
        <v>92</v>
      </c>
      <c r="E108" s="200">
        <v>-171.1</v>
      </c>
      <c r="F108" s="110" t="s">
        <v>8</v>
      </c>
      <c r="G108" s="208" t="s">
        <v>29</v>
      </c>
    </row>
    <row r="109" spans="1:8" s="139" customFormat="1" x14ac:dyDescent="0.3">
      <c r="A109" s="135">
        <v>45853</v>
      </c>
      <c r="B109" s="2" t="s">
        <v>206</v>
      </c>
      <c r="C109" s="4" t="s">
        <v>31</v>
      </c>
      <c r="D109" s="12" t="s">
        <v>92</v>
      </c>
      <c r="E109" s="10">
        <v>-171.1</v>
      </c>
      <c r="F109" s="13" t="s">
        <v>8</v>
      </c>
      <c r="G109" s="82" t="s">
        <v>29</v>
      </c>
    </row>
    <row r="110" spans="1:8" s="139" customFormat="1" x14ac:dyDescent="0.3">
      <c r="A110" s="135">
        <v>45853</v>
      </c>
      <c r="B110" s="2" t="s">
        <v>206</v>
      </c>
      <c r="C110" s="4" t="s">
        <v>64</v>
      </c>
      <c r="D110" s="12" t="s">
        <v>92</v>
      </c>
      <c r="E110" s="10">
        <v>-171.1</v>
      </c>
      <c r="F110" s="13" t="s">
        <v>8</v>
      </c>
      <c r="G110" s="82" t="s">
        <v>29</v>
      </c>
    </row>
    <row r="111" spans="1:8" s="139" customFormat="1" x14ac:dyDescent="0.3">
      <c r="A111" s="135">
        <v>45853</v>
      </c>
      <c r="B111" s="2" t="s">
        <v>206</v>
      </c>
      <c r="C111" s="6" t="s">
        <v>17</v>
      </c>
      <c r="D111" s="12" t="s">
        <v>92</v>
      </c>
      <c r="E111" s="10">
        <v>-171.1</v>
      </c>
      <c r="F111" s="13" t="s">
        <v>8</v>
      </c>
      <c r="G111" s="82" t="s">
        <v>29</v>
      </c>
    </row>
    <row r="112" spans="1:8" s="139" customFormat="1" x14ac:dyDescent="0.3">
      <c r="A112" s="135">
        <v>45853</v>
      </c>
      <c r="B112" s="2" t="s">
        <v>206</v>
      </c>
      <c r="C112" s="6" t="s">
        <v>647</v>
      </c>
      <c r="D112" s="12" t="s">
        <v>92</v>
      </c>
      <c r="E112" s="10">
        <v>-171.1</v>
      </c>
      <c r="F112" s="13" t="s">
        <v>8</v>
      </c>
      <c r="G112" s="82" t="s">
        <v>29</v>
      </c>
    </row>
    <row r="113" spans="1:7" s="139" customFormat="1" x14ac:dyDescent="0.3">
      <c r="A113" s="135">
        <v>45853</v>
      </c>
      <c r="B113" s="2" t="s">
        <v>206</v>
      </c>
      <c r="C113" s="6" t="s">
        <v>30</v>
      </c>
      <c r="D113" s="12" t="s">
        <v>92</v>
      </c>
      <c r="E113" s="10">
        <v>-171.1</v>
      </c>
      <c r="F113" s="13" t="s">
        <v>8</v>
      </c>
      <c r="G113" s="82" t="s">
        <v>29</v>
      </c>
    </row>
    <row r="114" spans="1:7" s="139" customFormat="1" x14ac:dyDescent="0.3">
      <c r="A114" s="135">
        <v>45853</v>
      </c>
      <c r="B114" s="2" t="s">
        <v>206</v>
      </c>
      <c r="C114" s="6" t="s">
        <v>93</v>
      </c>
      <c r="D114" s="12" t="s">
        <v>92</v>
      </c>
      <c r="E114" s="10">
        <v>-171.1</v>
      </c>
      <c r="F114" s="13" t="s">
        <v>8</v>
      </c>
      <c r="G114" s="82" t="s">
        <v>29</v>
      </c>
    </row>
    <row r="115" spans="1:7" s="139" customFormat="1" x14ac:dyDescent="0.3">
      <c r="A115" s="135">
        <v>45853</v>
      </c>
      <c r="B115" s="2" t="s">
        <v>206</v>
      </c>
      <c r="C115" s="6" t="s">
        <v>33</v>
      </c>
      <c r="D115" s="12" t="s">
        <v>92</v>
      </c>
      <c r="E115" s="10">
        <v>-171.1</v>
      </c>
      <c r="F115" s="13" t="s">
        <v>8</v>
      </c>
      <c r="G115" s="82" t="s">
        <v>29</v>
      </c>
    </row>
    <row r="116" spans="1:7" s="139" customFormat="1" x14ac:dyDescent="0.3">
      <c r="A116" s="135">
        <v>45853</v>
      </c>
      <c r="B116" s="2" t="s">
        <v>206</v>
      </c>
      <c r="C116" s="6" t="s">
        <v>94</v>
      </c>
      <c r="D116" s="12" t="s">
        <v>92</v>
      </c>
      <c r="E116" s="10">
        <v>-171.1</v>
      </c>
      <c r="F116" s="13" t="s">
        <v>8</v>
      </c>
      <c r="G116" s="82" t="s">
        <v>29</v>
      </c>
    </row>
    <row r="117" spans="1:7" s="139" customFormat="1" x14ac:dyDescent="0.3">
      <c r="A117" s="135">
        <v>45853</v>
      </c>
      <c r="B117" s="2" t="s">
        <v>206</v>
      </c>
      <c r="C117" s="6" t="s">
        <v>32</v>
      </c>
      <c r="D117" s="12" t="s">
        <v>92</v>
      </c>
      <c r="E117" s="10">
        <v>-171.1</v>
      </c>
      <c r="F117" s="13" t="s">
        <v>8</v>
      </c>
      <c r="G117" s="82" t="s">
        <v>29</v>
      </c>
    </row>
    <row r="118" spans="1:7" s="139" customFormat="1" x14ac:dyDescent="0.3">
      <c r="A118" s="135">
        <v>45853</v>
      </c>
      <c r="B118" s="2" t="s">
        <v>206</v>
      </c>
      <c r="C118" s="6" t="s">
        <v>34</v>
      </c>
      <c r="D118" s="12" t="s">
        <v>92</v>
      </c>
      <c r="E118" s="10">
        <v>-171.1</v>
      </c>
      <c r="F118" s="13" t="s">
        <v>8</v>
      </c>
      <c r="G118" s="82" t="s">
        <v>29</v>
      </c>
    </row>
    <row r="119" spans="1:7" s="139" customFormat="1" x14ac:dyDescent="0.3">
      <c r="A119" s="135">
        <v>45856</v>
      </c>
      <c r="B119" s="2" t="s">
        <v>206</v>
      </c>
      <c r="C119" s="15" t="s">
        <v>64</v>
      </c>
      <c r="D119" s="12" t="s">
        <v>95</v>
      </c>
      <c r="E119" s="10">
        <v>-768.94</v>
      </c>
      <c r="F119" s="5" t="s">
        <v>8</v>
      </c>
      <c r="G119" s="82" t="s">
        <v>39</v>
      </c>
    </row>
    <row r="120" spans="1:7" s="139" customFormat="1" x14ac:dyDescent="0.3">
      <c r="A120" s="135">
        <v>45854</v>
      </c>
      <c r="B120" s="2" t="s">
        <v>206</v>
      </c>
      <c r="C120" s="12" t="s">
        <v>6</v>
      </c>
      <c r="D120" s="4" t="s">
        <v>523</v>
      </c>
      <c r="E120" s="40">
        <v>-6748.2</v>
      </c>
      <c r="F120" s="13" t="s">
        <v>8</v>
      </c>
      <c r="G120" s="5" t="s">
        <v>97</v>
      </c>
    </row>
    <row r="121" spans="1:7" s="139" customFormat="1" x14ac:dyDescent="0.3">
      <c r="A121" s="135">
        <v>45856</v>
      </c>
      <c r="B121" s="2" t="s">
        <v>206</v>
      </c>
      <c r="C121" s="12" t="s">
        <v>25</v>
      </c>
      <c r="D121" s="4" t="s">
        <v>529</v>
      </c>
      <c r="E121" s="40">
        <v>-553.59</v>
      </c>
      <c r="F121" s="13" t="s">
        <v>8</v>
      </c>
      <c r="G121" s="5" t="s">
        <v>55</v>
      </c>
    </row>
    <row r="122" spans="1:7" s="139" customFormat="1" x14ac:dyDescent="0.3">
      <c r="A122" s="135">
        <v>45856</v>
      </c>
      <c r="B122" s="2" t="s">
        <v>206</v>
      </c>
      <c r="C122" s="12" t="s">
        <v>25</v>
      </c>
      <c r="D122" s="4" t="s">
        <v>644</v>
      </c>
      <c r="E122" s="40">
        <v>-916.89</v>
      </c>
      <c r="F122" s="13" t="s">
        <v>8</v>
      </c>
      <c r="G122" s="5" t="s">
        <v>150</v>
      </c>
    </row>
    <row r="123" spans="1:7" s="139" customFormat="1" x14ac:dyDescent="0.3">
      <c r="A123" s="135">
        <v>45855</v>
      </c>
      <c r="B123" s="2" t="s">
        <v>206</v>
      </c>
      <c r="C123" s="12" t="s">
        <v>6</v>
      </c>
      <c r="D123" s="4" t="s">
        <v>98</v>
      </c>
      <c r="E123" s="10">
        <v>-138.56</v>
      </c>
      <c r="F123" s="13" t="s">
        <v>8</v>
      </c>
      <c r="G123" s="5" t="s">
        <v>99</v>
      </c>
    </row>
    <row r="124" spans="1:7" s="139" customFormat="1" x14ac:dyDescent="0.3">
      <c r="A124" s="135">
        <v>45855</v>
      </c>
      <c r="B124" s="2" t="s">
        <v>206</v>
      </c>
      <c r="C124" s="12" t="s">
        <v>6</v>
      </c>
      <c r="D124" s="4" t="s">
        <v>100</v>
      </c>
      <c r="E124" s="10">
        <v>-138.56</v>
      </c>
      <c r="F124" s="13" t="s">
        <v>8</v>
      </c>
      <c r="G124" s="5" t="s">
        <v>99</v>
      </c>
    </row>
    <row r="125" spans="1:7" s="139" customFormat="1" x14ac:dyDescent="0.3">
      <c r="A125" s="135">
        <v>45855</v>
      </c>
      <c r="B125" s="2" t="s">
        <v>206</v>
      </c>
      <c r="C125" s="12" t="s">
        <v>6</v>
      </c>
      <c r="D125" s="4" t="s">
        <v>101</v>
      </c>
      <c r="E125" s="10">
        <v>-138.56</v>
      </c>
      <c r="F125" s="13" t="s">
        <v>8</v>
      </c>
      <c r="G125" s="5" t="s">
        <v>99</v>
      </c>
    </row>
    <row r="126" spans="1:7" s="139" customFormat="1" x14ac:dyDescent="0.3">
      <c r="A126" s="135">
        <v>45855</v>
      </c>
      <c r="B126" s="2" t="s">
        <v>206</v>
      </c>
      <c r="C126" s="12" t="s">
        <v>6</v>
      </c>
      <c r="D126" s="4" t="s">
        <v>102</v>
      </c>
      <c r="E126" s="10">
        <v>-138.56</v>
      </c>
      <c r="F126" s="13" t="s">
        <v>8</v>
      </c>
      <c r="G126" s="5" t="s">
        <v>99</v>
      </c>
    </row>
    <row r="127" spans="1:7" s="139" customFormat="1" x14ac:dyDescent="0.3">
      <c r="A127" s="135">
        <v>45853</v>
      </c>
      <c r="B127" s="2" t="s">
        <v>206</v>
      </c>
      <c r="C127" s="3" t="s">
        <v>32</v>
      </c>
      <c r="D127" s="12" t="s">
        <v>103</v>
      </c>
      <c r="E127" s="8">
        <v>-261.68</v>
      </c>
      <c r="F127" s="5" t="s">
        <v>8</v>
      </c>
      <c r="G127" s="5" t="s">
        <v>68</v>
      </c>
    </row>
    <row r="128" spans="1:7" s="139" customFormat="1" x14ac:dyDescent="0.3">
      <c r="A128" s="135">
        <v>45853</v>
      </c>
      <c r="B128" s="2" t="s">
        <v>206</v>
      </c>
      <c r="C128" s="3" t="s">
        <v>104</v>
      </c>
      <c r="D128" s="12" t="s">
        <v>103</v>
      </c>
      <c r="E128" s="10">
        <v>-300</v>
      </c>
      <c r="F128" s="5" t="s">
        <v>8</v>
      </c>
      <c r="G128" s="5" t="s">
        <v>68</v>
      </c>
    </row>
    <row r="129" spans="1:7" s="139" customFormat="1" x14ac:dyDescent="0.3">
      <c r="A129" s="135">
        <v>45853</v>
      </c>
      <c r="B129" s="2" t="s">
        <v>206</v>
      </c>
      <c r="C129" s="3" t="s">
        <v>35</v>
      </c>
      <c r="D129" s="12" t="s">
        <v>103</v>
      </c>
      <c r="E129" s="10">
        <v>-300</v>
      </c>
      <c r="F129" s="5" t="s">
        <v>8</v>
      </c>
      <c r="G129" s="5" t="s">
        <v>68</v>
      </c>
    </row>
    <row r="130" spans="1:7" s="139" customFormat="1" x14ac:dyDescent="0.3">
      <c r="A130" s="135">
        <v>45853</v>
      </c>
      <c r="B130" s="2" t="s">
        <v>206</v>
      </c>
      <c r="C130" s="3" t="s">
        <v>105</v>
      </c>
      <c r="D130" s="12" t="s">
        <v>103</v>
      </c>
      <c r="E130" s="10">
        <v>-300</v>
      </c>
      <c r="F130" s="5" t="s">
        <v>8</v>
      </c>
      <c r="G130" s="5" t="s">
        <v>68</v>
      </c>
    </row>
    <row r="131" spans="1:7" s="139" customFormat="1" x14ac:dyDescent="0.3">
      <c r="A131" s="135">
        <v>45853</v>
      </c>
      <c r="B131" s="2" t="s">
        <v>206</v>
      </c>
      <c r="C131" s="3" t="s">
        <v>106</v>
      </c>
      <c r="D131" s="12" t="s">
        <v>103</v>
      </c>
      <c r="E131" s="8">
        <v>-294.32</v>
      </c>
      <c r="F131" s="5" t="s">
        <v>8</v>
      </c>
      <c r="G131" s="5" t="s">
        <v>68</v>
      </c>
    </row>
    <row r="132" spans="1:7" s="139" customFormat="1" x14ac:dyDescent="0.3">
      <c r="A132" s="135">
        <v>45853</v>
      </c>
      <c r="B132" s="2" t="s">
        <v>206</v>
      </c>
      <c r="C132" s="3" t="s">
        <v>71</v>
      </c>
      <c r="D132" s="12" t="s">
        <v>103</v>
      </c>
      <c r="E132" s="10">
        <v>-300</v>
      </c>
      <c r="F132" s="5" t="s">
        <v>8</v>
      </c>
      <c r="G132" s="5" t="s">
        <v>68</v>
      </c>
    </row>
    <row r="133" spans="1:7" s="139" customFormat="1" x14ac:dyDescent="0.3">
      <c r="A133" s="135">
        <v>45853</v>
      </c>
      <c r="B133" s="2" t="s">
        <v>206</v>
      </c>
      <c r="C133" s="3" t="s">
        <v>107</v>
      </c>
      <c r="D133" s="12" t="s">
        <v>103</v>
      </c>
      <c r="E133" s="10">
        <v>-300</v>
      </c>
      <c r="F133" s="5" t="s">
        <v>8</v>
      </c>
      <c r="G133" s="5" t="s">
        <v>68</v>
      </c>
    </row>
    <row r="134" spans="1:7" s="139" customFormat="1" x14ac:dyDescent="0.3">
      <c r="A134" s="135">
        <v>45853</v>
      </c>
      <c r="B134" s="2" t="s">
        <v>206</v>
      </c>
      <c r="C134" s="3" t="s">
        <v>108</v>
      </c>
      <c r="D134" s="12" t="s">
        <v>103</v>
      </c>
      <c r="E134" s="10">
        <v>-350</v>
      </c>
      <c r="F134" s="5" t="s">
        <v>8</v>
      </c>
      <c r="G134" s="5" t="s">
        <v>68</v>
      </c>
    </row>
    <row r="135" spans="1:7" s="139" customFormat="1" x14ac:dyDescent="0.3">
      <c r="A135" s="135">
        <v>45853</v>
      </c>
      <c r="B135" s="2" t="s">
        <v>206</v>
      </c>
      <c r="C135" s="3" t="s">
        <v>109</v>
      </c>
      <c r="D135" s="12" t="s">
        <v>103</v>
      </c>
      <c r="E135" s="10">
        <v>-373.51</v>
      </c>
      <c r="F135" s="5" t="s">
        <v>8</v>
      </c>
      <c r="G135" s="5" t="s">
        <v>68</v>
      </c>
    </row>
    <row r="136" spans="1:7" s="139" customFormat="1" x14ac:dyDescent="0.3">
      <c r="A136" s="135">
        <v>45855</v>
      </c>
      <c r="B136" s="2" t="s">
        <v>206</v>
      </c>
      <c r="C136" s="12" t="s">
        <v>13</v>
      </c>
      <c r="D136" s="4" t="s">
        <v>526</v>
      </c>
      <c r="E136" s="10">
        <v>-4169.6000000000004</v>
      </c>
      <c r="F136" s="13" t="s">
        <v>8</v>
      </c>
      <c r="G136" s="5" t="s">
        <v>73</v>
      </c>
    </row>
    <row r="137" spans="1:7" s="139" customFormat="1" x14ac:dyDescent="0.3">
      <c r="A137" s="135">
        <v>45855</v>
      </c>
      <c r="B137" s="2" t="s">
        <v>206</v>
      </c>
      <c r="C137" s="12" t="s">
        <v>13</v>
      </c>
      <c r="D137" s="4" t="s">
        <v>527</v>
      </c>
      <c r="E137" s="10">
        <v>-4169.6000000000004</v>
      </c>
      <c r="F137" s="13" t="s">
        <v>8</v>
      </c>
      <c r="G137" s="5" t="s">
        <v>73</v>
      </c>
    </row>
    <row r="138" spans="1:7" s="139" customFormat="1" x14ac:dyDescent="0.3">
      <c r="A138" s="135">
        <v>45855</v>
      </c>
      <c r="B138" s="2" t="s">
        <v>206</v>
      </c>
      <c r="C138" s="12" t="s">
        <v>13</v>
      </c>
      <c r="D138" s="4" t="s">
        <v>528</v>
      </c>
      <c r="E138" s="10">
        <v>-4276.45</v>
      </c>
      <c r="F138" s="13" t="s">
        <v>8</v>
      </c>
      <c r="G138" s="5" t="s">
        <v>73</v>
      </c>
    </row>
    <row r="139" spans="1:7" s="139" customFormat="1" x14ac:dyDescent="0.3">
      <c r="A139" s="135">
        <v>45859</v>
      </c>
      <c r="B139" s="2" t="s">
        <v>206</v>
      </c>
      <c r="C139" s="12" t="s">
        <v>17</v>
      </c>
      <c r="D139" s="4" t="s">
        <v>18</v>
      </c>
      <c r="E139" s="10">
        <v>-16200</v>
      </c>
      <c r="F139" s="13" t="s">
        <v>8</v>
      </c>
      <c r="G139" s="5" t="s">
        <v>19</v>
      </c>
    </row>
    <row r="140" spans="1:7" s="139" customFormat="1" x14ac:dyDescent="0.3">
      <c r="A140" s="135">
        <v>45855</v>
      </c>
      <c r="B140" s="2" t="s">
        <v>206</v>
      </c>
      <c r="C140" s="12" t="s">
        <v>17</v>
      </c>
      <c r="D140" s="4" t="s">
        <v>528</v>
      </c>
      <c r="E140" s="10">
        <v>-6435.72</v>
      </c>
      <c r="F140" s="13" t="s">
        <v>8</v>
      </c>
      <c r="G140" s="5" t="s">
        <v>73</v>
      </c>
    </row>
    <row r="141" spans="1:7" s="151" customFormat="1" x14ac:dyDescent="0.3">
      <c r="A141" s="135">
        <v>45855</v>
      </c>
      <c r="B141" s="2" t="s">
        <v>206</v>
      </c>
      <c r="C141" s="17" t="s">
        <v>650</v>
      </c>
      <c r="D141" s="4" t="s">
        <v>653</v>
      </c>
      <c r="E141" s="243">
        <v>-223.28</v>
      </c>
      <c r="F141" s="13" t="s">
        <v>8</v>
      </c>
      <c r="G141" s="5" t="s">
        <v>111</v>
      </c>
    </row>
    <row r="142" spans="1:7" s="151" customFormat="1" x14ac:dyDescent="0.3">
      <c r="A142" s="135">
        <v>45855</v>
      </c>
      <c r="B142" s="2" t="s">
        <v>206</v>
      </c>
      <c r="C142" s="17" t="s">
        <v>759</v>
      </c>
      <c r="D142" s="4" t="s">
        <v>653</v>
      </c>
      <c r="E142" s="93">
        <v>-714.08</v>
      </c>
      <c r="F142" s="13" t="s">
        <v>8</v>
      </c>
      <c r="G142" s="5" t="s">
        <v>111</v>
      </c>
    </row>
    <row r="143" spans="1:7" s="151" customFormat="1" x14ac:dyDescent="0.3">
      <c r="A143" s="135">
        <v>45855</v>
      </c>
      <c r="B143" s="2" t="s">
        <v>206</v>
      </c>
      <c r="C143" s="17" t="s">
        <v>35</v>
      </c>
      <c r="D143" s="4" t="s">
        <v>653</v>
      </c>
      <c r="E143" s="93">
        <v>-247.03</v>
      </c>
      <c r="F143" s="13" t="s">
        <v>8</v>
      </c>
      <c r="G143" s="5" t="s">
        <v>111</v>
      </c>
    </row>
    <row r="144" spans="1:7" s="151" customFormat="1" x14ac:dyDescent="0.3">
      <c r="A144" s="135">
        <v>45855</v>
      </c>
      <c r="B144" s="2" t="s">
        <v>206</v>
      </c>
      <c r="C144" s="17" t="s">
        <v>88</v>
      </c>
      <c r="D144" s="4" t="s">
        <v>653</v>
      </c>
      <c r="E144" s="93">
        <v>-853.8</v>
      </c>
      <c r="F144" s="13" t="s">
        <v>8</v>
      </c>
      <c r="G144" s="5" t="s">
        <v>111</v>
      </c>
    </row>
    <row r="145" spans="1:7" s="151" customFormat="1" x14ac:dyDescent="0.3">
      <c r="A145" s="135">
        <v>45855</v>
      </c>
      <c r="B145" s="2" t="s">
        <v>206</v>
      </c>
      <c r="C145" s="17" t="s">
        <v>651</v>
      </c>
      <c r="D145" s="4" t="s">
        <v>653</v>
      </c>
      <c r="E145" s="93">
        <v>-731.98</v>
      </c>
      <c r="F145" s="13" t="s">
        <v>8</v>
      </c>
      <c r="G145" s="5" t="s">
        <v>111</v>
      </c>
    </row>
    <row r="146" spans="1:7" s="151" customFormat="1" x14ac:dyDescent="0.3">
      <c r="A146" s="135">
        <v>45855</v>
      </c>
      <c r="B146" s="2" t="s">
        <v>206</v>
      </c>
      <c r="C146" s="17" t="s">
        <v>33</v>
      </c>
      <c r="D146" s="4" t="s">
        <v>653</v>
      </c>
      <c r="E146" s="93">
        <v>-405.11</v>
      </c>
      <c r="F146" s="13" t="s">
        <v>8</v>
      </c>
      <c r="G146" s="5" t="s">
        <v>111</v>
      </c>
    </row>
    <row r="147" spans="1:7" s="151" customFormat="1" x14ac:dyDescent="0.3">
      <c r="A147" s="135">
        <v>45855</v>
      </c>
      <c r="B147" s="2" t="s">
        <v>206</v>
      </c>
      <c r="C147" s="17" t="s">
        <v>71</v>
      </c>
      <c r="D147" s="4" t="s">
        <v>653</v>
      </c>
      <c r="E147" s="93">
        <v>-455.06</v>
      </c>
      <c r="F147" s="13" t="s">
        <v>8</v>
      </c>
      <c r="G147" s="5" t="s">
        <v>111</v>
      </c>
    </row>
    <row r="148" spans="1:7" s="151" customFormat="1" x14ac:dyDescent="0.3">
      <c r="A148" s="168">
        <v>45855</v>
      </c>
      <c r="B148" s="26" t="s">
        <v>206</v>
      </c>
      <c r="C148" s="244" t="s">
        <v>652</v>
      </c>
      <c r="D148" s="107" t="s">
        <v>653</v>
      </c>
      <c r="E148" s="245">
        <v>-505</v>
      </c>
      <c r="F148" s="27" t="s">
        <v>8</v>
      </c>
      <c r="G148" s="41" t="s">
        <v>111</v>
      </c>
    </row>
    <row r="149" spans="1:7" s="151" customFormat="1" x14ac:dyDescent="0.3">
      <c r="A149" s="135">
        <v>45855</v>
      </c>
      <c r="B149" s="2" t="s">
        <v>206</v>
      </c>
      <c r="C149" s="17" t="s">
        <v>108</v>
      </c>
      <c r="D149" s="4" t="s">
        <v>653</v>
      </c>
      <c r="E149" s="93">
        <v>-47.48</v>
      </c>
      <c r="F149" s="13" t="s">
        <v>8</v>
      </c>
      <c r="G149" s="5" t="s">
        <v>111</v>
      </c>
    </row>
    <row r="150" spans="1:7" s="250" customFormat="1" x14ac:dyDescent="0.3">
      <c r="A150" s="256">
        <v>45866</v>
      </c>
      <c r="B150" s="257" t="s">
        <v>206</v>
      </c>
      <c r="C150" s="290" t="s">
        <v>6</v>
      </c>
      <c r="D150" s="291" t="s">
        <v>112</v>
      </c>
      <c r="E150" s="258">
        <v>-35714.57</v>
      </c>
      <c r="F150" s="270" t="s">
        <v>8</v>
      </c>
      <c r="G150" s="266" t="s">
        <v>46</v>
      </c>
    </row>
    <row r="151" spans="1:7" s="139" customFormat="1" x14ac:dyDescent="0.3">
      <c r="A151" s="135">
        <v>45855</v>
      </c>
      <c r="B151" s="2" t="s">
        <v>206</v>
      </c>
      <c r="C151" s="12" t="s">
        <v>6</v>
      </c>
      <c r="D151" s="4" t="s">
        <v>114</v>
      </c>
      <c r="E151" s="10">
        <v>-11371.26</v>
      </c>
      <c r="F151" s="13" t="s">
        <v>8</v>
      </c>
      <c r="G151" s="5" t="s">
        <v>51</v>
      </c>
    </row>
    <row r="152" spans="1:7" s="151" customFormat="1" x14ac:dyDescent="0.3">
      <c r="A152" s="135">
        <v>45862</v>
      </c>
      <c r="B152" s="2" t="s">
        <v>206</v>
      </c>
      <c r="C152" s="17" t="s">
        <v>650</v>
      </c>
      <c r="D152" s="115" t="s">
        <v>656</v>
      </c>
      <c r="E152" s="93">
        <v>-403.79</v>
      </c>
      <c r="F152" s="13" t="s">
        <v>8</v>
      </c>
      <c r="G152" s="5" t="s">
        <v>51</v>
      </c>
    </row>
    <row r="153" spans="1:7" s="151" customFormat="1" ht="27.6" x14ac:dyDescent="0.3">
      <c r="A153" s="135">
        <v>45862</v>
      </c>
      <c r="B153" s="2" t="s">
        <v>206</v>
      </c>
      <c r="C153" s="17" t="s">
        <v>649</v>
      </c>
      <c r="D153" s="115" t="s">
        <v>656</v>
      </c>
      <c r="E153" s="93">
        <v>-930.47</v>
      </c>
      <c r="F153" s="13" t="s">
        <v>8</v>
      </c>
      <c r="G153" s="5" t="s">
        <v>51</v>
      </c>
    </row>
    <row r="154" spans="1:7" s="151" customFormat="1" x14ac:dyDescent="0.3">
      <c r="A154" s="135">
        <v>45862</v>
      </c>
      <c r="B154" s="2" t="s">
        <v>206</v>
      </c>
      <c r="C154" s="17" t="s">
        <v>651</v>
      </c>
      <c r="D154" s="115" t="s">
        <v>656</v>
      </c>
      <c r="E154" s="93">
        <v>-333.56</v>
      </c>
      <c r="F154" s="13" t="s">
        <v>8</v>
      </c>
      <c r="G154" s="5" t="s">
        <v>51</v>
      </c>
    </row>
    <row r="155" spans="1:7" s="151" customFormat="1" x14ac:dyDescent="0.3">
      <c r="A155" s="135">
        <v>45862</v>
      </c>
      <c r="B155" s="2" t="s">
        <v>206</v>
      </c>
      <c r="C155" s="17" t="s">
        <v>66</v>
      </c>
      <c r="D155" s="115" t="s">
        <v>656</v>
      </c>
      <c r="E155" s="93">
        <v>-158</v>
      </c>
      <c r="F155" s="13" t="s">
        <v>8</v>
      </c>
      <c r="G155" s="5" t="s">
        <v>51</v>
      </c>
    </row>
    <row r="156" spans="1:7" s="151" customFormat="1" x14ac:dyDescent="0.3">
      <c r="A156" s="135">
        <v>45862</v>
      </c>
      <c r="B156" s="2" t="s">
        <v>206</v>
      </c>
      <c r="C156" s="17" t="s">
        <v>655</v>
      </c>
      <c r="D156" s="115" t="s">
        <v>656</v>
      </c>
      <c r="E156" s="93">
        <v>-105.34</v>
      </c>
      <c r="F156" s="13" t="s">
        <v>8</v>
      </c>
      <c r="G156" s="5" t="s">
        <v>51</v>
      </c>
    </row>
    <row r="157" spans="1:7" s="151" customFormat="1" x14ac:dyDescent="0.3">
      <c r="A157" s="135">
        <v>45862</v>
      </c>
      <c r="B157" s="2" t="s">
        <v>206</v>
      </c>
      <c r="C157" s="17" t="s">
        <v>6</v>
      </c>
      <c r="D157" s="115" t="s">
        <v>656</v>
      </c>
      <c r="E157" s="93">
        <v>-509.12</v>
      </c>
      <c r="F157" s="13" t="s">
        <v>8</v>
      </c>
      <c r="G157" s="5" t="s">
        <v>51</v>
      </c>
    </row>
    <row r="158" spans="1:7" s="151" customFormat="1" x14ac:dyDescent="0.3">
      <c r="A158" s="135">
        <v>45862</v>
      </c>
      <c r="B158" s="2" t="s">
        <v>206</v>
      </c>
      <c r="C158" s="17" t="s">
        <v>13</v>
      </c>
      <c r="D158" s="115" t="s">
        <v>656</v>
      </c>
      <c r="E158" s="93">
        <v>-1053.3599999999999</v>
      </c>
      <c r="F158" s="13" t="s">
        <v>8</v>
      </c>
      <c r="G158" s="5" t="s">
        <v>51</v>
      </c>
    </row>
    <row r="159" spans="1:7" s="151" customFormat="1" x14ac:dyDescent="0.3">
      <c r="A159" s="135">
        <v>45862</v>
      </c>
      <c r="B159" s="2" t="s">
        <v>206</v>
      </c>
      <c r="C159" s="17" t="s">
        <v>652</v>
      </c>
      <c r="D159" s="4" t="s">
        <v>656</v>
      </c>
      <c r="E159" s="93">
        <v>-70.22</v>
      </c>
      <c r="F159" s="13" t="s">
        <v>8</v>
      </c>
      <c r="G159" s="5" t="s">
        <v>51</v>
      </c>
    </row>
    <row r="160" spans="1:7" s="151" customFormat="1" x14ac:dyDescent="0.3">
      <c r="A160" s="135">
        <v>45862</v>
      </c>
      <c r="B160" s="26" t="s">
        <v>206</v>
      </c>
      <c r="C160" s="17" t="s">
        <v>107</v>
      </c>
      <c r="D160" s="4" t="s">
        <v>656</v>
      </c>
      <c r="E160" s="93">
        <v>-245.78</v>
      </c>
      <c r="F160" s="13" t="s">
        <v>8</v>
      </c>
      <c r="G160" s="41" t="s">
        <v>51</v>
      </c>
    </row>
    <row r="161" spans="1:7" s="139" customFormat="1" x14ac:dyDescent="0.3">
      <c r="A161" s="135">
        <v>45855</v>
      </c>
      <c r="B161" s="2" t="s">
        <v>206</v>
      </c>
      <c r="C161" s="12" t="s">
        <v>17</v>
      </c>
      <c r="D161" s="4" t="s">
        <v>116</v>
      </c>
      <c r="E161" s="10">
        <v>-5300</v>
      </c>
      <c r="F161" s="13" t="s">
        <v>8</v>
      </c>
      <c r="G161" s="5" t="s">
        <v>53</v>
      </c>
    </row>
    <row r="162" spans="1:7" s="139" customFormat="1" x14ac:dyDescent="0.3">
      <c r="A162" s="135">
        <v>45856</v>
      </c>
      <c r="B162" s="2" t="s">
        <v>206</v>
      </c>
      <c r="C162" s="6" t="s">
        <v>13</v>
      </c>
      <c r="D162" s="4" t="s">
        <v>532</v>
      </c>
      <c r="E162" s="10">
        <v>-660.75</v>
      </c>
      <c r="F162" s="13" t="s">
        <v>8</v>
      </c>
      <c r="G162" s="9" t="s">
        <v>46</v>
      </c>
    </row>
    <row r="163" spans="1:7" s="139" customFormat="1" x14ac:dyDescent="0.3">
      <c r="A163" s="135">
        <v>45856</v>
      </c>
      <c r="B163" s="2" t="s">
        <v>206</v>
      </c>
      <c r="C163" s="6" t="s">
        <v>13</v>
      </c>
      <c r="D163" s="4" t="s">
        <v>531</v>
      </c>
      <c r="E163" s="10">
        <v>-5173.13</v>
      </c>
      <c r="F163" s="13" t="s">
        <v>8</v>
      </c>
      <c r="G163" s="9" t="s">
        <v>46</v>
      </c>
    </row>
    <row r="164" spans="1:7" s="139" customFormat="1" x14ac:dyDescent="0.3">
      <c r="A164" s="135">
        <v>45859</v>
      </c>
      <c r="B164" s="2" t="s">
        <v>206</v>
      </c>
      <c r="C164" s="12" t="s">
        <v>6</v>
      </c>
      <c r="D164" s="4" t="s">
        <v>706</v>
      </c>
      <c r="E164" s="10">
        <v>-15860.65</v>
      </c>
      <c r="F164" s="13" t="s">
        <v>8</v>
      </c>
      <c r="G164" s="5" t="s">
        <v>119</v>
      </c>
    </row>
    <row r="165" spans="1:7" s="139" customFormat="1" x14ac:dyDescent="0.3">
      <c r="A165" s="135">
        <v>45862</v>
      </c>
      <c r="B165" s="2" t="s">
        <v>206</v>
      </c>
      <c r="C165" s="6" t="s">
        <v>17</v>
      </c>
      <c r="D165" s="4" t="s">
        <v>120</v>
      </c>
      <c r="E165" s="8">
        <v>-711.2</v>
      </c>
      <c r="F165" s="13" t="s">
        <v>8</v>
      </c>
      <c r="G165" s="5" t="s">
        <v>19</v>
      </c>
    </row>
    <row r="166" spans="1:7" s="139" customFormat="1" x14ac:dyDescent="0.3">
      <c r="A166" s="135">
        <v>45859</v>
      </c>
      <c r="B166" s="2" t="s">
        <v>206</v>
      </c>
      <c r="C166" s="6" t="s">
        <v>17</v>
      </c>
      <c r="D166" s="4" t="s">
        <v>121</v>
      </c>
      <c r="E166" s="40">
        <v>-1046.6400000000001</v>
      </c>
      <c r="F166" s="13" t="s">
        <v>8</v>
      </c>
      <c r="G166" s="5" t="s">
        <v>68</v>
      </c>
    </row>
    <row r="167" spans="1:7" s="139" customFormat="1" x14ac:dyDescent="0.3">
      <c r="A167" s="135">
        <v>45859</v>
      </c>
      <c r="B167" s="2" t="s">
        <v>206</v>
      </c>
      <c r="C167" s="4" t="s">
        <v>6</v>
      </c>
      <c r="D167" s="4" t="s">
        <v>122</v>
      </c>
      <c r="E167" s="10">
        <v>-39.799999999999997</v>
      </c>
      <c r="F167" s="13" t="s">
        <v>8</v>
      </c>
      <c r="G167" s="5" t="s">
        <v>68</v>
      </c>
    </row>
    <row r="168" spans="1:7" s="139" customFormat="1" x14ac:dyDescent="0.3">
      <c r="A168" s="135">
        <v>45856</v>
      </c>
      <c r="B168" s="2" t="s">
        <v>206</v>
      </c>
      <c r="C168" s="12" t="s">
        <v>6</v>
      </c>
      <c r="D168" s="4" t="s">
        <v>123</v>
      </c>
      <c r="E168" s="10">
        <v>-17301.96</v>
      </c>
      <c r="F168" s="13" t="s">
        <v>8</v>
      </c>
      <c r="G168" s="105" t="s">
        <v>124</v>
      </c>
    </row>
    <row r="169" spans="1:7" s="139" customFormat="1" x14ac:dyDescent="0.3">
      <c r="A169" s="135">
        <v>45856</v>
      </c>
      <c r="B169" s="2" t="s">
        <v>206</v>
      </c>
      <c r="C169" s="6" t="s">
        <v>17</v>
      </c>
      <c r="D169" s="7" t="s">
        <v>772</v>
      </c>
      <c r="E169" s="10">
        <v>-13903.62</v>
      </c>
      <c r="F169" s="13" t="s">
        <v>8</v>
      </c>
      <c r="G169" s="105" t="s">
        <v>124</v>
      </c>
    </row>
    <row r="170" spans="1:7" s="139" customFormat="1" x14ac:dyDescent="0.3">
      <c r="A170" s="168">
        <v>45856</v>
      </c>
      <c r="B170" s="26" t="s">
        <v>206</v>
      </c>
      <c r="C170" s="12" t="s">
        <v>6</v>
      </c>
      <c r="D170" s="76" t="s">
        <v>773</v>
      </c>
      <c r="E170" s="169">
        <v>-1773.62</v>
      </c>
      <c r="F170" s="27" t="s">
        <v>8</v>
      </c>
      <c r="G170" s="180" t="s">
        <v>124</v>
      </c>
    </row>
    <row r="171" spans="1:7" s="139" customFormat="1" x14ac:dyDescent="0.3">
      <c r="A171" s="135">
        <v>45856</v>
      </c>
      <c r="B171" s="2" t="s">
        <v>206</v>
      </c>
      <c r="C171" s="14" t="s">
        <v>31</v>
      </c>
      <c r="D171" s="14" t="s">
        <v>667</v>
      </c>
      <c r="E171" s="8">
        <v>-10844.25</v>
      </c>
      <c r="F171" s="13" t="s">
        <v>8</v>
      </c>
      <c r="G171" s="105" t="s">
        <v>124</v>
      </c>
    </row>
    <row r="172" spans="1:7" s="139" customFormat="1" x14ac:dyDescent="0.3">
      <c r="A172" s="135">
        <v>45856</v>
      </c>
      <c r="B172" s="2" t="s">
        <v>206</v>
      </c>
      <c r="C172" s="14" t="s">
        <v>6</v>
      </c>
      <c r="D172" s="14" t="s">
        <v>668</v>
      </c>
      <c r="E172" s="8">
        <v>-3612.96</v>
      </c>
      <c r="F172" s="13" t="s">
        <v>8</v>
      </c>
      <c r="G172" s="105" t="s">
        <v>124</v>
      </c>
    </row>
    <row r="173" spans="1:7" s="139" customFormat="1" x14ac:dyDescent="0.3">
      <c r="A173" s="135">
        <v>45856</v>
      </c>
      <c r="B173" s="2" t="s">
        <v>206</v>
      </c>
      <c r="C173" s="14" t="s">
        <v>44</v>
      </c>
      <c r="D173" s="14" t="s">
        <v>669</v>
      </c>
      <c r="E173" s="8">
        <v>-4669.5600000000004</v>
      </c>
      <c r="F173" s="13" t="s">
        <v>8</v>
      </c>
      <c r="G173" s="105" t="s">
        <v>124</v>
      </c>
    </row>
    <row r="174" spans="1:7" s="139" customFormat="1" x14ac:dyDescent="0.3">
      <c r="A174" s="135">
        <v>45856</v>
      </c>
      <c r="B174" s="2" t="s">
        <v>206</v>
      </c>
      <c r="C174" s="14" t="s">
        <v>25</v>
      </c>
      <c r="D174" s="14" t="s">
        <v>670</v>
      </c>
      <c r="E174" s="8">
        <v>-9585.3799999999992</v>
      </c>
      <c r="F174" s="13" t="s">
        <v>8</v>
      </c>
      <c r="G174" s="105" t="s">
        <v>124</v>
      </c>
    </row>
    <row r="175" spans="1:7" s="139" customFormat="1" x14ac:dyDescent="0.3">
      <c r="A175" s="135">
        <v>45856</v>
      </c>
      <c r="B175" s="2" t="s">
        <v>206</v>
      </c>
      <c r="C175" s="14" t="s">
        <v>33</v>
      </c>
      <c r="D175" s="14" t="s">
        <v>671</v>
      </c>
      <c r="E175" s="8">
        <v>-5389.73</v>
      </c>
      <c r="F175" s="13" t="s">
        <v>8</v>
      </c>
      <c r="G175" s="105" t="s">
        <v>124</v>
      </c>
    </row>
    <row r="176" spans="1:7" s="139" customFormat="1" x14ac:dyDescent="0.3">
      <c r="A176" s="135">
        <v>45856</v>
      </c>
      <c r="B176" s="2" t="s">
        <v>206</v>
      </c>
      <c r="C176" s="14" t="s">
        <v>104</v>
      </c>
      <c r="D176" s="14" t="s">
        <v>673</v>
      </c>
      <c r="E176" s="8">
        <v>-2822.7</v>
      </c>
      <c r="F176" s="13" t="s">
        <v>8</v>
      </c>
      <c r="G176" s="105" t="s">
        <v>124</v>
      </c>
    </row>
    <row r="177" spans="1:7" s="139" customFormat="1" x14ac:dyDescent="0.3">
      <c r="A177" s="135">
        <v>45856</v>
      </c>
      <c r="B177" s="2" t="s">
        <v>206</v>
      </c>
      <c r="C177" s="14" t="s">
        <v>32</v>
      </c>
      <c r="D177" s="14" t="s">
        <v>672</v>
      </c>
      <c r="E177" s="8">
        <v>-9747.2900000000009</v>
      </c>
      <c r="F177" s="13" t="s">
        <v>8</v>
      </c>
      <c r="G177" s="105" t="s">
        <v>124</v>
      </c>
    </row>
    <row r="178" spans="1:7" s="139" customFormat="1" x14ac:dyDescent="0.3">
      <c r="A178" s="135">
        <v>45856</v>
      </c>
      <c r="B178" s="2" t="s">
        <v>206</v>
      </c>
      <c r="C178" s="14" t="s">
        <v>71</v>
      </c>
      <c r="D178" s="14" t="s">
        <v>674</v>
      </c>
      <c r="E178" s="276">
        <v>-3316.36</v>
      </c>
      <c r="F178" s="13" t="s">
        <v>8</v>
      </c>
      <c r="G178" s="105" t="s">
        <v>124</v>
      </c>
    </row>
    <row r="179" spans="1:7" s="139" customFormat="1" x14ac:dyDescent="0.3">
      <c r="A179" s="135">
        <v>45856</v>
      </c>
      <c r="B179" s="2" t="s">
        <v>206</v>
      </c>
      <c r="C179" s="14" t="s">
        <v>17</v>
      </c>
      <c r="D179" s="14" t="s">
        <v>675</v>
      </c>
      <c r="E179" s="8">
        <v>-1814.02</v>
      </c>
      <c r="F179" s="13" t="s">
        <v>8</v>
      </c>
      <c r="G179" s="105" t="s">
        <v>124</v>
      </c>
    </row>
    <row r="180" spans="1:7" s="139" customFormat="1" x14ac:dyDescent="0.3">
      <c r="A180" s="135">
        <v>45856</v>
      </c>
      <c r="B180" s="2" t="s">
        <v>206</v>
      </c>
      <c r="C180" s="14" t="s">
        <v>31</v>
      </c>
      <c r="D180" s="14" t="s">
        <v>676</v>
      </c>
      <c r="E180" s="8">
        <v>-9471.3700000000008</v>
      </c>
      <c r="F180" s="13" t="s">
        <v>8</v>
      </c>
      <c r="G180" s="105" t="s">
        <v>124</v>
      </c>
    </row>
    <row r="181" spans="1:7" s="139" customFormat="1" x14ac:dyDescent="0.3">
      <c r="A181" s="135">
        <v>45856</v>
      </c>
      <c r="B181" s="2" t="s">
        <v>206</v>
      </c>
      <c r="C181" s="14" t="s">
        <v>6</v>
      </c>
      <c r="D181" s="14" t="s">
        <v>677</v>
      </c>
      <c r="E181" s="8">
        <v>-10100.56</v>
      </c>
      <c r="F181" s="13" t="s">
        <v>8</v>
      </c>
      <c r="G181" s="105" t="s">
        <v>124</v>
      </c>
    </row>
    <row r="182" spans="1:7" s="139" customFormat="1" x14ac:dyDescent="0.3">
      <c r="A182" s="135">
        <v>45856</v>
      </c>
      <c r="B182" s="2" t="s">
        <v>206</v>
      </c>
      <c r="C182" s="14" t="s">
        <v>44</v>
      </c>
      <c r="D182" s="14" t="s">
        <v>678</v>
      </c>
      <c r="E182" s="8">
        <v>-4196.1499999999996</v>
      </c>
      <c r="F182" s="13" t="s">
        <v>8</v>
      </c>
      <c r="G182" s="105" t="s">
        <v>124</v>
      </c>
    </row>
    <row r="183" spans="1:7" s="139" customFormat="1" x14ac:dyDescent="0.3">
      <c r="A183" s="135">
        <v>45856</v>
      </c>
      <c r="B183" s="2" t="s">
        <v>206</v>
      </c>
      <c r="C183" s="14" t="s">
        <v>25</v>
      </c>
      <c r="D183" s="14" t="s">
        <v>679</v>
      </c>
      <c r="E183" s="8">
        <v>-7126.8</v>
      </c>
      <c r="F183" s="13" t="s">
        <v>8</v>
      </c>
      <c r="G183" s="105" t="s">
        <v>124</v>
      </c>
    </row>
    <row r="184" spans="1:7" s="139" customFormat="1" x14ac:dyDescent="0.3">
      <c r="A184" s="135">
        <v>45856</v>
      </c>
      <c r="B184" s="2" t="s">
        <v>206</v>
      </c>
      <c r="C184" s="14" t="s">
        <v>33</v>
      </c>
      <c r="D184" s="14" t="s">
        <v>680</v>
      </c>
      <c r="E184" s="8">
        <v>-2239.33</v>
      </c>
      <c r="F184" s="13" t="s">
        <v>8</v>
      </c>
      <c r="G184" s="105" t="s">
        <v>124</v>
      </c>
    </row>
    <row r="185" spans="1:7" s="139" customFormat="1" x14ac:dyDescent="0.3">
      <c r="A185" s="135">
        <v>45856</v>
      </c>
      <c r="B185" s="2" t="s">
        <v>206</v>
      </c>
      <c r="C185" s="14" t="s">
        <v>32</v>
      </c>
      <c r="D185" s="14" t="s">
        <v>681</v>
      </c>
      <c r="E185" s="8">
        <v>-7005.46</v>
      </c>
      <c r="F185" s="13" t="s">
        <v>8</v>
      </c>
      <c r="G185" s="105" t="s">
        <v>124</v>
      </c>
    </row>
    <row r="186" spans="1:7" s="139" customFormat="1" x14ac:dyDescent="0.3">
      <c r="A186" s="135">
        <v>45856</v>
      </c>
      <c r="B186" s="2" t="s">
        <v>206</v>
      </c>
      <c r="C186" s="14" t="s">
        <v>71</v>
      </c>
      <c r="D186" s="14" t="s">
        <v>682</v>
      </c>
      <c r="E186" s="8">
        <v>-2104.9</v>
      </c>
      <c r="F186" s="13" t="s">
        <v>8</v>
      </c>
      <c r="G186" s="105" t="s">
        <v>124</v>
      </c>
    </row>
    <row r="187" spans="1:7" s="139" customFormat="1" x14ac:dyDescent="0.3">
      <c r="A187" s="135">
        <v>45856</v>
      </c>
      <c r="B187" s="2" t="s">
        <v>206</v>
      </c>
      <c r="C187" s="14" t="s">
        <v>17</v>
      </c>
      <c r="D187" s="14" t="s">
        <v>683</v>
      </c>
      <c r="E187" s="240">
        <v>-7440.24</v>
      </c>
      <c r="F187" s="13" t="s">
        <v>8</v>
      </c>
      <c r="G187" s="105" t="s">
        <v>124</v>
      </c>
    </row>
    <row r="188" spans="1:7" s="139" customFormat="1" x14ac:dyDescent="0.3">
      <c r="A188" s="135">
        <v>45859</v>
      </c>
      <c r="B188" s="2" t="s">
        <v>206</v>
      </c>
      <c r="C188" s="12" t="s">
        <v>6</v>
      </c>
      <c r="D188" s="107" t="s">
        <v>533</v>
      </c>
      <c r="E188" s="169">
        <v>-76710</v>
      </c>
      <c r="F188" s="13" t="s">
        <v>8</v>
      </c>
      <c r="G188" s="5" t="s">
        <v>27</v>
      </c>
    </row>
    <row r="189" spans="1:7" s="139" customFormat="1" x14ac:dyDescent="0.3">
      <c r="A189" s="135">
        <v>45861</v>
      </c>
      <c r="B189" s="2" t="s">
        <v>206</v>
      </c>
      <c r="C189" s="12" t="s">
        <v>6</v>
      </c>
      <c r="D189" s="4" t="s">
        <v>707</v>
      </c>
      <c r="E189" s="10">
        <v>-4720</v>
      </c>
      <c r="F189" s="277" t="s">
        <v>8</v>
      </c>
      <c r="G189" s="5" t="s">
        <v>27</v>
      </c>
    </row>
    <row r="190" spans="1:7" s="139" customFormat="1" x14ac:dyDescent="0.3">
      <c r="A190" s="135">
        <v>45859</v>
      </c>
      <c r="B190" s="2" t="s">
        <v>206</v>
      </c>
      <c r="C190" s="12" t="s">
        <v>25</v>
      </c>
      <c r="D190" s="3" t="s">
        <v>543</v>
      </c>
      <c r="E190" s="10">
        <v>-2955.36</v>
      </c>
      <c r="F190" s="13" t="s">
        <v>8</v>
      </c>
      <c r="G190" s="82" t="s">
        <v>153</v>
      </c>
    </row>
    <row r="191" spans="1:7" s="137" customFormat="1" x14ac:dyDescent="0.3">
      <c r="A191" s="136">
        <v>45861</v>
      </c>
      <c r="B191" s="33" t="s">
        <v>206</v>
      </c>
      <c r="C191" s="14" t="s">
        <v>44</v>
      </c>
      <c r="D191" s="14" t="s">
        <v>834</v>
      </c>
      <c r="E191" s="8">
        <v>-879.16</v>
      </c>
      <c r="F191" s="13" t="s">
        <v>8</v>
      </c>
      <c r="G191" s="37" t="s">
        <v>227</v>
      </c>
    </row>
    <row r="192" spans="1:7" s="137" customFormat="1" x14ac:dyDescent="0.3">
      <c r="A192" s="135">
        <v>45861</v>
      </c>
      <c r="B192" s="2" t="s">
        <v>206</v>
      </c>
      <c r="C192" s="14" t="s">
        <v>44</v>
      </c>
      <c r="D192" s="14" t="s">
        <v>833</v>
      </c>
      <c r="E192" s="8">
        <v>-1093.9000000000001</v>
      </c>
      <c r="F192" s="13" t="s">
        <v>8</v>
      </c>
      <c r="G192" s="37" t="s">
        <v>227</v>
      </c>
    </row>
    <row r="193" spans="1:7" s="137" customFormat="1" x14ac:dyDescent="0.3">
      <c r="A193" s="136">
        <v>45859</v>
      </c>
      <c r="B193" s="33" t="s">
        <v>206</v>
      </c>
      <c r="C193" s="3" t="s">
        <v>6</v>
      </c>
      <c r="D193" s="36" t="s">
        <v>704</v>
      </c>
      <c r="E193" s="40">
        <v>-50000</v>
      </c>
      <c r="F193" s="13" t="s">
        <v>8</v>
      </c>
      <c r="G193" s="37" t="s">
        <v>186</v>
      </c>
    </row>
    <row r="194" spans="1:7" s="139" customFormat="1" x14ac:dyDescent="0.3">
      <c r="A194" s="135">
        <v>45861</v>
      </c>
      <c r="B194" s="2" t="s">
        <v>206</v>
      </c>
      <c r="C194" s="14" t="s">
        <v>71</v>
      </c>
      <c r="D194" s="14" t="s">
        <v>357</v>
      </c>
      <c r="E194" s="8">
        <v>-194.79</v>
      </c>
      <c r="F194" s="13" t="s">
        <v>8</v>
      </c>
      <c r="G194" s="9" t="s">
        <v>75</v>
      </c>
    </row>
    <row r="195" spans="1:7" s="137" customFormat="1" x14ac:dyDescent="0.3">
      <c r="A195" s="135">
        <v>45861</v>
      </c>
      <c r="B195" s="2" t="s">
        <v>206</v>
      </c>
      <c r="C195" s="14" t="s">
        <v>71</v>
      </c>
      <c r="D195" s="14" t="s">
        <v>835</v>
      </c>
      <c r="E195" s="8">
        <v>-1800.31</v>
      </c>
      <c r="F195" s="13" t="s">
        <v>8</v>
      </c>
      <c r="G195" s="37" t="s">
        <v>227</v>
      </c>
    </row>
    <row r="196" spans="1:7" s="137" customFormat="1" x14ac:dyDescent="0.3">
      <c r="A196" s="135">
        <v>45861</v>
      </c>
      <c r="B196" s="2" t="s">
        <v>206</v>
      </c>
      <c r="C196" s="14" t="s">
        <v>6</v>
      </c>
      <c r="D196" s="14" t="s">
        <v>755</v>
      </c>
      <c r="E196" s="8">
        <v>-11132.93</v>
      </c>
      <c r="F196" s="27" t="s">
        <v>8</v>
      </c>
      <c r="G196" s="278" t="s">
        <v>82</v>
      </c>
    </row>
    <row r="197" spans="1:7" s="137" customFormat="1" x14ac:dyDescent="0.3">
      <c r="A197" s="135">
        <v>45861</v>
      </c>
      <c r="B197" s="2" t="s">
        <v>206</v>
      </c>
      <c r="C197" s="14" t="s">
        <v>44</v>
      </c>
      <c r="D197" s="14" t="s">
        <v>755</v>
      </c>
      <c r="E197" s="8">
        <v>-2223.9</v>
      </c>
      <c r="F197" s="13" t="s">
        <v>8</v>
      </c>
      <c r="G197" s="37" t="s">
        <v>82</v>
      </c>
    </row>
    <row r="198" spans="1:7" s="137" customFormat="1" x14ac:dyDescent="0.3">
      <c r="A198" s="135">
        <v>45861</v>
      </c>
      <c r="B198" s="2" t="s">
        <v>206</v>
      </c>
      <c r="C198" s="14" t="s">
        <v>33</v>
      </c>
      <c r="D198" s="14" t="s">
        <v>755</v>
      </c>
      <c r="E198" s="8">
        <v>-217.38</v>
      </c>
      <c r="F198" s="13" t="s">
        <v>8</v>
      </c>
      <c r="G198" s="37" t="s">
        <v>82</v>
      </c>
    </row>
    <row r="199" spans="1:7" s="137" customFormat="1" x14ac:dyDescent="0.3">
      <c r="A199" s="135">
        <v>45861</v>
      </c>
      <c r="B199" s="2" t="s">
        <v>206</v>
      </c>
      <c r="C199" s="14" t="s">
        <v>104</v>
      </c>
      <c r="D199" s="14" t="s">
        <v>755</v>
      </c>
      <c r="E199" s="8">
        <v>-1076.56</v>
      </c>
      <c r="F199" s="13" t="s">
        <v>8</v>
      </c>
      <c r="G199" s="37" t="s">
        <v>82</v>
      </c>
    </row>
    <row r="200" spans="1:7" s="137" customFormat="1" x14ac:dyDescent="0.3">
      <c r="A200" s="135">
        <v>45861</v>
      </c>
      <c r="B200" s="2" t="s">
        <v>206</v>
      </c>
      <c r="C200" s="14" t="s">
        <v>32</v>
      </c>
      <c r="D200" s="14" t="s">
        <v>755</v>
      </c>
      <c r="E200" s="8">
        <v>-5876.56</v>
      </c>
      <c r="F200" s="13" t="s">
        <v>8</v>
      </c>
      <c r="G200" s="37" t="s">
        <v>82</v>
      </c>
    </row>
    <row r="201" spans="1:7" s="137" customFormat="1" x14ac:dyDescent="0.3">
      <c r="A201" s="135">
        <v>45861</v>
      </c>
      <c r="B201" s="2" t="s">
        <v>206</v>
      </c>
      <c r="C201" s="14" t="s">
        <v>71</v>
      </c>
      <c r="D201" s="14" t="s">
        <v>755</v>
      </c>
      <c r="E201" s="8">
        <v>-1627.95</v>
      </c>
      <c r="F201" s="13" t="s">
        <v>8</v>
      </c>
      <c r="G201" s="37" t="s">
        <v>82</v>
      </c>
    </row>
    <row r="202" spans="1:7" s="137" customFormat="1" x14ac:dyDescent="0.3">
      <c r="A202" s="135">
        <v>45861</v>
      </c>
      <c r="B202" s="2" t="s">
        <v>206</v>
      </c>
      <c r="C202" s="14" t="s">
        <v>17</v>
      </c>
      <c r="D202" s="14" t="s">
        <v>755</v>
      </c>
      <c r="E202" s="8">
        <v>-22056.55</v>
      </c>
      <c r="F202" s="13" t="s">
        <v>8</v>
      </c>
      <c r="G202" s="37" t="s">
        <v>82</v>
      </c>
    </row>
    <row r="203" spans="1:7" s="137" customFormat="1" x14ac:dyDescent="0.3">
      <c r="A203" s="135">
        <v>45860</v>
      </c>
      <c r="B203" s="33" t="s">
        <v>206</v>
      </c>
      <c r="C203" s="6" t="s">
        <v>17</v>
      </c>
      <c r="D203" s="4" t="s">
        <v>536</v>
      </c>
      <c r="E203" s="10">
        <v>-1560.68</v>
      </c>
      <c r="F203" s="279" t="s">
        <v>8</v>
      </c>
      <c r="G203" s="35" t="s">
        <v>132</v>
      </c>
    </row>
    <row r="204" spans="1:7" s="137" customFormat="1" ht="1.2" customHeight="1" x14ac:dyDescent="0.3">
      <c r="A204" s="450">
        <v>45890</v>
      </c>
      <c r="B204" s="451" t="s">
        <v>207</v>
      </c>
      <c r="C204" s="440" t="s">
        <v>6</v>
      </c>
      <c r="D204" s="452" t="s">
        <v>740</v>
      </c>
      <c r="E204" s="453">
        <v>-50000</v>
      </c>
      <c r="F204" s="27" t="s">
        <v>8</v>
      </c>
      <c r="G204" s="278" t="s">
        <v>186</v>
      </c>
    </row>
    <row r="205" spans="1:7" s="261" customFormat="1" x14ac:dyDescent="0.3">
      <c r="A205" s="580">
        <v>45919</v>
      </c>
      <c r="B205" s="260" t="s">
        <v>208</v>
      </c>
      <c r="C205" s="325" t="s">
        <v>6</v>
      </c>
      <c r="D205" s="262" t="s">
        <v>741</v>
      </c>
      <c r="E205" s="263">
        <v>-50000</v>
      </c>
      <c r="F205" s="249" t="s">
        <v>8</v>
      </c>
      <c r="G205" s="265" t="s">
        <v>186</v>
      </c>
    </row>
    <row r="206" spans="1:7" s="137" customFormat="1" hidden="1" x14ac:dyDescent="0.3">
      <c r="A206" s="206">
        <v>45951</v>
      </c>
      <c r="B206" s="184" t="s">
        <v>211</v>
      </c>
      <c r="C206" s="609" t="s">
        <v>6</v>
      </c>
      <c r="D206" s="36" t="s">
        <v>742</v>
      </c>
      <c r="E206" s="40">
        <v>-50000</v>
      </c>
      <c r="F206" s="110" t="s">
        <v>8</v>
      </c>
      <c r="G206" s="187" t="s">
        <v>186</v>
      </c>
    </row>
    <row r="207" spans="1:7" s="137" customFormat="1" hidden="1" x14ac:dyDescent="0.3">
      <c r="A207" s="136">
        <v>45982</v>
      </c>
      <c r="B207" s="33" t="s">
        <v>212</v>
      </c>
      <c r="C207" s="3" t="s">
        <v>6</v>
      </c>
      <c r="D207" s="36" t="s">
        <v>743</v>
      </c>
      <c r="E207" s="40">
        <v>-50000</v>
      </c>
      <c r="F207" s="13" t="s">
        <v>8</v>
      </c>
      <c r="G207" s="37" t="s">
        <v>186</v>
      </c>
    </row>
    <row r="208" spans="1:7" s="137" customFormat="1" hidden="1" x14ac:dyDescent="0.3">
      <c r="A208" s="136">
        <v>46010</v>
      </c>
      <c r="B208" s="100" t="s">
        <v>216</v>
      </c>
      <c r="C208" s="3" t="s">
        <v>6</v>
      </c>
      <c r="D208" s="239" t="s">
        <v>1681</v>
      </c>
      <c r="E208" s="40">
        <v>-65000</v>
      </c>
      <c r="F208" s="13" t="s">
        <v>8</v>
      </c>
      <c r="G208" s="37" t="s">
        <v>186</v>
      </c>
    </row>
    <row r="209" spans="1:7" s="139" customFormat="1" x14ac:dyDescent="0.3">
      <c r="A209" s="135">
        <v>45859</v>
      </c>
      <c r="B209" s="2" t="s">
        <v>206</v>
      </c>
      <c r="C209" s="14" t="s">
        <v>17</v>
      </c>
      <c r="D209" s="14" t="s">
        <v>705</v>
      </c>
      <c r="E209" s="8">
        <v>-268.92</v>
      </c>
      <c r="F209" s="13" t="s">
        <v>8</v>
      </c>
      <c r="G209" s="37" t="s">
        <v>186</v>
      </c>
    </row>
    <row r="210" spans="1:7" s="139" customFormat="1" x14ac:dyDescent="0.3">
      <c r="A210" s="135">
        <v>45859</v>
      </c>
      <c r="B210" s="2" t="s">
        <v>206</v>
      </c>
      <c r="C210" s="4" t="s">
        <v>64</v>
      </c>
      <c r="D210" s="4" t="s">
        <v>133</v>
      </c>
      <c r="E210" s="10">
        <v>-8937.32</v>
      </c>
      <c r="F210" s="13" t="s">
        <v>8</v>
      </c>
      <c r="G210" s="5" t="s">
        <v>39</v>
      </c>
    </row>
    <row r="211" spans="1:7" s="139" customFormat="1" x14ac:dyDescent="0.3">
      <c r="A211" s="135">
        <v>45863</v>
      </c>
      <c r="B211" s="2" t="s">
        <v>206</v>
      </c>
      <c r="C211" s="12" t="s">
        <v>17</v>
      </c>
      <c r="D211" s="12" t="s">
        <v>18</v>
      </c>
      <c r="E211" s="10">
        <v>-17235</v>
      </c>
      <c r="F211" s="13" t="s">
        <v>8</v>
      </c>
      <c r="G211" s="5" t="s">
        <v>19</v>
      </c>
    </row>
    <row r="212" spans="1:7" s="139" customFormat="1" x14ac:dyDescent="0.3">
      <c r="A212" s="78">
        <v>45863</v>
      </c>
      <c r="B212" s="2" t="s">
        <v>206</v>
      </c>
      <c r="C212" s="12" t="s">
        <v>44</v>
      </c>
      <c r="D212" s="12" t="s">
        <v>856</v>
      </c>
      <c r="E212" s="288">
        <v>-4943.53</v>
      </c>
      <c r="F212" s="13" t="s">
        <v>8</v>
      </c>
      <c r="G212" s="5" t="s">
        <v>63</v>
      </c>
    </row>
    <row r="213" spans="1:7" s="250" customFormat="1" x14ac:dyDescent="0.3">
      <c r="A213" s="251">
        <v>45866</v>
      </c>
      <c r="B213" s="247" t="s">
        <v>206</v>
      </c>
      <c r="C213" s="268" t="s">
        <v>658</v>
      </c>
      <c r="D213" s="269" t="s">
        <v>657</v>
      </c>
      <c r="E213" s="319">
        <v>-367.08</v>
      </c>
      <c r="F213" s="289" t="s">
        <v>8</v>
      </c>
      <c r="G213" s="255" t="s">
        <v>51</v>
      </c>
    </row>
    <row r="214" spans="1:7" s="250" customFormat="1" x14ac:dyDescent="0.3">
      <c r="A214" s="251">
        <v>45866</v>
      </c>
      <c r="B214" s="247" t="s">
        <v>206</v>
      </c>
      <c r="C214" s="268" t="s">
        <v>104</v>
      </c>
      <c r="D214" s="269" t="s">
        <v>657</v>
      </c>
      <c r="E214" s="319">
        <v>-303.24</v>
      </c>
      <c r="F214" s="289" t="s">
        <v>8</v>
      </c>
      <c r="G214" s="255" t="s">
        <v>51</v>
      </c>
    </row>
    <row r="215" spans="1:7" s="250" customFormat="1" x14ac:dyDescent="0.3">
      <c r="A215" s="251">
        <v>45866</v>
      </c>
      <c r="B215" s="247" t="s">
        <v>206</v>
      </c>
      <c r="C215" s="268" t="s">
        <v>659</v>
      </c>
      <c r="D215" s="269" t="s">
        <v>657</v>
      </c>
      <c r="E215" s="319">
        <v>-845.88</v>
      </c>
      <c r="F215" s="289" t="s">
        <v>8</v>
      </c>
      <c r="G215" s="255" t="s">
        <v>51</v>
      </c>
    </row>
    <row r="216" spans="1:7" s="250" customFormat="1" x14ac:dyDescent="0.3">
      <c r="A216" s="251">
        <v>45866</v>
      </c>
      <c r="B216" s="247" t="s">
        <v>206</v>
      </c>
      <c r="C216" s="268" t="s">
        <v>660</v>
      </c>
      <c r="D216" s="269" t="s">
        <v>657</v>
      </c>
      <c r="E216" s="319">
        <v>-143.63999999999999</v>
      </c>
      <c r="F216" s="289" t="s">
        <v>8</v>
      </c>
      <c r="G216" s="255" t="s">
        <v>51</v>
      </c>
    </row>
    <row r="217" spans="1:7" s="250" customFormat="1" x14ac:dyDescent="0.3">
      <c r="A217" s="251">
        <v>45866</v>
      </c>
      <c r="B217" s="247" t="s">
        <v>206</v>
      </c>
      <c r="C217" s="268" t="s">
        <v>6</v>
      </c>
      <c r="D217" s="269" t="s">
        <v>657</v>
      </c>
      <c r="E217" s="319">
        <v>-63.84</v>
      </c>
      <c r="F217" s="289" t="s">
        <v>8</v>
      </c>
      <c r="G217" s="255" t="s">
        <v>51</v>
      </c>
    </row>
    <row r="218" spans="1:7" s="250" customFormat="1" x14ac:dyDescent="0.3">
      <c r="A218" s="251">
        <v>45866</v>
      </c>
      <c r="B218" s="247" t="s">
        <v>206</v>
      </c>
      <c r="C218" s="268" t="s">
        <v>898</v>
      </c>
      <c r="D218" s="269" t="s">
        <v>657</v>
      </c>
      <c r="E218" s="319">
        <v>-95.76</v>
      </c>
      <c r="F218" s="289" t="s">
        <v>8</v>
      </c>
      <c r="G218" s="255" t="s">
        <v>51</v>
      </c>
    </row>
    <row r="219" spans="1:7" s="250" customFormat="1" x14ac:dyDescent="0.3">
      <c r="A219" s="251">
        <v>45866</v>
      </c>
      <c r="B219" s="247" t="s">
        <v>206</v>
      </c>
      <c r="C219" s="268" t="s">
        <v>13</v>
      </c>
      <c r="D219" s="269" t="s">
        <v>657</v>
      </c>
      <c r="E219" s="319">
        <v>-957.6</v>
      </c>
      <c r="F219" s="289" t="s">
        <v>8</v>
      </c>
      <c r="G219" s="255" t="s">
        <v>51</v>
      </c>
    </row>
    <row r="220" spans="1:7" s="250" customFormat="1" x14ac:dyDescent="0.3">
      <c r="A220" s="251">
        <v>45866</v>
      </c>
      <c r="B220" s="247" t="s">
        <v>206</v>
      </c>
      <c r="C220" s="268" t="s">
        <v>652</v>
      </c>
      <c r="D220" s="269" t="s">
        <v>657</v>
      </c>
      <c r="E220" s="319">
        <v>-63.84</v>
      </c>
      <c r="F220" s="289" t="s">
        <v>8</v>
      </c>
      <c r="G220" s="255" t="s">
        <v>51</v>
      </c>
    </row>
    <row r="221" spans="1:7" s="250" customFormat="1" x14ac:dyDescent="0.3">
      <c r="A221" s="251">
        <v>45866</v>
      </c>
      <c r="B221" s="247" t="s">
        <v>206</v>
      </c>
      <c r="C221" s="268" t="s">
        <v>661</v>
      </c>
      <c r="D221" s="269" t="s">
        <v>657</v>
      </c>
      <c r="E221" s="319">
        <v>-223.44</v>
      </c>
      <c r="F221" s="289" t="s">
        <v>8</v>
      </c>
      <c r="G221" s="255" t="s">
        <v>51</v>
      </c>
    </row>
    <row r="222" spans="1:7" s="139" customFormat="1" x14ac:dyDescent="0.3">
      <c r="A222" s="78">
        <v>45862</v>
      </c>
      <c r="B222" s="2" t="s">
        <v>206</v>
      </c>
      <c r="C222" s="14" t="s">
        <v>31</v>
      </c>
      <c r="D222" s="14" t="s">
        <v>756</v>
      </c>
      <c r="E222" s="332">
        <v>-1262.8699999999999</v>
      </c>
      <c r="F222" s="13" t="s">
        <v>8</v>
      </c>
      <c r="G222" s="9" t="s">
        <v>75</v>
      </c>
    </row>
    <row r="223" spans="1:7" s="139" customFormat="1" x14ac:dyDescent="0.3">
      <c r="A223" s="78">
        <v>45862</v>
      </c>
      <c r="B223" s="2" t="s">
        <v>206</v>
      </c>
      <c r="C223" s="14" t="s">
        <v>17</v>
      </c>
      <c r="D223" s="14" t="s">
        <v>757</v>
      </c>
      <c r="E223" s="8">
        <v>-1580.18</v>
      </c>
      <c r="F223" s="13" t="s">
        <v>8</v>
      </c>
      <c r="G223" s="9" t="s">
        <v>75</v>
      </c>
    </row>
    <row r="224" spans="1:7" s="139" customFormat="1" x14ac:dyDescent="0.3">
      <c r="A224" s="78">
        <v>45862</v>
      </c>
      <c r="B224" s="2" t="s">
        <v>206</v>
      </c>
      <c r="C224" s="14" t="s">
        <v>17</v>
      </c>
      <c r="D224" s="14" t="s">
        <v>432</v>
      </c>
      <c r="E224" s="8">
        <v>-8.42</v>
      </c>
      <c r="F224" s="13" t="s">
        <v>8</v>
      </c>
      <c r="G224" s="9" t="s">
        <v>75</v>
      </c>
    </row>
    <row r="225" spans="1:7" s="139" customFormat="1" x14ac:dyDescent="0.3">
      <c r="A225" s="78">
        <v>45862</v>
      </c>
      <c r="B225" s="2" t="s">
        <v>206</v>
      </c>
      <c r="C225" s="14" t="s">
        <v>71</v>
      </c>
      <c r="D225" s="14" t="s">
        <v>844</v>
      </c>
      <c r="E225" s="240">
        <v>-357.72</v>
      </c>
      <c r="F225" s="37" t="s">
        <v>8</v>
      </c>
      <c r="G225" s="37" t="s">
        <v>227</v>
      </c>
    </row>
    <row r="226" spans="1:7" s="139" customFormat="1" x14ac:dyDescent="0.3">
      <c r="A226" s="78">
        <v>45863</v>
      </c>
      <c r="B226" s="2" t="s">
        <v>206</v>
      </c>
      <c r="C226" s="4" t="s">
        <v>17</v>
      </c>
      <c r="D226" s="12" t="s">
        <v>134</v>
      </c>
      <c r="E226" s="8">
        <v>-545.28</v>
      </c>
      <c r="F226" s="13" t="s">
        <v>8</v>
      </c>
      <c r="G226" s="5" t="s">
        <v>68</v>
      </c>
    </row>
    <row r="227" spans="1:7" s="139" customFormat="1" x14ac:dyDescent="0.3">
      <c r="A227" s="78">
        <v>45863</v>
      </c>
      <c r="B227" s="2" t="s">
        <v>206</v>
      </c>
      <c r="C227" s="12" t="s">
        <v>17</v>
      </c>
      <c r="D227" s="12" t="s">
        <v>541</v>
      </c>
      <c r="E227" s="10">
        <v>-154.9</v>
      </c>
      <c r="F227" s="13" t="s">
        <v>8</v>
      </c>
      <c r="G227" s="5" t="s">
        <v>136</v>
      </c>
    </row>
    <row r="228" spans="1:7" s="139" customFormat="1" x14ac:dyDescent="0.3">
      <c r="A228" s="78">
        <v>45863</v>
      </c>
      <c r="B228" s="2" t="s">
        <v>206</v>
      </c>
      <c r="C228" s="12" t="s">
        <v>17</v>
      </c>
      <c r="D228" s="12" t="s">
        <v>542</v>
      </c>
      <c r="E228" s="10">
        <v>-139.9</v>
      </c>
      <c r="F228" s="13" t="s">
        <v>8</v>
      </c>
      <c r="G228" s="5" t="s">
        <v>136</v>
      </c>
    </row>
    <row r="229" spans="1:7" s="250" customFormat="1" x14ac:dyDescent="0.3">
      <c r="A229" s="251">
        <v>45895</v>
      </c>
      <c r="B229" s="247" t="s">
        <v>207</v>
      </c>
      <c r="C229" s="299" t="s">
        <v>6</v>
      </c>
      <c r="D229" s="299" t="s">
        <v>945</v>
      </c>
      <c r="E229" s="319">
        <v>-810.56</v>
      </c>
      <c r="F229" s="249" t="s">
        <v>8</v>
      </c>
      <c r="G229" s="255" t="s">
        <v>55</v>
      </c>
    </row>
    <row r="230" spans="1:7" s="250" customFormat="1" x14ac:dyDescent="0.3">
      <c r="A230" s="251">
        <v>45895</v>
      </c>
      <c r="B230" s="247" t="s">
        <v>207</v>
      </c>
      <c r="C230" s="299" t="s">
        <v>6</v>
      </c>
      <c r="D230" s="299" t="s">
        <v>1102</v>
      </c>
      <c r="E230" s="319">
        <v>-2014.2</v>
      </c>
      <c r="F230" s="249" t="s">
        <v>8</v>
      </c>
      <c r="G230" s="255" t="s">
        <v>55</v>
      </c>
    </row>
    <row r="231" spans="1:7" s="139" customFormat="1" x14ac:dyDescent="0.3">
      <c r="A231" s="78">
        <v>45863</v>
      </c>
      <c r="B231" s="2" t="s">
        <v>206</v>
      </c>
      <c r="C231" s="12" t="s">
        <v>25</v>
      </c>
      <c r="D231" s="12" t="s">
        <v>544</v>
      </c>
      <c r="E231" s="10">
        <v>-1925.16</v>
      </c>
      <c r="F231" s="13" t="s">
        <v>8</v>
      </c>
      <c r="G231" s="82" t="s">
        <v>153</v>
      </c>
    </row>
    <row r="232" spans="1:7" s="139" customFormat="1" x14ac:dyDescent="0.3">
      <c r="A232" s="135">
        <v>45856</v>
      </c>
      <c r="B232" s="2" t="s">
        <v>206</v>
      </c>
      <c r="C232" s="14" t="s">
        <v>25</v>
      </c>
      <c r="D232" s="14" t="s">
        <v>378</v>
      </c>
      <c r="E232" s="8">
        <v>-291</v>
      </c>
      <c r="F232" s="13" t="s">
        <v>8</v>
      </c>
      <c r="G232" s="9" t="s">
        <v>82</v>
      </c>
    </row>
    <row r="233" spans="1:7" s="139" customFormat="1" x14ac:dyDescent="0.3">
      <c r="A233" s="135">
        <v>45856</v>
      </c>
      <c r="B233" s="2" t="s">
        <v>206</v>
      </c>
      <c r="C233" s="14" t="s">
        <v>25</v>
      </c>
      <c r="D233" s="14" t="s">
        <v>748</v>
      </c>
      <c r="E233" s="8">
        <v>-108</v>
      </c>
      <c r="F233" s="13" t="s">
        <v>8</v>
      </c>
      <c r="G233" s="9" t="s">
        <v>82</v>
      </c>
    </row>
    <row r="234" spans="1:7" s="139" customFormat="1" x14ac:dyDescent="0.3">
      <c r="A234" s="135">
        <v>45856</v>
      </c>
      <c r="B234" s="2" t="s">
        <v>206</v>
      </c>
      <c r="C234" s="14" t="s">
        <v>25</v>
      </c>
      <c r="D234" s="14" t="s">
        <v>372</v>
      </c>
      <c r="E234" s="8">
        <v>-110.7</v>
      </c>
      <c r="F234" s="13" t="s">
        <v>8</v>
      </c>
      <c r="G234" s="9" t="s">
        <v>82</v>
      </c>
    </row>
    <row r="235" spans="1:7" s="139" customFormat="1" x14ac:dyDescent="0.3">
      <c r="A235" s="168">
        <v>45856</v>
      </c>
      <c r="B235" s="26" t="s">
        <v>206</v>
      </c>
      <c r="C235" s="97" t="s">
        <v>17</v>
      </c>
      <c r="D235" s="97" t="s">
        <v>446</v>
      </c>
      <c r="E235" s="77">
        <v>-160</v>
      </c>
      <c r="F235" s="27" t="s">
        <v>8</v>
      </c>
      <c r="G235" s="91" t="s">
        <v>82</v>
      </c>
    </row>
    <row r="236" spans="1:7" s="139" customFormat="1" x14ac:dyDescent="0.3">
      <c r="A236" s="135">
        <v>45861</v>
      </c>
      <c r="B236" s="2" t="s">
        <v>206</v>
      </c>
      <c r="C236" s="12" t="s">
        <v>17</v>
      </c>
      <c r="D236" s="4" t="s">
        <v>140</v>
      </c>
      <c r="E236" s="10">
        <v>-9980</v>
      </c>
      <c r="F236" s="13" t="s">
        <v>8</v>
      </c>
      <c r="G236" s="82" t="s">
        <v>58</v>
      </c>
    </row>
    <row r="237" spans="1:7" s="250" customFormat="1" x14ac:dyDescent="0.3">
      <c r="A237" s="251">
        <v>45869</v>
      </c>
      <c r="B237" s="247" t="s">
        <v>206</v>
      </c>
      <c r="C237" s="293" t="s">
        <v>31</v>
      </c>
      <c r="D237" s="293" t="s">
        <v>546</v>
      </c>
      <c r="E237" s="297">
        <v>-630</v>
      </c>
      <c r="F237" s="255" t="s">
        <v>8</v>
      </c>
      <c r="G237" s="297" t="s">
        <v>51</v>
      </c>
    </row>
    <row r="238" spans="1:7" s="250" customFormat="1" x14ac:dyDescent="0.3">
      <c r="A238" s="251">
        <v>45868</v>
      </c>
      <c r="B238" s="247" t="s">
        <v>206</v>
      </c>
      <c r="C238" s="309" t="s">
        <v>17</v>
      </c>
      <c r="D238" s="293" t="s">
        <v>142</v>
      </c>
      <c r="E238" s="297">
        <v>-1689.04</v>
      </c>
      <c r="F238" s="249" t="s">
        <v>8</v>
      </c>
      <c r="G238" s="307" t="s">
        <v>68</v>
      </c>
    </row>
    <row r="239" spans="1:7" s="250" customFormat="1" x14ac:dyDescent="0.3">
      <c r="A239" s="251">
        <v>45868</v>
      </c>
      <c r="B239" s="247" t="s">
        <v>206</v>
      </c>
      <c r="C239" s="309" t="s">
        <v>17</v>
      </c>
      <c r="D239" s="293" t="s">
        <v>142</v>
      </c>
      <c r="E239" s="297">
        <v>-2644.76</v>
      </c>
      <c r="F239" s="249" t="s">
        <v>8</v>
      </c>
      <c r="G239" s="307" t="s">
        <v>68</v>
      </c>
    </row>
    <row r="240" spans="1:7" s="139" customFormat="1" x14ac:dyDescent="0.3">
      <c r="A240" s="78">
        <v>45866</v>
      </c>
      <c r="B240" s="2" t="s">
        <v>206</v>
      </c>
      <c r="C240" s="12" t="s">
        <v>17</v>
      </c>
      <c r="D240" s="12" t="s">
        <v>140</v>
      </c>
      <c r="E240" s="10">
        <v>-9980</v>
      </c>
      <c r="F240" s="13" t="s">
        <v>8</v>
      </c>
      <c r="G240" s="82" t="s">
        <v>58</v>
      </c>
    </row>
    <row r="241" spans="1:7" s="250" customFormat="1" x14ac:dyDescent="0.3">
      <c r="A241" s="308">
        <v>45897</v>
      </c>
      <c r="B241" s="257" t="s">
        <v>207</v>
      </c>
      <c r="C241" s="424" t="s">
        <v>44</v>
      </c>
      <c r="D241" s="372" t="s">
        <v>1219</v>
      </c>
      <c r="E241" s="344">
        <v>-9520.2900000000009</v>
      </c>
      <c r="F241" s="373" t="s">
        <v>8</v>
      </c>
      <c r="G241" s="266" t="s">
        <v>227</v>
      </c>
    </row>
    <row r="242" spans="1:7" s="164" customFormat="1" ht="0.6" customHeight="1" x14ac:dyDescent="0.3">
      <c r="A242" s="123">
        <v>45916</v>
      </c>
      <c r="B242" s="123" t="s">
        <v>208</v>
      </c>
      <c r="C242" s="52" t="s">
        <v>165</v>
      </c>
      <c r="D242" s="63" t="s">
        <v>1408</v>
      </c>
      <c r="E242" s="64">
        <v>51000</v>
      </c>
      <c r="F242" s="65" t="s">
        <v>161</v>
      </c>
      <c r="G242" s="66" t="s">
        <v>1334</v>
      </c>
    </row>
    <row r="243" spans="1:7" s="250" customFormat="1" x14ac:dyDescent="0.3">
      <c r="A243" s="316">
        <v>45924</v>
      </c>
      <c r="B243" s="316" t="s">
        <v>208</v>
      </c>
      <c r="C243" s="296" t="s">
        <v>165</v>
      </c>
      <c r="D243" s="253" t="s">
        <v>699</v>
      </c>
      <c r="E243" s="248">
        <v>-1480.5</v>
      </c>
      <c r="F243" s="249" t="s">
        <v>8</v>
      </c>
      <c r="G243" s="310" t="s">
        <v>153</v>
      </c>
    </row>
    <row r="244" spans="1:7" s="250" customFormat="1" x14ac:dyDescent="0.3">
      <c r="A244" s="316">
        <v>45919</v>
      </c>
      <c r="B244" s="316" t="s">
        <v>208</v>
      </c>
      <c r="C244" s="293" t="s">
        <v>165</v>
      </c>
      <c r="D244" s="253" t="s">
        <v>700</v>
      </c>
      <c r="E244" s="248">
        <v>-200</v>
      </c>
      <c r="F244" s="249" t="s">
        <v>8</v>
      </c>
      <c r="G244" s="310" t="s">
        <v>153</v>
      </c>
    </row>
    <row r="245" spans="1:7" s="139" customFormat="1" hidden="1" x14ac:dyDescent="0.3">
      <c r="A245" s="87">
        <v>45961</v>
      </c>
      <c r="B245" s="23" t="s">
        <v>211</v>
      </c>
      <c r="C245" s="96" t="s">
        <v>165</v>
      </c>
      <c r="D245" s="96" t="s">
        <v>699</v>
      </c>
      <c r="E245" s="89">
        <v>-1500</v>
      </c>
      <c r="F245" s="110" t="s">
        <v>8</v>
      </c>
      <c r="G245" s="208" t="s">
        <v>153</v>
      </c>
    </row>
    <row r="246" spans="1:7" s="139" customFormat="1" hidden="1" x14ac:dyDescent="0.3">
      <c r="A246" s="78">
        <v>45961</v>
      </c>
      <c r="B246" s="2" t="s">
        <v>211</v>
      </c>
      <c r="C246" s="14" t="s">
        <v>165</v>
      </c>
      <c r="D246" s="14" t="s">
        <v>700</v>
      </c>
      <c r="E246" s="8">
        <v>-200</v>
      </c>
      <c r="F246" s="13" t="s">
        <v>8</v>
      </c>
      <c r="G246" s="82" t="s">
        <v>153</v>
      </c>
    </row>
    <row r="247" spans="1:7" s="139" customFormat="1" ht="27.6" x14ac:dyDescent="0.3">
      <c r="A247" s="78">
        <v>45870</v>
      </c>
      <c r="B247" s="2" t="s">
        <v>207</v>
      </c>
      <c r="C247" s="14" t="s">
        <v>25</v>
      </c>
      <c r="D247" s="7" t="s">
        <v>1099</v>
      </c>
      <c r="E247" s="8">
        <v>-111.89</v>
      </c>
      <c r="F247" s="13" t="s">
        <v>8</v>
      </c>
      <c r="G247" s="9" t="s">
        <v>815</v>
      </c>
    </row>
    <row r="248" spans="1:7" s="250" customFormat="1" x14ac:dyDescent="0.3">
      <c r="A248" s="251">
        <v>45869</v>
      </c>
      <c r="B248" s="247" t="s">
        <v>206</v>
      </c>
      <c r="C248" s="293" t="s">
        <v>31</v>
      </c>
      <c r="D248" s="293" t="s">
        <v>878</v>
      </c>
      <c r="E248" s="248">
        <v>-2198.9</v>
      </c>
      <c r="F248" s="249" t="s">
        <v>8</v>
      </c>
      <c r="G248" s="254" t="s">
        <v>152</v>
      </c>
    </row>
    <row r="249" spans="1:7" s="250" customFormat="1" x14ac:dyDescent="0.3">
      <c r="A249" s="251">
        <v>45869</v>
      </c>
      <c r="B249" s="247" t="s">
        <v>206</v>
      </c>
      <c r="C249" s="293" t="s">
        <v>31</v>
      </c>
      <c r="D249" s="293" t="s">
        <v>816</v>
      </c>
      <c r="E249" s="248">
        <v>-2926.15</v>
      </c>
      <c r="F249" s="249" t="s">
        <v>8</v>
      </c>
      <c r="G249" s="254" t="s">
        <v>152</v>
      </c>
    </row>
    <row r="250" spans="1:7" s="250" customFormat="1" x14ac:dyDescent="0.3">
      <c r="A250" s="251">
        <v>45869</v>
      </c>
      <c r="B250" s="247" t="s">
        <v>206</v>
      </c>
      <c r="C250" s="293" t="s">
        <v>6</v>
      </c>
      <c r="D250" s="293" t="s">
        <v>817</v>
      </c>
      <c r="E250" s="248">
        <v>-2484.92</v>
      </c>
      <c r="F250" s="249" t="s">
        <v>8</v>
      </c>
      <c r="G250" s="254" t="s">
        <v>152</v>
      </c>
    </row>
    <row r="251" spans="1:7" s="250" customFormat="1" x14ac:dyDescent="0.3">
      <c r="A251" s="251">
        <v>45869</v>
      </c>
      <c r="B251" s="247" t="s">
        <v>206</v>
      </c>
      <c r="C251" s="293" t="s">
        <v>44</v>
      </c>
      <c r="D251" s="293" t="s">
        <v>818</v>
      </c>
      <c r="E251" s="248">
        <v>-3034.93</v>
      </c>
      <c r="F251" s="249" t="s">
        <v>8</v>
      </c>
      <c r="G251" s="254" t="s">
        <v>152</v>
      </c>
    </row>
    <row r="252" spans="1:7" s="250" customFormat="1" x14ac:dyDescent="0.3">
      <c r="A252" s="251">
        <v>45869</v>
      </c>
      <c r="B252" s="247" t="s">
        <v>206</v>
      </c>
      <c r="C252" s="293" t="s">
        <v>44</v>
      </c>
      <c r="D252" s="293" t="s">
        <v>819</v>
      </c>
      <c r="E252" s="248">
        <v>-2902.63</v>
      </c>
      <c r="F252" s="249" t="s">
        <v>8</v>
      </c>
      <c r="G252" s="254" t="s">
        <v>152</v>
      </c>
    </row>
    <row r="253" spans="1:7" s="250" customFormat="1" x14ac:dyDescent="0.3">
      <c r="A253" s="251">
        <v>45869</v>
      </c>
      <c r="B253" s="247" t="s">
        <v>206</v>
      </c>
      <c r="C253" s="293" t="s">
        <v>25</v>
      </c>
      <c r="D253" s="293" t="s">
        <v>820</v>
      </c>
      <c r="E253" s="248">
        <v>-3185.1</v>
      </c>
      <c r="F253" s="249" t="s">
        <v>8</v>
      </c>
      <c r="G253" s="254" t="s">
        <v>152</v>
      </c>
    </row>
    <row r="254" spans="1:7" s="250" customFormat="1" x14ac:dyDescent="0.3">
      <c r="A254" s="251">
        <v>45869</v>
      </c>
      <c r="B254" s="247" t="s">
        <v>206</v>
      </c>
      <c r="C254" s="293" t="s">
        <v>25</v>
      </c>
      <c r="D254" s="293" t="s">
        <v>821</v>
      </c>
      <c r="E254" s="248">
        <v>-2701.72</v>
      </c>
      <c r="F254" s="249" t="s">
        <v>8</v>
      </c>
      <c r="G254" s="254" t="s">
        <v>152</v>
      </c>
    </row>
    <row r="255" spans="1:7" s="250" customFormat="1" x14ac:dyDescent="0.3">
      <c r="A255" s="251">
        <v>45869</v>
      </c>
      <c r="B255" s="247" t="s">
        <v>206</v>
      </c>
      <c r="C255" s="293" t="s">
        <v>25</v>
      </c>
      <c r="D255" s="293" t="s">
        <v>822</v>
      </c>
      <c r="E255" s="248">
        <v>-2634.1</v>
      </c>
      <c r="F255" s="249" t="s">
        <v>8</v>
      </c>
      <c r="G255" s="254" t="s">
        <v>152</v>
      </c>
    </row>
    <row r="256" spans="1:7" s="250" customFormat="1" x14ac:dyDescent="0.3">
      <c r="A256" s="251">
        <v>45869</v>
      </c>
      <c r="B256" s="247" t="s">
        <v>206</v>
      </c>
      <c r="C256" s="293" t="s">
        <v>25</v>
      </c>
      <c r="D256" s="293" t="s">
        <v>823</v>
      </c>
      <c r="E256" s="248">
        <v>-2117.89</v>
      </c>
      <c r="F256" s="249" t="s">
        <v>8</v>
      </c>
      <c r="G256" s="254" t="s">
        <v>152</v>
      </c>
    </row>
    <row r="257" spans="1:7" s="250" customFormat="1" x14ac:dyDescent="0.3">
      <c r="A257" s="251">
        <v>45869</v>
      </c>
      <c r="B257" s="247" t="s">
        <v>206</v>
      </c>
      <c r="C257" s="293" t="s">
        <v>33</v>
      </c>
      <c r="D257" s="293" t="s">
        <v>824</v>
      </c>
      <c r="E257" s="248">
        <v>-2703.07</v>
      </c>
      <c r="F257" s="249" t="s">
        <v>8</v>
      </c>
      <c r="G257" s="254" t="s">
        <v>152</v>
      </c>
    </row>
    <row r="258" spans="1:7" s="250" customFormat="1" x14ac:dyDescent="0.3">
      <c r="A258" s="251">
        <v>45869</v>
      </c>
      <c r="B258" s="247" t="s">
        <v>206</v>
      </c>
      <c r="C258" s="293" t="s">
        <v>104</v>
      </c>
      <c r="D258" s="293" t="s">
        <v>825</v>
      </c>
      <c r="E258" s="248">
        <v>-2931.59</v>
      </c>
      <c r="F258" s="249" t="s">
        <v>8</v>
      </c>
      <c r="G258" s="324" t="s">
        <v>152</v>
      </c>
    </row>
    <row r="259" spans="1:7" s="250" customFormat="1" x14ac:dyDescent="0.3">
      <c r="A259" s="251">
        <v>45869</v>
      </c>
      <c r="B259" s="247" t="s">
        <v>206</v>
      </c>
      <c r="C259" s="293" t="s">
        <v>32</v>
      </c>
      <c r="D259" s="293" t="s">
        <v>826</v>
      </c>
      <c r="E259" s="248">
        <v>-2958.07</v>
      </c>
      <c r="F259" s="249" t="s">
        <v>8</v>
      </c>
      <c r="G259" s="324" t="s">
        <v>152</v>
      </c>
    </row>
    <row r="260" spans="1:7" s="250" customFormat="1" x14ac:dyDescent="0.3">
      <c r="A260" s="251">
        <v>45869</v>
      </c>
      <c r="B260" s="247" t="s">
        <v>206</v>
      </c>
      <c r="C260" s="293" t="s">
        <v>71</v>
      </c>
      <c r="D260" s="293" t="s">
        <v>827</v>
      </c>
      <c r="E260" s="248">
        <v>-2106.31</v>
      </c>
      <c r="F260" s="249" t="s">
        <v>8</v>
      </c>
      <c r="G260" s="324" t="s">
        <v>152</v>
      </c>
    </row>
    <row r="261" spans="1:7" s="250" customFormat="1" x14ac:dyDescent="0.3">
      <c r="A261" s="251">
        <v>45869</v>
      </c>
      <c r="B261" s="247" t="s">
        <v>206</v>
      </c>
      <c r="C261" s="293" t="s">
        <v>17</v>
      </c>
      <c r="D261" s="293" t="s">
        <v>84</v>
      </c>
      <c r="E261" s="248">
        <v>-4725</v>
      </c>
      <c r="F261" s="249" t="s">
        <v>8</v>
      </c>
      <c r="G261" s="324" t="s">
        <v>152</v>
      </c>
    </row>
    <row r="262" spans="1:7" s="250" customFormat="1" x14ac:dyDescent="0.3">
      <c r="A262" s="251">
        <v>45869</v>
      </c>
      <c r="B262" s="247" t="s">
        <v>206</v>
      </c>
      <c r="C262" s="293" t="s">
        <v>17</v>
      </c>
      <c r="D262" s="293" t="s">
        <v>915</v>
      </c>
      <c r="E262" s="248">
        <v>-726.6</v>
      </c>
      <c r="F262" s="249" t="s">
        <v>8</v>
      </c>
      <c r="G262" s="254" t="s">
        <v>386</v>
      </c>
    </row>
    <row r="263" spans="1:7" s="250" customFormat="1" x14ac:dyDescent="0.3">
      <c r="A263" s="251">
        <v>45869</v>
      </c>
      <c r="B263" s="247" t="s">
        <v>206</v>
      </c>
      <c r="C263" s="293" t="s">
        <v>25</v>
      </c>
      <c r="D263" s="293" t="s">
        <v>914</v>
      </c>
      <c r="E263" s="248">
        <v>-141.81</v>
      </c>
      <c r="F263" s="249" t="s">
        <v>8</v>
      </c>
      <c r="G263" s="324" t="s">
        <v>75</v>
      </c>
    </row>
    <row r="264" spans="1:7" s="250" customFormat="1" x14ac:dyDescent="0.3">
      <c r="A264" s="251">
        <v>45869</v>
      </c>
      <c r="B264" s="247" t="s">
        <v>206</v>
      </c>
      <c r="C264" s="293" t="s">
        <v>25</v>
      </c>
      <c r="D264" s="293" t="s">
        <v>879</v>
      </c>
      <c r="E264" s="248">
        <v>-952.95</v>
      </c>
      <c r="F264" s="249" t="s">
        <v>8</v>
      </c>
      <c r="G264" s="324" t="s">
        <v>75</v>
      </c>
    </row>
    <row r="265" spans="1:7" s="250" customFormat="1" x14ac:dyDescent="0.3">
      <c r="A265" s="251">
        <v>45869</v>
      </c>
      <c r="B265" s="247" t="s">
        <v>206</v>
      </c>
      <c r="C265" s="293" t="s">
        <v>32</v>
      </c>
      <c r="D265" s="293" t="s">
        <v>880</v>
      </c>
      <c r="E265" s="248">
        <v>-1987.42</v>
      </c>
      <c r="F265" s="249" t="s">
        <v>8</v>
      </c>
      <c r="G265" s="254" t="s">
        <v>75</v>
      </c>
    </row>
    <row r="266" spans="1:7" s="139" customFormat="1" ht="27.6" x14ac:dyDescent="0.3">
      <c r="A266" s="78">
        <v>45870</v>
      </c>
      <c r="B266" s="2" t="s">
        <v>207</v>
      </c>
      <c r="C266" s="14" t="s">
        <v>25</v>
      </c>
      <c r="D266" s="7" t="s">
        <v>1100</v>
      </c>
      <c r="E266" s="8">
        <v>-214.13</v>
      </c>
      <c r="F266" s="13" t="s">
        <v>8</v>
      </c>
      <c r="G266" s="9" t="s">
        <v>815</v>
      </c>
    </row>
    <row r="267" spans="1:7" s="250" customFormat="1" x14ac:dyDescent="0.3">
      <c r="A267" s="308">
        <v>45898</v>
      </c>
      <c r="B267" s="257" t="s">
        <v>207</v>
      </c>
      <c r="C267" s="372" t="s">
        <v>17</v>
      </c>
      <c r="D267" s="396" t="s">
        <v>828</v>
      </c>
      <c r="E267" s="344">
        <v>-1500</v>
      </c>
      <c r="F267" s="373" t="s">
        <v>8</v>
      </c>
      <c r="G267" s="266" t="s">
        <v>186</v>
      </c>
    </row>
    <row r="268" spans="1:7" s="250" customFormat="1" x14ac:dyDescent="0.3">
      <c r="A268" s="251">
        <v>45930</v>
      </c>
      <c r="B268" s="247" t="s">
        <v>208</v>
      </c>
      <c r="C268" s="293" t="s">
        <v>17</v>
      </c>
      <c r="D268" s="293" t="s">
        <v>829</v>
      </c>
      <c r="E268" s="248">
        <v>-1500</v>
      </c>
      <c r="F268" s="249" t="s">
        <v>8</v>
      </c>
      <c r="G268" s="254" t="s">
        <v>186</v>
      </c>
    </row>
    <row r="269" spans="1:7" s="139" customFormat="1" hidden="1" x14ac:dyDescent="0.3">
      <c r="A269" s="87">
        <v>45961</v>
      </c>
      <c r="B269" s="23" t="s">
        <v>211</v>
      </c>
      <c r="C269" s="96" t="s">
        <v>17</v>
      </c>
      <c r="D269" s="96" t="s">
        <v>830</v>
      </c>
      <c r="E269" s="89">
        <v>-1500</v>
      </c>
      <c r="F269" s="110" t="s">
        <v>8</v>
      </c>
      <c r="G269" s="70" t="s">
        <v>186</v>
      </c>
    </row>
    <row r="270" spans="1:7" s="139" customFormat="1" hidden="1" x14ac:dyDescent="0.3">
      <c r="A270" s="78">
        <v>45989</v>
      </c>
      <c r="B270" s="2" t="s">
        <v>212</v>
      </c>
      <c r="C270" s="14" t="s">
        <v>17</v>
      </c>
      <c r="D270" s="14" t="s">
        <v>831</v>
      </c>
      <c r="E270" s="8">
        <v>-1500</v>
      </c>
      <c r="F270" s="13" t="s">
        <v>8</v>
      </c>
      <c r="G270" s="9" t="s">
        <v>186</v>
      </c>
    </row>
    <row r="271" spans="1:7" s="139" customFormat="1" hidden="1" x14ac:dyDescent="0.3">
      <c r="A271" s="78">
        <v>46021</v>
      </c>
      <c r="B271" s="2" t="s">
        <v>216</v>
      </c>
      <c r="C271" s="14" t="s">
        <v>17</v>
      </c>
      <c r="D271" s="14" t="s">
        <v>832</v>
      </c>
      <c r="E271" s="8">
        <v>-1500</v>
      </c>
      <c r="F271" s="13" t="s">
        <v>8</v>
      </c>
      <c r="G271" s="9" t="s">
        <v>186</v>
      </c>
    </row>
    <row r="272" spans="1:7" s="250" customFormat="1" x14ac:dyDescent="0.3">
      <c r="A272" s="251">
        <v>45869</v>
      </c>
      <c r="B272" s="247" t="s">
        <v>206</v>
      </c>
      <c r="C272" s="293" t="s">
        <v>17</v>
      </c>
      <c r="D272" s="293" t="s">
        <v>814</v>
      </c>
      <c r="E272" s="248">
        <v>-1500</v>
      </c>
      <c r="F272" s="249" t="s">
        <v>8</v>
      </c>
      <c r="G272" s="254" t="s">
        <v>186</v>
      </c>
    </row>
    <row r="273" spans="1:8" s="250" customFormat="1" x14ac:dyDescent="0.3">
      <c r="A273" s="251">
        <v>45869</v>
      </c>
      <c r="B273" s="247" t="s">
        <v>206</v>
      </c>
      <c r="C273" s="293" t="s">
        <v>6</v>
      </c>
      <c r="D273" s="293" t="s">
        <v>708</v>
      </c>
      <c r="E273" s="248">
        <v>-2000</v>
      </c>
      <c r="F273" s="249" t="s">
        <v>8</v>
      </c>
      <c r="G273" s="254" t="s">
        <v>186</v>
      </c>
    </row>
    <row r="274" spans="1:8" s="250" customFormat="1" x14ac:dyDescent="0.3">
      <c r="A274" s="454">
        <v>45898</v>
      </c>
      <c r="B274" s="257" t="s">
        <v>207</v>
      </c>
      <c r="C274" s="372" t="s">
        <v>6</v>
      </c>
      <c r="D274" s="396" t="s">
        <v>709</v>
      </c>
      <c r="E274" s="344">
        <v>-2000</v>
      </c>
      <c r="F274" s="373" t="s">
        <v>8</v>
      </c>
      <c r="G274" s="266" t="s">
        <v>186</v>
      </c>
    </row>
    <row r="275" spans="1:8" s="250" customFormat="1" x14ac:dyDescent="0.3">
      <c r="A275" s="251">
        <v>45930</v>
      </c>
      <c r="B275" s="247" t="s">
        <v>208</v>
      </c>
      <c r="C275" s="293" t="s">
        <v>6</v>
      </c>
      <c r="D275" s="293" t="s">
        <v>710</v>
      </c>
      <c r="E275" s="248">
        <v>-2000</v>
      </c>
      <c r="F275" s="249" t="s">
        <v>8</v>
      </c>
      <c r="G275" s="254" t="s">
        <v>186</v>
      </c>
    </row>
    <row r="276" spans="1:8" s="139" customFormat="1" hidden="1" x14ac:dyDescent="0.3">
      <c r="A276" s="87">
        <v>45961</v>
      </c>
      <c r="B276" s="23" t="s">
        <v>211</v>
      </c>
      <c r="C276" s="96" t="s">
        <v>6</v>
      </c>
      <c r="D276" s="96" t="s">
        <v>711</v>
      </c>
      <c r="E276" s="89">
        <v>-2000</v>
      </c>
      <c r="F276" s="110" t="s">
        <v>8</v>
      </c>
      <c r="G276" s="70" t="s">
        <v>186</v>
      </c>
    </row>
    <row r="277" spans="1:8" s="139" customFormat="1" hidden="1" x14ac:dyDescent="0.3">
      <c r="A277" s="78">
        <v>45989</v>
      </c>
      <c r="B277" s="2" t="s">
        <v>212</v>
      </c>
      <c r="C277" s="14" t="s">
        <v>6</v>
      </c>
      <c r="D277" s="14" t="s">
        <v>712</v>
      </c>
      <c r="E277" s="8">
        <v>-2000</v>
      </c>
      <c r="F277" s="13" t="s">
        <v>8</v>
      </c>
      <c r="G277" s="9" t="s">
        <v>186</v>
      </c>
    </row>
    <row r="278" spans="1:8" s="139" customFormat="1" hidden="1" x14ac:dyDescent="0.3">
      <c r="A278" s="78">
        <v>46021</v>
      </c>
      <c r="B278" s="2" t="s">
        <v>216</v>
      </c>
      <c r="C278" s="14" t="s">
        <v>6</v>
      </c>
      <c r="D278" s="14" t="s">
        <v>713</v>
      </c>
      <c r="E278" s="8">
        <v>-2000</v>
      </c>
      <c r="F278" s="13" t="s">
        <v>8</v>
      </c>
      <c r="G278" s="9" t="s">
        <v>186</v>
      </c>
    </row>
    <row r="279" spans="1:8" s="250" customFormat="1" x14ac:dyDescent="0.3">
      <c r="A279" s="251">
        <v>45869</v>
      </c>
      <c r="B279" s="247" t="s">
        <v>206</v>
      </c>
      <c r="C279" s="293" t="s">
        <v>44</v>
      </c>
      <c r="D279" s="293" t="s">
        <v>560</v>
      </c>
      <c r="E279" s="248">
        <v>-875.98</v>
      </c>
      <c r="F279" s="249" t="s">
        <v>8</v>
      </c>
      <c r="G279" s="310" t="s">
        <v>203</v>
      </c>
    </row>
    <row r="280" spans="1:8" s="250" customFormat="1" x14ac:dyDescent="0.3">
      <c r="A280" s="251">
        <v>45869</v>
      </c>
      <c r="B280" s="247" t="s">
        <v>206</v>
      </c>
      <c r="C280" s="299" t="s">
        <v>17</v>
      </c>
      <c r="D280" s="300" t="s">
        <v>140</v>
      </c>
      <c r="E280" s="301">
        <v>-12331.74</v>
      </c>
      <c r="F280" s="249" t="s">
        <v>8</v>
      </c>
      <c r="G280" s="310" t="s">
        <v>58</v>
      </c>
    </row>
    <row r="281" spans="1:8" s="250" customFormat="1" x14ac:dyDescent="0.3">
      <c r="A281" s="251">
        <v>45869</v>
      </c>
      <c r="B281" s="247" t="s">
        <v>206</v>
      </c>
      <c r="C281" s="299" t="s">
        <v>6</v>
      </c>
      <c r="D281" s="299" t="s">
        <v>144</v>
      </c>
      <c r="E281" s="319">
        <v>-32356.7</v>
      </c>
      <c r="F281" s="249" t="s">
        <v>8</v>
      </c>
      <c r="G281" s="315" t="s">
        <v>124</v>
      </c>
    </row>
    <row r="282" spans="1:8" s="250" customFormat="1" x14ac:dyDescent="0.3">
      <c r="A282" s="251">
        <v>45869</v>
      </c>
      <c r="B282" s="247" t="s">
        <v>206</v>
      </c>
      <c r="C282" s="299" t="s">
        <v>6</v>
      </c>
      <c r="D282" s="299" t="s">
        <v>889</v>
      </c>
      <c r="E282" s="248">
        <v>-6924.55</v>
      </c>
      <c r="F282" s="249" t="s">
        <v>8</v>
      </c>
      <c r="G282" s="307" t="s">
        <v>97</v>
      </c>
    </row>
    <row r="283" spans="1:8" s="250" customFormat="1" x14ac:dyDescent="0.3">
      <c r="A283" s="251">
        <v>45868</v>
      </c>
      <c r="B283" s="247" t="s">
        <v>206</v>
      </c>
      <c r="C283" s="299" t="s">
        <v>17</v>
      </c>
      <c r="D283" s="293" t="s">
        <v>146</v>
      </c>
      <c r="E283" s="301">
        <v>-1500</v>
      </c>
      <c r="F283" s="249" t="s">
        <v>8</v>
      </c>
      <c r="G283" s="307" t="s">
        <v>147</v>
      </c>
    </row>
    <row r="284" spans="1:8" s="139" customFormat="1" x14ac:dyDescent="0.3">
      <c r="A284" s="78">
        <v>45870</v>
      </c>
      <c r="B284" s="2" t="s">
        <v>207</v>
      </c>
      <c r="C284" s="12" t="s">
        <v>17</v>
      </c>
      <c r="D284" s="7" t="s">
        <v>933</v>
      </c>
      <c r="E284" s="153">
        <v>-100</v>
      </c>
      <c r="F284" s="13" t="s">
        <v>8</v>
      </c>
      <c r="G284" s="83" t="s">
        <v>932</v>
      </c>
    </row>
    <row r="285" spans="1:8" s="250" customFormat="1" x14ac:dyDescent="0.3">
      <c r="A285" s="251">
        <v>45868</v>
      </c>
      <c r="B285" s="247" t="s">
        <v>206</v>
      </c>
      <c r="C285" s="293" t="s">
        <v>71</v>
      </c>
      <c r="D285" s="293" t="s">
        <v>905</v>
      </c>
      <c r="E285" s="297">
        <v>-387.74</v>
      </c>
      <c r="F285" s="249" t="s">
        <v>8</v>
      </c>
      <c r="G285" s="303" t="s">
        <v>203</v>
      </c>
    </row>
    <row r="286" spans="1:8" s="305" customFormat="1" x14ac:dyDescent="0.3">
      <c r="A286" s="455">
        <v>45868</v>
      </c>
      <c r="B286" s="456" t="s">
        <v>206</v>
      </c>
      <c r="C286" s="457" t="s">
        <v>71</v>
      </c>
      <c r="D286" s="457" t="s">
        <v>903</v>
      </c>
      <c r="E286" s="458">
        <v>-1330</v>
      </c>
      <c r="F286" s="459" t="s">
        <v>8</v>
      </c>
      <c r="G286" s="458" t="s">
        <v>203</v>
      </c>
      <c r="H286" s="250"/>
    </row>
    <row r="287" spans="1:8" s="250" customFormat="1" x14ac:dyDescent="0.3">
      <c r="A287" s="251">
        <v>45930</v>
      </c>
      <c r="B287" s="316" t="s">
        <v>208</v>
      </c>
      <c r="C287" s="299" t="s">
        <v>17</v>
      </c>
      <c r="D287" s="293" t="s">
        <v>1599</v>
      </c>
      <c r="E287" s="301">
        <v>-5000</v>
      </c>
      <c r="F287" s="249" t="s">
        <v>8</v>
      </c>
      <c r="G287" s="307" t="s">
        <v>153</v>
      </c>
    </row>
    <row r="288" spans="1:8" s="250" customFormat="1" x14ac:dyDescent="0.3">
      <c r="A288" s="404">
        <v>45869</v>
      </c>
      <c r="B288" s="482" t="s">
        <v>206</v>
      </c>
      <c r="C288" s="385" t="s">
        <v>17</v>
      </c>
      <c r="D288" s="483" t="s">
        <v>912</v>
      </c>
      <c r="E288" s="484">
        <v>-6479.07</v>
      </c>
      <c r="F288" s="402" t="s">
        <v>8</v>
      </c>
      <c r="G288" s="485" t="s">
        <v>124</v>
      </c>
    </row>
    <row r="289" spans="1:8" s="250" customFormat="1" x14ac:dyDescent="0.3">
      <c r="A289" s="251">
        <v>45869</v>
      </c>
      <c r="B289" s="247" t="s">
        <v>206</v>
      </c>
      <c r="C289" s="299" t="s">
        <v>44</v>
      </c>
      <c r="D289" s="293" t="s">
        <v>758</v>
      </c>
      <c r="E289" s="301">
        <v>-547.91999999999996</v>
      </c>
      <c r="F289" s="249" t="s">
        <v>8</v>
      </c>
      <c r="G289" s="315" t="s">
        <v>124</v>
      </c>
    </row>
    <row r="290" spans="1:8" s="139" customFormat="1" x14ac:dyDescent="0.3">
      <c r="A290" s="78">
        <v>45862</v>
      </c>
      <c r="B290" s="2" t="s">
        <v>206</v>
      </c>
      <c r="C290" s="14" t="s">
        <v>6</v>
      </c>
      <c r="D290" s="14" t="s">
        <v>843</v>
      </c>
      <c r="E290" s="242">
        <v>-49.2</v>
      </c>
      <c r="F290" s="9" t="s">
        <v>8</v>
      </c>
      <c r="G290" s="9" t="s">
        <v>82</v>
      </c>
    </row>
    <row r="291" spans="1:8" s="139" customFormat="1" x14ac:dyDescent="0.3">
      <c r="A291" s="78">
        <v>45862</v>
      </c>
      <c r="B291" s="2" t="s">
        <v>206</v>
      </c>
      <c r="C291" s="14" t="s">
        <v>25</v>
      </c>
      <c r="D291" s="14" t="s">
        <v>802</v>
      </c>
      <c r="E291" s="240">
        <v>-118</v>
      </c>
      <c r="F291" s="9" t="s">
        <v>8</v>
      </c>
      <c r="G291" s="9" t="s">
        <v>82</v>
      </c>
    </row>
    <row r="292" spans="1:8" s="139" customFormat="1" x14ac:dyDescent="0.3">
      <c r="A292" s="78">
        <v>45862</v>
      </c>
      <c r="B292" s="2" t="s">
        <v>206</v>
      </c>
      <c r="C292" s="14" t="s">
        <v>17</v>
      </c>
      <c r="D292" s="14" t="s">
        <v>803</v>
      </c>
      <c r="E292" s="8">
        <v>-86.1</v>
      </c>
      <c r="F292" s="9" t="s">
        <v>8</v>
      </c>
      <c r="G292" s="9" t="s">
        <v>82</v>
      </c>
    </row>
    <row r="293" spans="1:8" s="250" customFormat="1" x14ac:dyDescent="0.3">
      <c r="A293" s="251">
        <v>45869</v>
      </c>
      <c r="B293" s="247" t="s">
        <v>206</v>
      </c>
      <c r="C293" s="299" t="s">
        <v>44</v>
      </c>
      <c r="D293" s="293" t="s">
        <v>908</v>
      </c>
      <c r="E293" s="319">
        <v>-896.2</v>
      </c>
      <c r="F293" s="249" t="s">
        <v>8</v>
      </c>
      <c r="G293" s="315" t="s">
        <v>124</v>
      </c>
    </row>
    <row r="294" spans="1:8" s="250" customFormat="1" x14ac:dyDescent="0.3">
      <c r="A294" s="251">
        <v>45869</v>
      </c>
      <c r="B294" s="247" t="s">
        <v>206</v>
      </c>
      <c r="C294" s="299" t="s">
        <v>44</v>
      </c>
      <c r="D294" s="293" t="s">
        <v>909</v>
      </c>
      <c r="E294" s="319">
        <v>-4167.3599999999997</v>
      </c>
      <c r="F294" s="249" t="s">
        <v>8</v>
      </c>
      <c r="G294" s="315" t="s">
        <v>124</v>
      </c>
    </row>
    <row r="295" spans="1:8" s="250" customFormat="1" x14ac:dyDescent="0.3">
      <c r="A295" s="251">
        <v>45869</v>
      </c>
      <c r="B295" s="247" t="s">
        <v>206</v>
      </c>
      <c r="C295" s="293" t="s">
        <v>6</v>
      </c>
      <c r="D295" s="293" t="s">
        <v>910</v>
      </c>
      <c r="E295" s="319">
        <v>-1584.61</v>
      </c>
      <c r="F295" s="249" t="s">
        <v>8</v>
      </c>
      <c r="G295" s="315" t="s">
        <v>124</v>
      </c>
    </row>
    <row r="296" spans="1:8" s="250" customFormat="1" x14ac:dyDescent="0.3">
      <c r="A296" s="251">
        <v>45869</v>
      </c>
      <c r="B296" s="247" t="s">
        <v>206</v>
      </c>
      <c r="C296" s="300" t="s">
        <v>13</v>
      </c>
      <c r="D296" s="293" t="s">
        <v>911</v>
      </c>
      <c r="E296" s="319">
        <v>-744.15</v>
      </c>
      <c r="F296" s="249" t="s">
        <v>8</v>
      </c>
      <c r="G296" s="315" t="s">
        <v>124</v>
      </c>
    </row>
    <row r="297" spans="1:8" s="250" customFormat="1" x14ac:dyDescent="0.3">
      <c r="A297" s="251">
        <v>45869</v>
      </c>
      <c r="B297" s="247" t="s">
        <v>206</v>
      </c>
      <c r="C297" s="293" t="s">
        <v>31</v>
      </c>
      <c r="D297" s="304" t="s">
        <v>907</v>
      </c>
      <c r="E297" s="303">
        <v>-527.71</v>
      </c>
      <c r="F297" s="313" t="s">
        <v>8</v>
      </c>
      <c r="G297" s="314" t="s">
        <v>124</v>
      </c>
    </row>
    <row r="298" spans="1:8" s="250" customFormat="1" x14ac:dyDescent="0.3">
      <c r="A298" s="251">
        <v>45869</v>
      </c>
      <c r="B298" s="247" t="s">
        <v>206</v>
      </c>
      <c r="C298" s="262" t="s">
        <v>25</v>
      </c>
      <c r="D298" s="262" t="s">
        <v>769</v>
      </c>
      <c r="E298" s="312">
        <v>-511.22</v>
      </c>
      <c r="F298" s="313" t="s">
        <v>8</v>
      </c>
      <c r="G298" s="314" t="s">
        <v>124</v>
      </c>
    </row>
    <row r="299" spans="1:8" s="250" customFormat="1" x14ac:dyDescent="0.3">
      <c r="A299" s="251">
        <v>45869</v>
      </c>
      <c r="B299" s="247" t="s">
        <v>206</v>
      </c>
      <c r="C299" s="311" t="s">
        <v>17</v>
      </c>
      <c r="D299" s="262" t="s">
        <v>913</v>
      </c>
      <c r="E299" s="312">
        <v>-4331.1099999999997</v>
      </c>
      <c r="F299" s="313" t="s">
        <v>8</v>
      </c>
      <c r="G299" s="314" t="s">
        <v>124</v>
      </c>
    </row>
    <row r="300" spans="1:8" s="250" customFormat="1" x14ac:dyDescent="0.3">
      <c r="A300" s="251">
        <v>45869</v>
      </c>
      <c r="B300" s="247" t="s">
        <v>206</v>
      </c>
      <c r="C300" s="311" t="s">
        <v>393</v>
      </c>
      <c r="D300" s="262" t="s">
        <v>770</v>
      </c>
      <c r="E300" s="312">
        <v>-521.20000000000005</v>
      </c>
      <c r="F300" s="313" t="s">
        <v>8</v>
      </c>
      <c r="G300" s="314" t="s">
        <v>124</v>
      </c>
    </row>
    <row r="301" spans="1:8" s="250" customFormat="1" x14ac:dyDescent="0.3">
      <c r="A301" s="251">
        <v>45869</v>
      </c>
      <c r="B301" s="247" t="s">
        <v>206</v>
      </c>
      <c r="C301" s="311" t="s">
        <v>33</v>
      </c>
      <c r="D301" s="262" t="s">
        <v>771</v>
      </c>
      <c r="E301" s="312">
        <v>-525.48</v>
      </c>
      <c r="F301" s="313" t="s">
        <v>8</v>
      </c>
      <c r="G301" s="314" t="s">
        <v>124</v>
      </c>
    </row>
    <row r="302" spans="1:8" s="250" customFormat="1" x14ac:dyDescent="0.3">
      <c r="A302" s="251">
        <v>45868</v>
      </c>
      <c r="B302" s="247" t="s">
        <v>206</v>
      </c>
      <c r="C302" s="300" t="s">
        <v>44</v>
      </c>
      <c r="D302" s="299" t="s">
        <v>158</v>
      </c>
      <c r="E302" s="301">
        <v>-1719.53</v>
      </c>
      <c r="F302" s="249" t="s">
        <v>8</v>
      </c>
      <c r="G302" s="307" t="s">
        <v>91</v>
      </c>
    </row>
    <row r="303" spans="1:8" s="250" customFormat="1" x14ac:dyDescent="0.3">
      <c r="A303" s="308">
        <v>45868</v>
      </c>
      <c r="B303" s="257" t="s">
        <v>206</v>
      </c>
      <c r="C303" s="300" t="s">
        <v>6</v>
      </c>
      <c r="D303" s="299" t="s">
        <v>158</v>
      </c>
      <c r="E303" s="301">
        <v>-1392.65</v>
      </c>
      <c r="F303" s="249" t="s">
        <v>8</v>
      </c>
      <c r="G303" s="307" t="s">
        <v>91</v>
      </c>
    </row>
    <row r="304" spans="1:8" x14ac:dyDescent="0.3">
      <c r="A304" s="60">
        <v>45839</v>
      </c>
      <c r="B304" s="50" t="s">
        <v>206</v>
      </c>
      <c r="C304" s="120" t="s">
        <v>159</v>
      </c>
      <c r="D304" s="29" t="s">
        <v>160</v>
      </c>
      <c r="E304" s="30">
        <v>900</v>
      </c>
      <c r="F304" s="167" t="s">
        <v>161</v>
      </c>
      <c r="G304" s="61" t="s">
        <v>162</v>
      </c>
      <c r="H304" s="130"/>
    </row>
    <row r="305" spans="1:8" x14ac:dyDescent="0.3">
      <c r="A305" s="60">
        <v>45839</v>
      </c>
      <c r="B305" s="50" t="s">
        <v>206</v>
      </c>
      <c r="C305" s="120" t="s">
        <v>159</v>
      </c>
      <c r="D305" s="29" t="s">
        <v>160</v>
      </c>
      <c r="E305" s="30">
        <v>23638.67</v>
      </c>
      <c r="F305" s="167" t="s">
        <v>161</v>
      </c>
      <c r="G305" s="61" t="s">
        <v>162</v>
      </c>
      <c r="H305" s="130"/>
    </row>
    <row r="306" spans="1:8" x14ac:dyDescent="0.3">
      <c r="A306" s="60">
        <v>45839</v>
      </c>
      <c r="B306" s="50" t="s">
        <v>206</v>
      </c>
      <c r="C306" s="120" t="s">
        <v>159</v>
      </c>
      <c r="D306" s="29" t="s">
        <v>160</v>
      </c>
      <c r="E306" s="30">
        <v>2700</v>
      </c>
      <c r="F306" s="167" t="s">
        <v>161</v>
      </c>
      <c r="G306" s="61" t="s">
        <v>162</v>
      </c>
      <c r="H306" s="130"/>
    </row>
    <row r="307" spans="1:8" x14ac:dyDescent="0.3">
      <c r="A307" s="60">
        <v>45839</v>
      </c>
      <c r="B307" s="50" t="s">
        <v>206</v>
      </c>
      <c r="C307" s="120" t="s">
        <v>163</v>
      </c>
      <c r="D307" s="29" t="s">
        <v>164</v>
      </c>
      <c r="E307" s="30">
        <v>18532.8</v>
      </c>
      <c r="F307" s="167" t="s">
        <v>161</v>
      </c>
      <c r="G307" s="61" t="s">
        <v>162</v>
      </c>
      <c r="H307" s="130"/>
    </row>
    <row r="308" spans="1:8" x14ac:dyDescent="0.3">
      <c r="A308" s="60">
        <v>45839</v>
      </c>
      <c r="B308" s="50" t="s">
        <v>206</v>
      </c>
      <c r="C308" s="120" t="s">
        <v>163</v>
      </c>
      <c r="D308" s="29" t="s">
        <v>164</v>
      </c>
      <c r="E308" s="30">
        <v>799.2</v>
      </c>
      <c r="F308" s="167" t="s">
        <v>161</v>
      </c>
      <c r="G308" s="61" t="s">
        <v>162</v>
      </c>
      <c r="H308" s="130"/>
    </row>
    <row r="309" spans="1:8" x14ac:dyDescent="0.3">
      <c r="A309" s="60">
        <v>45839</v>
      </c>
      <c r="B309" s="50" t="s">
        <v>206</v>
      </c>
      <c r="C309" s="120" t="s">
        <v>163</v>
      </c>
      <c r="D309" s="29" t="s">
        <v>164</v>
      </c>
      <c r="E309" s="30">
        <v>1200</v>
      </c>
      <c r="F309" s="167" t="s">
        <v>161</v>
      </c>
      <c r="G309" s="61" t="s">
        <v>162</v>
      </c>
      <c r="H309" s="130"/>
    </row>
    <row r="310" spans="1:8" x14ac:dyDescent="0.3">
      <c r="A310" s="60">
        <v>45839</v>
      </c>
      <c r="B310" s="50" t="s">
        <v>206</v>
      </c>
      <c r="C310" s="120" t="s">
        <v>165</v>
      </c>
      <c r="D310" s="29" t="s">
        <v>166</v>
      </c>
      <c r="E310" s="30">
        <v>22451.91</v>
      </c>
      <c r="F310" s="167" t="s">
        <v>161</v>
      </c>
      <c r="G310" s="61" t="s">
        <v>162</v>
      </c>
      <c r="H310" s="130"/>
    </row>
    <row r="311" spans="1:8" x14ac:dyDescent="0.3">
      <c r="A311" s="60">
        <v>45839</v>
      </c>
      <c r="B311" s="50" t="s">
        <v>206</v>
      </c>
      <c r="C311" s="120" t="s">
        <v>167</v>
      </c>
      <c r="D311" s="31" t="s">
        <v>168</v>
      </c>
      <c r="E311" s="30">
        <v>196</v>
      </c>
      <c r="F311" s="167" t="s">
        <v>161</v>
      </c>
      <c r="G311" s="61" t="s">
        <v>162</v>
      </c>
      <c r="H311" s="130"/>
    </row>
    <row r="312" spans="1:8" x14ac:dyDescent="0.3">
      <c r="A312" s="60">
        <v>45839</v>
      </c>
      <c r="B312" s="50" t="s">
        <v>206</v>
      </c>
      <c r="C312" s="120" t="s">
        <v>167</v>
      </c>
      <c r="D312" s="31" t="s">
        <v>168</v>
      </c>
      <c r="E312" s="30">
        <v>1500</v>
      </c>
      <c r="F312" s="167" t="s">
        <v>161</v>
      </c>
      <c r="G312" s="61" t="s">
        <v>162</v>
      </c>
      <c r="H312" s="130"/>
    </row>
    <row r="313" spans="1:8" x14ac:dyDescent="0.3">
      <c r="A313" s="60">
        <v>45839</v>
      </c>
      <c r="B313" s="50" t="s">
        <v>206</v>
      </c>
      <c r="C313" s="120" t="s">
        <v>167</v>
      </c>
      <c r="D313" s="31" t="s">
        <v>367</v>
      </c>
      <c r="E313" s="30">
        <v>1200</v>
      </c>
      <c r="F313" s="167" t="s">
        <v>161</v>
      </c>
      <c r="G313" s="61" t="s">
        <v>162</v>
      </c>
      <c r="H313" s="130"/>
    </row>
    <row r="314" spans="1:8" x14ac:dyDescent="0.3">
      <c r="A314" s="60">
        <v>45839</v>
      </c>
      <c r="B314" s="50" t="s">
        <v>206</v>
      </c>
      <c r="C314" s="120" t="s">
        <v>167</v>
      </c>
      <c r="D314" s="31" t="s">
        <v>367</v>
      </c>
      <c r="E314" s="30">
        <v>21852.37</v>
      </c>
      <c r="F314" s="167" t="s">
        <v>161</v>
      </c>
      <c r="G314" s="61" t="s">
        <v>162</v>
      </c>
      <c r="H314" s="130"/>
    </row>
    <row r="315" spans="1:8" x14ac:dyDescent="0.3">
      <c r="A315" s="60">
        <v>45839</v>
      </c>
      <c r="B315" s="50" t="s">
        <v>206</v>
      </c>
      <c r="C315" s="120" t="s">
        <v>167</v>
      </c>
      <c r="D315" s="32" t="s">
        <v>367</v>
      </c>
      <c r="E315" s="30">
        <v>4683.53</v>
      </c>
      <c r="F315" s="167" t="s">
        <v>161</v>
      </c>
      <c r="G315" s="61" t="s">
        <v>162</v>
      </c>
      <c r="H315" s="130"/>
    </row>
    <row r="316" spans="1:8" x14ac:dyDescent="0.3">
      <c r="A316" s="60">
        <v>45839</v>
      </c>
      <c r="B316" s="50" t="s">
        <v>206</v>
      </c>
      <c r="C316" s="120" t="s">
        <v>167</v>
      </c>
      <c r="D316" s="31" t="s">
        <v>168</v>
      </c>
      <c r="E316" s="30">
        <v>23943.3</v>
      </c>
      <c r="F316" s="167" t="s">
        <v>161</v>
      </c>
      <c r="G316" s="61" t="s">
        <v>162</v>
      </c>
      <c r="H316" s="130"/>
    </row>
    <row r="317" spans="1:8" x14ac:dyDescent="0.3">
      <c r="A317" s="60">
        <v>45839</v>
      </c>
      <c r="B317" s="50" t="s">
        <v>206</v>
      </c>
      <c r="C317" s="120" t="s">
        <v>167</v>
      </c>
      <c r="D317" s="31" t="s">
        <v>168</v>
      </c>
      <c r="E317" s="30">
        <v>14482.07</v>
      </c>
      <c r="F317" s="167" t="s">
        <v>161</v>
      </c>
      <c r="G317" s="61" t="s">
        <v>162</v>
      </c>
      <c r="H317" s="130"/>
    </row>
    <row r="318" spans="1:8" s="139" customFormat="1" x14ac:dyDescent="0.3">
      <c r="A318" s="182">
        <v>45848</v>
      </c>
      <c r="B318" s="23" t="s">
        <v>206</v>
      </c>
      <c r="C318" s="108" t="s">
        <v>13</v>
      </c>
      <c r="D318" s="88" t="s">
        <v>169</v>
      </c>
      <c r="E318" s="89">
        <v>-25275.45</v>
      </c>
      <c r="F318" s="110" t="s">
        <v>8</v>
      </c>
      <c r="G318" s="70" t="s">
        <v>27</v>
      </c>
      <c r="H318" s="143"/>
    </row>
    <row r="319" spans="1:8" s="132" customFormat="1" x14ac:dyDescent="0.3">
      <c r="A319" s="170">
        <v>45848</v>
      </c>
      <c r="B319" s="171" t="s">
        <v>206</v>
      </c>
      <c r="C319" s="172" t="s">
        <v>71</v>
      </c>
      <c r="D319" s="172" t="s">
        <v>229</v>
      </c>
      <c r="E319" s="173">
        <v>-968.52</v>
      </c>
      <c r="F319" s="27" t="s">
        <v>8</v>
      </c>
      <c r="G319" s="174" t="s">
        <v>227</v>
      </c>
      <c r="H319" s="143"/>
    </row>
    <row r="320" spans="1:8" x14ac:dyDescent="0.3">
      <c r="A320" s="60">
        <v>45848</v>
      </c>
      <c r="B320" s="50" t="s">
        <v>206</v>
      </c>
      <c r="C320" s="120" t="s">
        <v>170</v>
      </c>
      <c r="D320" s="73" t="s">
        <v>171</v>
      </c>
      <c r="E320" s="30">
        <v>40231.050000000003</v>
      </c>
      <c r="F320" s="167" t="s">
        <v>161</v>
      </c>
      <c r="G320" s="61" t="s">
        <v>162</v>
      </c>
    </row>
    <row r="321" spans="1:8" x14ac:dyDescent="0.3">
      <c r="A321" s="60">
        <v>45867</v>
      </c>
      <c r="B321" s="50" t="s">
        <v>206</v>
      </c>
      <c r="C321" s="120" t="s">
        <v>170</v>
      </c>
      <c r="D321" s="29" t="s">
        <v>172</v>
      </c>
      <c r="E321" s="58">
        <v>4880.1400000000003</v>
      </c>
      <c r="F321" s="167" t="s">
        <v>161</v>
      </c>
      <c r="G321" s="61" t="s">
        <v>162</v>
      </c>
      <c r="H321" s="130"/>
    </row>
    <row r="322" spans="1:8" x14ac:dyDescent="0.3">
      <c r="A322" s="60">
        <v>45849</v>
      </c>
      <c r="B322" s="50" t="s">
        <v>206</v>
      </c>
      <c r="C322" s="120" t="s">
        <v>167</v>
      </c>
      <c r="D322" s="29" t="s">
        <v>173</v>
      </c>
      <c r="E322" s="58">
        <v>1106.1400000000001</v>
      </c>
      <c r="F322" s="167" t="s">
        <v>161</v>
      </c>
      <c r="G322" s="61" t="s">
        <v>162</v>
      </c>
      <c r="H322" s="130"/>
    </row>
    <row r="323" spans="1:8" x14ac:dyDescent="0.3">
      <c r="A323" s="60">
        <v>45849</v>
      </c>
      <c r="B323" s="50" t="s">
        <v>206</v>
      </c>
      <c r="C323" s="120" t="s">
        <v>167</v>
      </c>
      <c r="D323" s="29" t="s">
        <v>173</v>
      </c>
      <c r="E323" s="58">
        <v>603.26</v>
      </c>
      <c r="F323" s="167" t="s">
        <v>161</v>
      </c>
      <c r="G323" s="61" t="s">
        <v>162</v>
      </c>
      <c r="H323" s="130"/>
    </row>
    <row r="324" spans="1:8" x14ac:dyDescent="0.3">
      <c r="A324" s="60">
        <v>45849</v>
      </c>
      <c r="B324" s="50" t="s">
        <v>206</v>
      </c>
      <c r="C324" s="120" t="s">
        <v>167</v>
      </c>
      <c r="D324" s="29" t="s">
        <v>173</v>
      </c>
      <c r="E324" s="58">
        <v>9631</v>
      </c>
      <c r="F324" s="167" t="s">
        <v>161</v>
      </c>
      <c r="G324" s="61" t="s">
        <v>162</v>
      </c>
      <c r="H324" s="165"/>
    </row>
    <row r="325" spans="1:8" x14ac:dyDescent="0.3">
      <c r="A325" s="60">
        <v>45849</v>
      </c>
      <c r="B325" s="50" t="s">
        <v>206</v>
      </c>
      <c r="C325" s="120" t="s">
        <v>174</v>
      </c>
      <c r="D325" s="29" t="s">
        <v>175</v>
      </c>
      <c r="E325" s="58">
        <v>257.81</v>
      </c>
      <c r="F325" s="167" t="s">
        <v>161</v>
      </c>
      <c r="G325" s="61" t="s">
        <v>162</v>
      </c>
      <c r="H325" s="165"/>
    </row>
    <row r="326" spans="1:8" x14ac:dyDescent="0.3">
      <c r="A326" s="60">
        <v>45849</v>
      </c>
      <c r="B326" s="50" t="s">
        <v>206</v>
      </c>
      <c r="C326" s="120" t="s">
        <v>174</v>
      </c>
      <c r="D326" s="29" t="s">
        <v>176</v>
      </c>
      <c r="E326" s="58">
        <v>680.03</v>
      </c>
      <c r="F326" s="167" t="s">
        <v>161</v>
      </c>
      <c r="G326" s="61" t="s">
        <v>162</v>
      </c>
      <c r="H326" s="165"/>
    </row>
    <row r="327" spans="1:8" x14ac:dyDescent="0.3">
      <c r="A327" s="60">
        <v>45849</v>
      </c>
      <c r="B327" s="50" t="s">
        <v>206</v>
      </c>
      <c r="C327" s="120" t="s">
        <v>31</v>
      </c>
      <c r="D327" s="29" t="s">
        <v>487</v>
      </c>
      <c r="E327" s="333">
        <v>2800.33</v>
      </c>
      <c r="F327" s="167" t="s">
        <v>161</v>
      </c>
      <c r="G327" s="61" t="s">
        <v>162</v>
      </c>
      <c r="H327" s="165"/>
    </row>
    <row r="328" spans="1:8" x14ac:dyDescent="0.3">
      <c r="A328" s="60">
        <v>45849</v>
      </c>
      <c r="B328" s="50" t="s">
        <v>206</v>
      </c>
      <c r="C328" s="120" t="s">
        <v>31</v>
      </c>
      <c r="D328" s="29" t="s">
        <v>487</v>
      </c>
      <c r="E328" s="30">
        <v>22930</v>
      </c>
      <c r="F328" s="167" t="s">
        <v>161</v>
      </c>
      <c r="G328" s="61" t="s">
        <v>162</v>
      </c>
      <c r="H328" s="165"/>
    </row>
    <row r="329" spans="1:8" x14ac:dyDescent="0.3">
      <c r="A329" s="60">
        <v>45849</v>
      </c>
      <c r="B329" s="50" t="s">
        <v>206</v>
      </c>
      <c r="C329" s="120" t="s">
        <v>177</v>
      </c>
      <c r="D329" s="29" t="s">
        <v>179</v>
      </c>
      <c r="E329" s="30">
        <v>496.96</v>
      </c>
      <c r="F329" s="167" t="s">
        <v>161</v>
      </c>
      <c r="G329" s="61" t="s">
        <v>488</v>
      </c>
      <c r="H329" s="165"/>
    </row>
    <row r="330" spans="1:8" x14ac:dyDescent="0.3">
      <c r="A330" s="60">
        <v>45849</v>
      </c>
      <c r="B330" s="50" t="s">
        <v>206</v>
      </c>
      <c r="C330" s="120" t="s">
        <v>25</v>
      </c>
      <c r="D330" s="29" t="s">
        <v>179</v>
      </c>
      <c r="E330" s="30">
        <v>7850</v>
      </c>
      <c r="F330" s="167" t="s">
        <v>161</v>
      </c>
      <c r="G330" s="61" t="s">
        <v>162</v>
      </c>
      <c r="H330" s="165"/>
    </row>
    <row r="331" spans="1:8" x14ac:dyDescent="0.3">
      <c r="A331" s="60">
        <v>45849</v>
      </c>
      <c r="B331" s="50" t="s">
        <v>206</v>
      </c>
      <c r="C331" s="120" t="s">
        <v>33</v>
      </c>
      <c r="D331" s="122" t="s">
        <v>685</v>
      </c>
      <c r="E331" s="30">
        <v>42961.04</v>
      </c>
      <c r="F331" s="167" t="s">
        <v>161</v>
      </c>
      <c r="G331" s="61" t="s">
        <v>488</v>
      </c>
      <c r="H331" s="165"/>
    </row>
    <row r="332" spans="1:8" x14ac:dyDescent="0.3">
      <c r="A332" s="60">
        <v>45849</v>
      </c>
      <c r="B332" s="50" t="s">
        <v>206</v>
      </c>
      <c r="C332" s="120" t="s">
        <v>177</v>
      </c>
      <c r="D332" s="122" t="s">
        <v>178</v>
      </c>
      <c r="E332" s="30">
        <v>24988.71</v>
      </c>
      <c r="F332" s="167" t="s">
        <v>161</v>
      </c>
      <c r="G332" s="61" t="s">
        <v>162</v>
      </c>
      <c r="H332" s="165"/>
    </row>
    <row r="333" spans="1:8" x14ac:dyDescent="0.3">
      <c r="A333" s="60">
        <v>45849</v>
      </c>
      <c r="B333" s="50" t="s">
        <v>206</v>
      </c>
      <c r="C333" s="120" t="s">
        <v>177</v>
      </c>
      <c r="D333" s="122" t="s">
        <v>178</v>
      </c>
      <c r="E333" s="30">
        <v>16834.330000000002</v>
      </c>
      <c r="F333" s="167" t="s">
        <v>161</v>
      </c>
      <c r="G333" s="61" t="s">
        <v>162</v>
      </c>
      <c r="H333" s="130"/>
    </row>
    <row r="334" spans="1:8" x14ac:dyDescent="0.3">
      <c r="A334" s="60">
        <v>45849</v>
      </c>
      <c r="B334" s="50" t="s">
        <v>206</v>
      </c>
      <c r="C334" s="120" t="s">
        <v>177</v>
      </c>
      <c r="D334" s="122" t="s">
        <v>178</v>
      </c>
      <c r="E334" s="30">
        <v>12459.61</v>
      </c>
      <c r="F334" s="167" t="s">
        <v>161</v>
      </c>
      <c r="G334" s="61" t="s">
        <v>162</v>
      </c>
      <c r="H334" s="165"/>
    </row>
    <row r="335" spans="1:8" x14ac:dyDescent="0.3">
      <c r="A335" s="60">
        <v>45841</v>
      </c>
      <c r="B335" s="50" t="s">
        <v>206</v>
      </c>
      <c r="C335" s="120" t="s">
        <v>177</v>
      </c>
      <c r="D335" s="122" t="s">
        <v>178</v>
      </c>
      <c r="E335" s="30">
        <v>2284.4499999999998</v>
      </c>
      <c r="F335" s="167" t="s">
        <v>161</v>
      </c>
      <c r="G335" s="61" t="s">
        <v>162</v>
      </c>
      <c r="H335" s="165"/>
    </row>
    <row r="336" spans="1:8" x14ac:dyDescent="0.3">
      <c r="A336" s="60">
        <v>45853</v>
      </c>
      <c r="B336" s="50" t="s">
        <v>206</v>
      </c>
      <c r="C336" s="120" t="s">
        <v>177</v>
      </c>
      <c r="D336" s="122" t="s">
        <v>178</v>
      </c>
      <c r="E336" s="30">
        <v>268.13</v>
      </c>
      <c r="F336" s="167" t="s">
        <v>161</v>
      </c>
      <c r="G336" s="61" t="s">
        <v>162</v>
      </c>
      <c r="H336" s="165"/>
    </row>
    <row r="337" spans="1:8" x14ac:dyDescent="0.3">
      <c r="A337" s="60">
        <v>45853</v>
      </c>
      <c r="B337" s="50" t="s">
        <v>206</v>
      </c>
      <c r="C337" s="120" t="s">
        <v>177</v>
      </c>
      <c r="D337" s="122" t="s">
        <v>178</v>
      </c>
      <c r="E337" s="30">
        <v>386</v>
      </c>
      <c r="F337" s="167" t="s">
        <v>161</v>
      </c>
      <c r="G337" s="61" t="s">
        <v>162</v>
      </c>
      <c r="H337" s="165"/>
    </row>
    <row r="338" spans="1:8" x14ac:dyDescent="0.3">
      <c r="A338" s="60">
        <v>45853</v>
      </c>
      <c r="B338" s="50" t="s">
        <v>206</v>
      </c>
      <c r="C338" s="120" t="s">
        <v>177</v>
      </c>
      <c r="D338" s="122" t="s">
        <v>178</v>
      </c>
      <c r="E338" s="30">
        <v>386</v>
      </c>
      <c r="F338" s="167" t="s">
        <v>161</v>
      </c>
      <c r="G338" s="61" t="s">
        <v>162</v>
      </c>
      <c r="H338" s="165"/>
    </row>
    <row r="339" spans="1:8" x14ac:dyDescent="0.3">
      <c r="A339" s="60">
        <v>45849</v>
      </c>
      <c r="B339" s="50" t="s">
        <v>206</v>
      </c>
      <c r="C339" s="120" t="s">
        <v>177</v>
      </c>
      <c r="D339" s="122" t="s">
        <v>178</v>
      </c>
      <c r="E339" s="30">
        <v>2284.4499999999998</v>
      </c>
      <c r="F339" s="167" t="s">
        <v>161</v>
      </c>
      <c r="G339" s="61" t="s">
        <v>162</v>
      </c>
      <c r="H339" s="165"/>
    </row>
    <row r="340" spans="1:8" x14ac:dyDescent="0.3">
      <c r="A340" s="60">
        <v>45840</v>
      </c>
      <c r="B340" s="50" t="s">
        <v>206</v>
      </c>
      <c r="C340" s="120" t="s">
        <v>17</v>
      </c>
      <c r="D340" s="29" t="s">
        <v>412</v>
      </c>
      <c r="E340" s="30">
        <v>352449.65</v>
      </c>
      <c r="F340" s="167" t="s">
        <v>161</v>
      </c>
      <c r="G340" s="61" t="s">
        <v>162</v>
      </c>
      <c r="H340" s="165"/>
    </row>
    <row r="341" spans="1:8" x14ac:dyDescent="0.3">
      <c r="A341" s="60">
        <v>45854</v>
      </c>
      <c r="B341" s="50" t="s">
        <v>206</v>
      </c>
      <c r="C341" s="120" t="s">
        <v>181</v>
      </c>
      <c r="D341" s="29" t="s">
        <v>182</v>
      </c>
      <c r="E341" s="30">
        <v>1200</v>
      </c>
      <c r="F341" s="167" t="s">
        <v>161</v>
      </c>
      <c r="G341" s="61" t="s">
        <v>162</v>
      </c>
      <c r="H341" s="165"/>
    </row>
    <row r="342" spans="1:8" s="164" customFormat="1" x14ac:dyDescent="0.3">
      <c r="A342" s="60">
        <v>45854</v>
      </c>
      <c r="B342" s="50" t="s">
        <v>206</v>
      </c>
      <c r="C342" s="120" t="s">
        <v>181</v>
      </c>
      <c r="D342" s="29" t="s">
        <v>739</v>
      </c>
      <c r="E342" s="280">
        <v>1200</v>
      </c>
      <c r="F342" s="167" t="s">
        <v>161</v>
      </c>
      <c r="G342" s="61" t="s">
        <v>162</v>
      </c>
      <c r="H342" s="165"/>
    </row>
    <row r="343" spans="1:8" x14ac:dyDescent="0.3">
      <c r="A343" s="60">
        <v>45854</v>
      </c>
      <c r="B343" s="50" t="s">
        <v>206</v>
      </c>
      <c r="C343" s="120" t="s">
        <v>181</v>
      </c>
      <c r="D343" s="29" t="s">
        <v>182</v>
      </c>
      <c r="E343" s="127">
        <v>17956.39</v>
      </c>
      <c r="F343" s="167" t="s">
        <v>161</v>
      </c>
      <c r="G343" s="61" t="s">
        <v>162</v>
      </c>
      <c r="H343" s="165"/>
    </row>
    <row r="344" spans="1:8" s="164" customFormat="1" x14ac:dyDescent="0.3">
      <c r="A344" s="60">
        <v>45876</v>
      </c>
      <c r="B344" s="50" t="s">
        <v>207</v>
      </c>
      <c r="C344" s="120" t="s">
        <v>163</v>
      </c>
      <c r="D344" s="29" t="s">
        <v>183</v>
      </c>
      <c r="E344" s="352">
        <v>36639.58</v>
      </c>
      <c r="F344" s="126" t="s">
        <v>161</v>
      </c>
      <c r="G344" s="61" t="s">
        <v>162</v>
      </c>
      <c r="H344" s="165"/>
    </row>
    <row r="345" spans="1:8" x14ac:dyDescent="0.3">
      <c r="A345" s="50">
        <v>45870</v>
      </c>
      <c r="B345" s="50" t="s">
        <v>207</v>
      </c>
      <c r="C345" s="120" t="s">
        <v>177</v>
      </c>
      <c r="D345" s="29" t="s">
        <v>184</v>
      </c>
      <c r="E345" s="58">
        <v>2373.8200000000002</v>
      </c>
      <c r="F345" s="167" t="s">
        <v>161</v>
      </c>
      <c r="G345" s="61" t="s">
        <v>162</v>
      </c>
      <c r="H345" s="130"/>
    </row>
    <row r="346" spans="1:8" x14ac:dyDescent="0.3">
      <c r="A346" s="50">
        <v>45870</v>
      </c>
      <c r="B346" s="50" t="s">
        <v>207</v>
      </c>
      <c r="C346" s="120" t="s">
        <v>177</v>
      </c>
      <c r="D346" s="29" t="s">
        <v>184</v>
      </c>
      <c r="E346" s="58">
        <v>5823.82</v>
      </c>
      <c r="F346" s="167" t="s">
        <v>161</v>
      </c>
      <c r="G346" s="61" t="s">
        <v>162</v>
      </c>
      <c r="H346" s="131"/>
    </row>
    <row r="347" spans="1:8" x14ac:dyDescent="0.3">
      <c r="A347" s="50">
        <v>45870</v>
      </c>
      <c r="B347" s="50" t="s">
        <v>207</v>
      </c>
      <c r="C347" s="120" t="s">
        <v>177</v>
      </c>
      <c r="D347" s="29" t="s">
        <v>184</v>
      </c>
      <c r="E347" s="58">
        <v>7526.95</v>
      </c>
      <c r="F347" s="167" t="s">
        <v>161</v>
      </c>
      <c r="G347" s="61" t="s">
        <v>162</v>
      </c>
      <c r="H347" s="130"/>
    </row>
    <row r="348" spans="1:8" x14ac:dyDescent="0.3">
      <c r="A348" s="50">
        <v>45870</v>
      </c>
      <c r="B348" s="50" t="s">
        <v>207</v>
      </c>
      <c r="C348" s="120" t="s">
        <v>177</v>
      </c>
      <c r="D348" s="29" t="s">
        <v>184</v>
      </c>
      <c r="E348" s="58">
        <v>25756.63</v>
      </c>
      <c r="F348" s="167" t="s">
        <v>161</v>
      </c>
      <c r="G348" s="61" t="s">
        <v>162</v>
      </c>
      <c r="H348" s="130"/>
    </row>
    <row r="349" spans="1:8" x14ac:dyDescent="0.3">
      <c r="A349" s="50">
        <v>45853</v>
      </c>
      <c r="B349" s="50" t="s">
        <v>206</v>
      </c>
      <c r="C349" s="120" t="s">
        <v>170</v>
      </c>
      <c r="D349" s="29" t="s">
        <v>645</v>
      </c>
      <c r="E349" s="128">
        <v>908006.92</v>
      </c>
      <c r="F349" s="167" t="s">
        <v>161</v>
      </c>
      <c r="G349" s="61" t="s">
        <v>162</v>
      </c>
      <c r="H349" s="130"/>
    </row>
    <row r="350" spans="1:8" s="139" customFormat="1" x14ac:dyDescent="0.3">
      <c r="A350" s="182">
        <v>45848</v>
      </c>
      <c r="B350" s="23" t="s">
        <v>206</v>
      </c>
      <c r="C350" s="96" t="s">
        <v>6</v>
      </c>
      <c r="D350" s="96" t="s">
        <v>48</v>
      </c>
      <c r="E350" s="89">
        <v>-232.71</v>
      </c>
      <c r="F350" s="110" t="s">
        <v>8</v>
      </c>
      <c r="G350" s="70" t="s">
        <v>49</v>
      </c>
      <c r="H350" s="143"/>
    </row>
    <row r="351" spans="1:8" s="139" customFormat="1" x14ac:dyDescent="0.3">
      <c r="A351" s="78">
        <v>45848</v>
      </c>
      <c r="B351" s="2" t="s">
        <v>206</v>
      </c>
      <c r="C351" s="6" t="s">
        <v>31</v>
      </c>
      <c r="D351" s="7" t="s">
        <v>486</v>
      </c>
      <c r="E351" s="8">
        <v>-2333</v>
      </c>
      <c r="F351" s="9" t="s">
        <v>8</v>
      </c>
      <c r="G351" s="9" t="s">
        <v>186</v>
      </c>
      <c r="H351" s="143"/>
    </row>
    <row r="352" spans="1:8" s="139" customFormat="1" x14ac:dyDescent="0.3">
      <c r="A352" s="78">
        <v>45848</v>
      </c>
      <c r="B352" s="2" t="s">
        <v>206</v>
      </c>
      <c r="C352" s="6" t="s">
        <v>31</v>
      </c>
      <c r="D352" s="7" t="s">
        <v>485</v>
      </c>
      <c r="E352" s="8">
        <v>-1000</v>
      </c>
      <c r="F352" s="9" t="s">
        <v>8</v>
      </c>
      <c r="G352" s="9" t="s">
        <v>186</v>
      </c>
      <c r="H352" s="143"/>
    </row>
    <row r="353" spans="1:8" s="139" customFormat="1" x14ac:dyDescent="0.3">
      <c r="A353" s="87">
        <v>45853</v>
      </c>
      <c r="B353" s="23" t="s">
        <v>206</v>
      </c>
      <c r="C353" s="95" t="s">
        <v>31</v>
      </c>
      <c r="D353" s="96" t="s">
        <v>513</v>
      </c>
      <c r="E353" s="89">
        <v>-1000</v>
      </c>
      <c r="F353" s="70" t="s">
        <v>8</v>
      </c>
      <c r="G353" s="70" t="s">
        <v>186</v>
      </c>
    </row>
    <row r="354" spans="1:8" s="261" customFormat="1" x14ac:dyDescent="0.3">
      <c r="A354" s="251">
        <v>45868</v>
      </c>
      <c r="B354" s="247" t="s">
        <v>206</v>
      </c>
      <c r="C354" s="293" t="s">
        <v>71</v>
      </c>
      <c r="D354" s="293" t="s">
        <v>904</v>
      </c>
      <c r="E354" s="297">
        <v>-1800.31</v>
      </c>
      <c r="F354" s="249" t="s">
        <v>8</v>
      </c>
      <c r="G354" s="306" t="s">
        <v>227</v>
      </c>
      <c r="H354" s="250"/>
    </row>
    <row r="355" spans="1:8" s="261" customFormat="1" x14ac:dyDescent="0.3">
      <c r="A355" s="251">
        <v>45868</v>
      </c>
      <c r="B355" s="247" t="s">
        <v>206</v>
      </c>
      <c r="C355" s="293" t="s">
        <v>32</v>
      </c>
      <c r="D355" s="253" t="s">
        <v>866</v>
      </c>
      <c r="E355" s="297">
        <v>-141</v>
      </c>
      <c r="F355" s="249" t="s">
        <v>8</v>
      </c>
      <c r="G355" s="254" t="s">
        <v>82</v>
      </c>
      <c r="H355" s="250"/>
    </row>
    <row r="356" spans="1:8" s="261" customFormat="1" x14ac:dyDescent="0.3">
      <c r="A356" s="251">
        <v>45869</v>
      </c>
      <c r="B356" s="247" t="s">
        <v>206</v>
      </c>
      <c r="C356" s="293" t="s">
        <v>17</v>
      </c>
      <c r="D356" s="253" t="s">
        <v>867</v>
      </c>
      <c r="E356" s="297">
        <v>-260</v>
      </c>
      <c r="F356" s="249" t="s">
        <v>8</v>
      </c>
      <c r="G356" s="254" t="s">
        <v>82</v>
      </c>
      <c r="H356" s="250"/>
    </row>
    <row r="357" spans="1:8" s="261" customFormat="1" x14ac:dyDescent="0.3">
      <c r="A357" s="251">
        <v>45869</v>
      </c>
      <c r="B357" s="247" t="s">
        <v>206</v>
      </c>
      <c r="C357" s="293" t="s">
        <v>17</v>
      </c>
      <c r="D357" s="253" t="s">
        <v>868</v>
      </c>
      <c r="E357" s="297">
        <v>-250</v>
      </c>
      <c r="F357" s="249" t="s">
        <v>8</v>
      </c>
      <c r="G357" s="254" t="s">
        <v>82</v>
      </c>
      <c r="H357" s="250"/>
    </row>
    <row r="358" spans="1:8" s="261" customFormat="1" x14ac:dyDescent="0.3">
      <c r="A358" s="251">
        <v>45869</v>
      </c>
      <c r="B358" s="247" t="s">
        <v>206</v>
      </c>
      <c r="C358" s="293" t="s">
        <v>17</v>
      </c>
      <c r="D358" s="253" t="s">
        <v>869</v>
      </c>
      <c r="E358" s="297">
        <v>-180</v>
      </c>
      <c r="F358" s="249" t="s">
        <v>8</v>
      </c>
      <c r="G358" s="254" t="s">
        <v>82</v>
      </c>
      <c r="H358" s="250"/>
    </row>
    <row r="359" spans="1:8" s="261" customFormat="1" x14ac:dyDescent="0.3">
      <c r="A359" s="251">
        <v>45869</v>
      </c>
      <c r="B359" s="247" t="s">
        <v>206</v>
      </c>
      <c r="C359" s="293" t="s">
        <v>17</v>
      </c>
      <c r="D359" s="253" t="s">
        <v>870</v>
      </c>
      <c r="E359" s="297">
        <v>-240</v>
      </c>
      <c r="F359" s="249" t="s">
        <v>8</v>
      </c>
      <c r="G359" s="254" t="s">
        <v>82</v>
      </c>
      <c r="H359" s="250"/>
    </row>
    <row r="360" spans="1:8" s="261" customFormat="1" x14ac:dyDescent="0.3">
      <c r="A360" s="251">
        <v>45869</v>
      </c>
      <c r="B360" s="247" t="s">
        <v>206</v>
      </c>
      <c r="C360" s="293" t="s">
        <v>17</v>
      </c>
      <c r="D360" s="253" t="s">
        <v>871</v>
      </c>
      <c r="E360" s="297">
        <v>-180</v>
      </c>
      <c r="F360" s="249" t="s">
        <v>8</v>
      </c>
      <c r="G360" s="254" t="s">
        <v>82</v>
      </c>
      <c r="H360" s="250"/>
    </row>
    <row r="361" spans="1:8" s="261" customFormat="1" x14ac:dyDescent="0.3">
      <c r="A361" s="251">
        <v>45869</v>
      </c>
      <c r="B361" s="247" t="s">
        <v>206</v>
      </c>
      <c r="C361" s="293" t="s">
        <v>17</v>
      </c>
      <c r="D361" s="334" t="s">
        <v>872</v>
      </c>
      <c r="E361" s="335">
        <v>-316.8</v>
      </c>
      <c r="F361" s="249" t="s">
        <v>8</v>
      </c>
      <c r="G361" s="254" t="s">
        <v>82</v>
      </c>
      <c r="H361" s="250"/>
    </row>
    <row r="362" spans="1:8" s="261" customFormat="1" x14ac:dyDescent="0.3">
      <c r="A362" s="251">
        <v>45869</v>
      </c>
      <c r="B362" s="247" t="s">
        <v>206</v>
      </c>
      <c r="C362" s="293" t="s">
        <v>17</v>
      </c>
      <c r="D362" s="334" t="s">
        <v>873</v>
      </c>
      <c r="E362" s="297">
        <v>-264</v>
      </c>
      <c r="F362" s="249" t="s">
        <v>8</v>
      </c>
      <c r="G362" s="254" t="s">
        <v>82</v>
      </c>
      <c r="H362" s="250"/>
    </row>
    <row r="363" spans="1:8" s="261" customFormat="1" x14ac:dyDescent="0.3">
      <c r="A363" s="251">
        <v>45869</v>
      </c>
      <c r="B363" s="247" t="s">
        <v>206</v>
      </c>
      <c r="C363" s="293" t="s">
        <v>17</v>
      </c>
      <c r="D363" s="334" t="s">
        <v>874</v>
      </c>
      <c r="E363" s="297">
        <v>-180</v>
      </c>
      <c r="F363" s="249" t="s">
        <v>8</v>
      </c>
      <c r="G363" s="254" t="s">
        <v>82</v>
      </c>
      <c r="H363" s="250"/>
    </row>
    <row r="364" spans="1:8" s="261" customFormat="1" x14ac:dyDescent="0.3">
      <c r="A364" s="251">
        <v>45869</v>
      </c>
      <c r="B364" s="247" t="s">
        <v>206</v>
      </c>
      <c r="C364" s="293" t="s">
        <v>17</v>
      </c>
      <c r="D364" s="334" t="s">
        <v>875</v>
      </c>
      <c r="E364" s="297">
        <v>-190</v>
      </c>
      <c r="F364" s="249" t="s">
        <v>8</v>
      </c>
      <c r="G364" s="254" t="s">
        <v>82</v>
      </c>
      <c r="H364" s="250"/>
    </row>
    <row r="365" spans="1:8" s="261" customFormat="1" x14ac:dyDescent="0.3">
      <c r="A365" s="251">
        <v>45869</v>
      </c>
      <c r="B365" s="247" t="s">
        <v>206</v>
      </c>
      <c r="C365" s="293" t="s">
        <v>17</v>
      </c>
      <c r="D365" s="334" t="s">
        <v>876</v>
      </c>
      <c r="E365" s="297">
        <v>-250</v>
      </c>
      <c r="F365" s="249" t="s">
        <v>8</v>
      </c>
      <c r="G365" s="254" t="s">
        <v>82</v>
      </c>
      <c r="H365" s="250"/>
    </row>
    <row r="366" spans="1:8" s="261" customFormat="1" x14ac:dyDescent="0.3">
      <c r="A366" s="251">
        <v>45869</v>
      </c>
      <c r="B366" s="247" t="s">
        <v>206</v>
      </c>
      <c r="C366" s="293" t="s">
        <v>17</v>
      </c>
      <c r="D366" s="334" t="s">
        <v>877</v>
      </c>
      <c r="E366" s="335">
        <v>-152.32</v>
      </c>
      <c r="F366" s="249" t="s">
        <v>8</v>
      </c>
      <c r="G366" s="254" t="s">
        <v>82</v>
      </c>
      <c r="H366" s="250"/>
    </row>
    <row r="367" spans="1:8" s="137" customFormat="1" x14ac:dyDescent="0.3">
      <c r="A367" s="78">
        <v>45868</v>
      </c>
      <c r="B367" s="23" t="s">
        <v>206</v>
      </c>
      <c r="C367" s="336" t="s">
        <v>6</v>
      </c>
      <c r="D367" s="337" t="s">
        <v>865</v>
      </c>
      <c r="E367" s="90">
        <v>-178.79</v>
      </c>
      <c r="F367" s="13" t="s">
        <v>8</v>
      </c>
      <c r="G367" s="9" t="s">
        <v>70</v>
      </c>
      <c r="H367" s="139"/>
    </row>
    <row r="368" spans="1:8" s="261" customFormat="1" x14ac:dyDescent="0.3">
      <c r="A368" s="251">
        <v>45868</v>
      </c>
      <c r="B368" s="247" t="s">
        <v>206</v>
      </c>
      <c r="C368" s="293" t="s">
        <v>44</v>
      </c>
      <c r="D368" s="296" t="s">
        <v>138</v>
      </c>
      <c r="E368" s="297">
        <v>-535.99999700000001</v>
      </c>
      <c r="F368" s="249" t="s">
        <v>8</v>
      </c>
      <c r="G368" s="254" t="s">
        <v>139</v>
      </c>
      <c r="H368" s="250"/>
    </row>
    <row r="369" spans="1:8" s="250" customFormat="1" x14ac:dyDescent="0.3">
      <c r="A369" s="251">
        <v>45868</v>
      </c>
      <c r="B369" s="247" t="s">
        <v>206</v>
      </c>
      <c r="C369" s="293" t="s">
        <v>104</v>
      </c>
      <c r="D369" s="296" t="s">
        <v>863</v>
      </c>
      <c r="E369" s="297">
        <v>-1659.89</v>
      </c>
      <c r="F369" s="249" t="s">
        <v>8</v>
      </c>
      <c r="G369" s="254" t="s">
        <v>75</v>
      </c>
    </row>
    <row r="370" spans="1:8" s="250" customFormat="1" x14ac:dyDescent="0.3">
      <c r="A370" s="251">
        <v>45868</v>
      </c>
      <c r="B370" s="247" t="s">
        <v>206</v>
      </c>
      <c r="C370" s="293" t="s">
        <v>25</v>
      </c>
      <c r="D370" s="296" t="s">
        <v>864</v>
      </c>
      <c r="E370" s="297">
        <v>-2131.3000000000002</v>
      </c>
      <c r="F370" s="249" t="s">
        <v>8</v>
      </c>
      <c r="G370" s="254" t="s">
        <v>75</v>
      </c>
    </row>
    <row r="371" spans="1:8" s="250" customFormat="1" x14ac:dyDescent="0.3">
      <c r="A371" s="251">
        <v>45868</v>
      </c>
      <c r="B371" s="247" t="s">
        <v>206</v>
      </c>
      <c r="C371" s="252" t="s">
        <v>6</v>
      </c>
      <c r="D371" s="296" t="s">
        <v>549</v>
      </c>
      <c r="E371" s="297">
        <v>-6298.6</v>
      </c>
      <c r="F371" s="249" t="s">
        <v>8</v>
      </c>
      <c r="G371" s="297" t="s">
        <v>186</v>
      </c>
    </row>
    <row r="372" spans="1:8" s="139" customFormat="1" x14ac:dyDescent="0.3">
      <c r="A372" s="78">
        <v>45853</v>
      </c>
      <c r="B372" s="2" t="s">
        <v>206</v>
      </c>
      <c r="C372" s="6" t="s">
        <v>6</v>
      </c>
      <c r="D372" s="14" t="s">
        <v>512</v>
      </c>
      <c r="E372" s="8">
        <v>-10000</v>
      </c>
      <c r="F372" s="9" t="s">
        <v>8</v>
      </c>
      <c r="G372" s="9" t="s">
        <v>186</v>
      </c>
    </row>
    <row r="373" spans="1:8" s="139" customFormat="1" x14ac:dyDescent="0.3">
      <c r="A373" s="135">
        <v>45845</v>
      </c>
      <c r="B373" s="2" t="s">
        <v>206</v>
      </c>
      <c r="C373" s="119" t="s">
        <v>13</v>
      </c>
      <c r="D373" s="138" t="s">
        <v>439</v>
      </c>
      <c r="E373" s="141">
        <v>-1700</v>
      </c>
      <c r="F373" s="13" t="s">
        <v>8</v>
      </c>
      <c r="G373" s="5" t="s">
        <v>27</v>
      </c>
      <c r="H373" s="143"/>
    </row>
    <row r="374" spans="1:8" s="139" customFormat="1" x14ac:dyDescent="0.3">
      <c r="A374" s="135">
        <v>45845</v>
      </c>
      <c r="B374" s="2" t="s">
        <v>206</v>
      </c>
      <c r="C374" s="119" t="s">
        <v>13</v>
      </c>
      <c r="D374" s="138" t="s">
        <v>440</v>
      </c>
      <c r="E374" s="141">
        <v>-1000</v>
      </c>
      <c r="F374" s="13" t="s">
        <v>8</v>
      </c>
      <c r="G374" s="5" t="s">
        <v>27</v>
      </c>
      <c r="H374" s="143"/>
    </row>
    <row r="375" spans="1:8" s="139" customFormat="1" x14ac:dyDescent="0.3">
      <c r="A375" s="135">
        <v>45845</v>
      </c>
      <c r="B375" s="2" t="s">
        <v>206</v>
      </c>
      <c r="C375" s="119" t="s">
        <v>13</v>
      </c>
      <c r="D375" s="138" t="s">
        <v>441</v>
      </c>
      <c r="E375" s="141">
        <v>-600</v>
      </c>
      <c r="F375" s="13" t="s">
        <v>8</v>
      </c>
      <c r="G375" s="5" t="s">
        <v>27</v>
      </c>
      <c r="H375" s="143"/>
    </row>
    <row r="376" spans="1:8" s="139" customFormat="1" x14ac:dyDescent="0.3">
      <c r="A376" s="135">
        <v>45845</v>
      </c>
      <c r="B376" s="2" t="s">
        <v>206</v>
      </c>
      <c r="C376" s="119" t="s">
        <v>13</v>
      </c>
      <c r="D376" s="138" t="s">
        <v>435</v>
      </c>
      <c r="E376" s="141">
        <v>-900</v>
      </c>
      <c r="F376" s="13" t="s">
        <v>8</v>
      </c>
      <c r="G376" s="5" t="s">
        <v>27</v>
      </c>
      <c r="H376" s="143"/>
    </row>
    <row r="377" spans="1:8" s="139" customFormat="1" x14ac:dyDescent="0.3">
      <c r="A377" s="135">
        <v>45845</v>
      </c>
      <c r="B377" s="2" t="s">
        <v>206</v>
      </c>
      <c r="C377" s="119" t="s">
        <v>13</v>
      </c>
      <c r="D377" s="138" t="s">
        <v>436</v>
      </c>
      <c r="E377" s="141">
        <v>-900</v>
      </c>
      <c r="F377" s="13" t="s">
        <v>8</v>
      </c>
      <c r="G377" s="5" t="s">
        <v>27</v>
      </c>
      <c r="H377" s="143"/>
    </row>
    <row r="378" spans="1:8" s="139" customFormat="1" x14ac:dyDescent="0.3">
      <c r="A378" s="135">
        <v>45845</v>
      </c>
      <c r="B378" s="2" t="s">
        <v>206</v>
      </c>
      <c r="C378" s="119" t="s">
        <v>13</v>
      </c>
      <c r="D378" s="138" t="s">
        <v>437</v>
      </c>
      <c r="E378" s="141">
        <v>-1000</v>
      </c>
      <c r="F378" s="13" t="s">
        <v>8</v>
      </c>
      <c r="G378" s="5" t="s">
        <v>27</v>
      </c>
      <c r="H378" s="143"/>
    </row>
    <row r="379" spans="1:8" s="139" customFormat="1" x14ac:dyDescent="0.3">
      <c r="A379" s="135">
        <v>45846</v>
      </c>
      <c r="B379" s="2" t="s">
        <v>206</v>
      </c>
      <c r="C379" s="119" t="s">
        <v>13</v>
      </c>
      <c r="D379" s="138" t="s">
        <v>438</v>
      </c>
      <c r="E379" s="141">
        <v>-1020</v>
      </c>
      <c r="F379" s="13" t="s">
        <v>8</v>
      </c>
      <c r="G379" s="5" t="s">
        <v>27</v>
      </c>
      <c r="H379" s="143"/>
    </row>
    <row r="380" spans="1:8" s="139" customFormat="1" x14ac:dyDescent="0.3">
      <c r="A380" s="39">
        <v>45845</v>
      </c>
      <c r="B380" s="33" t="s">
        <v>206</v>
      </c>
      <c r="C380" s="36" t="s">
        <v>17</v>
      </c>
      <c r="D380" s="138" t="s">
        <v>443</v>
      </c>
      <c r="E380" s="141">
        <v>-159.4</v>
      </c>
      <c r="F380" s="13" t="s">
        <v>8</v>
      </c>
      <c r="G380" s="5" t="s">
        <v>22</v>
      </c>
      <c r="H380" s="143"/>
    </row>
    <row r="381" spans="1:8" s="137" customFormat="1" x14ac:dyDescent="0.3">
      <c r="A381" s="39">
        <v>45845</v>
      </c>
      <c r="B381" s="33" t="s">
        <v>206</v>
      </c>
      <c r="C381" s="36" t="s">
        <v>17</v>
      </c>
      <c r="D381" s="138" t="s">
        <v>385</v>
      </c>
      <c r="E381" s="40">
        <v>-708.24</v>
      </c>
      <c r="F381" s="37" t="s">
        <v>8</v>
      </c>
      <c r="G381" s="5" t="s">
        <v>19</v>
      </c>
      <c r="H381" s="143"/>
    </row>
    <row r="382" spans="1:8" s="137" customFormat="1" x14ac:dyDescent="0.3">
      <c r="A382" s="39">
        <v>45848</v>
      </c>
      <c r="B382" s="33" t="s">
        <v>206</v>
      </c>
      <c r="C382" s="36" t="s">
        <v>31</v>
      </c>
      <c r="D382" s="36" t="s">
        <v>387</v>
      </c>
      <c r="E382" s="40">
        <v>-295.72000000000003</v>
      </c>
      <c r="F382" s="37" t="s">
        <v>8</v>
      </c>
      <c r="G382" s="37" t="s">
        <v>37</v>
      </c>
      <c r="H382" s="143"/>
    </row>
    <row r="383" spans="1:8" s="139" customFormat="1" x14ac:dyDescent="0.3">
      <c r="A383" s="39">
        <v>45848</v>
      </c>
      <c r="B383" s="33" t="s">
        <v>206</v>
      </c>
      <c r="C383" s="36" t="s">
        <v>44</v>
      </c>
      <c r="D383" s="36" t="s">
        <v>387</v>
      </c>
      <c r="E383" s="40">
        <v>-215.21</v>
      </c>
      <c r="F383" s="37" t="s">
        <v>8</v>
      </c>
      <c r="G383" s="37" t="s">
        <v>37</v>
      </c>
      <c r="H383" s="143"/>
    </row>
    <row r="384" spans="1:8" s="139" customFormat="1" x14ac:dyDescent="0.3">
      <c r="A384" s="183">
        <v>45848</v>
      </c>
      <c r="B384" s="184" t="s">
        <v>206</v>
      </c>
      <c r="C384" s="185" t="s">
        <v>25</v>
      </c>
      <c r="D384" s="185" t="s">
        <v>387</v>
      </c>
      <c r="E384" s="186">
        <v>-364.95</v>
      </c>
      <c r="F384" s="187" t="s">
        <v>8</v>
      </c>
      <c r="G384" s="187" t="s">
        <v>37</v>
      </c>
      <c r="H384" s="143"/>
    </row>
    <row r="385" spans="1:8" s="137" customFormat="1" x14ac:dyDescent="0.3">
      <c r="A385" s="39">
        <v>45848</v>
      </c>
      <c r="B385" s="33" t="s">
        <v>206</v>
      </c>
      <c r="C385" s="36" t="s">
        <v>33</v>
      </c>
      <c r="D385" s="36" t="s">
        <v>387</v>
      </c>
      <c r="E385" s="40">
        <v>-395.23</v>
      </c>
      <c r="F385" s="37" t="s">
        <v>8</v>
      </c>
      <c r="G385" s="37" t="s">
        <v>37</v>
      </c>
      <c r="H385" s="143"/>
    </row>
    <row r="386" spans="1:8" s="137" customFormat="1" x14ac:dyDescent="0.3">
      <c r="A386" s="39">
        <v>45848</v>
      </c>
      <c r="B386" s="33" t="s">
        <v>206</v>
      </c>
      <c r="C386" s="36" t="s">
        <v>104</v>
      </c>
      <c r="D386" s="36" t="s">
        <v>387</v>
      </c>
      <c r="E386" s="40">
        <v>-376.91</v>
      </c>
      <c r="F386" s="37" t="s">
        <v>8</v>
      </c>
      <c r="G386" s="37" t="s">
        <v>37</v>
      </c>
    </row>
    <row r="387" spans="1:8" s="139" customFormat="1" x14ac:dyDescent="0.3">
      <c r="A387" s="39">
        <v>45848</v>
      </c>
      <c r="B387" s="33" t="s">
        <v>206</v>
      </c>
      <c r="C387" s="36" t="s">
        <v>17</v>
      </c>
      <c r="D387" s="36" t="s">
        <v>387</v>
      </c>
      <c r="E387" s="40">
        <v>-360.09</v>
      </c>
      <c r="F387" s="37" t="s">
        <v>8</v>
      </c>
      <c r="G387" s="37" t="s">
        <v>37</v>
      </c>
      <c r="H387" s="143"/>
    </row>
    <row r="388" spans="1:8" s="139" customFormat="1" x14ac:dyDescent="0.3">
      <c r="A388" s="39">
        <v>45845</v>
      </c>
      <c r="B388" s="33" t="s">
        <v>206</v>
      </c>
      <c r="C388" s="36" t="s">
        <v>25</v>
      </c>
      <c r="D388" s="138" t="s">
        <v>432</v>
      </c>
      <c r="E388" s="40">
        <v>-448</v>
      </c>
      <c r="F388" s="37" t="s">
        <v>8</v>
      </c>
      <c r="G388" s="37" t="s">
        <v>82</v>
      </c>
      <c r="H388" s="143"/>
    </row>
    <row r="389" spans="1:8" s="139" customFormat="1" x14ac:dyDescent="0.3">
      <c r="A389" s="39">
        <v>45845</v>
      </c>
      <c r="B389" s="33" t="s">
        <v>206</v>
      </c>
      <c r="C389" s="36" t="s">
        <v>25</v>
      </c>
      <c r="D389" s="138" t="s">
        <v>433</v>
      </c>
      <c r="E389" s="40">
        <v>-177</v>
      </c>
      <c r="F389" s="37" t="s">
        <v>8</v>
      </c>
      <c r="G389" s="37" t="s">
        <v>82</v>
      </c>
      <c r="H389" s="143"/>
    </row>
    <row r="390" spans="1:8" s="139" customFormat="1" x14ac:dyDescent="0.3">
      <c r="A390" s="39">
        <v>45845</v>
      </c>
      <c r="B390" s="33" t="s">
        <v>206</v>
      </c>
      <c r="C390" s="36" t="s">
        <v>25</v>
      </c>
      <c r="D390" s="138" t="s">
        <v>434</v>
      </c>
      <c r="E390" s="40">
        <v>-412.5</v>
      </c>
      <c r="F390" s="37" t="s">
        <v>8</v>
      </c>
      <c r="G390" s="37" t="s">
        <v>82</v>
      </c>
      <c r="H390" s="143"/>
    </row>
    <row r="391" spans="1:8" s="139" customFormat="1" x14ac:dyDescent="0.3">
      <c r="A391" s="39">
        <v>45845</v>
      </c>
      <c r="B391" s="33" t="s">
        <v>206</v>
      </c>
      <c r="C391" s="36" t="s">
        <v>25</v>
      </c>
      <c r="D391" s="138" t="s">
        <v>378</v>
      </c>
      <c r="E391" s="40">
        <v>-278</v>
      </c>
      <c r="F391" s="37" t="s">
        <v>8</v>
      </c>
      <c r="G391" s="37" t="s">
        <v>82</v>
      </c>
      <c r="H391" s="143"/>
    </row>
    <row r="392" spans="1:8" s="139" customFormat="1" x14ac:dyDescent="0.3">
      <c r="A392" s="78">
        <v>45845</v>
      </c>
      <c r="B392" s="2" t="s">
        <v>206</v>
      </c>
      <c r="C392" s="6" t="s">
        <v>6</v>
      </c>
      <c r="D392" s="7" t="s">
        <v>188</v>
      </c>
      <c r="E392" s="8">
        <v>-1000</v>
      </c>
      <c r="F392" s="9" t="s">
        <v>8</v>
      </c>
      <c r="G392" s="9" t="s">
        <v>186</v>
      </c>
      <c r="H392" s="143"/>
    </row>
    <row r="393" spans="1:8" s="139" customFormat="1" x14ac:dyDescent="0.3">
      <c r="A393" s="78">
        <v>45853</v>
      </c>
      <c r="B393" s="2" t="s">
        <v>206</v>
      </c>
      <c r="C393" s="6" t="s">
        <v>6</v>
      </c>
      <c r="D393" s="14" t="s">
        <v>510</v>
      </c>
      <c r="E393" s="8">
        <v>-2644</v>
      </c>
      <c r="F393" s="9" t="s">
        <v>8</v>
      </c>
      <c r="G393" s="9" t="s">
        <v>186</v>
      </c>
    </row>
    <row r="394" spans="1:8" s="139" customFormat="1" x14ac:dyDescent="0.3">
      <c r="A394" s="78">
        <v>45860</v>
      </c>
      <c r="B394" s="2" t="s">
        <v>206</v>
      </c>
      <c r="C394" s="6" t="s">
        <v>6</v>
      </c>
      <c r="D394" s="7" t="s">
        <v>535</v>
      </c>
      <c r="E394" s="8">
        <v>-960</v>
      </c>
      <c r="F394" s="9" t="s">
        <v>8</v>
      </c>
      <c r="G394" s="9" t="s">
        <v>186</v>
      </c>
      <c r="H394" s="130"/>
    </row>
    <row r="395" spans="1:8" s="250" customFormat="1" x14ac:dyDescent="0.3">
      <c r="A395" s="251">
        <v>45866</v>
      </c>
      <c r="B395" s="247" t="s">
        <v>206</v>
      </c>
      <c r="C395" s="252" t="s">
        <v>6</v>
      </c>
      <c r="D395" s="253" t="s">
        <v>545</v>
      </c>
      <c r="E395" s="248">
        <v>-2000</v>
      </c>
      <c r="F395" s="254" t="s">
        <v>8</v>
      </c>
      <c r="G395" s="254" t="s">
        <v>186</v>
      </c>
      <c r="H395" s="267"/>
    </row>
    <row r="396" spans="1:8" s="139" customFormat="1" x14ac:dyDescent="0.3">
      <c r="A396" s="78">
        <v>45854</v>
      </c>
      <c r="B396" s="2" t="s">
        <v>206</v>
      </c>
      <c r="C396" s="14" t="s">
        <v>17</v>
      </c>
      <c r="D396" s="14" t="s">
        <v>201</v>
      </c>
      <c r="E396" s="8">
        <v>-192</v>
      </c>
      <c r="F396" s="13" t="s">
        <v>8</v>
      </c>
      <c r="G396" s="9" t="s">
        <v>139</v>
      </c>
    </row>
    <row r="397" spans="1:8" s="132" customFormat="1" x14ac:dyDescent="0.3">
      <c r="A397" s="155">
        <v>45855</v>
      </c>
      <c r="B397" s="134" t="s">
        <v>206</v>
      </c>
      <c r="C397" s="116" t="s">
        <v>44</v>
      </c>
      <c r="D397" s="116" t="s">
        <v>737</v>
      </c>
      <c r="E397" s="118">
        <v>-1709.15</v>
      </c>
      <c r="F397" s="13" t="s">
        <v>8</v>
      </c>
      <c r="G397" s="148" t="s">
        <v>227</v>
      </c>
      <c r="H397" s="139"/>
    </row>
    <row r="398" spans="1:8" s="132" customFormat="1" x14ac:dyDescent="0.3">
      <c r="A398" s="155">
        <v>45854</v>
      </c>
      <c r="B398" s="134" t="s">
        <v>206</v>
      </c>
      <c r="C398" s="116" t="s">
        <v>44</v>
      </c>
      <c r="D398" s="116" t="s">
        <v>738</v>
      </c>
      <c r="E398" s="118">
        <v>-1709.15</v>
      </c>
      <c r="F398" s="13" t="s">
        <v>8</v>
      </c>
      <c r="G398" s="148" t="s">
        <v>227</v>
      </c>
      <c r="H398" s="139"/>
    </row>
    <row r="399" spans="1:8" s="137" customFormat="1" x14ac:dyDescent="0.3">
      <c r="A399" s="33">
        <v>45854</v>
      </c>
      <c r="B399" s="33" t="s">
        <v>206</v>
      </c>
      <c r="C399" s="36" t="s">
        <v>71</v>
      </c>
      <c r="D399" s="36" t="s">
        <v>734</v>
      </c>
      <c r="E399" s="40">
        <v>-1800.33</v>
      </c>
      <c r="F399" s="13" t="s">
        <v>8</v>
      </c>
      <c r="G399" s="37" t="s">
        <v>227</v>
      </c>
      <c r="H399" s="139"/>
    </row>
    <row r="400" spans="1:8" s="139" customFormat="1" x14ac:dyDescent="0.3">
      <c r="A400" s="78">
        <v>45854</v>
      </c>
      <c r="B400" s="2" t="s">
        <v>206</v>
      </c>
      <c r="C400" s="6" t="s">
        <v>6</v>
      </c>
      <c r="D400" s="7" t="s">
        <v>524</v>
      </c>
      <c r="E400" s="8">
        <v>-1551.29</v>
      </c>
      <c r="F400" s="9" t="s">
        <v>8</v>
      </c>
      <c r="G400" s="9" t="s">
        <v>186</v>
      </c>
    </row>
    <row r="401" spans="1:8" s="250" customFormat="1" x14ac:dyDescent="0.3">
      <c r="A401" s="251">
        <v>45868</v>
      </c>
      <c r="B401" s="247" t="s">
        <v>206</v>
      </c>
      <c r="C401" s="293" t="s">
        <v>6</v>
      </c>
      <c r="D401" s="296" t="s">
        <v>553</v>
      </c>
      <c r="E401" s="297">
        <v>-1000</v>
      </c>
      <c r="F401" s="249" t="s">
        <v>8</v>
      </c>
      <c r="G401" s="297" t="s">
        <v>186</v>
      </c>
    </row>
    <row r="402" spans="1:8" s="250" customFormat="1" x14ac:dyDescent="0.3">
      <c r="A402" s="251">
        <v>45868</v>
      </c>
      <c r="B402" s="247" t="s">
        <v>206</v>
      </c>
      <c r="C402" s="252" t="s">
        <v>6</v>
      </c>
      <c r="D402" s="296" t="s">
        <v>554</v>
      </c>
      <c r="E402" s="297">
        <v>-501.54</v>
      </c>
      <c r="F402" s="254" t="s">
        <v>8</v>
      </c>
      <c r="G402" s="297" t="s">
        <v>186</v>
      </c>
    </row>
    <row r="403" spans="1:8" s="250" customFormat="1" x14ac:dyDescent="0.3">
      <c r="A403" s="251">
        <v>45868</v>
      </c>
      <c r="B403" s="247" t="s">
        <v>206</v>
      </c>
      <c r="C403" s="252" t="s">
        <v>44</v>
      </c>
      <c r="D403" s="293" t="s">
        <v>555</v>
      </c>
      <c r="E403" s="297">
        <v>-2500</v>
      </c>
      <c r="F403" s="254" t="s">
        <v>8</v>
      </c>
      <c r="G403" s="297" t="s">
        <v>186</v>
      </c>
    </row>
    <row r="404" spans="1:8" s="139" customFormat="1" x14ac:dyDescent="0.3">
      <c r="A404" s="2">
        <v>45853</v>
      </c>
      <c r="B404" s="2" t="s">
        <v>206</v>
      </c>
      <c r="C404" s="15" t="s">
        <v>104</v>
      </c>
      <c r="D404" s="17" t="s">
        <v>514</v>
      </c>
      <c r="E404" s="93">
        <v>-2000</v>
      </c>
      <c r="F404" s="94" t="s">
        <v>8</v>
      </c>
      <c r="G404" s="94" t="s">
        <v>186</v>
      </c>
    </row>
    <row r="405" spans="1:8" s="139" customFormat="1" x14ac:dyDescent="0.3">
      <c r="A405" s="78">
        <v>45848</v>
      </c>
      <c r="B405" s="2" t="s">
        <v>206</v>
      </c>
      <c r="C405" s="14" t="s">
        <v>71</v>
      </c>
      <c r="D405" s="14" t="s">
        <v>205</v>
      </c>
      <c r="E405" s="8">
        <v>-1925</v>
      </c>
      <c r="F405" s="13" t="s">
        <v>8</v>
      </c>
      <c r="G405" s="9" t="s">
        <v>227</v>
      </c>
      <c r="H405" s="143"/>
    </row>
    <row r="406" spans="1:8" s="132" customFormat="1" x14ac:dyDescent="0.3">
      <c r="A406" s="78">
        <v>45848</v>
      </c>
      <c r="B406" s="134" t="s">
        <v>206</v>
      </c>
      <c r="C406" s="116" t="s">
        <v>44</v>
      </c>
      <c r="D406" s="116" t="s">
        <v>204</v>
      </c>
      <c r="E406" s="118">
        <v>-1709.15</v>
      </c>
      <c r="F406" s="13" t="s">
        <v>8</v>
      </c>
      <c r="G406" s="148" t="s">
        <v>227</v>
      </c>
      <c r="H406" s="143"/>
    </row>
    <row r="407" spans="1:8" s="139" customFormat="1" x14ac:dyDescent="0.3">
      <c r="A407" s="78">
        <v>45846</v>
      </c>
      <c r="B407" s="2" t="s">
        <v>206</v>
      </c>
      <c r="C407" s="6" t="s">
        <v>104</v>
      </c>
      <c r="D407" s="7" t="s">
        <v>462</v>
      </c>
      <c r="E407" s="8">
        <v>-2000</v>
      </c>
      <c r="F407" s="9" t="s">
        <v>8</v>
      </c>
      <c r="G407" s="9" t="s">
        <v>186</v>
      </c>
      <c r="H407" s="130"/>
    </row>
    <row r="408" spans="1:8" s="250" customFormat="1" x14ac:dyDescent="0.3">
      <c r="A408" s="251">
        <v>45868</v>
      </c>
      <c r="B408" s="247" t="s">
        <v>206</v>
      </c>
      <c r="C408" s="252" t="s">
        <v>17</v>
      </c>
      <c r="D408" s="293" t="s">
        <v>559</v>
      </c>
      <c r="E408" s="297">
        <v>-1916.67</v>
      </c>
      <c r="F408" s="254" t="s">
        <v>8</v>
      </c>
      <c r="G408" s="254" t="s">
        <v>186</v>
      </c>
    </row>
    <row r="409" spans="1:8" s="250" customFormat="1" x14ac:dyDescent="0.3">
      <c r="A409" s="251">
        <v>45868</v>
      </c>
      <c r="B409" s="247" t="s">
        <v>206</v>
      </c>
      <c r="C409" s="293" t="s">
        <v>6</v>
      </c>
      <c r="D409" s="293" t="s">
        <v>550</v>
      </c>
      <c r="E409" s="297">
        <v>-2200</v>
      </c>
      <c r="F409" s="254" t="s">
        <v>8</v>
      </c>
      <c r="G409" s="254" t="s">
        <v>186</v>
      </c>
    </row>
    <row r="410" spans="1:8" s="250" customFormat="1" x14ac:dyDescent="0.3">
      <c r="A410" s="251">
        <v>45868</v>
      </c>
      <c r="B410" s="247" t="s">
        <v>206</v>
      </c>
      <c r="C410" s="293" t="s">
        <v>6</v>
      </c>
      <c r="D410" s="293" t="s">
        <v>547</v>
      </c>
      <c r="E410" s="297">
        <v>-3836.54</v>
      </c>
      <c r="F410" s="254" t="s">
        <v>8</v>
      </c>
      <c r="G410" s="254" t="s">
        <v>186</v>
      </c>
    </row>
    <row r="411" spans="1:8" s="250" customFormat="1" x14ac:dyDescent="0.3">
      <c r="A411" s="251">
        <v>45868</v>
      </c>
      <c r="B411" s="247" t="s">
        <v>206</v>
      </c>
      <c r="C411" s="293" t="s">
        <v>6</v>
      </c>
      <c r="D411" s="293" t="s">
        <v>551</v>
      </c>
      <c r="E411" s="297">
        <v>-3200</v>
      </c>
      <c r="F411" s="254" t="s">
        <v>8</v>
      </c>
      <c r="G411" s="254" t="s">
        <v>186</v>
      </c>
    </row>
    <row r="412" spans="1:8" s="250" customFormat="1" x14ac:dyDescent="0.3">
      <c r="A412" s="251">
        <v>45868</v>
      </c>
      <c r="B412" s="247" t="s">
        <v>206</v>
      </c>
      <c r="C412" s="293" t="s">
        <v>6</v>
      </c>
      <c r="D412" s="293" t="s">
        <v>548</v>
      </c>
      <c r="E412" s="298">
        <v>-2000</v>
      </c>
      <c r="F412" s="254" t="s">
        <v>8</v>
      </c>
      <c r="G412" s="254" t="s">
        <v>186</v>
      </c>
    </row>
    <row r="413" spans="1:8" s="250" customFormat="1" x14ac:dyDescent="0.3">
      <c r="A413" s="251">
        <v>45868</v>
      </c>
      <c r="B413" s="247" t="s">
        <v>206</v>
      </c>
      <c r="C413" s="293" t="s">
        <v>17</v>
      </c>
      <c r="D413" s="293" t="s">
        <v>558</v>
      </c>
      <c r="E413" s="302">
        <v>-2872.37</v>
      </c>
      <c r="F413" s="254" t="s">
        <v>8</v>
      </c>
      <c r="G413" s="254" t="s">
        <v>186</v>
      </c>
    </row>
    <row r="414" spans="1:8" s="250" customFormat="1" x14ac:dyDescent="0.3">
      <c r="A414" s="251">
        <v>45868</v>
      </c>
      <c r="B414" s="247" t="s">
        <v>206</v>
      </c>
      <c r="C414" s="293" t="s">
        <v>6</v>
      </c>
      <c r="D414" s="293" t="s">
        <v>552</v>
      </c>
      <c r="E414" s="298">
        <v>-2500</v>
      </c>
      <c r="F414" s="254" t="s">
        <v>8</v>
      </c>
      <c r="G414" s="254" t="s">
        <v>186</v>
      </c>
    </row>
    <row r="415" spans="1:8" s="250" customFormat="1" x14ac:dyDescent="0.3">
      <c r="A415" s="251">
        <v>45868</v>
      </c>
      <c r="B415" s="247" t="s">
        <v>206</v>
      </c>
      <c r="C415" s="293" t="s">
        <v>33</v>
      </c>
      <c r="D415" s="296" t="s">
        <v>556</v>
      </c>
      <c r="E415" s="297">
        <v>-1000</v>
      </c>
      <c r="F415" s="254" t="s">
        <v>8</v>
      </c>
      <c r="G415" s="254" t="s">
        <v>186</v>
      </c>
    </row>
    <row r="416" spans="1:8" s="250" customFormat="1" x14ac:dyDescent="0.3">
      <c r="A416" s="251">
        <v>45868</v>
      </c>
      <c r="B416" s="247" t="s">
        <v>206</v>
      </c>
      <c r="C416" s="338" t="s">
        <v>17</v>
      </c>
      <c r="D416" s="339" t="s">
        <v>813</v>
      </c>
      <c r="E416" s="297">
        <v>-10.64</v>
      </c>
      <c r="F416" s="254" t="s">
        <v>8</v>
      </c>
      <c r="G416" s="254" t="s">
        <v>186</v>
      </c>
    </row>
    <row r="417" spans="1:8" s="250" customFormat="1" x14ac:dyDescent="0.3">
      <c r="A417" s="251">
        <v>45868</v>
      </c>
      <c r="B417" s="247" t="s">
        <v>206</v>
      </c>
      <c r="C417" s="293" t="s">
        <v>17</v>
      </c>
      <c r="D417" s="296" t="s">
        <v>808</v>
      </c>
      <c r="E417" s="297">
        <v>-880</v>
      </c>
      <c r="F417" s="254" t="s">
        <v>8</v>
      </c>
      <c r="G417" s="254" t="s">
        <v>186</v>
      </c>
    </row>
    <row r="418" spans="1:8" s="250" customFormat="1" x14ac:dyDescent="0.3">
      <c r="A418" s="454">
        <v>45898</v>
      </c>
      <c r="B418" s="257" t="s">
        <v>207</v>
      </c>
      <c r="C418" s="372" t="s">
        <v>17</v>
      </c>
      <c r="D418" s="396" t="s">
        <v>809</v>
      </c>
      <c r="E418" s="460">
        <v>-880</v>
      </c>
      <c r="F418" s="266" t="s">
        <v>8</v>
      </c>
      <c r="G418" s="266" t="s">
        <v>186</v>
      </c>
    </row>
    <row r="419" spans="1:8" s="250" customFormat="1" x14ac:dyDescent="0.3">
      <c r="A419" s="251">
        <v>45930</v>
      </c>
      <c r="B419" s="247" t="s">
        <v>208</v>
      </c>
      <c r="C419" s="293" t="s">
        <v>17</v>
      </c>
      <c r="D419" s="293" t="s">
        <v>810</v>
      </c>
      <c r="E419" s="248">
        <v>-880</v>
      </c>
      <c r="F419" s="254" t="s">
        <v>8</v>
      </c>
      <c r="G419" s="254" t="s">
        <v>186</v>
      </c>
    </row>
    <row r="420" spans="1:8" s="139" customFormat="1" hidden="1" x14ac:dyDescent="0.3">
      <c r="A420" s="87">
        <v>45960</v>
      </c>
      <c r="B420" s="23" t="s">
        <v>211</v>
      </c>
      <c r="C420" s="96" t="s">
        <v>17</v>
      </c>
      <c r="D420" s="96" t="s">
        <v>811</v>
      </c>
      <c r="E420" s="486">
        <v>-880</v>
      </c>
      <c r="F420" s="70" t="s">
        <v>8</v>
      </c>
      <c r="G420" s="70" t="s">
        <v>186</v>
      </c>
    </row>
    <row r="421" spans="1:8" s="139" customFormat="1" hidden="1" x14ac:dyDescent="0.3">
      <c r="A421" s="78">
        <v>45989</v>
      </c>
      <c r="B421" s="2" t="s">
        <v>212</v>
      </c>
      <c r="C421" s="14" t="s">
        <v>17</v>
      </c>
      <c r="D421" s="14" t="s">
        <v>812</v>
      </c>
      <c r="E421" s="242">
        <v>-880</v>
      </c>
      <c r="F421" s="9" t="s">
        <v>8</v>
      </c>
      <c r="G421" s="9" t="s">
        <v>186</v>
      </c>
    </row>
    <row r="422" spans="1:8" s="250" customFormat="1" x14ac:dyDescent="0.3">
      <c r="A422" s="251">
        <v>45868</v>
      </c>
      <c r="B422" s="247" t="s">
        <v>206</v>
      </c>
      <c r="C422" s="252" t="s">
        <v>17</v>
      </c>
      <c r="D422" s="293" t="s">
        <v>557</v>
      </c>
      <c r="E422" s="298">
        <v>-1400</v>
      </c>
      <c r="F422" s="254" t="s">
        <v>8</v>
      </c>
      <c r="G422" s="254" t="s">
        <v>186</v>
      </c>
    </row>
    <row r="423" spans="1:8" s="139" customFormat="1" x14ac:dyDescent="0.3">
      <c r="A423" s="74">
        <v>45839</v>
      </c>
      <c r="B423" s="26" t="s">
        <v>206</v>
      </c>
      <c r="C423" s="75" t="s">
        <v>17</v>
      </c>
      <c r="D423" s="76" t="s">
        <v>192</v>
      </c>
      <c r="E423" s="77">
        <v>-1848.63</v>
      </c>
      <c r="F423" s="91" t="s">
        <v>8</v>
      </c>
      <c r="G423" s="91" t="s">
        <v>186</v>
      </c>
      <c r="H423" s="130"/>
    </row>
    <row r="424" spans="1:8" s="139" customFormat="1" x14ac:dyDescent="0.3">
      <c r="A424" s="135">
        <v>45861</v>
      </c>
      <c r="B424" s="2" t="s">
        <v>206</v>
      </c>
      <c r="C424" s="14" t="s">
        <v>17</v>
      </c>
      <c r="D424" s="14" t="s">
        <v>797</v>
      </c>
      <c r="E424" s="8">
        <v>-560.52</v>
      </c>
      <c r="F424" s="13" t="s">
        <v>8</v>
      </c>
      <c r="G424" s="9" t="s">
        <v>19</v>
      </c>
      <c r="H424" s="79"/>
    </row>
    <row r="425" spans="1:8" s="139" customFormat="1" x14ac:dyDescent="0.3">
      <c r="A425" s="135">
        <v>45861</v>
      </c>
      <c r="B425" s="340" t="s">
        <v>206</v>
      </c>
      <c r="C425" s="7" t="s">
        <v>17</v>
      </c>
      <c r="D425" s="7" t="s">
        <v>798</v>
      </c>
      <c r="E425" s="341">
        <v>-107.69</v>
      </c>
      <c r="F425" s="13" t="s">
        <v>8</v>
      </c>
      <c r="G425" s="9" t="s">
        <v>97</v>
      </c>
      <c r="H425" s="79"/>
    </row>
    <row r="426" spans="1:8" s="139" customFormat="1" x14ac:dyDescent="0.3">
      <c r="A426" s="135">
        <v>45861</v>
      </c>
      <c r="B426" s="340" t="s">
        <v>206</v>
      </c>
      <c r="C426" s="7" t="s">
        <v>17</v>
      </c>
      <c r="D426" s="7" t="s">
        <v>799</v>
      </c>
      <c r="E426" s="341">
        <v>-123</v>
      </c>
      <c r="F426" s="13" t="s">
        <v>8</v>
      </c>
      <c r="G426" s="9" t="s">
        <v>97</v>
      </c>
      <c r="H426" s="79"/>
    </row>
    <row r="427" spans="1:8" s="139" customFormat="1" x14ac:dyDescent="0.3">
      <c r="A427" s="135">
        <v>45861</v>
      </c>
      <c r="B427" s="340" t="s">
        <v>206</v>
      </c>
      <c r="C427" s="14" t="s">
        <v>25</v>
      </c>
      <c r="D427" s="14" t="s">
        <v>801</v>
      </c>
      <c r="E427" s="8">
        <v>-118</v>
      </c>
      <c r="F427" s="13" t="s">
        <v>8</v>
      </c>
      <c r="G427" s="37" t="s">
        <v>82</v>
      </c>
      <c r="H427" s="79"/>
    </row>
    <row r="428" spans="1:8" s="139" customFormat="1" x14ac:dyDescent="0.3">
      <c r="A428" s="135">
        <v>45861</v>
      </c>
      <c r="B428" s="340" t="s">
        <v>206</v>
      </c>
      <c r="C428" s="14" t="s">
        <v>17</v>
      </c>
      <c r="D428" s="14" t="s">
        <v>800</v>
      </c>
      <c r="E428" s="8">
        <v>-124</v>
      </c>
      <c r="F428" s="13" t="s">
        <v>8</v>
      </c>
      <c r="G428" s="37" t="s">
        <v>82</v>
      </c>
      <c r="H428" s="79"/>
    </row>
    <row r="429" spans="1:8" s="139" customFormat="1" x14ac:dyDescent="0.3">
      <c r="A429" s="135">
        <v>45861</v>
      </c>
      <c r="B429" s="340" t="s">
        <v>206</v>
      </c>
      <c r="C429" s="14" t="s">
        <v>71</v>
      </c>
      <c r="D429" s="14" t="s">
        <v>836</v>
      </c>
      <c r="E429" s="8">
        <v>-500</v>
      </c>
      <c r="F429" s="13" t="s">
        <v>8</v>
      </c>
      <c r="G429" s="37" t="s">
        <v>27</v>
      </c>
      <c r="H429" s="79"/>
    </row>
    <row r="430" spans="1:8" s="139" customFormat="1" x14ac:dyDescent="0.3">
      <c r="A430" s="135">
        <v>45861</v>
      </c>
      <c r="B430" s="340" t="s">
        <v>206</v>
      </c>
      <c r="C430" s="14" t="s">
        <v>71</v>
      </c>
      <c r="D430" s="14" t="s">
        <v>837</v>
      </c>
      <c r="E430" s="8">
        <v>-290</v>
      </c>
      <c r="F430" s="13" t="s">
        <v>8</v>
      </c>
      <c r="G430" s="37" t="s">
        <v>27</v>
      </c>
      <c r="H430" s="79"/>
    </row>
    <row r="431" spans="1:8" s="139" customFormat="1" x14ac:dyDescent="0.3">
      <c r="A431" s="135">
        <v>45861</v>
      </c>
      <c r="B431" s="340" t="s">
        <v>206</v>
      </c>
      <c r="C431" s="14" t="s">
        <v>71</v>
      </c>
      <c r="D431" s="14" t="s">
        <v>838</v>
      </c>
      <c r="E431" s="8">
        <v>-700</v>
      </c>
      <c r="F431" s="13" t="s">
        <v>8</v>
      </c>
      <c r="G431" s="37" t="s">
        <v>27</v>
      </c>
      <c r="H431" s="79"/>
    </row>
    <row r="432" spans="1:8" s="139" customFormat="1" x14ac:dyDescent="0.3">
      <c r="A432" s="135">
        <v>45861</v>
      </c>
      <c r="B432" s="340" t="s">
        <v>206</v>
      </c>
      <c r="C432" s="14" t="s">
        <v>71</v>
      </c>
      <c r="D432" s="14" t="s">
        <v>839</v>
      </c>
      <c r="E432" s="8">
        <v>-450</v>
      </c>
      <c r="F432" s="13" t="s">
        <v>8</v>
      </c>
      <c r="G432" s="37" t="s">
        <v>27</v>
      </c>
      <c r="H432" s="79"/>
    </row>
    <row r="433" spans="1:8" s="139" customFormat="1" x14ac:dyDescent="0.3">
      <c r="A433" s="135">
        <v>45861</v>
      </c>
      <c r="B433" s="340" t="s">
        <v>206</v>
      </c>
      <c r="C433" s="14" t="s">
        <v>71</v>
      </c>
      <c r="D433" s="14" t="s">
        <v>840</v>
      </c>
      <c r="E433" s="8">
        <v>-900</v>
      </c>
      <c r="F433" s="13" t="s">
        <v>8</v>
      </c>
      <c r="G433" s="37" t="s">
        <v>27</v>
      </c>
      <c r="H433" s="79"/>
    </row>
    <row r="434" spans="1:8" s="139" customFormat="1" x14ac:dyDescent="0.3">
      <c r="A434" s="135">
        <v>45861</v>
      </c>
      <c r="B434" s="340" t="s">
        <v>206</v>
      </c>
      <c r="C434" s="14" t="s">
        <v>71</v>
      </c>
      <c r="D434" s="14" t="s">
        <v>841</v>
      </c>
      <c r="E434" s="8">
        <v>-500</v>
      </c>
      <c r="F434" s="13" t="s">
        <v>8</v>
      </c>
      <c r="G434" s="37" t="s">
        <v>27</v>
      </c>
      <c r="H434" s="79"/>
    </row>
    <row r="435" spans="1:8" s="139" customFormat="1" x14ac:dyDescent="0.3">
      <c r="A435" s="135">
        <v>45861</v>
      </c>
      <c r="B435" s="340" t="s">
        <v>206</v>
      </c>
      <c r="C435" s="14" t="s">
        <v>71</v>
      </c>
      <c r="D435" s="14" t="s">
        <v>842</v>
      </c>
      <c r="E435" s="8">
        <v>-340</v>
      </c>
      <c r="F435" s="13" t="s">
        <v>8</v>
      </c>
      <c r="G435" s="37" t="s">
        <v>27</v>
      </c>
      <c r="H435" s="79"/>
    </row>
    <row r="436" spans="1:8" s="139" customFormat="1" x14ac:dyDescent="0.3">
      <c r="A436" s="78">
        <v>45862</v>
      </c>
      <c r="B436" s="2" t="s">
        <v>206</v>
      </c>
      <c r="C436" s="14" t="s">
        <v>71</v>
      </c>
      <c r="D436" s="14" t="s">
        <v>845</v>
      </c>
      <c r="E436" s="8">
        <v>-12.3</v>
      </c>
      <c r="F436" s="9" t="s">
        <v>8</v>
      </c>
      <c r="G436" s="9" t="s">
        <v>82</v>
      </c>
      <c r="H436" s="79"/>
    </row>
    <row r="437" spans="1:8" s="139" customFormat="1" x14ac:dyDescent="0.3">
      <c r="A437" s="78">
        <v>45862</v>
      </c>
      <c r="B437" s="2" t="s">
        <v>206</v>
      </c>
      <c r="C437" s="14" t="s">
        <v>71</v>
      </c>
      <c r="D437" s="14" t="s">
        <v>846</v>
      </c>
      <c r="E437" s="8">
        <v>-12.3</v>
      </c>
      <c r="F437" s="9" t="s">
        <v>8</v>
      </c>
      <c r="G437" s="9" t="s">
        <v>82</v>
      </c>
      <c r="H437" s="79"/>
    </row>
    <row r="438" spans="1:8" s="139" customFormat="1" x14ac:dyDescent="0.3">
      <c r="A438" s="78">
        <v>45862</v>
      </c>
      <c r="B438" s="2" t="s">
        <v>206</v>
      </c>
      <c r="C438" s="14" t="s">
        <v>71</v>
      </c>
      <c r="D438" s="12" t="s">
        <v>776</v>
      </c>
      <c r="E438" s="93">
        <v>-187.42</v>
      </c>
      <c r="F438" s="13" t="s">
        <v>8</v>
      </c>
      <c r="G438" s="9" t="s">
        <v>73</v>
      </c>
      <c r="H438" s="79"/>
    </row>
    <row r="439" spans="1:8" s="139" customFormat="1" x14ac:dyDescent="0.3">
      <c r="A439" s="78">
        <v>45862</v>
      </c>
      <c r="B439" s="2" t="s">
        <v>206</v>
      </c>
      <c r="C439" s="98" t="s">
        <v>71</v>
      </c>
      <c r="D439" s="12" t="s">
        <v>777</v>
      </c>
      <c r="E439" s="93">
        <v>-4375.75</v>
      </c>
      <c r="F439" s="13" t="s">
        <v>8</v>
      </c>
      <c r="G439" s="9" t="s">
        <v>73</v>
      </c>
      <c r="H439" s="79"/>
    </row>
    <row r="440" spans="1:8" s="139" customFormat="1" x14ac:dyDescent="0.3">
      <c r="A440" s="135">
        <v>45860</v>
      </c>
      <c r="B440" s="2" t="s">
        <v>206</v>
      </c>
      <c r="C440" s="14" t="s">
        <v>71</v>
      </c>
      <c r="D440" s="12" t="s">
        <v>778</v>
      </c>
      <c r="E440" s="93">
        <v>-4831.93</v>
      </c>
      <c r="F440" s="13" t="s">
        <v>8</v>
      </c>
      <c r="G440" s="9" t="s">
        <v>73</v>
      </c>
      <c r="H440" s="79"/>
    </row>
    <row r="441" spans="1:8" s="139" customFormat="1" x14ac:dyDescent="0.3">
      <c r="A441" s="78">
        <v>45862</v>
      </c>
      <c r="B441" s="2" t="s">
        <v>206</v>
      </c>
      <c r="C441" s="98" t="s">
        <v>71</v>
      </c>
      <c r="D441" s="12" t="s">
        <v>779</v>
      </c>
      <c r="E441" s="93">
        <v>-468.58</v>
      </c>
      <c r="F441" s="13" t="s">
        <v>8</v>
      </c>
      <c r="G441" s="9" t="s">
        <v>73</v>
      </c>
      <c r="H441" s="79"/>
    </row>
    <row r="442" spans="1:8" s="139" customFormat="1" x14ac:dyDescent="0.3">
      <c r="A442" s="78">
        <v>45862</v>
      </c>
      <c r="B442" s="2" t="s">
        <v>206</v>
      </c>
      <c r="C442" s="14" t="s">
        <v>71</v>
      </c>
      <c r="D442" s="12" t="s">
        <v>780</v>
      </c>
      <c r="E442" s="93">
        <v>-1408.66</v>
      </c>
      <c r="F442" s="13" t="s">
        <v>8</v>
      </c>
      <c r="G442" s="9" t="s">
        <v>73</v>
      </c>
      <c r="H442" s="79"/>
    </row>
    <row r="443" spans="1:8" s="139" customFormat="1" x14ac:dyDescent="0.3">
      <c r="A443" s="135">
        <v>45856</v>
      </c>
      <c r="B443" s="2" t="s">
        <v>206</v>
      </c>
      <c r="C443" s="14" t="s">
        <v>71</v>
      </c>
      <c r="D443" s="14" t="s">
        <v>784</v>
      </c>
      <c r="E443" s="8">
        <v>-130.16</v>
      </c>
      <c r="F443" s="13" t="s">
        <v>8</v>
      </c>
      <c r="G443" s="9" t="s">
        <v>73</v>
      </c>
      <c r="H443" s="79"/>
    </row>
    <row r="444" spans="1:8" s="139" customFormat="1" x14ac:dyDescent="0.3">
      <c r="A444" s="78">
        <v>45854</v>
      </c>
      <c r="B444" s="2" t="s">
        <v>206</v>
      </c>
      <c r="C444" s="14" t="s">
        <v>25</v>
      </c>
      <c r="D444" s="14" t="s">
        <v>694</v>
      </c>
      <c r="E444" s="8">
        <v>-250.4</v>
      </c>
      <c r="F444" s="13" t="s">
        <v>8</v>
      </c>
      <c r="G444" s="9" t="s">
        <v>82</v>
      </c>
      <c r="H444" s="79"/>
    </row>
    <row r="445" spans="1:8" s="139" customFormat="1" x14ac:dyDescent="0.3">
      <c r="A445" s="135">
        <v>45854</v>
      </c>
      <c r="B445" s="2" t="s">
        <v>206</v>
      </c>
      <c r="C445" s="14" t="s">
        <v>25</v>
      </c>
      <c r="D445" s="14" t="s">
        <v>695</v>
      </c>
      <c r="E445" s="8">
        <v>-319.8</v>
      </c>
      <c r="F445" s="13" t="s">
        <v>8</v>
      </c>
      <c r="G445" s="9" t="s">
        <v>82</v>
      </c>
      <c r="H445" s="79"/>
    </row>
    <row r="446" spans="1:8" s="139" customFormat="1" x14ac:dyDescent="0.3">
      <c r="A446" s="135">
        <v>45855</v>
      </c>
      <c r="B446" s="2" t="s">
        <v>206</v>
      </c>
      <c r="C446" s="14" t="s">
        <v>25</v>
      </c>
      <c r="D446" s="14" t="s">
        <v>701</v>
      </c>
      <c r="E446" s="8">
        <v>-153.4</v>
      </c>
      <c r="F446" s="13" t="s">
        <v>8</v>
      </c>
      <c r="G446" s="9" t="s">
        <v>82</v>
      </c>
      <c r="H446" s="79"/>
    </row>
    <row r="447" spans="1:8" s="139" customFormat="1" x14ac:dyDescent="0.3">
      <c r="A447" s="135">
        <v>45855</v>
      </c>
      <c r="B447" s="2" t="s">
        <v>206</v>
      </c>
      <c r="C447" s="14" t="s">
        <v>25</v>
      </c>
      <c r="D447" s="14" t="s">
        <v>702</v>
      </c>
      <c r="E447" s="8">
        <v>-110</v>
      </c>
      <c r="F447" s="13" t="s">
        <v>8</v>
      </c>
      <c r="G447" s="9" t="s">
        <v>82</v>
      </c>
      <c r="H447" s="79"/>
    </row>
    <row r="448" spans="1:8" s="139" customFormat="1" x14ac:dyDescent="0.3">
      <c r="A448" s="135">
        <v>45855</v>
      </c>
      <c r="B448" s="2" t="s">
        <v>206</v>
      </c>
      <c r="C448" s="14" t="s">
        <v>25</v>
      </c>
      <c r="D448" s="14" t="s">
        <v>468</v>
      </c>
      <c r="E448" s="8">
        <v>-159.9</v>
      </c>
      <c r="F448" s="13" t="s">
        <v>8</v>
      </c>
      <c r="G448" s="9" t="s">
        <v>82</v>
      </c>
      <c r="H448" s="79"/>
    </row>
    <row r="449" spans="1:8" s="139" customFormat="1" x14ac:dyDescent="0.3">
      <c r="A449" s="135">
        <v>45855</v>
      </c>
      <c r="B449" s="2" t="s">
        <v>206</v>
      </c>
      <c r="C449" s="17" t="s">
        <v>650</v>
      </c>
      <c r="D449" s="14" t="s">
        <v>480</v>
      </c>
      <c r="E449" s="8">
        <v>-1500</v>
      </c>
      <c r="F449" s="13" t="s">
        <v>8</v>
      </c>
      <c r="G449" s="9" t="s">
        <v>15</v>
      </c>
      <c r="H449" s="79"/>
    </row>
    <row r="450" spans="1:8" s="139" customFormat="1" x14ac:dyDescent="0.3">
      <c r="A450" s="135">
        <v>45855</v>
      </c>
      <c r="B450" s="2" t="s">
        <v>206</v>
      </c>
      <c r="C450" s="14" t="s">
        <v>25</v>
      </c>
      <c r="D450" s="14" t="s">
        <v>745</v>
      </c>
      <c r="E450" s="8">
        <v>-44.87</v>
      </c>
      <c r="F450" s="13" t="s">
        <v>8</v>
      </c>
      <c r="G450" s="9" t="s">
        <v>746</v>
      </c>
      <c r="H450" s="79"/>
    </row>
    <row r="451" spans="1:8" s="139" customFormat="1" x14ac:dyDescent="0.3">
      <c r="A451" s="135">
        <v>45859</v>
      </c>
      <c r="B451" s="2" t="s">
        <v>206</v>
      </c>
      <c r="C451" s="14" t="s">
        <v>25</v>
      </c>
      <c r="D451" s="14" t="s">
        <v>744</v>
      </c>
      <c r="E451" s="8">
        <v>-150</v>
      </c>
      <c r="F451" s="13" t="s">
        <v>8</v>
      </c>
      <c r="G451" s="9" t="s">
        <v>27</v>
      </c>
      <c r="H451" s="79"/>
    </row>
    <row r="452" spans="1:8" s="250" customFormat="1" x14ac:dyDescent="0.3">
      <c r="A452" s="251">
        <v>45869</v>
      </c>
      <c r="B452" s="247" t="s">
        <v>206</v>
      </c>
      <c r="C452" s="293" t="s">
        <v>6</v>
      </c>
      <c r="D452" s="293" t="s">
        <v>497</v>
      </c>
      <c r="E452" s="248">
        <v>-310.5</v>
      </c>
      <c r="F452" s="249" t="s">
        <v>8</v>
      </c>
      <c r="G452" s="254" t="s">
        <v>82</v>
      </c>
    </row>
    <row r="453" spans="1:8" s="250" customFormat="1" x14ac:dyDescent="0.3">
      <c r="A453" s="251">
        <v>45869</v>
      </c>
      <c r="B453" s="247" t="s">
        <v>206</v>
      </c>
      <c r="C453" s="293" t="s">
        <v>25</v>
      </c>
      <c r="D453" s="293" t="s">
        <v>881</v>
      </c>
      <c r="E453" s="248">
        <v>-210</v>
      </c>
      <c r="F453" s="249" t="s">
        <v>8</v>
      </c>
      <c r="G453" s="254" t="s">
        <v>82</v>
      </c>
    </row>
    <row r="454" spans="1:8" s="250" customFormat="1" x14ac:dyDescent="0.3">
      <c r="A454" s="251">
        <v>45869</v>
      </c>
      <c r="B454" s="247" t="s">
        <v>206</v>
      </c>
      <c r="C454" s="293" t="s">
        <v>25</v>
      </c>
      <c r="D454" s="293" t="s">
        <v>882</v>
      </c>
      <c r="E454" s="248">
        <v>-110</v>
      </c>
      <c r="F454" s="249" t="s">
        <v>8</v>
      </c>
      <c r="G454" s="254" t="s">
        <v>82</v>
      </c>
    </row>
    <row r="455" spans="1:8" s="250" customFormat="1" x14ac:dyDescent="0.3">
      <c r="A455" s="251">
        <v>45869</v>
      </c>
      <c r="B455" s="247" t="s">
        <v>206</v>
      </c>
      <c r="C455" s="293" t="s">
        <v>25</v>
      </c>
      <c r="D455" s="293" t="s">
        <v>883</v>
      </c>
      <c r="E455" s="248">
        <v>-319</v>
      </c>
      <c r="F455" s="249" t="s">
        <v>8</v>
      </c>
      <c r="G455" s="254" t="s">
        <v>82</v>
      </c>
    </row>
    <row r="456" spans="1:8" s="250" customFormat="1" x14ac:dyDescent="0.3">
      <c r="A456" s="251">
        <v>45869</v>
      </c>
      <c r="B456" s="247" t="s">
        <v>206</v>
      </c>
      <c r="C456" s="296" t="s">
        <v>25</v>
      </c>
      <c r="D456" s="293" t="s">
        <v>884</v>
      </c>
      <c r="E456" s="248">
        <v>-219.2</v>
      </c>
      <c r="F456" s="249" t="s">
        <v>8</v>
      </c>
      <c r="G456" s="254" t="s">
        <v>82</v>
      </c>
    </row>
    <row r="457" spans="1:8" s="250" customFormat="1" x14ac:dyDescent="0.3">
      <c r="A457" s="251">
        <v>45869</v>
      </c>
      <c r="B457" s="247" t="s">
        <v>206</v>
      </c>
      <c r="C457" s="296" t="s">
        <v>17</v>
      </c>
      <c r="D457" s="293" t="s">
        <v>885</v>
      </c>
      <c r="E457" s="248">
        <v>-575.4</v>
      </c>
      <c r="F457" s="249" t="s">
        <v>8</v>
      </c>
      <c r="G457" s="254" t="s">
        <v>82</v>
      </c>
    </row>
    <row r="458" spans="1:8" s="250" customFormat="1" x14ac:dyDescent="0.3">
      <c r="A458" s="251">
        <v>45869</v>
      </c>
      <c r="B458" s="247" t="s">
        <v>206</v>
      </c>
      <c r="C458" s="296" t="s">
        <v>17</v>
      </c>
      <c r="D458" s="293" t="s">
        <v>886</v>
      </c>
      <c r="E458" s="248">
        <v>-100</v>
      </c>
      <c r="F458" s="249" t="s">
        <v>8</v>
      </c>
      <c r="G458" s="254" t="s">
        <v>82</v>
      </c>
    </row>
    <row r="459" spans="1:8" s="250" customFormat="1" x14ac:dyDescent="0.3">
      <c r="A459" s="251">
        <v>45869</v>
      </c>
      <c r="B459" s="247" t="s">
        <v>206</v>
      </c>
      <c r="C459" s="296" t="s">
        <v>17</v>
      </c>
      <c r="D459" s="293" t="s">
        <v>887</v>
      </c>
      <c r="E459" s="248">
        <v>-275</v>
      </c>
      <c r="F459" s="249" t="s">
        <v>8</v>
      </c>
      <c r="G459" s="254" t="s">
        <v>82</v>
      </c>
    </row>
    <row r="460" spans="1:8" s="250" customFormat="1" x14ac:dyDescent="0.3">
      <c r="A460" s="251">
        <v>45869</v>
      </c>
      <c r="B460" s="247" t="s">
        <v>206</v>
      </c>
      <c r="C460" s="296" t="s">
        <v>17</v>
      </c>
      <c r="D460" s="293" t="s">
        <v>888</v>
      </c>
      <c r="E460" s="248">
        <v>-110</v>
      </c>
      <c r="F460" s="249" t="s">
        <v>8</v>
      </c>
      <c r="G460" s="254" t="s">
        <v>82</v>
      </c>
    </row>
    <row r="461" spans="1:8" s="250" customFormat="1" x14ac:dyDescent="0.3">
      <c r="A461" s="251">
        <v>45869</v>
      </c>
      <c r="B461" s="247" t="s">
        <v>206</v>
      </c>
      <c r="C461" s="293" t="s">
        <v>25</v>
      </c>
      <c r="D461" s="293" t="s">
        <v>899</v>
      </c>
      <c r="E461" s="248">
        <v>-304</v>
      </c>
      <c r="F461" s="249" t="s">
        <v>8</v>
      </c>
      <c r="G461" s="254" t="s">
        <v>82</v>
      </c>
    </row>
    <row r="462" spans="1:8" s="250" customFormat="1" x14ac:dyDescent="0.3">
      <c r="A462" s="251">
        <v>45869</v>
      </c>
      <c r="B462" s="247" t="s">
        <v>206</v>
      </c>
      <c r="C462" s="293" t="s">
        <v>25</v>
      </c>
      <c r="D462" s="293" t="s">
        <v>748</v>
      </c>
      <c r="E462" s="248">
        <v>-192</v>
      </c>
      <c r="F462" s="249" t="s">
        <v>8</v>
      </c>
      <c r="G462" s="254" t="s">
        <v>82</v>
      </c>
    </row>
    <row r="463" spans="1:8" s="250" customFormat="1" x14ac:dyDescent="0.3">
      <c r="A463" s="251">
        <v>45869</v>
      </c>
      <c r="B463" s="247" t="s">
        <v>206</v>
      </c>
      <c r="C463" s="293" t="s">
        <v>25</v>
      </c>
      <c r="D463" s="293" t="s">
        <v>418</v>
      </c>
      <c r="E463" s="248">
        <v>-150.4</v>
      </c>
      <c r="F463" s="249" t="s">
        <v>8</v>
      </c>
      <c r="G463" s="254" t="s">
        <v>82</v>
      </c>
    </row>
    <row r="464" spans="1:8" s="250" customFormat="1" x14ac:dyDescent="0.3">
      <c r="A464" s="251">
        <v>45869</v>
      </c>
      <c r="B464" s="247" t="s">
        <v>206</v>
      </c>
      <c r="C464" s="293" t="s">
        <v>71</v>
      </c>
      <c r="D464" s="293" t="s">
        <v>498</v>
      </c>
      <c r="E464" s="248">
        <v>-110</v>
      </c>
      <c r="F464" s="249" t="s">
        <v>8</v>
      </c>
      <c r="G464" s="254" t="s">
        <v>82</v>
      </c>
    </row>
    <row r="465" spans="1:7" s="250" customFormat="1" x14ac:dyDescent="0.3">
      <c r="A465" s="251">
        <v>45869</v>
      </c>
      <c r="B465" s="247" t="s">
        <v>206</v>
      </c>
      <c r="C465" s="293" t="s">
        <v>71</v>
      </c>
      <c r="D465" s="293" t="s">
        <v>86</v>
      </c>
      <c r="E465" s="248">
        <v>-231</v>
      </c>
      <c r="F465" s="249" t="s">
        <v>8</v>
      </c>
      <c r="G465" s="254" t="s">
        <v>82</v>
      </c>
    </row>
    <row r="466" spans="1:7" s="250" customFormat="1" x14ac:dyDescent="0.3">
      <c r="A466" s="251">
        <v>45869</v>
      </c>
      <c r="B466" s="247" t="s">
        <v>206</v>
      </c>
      <c r="C466" s="296" t="s">
        <v>17</v>
      </c>
      <c r="D466" s="293" t="s">
        <v>692</v>
      </c>
      <c r="E466" s="248">
        <v>-236.8</v>
      </c>
      <c r="F466" s="249" t="s">
        <v>8</v>
      </c>
      <c r="G466" s="254" t="s">
        <v>82</v>
      </c>
    </row>
    <row r="467" spans="1:7" s="250" customFormat="1" x14ac:dyDescent="0.3">
      <c r="A467" s="251">
        <v>45869</v>
      </c>
      <c r="B467" s="247" t="s">
        <v>206</v>
      </c>
      <c r="C467" s="296" t="s">
        <v>17</v>
      </c>
      <c r="D467" s="293" t="s">
        <v>916</v>
      </c>
      <c r="E467" s="248">
        <v>-196.8</v>
      </c>
      <c r="F467" s="249" t="s">
        <v>8</v>
      </c>
      <c r="G467" s="254" t="s">
        <v>82</v>
      </c>
    </row>
    <row r="468" spans="1:7" s="250" customFormat="1" x14ac:dyDescent="0.3">
      <c r="A468" s="251">
        <v>45869</v>
      </c>
      <c r="B468" s="247" t="s">
        <v>206</v>
      </c>
      <c r="C468" s="339" t="s">
        <v>25</v>
      </c>
      <c r="D468" s="293" t="s">
        <v>378</v>
      </c>
      <c r="E468" s="248">
        <v>-203.7</v>
      </c>
      <c r="F468" s="249" t="s">
        <v>8</v>
      </c>
      <c r="G468" s="254" t="s">
        <v>82</v>
      </c>
    </row>
    <row r="469" spans="1:7" s="139" customFormat="1" x14ac:dyDescent="0.3">
      <c r="A469" s="78">
        <v>45854</v>
      </c>
      <c r="B469" s="2" t="s">
        <v>206</v>
      </c>
      <c r="C469" s="14" t="s">
        <v>32</v>
      </c>
      <c r="D469" s="14" t="s">
        <v>506</v>
      </c>
      <c r="E469" s="8">
        <v>-319.27</v>
      </c>
      <c r="F469" s="9" t="s">
        <v>8</v>
      </c>
      <c r="G469" s="9" t="s">
        <v>75</v>
      </c>
    </row>
    <row r="470" spans="1:7" s="139" customFormat="1" x14ac:dyDescent="0.3">
      <c r="A470" s="78">
        <v>45854</v>
      </c>
      <c r="B470" s="2" t="s">
        <v>206</v>
      </c>
      <c r="C470" s="14" t="s">
        <v>6</v>
      </c>
      <c r="D470" s="14" t="s">
        <v>635</v>
      </c>
      <c r="E470" s="8">
        <v>-1302</v>
      </c>
      <c r="F470" s="9" t="s">
        <v>8</v>
      </c>
      <c r="G470" s="9" t="s">
        <v>19</v>
      </c>
    </row>
    <row r="471" spans="1:7" s="139" customFormat="1" x14ac:dyDescent="0.3">
      <c r="A471" s="78">
        <v>45854</v>
      </c>
      <c r="B471" s="2" t="s">
        <v>206</v>
      </c>
      <c r="C471" s="14" t="s">
        <v>6</v>
      </c>
      <c r="D471" s="14" t="s">
        <v>724</v>
      </c>
      <c r="E471" s="8">
        <v>-2350</v>
      </c>
      <c r="F471" s="9" t="s">
        <v>8</v>
      </c>
      <c r="G471" s="9" t="s">
        <v>139</v>
      </c>
    </row>
    <row r="472" spans="1:7" s="139" customFormat="1" x14ac:dyDescent="0.3">
      <c r="A472" s="78">
        <v>45854</v>
      </c>
      <c r="B472" s="2" t="s">
        <v>206</v>
      </c>
      <c r="C472" s="14" t="s">
        <v>6</v>
      </c>
      <c r="D472" s="14" t="s">
        <v>725</v>
      </c>
      <c r="E472" s="8">
        <v>-3200</v>
      </c>
      <c r="F472" s="9" t="s">
        <v>8</v>
      </c>
      <c r="G472" s="9" t="s">
        <v>139</v>
      </c>
    </row>
    <row r="473" spans="1:7" s="139" customFormat="1" x14ac:dyDescent="0.3">
      <c r="A473" s="78">
        <v>45854</v>
      </c>
      <c r="B473" s="2" t="s">
        <v>206</v>
      </c>
      <c r="C473" s="36" t="s">
        <v>71</v>
      </c>
      <c r="D473" s="14" t="s">
        <v>640</v>
      </c>
      <c r="E473" s="8">
        <v>-600</v>
      </c>
      <c r="F473" s="9" t="s">
        <v>8</v>
      </c>
      <c r="G473" s="9" t="s">
        <v>27</v>
      </c>
    </row>
    <row r="474" spans="1:7" x14ac:dyDescent="0.3">
      <c r="A474" s="78">
        <v>45854</v>
      </c>
      <c r="B474" s="2" t="s">
        <v>206</v>
      </c>
      <c r="C474" s="36" t="s">
        <v>71</v>
      </c>
      <c r="D474" s="12" t="s">
        <v>639</v>
      </c>
      <c r="E474" s="10">
        <v>-800</v>
      </c>
      <c r="F474" s="9" t="s">
        <v>8</v>
      </c>
      <c r="G474" s="9" t="s">
        <v>27</v>
      </c>
    </row>
    <row r="475" spans="1:7" s="139" customFormat="1" x14ac:dyDescent="0.3">
      <c r="A475" s="78">
        <v>45854</v>
      </c>
      <c r="B475" s="2" t="s">
        <v>206</v>
      </c>
      <c r="C475" s="36" t="s">
        <v>71</v>
      </c>
      <c r="D475" s="14" t="s">
        <v>638</v>
      </c>
      <c r="E475" s="8">
        <v>-200</v>
      </c>
      <c r="F475" s="9" t="s">
        <v>8</v>
      </c>
      <c r="G475" s="9" t="s">
        <v>27</v>
      </c>
    </row>
    <row r="476" spans="1:7" s="139" customFormat="1" x14ac:dyDescent="0.3">
      <c r="A476" s="78">
        <v>45854</v>
      </c>
      <c r="B476" s="2" t="s">
        <v>206</v>
      </c>
      <c r="C476" s="36" t="s">
        <v>71</v>
      </c>
      <c r="D476" s="14" t="s">
        <v>637</v>
      </c>
      <c r="E476" s="8">
        <v>-1250</v>
      </c>
      <c r="F476" s="9" t="s">
        <v>8</v>
      </c>
      <c r="G476" s="9" t="s">
        <v>27</v>
      </c>
    </row>
    <row r="477" spans="1:7" s="139" customFormat="1" x14ac:dyDescent="0.3">
      <c r="A477" s="78">
        <v>45854</v>
      </c>
      <c r="B477" s="2" t="s">
        <v>206</v>
      </c>
      <c r="C477" s="36" t="s">
        <v>71</v>
      </c>
      <c r="D477" s="14" t="s">
        <v>636</v>
      </c>
      <c r="E477" s="8">
        <v>-1400</v>
      </c>
      <c r="F477" s="9" t="s">
        <v>8</v>
      </c>
      <c r="G477" s="9" t="s">
        <v>27</v>
      </c>
    </row>
    <row r="478" spans="1:7" s="139" customFormat="1" x14ac:dyDescent="0.3">
      <c r="A478" s="78">
        <v>45854</v>
      </c>
      <c r="B478" s="2" t="s">
        <v>206</v>
      </c>
      <c r="C478" s="6" t="s">
        <v>25</v>
      </c>
      <c r="D478" s="14" t="s">
        <v>736</v>
      </c>
      <c r="E478" s="8">
        <v>-840</v>
      </c>
      <c r="F478" s="9" t="s">
        <v>8</v>
      </c>
      <c r="G478" s="9" t="s">
        <v>99</v>
      </c>
    </row>
    <row r="479" spans="1:7" s="139" customFormat="1" x14ac:dyDescent="0.3">
      <c r="A479" s="78">
        <v>45854</v>
      </c>
      <c r="B479" s="2" t="s">
        <v>206</v>
      </c>
      <c r="C479" s="6" t="s">
        <v>31</v>
      </c>
      <c r="D479" s="7" t="s">
        <v>730</v>
      </c>
      <c r="E479" s="8">
        <v>-2247.35</v>
      </c>
      <c r="F479" s="5" t="s">
        <v>8</v>
      </c>
      <c r="G479" s="5" t="s">
        <v>85</v>
      </c>
    </row>
    <row r="480" spans="1:7" s="139" customFormat="1" x14ac:dyDescent="0.3">
      <c r="A480" s="136">
        <v>45859</v>
      </c>
      <c r="B480" s="33" t="s">
        <v>206</v>
      </c>
      <c r="C480" s="36" t="s">
        <v>6</v>
      </c>
      <c r="D480" s="239" t="s">
        <v>793</v>
      </c>
      <c r="E480" s="40">
        <v>-220</v>
      </c>
      <c r="F480" s="34" t="s">
        <v>8</v>
      </c>
      <c r="G480" s="35" t="s">
        <v>203</v>
      </c>
    </row>
    <row r="481" spans="1:7" s="139" customFormat="1" x14ac:dyDescent="0.3">
      <c r="A481" s="136">
        <v>45859</v>
      </c>
      <c r="B481" s="33" t="s">
        <v>206</v>
      </c>
      <c r="C481" s="36" t="s">
        <v>71</v>
      </c>
      <c r="D481" s="36" t="s">
        <v>788</v>
      </c>
      <c r="E481" s="40">
        <v>-1292.570109</v>
      </c>
      <c r="F481" s="34" t="s">
        <v>8</v>
      </c>
      <c r="G481" s="37" t="s">
        <v>227</v>
      </c>
    </row>
    <row r="482" spans="1:7" s="139" customFormat="1" x14ac:dyDescent="0.3">
      <c r="A482" s="39">
        <v>45859</v>
      </c>
      <c r="B482" s="33" t="s">
        <v>206</v>
      </c>
      <c r="C482" s="36" t="s">
        <v>6</v>
      </c>
      <c r="D482" s="36" t="s">
        <v>792</v>
      </c>
      <c r="E482" s="40">
        <v>-3619.3394859999999</v>
      </c>
      <c r="F482" s="34" t="s">
        <v>8</v>
      </c>
      <c r="G482" s="9" t="s">
        <v>139</v>
      </c>
    </row>
    <row r="483" spans="1:7" s="139" customFormat="1" x14ac:dyDescent="0.3">
      <c r="A483" s="39">
        <v>45859</v>
      </c>
      <c r="B483" s="33" t="s">
        <v>206</v>
      </c>
      <c r="C483" s="36" t="s">
        <v>71</v>
      </c>
      <c r="D483" s="36" t="s">
        <v>791</v>
      </c>
      <c r="E483" s="40">
        <v>-1718.37</v>
      </c>
      <c r="F483" s="37" t="s">
        <v>8</v>
      </c>
      <c r="G483" s="37" t="s">
        <v>227</v>
      </c>
    </row>
    <row r="484" spans="1:7" s="139" customFormat="1" x14ac:dyDescent="0.3">
      <c r="A484" s="78">
        <v>45859</v>
      </c>
      <c r="B484" s="2" t="s">
        <v>206</v>
      </c>
      <c r="C484" s="14" t="s">
        <v>44</v>
      </c>
      <c r="D484" s="14" t="s">
        <v>789</v>
      </c>
      <c r="E484" s="8">
        <v>-235.4</v>
      </c>
      <c r="F484" s="9" t="s">
        <v>8</v>
      </c>
      <c r="G484" s="5" t="s">
        <v>203</v>
      </c>
    </row>
    <row r="485" spans="1:7" s="139" customFormat="1" x14ac:dyDescent="0.3">
      <c r="A485" s="78">
        <v>45859</v>
      </c>
      <c r="B485" s="2" t="s">
        <v>206</v>
      </c>
      <c r="C485" s="14" t="s">
        <v>25</v>
      </c>
      <c r="D485" s="14" t="s">
        <v>749</v>
      </c>
      <c r="E485" s="8">
        <v>-330</v>
      </c>
      <c r="F485" s="9" t="s">
        <v>8</v>
      </c>
      <c r="G485" s="9" t="s">
        <v>82</v>
      </c>
    </row>
    <row r="486" spans="1:7" s="139" customFormat="1" x14ac:dyDescent="0.3">
      <c r="A486" s="78">
        <v>45859</v>
      </c>
      <c r="B486" s="2" t="s">
        <v>206</v>
      </c>
      <c r="C486" s="14" t="s">
        <v>25</v>
      </c>
      <c r="D486" s="14" t="s">
        <v>750</v>
      </c>
      <c r="E486" s="8">
        <v>-100</v>
      </c>
      <c r="F486" s="9" t="s">
        <v>8</v>
      </c>
      <c r="G486" s="9" t="s">
        <v>82</v>
      </c>
    </row>
    <row r="487" spans="1:7" s="139" customFormat="1" x14ac:dyDescent="0.3">
      <c r="A487" s="78">
        <v>45859</v>
      </c>
      <c r="B487" s="2" t="s">
        <v>206</v>
      </c>
      <c r="C487" s="14" t="s">
        <v>25</v>
      </c>
      <c r="D487" s="14" t="s">
        <v>751</v>
      </c>
      <c r="E487" s="8">
        <v>-205</v>
      </c>
      <c r="F487" s="9" t="s">
        <v>8</v>
      </c>
      <c r="G487" s="9" t="s">
        <v>82</v>
      </c>
    </row>
    <row r="488" spans="1:7" s="139" customFormat="1" x14ac:dyDescent="0.3">
      <c r="A488" s="78">
        <v>45859</v>
      </c>
      <c r="B488" s="2" t="s">
        <v>206</v>
      </c>
      <c r="C488" s="14" t="s">
        <v>25</v>
      </c>
      <c r="D488" s="14" t="s">
        <v>752</v>
      </c>
      <c r="E488" s="8">
        <v>-128</v>
      </c>
      <c r="F488" s="9" t="s">
        <v>8</v>
      </c>
      <c r="G488" s="9" t="s">
        <v>82</v>
      </c>
    </row>
    <row r="489" spans="1:7" s="139" customFormat="1" x14ac:dyDescent="0.3">
      <c r="A489" s="78">
        <v>45859</v>
      </c>
      <c r="B489" s="2" t="s">
        <v>206</v>
      </c>
      <c r="C489" s="14" t="s">
        <v>25</v>
      </c>
      <c r="D489" s="14" t="s">
        <v>753</v>
      </c>
      <c r="E489" s="8">
        <v>-123</v>
      </c>
      <c r="F489" s="9" t="s">
        <v>8</v>
      </c>
      <c r="G489" s="9" t="s">
        <v>82</v>
      </c>
    </row>
    <row r="490" spans="1:7" s="139" customFormat="1" x14ac:dyDescent="0.3">
      <c r="A490" s="78">
        <v>45859</v>
      </c>
      <c r="B490" s="2" t="s">
        <v>206</v>
      </c>
      <c r="C490" s="14" t="s">
        <v>31</v>
      </c>
      <c r="D490" s="14" t="s">
        <v>754</v>
      </c>
      <c r="E490" s="8">
        <v>-1729.66</v>
      </c>
      <c r="F490" s="9" t="s">
        <v>8</v>
      </c>
      <c r="G490" s="9" t="s">
        <v>51</v>
      </c>
    </row>
    <row r="491" spans="1:7" s="139" customFormat="1" x14ac:dyDescent="0.3">
      <c r="A491" s="78">
        <v>45859</v>
      </c>
      <c r="B491" s="2" t="s">
        <v>206</v>
      </c>
      <c r="C491" s="14" t="s">
        <v>6</v>
      </c>
      <c r="D491" s="14" t="s">
        <v>754</v>
      </c>
      <c r="E491" s="8">
        <v>-1061.3800000000001</v>
      </c>
      <c r="F491" s="9" t="s">
        <v>8</v>
      </c>
      <c r="G491" s="9" t="s">
        <v>51</v>
      </c>
    </row>
    <row r="492" spans="1:7" s="139" customFormat="1" x14ac:dyDescent="0.3">
      <c r="A492" s="78">
        <v>45859</v>
      </c>
      <c r="B492" s="2" t="s">
        <v>206</v>
      </c>
      <c r="C492" s="14" t="s">
        <v>44</v>
      </c>
      <c r="D492" s="14" t="s">
        <v>754</v>
      </c>
      <c r="E492" s="8">
        <v>-786.92</v>
      </c>
      <c r="F492" s="9" t="s">
        <v>8</v>
      </c>
      <c r="G492" s="9" t="s">
        <v>51</v>
      </c>
    </row>
    <row r="493" spans="1:7" s="139" customFormat="1" x14ac:dyDescent="0.3">
      <c r="A493" s="78">
        <v>45859</v>
      </c>
      <c r="B493" s="2" t="s">
        <v>206</v>
      </c>
      <c r="C493" s="14" t="s">
        <v>25</v>
      </c>
      <c r="D493" s="14" t="s">
        <v>754</v>
      </c>
      <c r="E493" s="8">
        <v>-2319.3200000000002</v>
      </c>
      <c r="F493" s="9" t="s">
        <v>8</v>
      </c>
      <c r="G493" s="9" t="s">
        <v>51</v>
      </c>
    </row>
    <row r="494" spans="1:7" s="139" customFormat="1" x14ac:dyDescent="0.3">
      <c r="A494" s="78">
        <v>45859</v>
      </c>
      <c r="B494" s="2" t="s">
        <v>206</v>
      </c>
      <c r="C494" s="14" t="s">
        <v>33</v>
      </c>
      <c r="D494" s="14" t="s">
        <v>754</v>
      </c>
      <c r="E494" s="8">
        <v>-791.16</v>
      </c>
      <c r="F494" s="9" t="s">
        <v>8</v>
      </c>
      <c r="G494" s="9" t="s">
        <v>51</v>
      </c>
    </row>
    <row r="495" spans="1:7" s="139" customFormat="1" x14ac:dyDescent="0.3">
      <c r="A495" s="78">
        <v>45859</v>
      </c>
      <c r="B495" s="2" t="s">
        <v>206</v>
      </c>
      <c r="C495" s="14" t="s">
        <v>104</v>
      </c>
      <c r="D495" s="14" t="s">
        <v>754</v>
      </c>
      <c r="E495" s="8">
        <v>-590.19000000000005</v>
      </c>
      <c r="F495" s="9" t="s">
        <v>8</v>
      </c>
      <c r="G495" s="9" t="s">
        <v>51</v>
      </c>
    </row>
    <row r="496" spans="1:7" s="139" customFormat="1" x14ac:dyDescent="0.3">
      <c r="A496" s="78">
        <v>45859</v>
      </c>
      <c r="B496" s="2" t="s">
        <v>206</v>
      </c>
      <c r="C496" s="14" t="s">
        <v>32</v>
      </c>
      <c r="D496" s="14" t="s">
        <v>754</v>
      </c>
      <c r="E496" s="8">
        <v>-157.38</v>
      </c>
      <c r="F496" s="9" t="s">
        <v>8</v>
      </c>
      <c r="G496" s="9" t="s">
        <v>51</v>
      </c>
    </row>
    <row r="497" spans="1:7" s="139" customFormat="1" x14ac:dyDescent="0.3">
      <c r="A497" s="78">
        <v>45859</v>
      </c>
      <c r="B497" s="2" t="s">
        <v>206</v>
      </c>
      <c r="C497" s="14" t="s">
        <v>71</v>
      </c>
      <c r="D497" s="14" t="s">
        <v>754</v>
      </c>
      <c r="E497" s="8">
        <v>-629.54</v>
      </c>
      <c r="F497" s="9" t="s">
        <v>8</v>
      </c>
      <c r="G497" s="9" t="s">
        <v>51</v>
      </c>
    </row>
    <row r="498" spans="1:7" s="139" customFormat="1" x14ac:dyDescent="0.3">
      <c r="A498" s="135">
        <v>45859</v>
      </c>
      <c r="B498" s="2" t="s">
        <v>206</v>
      </c>
      <c r="C498" s="6" t="s">
        <v>31</v>
      </c>
      <c r="D498" s="7" t="s">
        <v>197</v>
      </c>
      <c r="E498" s="8">
        <v>-3177.3</v>
      </c>
      <c r="F498" s="5" t="s">
        <v>8</v>
      </c>
      <c r="G498" s="5" t="s">
        <v>85</v>
      </c>
    </row>
    <row r="499" spans="1:7" s="139" customFormat="1" x14ac:dyDescent="0.3">
      <c r="A499" s="78">
        <v>45854</v>
      </c>
      <c r="B499" s="2" t="s">
        <v>206</v>
      </c>
      <c r="C499" s="6" t="s">
        <v>6</v>
      </c>
      <c r="D499" s="7" t="s">
        <v>723</v>
      </c>
      <c r="E499" s="8">
        <v>-3022.31</v>
      </c>
      <c r="F499" s="5" t="s">
        <v>8</v>
      </c>
      <c r="G499" s="5" t="s">
        <v>85</v>
      </c>
    </row>
    <row r="500" spans="1:7" s="139" customFormat="1" x14ac:dyDescent="0.3">
      <c r="A500" s="135">
        <v>45859</v>
      </c>
      <c r="B500" s="2" t="s">
        <v>206</v>
      </c>
      <c r="C500" s="6" t="s">
        <v>6</v>
      </c>
      <c r="D500" s="7" t="s">
        <v>197</v>
      </c>
      <c r="E500" s="8">
        <v>-2247.36</v>
      </c>
      <c r="F500" s="5" t="s">
        <v>8</v>
      </c>
      <c r="G500" s="5" t="s">
        <v>85</v>
      </c>
    </row>
    <row r="501" spans="1:7" s="139" customFormat="1" x14ac:dyDescent="0.3">
      <c r="A501" s="135">
        <v>45859</v>
      </c>
      <c r="B501" s="2" t="s">
        <v>206</v>
      </c>
      <c r="C501" s="6" t="s">
        <v>44</v>
      </c>
      <c r="D501" s="7" t="s">
        <v>197</v>
      </c>
      <c r="E501" s="8">
        <v>-3409.78</v>
      </c>
      <c r="F501" s="5" t="s">
        <v>8</v>
      </c>
      <c r="G501" s="5" t="s">
        <v>85</v>
      </c>
    </row>
    <row r="502" spans="1:7" s="139" customFormat="1" x14ac:dyDescent="0.3">
      <c r="A502" s="135">
        <v>45859</v>
      </c>
      <c r="B502" s="2" t="s">
        <v>206</v>
      </c>
      <c r="C502" s="6" t="s">
        <v>44</v>
      </c>
      <c r="D502" s="7" t="s">
        <v>197</v>
      </c>
      <c r="E502" s="8">
        <v>-1239.92</v>
      </c>
      <c r="F502" s="5" t="s">
        <v>8</v>
      </c>
      <c r="G502" s="5" t="s">
        <v>85</v>
      </c>
    </row>
    <row r="503" spans="1:7" s="139" customFormat="1" x14ac:dyDescent="0.3">
      <c r="A503" s="78">
        <v>45854</v>
      </c>
      <c r="B503" s="2" t="s">
        <v>206</v>
      </c>
      <c r="C503" s="6" t="s">
        <v>44</v>
      </c>
      <c r="D503" s="7" t="s">
        <v>726</v>
      </c>
      <c r="E503" s="8">
        <v>-774.95</v>
      </c>
      <c r="F503" s="5" t="s">
        <v>8</v>
      </c>
      <c r="G503" s="5" t="s">
        <v>85</v>
      </c>
    </row>
    <row r="504" spans="1:7" s="139" customFormat="1" x14ac:dyDescent="0.3">
      <c r="A504" s="78">
        <v>45854</v>
      </c>
      <c r="B504" s="2" t="s">
        <v>206</v>
      </c>
      <c r="C504" s="6" t="s">
        <v>44</v>
      </c>
      <c r="D504" s="7" t="s">
        <v>727</v>
      </c>
      <c r="E504" s="8">
        <v>-3487.27</v>
      </c>
      <c r="F504" s="5" t="s">
        <v>8</v>
      </c>
      <c r="G504" s="5" t="s">
        <v>85</v>
      </c>
    </row>
    <row r="505" spans="1:7" s="139" customFormat="1" x14ac:dyDescent="0.3">
      <c r="A505" s="78">
        <v>45854</v>
      </c>
      <c r="B505" s="2" t="s">
        <v>206</v>
      </c>
      <c r="C505" s="6" t="s">
        <v>25</v>
      </c>
      <c r="D505" s="7" t="s">
        <v>729</v>
      </c>
      <c r="E505" s="8">
        <v>-3177.29</v>
      </c>
      <c r="F505" s="5" t="s">
        <v>8</v>
      </c>
      <c r="G505" s="5" t="s">
        <v>85</v>
      </c>
    </row>
    <row r="506" spans="1:7" s="139" customFormat="1" x14ac:dyDescent="0.3">
      <c r="A506" s="135">
        <v>45859</v>
      </c>
      <c r="B506" s="2" t="s">
        <v>206</v>
      </c>
      <c r="C506" s="6" t="s">
        <v>25</v>
      </c>
      <c r="D506" s="7" t="s">
        <v>197</v>
      </c>
      <c r="E506" s="8">
        <v>-3332.28</v>
      </c>
      <c r="F506" s="5" t="s">
        <v>8</v>
      </c>
      <c r="G506" s="5" t="s">
        <v>85</v>
      </c>
    </row>
    <row r="507" spans="1:7" s="139" customFormat="1" x14ac:dyDescent="0.3">
      <c r="A507" s="135">
        <v>45859</v>
      </c>
      <c r="B507" s="2" t="s">
        <v>206</v>
      </c>
      <c r="C507" s="6" t="s">
        <v>33</v>
      </c>
      <c r="D507" s="7" t="s">
        <v>197</v>
      </c>
      <c r="E507" s="8">
        <v>-929.94</v>
      </c>
      <c r="F507" s="5" t="s">
        <v>8</v>
      </c>
      <c r="G507" s="5" t="s">
        <v>85</v>
      </c>
    </row>
    <row r="508" spans="1:7" s="139" customFormat="1" x14ac:dyDescent="0.3">
      <c r="A508" s="78">
        <v>45854</v>
      </c>
      <c r="B508" s="2" t="s">
        <v>206</v>
      </c>
      <c r="C508" s="6" t="s">
        <v>33</v>
      </c>
      <c r="D508" s="7" t="s">
        <v>732</v>
      </c>
      <c r="E508" s="8">
        <v>-852.45</v>
      </c>
      <c r="F508" s="5" t="s">
        <v>8</v>
      </c>
      <c r="G508" s="5" t="s">
        <v>85</v>
      </c>
    </row>
    <row r="509" spans="1:7" s="139" customFormat="1" x14ac:dyDescent="0.3">
      <c r="A509" s="78">
        <v>45854</v>
      </c>
      <c r="B509" s="2" t="s">
        <v>206</v>
      </c>
      <c r="C509" s="6" t="s">
        <v>104</v>
      </c>
      <c r="D509" s="7" t="s">
        <v>733</v>
      </c>
      <c r="E509" s="8">
        <v>-619.96</v>
      </c>
      <c r="F509" s="5" t="s">
        <v>8</v>
      </c>
      <c r="G509" s="5" t="s">
        <v>85</v>
      </c>
    </row>
    <row r="510" spans="1:7" s="139" customFormat="1" x14ac:dyDescent="0.3">
      <c r="A510" s="135">
        <v>45859</v>
      </c>
      <c r="B510" s="2" t="s">
        <v>206</v>
      </c>
      <c r="C510" s="6" t="s">
        <v>104</v>
      </c>
      <c r="D510" s="7" t="s">
        <v>197</v>
      </c>
      <c r="E510" s="8">
        <v>-929.94</v>
      </c>
      <c r="F510" s="5" t="s">
        <v>8</v>
      </c>
      <c r="G510" s="5" t="s">
        <v>85</v>
      </c>
    </row>
    <row r="511" spans="1:7" s="139" customFormat="1" x14ac:dyDescent="0.3">
      <c r="A511" s="135">
        <v>45859</v>
      </c>
      <c r="B511" s="2" t="s">
        <v>206</v>
      </c>
      <c r="C511" s="6" t="s">
        <v>32</v>
      </c>
      <c r="D511" s="7" t="s">
        <v>197</v>
      </c>
      <c r="E511" s="8">
        <v>-232.48</v>
      </c>
      <c r="F511" s="5" t="s">
        <v>8</v>
      </c>
      <c r="G511" s="5" t="s">
        <v>85</v>
      </c>
    </row>
    <row r="512" spans="1:7" s="139" customFormat="1" x14ac:dyDescent="0.3">
      <c r="A512" s="78">
        <v>45854</v>
      </c>
      <c r="B512" s="2" t="s">
        <v>206</v>
      </c>
      <c r="C512" s="6" t="s">
        <v>32</v>
      </c>
      <c r="D512" s="7" t="s">
        <v>731</v>
      </c>
      <c r="E512" s="8">
        <v>-232.49</v>
      </c>
      <c r="F512" s="5" t="s">
        <v>8</v>
      </c>
      <c r="G512" s="5" t="s">
        <v>85</v>
      </c>
    </row>
    <row r="513" spans="1:8" s="139" customFormat="1" x14ac:dyDescent="0.3">
      <c r="A513" s="135">
        <v>45859</v>
      </c>
      <c r="B513" s="2" t="s">
        <v>206</v>
      </c>
      <c r="C513" s="6" t="s">
        <v>71</v>
      </c>
      <c r="D513" s="7" t="s">
        <v>197</v>
      </c>
      <c r="E513" s="8">
        <v>-1084.93</v>
      </c>
      <c r="F513" s="5" t="s">
        <v>8</v>
      </c>
      <c r="G513" s="5" t="s">
        <v>85</v>
      </c>
    </row>
    <row r="514" spans="1:8" s="139" customFormat="1" x14ac:dyDescent="0.3">
      <c r="A514" s="78">
        <v>45854</v>
      </c>
      <c r="B514" s="2" t="s">
        <v>206</v>
      </c>
      <c r="C514" s="6" t="s">
        <v>71</v>
      </c>
      <c r="D514" s="7" t="s">
        <v>735</v>
      </c>
      <c r="E514" s="8">
        <v>-464.97</v>
      </c>
      <c r="F514" s="5" t="s">
        <v>8</v>
      </c>
      <c r="G514" s="5" t="s">
        <v>85</v>
      </c>
    </row>
    <row r="515" spans="1:8" s="139" customFormat="1" x14ac:dyDescent="0.3">
      <c r="A515" s="135">
        <v>45859</v>
      </c>
      <c r="B515" s="2" t="s">
        <v>206</v>
      </c>
      <c r="C515" s="6" t="s">
        <v>17</v>
      </c>
      <c r="D515" s="7" t="s">
        <v>197</v>
      </c>
      <c r="E515" s="8">
        <v>-154.99</v>
      </c>
      <c r="F515" s="5" t="s">
        <v>8</v>
      </c>
      <c r="G515" s="5" t="s">
        <v>85</v>
      </c>
    </row>
    <row r="516" spans="1:8" s="139" customFormat="1" x14ac:dyDescent="0.3">
      <c r="A516" s="135">
        <v>45859</v>
      </c>
      <c r="B516" s="2" t="s">
        <v>206</v>
      </c>
      <c r="C516" s="6" t="s">
        <v>71</v>
      </c>
      <c r="D516" s="7" t="s">
        <v>794</v>
      </c>
      <c r="E516" s="8">
        <v>-2021.12</v>
      </c>
      <c r="F516" s="5" t="s">
        <v>8</v>
      </c>
      <c r="G516" s="5" t="s">
        <v>27</v>
      </c>
    </row>
    <row r="517" spans="1:8" s="139" customFormat="1" x14ac:dyDescent="0.3">
      <c r="A517" s="135">
        <v>45859</v>
      </c>
      <c r="B517" s="2" t="s">
        <v>206</v>
      </c>
      <c r="C517" s="6" t="s">
        <v>31</v>
      </c>
      <c r="D517" s="7" t="s">
        <v>790</v>
      </c>
      <c r="E517" s="8">
        <v>-2073.1799999999998</v>
      </c>
      <c r="F517" s="5" t="s">
        <v>8</v>
      </c>
      <c r="G517" s="5" t="s">
        <v>746</v>
      </c>
    </row>
    <row r="518" spans="1:8" s="139" customFormat="1" x14ac:dyDescent="0.3">
      <c r="A518" s="78">
        <v>45854</v>
      </c>
      <c r="B518" s="2" t="s">
        <v>206</v>
      </c>
      <c r="C518" s="6" t="s">
        <v>17</v>
      </c>
      <c r="D518" s="7" t="s">
        <v>728</v>
      </c>
      <c r="E518" s="8">
        <v>-619.96</v>
      </c>
      <c r="F518" s="5" t="s">
        <v>8</v>
      </c>
      <c r="G518" s="5" t="s">
        <v>85</v>
      </c>
    </row>
    <row r="519" spans="1:8" s="137" customFormat="1" x14ac:dyDescent="0.3">
      <c r="A519" s="39">
        <v>45863</v>
      </c>
      <c r="B519" s="33" t="s">
        <v>206</v>
      </c>
      <c r="C519" s="36" t="s">
        <v>44</v>
      </c>
      <c r="D519" s="36" t="s">
        <v>857</v>
      </c>
      <c r="E519" s="40">
        <v>-1840.8</v>
      </c>
      <c r="F519" s="13" t="s">
        <v>8</v>
      </c>
      <c r="G519" s="37" t="s">
        <v>227</v>
      </c>
      <c r="H519" s="139"/>
    </row>
    <row r="520" spans="1:8" s="137" customFormat="1" x14ac:dyDescent="0.3">
      <c r="A520" s="39">
        <v>45863</v>
      </c>
      <c r="B520" s="33" t="s">
        <v>206</v>
      </c>
      <c r="C520" s="36" t="s">
        <v>44</v>
      </c>
      <c r="D520" s="36" t="s">
        <v>855</v>
      </c>
      <c r="E520" s="40">
        <v>-10505.31</v>
      </c>
      <c r="F520" s="13" t="s">
        <v>8</v>
      </c>
      <c r="G520" s="37" t="s">
        <v>227</v>
      </c>
      <c r="H520" s="139"/>
    </row>
    <row r="521" spans="1:8" s="137" customFormat="1" x14ac:dyDescent="0.3">
      <c r="A521" s="39">
        <v>45863</v>
      </c>
      <c r="B521" s="33" t="s">
        <v>206</v>
      </c>
      <c r="C521" s="36" t="s">
        <v>71</v>
      </c>
      <c r="D521" s="36" t="s">
        <v>859</v>
      </c>
      <c r="E521" s="40">
        <v>-1117.53</v>
      </c>
      <c r="F521" s="13" t="s">
        <v>8</v>
      </c>
      <c r="G521" s="37" t="s">
        <v>227</v>
      </c>
      <c r="H521" s="139"/>
    </row>
    <row r="522" spans="1:8" s="137" customFormat="1" x14ac:dyDescent="0.3">
      <c r="A522" s="39">
        <v>45863</v>
      </c>
      <c r="B522" s="33" t="s">
        <v>206</v>
      </c>
      <c r="C522" s="36" t="s">
        <v>17</v>
      </c>
      <c r="D522" s="36" t="s">
        <v>858</v>
      </c>
      <c r="E522" s="40">
        <v>-180</v>
      </c>
      <c r="F522" s="13" t="s">
        <v>8</v>
      </c>
      <c r="G522" s="9" t="s">
        <v>139</v>
      </c>
      <c r="H522" s="139"/>
    </row>
    <row r="523" spans="1:8" s="250" customFormat="1" x14ac:dyDescent="0.3">
      <c r="A523" s="308">
        <v>45895</v>
      </c>
      <c r="B523" s="322" t="s">
        <v>207</v>
      </c>
      <c r="C523" s="291" t="s">
        <v>13</v>
      </c>
      <c r="D523" s="291" t="s">
        <v>1101</v>
      </c>
      <c r="E523" s="461">
        <v>-1000.43</v>
      </c>
      <c r="F523" s="373" t="s">
        <v>8</v>
      </c>
      <c r="G523" s="270" t="s">
        <v>55</v>
      </c>
      <c r="H523" s="320"/>
    </row>
    <row r="524" spans="1:8" s="139" customFormat="1" hidden="1" x14ac:dyDescent="0.3">
      <c r="A524" s="78">
        <v>45932</v>
      </c>
      <c r="B524" s="100" t="s">
        <v>211</v>
      </c>
      <c r="C524" s="4" t="s">
        <v>13</v>
      </c>
      <c r="D524" s="4" t="s">
        <v>906</v>
      </c>
      <c r="E524" s="153">
        <v>-15</v>
      </c>
      <c r="F524" s="13" t="s">
        <v>8</v>
      </c>
      <c r="G524" s="153" t="s">
        <v>150</v>
      </c>
    </row>
    <row r="525" spans="1:8" s="250" customFormat="1" x14ac:dyDescent="0.3">
      <c r="A525" s="487">
        <v>45894</v>
      </c>
      <c r="B525" s="488" t="s">
        <v>207</v>
      </c>
      <c r="C525" s="489" t="s">
        <v>13</v>
      </c>
      <c r="D525" s="490" t="s">
        <v>1165</v>
      </c>
      <c r="E525" s="491">
        <v>-235.25</v>
      </c>
      <c r="F525" s="492" t="s">
        <v>8</v>
      </c>
      <c r="G525" s="493" t="s">
        <v>55</v>
      </c>
    </row>
    <row r="526" spans="1:8" s="250" customFormat="1" x14ac:dyDescent="0.3">
      <c r="A526" s="251">
        <v>45930</v>
      </c>
      <c r="B526" s="247" t="s">
        <v>208</v>
      </c>
      <c r="C526" s="293" t="s">
        <v>17</v>
      </c>
      <c r="D526" s="293" t="s">
        <v>1343</v>
      </c>
      <c r="E526" s="248">
        <v>-430.22</v>
      </c>
      <c r="F526" s="249" t="s">
        <v>8</v>
      </c>
      <c r="G526" s="254" t="s">
        <v>804</v>
      </c>
    </row>
    <row r="527" spans="1:8" s="139" customFormat="1" hidden="1" x14ac:dyDescent="0.3">
      <c r="A527" s="87">
        <v>45957</v>
      </c>
      <c r="B527" s="23" t="s">
        <v>211</v>
      </c>
      <c r="C527" s="96" t="s">
        <v>17</v>
      </c>
      <c r="D527" s="96" t="s">
        <v>540</v>
      </c>
      <c r="E527" s="89">
        <v>-430.22</v>
      </c>
      <c r="F527" s="110" t="s">
        <v>8</v>
      </c>
      <c r="G527" s="70" t="s">
        <v>804</v>
      </c>
    </row>
    <row r="528" spans="1:8" s="139" customFormat="1" hidden="1" x14ac:dyDescent="0.3">
      <c r="A528" s="78">
        <v>45986</v>
      </c>
      <c r="B528" s="2" t="s">
        <v>212</v>
      </c>
      <c r="C528" s="14" t="s">
        <v>17</v>
      </c>
      <c r="D528" s="14" t="s">
        <v>540</v>
      </c>
      <c r="E528" s="8">
        <v>-430.22</v>
      </c>
      <c r="F528" s="13" t="s">
        <v>8</v>
      </c>
      <c r="G528" s="9" t="s">
        <v>804</v>
      </c>
    </row>
    <row r="529" spans="1:8" s="139" customFormat="1" hidden="1" x14ac:dyDescent="0.3">
      <c r="A529" s="78">
        <v>46017</v>
      </c>
      <c r="B529" s="2" t="s">
        <v>216</v>
      </c>
      <c r="C529" s="14" t="s">
        <v>17</v>
      </c>
      <c r="D529" s="14" t="s">
        <v>540</v>
      </c>
      <c r="E529" s="8">
        <v>-430.22</v>
      </c>
      <c r="F529" s="13" t="s">
        <v>8</v>
      </c>
      <c r="G529" s="9" t="s">
        <v>804</v>
      </c>
    </row>
    <row r="530" spans="1:8" s="139" customFormat="1" x14ac:dyDescent="0.3">
      <c r="A530" s="78">
        <v>45863</v>
      </c>
      <c r="B530" s="2" t="s">
        <v>206</v>
      </c>
      <c r="C530" s="14" t="s">
        <v>17</v>
      </c>
      <c r="D530" s="14" t="s">
        <v>540</v>
      </c>
      <c r="E530" s="8">
        <v>-430.22</v>
      </c>
      <c r="F530" s="13" t="s">
        <v>8</v>
      </c>
      <c r="G530" s="9" t="s">
        <v>804</v>
      </c>
    </row>
    <row r="531" spans="1:8" s="139" customFormat="1" x14ac:dyDescent="0.3">
      <c r="A531" s="78">
        <v>45863</v>
      </c>
      <c r="B531" s="2" t="s">
        <v>206</v>
      </c>
      <c r="C531" s="6" t="s">
        <v>17</v>
      </c>
      <c r="D531" s="14" t="s">
        <v>199</v>
      </c>
      <c r="E531" s="8">
        <v>-440</v>
      </c>
      <c r="F531" s="13" t="s">
        <v>8</v>
      </c>
      <c r="G531" s="9" t="s">
        <v>53</v>
      </c>
    </row>
    <row r="532" spans="1:8" s="132" customFormat="1" x14ac:dyDescent="0.3">
      <c r="A532" s="134">
        <v>45853</v>
      </c>
      <c r="B532" s="134" t="s">
        <v>206</v>
      </c>
      <c r="C532" s="117" t="s">
        <v>6</v>
      </c>
      <c r="D532" s="117" t="s">
        <v>511</v>
      </c>
      <c r="E532" s="157">
        <v>-3500</v>
      </c>
      <c r="F532" s="94" t="s">
        <v>8</v>
      </c>
      <c r="G532" s="149" t="s">
        <v>186</v>
      </c>
      <c r="H532" s="139"/>
    </row>
    <row r="533" spans="1:8" s="132" customFormat="1" x14ac:dyDescent="0.3">
      <c r="A533" s="134">
        <v>45853</v>
      </c>
      <c r="B533" s="134" t="s">
        <v>206</v>
      </c>
      <c r="C533" s="17" t="s">
        <v>71</v>
      </c>
      <c r="D533" s="17" t="s">
        <v>507</v>
      </c>
      <c r="E533" s="8">
        <v>-1330</v>
      </c>
      <c r="F533" s="94" t="s">
        <v>8</v>
      </c>
      <c r="G533" s="149" t="s">
        <v>203</v>
      </c>
      <c r="H533" s="139"/>
    </row>
    <row r="534" spans="1:8" s="132" customFormat="1" x14ac:dyDescent="0.3">
      <c r="A534" s="134">
        <v>45853</v>
      </c>
      <c r="B534" s="134" t="s">
        <v>206</v>
      </c>
      <c r="C534" s="17" t="s">
        <v>25</v>
      </c>
      <c r="D534" s="17" t="s">
        <v>502</v>
      </c>
      <c r="E534" s="8">
        <v>-430.4</v>
      </c>
      <c r="F534" s="94" t="s">
        <v>8</v>
      </c>
      <c r="G534" s="149" t="s">
        <v>68</v>
      </c>
      <c r="H534" s="139"/>
    </row>
    <row r="535" spans="1:8" s="132" customFormat="1" x14ac:dyDescent="0.3">
      <c r="A535" s="2">
        <v>45853</v>
      </c>
      <c r="B535" s="2" t="s">
        <v>206</v>
      </c>
      <c r="C535" s="14" t="s">
        <v>31</v>
      </c>
      <c r="D535" s="14" t="s">
        <v>504</v>
      </c>
      <c r="E535" s="8">
        <v>-119.8</v>
      </c>
      <c r="F535" s="94" t="s">
        <v>8</v>
      </c>
      <c r="G535" s="9" t="s">
        <v>75</v>
      </c>
      <c r="H535" s="139"/>
    </row>
    <row r="536" spans="1:8" s="132" customFormat="1" x14ac:dyDescent="0.3">
      <c r="A536" s="2">
        <v>45853</v>
      </c>
      <c r="B536" s="2" t="s">
        <v>206</v>
      </c>
      <c r="C536" s="14" t="s">
        <v>25</v>
      </c>
      <c r="D536" s="14" t="s">
        <v>503</v>
      </c>
      <c r="E536" s="8">
        <v>-183.91</v>
      </c>
      <c r="F536" s="94" t="s">
        <v>8</v>
      </c>
      <c r="G536" s="9" t="s">
        <v>75</v>
      </c>
      <c r="H536" s="139"/>
    </row>
    <row r="537" spans="1:8" s="132" customFormat="1" x14ac:dyDescent="0.3">
      <c r="A537" s="2">
        <v>45853</v>
      </c>
      <c r="B537" s="2" t="s">
        <v>206</v>
      </c>
      <c r="C537" s="14" t="s">
        <v>32</v>
      </c>
      <c r="D537" s="14" t="s">
        <v>505</v>
      </c>
      <c r="E537" s="8">
        <v>-190.27</v>
      </c>
      <c r="F537" s="94" t="s">
        <v>8</v>
      </c>
      <c r="G537" s="9" t="s">
        <v>75</v>
      </c>
      <c r="H537" s="139"/>
    </row>
    <row r="538" spans="1:8" s="132" customFormat="1" x14ac:dyDescent="0.3">
      <c r="A538" s="26">
        <v>45853</v>
      </c>
      <c r="B538" s="26" t="s">
        <v>206</v>
      </c>
      <c r="C538" s="97" t="s">
        <v>32</v>
      </c>
      <c r="D538" s="97" t="s">
        <v>506</v>
      </c>
      <c r="E538" s="77">
        <v>-898.96</v>
      </c>
      <c r="F538" s="237" t="s">
        <v>8</v>
      </c>
      <c r="G538" s="91" t="s">
        <v>75</v>
      </c>
      <c r="H538" s="139"/>
    </row>
    <row r="539" spans="1:8" s="132" customFormat="1" x14ac:dyDescent="0.3">
      <c r="A539" s="23">
        <v>45854</v>
      </c>
      <c r="B539" s="23" t="s">
        <v>206</v>
      </c>
      <c r="C539" s="215" t="s">
        <v>35</v>
      </c>
      <c r="D539" s="96" t="s">
        <v>642</v>
      </c>
      <c r="E539" s="89">
        <v>-127.27</v>
      </c>
      <c r="F539" s="238" t="s">
        <v>8</v>
      </c>
      <c r="G539" s="70" t="s">
        <v>641</v>
      </c>
      <c r="H539" s="139"/>
    </row>
    <row r="540" spans="1:8" s="139" customFormat="1" x14ac:dyDescent="0.3">
      <c r="A540" s="2">
        <v>45853</v>
      </c>
      <c r="B540" s="2" t="s">
        <v>206</v>
      </c>
      <c r="C540" s="15" t="s">
        <v>44</v>
      </c>
      <c r="D540" s="17" t="s">
        <v>515</v>
      </c>
      <c r="E540" s="93">
        <v>-1035.44</v>
      </c>
      <c r="F540" s="13" t="s">
        <v>8</v>
      </c>
      <c r="G540" s="149" t="s">
        <v>203</v>
      </c>
    </row>
    <row r="541" spans="1:8" s="139" customFormat="1" x14ac:dyDescent="0.3">
      <c r="A541" s="78">
        <v>45856</v>
      </c>
      <c r="B541" s="2" t="s">
        <v>206</v>
      </c>
      <c r="C541" s="6" t="s">
        <v>71</v>
      </c>
      <c r="D541" s="7" t="s">
        <v>200</v>
      </c>
      <c r="E541" s="8">
        <v>-1146.52</v>
      </c>
      <c r="F541" s="13" t="s">
        <v>8</v>
      </c>
      <c r="G541" s="148" t="s">
        <v>227</v>
      </c>
    </row>
    <row r="542" spans="1:8" s="139" customFormat="1" x14ac:dyDescent="0.3">
      <c r="A542" s="74">
        <v>45842</v>
      </c>
      <c r="B542" s="26" t="s">
        <v>206</v>
      </c>
      <c r="C542" s="75" t="s">
        <v>71</v>
      </c>
      <c r="D542" s="76" t="s">
        <v>200</v>
      </c>
      <c r="E542" s="77">
        <v>-1146.51</v>
      </c>
      <c r="F542" s="27" t="s">
        <v>8</v>
      </c>
      <c r="G542" s="174" t="s">
        <v>227</v>
      </c>
    </row>
    <row r="543" spans="1:8" s="139" customFormat="1" x14ac:dyDescent="0.3">
      <c r="A543" s="78">
        <v>45849</v>
      </c>
      <c r="B543" s="2" t="s">
        <v>206</v>
      </c>
      <c r="C543" s="6" t="s">
        <v>71</v>
      </c>
      <c r="D543" s="7" t="s">
        <v>622</v>
      </c>
      <c r="E543" s="8">
        <v>-1146.51</v>
      </c>
      <c r="F543" s="13" t="s">
        <v>8</v>
      </c>
      <c r="G543" s="148" t="s">
        <v>227</v>
      </c>
      <c r="H543" s="130"/>
    </row>
    <row r="544" spans="1:8" s="139" customFormat="1" x14ac:dyDescent="0.3">
      <c r="A544" s="87">
        <v>45841</v>
      </c>
      <c r="B544" s="23" t="s">
        <v>206</v>
      </c>
      <c r="C544" s="201" t="s">
        <v>104</v>
      </c>
      <c r="D544" s="202" t="s">
        <v>424</v>
      </c>
      <c r="E544" s="203">
        <v>-710.99</v>
      </c>
      <c r="F544" s="110" t="s">
        <v>8</v>
      </c>
      <c r="G544" s="181" t="s">
        <v>111</v>
      </c>
      <c r="H544" s="130"/>
    </row>
    <row r="545" spans="1:8" s="139" customFormat="1" x14ac:dyDescent="0.3">
      <c r="A545" s="78">
        <v>45841</v>
      </c>
      <c r="B545" s="2" t="s">
        <v>206</v>
      </c>
      <c r="C545" s="140" t="s">
        <v>33</v>
      </c>
      <c r="D545" s="38" t="s">
        <v>424</v>
      </c>
      <c r="E545" s="141">
        <v>-408.28</v>
      </c>
      <c r="F545" s="13" t="s">
        <v>8</v>
      </c>
      <c r="G545" s="148" t="s">
        <v>111</v>
      </c>
      <c r="H545" s="130"/>
    </row>
    <row r="546" spans="1:8" s="139" customFormat="1" x14ac:dyDescent="0.3">
      <c r="A546" s="78">
        <v>45841</v>
      </c>
      <c r="B546" s="2" t="s">
        <v>206</v>
      </c>
      <c r="C546" s="140" t="s">
        <v>30</v>
      </c>
      <c r="D546" s="38" t="s">
        <v>424</v>
      </c>
      <c r="E546" s="141">
        <v>-408.28</v>
      </c>
      <c r="F546" s="13" t="s">
        <v>8</v>
      </c>
      <c r="G546" s="148" t="s">
        <v>111</v>
      </c>
      <c r="H546" s="130"/>
    </row>
    <row r="547" spans="1:8" s="139" customFormat="1" x14ac:dyDescent="0.3">
      <c r="A547" s="78">
        <v>45841</v>
      </c>
      <c r="B547" s="2" t="s">
        <v>206</v>
      </c>
      <c r="C547" s="140" t="s">
        <v>32</v>
      </c>
      <c r="D547" s="38" t="s">
        <v>424</v>
      </c>
      <c r="E547" s="141">
        <v>-408.28</v>
      </c>
      <c r="F547" s="13" t="s">
        <v>8</v>
      </c>
      <c r="G547" s="148" t="s">
        <v>111</v>
      </c>
      <c r="H547" s="130"/>
    </row>
    <row r="548" spans="1:8" s="139" customFormat="1" x14ac:dyDescent="0.3">
      <c r="A548" s="78">
        <v>45841</v>
      </c>
      <c r="B548" s="2" t="s">
        <v>206</v>
      </c>
      <c r="C548" s="140" t="s">
        <v>44</v>
      </c>
      <c r="D548" s="38" t="s">
        <v>424</v>
      </c>
      <c r="E548" s="141">
        <v>-243.84</v>
      </c>
      <c r="F548" s="13" t="s">
        <v>8</v>
      </c>
      <c r="G548" s="148" t="s">
        <v>111</v>
      </c>
      <c r="H548" s="130"/>
    </row>
    <row r="549" spans="1:8" s="139" customFormat="1" x14ac:dyDescent="0.3">
      <c r="A549" s="78">
        <v>45841</v>
      </c>
      <c r="B549" s="2" t="s">
        <v>206</v>
      </c>
      <c r="C549" s="140" t="s">
        <v>422</v>
      </c>
      <c r="D549" s="38" t="s">
        <v>424</v>
      </c>
      <c r="E549" s="141">
        <v>-1224.42</v>
      </c>
      <c r="F549" s="13" t="s">
        <v>8</v>
      </c>
      <c r="G549" s="148" t="s">
        <v>111</v>
      </c>
      <c r="H549" s="130"/>
    </row>
    <row r="550" spans="1:8" s="139" customFormat="1" x14ac:dyDescent="0.3">
      <c r="A550" s="39">
        <v>45848</v>
      </c>
      <c r="B550" s="33" t="s">
        <v>206</v>
      </c>
      <c r="C550" s="36" t="s">
        <v>25</v>
      </c>
      <c r="D550" s="36" t="s">
        <v>467</v>
      </c>
      <c r="E550" s="40">
        <v>-55</v>
      </c>
      <c r="F550" s="34" t="s">
        <v>8</v>
      </c>
      <c r="G550" s="37" t="s">
        <v>82</v>
      </c>
      <c r="H550" s="143"/>
    </row>
    <row r="551" spans="1:8" s="139" customFormat="1" x14ac:dyDescent="0.3">
      <c r="A551" s="39">
        <v>45848</v>
      </c>
      <c r="B551" s="33" t="s">
        <v>206</v>
      </c>
      <c r="C551" s="36" t="s">
        <v>25</v>
      </c>
      <c r="D551" s="36" t="s">
        <v>468</v>
      </c>
      <c r="E551" s="40">
        <v>-55</v>
      </c>
      <c r="F551" s="34" t="s">
        <v>8</v>
      </c>
      <c r="G551" s="37" t="s">
        <v>82</v>
      </c>
      <c r="H551" s="143"/>
    </row>
    <row r="552" spans="1:8" s="139" customFormat="1" x14ac:dyDescent="0.3">
      <c r="A552" s="39">
        <v>45848</v>
      </c>
      <c r="B552" s="33" t="s">
        <v>206</v>
      </c>
      <c r="C552" s="36" t="s">
        <v>25</v>
      </c>
      <c r="D552" s="36" t="s">
        <v>469</v>
      </c>
      <c r="E552" s="40">
        <v>-224.2</v>
      </c>
      <c r="F552" s="34" t="s">
        <v>8</v>
      </c>
      <c r="G552" s="37" t="s">
        <v>82</v>
      </c>
      <c r="H552" s="143"/>
    </row>
    <row r="553" spans="1:8" s="139" customFormat="1" x14ac:dyDescent="0.3">
      <c r="A553" s="39">
        <v>45848</v>
      </c>
      <c r="B553" s="33" t="s">
        <v>206</v>
      </c>
      <c r="C553" s="36" t="s">
        <v>104</v>
      </c>
      <c r="D553" s="36" t="s">
        <v>470</v>
      </c>
      <c r="E553" s="40">
        <v>-110</v>
      </c>
      <c r="F553" s="34" t="s">
        <v>8</v>
      </c>
      <c r="G553" s="37" t="s">
        <v>82</v>
      </c>
      <c r="H553" s="143"/>
    </row>
    <row r="554" spans="1:8" s="139" customFormat="1" x14ac:dyDescent="0.3">
      <c r="A554" s="39">
        <v>45848</v>
      </c>
      <c r="B554" s="33" t="s">
        <v>206</v>
      </c>
      <c r="C554" s="36" t="s">
        <v>17</v>
      </c>
      <c r="D554" s="36" t="s">
        <v>471</v>
      </c>
      <c r="E554" s="40">
        <v>-180</v>
      </c>
      <c r="F554" s="34" t="s">
        <v>8</v>
      </c>
      <c r="G554" s="37" t="s">
        <v>82</v>
      </c>
      <c r="H554" s="143"/>
    </row>
    <row r="555" spans="1:8" s="137" customFormat="1" x14ac:dyDescent="0.3">
      <c r="A555" s="39">
        <v>45848</v>
      </c>
      <c r="B555" s="33" t="s">
        <v>206</v>
      </c>
      <c r="C555" s="36" t="s">
        <v>32</v>
      </c>
      <c r="D555" s="36" t="s">
        <v>383</v>
      </c>
      <c r="E555" s="40">
        <v>-171.85</v>
      </c>
      <c r="F555" s="34" t="s">
        <v>8</v>
      </c>
      <c r="G555" s="37" t="s">
        <v>75</v>
      </c>
    </row>
    <row r="556" spans="1:8" s="139" customFormat="1" x14ac:dyDescent="0.3">
      <c r="A556" s="78">
        <v>45841</v>
      </c>
      <c r="B556" s="2" t="s">
        <v>206</v>
      </c>
      <c r="C556" s="140" t="s">
        <v>423</v>
      </c>
      <c r="D556" s="38" t="s">
        <v>424</v>
      </c>
      <c r="E556" s="141">
        <v>-1063.23</v>
      </c>
      <c r="F556" s="13" t="s">
        <v>8</v>
      </c>
      <c r="G556" s="148" t="s">
        <v>111</v>
      </c>
      <c r="H556" s="130"/>
    </row>
    <row r="557" spans="1:8" s="139" customFormat="1" x14ac:dyDescent="0.3">
      <c r="A557" s="78">
        <v>45841</v>
      </c>
      <c r="B557" s="2" t="s">
        <v>206</v>
      </c>
      <c r="C557" s="140" t="s">
        <v>17</v>
      </c>
      <c r="D557" s="38" t="s">
        <v>424</v>
      </c>
      <c r="E557" s="141">
        <v>-41.59</v>
      </c>
      <c r="F557" s="13" t="s">
        <v>8</v>
      </c>
      <c r="G557" s="148" t="s">
        <v>111</v>
      </c>
      <c r="H557" s="130"/>
    </row>
    <row r="558" spans="1:8" s="137" customFormat="1" x14ac:dyDescent="0.3">
      <c r="A558" s="39">
        <v>45841</v>
      </c>
      <c r="B558" s="33" t="s">
        <v>206</v>
      </c>
      <c r="C558" s="36" t="s">
        <v>31</v>
      </c>
      <c r="D558" s="36" t="s">
        <v>370</v>
      </c>
      <c r="E558" s="40">
        <v>-200</v>
      </c>
      <c r="F558" s="13" t="s">
        <v>8</v>
      </c>
      <c r="G558" s="37" t="s">
        <v>82</v>
      </c>
      <c r="H558" s="143"/>
    </row>
    <row r="559" spans="1:8" s="137" customFormat="1" x14ac:dyDescent="0.3">
      <c r="A559" s="39">
        <v>45841</v>
      </c>
      <c r="B559" s="33" t="s">
        <v>206</v>
      </c>
      <c r="C559" s="36" t="s">
        <v>25</v>
      </c>
      <c r="D559" s="36" t="s">
        <v>371</v>
      </c>
      <c r="E559" s="40">
        <v>-177</v>
      </c>
      <c r="F559" s="13" t="s">
        <v>8</v>
      </c>
      <c r="G559" s="37" t="s">
        <v>82</v>
      </c>
      <c r="H559" s="143"/>
    </row>
    <row r="560" spans="1:8" s="137" customFormat="1" x14ac:dyDescent="0.3">
      <c r="A560" s="39">
        <v>45841</v>
      </c>
      <c r="B560" s="33" t="s">
        <v>206</v>
      </c>
      <c r="C560" s="36" t="s">
        <v>25</v>
      </c>
      <c r="D560" s="36" t="s">
        <v>372</v>
      </c>
      <c r="E560" s="40">
        <v>-253</v>
      </c>
      <c r="F560" s="13" t="s">
        <v>8</v>
      </c>
      <c r="G560" s="37" t="s">
        <v>82</v>
      </c>
      <c r="H560" s="143"/>
    </row>
    <row r="561" spans="1:13" s="137" customFormat="1" x14ac:dyDescent="0.3">
      <c r="A561" s="39">
        <v>45841</v>
      </c>
      <c r="B561" s="33" t="s">
        <v>206</v>
      </c>
      <c r="C561" s="36" t="s">
        <v>25</v>
      </c>
      <c r="D561" s="36" t="s">
        <v>373</v>
      </c>
      <c r="E561" s="40">
        <v>-165</v>
      </c>
      <c r="F561" s="13" t="s">
        <v>8</v>
      </c>
      <c r="G561" s="37" t="s">
        <v>82</v>
      </c>
      <c r="H561" s="143"/>
    </row>
    <row r="562" spans="1:13" s="137" customFormat="1" x14ac:dyDescent="0.3">
      <c r="A562" s="39">
        <v>45841</v>
      </c>
      <c r="B562" s="33" t="s">
        <v>206</v>
      </c>
      <c r="C562" s="36" t="s">
        <v>25</v>
      </c>
      <c r="D562" s="36" t="s">
        <v>374</v>
      </c>
      <c r="E562" s="40">
        <v>-177</v>
      </c>
      <c r="F562" s="13" t="s">
        <v>8</v>
      </c>
      <c r="G562" s="37" t="s">
        <v>82</v>
      </c>
      <c r="H562" s="143"/>
    </row>
    <row r="563" spans="1:13" s="137" customFormat="1" x14ac:dyDescent="0.3">
      <c r="A563" s="39">
        <v>45841</v>
      </c>
      <c r="B563" s="33" t="s">
        <v>206</v>
      </c>
      <c r="C563" s="36" t="s">
        <v>32</v>
      </c>
      <c r="D563" s="36" t="s">
        <v>375</v>
      </c>
      <c r="E563" s="40">
        <v>-240</v>
      </c>
      <c r="F563" s="13" t="s">
        <v>8</v>
      </c>
      <c r="G563" s="37" t="s">
        <v>82</v>
      </c>
      <c r="H563" s="143"/>
    </row>
    <row r="564" spans="1:13" s="137" customFormat="1" x14ac:dyDescent="0.3">
      <c r="A564" s="39">
        <v>45841</v>
      </c>
      <c r="B564" s="33" t="s">
        <v>206</v>
      </c>
      <c r="C564" s="36" t="s">
        <v>17</v>
      </c>
      <c r="D564" s="36" t="s">
        <v>376</v>
      </c>
      <c r="E564" s="40">
        <v>-130</v>
      </c>
      <c r="F564" s="13" t="s">
        <v>8</v>
      </c>
      <c r="G564" s="37" t="s">
        <v>97</v>
      </c>
      <c r="H564" s="143"/>
    </row>
    <row r="565" spans="1:13" s="137" customFormat="1" x14ac:dyDescent="0.3">
      <c r="A565" s="39">
        <v>45841</v>
      </c>
      <c r="B565" s="33" t="s">
        <v>206</v>
      </c>
      <c r="C565" s="36" t="s">
        <v>25</v>
      </c>
      <c r="D565" s="36" t="s">
        <v>377</v>
      </c>
      <c r="E565" s="40">
        <v>-200</v>
      </c>
      <c r="F565" s="13" t="s">
        <v>8</v>
      </c>
      <c r="G565" s="37" t="s">
        <v>27</v>
      </c>
      <c r="H565" s="143"/>
    </row>
    <row r="566" spans="1:13" s="137" customFormat="1" x14ac:dyDescent="0.3">
      <c r="A566" s="39">
        <v>45840</v>
      </c>
      <c r="B566" s="33" t="s">
        <v>206</v>
      </c>
      <c r="C566" s="116" t="s">
        <v>44</v>
      </c>
      <c r="D566" s="116" t="s">
        <v>405</v>
      </c>
      <c r="E566" s="118">
        <v>-1593.18</v>
      </c>
      <c r="F566" s="142" t="s">
        <v>8</v>
      </c>
      <c r="G566" s="9" t="s">
        <v>139</v>
      </c>
      <c r="H566" s="129"/>
    </row>
    <row r="567" spans="1:13" s="139" customFormat="1" x14ac:dyDescent="0.3">
      <c r="A567" s="78">
        <v>45841</v>
      </c>
      <c r="B567" s="2" t="s">
        <v>206</v>
      </c>
      <c r="C567" s="6" t="s">
        <v>17</v>
      </c>
      <c r="D567" s="7" t="s">
        <v>201</v>
      </c>
      <c r="E567" s="8">
        <v>-60</v>
      </c>
      <c r="F567" s="13" t="s">
        <v>8</v>
      </c>
      <c r="G567" s="9" t="s">
        <v>139</v>
      </c>
      <c r="H567" s="143"/>
    </row>
    <row r="568" spans="1:13" s="137" customFormat="1" x14ac:dyDescent="0.3">
      <c r="A568" s="78">
        <v>45841</v>
      </c>
      <c r="B568" s="2" t="s">
        <v>206</v>
      </c>
      <c r="C568" s="140" t="s">
        <v>30</v>
      </c>
      <c r="D568" s="38" t="s">
        <v>425</v>
      </c>
      <c r="E568" s="152">
        <v>-360</v>
      </c>
      <c r="F568" s="13" t="s">
        <v>8</v>
      </c>
      <c r="G568" s="37" t="s">
        <v>27</v>
      </c>
      <c r="H568" s="143"/>
      <c r="I568" s="143"/>
      <c r="J568" s="143"/>
      <c r="K568" s="143"/>
      <c r="L568" s="143"/>
      <c r="M568" s="143"/>
    </row>
    <row r="569" spans="1:13" s="137" customFormat="1" x14ac:dyDescent="0.3">
      <c r="A569" s="78">
        <v>45841</v>
      </c>
      <c r="B569" s="2" t="s">
        <v>206</v>
      </c>
      <c r="C569" s="140" t="s">
        <v>30</v>
      </c>
      <c r="D569" s="38" t="s">
        <v>426</v>
      </c>
      <c r="E569" s="152">
        <v>-440</v>
      </c>
      <c r="F569" s="13" t="s">
        <v>8</v>
      </c>
      <c r="G569" s="37" t="s">
        <v>27</v>
      </c>
      <c r="H569" s="143"/>
      <c r="I569" s="143"/>
      <c r="J569" s="143"/>
      <c r="K569" s="143"/>
      <c r="L569" s="143"/>
      <c r="M569" s="143"/>
    </row>
    <row r="570" spans="1:13" s="137" customFormat="1" x14ac:dyDescent="0.3">
      <c r="A570" s="78">
        <v>45841</v>
      </c>
      <c r="B570" s="2" t="s">
        <v>206</v>
      </c>
      <c r="C570" s="140" t="s">
        <v>30</v>
      </c>
      <c r="D570" s="38" t="s">
        <v>427</v>
      </c>
      <c r="E570" s="152">
        <v>-360</v>
      </c>
      <c r="F570" s="13" t="s">
        <v>8</v>
      </c>
      <c r="G570" s="37" t="s">
        <v>27</v>
      </c>
      <c r="H570" s="143"/>
      <c r="I570" s="143"/>
      <c r="J570" s="143"/>
      <c r="K570" s="143"/>
      <c r="L570" s="143"/>
      <c r="M570" s="143"/>
    </row>
    <row r="571" spans="1:13" s="137" customFormat="1" x14ac:dyDescent="0.3">
      <c r="A571" s="78">
        <v>45841</v>
      </c>
      <c r="B571" s="2" t="s">
        <v>206</v>
      </c>
      <c r="C571" s="140" t="s">
        <v>30</v>
      </c>
      <c r="D571" s="38" t="s">
        <v>428</v>
      </c>
      <c r="E571" s="152">
        <v>-120</v>
      </c>
      <c r="F571" s="13" t="s">
        <v>8</v>
      </c>
      <c r="G571" s="37" t="s">
        <v>27</v>
      </c>
      <c r="H571" s="143"/>
      <c r="I571" s="143"/>
      <c r="J571" s="143"/>
      <c r="K571" s="143"/>
      <c r="L571" s="143"/>
      <c r="M571" s="143"/>
    </row>
    <row r="572" spans="1:13" s="139" customFormat="1" x14ac:dyDescent="0.3">
      <c r="A572" s="78">
        <v>45841</v>
      </c>
      <c r="B572" s="2" t="s">
        <v>206</v>
      </c>
      <c r="C572" s="140" t="s">
        <v>30</v>
      </c>
      <c r="D572" s="38" t="s">
        <v>429</v>
      </c>
      <c r="E572" s="152">
        <v>-360</v>
      </c>
      <c r="F572" s="13" t="s">
        <v>8</v>
      </c>
      <c r="G572" s="37" t="s">
        <v>27</v>
      </c>
      <c r="H572" s="143"/>
      <c r="I572" s="143"/>
      <c r="J572" s="143"/>
      <c r="K572" s="143"/>
      <c r="L572" s="143"/>
      <c r="M572" s="143"/>
    </row>
    <row r="573" spans="1:13" s="139" customFormat="1" x14ac:dyDescent="0.3">
      <c r="A573" s="78">
        <v>45853</v>
      </c>
      <c r="B573" s="2" t="s">
        <v>206</v>
      </c>
      <c r="C573" s="6" t="s">
        <v>71</v>
      </c>
      <c r="D573" s="14" t="s">
        <v>202</v>
      </c>
      <c r="E573" s="8">
        <v>-1330</v>
      </c>
      <c r="F573" s="13" t="s">
        <v>8</v>
      </c>
      <c r="G573" s="9" t="s">
        <v>203</v>
      </c>
    </row>
    <row r="574" spans="1:13" s="139" customFormat="1" x14ac:dyDescent="0.3">
      <c r="A574" s="78">
        <v>45839</v>
      </c>
      <c r="B574" s="2" t="s">
        <v>206</v>
      </c>
      <c r="C574" s="14" t="s">
        <v>44</v>
      </c>
      <c r="D574" s="14" t="s">
        <v>347</v>
      </c>
      <c r="E574" s="8">
        <v>-94.65</v>
      </c>
      <c r="F574" s="13" t="s">
        <v>8</v>
      </c>
      <c r="G574" s="9" t="s">
        <v>348</v>
      </c>
      <c r="H574" s="79"/>
    </row>
    <row r="575" spans="1:13" s="139" customFormat="1" x14ac:dyDescent="0.3">
      <c r="A575" s="78">
        <v>45839</v>
      </c>
      <c r="B575" s="2" t="s">
        <v>206</v>
      </c>
      <c r="C575" s="14" t="s">
        <v>44</v>
      </c>
      <c r="D575" s="14" t="s">
        <v>408</v>
      </c>
      <c r="E575" s="8">
        <v>-6069.71</v>
      </c>
      <c r="F575" s="9" t="s">
        <v>8</v>
      </c>
      <c r="G575" s="9" t="s">
        <v>186</v>
      </c>
      <c r="H575" s="79"/>
    </row>
    <row r="576" spans="1:13" s="139" customFormat="1" x14ac:dyDescent="0.3">
      <c r="A576" s="78">
        <v>45839</v>
      </c>
      <c r="B576" s="2" t="s">
        <v>206</v>
      </c>
      <c r="C576" s="14" t="s">
        <v>44</v>
      </c>
      <c r="D576" s="14" t="s">
        <v>409</v>
      </c>
      <c r="E576" s="8">
        <v>-3968.99</v>
      </c>
      <c r="F576" s="9" t="s">
        <v>8</v>
      </c>
      <c r="G576" s="9" t="s">
        <v>186</v>
      </c>
      <c r="H576" s="79"/>
    </row>
    <row r="577" spans="1:8" s="139" customFormat="1" x14ac:dyDescent="0.3">
      <c r="A577" s="78">
        <v>45839</v>
      </c>
      <c r="B577" s="2" t="s">
        <v>206</v>
      </c>
      <c r="C577" s="14" t="s">
        <v>25</v>
      </c>
      <c r="D577" s="14" t="s">
        <v>349</v>
      </c>
      <c r="E577" s="8">
        <v>-82.93</v>
      </c>
      <c r="F577" s="13" t="s">
        <v>8</v>
      </c>
      <c r="G577" s="9" t="s">
        <v>75</v>
      </c>
      <c r="H577" s="130"/>
    </row>
    <row r="578" spans="1:8" s="139" customFormat="1" x14ac:dyDescent="0.3">
      <c r="A578" s="78">
        <v>45840</v>
      </c>
      <c r="B578" s="2" t="s">
        <v>206</v>
      </c>
      <c r="C578" s="6" t="s">
        <v>44</v>
      </c>
      <c r="D578" s="7" t="s">
        <v>407</v>
      </c>
      <c r="E578" s="8">
        <v>-3266.04</v>
      </c>
      <c r="F578" s="13" t="s">
        <v>8</v>
      </c>
      <c r="G578" s="9" t="s">
        <v>227</v>
      </c>
      <c r="H578" s="130"/>
    </row>
    <row r="579" spans="1:8" s="139" customFormat="1" x14ac:dyDescent="0.3">
      <c r="A579" s="78">
        <v>45846</v>
      </c>
      <c r="B579" s="2" t="s">
        <v>206</v>
      </c>
      <c r="C579" s="6" t="s">
        <v>44</v>
      </c>
      <c r="D579" s="7" t="s">
        <v>452</v>
      </c>
      <c r="E579" s="8">
        <v>-3255.2</v>
      </c>
      <c r="F579" s="13" t="s">
        <v>8</v>
      </c>
      <c r="G579" s="148" t="s">
        <v>227</v>
      </c>
      <c r="H579" s="130"/>
    </row>
    <row r="580" spans="1:8" s="139" customFormat="1" x14ac:dyDescent="0.3">
      <c r="A580" s="78">
        <v>45846</v>
      </c>
      <c r="B580" s="2" t="s">
        <v>206</v>
      </c>
      <c r="C580" s="116" t="s">
        <v>17</v>
      </c>
      <c r="D580" s="116" t="s">
        <v>449</v>
      </c>
      <c r="E580" s="118">
        <v>-90</v>
      </c>
      <c r="F580" s="13" t="s">
        <v>8</v>
      </c>
      <c r="G580" s="9" t="s">
        <v>139</v>
      </c>
      <c r="H580" s="130"/>
    </row>
    <row r="581" spans="1:8" s="139" customFormat="1" x14ac:dyDescent="0.3">
      <c r="A581" s="78">
        <v>45846</v>
      </c>
      <c r="B581" s="2" t="s">
        <v>206</v>
      </c>
      <c r="C581" s="36" t="s">
        <v>33</v>
      </c>
      <c r="D581" s="36" t="s">
        <v>388</v>
      </c>
      <c r="E581" s="40">
        <v>-105.31</v>
      </c>
      <c r="F581" s="13" t="s">
        <v>8</v>
      </c>
      <c r="G581" s="37" t="s">
        <v>75</v>
      </c>
      <c r="H581" s="130"/>
    </row>
    <row r="582" spans="1:8" s="139" customFormat="1" x14ac:dyDescent="0.3">
      <c r="A582" s="78">
        <v>45846</v>
      </c>
      <c r="B582" s="2" t="s">
        <v>206</v>
      </c>
      <c r="C582" s="36" t="s">
        <v>71</v>
      </c>
      <c r="D582" s="36" t="s">
        <v>448</v>
      </c>
      <c r="E582" s="40">
        <v>-252.74</v>
      </c>
      <c r="F582" s="13" t="s">
        <v>8</v>
      </c>
      <c r="G582" s="37" t="s">
        <v>75</v>
      </c>
      <c r="H582" s="130"/>
    </row>
    <row r="583" spans="1:8" s="139" customFormat="1" x14ac:dyDescent="0.3">
      <c r="A583" s="78">
        <v>45846</v>
      </c>
      <c r="B583" s="2" t="s">
        <v>206</v>
      </c>
      <c r="C583" s="36" t="s">
        <v>25</v>
      </c>
      <c r="D583" s="36" t="s">
        <v>354</v>
      </c>
      <c r="E583" s="40">
        <v>-5600</v>
      </c>
      <c r="F583" s="34" t="s">
        <v>8</v>
      </c>
      <c r="G583" s="9" t="s">
        <v>186</v>
      </c>
      <c r="H583" s="79"/>
    </row>
    <row r="584" spans="1:8" s="139" customFormat="1" x14ac:dyDescent="0.3">
      <c r="A584" s="78">
        <v>45846</v>
      </c>
      <c r="B584" s="2" t="s">
        <v>206</v>
      </c>
      <c r="C584" s="36" t="s">
        <v>71</v>
      </c>
      <c r="D584" s="36" t="s">
        <v>451</v>
      </c>
      <c r="E584" s="40">
        <v>-352.25</v>
      </c>
      <c r="F584" s="34" t="s">
        <v>8</v>
      </c>
      <c r="G584" s="148" t="s">
        <v>227</v>
      </c>
      <c r="H584" s="79"/>
    </row>
    <row r="585" spans="1:8" s="139" customFormat="1" x14ac:dyDescent="0.3">
      <c r="A585" s="78">
        <v>45856</v>
      </c>
      <c r="B585" s="2" t="s">
        <v>206</v>
      </c>
      <c r="C585" s="14" t="s">
        <v>6</v>
      </c>
      <c r="D585" s="14" t="s">
        <v>530</v>
      </c>
      <c r="E585" s="8">
        <v>-2003.3397440000001</v>
      </c>
      <c r="F585" s="13" t="s">
        <v>8</v>
      </c>
      <c r="G585" s="9" t="s">
        <v>139</v>
      </c>
      <c r="H585" s="79"/>
    </row>
    <row r="586" spans="1:8" s="139" customFormat="1" x14ac:dyDescent="0.3">
      <c r="A586" s="78">
        <v>45856</v>
      </c>
      <c r="B586" s="2" t="s">
        <v>206</v>
      </c>
      <c r="C586" s="14" t="s">
        <v>44</v>
      </c>
      <c r="D586" s="14" t="s">
        <v>226</v>
      </c>
      <c r="E586" s="8">
        <v>-955.7</v>
      </c>
      <c r="F586" s="13" t="s">
        <v>8</v>
      </c>
      <c r="G586" s="9" t="s">
        <v>227</v>
      </c>
      <c r="H586" s="79"/>
    </row>
    <row r="587" spans="1:8" s="139" customFormat="1" x14ac:dyDescent="0.3">
      <c r="A587" s="78">
        <v>45856</v>
      </c>
      <c r="B587" s="2" t="s">
        <v>206</v>
      </c>
      <c r="C587" s="14" t="s">
        <v>44</v>
      </c>
      <c r="D587" s="14" t="s">
        <v>226</v>
      </c>
      <c r="E587" s="240">
        <v>-372.75</v>
      </c>
      <c r="F587" s="13" t="s">
        <v>8</v>
      </c>
      <c r="G587" s="9" t="s">
        <v>227</v>
      </c>
      <c r="H587" s="79"/>
    </row>
    <row r="588" spans="1:8" s="139" customFormat="1" x14ac:dyDescent="0.3">
      <c r="A588" s="78">
        <v>45846</v>
      </c>
      <c r="B588" s="2" t="s">
        <v>206</v>
      </c>
      <c r="C588" s="11" t="s">
        <v>13</v>
      </c>
      <c r="D588" s="14" t="s">
        <v>461</v>
      </c>
      <c r="E588" s="8">
        <v>-238.27</v>
      </c>
      <c r="F588" s="13" t="s">
        <v>8</v>
      </c>
      <c r="G588" s="5" t="s">
        <v>73</v>
      </c>
      <c r="H588" s="79"/>
    </row>
    <row r="589" spans="1:8" s="139" customFormat="1" x14ac:dyDescent="0.3">
      <c r="A589" s="78">
        <v>45846</v>
      </c>
      <c r="B589" s="2" t="s">
        <v>206</v>
      </c>
      <c r="C589" s="11" t="s">
        <v>13</v>
      </c>
      <c r="D589" s="14" t="s">
        <v>460</v>
      </c>
      <c r="E589" s="8">
        <v>-238.27</v>
      </c>
      <c r="F589" s="13" t="s">
        <v>8</v>
      </c>
      <c r="G589" s="5" t="s">
        <v>73</v>
      </c>
      <c r="H589" s="79"/>
    </row>
    <row r="590" spans="1:8" s="139" customFormat="1" x14ac:dyDescent="0.3">
      <c r="A590" s="78">
        <v>45846</v>
      </c>
      <c r="B590" s="2" t="s">
        <v>206</v>
      </c>
      <c r="C590" s="11" t="s">
        <v>13</v>
      </c>
      <c r="D590" s="14" t="s">
        <v>459</v>
      </c>
      <c r="E590" s="8">
        <v>-238.27</v>
      </c>
      <c r="F590" s="13" t="s">
        <v>8</v>
      </c>
      <c r="G590" s="5" t="s">
        <v>73</v>
      </c>
      <c r="H590" s="79"/>
    </row>
    <row r="591" spans="1:8" s="139" customFormat="1" x14ac:dyDescent="0.3">
      <c r="A591" s="78">
        <v>45846</v>
      </c>
      <c r="B591" s="2" t="s">
        <v>206</v>
      </c>
      <c r="C591" s="11" t="s">
        <v>13</v>
      </c>
      <c r="D591" s="14" t="s">
        <v>458</v>
      </c>
      <c r="E591" s="8">
        <v>-238.27</v>
      </c>
      <c r="F591" s="13" t="s">
        <v>8</v>
      </c>
      <c r="G591" s="5" t="s">
        <v>73</v>
      </c>
      <c r="H591" s="79"/>
    </row>
    <row r="592" spans="1:8" s="139" customFormat="1" x14ac:dyDescent="0.3">
      <c r="A592" s="78">
        <v>45846</v>
      </c>
      <c r="B592" s="2" t="s">
        <v>206</v>
      </c>
      <c r="C592" s="11" t="s">
        <v>13</v>
      </c>
      <c r="D592" s="14" t="s">
        <v>456</v>
      </c>
      <c r="E592" s="8">
        <v>-327.58999999999997</v>
      </c>
      <c r="F592" s="13" t="s">
        <v>8</v>
      </c>
      <c r="G592" s="5" t="s">
        <v>73</v>
      </c>
      <c r="H592" s="79"/>
    </row>
    <row r="593" spans="1:8" s="139" customFormat="1" x14ac:dyDescent="0.3">
      <c r="A593" s="78">
        <v>45846</v>
      </c>
      <c r="B593" s="2" t="s">
        <v>206</v>
      </c>
      <c r="C593" s="11" t="s">
        <v>13</v>
      </c>
      <c r="D593" s="14" t="s">
        <v>455</v>
      </c>
      <c r="E593" s="8">
        <v>-492.61</v>
      </c>
      <c r="F593" s="13" t="s">
        <v>8</v>
      </c>
      <c r="G593" s="5" t="s">
        <v>73</v>
      </c>
      <c r="H593" s="79"/>
    </row>
    <row r="594" spans="1:8" s="139" customFormat="1" x14ac:dyDescent="0.3">
      <c r="A594" s="78">
        <v>45846</v>
      </c>
      <c r="B594" s="2" t="s">
        <v>206</v>
      </c>
      <c r="C594" s="11" t="s">
        <v>13</v>
      </c>
      <c r="D594" s="14" t="s">
        <v>457</v>
      </c>
      <c r="E594" s="8">
        <v>-635.09</v>
      </c>
      <c r="F594" s="13" t="s">
        <v>8</v>
      </c>
      <c r="G594" s="5" t="s">
        <v>73</v>
      </c>
      <c r="H594" s="79"/>
    </row>
    <row r="595" spans="1:8" s="139" customFormat="1" x14ac:dyDescent="0.3">
      <c r="A595" s="78">
        <v>45846</v>
      </c>
      <c r="B595" s="2" t="s">
        <v>206</v>
      </c>
      <c r="C595" s="11" t="s">
        <v>17</v>
      </c>
      <c r="D595" s="4" t="s">
        <v>453</v>
      </c>
      <c r="E595" s="10">
        <v>-752.69</v>
      </c>
      <c r="F595" s="13" t="s">
        <v>8</v>
      </c>
      <c r="G595" s="5" t="s">
        <v>73</v>
      </c>
      <c r="H595" s="79"/>
    </row>
    <row r="596" spans="1:8" s="139" customFormat="1" x14ac:dyDescent="0.3">
      <c r="A596" s="78">
        <v>45846</v>
      </c>
      <c r="B596" s="2" t="s">
        <v>206</v>
      </c>
      <c r="C596" s="11" t="s">
        <v>17</v>
      </c>
      <c r="D596" s="4" t="s">
        <v>454</v>
      </c>
      <c r="E596" s="10">
        <v>-6481.7</v>
      </c>
      <c r="F596" s="13" t="s">
        <v>8</v>
      </c>
      <c r="G596" s="5" t="s">
        <v>73</v>
      </c>
      <c r="H596" s="79"/>
    </row>
    <row r="597" spans="1:8" s="139" customFormat="1" x14ac:dyDescent="0.3">
      <c r="A597" s="78">
        <v>45842</v>
      </c>
      <c r="B597" s="2" t="s">
        <v>206</v>
      </c>
      <c r="C597" s="158" t="s">
        <v>17</v>
      </c>
      <c r="D597" s="159" t="s">
        <v>403</v>
      </c>
      <c r="E597" s="160">
        <v>-2000</v>
      </c>
      <c r="F597" s="142" t="s">
        <v>8</v>
      </c>
      <c r="G597" s="161" t="s">
        <v>147</v>
      </c>
      <c r="H597" s="79"/>
    </row>
    <row r="598" spans="1:8" s="139" customFormat="1" x14ac:dyDescent="0.3">
      <c r="A598" s="74">
        <v>45842</v>
      </c>
      <c r="B598" s="26" t="s">
        <v>206</v>
      </c>
      <c r="C598" s="175" t="s">
        <v>420</v>
      </c>
      <c r="D598" s="176" t="s">
        <v>404</v>
      </c>
      <c r="E598" s="177">
        <v>-150</v>
      </c>
      <c r="F598" s="178" t="s">
        <v>8</v>
      </c>
      <c r="G598" s="179" t="s">
        <v>147</v>
      </c>
      <c r="H598" s="79"/>
    </row>
    <row r="599" spans="1:8" s="164" customFormat="1" x14ac:dyDescent="0.3">
      <c r="A599" s="51">
        <v>45901</v>
      </c>
      <c r="B599" s="50" t="s">
        <v>208</v>
      </c>
      <c r="C599" s="120" t="s">
        <v>17</v>
      </c>
      <c r="D599" s="68" t="s">
        <v>1238</v>
      </c>
      <c r="E599" s="58">
        <v>29400</v>
      </c>
      <c r="F599" s="55" t="s">
        <v>161</v>
      </c>
      <c r="G599" s="61" t="s">
        <v>78</v>
      </c>
      <c r="H599" s="130"/>
    </row>
    <row r="600" spans="1:8" s="164" customFormat="1" x14ac:dyDescent="0.3">
      <c r="A600" s="51">
        <v>45901</v>
      </c>
      <c r="B600" s="50" t="s">
        <v>208</v>
      </c>
      <c r="C600" s="120" t="s">
        <v>17</v>
      </c>
      <c r="D600" s="68" t="s">
        <v>1240</v>
      </c>
      <c r="E600" s="58">
        <v>6759.38</v>
      </c>
      <c r="F600" s="55" t="s">
        <v>161</v>
      </c>
      <c r="G600" s="61" t="s">
        <v>162</v>
      </c>
      <c r="H600" s="130"/>
    </row>
    <row r="601" spans="1:8" s="139" customFormat="1" x14ac:dyDescent="0.3">
      <c r="A601" s="51">
        <v>45929</v>
      </c>
      <c r="B601" s="50" t="s">
        <v>208</v>
      </c>
      <c r="C601" s="57" t="s">
        <v>30</v>
      </c>
      <c r="D601" s="52" t="s">
        <v>1540</v>
      </c>
      <c r="E601" s="58">
        <v>27081.68</v>
      </c>
      <c r="F601" s="55" t="s">
        <v>161</v>
      </c>
      <c r="G601" s="61" t="s">
        <v>162</v>
      </c>
      <c r="H601" s="79"/>
    </row>
    <row r="602" spans="1:8" s="139" customFormat="1" hidden="1" x14ac:dyDescent="0.3">
      <c r="A602" s="219">
        <v>45960</v>
      </c>
      <c r="B602" s="220" t="s">
        <v>211</v>
      </c>
      <c r="C602" s="494" t="s">
        <v>30</v>
      </c>
      <c r="D602" s="327" t="s">
        <v>466</v>
      </c>
      <c r="E602" s="235">
        <v>15077.75</v>
      </c>
      <c r="F602" s="67" t="s">
        <v>161</v>
      </c>
      <c r="G602" s="236" t="s">
        <v>162</v>
      </c>
      <c r="H602" s="79"/>
    </row>
    <row r="603" spans="1:8" s="139" customFormat="1" hidden="1" x14ac:dyDescent="0.3">
      <c r="A603" s="51">
        <v>45989</v>
      </c>
      <c r="B603" s="50" t="s">
        <v>212</v>
      </c>
      <c r="C603" s="57" t="s">
        <v>30</v>
      </c>
      <c r="D603" s="68" t="s">
        <v>466</v>
      </c>
      <c r="E603" s="58">
        <v>15077.75</v>
      </c>
      <c r="F603" s="55" t="s">
        <v>161</v>
      </c>
      <c r="G603" s="61" t="s">
        <v>162</v>
      </c>
      <c r="H603" s="79"/>
    </row>
    <row r="604" spans="1:8" s="139" customFormat="1" hidden="1" x14ac:dyDescent="0.3">
      <c r="A604" s="51">
        <v>46021</v>
      </c>
      <c r="B604" s="50" t="s">
        <v>216</v>
      </c>
      <c r="C604" s="57" t="s">
        <v>30</v>
      </c>
      <c r="D604" s="68" t="s">
        <v>466</v>
      </c>
      <c r="E604" s="58">
        <v>15077.75</v>
      </c>
      <c r="F604" s="55" t="s">
        <v>161</v>
      </c>
      <c r="G604" s="61" t="s">
        <v>162</v>
      </c>
      <c r="H604" s="79"/>
    </row>
    <row r="605" spans="1:8" s="164" customFormat="1" x14ac:dyDescent="0.3">
      <c r="A605" s="51">
        <v>45866</v>
      </c>
      <c r="B605" s="50" t="s">
        <v>206</v>
      </c>
      <c r="C605" s="57" t="s">
        <v>30</v>
      </c>
      <c r="D605" s="68" t="s">
        <v>894</v>
      </c>
      <c r="E605" s="58">
        <v>579.54999999999995</v>
      </c>
      <c r="F605" s="55" t="s">
        <v>161</v>
      </c>
      <c r="G605" s="61" t="s">
        <v>162</v>
      </c>
      <c r="H605" s="130"/>
    </row>
    <row r="606" spans="1:8" s="164" customFormat="1" x14ac:dyDescent="0.3">
      <c r="A606" s="51">
        <v>45866</v>
      </c>
      <c r="B606" s="50" t="s">
        <v>206</v>
      </c>
      <c r="C606" s="57" t="s">
        <v>30</v>
      </c>
      <c r="D606" s="68" t="s">
        <v>466</v>
      </c>
      <c r="E606" s="58">
        <v>15077.75</v>
      </c>
      <c r="F606" s="55" t="s">
        <v>161</v>
      </c>
      <c r="G606" s="61" t="s">
        <v>162</v>
      </c>
      <c r="H606" s="130"/>
    </row>
    <row r="607" spans="1:8" s="164" customFormat="1" x14ac:dyDescent="0.3">
      <c r="A607" s="51">
        <v>45845</v>
      </c>
      <c r="B607" s="50" t="s">
        <v>206</v>
      </c>
      <c r="C607" s="57" t="s">
        <v>30</v>
      </c>
      <c r="D607" s="68" t="s">
        <v>466</v>
      </c>
      <c r="E607" s="58">
        <v>15077.75</v>
      </c>
      <c r="F607" s="55" t="s">
        <v>161</v>
      </c>
      <c r="G607" s="61" t="s">
        <v>162</v>
      </c>
      <c r="H607" s="130"/>
    </row>
    <row r="608" spans="1:8" s="139" customFormat="1" x14ac:dyDescent="0.3">
      <c r="A608" s="183">
        <v>45846</v>
      </c>
      <c r="B608" s="184" t="s">
        <v>206</v>
      </c>
      <c r="C608" s="185" t="s">
        <v>6</v>
      </c>
      <c r="D608" s="185" t="s">
        <v>444</v>
      </c>
      <c r="E608" s="186">
        <v>-257</v>
      </c>
      <c r="F608" s="187" t="s">
        <v>8</v>
      </c>
      <c r="G608" s="187" t="s">
        <v>82</v>
      </c>
      <c r="H608" s="79"/>
    </row>
    <row r="609" spans="1:8" s="139" customFormat="1" x14ac:dyDescent="0.3">
      <c r="A609" s="39">
        <v>45846</v>
      </c>
      <c r="B609" s="33" t="s">
        <v>206</v>
      </c>
      <c r="C609" s="36" t="s">
        <v>25</v>
      </c>
      <c r="D609" s="36" t="s">
        <v>445</v>
      </c>
      <c r="E609" s="40">
        <v>-195</v>
      </c>
      <c r="F609" s="37" t="s">
        <v>8</v>
      </c>
      <c r="G609" s="37" t="s">
        <v>82</v>
      </c>
      <c r="H609" s="79"/>
    </row>
    <row r="610" spans="1:8" s="139" customFormat="1" x14ac:dyDescent="0.3">
      <c r="A610" s="39">
        <v>45846</v>
      </c>
      <c r="B610" s="33" t="s">
        <v>206</v>
      </c>
      <c r="C610" s="36" t="s">
        <v>17</v>
      </c>
      <c r="D610" s="36" t="s">
        <v>446</v>
      </c>
      <c r="E610" s="40">
        <v>-160</v>
      </c>
      <c r="F610" s="37" t="s">
        <v>8</v>
      </c>
      <c r="G610" s="37" t="s">
        <v>82</v>
      </c>
      <c r="H610" s="79"/>
    </row>
    <row r="611" spans="1:8" s="139" customFormat="1" x14ac:dyDescent="0.3">
      <c r="A611" s="39">
        <v>45846</v>
      </c>
      <c r="B611" s="33" t="s">
        <v>206</v>
      </c>
      <c r="C611" s="36" t="s">
        <v>17</v>
      </c>
      <c r="D611" s="36" t="s">
        <v>447</v>
      </c>
      <c r="E611" s="40">
        <v>-684</v>
      </c>
      <c r="F611" s="37" t="s">
        <v>8</v>
      </c>
      <c r="G611" s="37" t="s">
        <v>82</v>
      </c>
      <c r="H611" s="79"/>
    </row>
    <row r="612" spans="1:8" s="139" customFormat="1" x14ac:dyDescent="0.3">
      <c r="A612" s="39">
        <v>45846</v>
      </c>
      <c r="B612" s="33" t="s">
        <v>206</v>
      </c>
      <c r="C612" s="36" t="s">
        <v>71</v>
      </c>
      <c r="D612" s="36" t="s">
        <v>463</v>
      </c>
      <c r="E612" s="40">
        <v>-32.4</v>
      </c>
      <c r="F612" s="37" t="s">
        <v>8</v>
      </c>
      <c r="G612" s="37" t="s">
        <v>82</v>
      </c>
      <c r="H612" s="79"/>
    </row>
    <row r="613" spans="1:8" s="139" customFormat="1" x14ac:dyDescent="0.3">
      <c r="A613" s="39">
        <v>45846</v>
      </c>
      <c r="B613" s="33" t="s">
        <v>206</v>
      </c>
      <c r="C613" s="36" t="s">
        <v>71</v>
      </c>
      <c r="D613" s="36" t="s">
        <v>464</v>
      </c>
      <c r="E613" s="40">
        <v>-12</v>
      </c>
      <c r="F613" s="37" t="s">
        <v>8</v>
      </c>
      <c r="G613" s="37" t="s">
        <v>82</v>
      </c>
      <c r="H613" s="79"/>
    </row>
    <row r="614" spans="1:8" s="139" customFormat="1" x14ac:dyDescent="0.3">
      <c r="A614" s="39">
        <v>45846</v>
      </c>
      <c r="B614" s="33" t="s">
        <v>206</v>
      </c>
      <c r="C614" s="36" t="s">
        <v>31</v>
      </c>
      <c r="D614" s="36" t="s">
        <v>465</v>
      </c>
      <c r="E614" s="40">
        <v>-630.08000000000004</v>
      </c>
      <c r="F614" s="37" t="s">
        <v>8</v>
      </c>
      <c r="G614" s="37" t="s">
        <v>51</v>
      </c>
      <c r="H614" s="79"/>
    </row>
    <row r="615" spans="1:8" s="139" customFormat="1" x14ac:dyDescent="0.3">
      <c r="A615" s="39">
        <v>45846</v>
      </c>
      <c r="B615" s="33" t="s">
        <v>206</v>
      </c>
      <c r="C615" s="36" t="s">
        <v>31</v>
      </c>
      <c r="D615" s="12" t="s">
        <v>95</v>
      </c>
      <c r="E615" s="40">
        <v>-5000</v>
      </c>
      <c r="F615" s="37" t="s">
        <v>8</v>
      </c>
      <c r="G615" s="82" t="s">
        <v>39</v>
      </c>
      <c r="H615" s="79"/>
    </row>
    <row r="616" spans="1:8" s="139" customFormat="1" x14ac:dyDescent="0.3">
      <c r="A616" s="78">
        <v>45846</v>
      </c>
      <c r="B616" s="2" t="s">
        <v>206</v>
      </c>
      <c r="C616" s="6" t="s">
        <v>71</v>
      </c>
      <c r="D616" s="7" t="s">
        <v>450</v>
      </c>
      <c r="E616" s="8">
        <v>-900.68</v>
      </c>
      <c r="F616" s="13" t="s">
        <v>8</v>
      </c>
      <c r="G616" s="148" t="s">
        <v>227</v>
      </c>
      <c r="H616" s="130"/>
    </row>
    <row r="617" spans="1:8" s="139" customFormat="1" x14ac:dyDescent="0.3">
      <c r="A617" s="78">
        <v>45856</v>
      </c>
      <c r="B617" s="2" t="s">
        <v>206</v>
      </c>
      <c r="C617" s="14" t="s">
        <v>25</v>
      </c>
      <c r="D617" s="14" t="s">
        <v>785</v>
      </c>
      <c r="E617" s="240">
        <v>-325.02999999999997</v>
      </c>
      <c r="F617" s="13" t="s">
        <v>8</v>
      </c>
      <c r="G617" s="148" t="s">
        <v>37</v>
      </c>
      <c r="H617" s="130"/>
    </row>
    <row r="618" spans="1:8" s="139" customFormat="1" x14ac:dyDescent="0.3">
      <c r="A618" s="78">
        <v>45856</v>
      </c>
      <c r="B618" s="2" t="s">
        <v>206</v>
      </c>
      <c r="C618" s="14" t="s">
        <v>104</v>
      </c>
      <c r="D618" s="14" t="s">
        <v>703</v>
      </c>
      <c r="E618" s="240">
        <v>-2785.73</v>
      </c>
      <c r="F618" s="13" t="s">
        <v>8</v>
      </c>
      <c r="G618" s="9" t="s">
        <v>75</v>
      </c>
      <c r="H618" s="79"/>
    </row>
    <row r="619" spans="1:8" s="139" customFormat="1" x14ac:dyDescent="0.3">
      <c r="A619" s="78">
        <v>45856</v>
      </c>
      <c r="B619" s="2" t="s">
        <v>206</v>
      </c>
      <c r="C619" s="14" t="s">
        <v>25</v>
      </c>
      <c r="D619" s="14" t="s">
        <v>747</v>
      </c>
      <c r="E619" s="242">
        <v>-1000</v>
      </c>
      <c r="F619" s="13" t="s">
        <v>8</v>
      </c>
      <c r="G619" s="5" t="s">
        <v>41</v>
      </c>
      <c r="H619" s="79"/>
    </row>
    <row r="620" spans="1:8" s="132" customFormat="1" x14ac:dyDescent="0.3">
      <c r="A620" s="281">
        <v>45856</v>
      </c>
      <c r="B620" s="171" t="s">
        <v>206</v>
      </c>
      <c r="C620" s="116" t="s">
        <v>71</v>
      </c>
      <c r="D620" s="116" t="s">
        <v>228</v>
      </c>
      <c r="E620" s="282">
        <v>-352.25</v>
      </c>
      <c r="F620" s="27" t="s">
        <v>8</v>
      </c>
      <c r="G620" s="148" t="s">
        <v>227</v>
      </c>
      <c r="H620" s="139"/>
    </row>
    <row r="621" spans="1:8" s="137" customFormat="1" x14ac:dyDescent="0.3">
      <c r="A621" s="39">
        <v>45849</v>
      </c>
      <c r="B621" s="33" t="s">
        <v>206</v>
      </c>
      <c r="C621" s="36" t="s">
        <v>71</v>
      </c>
      <c r="D621" s="36" t="s">
        <v>350</v>
      </c>
      <c r="E621" s="40">
        <v>-40.86</v>
      </c>
      <c r="F621" s="34" t="s">
        <v>8</v>
      </c>
      <c r="G621" s="37" t="s">
        <v>203</v>
      </c>
      <c r="H621" s="129"/>
    </row>
    <row r="622" spans="1:8" s="137" customFormat="1" x14ac:dyDescent="0.3">
      <c r="A622" s="87">
        <v>45840</v>
      </c>
      <c r="B622" s="23" t="s">
        <v>206</v>
      </c>
      <c r="C622" s="185" t="s">
        <v>25</v>
      </c>
      <c r="D622" s="185" t="s">
        <v>416</v>
      </c>
      <c r="E622" s="186">
        <v>-150</v>
      </c>
      <c r="F622" s="204" t="s">
        <v>8</v>
      </c>
      <c r="G622" s="5" t="s">
        <v>41</v>
      </c>
      <c r="H622" s="129"/>
    </row>
    <row r="623" spans="1:8" s="137" customFormat="1" x14ac:dyDescent="0.3">
      <c r="A623" s="39">
        <v>45840</v>
      </c>
      <c r="B623" s="33" t="s">
        <v>206</v>
      </c>
      <c r="C623" s="116" t="s">
        <v>17</v>
      </c>
      <c r="D623" s="159" t="s">
        <v>391</v>
      </c>
      <c r="E623" s="160">
        <v>-2651.79</v>
      </c>
      <c r="F623" s="142" t="s">
        <v>8</v>
      </c>
      <c r="G623" s="161" t="s">
        <v>68</v>
      </c>
      <c r="H623" s="129"/>
    </row>
    <row r="624" spans="1:8" s="137" customFormat="1" x14ac:dyDescent="0.3">
      <c r="A624" s="39">
        <v>45840</v>
      </c>
      <c r="B624" s="33" t="s">
        <v>206</v>
      </c>
      <c r="C624" s="116" t="s">
        <v>17</v>
      </c>
      <c r="D624" s="159" t="s">
        <v>391</v>
      </c>
      <c r="E624" s="160">
        <v>-1668.9</v>
      </c>
      <c r="F624" s="142" t="s">
        <v>8</v>
      </c>
      <c r="G624" s="161" t="s">
        <v>68</v>
      </c>
      <c r="H624" s="129"/>
    </row>
    <row r="625" spans="1:8" s="137" customFormat="1" x14ac:dyDescent="0.3">
      <c r="A625" s="39">
        <v>45856</v>
      </c>
      <c r="B625" s="33" t="s">
        <v>206</v>
      </c>
      <c r="C625" s="158" t="s">
        <v>6</v>
      </c>
      <c r="D625" s="283" t="s">
        <v>392</v>
      </c>
      <c r="E625" s="284">
        <v>-32600.85</v>
      </c>
      <c r="F625" s="142" t="s">
        <v>8</v>
      </c>
      <c r="G625" s="154" t="s">
        <v>124</v>
      </c>
      <c r="H625" s="129"/>
    </row>
    <row r="626" spans="1:8" s="137" customFormat="1" x14ac:dyDescent="0.3">
      <c r="A626" s="39">
        <v>45856</v>
      </c>
      <c r="B626" s="33" t="s">
        <v>206</v>
      </c>
      <c r="C626" s="285" t="s">
        <v>17</v>
      </c>
      <c r="D626" s="159" t="s">
        <v>394</v>
      </c>
      <c r="E626" s="160">
        <v>-6479.07</v>
      </c>
      <c r="F626" s="142" t="s">
        <v>8</v>
      </c>
      <c r="G626" s="142" t="s">
        <v>124</v>
      </c>
      <c r="H626" s="129"/>
    </row>
    <row r="627" spans="1:8" s="137" customFormat="1" x14ac:dyDescent="0.3">
      <c r="A627" s="39">
        <v>45856</v>
      </c>
      <c r="B627" s="33" t="s">
        <v>206</v>
      </c>
      <c r="C627" s="285" t="s">
        <v>44</v>
      </c>
      <c r="D627" s="159" t="s">
        <v>395</v>
      </c>
      <c r="E627" s="160">
        <v>-547.91999999999996</v>
      </c>
      <c r="F627" s="142" t="s">
        <v>8</v>
      </c>
      <c r="G627" s="142" t="s">
        <v>124</v>
      </c>
      <c r="H627" s="129"/>
    </row>
    <row r="628" spans="1:8" s="137" customFormat="1" x14ac:dyDescent="0.3">
      <c r="A628" s="39">
        <v>45856</v>
      </c>
      <c r="B628" s="33" t="s">
        <v>206</v>
      </c>
      <c r="C628" s="116" t="s">
        <v>31</v>
      </c>
      <c r="D628" s="116" t="s">
        <v>396</v>
      </c>
      <c r="E628" s="118">
        <v>-527.71</v>
      </c>
      <c r="F628" s="142" t="s">
        <v>8</v>
      </c>
      <c r="G628" s="162" t="s">
        <v>124</v>
      </c>
      <c r="H628" s="129"/>
    </row>
    <row r="629" spans="1:8" s="137" customFormat="1" x14ac:dyDescent="0.3">
      <c r="A629" s="39">
        <v>45856</v>
      </c>
      <c r="B629" s="33" t="s">
        <v>206</v>
      </c>
      <c r="C629" s="36" t="s">
        <v>25</v>
      </c>
      <c r="D629" s="36" t="s">
        <v>397</v>
      </c>
      <c r="E629" s="40">
        <v>-511.22</v>
      </c>
      <c r="F629" s="34" t="s">
        <v>8</v>
      </c>
      <c r="G629" s="162" t="s">
        <v>124</v>
      </c>
      <c r="H629" s="129"/>
    </row>
    <row r="630" spans="1:8" s="137" customFormat="1" x14ac:dyDescent="0.3">
      <c r="A630" s="39">
        <v>45856</v>
      </c>
      <c r="B630" s="33" t="s">
        <v>206</v>
      </c>
      <c r="C630" s="140" t="s">
        <v>17</v>
      </c>
      <c r="D630" s="36" t="s">
        <v>398</v>
      </c>
      <c r="E630" s="40">
        <v>-4331.1099999999997</v>
      </c>
      <c r="F630" s="34" t="s">
        <v>8</v>
      </c>
      <c r="G630" s="162" t="s">
        <v>124</v>
      </c>
      <c r="H630" s="129"/>
    </row>
    <row r="631" spans="1:8" s="137" customFormat="1" x14ac:dyDescent="0.3">
      <c r="A631" s="39">
        <v>45856</v>
      </c>
      <c r="B631" s="33" t="s">
        <v>206</v>
      </c>
      <c r="C631" s="140" t="s">
        <v>393</v>
      </c>
      <c r="D631" s="36" t="s">
        <v>399</v>
      </c>
      <c r="E631" s="40">
        <v>-521.20000000000005</v>
      </c>
      <c r="F631" s="34" t="s">
        <v>8</v>
      </c>
      <c r="G631" s="162" t="s">
        <v>124</v>
      </c>
      <c r="H631" s="129"/>
    </row>
    <row r="632" spans="1:8" s="137" customFormat="1" x14ac:dyDescent="0.3">
      <c r="A632" s="39">
        <v>45856</v>
      </c>
      <c r="B632" s="33" t="s">
        <v>206</v>
      </c>
      <c r="C632" s="140" t="s">
        <v>33</v>
      </c>
      <c r="D632" s="36" t="s">
        <v>400</v>
      </c>
      <c r="E632" s="40">
        <v>-525.48</v>
      </c>
      <c r="F632" s="34" t="s">
        <v>8</v>
      </c>
      <c r="G632" s="162" t="s">
        <v>124</v>
      </c>
      <c r="H632" s="129"/>
    </row>
    <row r="633" spans="1:8" s="139" customFormat="1" x14ac:dyDescent="0.3">
      <c r="A633" s="78">
        <v>45848</v>
      </c>
      <c r="B633" s="2" t="s">
        <v>206</v>
      </c>
      <c r="C633" s="14" t="s">
        <v>71</v>
      </c>
      <c r="D633" s="14" t="s">
        <v>480</v>
      </c>
      <c r="E633" s="8">
        <v>-1500</v>
      </c>
      <c r="F633" s="13" t="s">
        <v>8</v>
      </c>
      <c r="G633" s="9" t="s">
        <v>15</v>
      </c>
      <c r="H633" s="143"/>
    </row>
    <row r="634" spans="1:8" s="139" customFormat="1" x14ac:dyDescent="0.3">
      <c r="A634" s="78">
        <v>45848</v>
      </c>
      <c r="B634" s="2" t="s">
        <v>206</v>
      </c>
      <c r="C634" s="14" t="s">
        <v>481</v>
      </c>
      <c r="D634" s="14" t="s">
        <v>482</v>
      </c>
      <c r="E634" s="8">
        <v>-30</v>
      </c>
      <c r="F634" s="13" t="s">
        <v>8</v>
      </c>
      <c r="G634" s="9" t="s">
        <v>51</v>
      </c>
      <c r="H634" s="143"/>
    </row>
    <row r="635" spans="1:8" s="137" customFormat="1" x14ac:dyDescent="0.3">
      <c r="A635" s="39">
        <v>45848</v>
      </c>
      <c r="B635" s="33" t="s">
        <v>206</v>
      </c>
      <c r="C635" s="36" t="s">
        <v>71</v>
      </c>
      <c r="D635" s="36" t="s">
        <v>474</v>
      </c>
      <c r="E635" s="40">
        <v>-33</v>
      </c>
      <c r="F635" s="13" t="s">
        <v>8</v>
      </c>
      <c r="G635" s="37" t="s">
        <v>348</v>
      </c>
      <c r="H635" s="129"/>
    </row>
    <row r="636" spans="1:8" s="137" customFormat="1" x14ac:dyDescent="0.3">
      <c r="A636" s="39">
        <v>45849</v>
      </c>
      <c r="B636" s="33" t="s">
        <v>206</v>
      </c>
      <c r="C636" s="116" t="s">
        <v>17</v>
      </c>
      <c r="D636" s="116" t="s">
        <v>401</v>
      </c>
      <c r="E636" s="118">
        <v>-1408.84</v>
      </c>
      <c r="F636" s="142" t="s">
        <v>8</v>
      </c>
      <c r="G636" s="148" t="s">
        <v>402</v>
      </c>
      <c r="H636" s="143"/>
    </row>
    <row r="637" spans="1:8" s="137" customFormat="1" x14ac:dyDescent="0.3">
      <c r="A637" s="39">
        <v>45849</v>
      </c>
      <c r="B637" s="26" t="s">
        <v>206</v>
      </c>
      <c r="C637" s="97" t="s">
        <v>17</v>
      </c>
      <c r="D637" s="97" t="s">
        <v>401</v>
      </c>
      <c r="E637" s="77">
        <v>-3312.86</v>
      </c>
      <c r="F637" s="178" t="s">
        <v>8</v>
      </c>
      <c r="G637" s="174" t="s">
        <v>402</v>
      </c>
      <c r="H637" s="143"/>
    </row>
    <row r="638" spans="1:8" s="137" customFormat="1" x14ac:dyDescent="0.3">
      <c r="A638" s="39">
        <v>45849</v>
      </c>
      <c r="B638" s="33" t="s">
        <v>206</v>
      </c>
      <c r="C638" s="36" t="s">
        <v>25</v>
      </c>
      <c r="D638" s="36" t="s">
        <v>475</v>
      </c>
      <c r="E638" s="40">
        <v>-336.85</v>
      </c>
      <c r="F638" s="34" t="s">
        <v>8</v>
      </c>
      <c r="G638" s="5" t="s">
        <v>41</v>
      </c>
    </row>
    <row r="639" spans="1:8" s="137" customFormat="1" x14ac:dyDescent="0.3">
      <c r="A639" s="39">
        <v>45849</v>
      </c>
      <c r="B639" s="33" t="s">
        <v>206</v>
      </c>
      <c r="C639" s="36" t="s">
        <v>25</v>
      </c>
      <c r="D639" s="36" t="s">
        <v>476</v>
      </c>
      <c r="E639" s="40">
        <v>-165</v>
      </c>
      <c r="F639" s="34" t="s">
        <v>8</v>
      </c>
      <c r="G639" s="37" t="s">
        <v>82</v>
      </c>
    </row>
    <row r="640" spans="1:8" s="137" customFormat="1" x14ac:dyDescent="0.3">
      <c r="A640" s="39">
        <v>45849</v>
      </c>
      <c r="B640" s="33" t="s">
        <v>206</v>
      </c>
      <c r="C640" s="36" t="s">
        <v>25</v>
      </c>
      <c r="D640" s="36" t="s">
        <v>477</v>
      </c>
      <c r="E640" s="40">
        <v>-178</v>
      </c>
      <c r="F640" s="34" t="s">
        <v>8</v>
      </c>
      <c r="G640" s="37" t="s">
        <v>82</v>
      </c>
    </row>
    <row r="641" spans="1:8" s="137" customFormat="1" x14ac:dyDescent="0.3">
      <c r="A641" s="39">
        <v>45849</v>
      </c>
      <c r="B641" s="33" t="s">
        <v>206</v>
      </c>
      <c r="C641" s="36" t="s">
        <v>6</v>
      </c>
      <c r="D641" s="36" t="s">
        <v>478</v>
      </c>
      <c r="E641" s="40">
        <v>-238.27</v>
      </c>
      <c r="F641" s="34" t="s">
        <v>8</v>
      </c>
      <c r="G641" s="37" t="s">
        <v>111</v>
      </c>
    </row>
    <row r="642" spans="1:8" s="137" customFormat="1" x14ac:dyDescent="0.3">
      <c r="A642" s="78">
        <v>45849</v>
      </c>
      <c r="B642" s="2" t="s">
        <v>206</v>
      </c>
      <c r="C642" s="14" t="s">
        <v>31</v>
      </c>
      <c r="D642" s="14" t="s">
        <v>626</v>
      </c>
      <c r="E642" s="8">
        <v>-259.25</v>
      </c>
      <c r="F642" s="34" t="s">
        <v>8</v>
      </c>
      <c r="G642" s="37" t="s">
        <v>124</v>
      </c>
    </row>
    <row r="643" spans="1:8" s="137" customFormat="1" x14ac:dyDescent="0.3">
      <c r="A643" s="78">
        <v>45849</v>
      </c>
      <c r="B643" s="2" t="s">
        <v>206</v>
      </c>
      <c r="C643" s="14" t="s">
        <v>31</v>
      </c>
      <c r="D643" s="14" t="s">
        <v>627</v>
      </c>
      <c r="E643" s="8">
        <v>-132.47</v>
      </c>
      <c r="F643" s="34" t="s">
        <v>8</v>
      </c>
      <c r="G643" s="37" t="s">
        <v>124</v>
      </c>
    </row>
    <row r="644" spans="1:8" s="137" customFormat="1" x14ac:dyDescent="0.3">
      <c r="A644" s="78">
        <v>45849</v>
      </c>
      <c r="B644" s="2" t="s">
        <v>206</v>
      </c>
      <c r="C644" s="14" t="s">
        <v>31</v>
      </c>
      <c r="D644" s="14" t="s">
        <v>628</v>
      </c>
      <c r="E644" s="8">
        <v>-234.94</v>
      </c>
      <c r="F644" s="34" t="s">
        <v>8</v>
      </c>
      <c r="G644" s="37" t="s">
        <v>124</v>
      </c>
    </row>
    <row r="645" spans="1:8" s="137" customFormat="1" x14ac:dyDescent="0.3">
      <c r="A645" s="78">
        <v>45849</v>
      </c>
      <c r="B645" s="2" t="s">
        <v>206</v>
      </c>
      <c r="C645" s="14" t="s">
        <v>31</v>
      </c>
      <c r="D645" s="14" t="s">
        <v>629</v>
      </c>
      <c r="E645" s="8">
        <v>-265.04000000000002</v>
      </c>
      <c r="F645" s="34" t="s">
        <v>8</v>
      </c>
      <c r="G645" s="37" t="s">
        <v>124</v>
      </c>
    </row>
    <row r="646" spans="1:8" s="137" customFormat="1" x14ac:dyDescent="0.3">
      <c r="A646" s="78">
        <v>45849</v>
      </c>
      <c r="B646" s="2" t="s">
        <v>206</v>
      </c>
      <c r="C646" s="14" t="s">
        <v>31</v>
      </c>
      <c r="D646" s="14" t="s">
        <v>630</v>
      </c>
      <c r="E646" s="8">
        <v>-236.39</v>
      </c>
      <c r="F646" s="34" t="s">
        <v>8</v>
      </c>
      <c r="G646" s="37" t="s">
        <v>124</v>
      </c>
    </row>
    <row r="647" spans="1:8" s="137" customFormat="1" x14ac:dyDescent="0.3">
      <c r="A647" s="78">
        <v>45849</v>
      </c>
      <c r="B647" s="2" t="s">
        <v>206</v>
      </c>
      <c r="C647" s="14" t="s">
        <v>31</v>
      </c>
      <c r="D647" s="14" t="s">
        <v>631</v>
      </c>
      <c r="E647" s="8">
        <v>-179.49</v>
      </c>
      <c r="F647" s="34" t="s">
        <v>8</v>
      </c>
      <c r="G647" s="37" t="s">
        <v>124</v>
      </c>
    </row>
    <row r="648" spans="1:8" s="137" customFormat="1" x14ac:dyDescent="0.3">
      <c r="A648" s="78">
        <v>45849</v>
      </c>
      <c r="B648" s="2" t="s">
        <v>206</v>
      </c>
      <c r="C648" s="14" t="s">
        <v>31</v>
      </c>
      <c r="D648" s="14" t="s">
        <v>632</v>
      </c>
      <c r="E648" s="8">
        <v>-275.81</v>
      </c>
      <c r="F648" s="34" t="s">
        <v>8</v>
      </c>
      <c r="G648" s="37" t="s">
        <v>124</v>
      </c>
    </row>
    <row r="649" spans="1:8" s="137" customFormat="1" x14ac:dyDescent="0.3">
      <c r="A649" s="78">
        <v>45849</v>
      </c>
      <c r="B649" s="2" t="s">
        <v>206</v>
      </c>
      <c r="C649" s="14" t="s">
        <v>31</v>
      </c>
      <c r="D649" s="14" t="s">
        <v>633</v>
      </c>
      <c r="E649" s="8">
        <v>-348.05</v>
      </c>
      <c r="F649" s="34" t="s">
        <v>8</v>
      </c>
      <c r="G649" s="37" t="s">
        <v>124</v>
      </c>
    </row>
    <row r="650" spans="1:8" s="137" customFormat="1" x14ac:dyDescent="0.3">
      <c r="A650" s="78">
        <v>45849</v>
      </c>
      <c r="B650" s="2" t="s">
        <v>206</v>
      </c>
      <c r="C650" s="14" t="s">
        <v>31</v>
      </c>
      <c r="D650" s="14" t="s">
        <v>634</v>
      </c>
      <c r="E650" s="8">
        <v>-338.6</v>
      </c>
      <c r="F650" s="34" t="s">
        <v>8</v>
      </c>
      <c r="G650" s="37" t="s">
        <v>124</v>
      </c>
    </row>
    <row r="651" spans="1:8" s="132" customFormat="1" x14ac:dyDescent="0.3">
      <c r="A651" s="39">
        <v>45849</v>
      </c>
      <c r="B651" s="33" t="s">
        <v>206</v>
      </c>
      <c r="C651" s="36" t="s">
        <v>17</v>
      </c>
      <c r="D651" s="36" t="s">
        <v>625</v>
      </c>
      <c r="E651" s="40">
        <v>-120</v>
      </c>
      <c r="F651" s="34" t="s">
        <v>8</v>
      </c>
      <c r="G651" s="37" t="s">
        <v>73</v>
      </c>
      <c r="H651" s="163"/>
    </row>
    <row r="652" spans="1:8" s="132" customFormat="1" x14ac:dyDescent="0.3">
      <c r="A652" s="133">
        <v>45849</v>
      </c>
      <c r="B652" s="134" t="s">
        <v>206</v>
      </c>
      <c r="C652" s="116" t="s">
        <v>17</v>
      </c>
      <c r="D652" s="116" t="s">
        <v>623</v>
      </c>
      <c r="E652" s="40">
        <v>-233.26</v>
      </c>
      <c r="F652" s="34" t="s">
        <v>8</v>
      </c>
      <c r="G652" s="37" t="s">
        <v>73</v>
      </c>
      <c r="H652" s="163"/>
    </row>
    <row r="653" spans="1:8" s="132" customFormat="1" x14ac:dyDescent="0.3">
      <c r="A653" s="133">
        <v>45849</v>
      </c>
      <c r="B653" s="134" t="s">
        <v>206</v>
      </c>
      <c r="C653" s="116" t="s">
        <v>17</v>
      </c>
      <c r="D653" s="116" t="s">
        <v>624</v>
      </c>
      <c r="E653" s="118">
        <v>-233.26</v>
      </c>
      <c r="F653" s="13" t="s">
        <v>8</v>
      </c>
      <c r="G653" s="148" t="s">
        <v>73</v>
      </c>
      <c r="H653" s="163"/>
    </row>
    <row r="654" spans="1:8" s="139" customFormat="1" x14ac:dyDescent="0.3">
      <c r="A654" s="78">
        <v>45842</v>
      </c>
      <c r="B654" s="2" t="s">
        <v>206</v>
      </c>
      <c r="C654" s="14" t="s">
        <v>71</v>
      </c>
      <c r="D654" s="14" t="s">
        <v>74</v>
      </c>
      <c r="E654" s="8">
        <v>-293.45999999999998</v>
      </c>
      <c r="F654" s="13" t="s">
        <v>8</v>
      </c>
      <c r="G654" s="9" t="s">
        <v>73</v>
      </c>
      <c r="H654" s="79"/>
    </row>
    <row r="655" spans="1:8" s="139" customFormat="1" x14ac:dyDescent="0.3">
      <c r="A655" s="78">
        <v>45842</v>
      </c>
      <c r="B655" s="2" t="s">
        <v>206</v>
      </c>
      <c r="C655" s="14" t="s">
        <v>6</v>
      </c>
      <c r="D655" s="14" t="s">
        <v>353</v>
      </c>
      <c r="E655" s="8">
        <v>-180</v>
      </c>
      <c r="F655" s="13" t="s">
        <v>8</v>
      </c>
      <c r="G655" s="9" t="s">
        <v>203</v>
      </c>
      <c r="H655" s="79"/>
    </row>
    <row r="656" spans="1:8" s="139" customFormat="1" x14ac:dyDescent="0.3">
      <c r="A656" s="133">
        <v>45842</v>
      </c>
      <c r="B656" s="134" t="s">
        <v>206</v>
      </c>
      <c r="C656" s="116" t="s">
        <v>31</v>
      </c>
      <c r="D656" s="116" t="s">
        <v>365</v>
      </c>
      <c r="E656" s="118">
        <v>-1673.53</v>
      </c>
      <c r="F656" s="142" t="s">
        <v>8</v>
      </c>
      <c r="G656" s="148" t="s">
        <v>75</v>
      </c>
      <c r="H656" s="79"/>
    </row>
    <row r="657" spans="1:8" s="139" customFormat="1" x14ac:dyDescent="0.3">
      <c r="A657" s="133">
        <v>45842</v>
      </c>
      <c r="B657" s="134" t="s">
        <v>206</v>
      </c>
      <c r="C657" s="116" t="s">
        <v>71</v>
      </c>
      <c r="D657" s="116" t="s">
        <v>366</v>
      </c>
      <c r="E657" s="118">
        <v>-3012.37</v>
      </c>
      <c r="F657" s="142" t="s">
        <v>8</v>
      </c>
      <c r="G657" s="148" t="s">
        <v>75</v>
      </c>
      <c r="H657" s="79"/>
    </row>
    <row r="658" spans="1:8" s="139" customFormat="1" x14ac:dyDescent="0.3">
      <c r="A658" s="39">
        <v>45842</v>
      </c>
      <c r="B658" s="33" t="s">
        <v>206</v>
      </c>
      <c r="C658" s="36" t="s">
        <v>33</v>
      </c>
      <c r="D658" s="36" t="s">
        <v>382</v>
      </c>
      <c r="E658" s="40">
        <v>-1442.11</v>
      </c>
      <c r="F658" s="34" t="s">
        <v>8</v>
      </c>
      <c r="G658" s="37" t="s">
        <v>75</v>
      </c>
      <c r="H658" s="79"/>
    </row>
    <row r="659" spans="1:8" s="139" customFormat="1" x14ac:dyDescent="0.3">
      <c r="A659" s="78">
        <v>45842</v>
      </c>
      <c r="B659" s="2" t="s">
        <v>206</v>
      </c>
      <c r="C659" s="14" t="s">
        <v>32</v>
      </c>
      <c r="D659" s="14" t="s">
        <v>383</v>
      </c>
      <c r="E659" s="8">
        <v>-2146.87</v>
      </c>
      <c r="F659" s="13" t="s">
        <v>8</v>
      </c>
      <c r="G659" s="9" t="s">
        <v>75</v>
      </c>
      <c r="H659" s="79"/>
    </row>
    <row r="660" spans="1:8" s="139" customFormat="1" x14ac:dyDescent="0.3">
      <c r="A660" s="78">
        <v>45842</v>
      </c>
      <c r="B660" s="2" t="s">
        <v>206</v>
      </c>
      <c r="C660" s="14" t="s">
        <v>25</v>
      </c>
      <c r="D660" s="14" t="s">
        <v>378</v>
      </c>
      <c r="E660" s="8">
        <v>-194.6</v>
      </c>
      <c r="F660" s="13" t="s">
        <v>8</v>
      </c>
      <c r="G660" s="9" t="s">
        <v>82</v>
      </c>
      <c r="H660" s="79"/>
    </row>
    <row r="661" spans="1:8" s="139" customFormat="1" x14ac:dyDescent="0.3">
      <c r="A661" s="78">
        <v>45842</v>
      </c>
      <c r="B661" s="2" t="s">
        <v>206</v>
      </c>
      <c r="C661" s="14" t="s">
        <v>32</v>
      </c>
      <c r="D661" s="14" t="s">
        <v>379</v>
      </c>
      <c r="E661" s="8">
        <v>-225.6</v>
      </c>
      <c r="F661" s="13" t="s">
        <v>8</v>
      </c>
      <c r="G661" s="9" t="s">
        <v>82</v>
      </c>
      <c r="H661" s="79"/>
    </row>
    <row r="662" spans="1:8" s="139" customFormat="1" x14ac:dyDescent="0.3">
      <c r="A662" s="78">
        <v>45842</v>
      </c>
      <c r="B662" s="2" t="s">
        <v>206</v>
      </c>
      <c r="C662" s="14" t="s">
        <v>25</v>
      </c>
      <c r="D662" s="14" t="s">
        <v>418</v>
      </c>
      <c r="E662" s="8">
        <v>-225.6</v>
      </c>
      <c r="F662" s="13" t="s">
        <v>8</v>
      </c>
      <c r="G662" s="9" t="s">
        <v>82</v>
      </c>
      <c r="H662" s="79"/>
    </row>
    <row r="663" spans="1:8" s="139" customFormat="1" x14ac:dyDescent="0.3">
      <c r="A663" s="78">
        <v>45842</v>
      </c>
      <c r="B663" s="2" t="s">
        <v>206</v>
      </c>
      <c r="C663" s="14" t="s">
        <v>25</v>
      </c>
      <c r="D663" s="14" t="s">
        <v>419</v>
      </c>
      <c r="E663" s="8">
        <v>-267</v>
      </c>
      <c r="F663" s="13" t="s">
        <v>8</v>
      </c>
      <c r="G663" s="9" t="s">
        <v>82</v>
      </c>
      <c r="H663" s="79"/>
    </row>
    <row r="664" spans="1:8" s="139" customFormat="1" x14ac:dyDescent="0.3">
      <c r="A664" s="78">
        <v>45842</v>
      </c>
      <c r="B664" s="2" t="s">
        <v>206</v>
      </c>
      <c r="C664" s="14" t="s">
        <v>17</v>
      </c>
      <c r="D664" s="14" t="s">
        <v>376</v>
      </c>
      <c r="E664" s="8">
        <v>-225.6</v>
      </c>
      <c r="F664" s="13" t="s">
        <v>8</v>
      </c>
      <c r="G664" s="9" t="s">
        <v>97</v>
      </c>
      <c r="H664" s="79"/>
    </row>
    <row r="665" spans="1:8" s="139" customFormat="1" x14ac:dyDescent="0.3">
      <c r="A665" s="78">
        <v>45842</v>
      </c>
      <c r="B665" s="2" t="s">
        <v>206</v>
      </c>
      <c r="C665" s="14" t="s">
        <v>44</v>
      </c>
      <c r="D665" s="14" t="s">
        <v>380</v>
      </c>
      <c r="E665" s="8">
        <v>-368.68</v>
      </c>
      <c r="F665" s="13" t="s">
        <v>8</v>
      </c>
      <c r="G665" s="5" t="s">
        <v>41</v>
      </c>
      <c r="H665" s="79"/>
    </row>
    <row r="666" spans="1:8" s="137" customFormat="1" x14ac:dyDescent="0.3">
      <c r="A666" s="78">
        <v>45842</v>
      </c>
      <c r="B666" s="2" t="s">
        <v>206</v>
      </c>
      <c r="C666" s="14" t="s">
        <v>25</v>
      </c>
      <c r="D666" s="14" t="s">
        <v>384</v>
      </c>
      <c r="E666" s="8">
        <v>-3675</v>
      </c>
      <c r="F666" s="13" t="s">
        <v>8</v>
      </c>
      <c r="G666" s="9" t="s">
        <v>152</v>
      </c>
      <c r="H666" s="129"/>
    </row>
    <row r="667" spans="1:8" s="139" customFormat="1" x14ac:dyDescent="0.3">
      <c r="A667" s="78">
        <v>45842</v>
      </c>
      <c r="B667" s="2" t="s">
        <v>206</v>
      </c>
      <c r="C667" s="14" t="s">
        <v>6</v>
      </c>
      <c r="D667" s="14" t="s">
        <v>417</v>
      </c>
      <c r="E667" s="8">
        <v>-6441.1</v>
      </c>
      <c r="F667" s="13" t="s">
        <v>8</v>
      </c>
      <c r="G667" s="9" t="s">
        <v>46</v>
      </c>
      <c r="H667" s="79"/>
    </row>
    <row r="668" spans="1:8" s="139" customFormat="1" x14ac:dyDescent="0.3">
      <c r="A668" s="78">
        <v>45842</v>
      </c>
      <c r="B668" s="2" t="s">
        <v>206</v>
      </c>
      <c r="C668" s="14" t="s">
        <v>6</v>
      </c>
      <c r="D668" s="14" t="s">
        <v>48</v>
      </c>
      <c r="E668" s="8">
        <v>-1163.28</v>
      </c>
      <c r="F668" s="13" t="s">
        <v>8</v>
      </c>
      <c r="G668" s="9" t="s">
        <v>49</v>
      </c>
      <c r="H668" s="79"/>
    </row>
    <row r="669" spans="1:8" s="139" customFormat="1" x14ac:dyDescent="0.3">
      <c r="A669" s="78">
        <v>45842</v>
      </c>
      <c r="B669" s="2" t="s">
        <v>206</v>
      </c>
      <c r="C669" s="14" t="s">
        <v>6</v>
      </c>
      <c r="D669" s="14" t="s">
        <v>48</v>
      </c>
      <c r="E669" s="8">
        <v>-196.43</v>
      </c>
      <c r="F669" s="13" t="s">
        <v>8</v>
      </c>
      <c r="G669" s="9" t="s">
        <v>49</v>
      </c>
      <c r="H669" s="79"/>
    </row>
    <row r="670" spans="1:8" s="139" customFormat="1" x14ac:dyDescent="0.3">
      <c r="A670" s="78">
        <v>45842</v>
      </c>
      <c r="B670" s="2" t="s">
        <v>206</v>
      </c>
      <c r="C670" s="14" t="s">
        <v>44</v>
      </c>
      <c r="D670" s="14" t="s">
        <v>226</v>
      </c>
      <c r="E670" s="8">
        <v>-845.1</v>
      </c>
      <c r="F670" s="13" t="s">
        <v>8</v>
      </c>
      <c r="G670" s="148" t="s">
        <v>227</v>
      </c>
    </row>
    <row r="671" spans="1:8" s="139" customFormat="1" x14ac:dyDescent="0.3">
      <c r="A671" s="78">
        <v>45842</v>
      </c>
      <c r="B671" s="2" t="s">
        <v>206</v>
      </c>
      <c r="C671" s="14" t="s">
        <v>44</v>
      </c>
      <c r="D671" s="14" t="s">
        <v>226</v>
      </c>
      <c r="E671" s="8">
        <v>-3534.54</v>
      </c>
      <c r="F671" s="13" t="s">
        <v>8</v>
      </c>
      <c r="G671" s="148" t="s">
        <v>227</v>
      </c>
    </row>
    <row r="672" spans="1:8" s="139" customFormat="1" x14ac:dyDescent="0.3">
      <c r="A672" s="78">
        <v>45839</v>
      </c>
      <c r="B672" s="2" t="s">
        <v>206</v>
      </c>
      <c r="C672" s="14" t="s">
        <v>33</v>
      </c>
      <c r="D672" s="14" t="s">
        <v>355</v>
      </c>
      <c r="E672" s="8">
        <v>-62.28</v>
      </c>
      <c r="F672" s="13" t="s">
        <v>8</v>
      </c>
      <c r="G672" s="9" t="s">
        <v>19</v>
      </c>
    </row>
    <row r="673" spans="1:8" s="139" customFormat="1" x14ac:dyDescent="0.3">
      <c r="A673" s="78">
        <v>45839</v>
      </c>
      <c r="B673" s="2" t="s">
        <v>206</v>
      </c>
      <c r="C673" s="14" t="s">
        <v>104</v>
      </c>
      <c r="D673" s="14" t="s">
        <v>356</v>
      </c>
      <c r="E673" s="8">
        <v>-62.28</v>
      </c>
      <c r="F673" s="13" t="s">
        <v>8</v>
      </c>
      <c r="G673" s="9" t="s">
        <v>19</v>
      </c>
    </row>
    <row r="674" spans="1:8" s="139" customFormat="1" x14ac:dyDescent="0.3">
      <c r="A674" s="78">
        <v>45839</v>
      </c>
      <c r="B674" s="2" t="s">
        <v>206</v>
      </c>
      <c r="C674" s="14" t="s">
        <v>71</v>
      </c>
      <c r="D674" s="14" t="s">
        <v>357</v>
      </c>
      <c r="E674" s="8">
        <v>-62.28</v>
      </c>
      <c r="F674" s="13" t="s">
        <v>8</v>
      </c>
      <c r="G674" s="9" t="s">
        <v>19</v>
      </c>
    </row>
    <row r="675" spans="1:8" s="139" customFormat="1" x14ac:dyDescent="0.3">
      <c r="A675" s="78">
        <v>45839</v>
      </c>
      <c r="B675" s="2" t="s">
        <v>206</v>
      </c>
      <c r="C675" s="14" t="s">
        <v>44</v>
      </c>
      <c r="D675" s="14" t="s">
        <v>359</v>
      </c>
      <c r="E675" s="8">
        <v>-207.6</v>
      </c>
      <c r="F675" s="13" t="s">
        <v>8</v>
      </c>
      <c r="G675" s="9" t="s">
        <v>19</v>
      </c>
    </row>
    <row r="676" spans="1:8" s="139" customFormat="1" x14ac:dyDescent="0.3">
      <c r="A676" s="78">
        <v>45839</v>
      </c>
      <c r="B676" s="2" t="s">
        <v>206</v>
      </c>
      <c r="C676" s="14" t="s">
        <v>44</v>
      </c>
      <c r="D676" s="14" t="s">
        <v>358</v>
      </c>
      <c r="E676" s="8">
        <v>-40</v>
      </c>
      <c r="F676" s="13" t="s">
        <v>8</v>
      </c>
      <c r="G676" s="9" t="s">
        <v>82</v>
      </c>
    </row>
    <row r="677" spans="1:8" s="139" customFormat="1" x14ac:dyDescent="0.3">
      <c r="A677" s="78">
        <v>45839</v>
      </c>
      <c r="B677" s="2" t="s">
        <v>206</v>
      </c>
      <c r="C677" s="14" t="s">
        <v>33</v>
      </c>
      <c r="D677" s="14" t="s">
        <v>355</v>
      </c>
      <c r="E677" s="8">
        <v>-100</v>
      </c>
      <c r="F677" s="13" t="s">
        <v>8</v>
      </c>
      <c r="G677" s="9" t="s">
        <v>82</v>
      </c>
    </row>
    <row r="678" spans="1:8" s="139" customFormat="1" x14ac:dyDescent="0.3">
      <c r="A678" s="78">
        <v>45839</v>
      </c>
      <c r="B678" s="2" t="s">
        <v>206</v>
      </c>
      <c r="C678" s="14" t="s">
        <v>104</v>
      </c>
      <c r="D678" s="14" t="s">
        <v>360</v>
      </c>
      <c r="E678" s="8">
        <v>-110</v>
      </c>
      <c r="F678" s="13" t="s">
        <v>8</v>
      </c>
      <c r="G678" s="9" t="s">
        <v>82</v>
      </c>
    </row>
    <row r="679" spans="1:8" s="139" customFormat="1" x14ac:dyDescent="0.3">
      <c r="A679" s="78">
        <v>45839</v>
      </c>
      <c r="B679" s="2" t="s">
        <v>206</v>
      </c>
      <c r="C679" s="14" t="s">
        <v>32</v>
      </c>
      <c r="D679" s="14" t="s">
        <v>361</v>
      </c>
      <c r="E679" s="8">
        <v>-30</v>
      </c>
      <c r="F679" s="13" t="s">
        <v>8</v>
      </c>
      <c r="G679" s="9" t="s">
        <v>82</v>
      </c>
    </row>
    <row r="680" spans="1:8" s="139" customFormat="1" x14ac:dyDescent="0.3">
      <c r="A680" s="78">
        <v>45839</v>
      </c>
      <c r="B680" s="2" t="s">
        <v>206</v>
      </c>
      <c r="C680" s="14" t="s">
        <v>25</v>
      </c>
      <c r="D680" s="14" t="s">
        <v>362</v>
      </c>
      <c r="E680" s="8">
        <v>-40</v>
      </c>
      <c r="F680" s="13" t="s">
        <v>8</v>
      </c>
      <c r="G680" s="9" t="s">
        <v>27</v>
      </c>
    </row>
    <row r="681" spans="1:8" s="139" customFormat="1" x14ac:dyDescent="0.3">
      <c r="A681" s="74">
        <v>45840</v>
      </c>
      <c r="B681" s="26" t="s">
        <v>206</v>
      </c>
      <c r="C681" s="75" t="s">
        <v>71</v>
      </c>
      <c r="D681" s="76" t="s">
        <v>414</v>
      </c>
      <c r="E681" s="77">
        <v>-902.17</v>
      </c>
      <c r="F681" s="27" t="s">
        <v>8</v>
      </c>
      <c r="G681" s="174" t="s">
        <v>227</v>
      </c>
      <c r="H681" s="130"/>
    </row>
    <row r="682" spans="1:8" s="139" customFormat="1" x14ac:dyDescent="0.3">
      <c r="A682" s="78">
        <v>45852</v>
      </c>
      <c r="B682" s="2" t="s">
        <v>206</v>
      </c>
      <c r="C682" s="14" t="s">
        <v>31</v>
      </c>
      <c r="D682" s="14" t="s">
        <v>370</v>
      </c>
      <c r="E682" s="8">
        <v>-272.20999999999998</v>
      </c>
      <c r="F682" s="13" t="s">
        <v>8</v>
      </c>
      <c r="G682" s="9" t="s">
        <v>75</v>
      </c>
      <c r="H682" s="130"/>
    </row>
    <row r="683" spans="1:8" s="139" customFormat="1" x14ac:dyDescent="0.3">
      <c r="A683" s="78">
        <v>45852</v>
      </c>
      <c r="B683" s="2" t="s">
        <v>206</v>
      </c>
      <c r="C683" s="14" t="s">
        <v>25</v>
      </c>
      <c r="D683" s="14" t="s">
        <v>489</v>
      </c>
      <c r="E683" s="8">
        <v>-403.6</v>
      </c>
      <c r="F683" s="13" t="s">
        <v>8</v>
      </c>
      <c r="G683" s="9" t="s">
        <v>75</v>
      </c>
      <c r="H683" s="130"/>
    </row>
    <row r="684" spans="1:8" s="139" customFormat="1" x14ac:dyDescent="0.3">
      <c r="A684" s="87">
        <v>45852</v>
      </c>
      <c r="B684" s="23" t="s">
        <v>206</v>
      </c>
      <c r="C684" s="96" t="s">
        <v>32</v>
      </c>
      <c r="D684" s="96" t="s">
        <v>490</v>
      </c>
      <c r="E684" s="89">
        <v>-135.99</v>
      </c>
      <c r="F684" s="110" t="s">
        <v>8</v>
      </c>
      <c r="G684" s="70" t="s">
        <v>75</v>
      </c>
      <c r="H684" s="130"/>
    </row>
    <row r="685" spans="1:8" s="139" customFormat="1" x14ac:dyDescent="0.3">
      <c r="A685" s="39">
        <v>45852</v>
      </c>
      <c r="B685" s="33" t="s">
        <v>206</v>
      </c>
      <c r="C685" s="6" t="s">
        <v>44</v>
      </c>
      <c r="D685" s="7" t="s">
        <v>138</v>
      </c>
      <c r="E685" s="8">
        <v>-1723</v>
      </c>
      <c r="F685" s="13" t="s">
        <v>8</v>
      </c>
      <c r="G685" s="9" t="s">
        <v>139</v>
      </c>
      <c r="H685" s="130"/>
    </row>
    <row r="686" spans="1:8" s="261" customFormat="1" x14ac:dyDescent="0.3">
      <c r="A686" s="259">
        <v>45866</v>
      </c>
      <c r="B686" s="260" t="s">
        <v>206</v>
      </c>
      <c r="C686" s="262" t="s">
        <v>71</v>
      </c>
      <c r="D686" s="262" t="s">
        <v>895</v>
      </c>
      <c r="E686" s="263">
        <v>-1292.549945</v>
      </c>
      <c r="F686" s="254" t="s">
        <v>8</v>
      </c>
      <c r="G686" s="265" t="s">
        <v>227</v>
      </c>
      <c r="H686" s="267"/>
    </row>
    <row r="687" spans="1:8" s="261" customFormat="1" x14ac:dyDescent="0.3">
      <c r="A687" s="259">
        <v>45866</v>
      </c>
      <c r="B687" s="260" t="s">
        <v>206</v>
      </c>
      <c r="C687" s="262" t="s">
        <v>17</v>
      </c>
      <c r="D687" s="262" t="s">
        <v>897</v>
      </c>
      <c r="E687" s="263">
        <v>-110.4</v>
      </c>
      <c r="F687" s="254" t="s">
        <v>8</v>
      </c>
      <c r="G687" s="265" t="s">
        <v>227</v>
      </c>
      <c r="H687" s="267"/>
    </row>
    <row r="688" spans="1:8" s="261" customFormat="1" x14ac:dyDescent="0.3">
      <c r="A688" s="251">
        <v>45867</v>
      </c>
      <c r="B688" s="247" t="s">
        <v>206</v>
      </c>
      <c r="C688" s="262" t="s">
        <v>31</v>
      </c>
      <c r="D688" s="262" t="s">
        <v>902</v>
      </c>
      <c r="E688" s="295">
        <v>-211.01</v>
      </c>
      <c r="F688" s="13" t="s">
        <v>8</v>
      </c>
      <c r="G688" s="265" t="s">
        <v>124</v>
      </c>
      <c r="H688" s="267"/>
    </row>
    <row r="689" spans="1:8" s="261" customFormat="1" x14ac:dyDescent="0.3">
      <c r="A689" s="251">
        <v>45867</v>
      </c>
      <c r="B689" s="247" t="s">
        <v>206</v>
      </c>
      <c r="C689" s="293" t="s">
        <v>71</v>
      </c>
      <c r="D689" s="293" t="s">
        <v>901</v>
      </c>
      <c r="E689" s="294">
        <v>-318.43</v>
      </c>
      <c r="F689" s="254" t="s">
        <v>8</v>
      </c>
      <c r="G689" s="254" t="s">
        <v>203</v>
      </c>
      <c r="H689" s="267"/>
    </row>
    <row r="690" spans="1:8" s="250" customFormat="1" x14ac:dyDescent="0.3">
      <c r="A690" s="251">
        <v>45867</v>
      </c>
      <c r="B690" s="247" t="s">
        <v>206</v>
      </c>
      <c r="C690" s="293" t="s">
        <v>25</v>
      </c>
      <c r="D690" s="293" t="s">
        <v>900</v>
      </c>
      <c r="E690" s="342">
        <v>-12.3</v>
      </c>
      <c r="F690" s="254" t="s">
        <v>8</v>
      </c>
      <c r="G690" s="343" t="s">
        <v>82</v>
      </c>
    </row>
    <row r="691" spans="1:8" s="261" customFormat="1" x14ac:dyDescent="0.3">
      <c r="A691" s="251">
        <v>45867</v>
      </c>
      <c r="B691" s="247" t="s">
        <v>206</v>
      </c>
      <c r="C691" s="293" t="s">
        <v>17</v>
      </c>
      <c r="D691" s="293" t="s">
        <v>390</v>
      </c>
      <c r="E691" s="294">
        <v>-535.1</v>
      </c>
      <c r="F691" s="254" t="s">
        <v>8</v>
      </c>
      <c r="G691" s="254" t="s">
        <v>68</v>
      </c>
    </row>
    <row r="692" spans="1:8" s="261" customFormat="1" x14ac:dyDescent="0.3">
      <c r="A692" s="259">
        <v>45866</v>
      </c>
      <c r="B692" s="260" t="s">
        <v>206</v>
      </c>
      <c r="C692" s="293" t="s">
        <v>44</v>
      </c>
      <c r="D692" s="293" t="s">
        <v>851</v>
      </c>
      <c r="E692" s="301">
        <v>-90</v>
      </c>
      <c r="F692" s="254" t="s">
        <v>8</v>
      </c>
      <c r="G692" s="254" t="s">
        <v>82</v>
      </c>
    </row>
    <row r="693" spans="1:8" s="261" customFormat="1" x14ac:dyDescent="0.3">
      <c r="A693" s="259">
        <v>45866</v>
      </c>
      <c r="B693" s="260" t="s">
        <v>206</v>
      </c>
      <c r="C693" s="293" t="s">
        <v>104</v>
      </c>
      <c r="D693" s="293" t="s">
        <v>852</v>
      </c>
      <c r="E693" s="301">
        <v>-90</v>
      </c>
      <c r="F693" s="254" t="s">
        <v>8</v>
      </c>
      <c r="G693" s="254" t="s">
        <v>82</v>
      </c>
    </row>
    <row r="694" spans="1:8" s="261" customFormat="1" x14ac:dyDescent="0.3">
      <c r="A694" s="259">
        <v>45866</v>
      </c>
      <c r="B694" s="260" t="s">
        <v>206</v>
      </c>
      <c r="C694" s="293" t="s">
        <v>71</v>
      </c>
      <c r="D694" s="293" t="s">
        <v>853</v>
      </c>
      <c r="E694" s="301">
        <v>-90</v>
      </c>
      <c r="F694" s="254" t="s">
        <v>8</v>
      </c>
      <c r="G694" s="254" t="s">
        <v>82</v>
      </c>
    </row>
    <row r="695" spans="1:8" s="250" customFormat="1" x14ac:dyDescent="0.3">
      <c r="A695" s="251">
        <v>45866</v>
      </c>
      <c r="B695" s="247" t="s">
        <v>206</v>
      </c>
      <c r="C695" s="252" t="s">
        <v>44</v>
      </c>
      <c r="D695" s="253" t="s">
        <v>896</v>
      </c>
      <c r="E695" s="248">
        <v>-1591.2</v>
      </c>
      <c r="F695" s="249" t="s">
        <v>8</v>
      </c>
      <c r="G695" s="254" t="s">
        <v>139</v>
      </c>
      <c r="H695" s="267"/>
    </row>
    <row r="696" spans="1:8" s="139" customFormat="1" x14ac:dyDescent="0.3">
      <c r="A696" s="100">
        <v>45870</v>
      </c>
      <c r="B696" s="100" t="s">
        <v>207</v>
      </c>
      <c r="C696" s="15" t="s">
        <v>6</v>
      </c>
      <c r="D696" s="4" t="s">
        <v>7</v>
      </c>
      <c r="E696" s="16">
        <v>-282.38</v>
      </c>
      <c r="F696" s="13" t="s">
        <v>8</v>
      </c>
      <c r="G696" s="5" t="s">
        <v>9</v>
      </c>
      <c r="H696" s="143"/>
    </row>
    <row r="697" spans="1:8" s="139" customFormat="1" x14ac:dyDescent="0.3">
      <c r="A697" s="100">
        <v>45870</v>
      </c>
      <c r="B697" s="100" t="s">
        <v>207</v>
      </c>
      <c r="C697" s="15" t="s">
        <v>6</v>
      </c>
      <c r="D697" s="4" t="s">
        <v>10</v>
      </c>
      <c r="E697" s="16">
        <v>-254.71</v>
      </c>
      <c r="F697" s="13" t="s">
        <v>8</v>
      </c>
      <c r="G697" s="5" t="s">
        <v>9</v>
      </c>
      <c r="H697" s="143"/>
    </row>
    <row r="698" spans="1:8" s="139" customFormat="1" x14ac:dyDescent="0.3">
      <c r="A698" s="100">
        <v>45870</v>
      </c>
      <c r="B698" s="100" t="s">
        <v>207</v>
      </c>
      <c r="C698" s="15" t="s">
        <v>6</v>
      </c>
      <c r="D698" s="4" t="s">
        <v>11</v>
      </c>
      <c r="E698" s="16">
        <v>-123.23</v>
      </c>
      <c r="F698" s="13" t="s">
        <v>8</v>
      </c>
      <c r="G698" s="5" t="s">
        <v>9</v>
      </c>
      <c r="H698" s="143"/>
    </row>
    <row r="699" spans="1:8" s="139" customFormat="1" x14ac:dyDescent="0.3">
      <c r="A699" s="100">
        <v>45870</v>
      </c>
      <c r="B699" s="100" t="s">
        <v>207</v>
      </c>
      <c r="C699" s="12" t="s">
        <v>6</v>
      </c>
      <c r="D699" s="4" t="s">
        <v>12</v>
      </c>
      <c r="E699" s="241">
        <v>-177.95</v>
      </c>
      <c r="F699" s="13" t="s">
        <v>8</v>
      </c>
      <c r="G699" s="5" t="s">
        <v>9</v>
      </c>
      <c r="H699" s="143"/>
    </row>
    <row r="700" spans="1:8" s="139" customFormat="1" x14ac:dyDescent="0.3">
      <c r="A700" s="100">
        <v>45870</v>
      </c>
      <c r="B700" s="100" t="s">
        <v>207</v>
      </c>
      <c r="C700" s="12" t="s">
        <v>17</v>
      </c>
      <c r="D700" s="4" t="s">
        <v>18</v>
      </c>
      <c r="E700" s="353">
        <v>-17235</v>
      </c>
      <c r="F700" s="13" t="s">
        <v>8</v>
      </c>
      <c r="G700" s="5" t="s">
        <v>19</v>
      </c>
      <c r="H700" s="143"/>
    </row>
    <row r="701" spans="1:8" s="139" customFormat="1" x14ac:dyDescent="0.3">
      <c r="A701" s="100">
        <v>45870</v>
      </c>
      <c r="B701" s="100" t="s">
        <v>207</v>
      </c>
      <c r="C701" s="14" t="s">
        <v>44</v>
      </c>
      <c r="D701" s="7" t="s">
        <v>928</v>
      </c>
      <c r="E701" s="240">
        <v>-10505.32</v>
      </c>
      <c r="F701" s="13" t="s">
        <v>8</v>
      </c>
      <c r="G701" s="9" t="s">
        <v>227</v>
      </c>
      <c r="H701" s="143"/>
    </row>
    <row r="702" spans="1:8" s="139" customFormat="1" x14ac:dyDescent="0.3">
      <c r="A702" s="100">
        <v>45870</v>
      </c>
      <c r="B702" s="100" t="s">
        <v>207</v>
      </c>
      <c r="C702" s="14" t="s">
        <v>71</v>
      </c>
      <c r="D702" s="7" t="s">
        <v>930</v>
      </c>
      <c r="E702" s="242">
        <v>-312.38</v>
      </c>
      <c r="F702" s="13" t="s">
        <v>8</v>
      </c>
      <c r="G702" s="354" t="s">
        <v>73</v>
      </c>
      <c r="H702" s="143"/>
    </row>
    <row r="703" spans="1:8" s="139" customFormat="1" x14ac:dyDescent="0.3">
      <c r="A703" s="100">
        <v>45870</v>
      </c>
      <c r="B703" s="100" t="s">
        <v>207</v>
      </c>
      <c r="C703" s="14" t="s">
        <v>25</v>
      </c>
      <c r="D703" s="7" t="s">
        <v>662</v>
      </c>
      <c r="E703" s="240">
        <v>-233.26</v>
      </c>
      <c r="F703" s="13" t="s">
        <v>8</v>
      </c>
      <c r="G703" s="9" t="s">
        <v>73</v>
      </c>
      <c r="H703" s="143"/>
    </row>
    <row r="704" spans="1:8" s="139" customFormat="1" x14ac:dyDescent="0.3">
      <c r="A704" s="100">
        <v>45870</v>
      </c>
      <c r="B704" s="100" t="s">
        <v>207</v>
      </c>
      <c r="C704" s="14" t="s">
        <v>25</v>
      </c>
      <c r="D704" s="7" t="s">
        <v>931</v>
      </c>
      <c r="E704" s="240">
        <v>-2668.69</v>
      </c>
      <c r="F704" s="13" t="s">
        <v>8</v>
      </c>
      <c r="G704" s="9" t="s">
        <v>73</v>
      </c>
      <c r="H704" s="143"/>
    </row>
    <row r="705" spans="1:8" s="139" customFormat="1" x14ac:dyDescent="0.3">
      <c r="A705" s="100">
        <v>45870</v>
      </c>
      <c r="B705" s="100" t="s">
        <v>207</v>
      </c>
      <c r="C705" s="14" t="s">
        <v>71</v>
      </c>
      <c r="D705" s="7" t="s">
        <v>929</v>
      </c>
      <c r="E705" s="8">
        <v>-1117.53</v>
      </c>
      <c r="F705" s="13" t="s">
        <v>8</v>
      </c>
      <c r="G705" s="9" t="s">
        <v>227</v>
      </c>
      <c r="H705" s="143"/>
    </row>
    <row r="706" spans="1:8" s="139" customFormat="1" x14ac:dyDescent="0.3">
      <c r="A706" s="100">
        <v>45870</v>
      </c>
      <c r="B706" s="100" t="s">
        <v>207</v>
      </c>
      <c r="C706" s="14" t="s">
        <v>17</v>
      </c>
      <c r="D706" s="7" t="s">
        <v>927</v>
      </c>
      <c r="E706" s="8">
        <v>-68.709999999999994</v>
      </c>
      <c r="F706" s="13" t="s">
        <v>8</v>
      </c>
      <c r="G706" s="9" t="s">
        <v>227</v>
      </c>
    </row>
    <row r="707" spans="1:8" s="139" customFormat="1" x14ac:dyDescent="0.3">
      <c r="A707" s="100">
        <v>45873</v>
      </c>
      <c r="B707" s="100" t="s">
        <v>207</v>
      </c>
      <c r="C707" s="15" t="s">
        <v>6</v>
      </c>
      <c r="D707" s="4" t="s">
        <v>23</v>
      </c>
      <c r="E707" s="16">
        <v>-3809.98</v>
      </c>
      <c r="F707" s="13" t="s">
        <v>8</v>
      </c>
      <c r="G707" s="5" t="s">
        <v>24</v>
      </c>
    </row>
    <row r="708" spans="1:8" s="139" customFormat="1" x14ac:dyDescent="0.3">
      <c r="A708" s="100">
        <v>45873</v>
      </c>
      <c r="B708" s="100" t="s">
        <v>207</v>
      </c>
      <c r="C708" s="14" t="s">
        <v>44</v>
      </c>
      <c r="D708" s="14" t="s">
        <v>226</v>
      </c>
      <c r="E708" s="8">
        <v>-270</v>
      </c>
      <c r="F708" s="13" t="s">
        <v>8</v>
      </c>
      <c r="G708" s="9" t="s">
        <v>227</v>
      </c>
    </row>
    <row r="709" spans="1:8" s="139" customFormat="1" x14ac:dyDescent="0.3">
      <c r="A709" s="100">
        <v>45873</v>
      </c>
      <c r="B709" s="100" t="s">
        <v>207</v>
      </c>
      <c r="C709" s="14" t="s">
        <v>71</v>
      </c>
      <c r="D709" s="14" t="s">
        <v>954</v>
      </c>
      <c r="E709" s="8">
        <v>-800.37</v>
      </c>
      <c r="F709" s="13" t="s">
        <v>8</v>
      </c>
      <c r="G709" s="9" t="s">
        <v>227</v>
      </c>
    </row>
    <row r="710" spans="1:8" s="139" customFormat="1" x14ac:dyDescent="0.3">
      <c r="A710" s="100">
        <v>45873</v>
      </c>
      <c r="B710" s="100" t="s">
        <v>207</v>
      </c>
      <c r="C710" s="14" t="s">
        <v>71</v>
      </c>
      <c r="D710" s="14" t="s">
        <v>955</v>
      </c>
      <c r="E710" s="8">
        <v>-1292.55</v>
      </c>
      <c r="F710" s="13" t="s">
        <v>8</v>
      </c>
      <c r="G710" s="9" t="s">
        <v>227</v>
      </c>
    </row>
    <row r="711" spans="1:8" s="139" customFormat="1" x14ac:dyDescent="0.3">
      <c r="A711" s="100">
        <v>45873</v>
      </c>
      <c r="B711" s="100" t="s">
        <v>207</v>
      </c>
      <c r="C711" s="14" t="s">
        <v>25</v>
      </c>
      <c r="D711" s="7" t="s">
        <v>934</v>
      </c>
      <c r="E711" s="8">
        <v>-151.19999999999999</v>
      </c>
      <c r="F711" s="13" t="s">
        <v>8</v>
      </c>
      <c r="G711" s="9" t="s">
        <v>82</v>
      </c>
    </row>
    <row r="712" spans="1:8" s="139" customFormat="1" x14ac:dyDescent="0.3">
      <c r="A712" s="100">
        <v>45873</v>
      </c>
      <c r="B712" s="100" t="s">
        <v>207</v>
      </c>
      <c r="C712" s="14" t="s">
        <v>25</v>
      </c>
      <c r="D712" s="7" t="s">
        <v>935</v>
      </c>
      <c r="E712" s="8">
        <v>-179.2</v>
      </c>
      <c r="F712" s="13" t="s">
        <v>8</v>
      </c>
      <c r="G712" s="9" t="s">
        <v>82</v>
      </c>
    </row>
    <row r="713" spans="1:8" s="139" customFormat="1" x14ac:dyDescent="0.3">
      <c r="A713" s="100">
        <v>45873</v>
      </c>
      <c r="B713" s="100" t="s">
        <v>207</v>
      </c>
      <c r="C713" s="14" t="s">
        <v>25</v>
      </c>
      <c r="D713" s="7" t="s">
        <v>936</v>
      </c>
      <c r="E713" s="8">
        <v>-192</v>
      </c>
      <c r="F713" s="13" t="s">
        <v>8</v>
      </c>
      <c r="G713" s="9" t="s">
        <v>82</v>
      </c>
    </row>
    <row r="714" spans="1:8" s="139" customFormat="1" x14ac:dyDescent="0.3">
      <c r="A714" s="100">
        <v>45873</v>
      </c>
      <c r="B714" s="100" t="s">
        <v>207</v>
      </c>
      <c r="C714" s="14" t="s">
        <v>104</v>
      </c>
      <c r="D714" s="7" t="s">
        <v>937</v>
      </c>
      <c r="E714" s="8">
        <v>-80</v>
      </c>
      <c r="F714" s="13" t="s">
        <v>8</v>
      </c>
      <c r="G714" s="9" t="s">
        <v>82</v>
      </c>
    </row>
    <row r="715" spans="1:8" s="139" customFormat="1" x14ac:dyDescent="0.3">
      <c r="A715" s="100">
        <v>45873</v>
      </c>
      <c r="B715" s="100" t="s">
        <v>207</v>
      </c>
      <c r="C715" s="12" t="s">
        <v>31</v>
      </c>
      <c r="D715" s="4" t="s">
        <v>956</v>
      </c>
      <c r="E715" s="16">
        <v>-1.42</v>
      </c>
      <c r="F715" s="13" t="s">
        <v>8</v>
      </c>
      <c r="G715" s="5" t="s">
        <v>22</v>
      </c>
    </row>
    <row r="716" spans="1:8" s="139" customFormat="1" x14ac:dyDescent="0.3">
      <c r="A716" s="100">
        <v>45874</v>
      </c>
      <c r="B716" s="100" t="s">
        <v>207</v>
      </c>
      <c r="C716" s="12" t="s">
        <v>30</v>
      </c>
      <c r="D716" s="4" t="s">
        <v>28</v>
      </c>
      <c r="E716" s="16">
        <v>-134.97999999999999</v>
      </c>
      <c r="F716" s="13" t="s">
        <v>8</v>
      </c>
      <c r="G716" s="5" t="s">
        <v>29</v>
      </c>
    </row>
    <row r="717" spans="1:8" s="139" customFormat="1" x14ac:dyDescent="0.3">
      <c r="A717" s="100">
        <v>45874</v>
      </c>
      <c r="B717" s="100" t="s">
        <v>207</v>
      </c>
      <c r="C717" s="12" t="s">
        <v>33</v>
      </c>
      <c r="D717" s="4" t="s">
        <v>28</v>
      </c>
      <c r="E717" s="16">
        <v>-389</v>
      </c>
      <c r="F717" s="13" t="s">
        <v>8</v>
      </c>
      <c r="G717" s="5" t="s">
        <v>29</v>
      </c>
    </row>
    <row r="718" spans="1:8" s="139" customFormat="1" x14ac:dyDescent="0.3">
      <c r="A718" s="100">
        <v>45874</v>
      </c>
      <c r="B718" s="100" t="s">
        <v>207</v>
      </c>
      <c r="C718" s="12" t="s">
        <v>34</v>
      </c>
      <c r="D718" s="4" t="s">
        <v>28</v>
      </c>
      <c r="E718" s="16">
        <v>-159</v>
      </c>
      <c r="F718" s="13" t="s">
        <v>8</v>
      </c>
      <c r="G718" s="5" t="s">
        <v>29</v>
      </c>
    </row>
    <row r="719" spans="1:8" s="139" customFormat="1" x14ac:dyDescent="0.3">
      <c r="A719" s="100">
        <v>45876</v>
      </c>
      <c r="B719" s="100" t="s">
        <v>207</v>
      </c>
      <c r="C719" s="12" t="s">
        <v>31</v>
      </c>
      <c r="D719" s="4" t="s">
        <v>965</v>
      </c>
      <c r="E719" s="16">
        <v>-1.42</v>
      </c>
      <c r="F719" s="13" t="s">
        <v>8</v>
      </c>
      <c r="G719" s="5" t="s">
        <v>22</v>
      </c>
    </row>
    <row r="720" spans="1:8" s="139" customFormat="1" x14ac:dyDescent="0.3">
      <c r="A720" s="100">
        <v>45875</v>
      </c>
      <c r="B720" s="100" t="s">
        <v>207</v>
      </c>
      <c r="C720" s="14" t="s">
        <v>71</v>
      </c>
      <c r="D720" s="14" t="s">
        <v>835</v>
      </c>
      <c r="E720" s="8">
        <v>-1800.31</v>
      </c>
      <c r="F720" s="13" t="s">
        <v>8</v>
      </c>
      <c r="G720" s="9" t="s">
        <v>227</v>
      </c>
    </row>
    <row r="721" spans="1:8" s="139" customFormat="1" x14ac:dyDescent="0.3">
      <c r="A721" s="78">
        <v>45875</v>
      </c>
      <c r="B721" s="2" t="s">
        <v>207</v>
      </c>
      <c r="C721" s="14" t="s">
        <v>33</v>
      </c>
      <c r="D721" s="14" t="s">
        <v>946</v>
      </c>
      <c r="E721" s="8">
        <v>-323</v>
      </c>
      <c r="F721" s="13" t="s">
        <v>8</v>
      </c>
      <c r="G721" s="9" t="s">
        <v>82</v>
      </c>
    </row>
    <row r="722" spans="1:8" s="139" customFormat="1" x14ac:dyDescent="0.3">
      <c r="A722" s="100">
        <v>45876</v>
      </c>
      <c r="B722" s="100" t="s">
        <v>207</v>
      </c>
      <c r="C722" s="14" t="s">
        <v>30</v>
      </c>
      <c r="D722" s="7" t="s">
        <v>974</v>
      </c>
      <c r="E722" s="8">
        <v>-1200</v>
      </c>
      <c r="F722" s="13" t="s">
        <v>8</v>
      </c>
      <c r="G722" s="5" t="s">
        <v>27</v>
      </c>
    </row>
    <row r="723" spans="1:8" s="139" customFormat="1" x14ac:dyDescent="0.3">
      <c r="A723" s="100">
        <v>45876</v>
      </c>
      <c r="B723" s="100" t="s">
        <v>207</v>
      </c>
      <c r="C723" s="14" t="s">
        <v>30</v>
      </c>
      <c r="D723" s="7" t="s">
        <v>975</v>
      </c>
      <c r="E723" s="8">
        <v>-1000</v>
      </c>
      <c r="F723" s="13" t="s">
        <v>8</v>
      </c>
      <c r="G723" s="5" t="s">
        <v>27</v>
      </c>
    </row>
    <row r="724" spans="1:8" s="139" customFormat="1" x14ac:dyDescent="0.3">
      <c r="A724" s="100">
        <v>45876</v>
      </c>
      <c r="B724" s="100" t="s">
        <v>207</v>
      </c>
      <c r="C724" s="14" t="s">
        <v>30</v>
      </c>
      <c r="D724" s="7" t="s">
        <v>976</v>
      </c>
      <c r="E724" s="8">
        <v>-1700</v>
      </c>
      <c r="F724" s="13" t="s">
        <v>8</v>
      </c>
      <c r="G724" s="5" t="s">
        <v>27</v>
      </c>
    </row>
    <row r="725" spans="1:8" s="139" customFormat="1" x14ac:dyDescent="0.3">
      <c r="A725" s="100">
        <v>45876</v>
      </c>
      <c r="B725" s="100" t="s">
        <v>207</v>
      </c>
      <c r="C725" s="14" t="s">
        <v>30</v>
      </c>
      <c r="D725" s="7" t="s">
        <v>977</v>
      </c>
      <c r="E725" s="8">
        <v>-1053</v>
      </c>
      <c r="F725" s="13" t="s">
        <v>8</v>
      </c>
      <c r="G725" s="5" t="s">
        <v>27</v>
      </c>
    </row>
    <row r="726" spans="1:8" s="139" customFormat="1" x14ac:dyDescent="0.3">
      <c r="A726" s="100">
        <v>45876</v>
      </c>
      <c r="B726" s="100" t="s">
        <v>207</v>
      </c>
      <c r="C726" s="14" t="s">
        <v>30</v>
      </c>
      <c r="D726" s="7" t="s">
        <v>978</v>
      </c>
      <c r="E726" s="8">
        <v>-900</v>
      </c>
      <c r="F726" s="13" t="s">
        <v>8</v>
      </c>
      <c r="G726" s="5" t="s">
        <v>27</v>
      </c>
    </row>
    <row r="727" spans="1:8" s="139" customFormat="1" x14ac:dyDescent="0.3">
      <c r="A727" s="100">
        <v>45876</v>
      </c>
      <c r="B727" s="100" t="s">
        <v>207</v>
      </c>
      <c r="C727" s="14" t="s">
        <v>30</v>
      </c>
      <c r="D727" s="7" t="s">
        <v>979</v>
      </c>
      <c r="E727" s="8">
        <v>-900</v>
      </c>
      <c r="F727" s="13" t="s">
        <v>8</v>
      </c>
      <c r="G727" s="5" t="s">
        <v>27</v>
      </c>
    </row>
    <row r="728" spans="1:8" s="139" customFormat="1" x14ac:dyDescent="0.3">
      <c r="A728" s="100">
        <v>45876</v>
      </c>
      <c r="B728" s="100" t="s">
        <v>207</v>
      </c>
      <c r="C728" s="6" t="s">
        <v>31</v>
      </c>
      <c r="D728" s="7" t="s">
        <v>38</v>
      </c>
      <c r="E728" s="16">
        <v>-700.05</v>
      </c>
      <c r="F728" s="13" t="s">
        <v>8</v>
      </c>
      <c r="G728" s="9" t="s">
        <v>39</v>
      </c>
    </row>
    <row r="729" spans="1:8" s="139" customFormat="1" x14ac:dyDescent="0.3">
      <c r="A729" s="100">
        <v>45875</v>
      </c>
      <c r="B729" s="100" t="s">
        <v>207</v>
      </c>
      <c r="C729" s="12" t="s">
        <v>6</v>
      </c>
      <c r="D729" s="4" t="s">
        <v>40</v>
      </c>
      <c r="E729" s="10">
        <v>-471317.52</v>
      </c>
      <c r="F729" s="13" t="s">
        <v>8</v>
      </c>
      <c r="G729" s="5" t="s">
        <v>41</v>
      </c>
    </row>
    <row r="730" spans="1:8" s="139" customFormat="1" x14ac:dyDescent="0.3">
      <c r="A730" s="100">
        <v>45875</v>
      </c>
      <c r="B730" s="100" t="s">
        <v>207</v>
      </c>
      <c r="C730" s="12" t="s">
        <v>6</v>
      </c>
      <c r="D730" s="4" t="s">
        <v>42</v>
      </c>
      <c r="E730" s="16">
        <v>-500</v>
      </c>
      <c r="F730" s="13" t="s">
        <v>8</v>
      </c>
      <c r="G730" s="5" t="s">
        <v>41</v>
      </c>
    </row>
    <row r="731" spans="1:8" s="139" customFormat="1" x14ac:dyDescent="0.3">
      <c r="A731" s="100">
        <v>45875</v>
      </c>
      <c r="B731" s="100" t="s">
        <v>207</v>
      </c>
      <c r="C731" s="14" t="s">
        <v>31</v>
      </c>
      <c r="D731" s="14" t="s">
        <v>947</v>
      </c>
      <c r="E731" s="8">
        <v>-444.35</v>
      </c>
      <c r="F731" s="13" t="s">
        <v>8</v>
      </c>
      <c r="G731" s="9" t="s">
        <v>75</v>
      </c>
    </row>
    <row r="732" spans="1:8" s="139" customFormat="1" x14ac:dyDescent="0.3">
      <c r="A732" s="113">
        <v>45875</v>
      </c>
      <c r="B732" s="113" t="s">
        <v>207</v>
      </c>
      <c r="C732" s="106" t="s">
        <v>6</v>
      </c>
      <c r="D732" s="107" t="s">
        <v>564</v>
      </c>
      <c r="E732" s="288">
        <v>-1900.72</v>
      </c>
      <c r="F732" s="27" t="s">
        <v>8</v>
      </c>
      <c r="G732" s="41" t="s">
        <v>41</v>
      </c>
    </row>
    <row r="733" spans="1:8" s="300" customFormat="1" x14ac:dyDescent="0.3">
      <c r="A733" s="316">
        <v>45888</v>
      </c>
      <c r="B733" s="316" t="s">
        <v>207</v>
      </c>
      <c r="C733" s="252" t="s">
        <v>44</v>
      </c>
      <c r="D733" s="253" t="s">
        <v>1056</v>
      </c>
      <c r="E733" s="248">
        <v>-5872.92</v>
      </c>
      <c r="F733" s="249" t="s">
        <v>8</v>
      </c>
      <c r="G733" s="254" t="s">
        <v>46</v>
      </c>
      <c r="H733" s="363"/>
    </row>
    <row r="734" spans="1:8" s="139" customFormat="1" x14ac:dyDescent="0.3">
      <c r="A734" s="146">
        <v>45876</v>
      </c>
      <c r="B734" s="146" t="s">
        <v>207</v>
      </c>
      <c r="C734" s="95" t="s">
        <v>13</v>
      </c>
      <c r="D734" s="109" t="s">
        <v>766</v>
      </c>
      <c r="E734" s="101">
        <v>-5600</v>
      </c>
      <c r="F734" s="110" t="s">
        <v>8</v>
      </c>
      <c r="G734" s="24" t="s">
        <v>27</v>
      </c>
    </row>
    <row r="735" spans="1:8" s="139" customFormat="1" x14ac:dyDescent="0.3">
      <c r="A735" s="78">
        <v>45877</v>
      </c>
      <c r="B735" s="100" t="s">
        <v>207</v>
      </c>
      <c r="C735" s="14" t="s">
        <v>44</v>
      </c>
      <c r="D735" s="7" t="s">
        <v>989</v>
      </c>
      <c r="E735" s="8">
        <v>-10505.35</v>
      </c>
      <c r="F735" s="9" t="s">
        <v>8</v>
      </c>
      <c r="G735" s="9" t="s">
        <v>227</v>
      </c>
    </row>
    <row r="736" spans="1:8" s="139" customFormat="1" x14ac:dyDescent="0.3">
      <c r="A736" s="78">
        <v>45877</v>
      </c>
      <c r="B736" s="100" t="s">
        <v>207</v>
      </c>
      <c r="C736" s="14" t="s">
        <v>71</v>
      </c>
      <c r="D736" s="7" t="s">
        <v>990</v>
      </c>
      <c r="E736" s="8">
        <v>-1117.52</v>
      </c>
      <c r="F736" s="9" t="s">
        <v>8</v>
      </c>
      <c r="G736" s="9" t="s">
        <v>227</v>
      </c>
    </row>
    <row r="737" spans="1:8" s="139" customFormat="1" x14ac:dyDescent="0.3">
      <c r="A737" s="100">
        <v>45877</v>
      </c>
      <c r="B737" s="100" t="s">
        <v>207</v>
      </c>
      <c r="C737" s="12" t="s">
        <v>17</v>
      </c>
      <c r="D737" s="4" t="s">
        <v>18</v>
      </c>
      <c r="E737" s="10">
        <v>-17235</v>
      </c>
      <c r="F737" s="13" t="s">
        <v>8</v>
      </c>
      <c r="G737" s="5" t="s">
        <v>19</v>
      </c>
      <c r="H737" s="79"/>
    </row>
    <row r="738" spans="1:8" s="139" customFormat="1" x14ac:dyDescent="0.3">
      <c r="A738" s="78">
        <v>45880</v>
      </c>
      <c r="B738" s="100" t="s">
        <v>207</v>
      </c>
      <c r="C738" s="6" t="s">
        <v>32</v>
      </c>
      <c r="D738" s="7" t="s">
        <v>1002</v>
      </c>
      <c r="E738" s="276">
        <v>-394.62</v>
      </c>
      <c r="F738" s="13" t="s">
        <v>8</v>
      </c>
      <c r="G738" s="9" t="s">
        <v>49</v>
      </c>
      <c r="H738" s="130"/>
    </row>
    <row r="739" spans="1:8" s="139" customFormat="1" x14ac:dyDescent="0.3">
      <c r="A739" s="78">
        <v>45880</v>
      </c>
      <c r="B739" s="100" t="s">
        <v>207</v>
      </c>
      <c r="C739" s="14" t="s">
        <v>31</v>
      </c>
      <c r="D739" s="14" t="s">
        <v>949</v>
      </c>
      <c r="E739" s="8">
        <v>-494.62</v>
      </c>
      <c r="F739" s="13" t="s">
        <v>8</v>
      </c>
      <c r="G739" s="5" t="s">
        <v>51</v>
      </c>
      <c r="H739" s="130"/>
    </row>
    <row r="740" spans="1:8" s="139" customFormat="1" x14ac:dyDescent="0.3">
      <c r="A740" s="78">
        <v>45880</v>
      </c>
      <c r="B740" s="100" t="s">
        <v>207</v>
      </c>
      <c r="C740" s="14" t="s">
        <v>6</v>
      </c>
      <c r="D740" s="14" t="s">
        <v>949</v>
      </c>
      <c r="E740" s="8">
        <v>-883.25</v>
      </c>
      <c r="F740" s="13" t="s">
        <v>8</v>
      </c>
      <c r="G740" s="5" t="s">
        <v>51</v>
      </c>
      <c r="H740" s="130"/>
    </row>
    <row r="741" spans="1:8" s="139" customFormat="1" x14ac:dyDescent="0.3">
      <c r="A741" s="78">
        <v>45880</v>
      </c>
      <c r="B741" s="100" t="s">
        <v>207</v>
      </c>
      <c r="C741" s="14" t="s">
        <v>44</v>
      </c>
      <c r="D741" s="14" t="s">
        <v>949</v>
      </c>
      <c r="E741" s="8">
        <v>-847.92</v>
      </c>
      <c r="F741" s="13" t="s">
        <v>8</v>
      </c>
      <c r="G741" s="5" t="s">
        <v>51</v>
      </c>
      <c r="H741" s="130"/>
    </row>
    <row r="742" spans="1:8" s="139" customFormat="1" x14ac:dyDescent="0.3">
      <c r="A742" s="78">
        <v>45880</v>
      </c>
      <c r="B742" s="100" t="s">
        <v>207</v>
      </c>
      <c r="C742" s="14" t="s">
        <v>25</v>
      </c>
      <c r="D742" s="14" t="s">
        <v>949</v>
      </c>
      <c r="E742" s="8">
        <v>-1872.49</v>
      </c>
      <c r="F742" s="13" t="s">
        <v>8</v>
      </c>
      <c r="G742" s="5" t="s">
        <v>51</v>
      </c>
      <c r="H742" s="130"/>
    </row>
    <row r="743" spans="1:8" s="139" customFormat="1" x14ac:dyDescent="0.3">
      <c r="A743" s="78">
        <v>45880</v>
      </c>
      <c r="B743" s="100" t="s">
        <v>207</v>
      </c>
      <c r="C743" s="14" t="s">
        <v>33</v>
      </c>
      <c r="D743" s="14" t="s">
        <v>949</v>
      </c>
      <c r="E743" s="8">
        <v>-600.61</v>
      </c>
      <c r="F743" s="13" t="s">
        <v>8</v>
      </c>
      <c r="G743" s="5" t="s">
        <v>51</v>
      </c>
      <c r="H743" s="130"/>
    </row>
    <row r="744" spans="1:8" s="139" customFormat="1" x14ac:dyDescent="0.3">
      <c r="A744" s="78">
        <v>45880</v>
      </c>
      <c r="B744" s="100" t="s">
        <v>207</v>
      </c>
      <c r="C744" s="14" t="s">
        <v>104</v>
      </c>
      <c r="D744" s="14" t="s">
        <v>949</v>
      </c>
      <c r="E744" s="8">
        <v>-671.27</v>
      </c>
      <c r="F744" s="13" t="s">
        <v>8</v>
      </c>
      <c r="G744" s="5" t="s">
        <v>51</v>
      </c>
      <c r="H744" s="130"/>
    </row>
    <row r="745" spans="1:8" s="139" customFormat="1" x14ac:dyDescent="0.3">
      <c r="A745" s="78">
        <v>45880</v>
      </c>
      <c r="B745" s="100" t="s">
        <v>207</v>
      </c>
      <c r="C745" s="14" t="s">
        <v>32</v>
      </c>
      <c r="D745" s="14" t="s">
        <v>949</v>
      </c>
      <c r="E745" s="8">
        <v>-1236.55</v>
      </c>
      <c r="F745" s="13" t="s">
        <v>8</v>
      </c>
      <c r="G745" s="5" t="s">
        <v>51</v>
      </c>
      <c r="H745" s="130"/>
    </row>
    <row r="746" spans="1:8" s="139" customFormat="1" x14ac:dyDescent="0.3">
      <c r="A746" s="78">
        <v>45880</v>
      </c>
      <c r="B746" s="100" t="s">
        <v>207</v>
      </c>
      <c r="C746" s="14" t="s">
        <v>71</v>
      </c>
      <c r="D746" s="14" t="s">
        <v>949</v>
      </c>
      <c r="E746" s="8">
        <v>-812.59</v>
      </c>
      <c r="F746" s="13" t="s">
        <v>8</v>
      </c>
      <c r="G746" s="5" t="s">
        <v>51</v>
      </c>
      <c r="H746" s="130"/>
    </row>
    <row r="747" spans="1:8" s="139" customFormat="1" x14ac:dyDescent="0.3">
      <c r="A747" s="78">
        <v>45880</v>
      </c>
      <c r="B747" s="100" t="s">
        <v>207</v>
      </c>
      <c r="C747" s="14" t="s">
        <v>17</v>
      </c>
      <c r="D747" s="14" t="s">
        <v>949</v>
      </c>
      <c r="E747" s="8">
        <v>-1059.9000000000001</v>
      </c>
      <c r="F747" s="13" t="s">
        <v>8</v>
      </c>
      <c r="G747" s="5" t="s">
        <v>51</v>
      </c>
      <c r="H747" s="130"/>
    </row>
    <row r="748" spans="1:8" s="139" customFormat="1" x14ac:dyDescent="0.3">
      <c r="A748" s="100">
        <v>45880</v>
      </c>
      <c r="B748" s="100" t="s">
        <v>207</v>
      </c>
      <c r="C748" s="12" t="s">
        <v>6</v>
      </c>
      <c r="D748" s="12" t="s">
        <v>52</v>
      </c>
      <c r="E748" s="276">
        <v>-325.11</v>
      </c>
      <c r="F748" s="13" t="s">
        <v>8</v>
      </c>
      <c r="G748" s="5" t="s">
        <v>53</v>
      </c>
      <c r="H748" s="130"/>
    </row>
    <row r="749" spans="1:8" s="139" customFormat="1" x14ac:dyDescent="0.3">
      <c r="A749" s="100">
        <v>45880</v>
      </c>
      <c r="B749" s="100" t="s">
        <v>207</v>
      </c>
      <c r="C749" s="12" t="s">
        <v>17</v>
      </c>
      <c r="D749" s="4" t="s">
        <v>1008</v>
      </c>
      <c r="E749" s="16">
        <v>-10500</v>
      </c>
      <c r="F749" s="13" t="s">
        <v>8</v>
      </c>
      <c r="G749" s="5" t="s">
        <v>56</v>
      </c>
      <c r="H749" s="130"/>
    </row>
    <row r="750" spans="1:8" s="250" customFormat="1" x14ac:dyDescent="0.3">
      <c r="A750" s="316">
        <v>45894</v>
      </c>
      <c r="B750" s="316" t="s">
        <v>207</v>
      </c>
      <c r="C750" s="299" t="s">
        <v>13</v>
      </c>
      <c r="D750" s="299" t="s">
        <v>57</v>
      </c>
      <c r="E750" s="317">
        <v>-170.5</v>
      </c>
      <c r="F750" s="249" t="s">
        <v>8</v>
      </c>
      <c r="G750" s="255" t="s">
        <v>55</v>
      </c>
      <c r="H750" s="320"/>
    </row>
    <row r="751" spans="1:8" s="139" customFormat="1" x14ac:dyDescent="0.3">
      <c r="A751" s="100">
        <v>45881</v>
      </c>
      <c r="B751" s="100" t="s">
        <v>207</v>
      </c>
      <c r="C751" s="12" t="s">
        <v>31</v>
      </c>
      <c r="D751" s="12" t="s">
        <v>1037</v>
      </c>
      <c r="E751" s="241">
        <v>-1000</v>
      </c>
      <c r="F751" s="13" t="s">
        <v>8</v>
      </c>
      <c r="G751" s="5" t="s">
        <v>58</v>
      </c>
      <c r="H751" s="130"/>
    </row>
    <row r="752" spans="1:8" s="139" customFormat="1" x14ac:dyDescent="0.3">
      <c r="A752" s="100">
        <v>45881</v>
      </c>
      <c r="B752" s="100" t="s">
        <v>207</v>
      </c>
      <c r="C752" s="12" t="s">
        <v>31</v>
      </c>
      <c r="D752" s="12" t="s">
        <v>1036</v>
      </c>
      <c r="E752" s="241">
        <v>-1000</v>
      </c>
      <c r="F752" s="13" t="s">
        <v>8</v>
      </c>
      <c r="G752" s="5" t="s">
        <v>58</v>
      </c>
      <c r="H752" s="130"/>
    </row>
    <row r="753" spans="1:8" s="139" customFormat="1" x14ac:dyDescent="0.3">
      <c r="A753" s="100">
        <v>45880</v>
      </c>
      <c r="B753" s="100" t="s">
        <v>207</v>
      </c>
      <c r="C753" s="12" t="s">
        <v>31</v>
      </c>
      <c r="D753" s="12" t="s">
        <v>1009</v>
      </c>
      <c r="E753" s="16">
        <v>-1000</v>
      </c>
      <c r="F753" s="13" t="s">
        <v>8</v>
      </c>
      <c r="G753" s="5" t="s">
        <v>58</v>
      </c>
      <c r="H753" s="130"/>
    </row>
    <row r="754" spans="1:8" s="139" customFormat="1" x14ac:dyDescent="0.3">
      <c r="A754" s="100">
        <v>45880</v>
      </c>
      <c r="B754" s="100" t="s">
        <v>207</v>
      </c>
      <c r="C754" s="12" t="s">
        <v>31</v>
      </c>
      <c r="D754" s="12" t="s">
        <v>59</v>
      </c>
      <c r="E754" s="16">
        <v>-9000</v>
      </c>
      <c r="F754" s="13" t="s">
        <v>8</v>
      </c>
      <c r="G754" s="5" t="s">
        <v>58</v>
      </c>
      <c r="H754" s="130"/>
    </row>
    <row r="755" spans="1:8" s="139" customFormat="1" x14ac:dyDescent="0.3">
      <c r="A755" s="100">
        <v>45880</v>
      </c>
      <c r="B755" s="100" t="s">
        <v>207</v>
      </c>
      <c r="C755" s="12" t="s">
        <v>44</v>
      </c>
      <c r="D755" s="12" t="s">
        <v>60</v>
      </c>
      <c r="E755" s="16">
        <v>-9146.82</v>
      </c>
      <c r="F755" s="5" t="s">
        <v>8</v>
      </c>
      <c r="G755" s="5" t="s">
        <v>61</v>
      </c>
      <c r="H755" s="130"/>
    </row>
    <row r="756" spans="1:8" s="139" customFormat="1" x14ac:dyDescent="0.3">
      <c r="A756" s="100">
        <v>45880</v>
      </c>
      <c r="B756" s="100" t="s">
        <v>207</v>
      </c>
      <c r="C756" s="12" t="s">
        <v>6</v>
      </c>
      <c r="D756" s="12" t="s">
        <v>1004</v>
      </c>
      <c r="E756" s="276">
        <v>-4812.22</v>
      </c>
      <c r="F756" s="13" t="s">
        <v>8</v>
      </c>
      <c r="G756" s="5" t="s">
        <v>63</v>
      </c>
      <c r="H756" s="130"/>
    </row>
    <row r="757" spans="1:8" s="139" customFormat="1" x14ac:dyDescent="0.3">
      <c r="A757" s="100">
        <v>45880</v>
      </c>
      <c r="B757" s="100" t="s">
        <v>207</v>
      </c>
      <c r="C757" s="15" t="s">
        <v>64</v>
      </c>
      <c r="D757" s="4" t="s">
        <v>483</v>
      </c>
      <c r="E757" s="16">
        <v>-441.64</v>
      </c>
      <c r="F757" s="13" t="s">
        <v>8</v>
      </c>
      <c r="G757" s="5" t="s">
        <v>39</v>
      </c>
      <c r="H757" s="130"/>
    </row>
    <row r="758" spans="1:8" s="139" customFormat="1" x14ac:dyDescent="0.3">
      <c r="A758" s="113">
        <v>45880</v>
      </c>
      <c r="B758" s="113" t="s">
        <v>207</v>
      </c>
      <c r="C758" s="114" t="s">
        <v>66</v>
      </c>
      <c r="D758" s="106" t="s">
        <v>67</v>
      </c>
      <c r="E758" s="77">
        <v>-250.27</v>
      </c>
      <c r="F758" s="27" t="s">
        <v>8</v>
      </c>
      <c r="G758" s="41" t="s">
        <v>68</v>
      </c>
      <c r="H758" s="130"/>
    </row>
    <row r="759" spans="1:8" s="538" customFormat="1" x14ac:dyDescent="0.3">
      <c r="A759" s="539">
        <v>45912</v>
      </c>
      <c r="B759" s="539" t="s">
        <v>208</v>
      </c>
      <c r="C759" s="534" t="s">
        <v>17</v>
      </c>
      <c r="D759" s="534" t="s">
        <v>1191</v>
      </c>
      <c r="E759" s="535">
        <v>-252</v>
      </c>
      <c r="F759" s="540" t="s">
        <v>8</v>
      </c>
      <c r="G759" s="537" t="s">
        <v>82</v>
      </c>
      <c r="H759" s="543"/>
    </row>
    <row r="760" spans="1:8" s="538" customFormat="1" x14ac:dyDescent="0.3">
      <c r="A760" s="539">
        <v>45912</v>
      </c>
      <c r="B760" s="539" t="s">
        <v>208</v>
      </c>
      <c r="C760" s="534" t="s">
        <v>17</v>
      </c>
      <c r="D760" s="534" t="s">
        <v>1192</v>
      </c>
      <c r="E760" s="535">
        <v>-252</v>
      </c>
      <c r="F760" s="540" t="s">
        <v>8</v>
      </c>
      <c r="G760" s="537" t="s">
        <v>82</v>
      </c>
      <c r="H760" s="543"/>
    </row>
    <row r="761" spans="1:8" s="538" customFormat="1" x14ac:dyDescent="0.3">
      <c r="A761" s="539">
        <v>45912</v>
      </c>
      <c r="B761" s="539" t="s">
        <v>208</v>
      </c>
      <c r="C761" s="533" t="s">
        <v>25</v>
      </c>
      <c r="D761" s="533" t="s">
        <v>368</v>
      </c>
      <c r="E761" s="541">
        <v>-123</v>
      </c>
      <c r="F761" s="540" t="s">
        <v>8</v>
      </c>
      <c r="G761" s="542" t="s">
        <v>82</v>
      </c>
      <c r="H761" s="543"/>
    </row>
    <row r="762" spans="1:8" s="538" customFormat="1" x14ac:dyDescent="0.3">
      <c r="A762" s="539">
        <v>45912</v>
      </c>
      <c r="B762" s="539" t="s">
        <v>208</v>
      </c>
      <c r="C762" s="533" t="s">
        <v>71</v>
      </c>
      <c r="D762" s="533" t="s">
        <v>1176</v>
      </c>
      <c r="E762" s="541">
        <v>-70</v>
      </c>
      <c r="F762" s="540" t="s">
        <v>8</v>
      </c>
      <c r="G762" s="542" t="s">
        <v>82</v>
      </c>
      <c r="H762" s="543"/>
    </row>
    <row r="763" spans="1:8" s="538" customFormat="1" x14ac:dyDescent="0.3">
      <c r="A763" s="539">
        <v>45912</v>
      </c>
      <c r="B763" s="539" t="s">
        <v>208</v>
      </c>
      <c r="C763" s="533" t="s">
        <v>71</v>
      </c>
      <c r="D763" s="533" t="s">
        <v>1173</v>
      </c>
      <c r="E763" s="541">
        <v>-70</v>
      </c>
      <c r="F763" s="540" t="s">
        <v>8</v>
      </c>
      <c r="G763" s="542" t="s">
        <v>82</v>
      </c>
      <c r="H763" s="543"/>
    </row>
    <row r="764" spans="1:8" s="538" customFormat="1" x14ac:dyDescent="0.3">
      <c r="A764" s="539">
        <v>45912</v>
      </c>
      <c r="B764" s="539" t="s">
        <v>208</v>
      </c>
      <c r="C764" s="533" t="s">
        <v>71</v>
      </c>
      <c r="D764" s="533" t="s">
        <v>1175</v>
      </c>
      <c r="E764" s="541">
        <v>-70</v>
      </c>
      <c r="F764" s="540" t="s">
        <v>8</v>
      </c>
      <c r="G764" s="542" t="s">
        <v>82</v>
      </c>
      <c r="H764" s="543"/>
    </row>
    <row r="765" spans="1:8" s="538" customFormat="1" x14ac:dyDescent="0.3">
      <c r="A765" s="539">
        <v>45912</v>
      </c>
      <c r="B765" s="539" t="s">
        <v>208</v>
      </c>
      <c r="C765" s="533" t="s">
        <v>71</v>
      </c>
      <c r="D765" s="533" t="s">
        <v>1178</v>
      </c>
      <c r="E765" s="541">
        <v>-70</v>
      </c>
      <c r="F765" s="540" t="s">
        <v>8</v>
      </c>
      <c r="G765" s="542" t="s">
        <v>82</v>
      </c>
      <c r="H765" s="543"/>
    </row>
    <row r="766" spans="1:8" s="139" customFormat="1" hidden="1" x14ac:dyDescent="0.3">
      <c r="A766" s="78">
        <v>45933</v>
      </c>
      <c r="B766" s="100" t="s">
        <v>211</v>
      </c>
      <c r="C766" s="14" t="s">
        <v>71</v>
      </c>
      <c r="D766" s="14" t="s">
        <v>1054</v>
      </c>
      <c r="E766" s="8">
        <v>-2599.85</v>
      </c>
      <c r="F766" s="13" t="s">
        <v>8</v>
      </c>
      <c r="G766" s="9" t="s">
        <v>73</v>
      </c>
      <c r="H766" s="79"/>
    </row>
    <row r="767" spans="1:8" s="139" customFormat="1" x14ac:dyDescent="0.3">
      <c r="A767" s="146">
        <v>45890</v>
      </c>
      <c r="B767" s="146" t="s">
        <v>207</v>
      </c>
      <c r="C767" s="96" t="s">
        <v>17</v>
      </c>
      <c r="D767" s="495" t="s">
        <v>663</v>
      </c>
      <c r="E767" s="496">
        <v>-238.69</v>
      </c>
      <c r="F767" s="110" t="s">
        <v>8</v>
      </c>
      <c r="G767" s="70" t="s">
        <v>73</v>
      </c>
      <c r="H767" s="130"/>
    </row>
    <row r="768" spans="1:8" s="139" customFormat="1" x14ac:dyDescent="0.3">
      <c r="A768" s="100">
        <v>45890</v>
      </c>
      <c r="B768" s="100" t="s">
        <v>207</v>
      </c>
      <c r="C768" s="14" t="s">
        <v>17</v>
      </c>
      <c r="D768" s="346" t="s">
        <v>663</v>
      </c>
      <c r="E768" s="347">
        <v>-132.15</v>
      </c>
      <c r="F768" s="13" t="s">
        <v>8</v>
      </c>
      <c r="G768" s="9" t="s">
        <v>73</v>
      </c>
      <c r="H768" s="130"/>
    </row>
    <row r="769" spans="1:8" s="139" customFormat="1" x14ac:dyDescent="0.3">
      <c r="A769" s="100">
        <v>45890</v>
      </c>
      <c r="B769" s="100" t="s">
        <v>207</v>
      </c>
      <c r="C769" s="14" t="s">
        <v>17</v>
      </c>
      <c r="D769" s="346" t="s">
        <v>663</v>
      </c>
      <c r="E769" s="347">
        <v>-345.31</v>
      </c>
      <c r="F769" s="13" t="s">
        <v>8</v>
      </c>
      <c r="G769" s="9" t="s">
        <v>73</v>
      </c>
      <c r="H769" s="130"/>
    </row>
    <row r="770" spans="1:8" s="139" customFormat="1" x14ac:dyDescent="0.3">
      <c r="A770" s="100">
        <v>45890</v>
      </c>
      <c r="B770" s="100" t="s">
        <v>207</v>
      </c>
      <c r="C770" s="14" t="s">
        <v>17</v>
      </c>
      <c r="D770" s="346" t="s">
        <v>663</v>
      </c>
      <c r="E770" s="347">
        <v>-265.85000000000002</v>
      </c>
      <c r="F770" s="13" t="s">
        <v>8</v>
      </c>
      <c r="G770" s="9" t="s">
        <v>73</v>
      </c>
      <c r="H770" s="130"/>
    </row>
    <row r="771" spans="1:8" s="139" customFormat="1" x14ac:dyDescent="0.3">
      <c r="A771" s="100">
        <v>45890</v>
      </c>
      <c r="B771" s="100" t="s">
        <v>207</v>
      </c>
      <c r="C771" s="14" t="s">
        <v>17</v>
      </c>
      <c r="D771" s="346" t="s">
        <v>663</v>
      </c>
      <c r="E771" s="347">
        <v>-132.15</v>
      </c>
      <c r="F771" s="13" t="s">
        <v>8</v>
      </c>
      <c r="G771" s="9" t="s">
        <v>73</v>
      </c>
      <c r="H771" s="130"/>
    </row>
    <row r="772" spans="1:8" s="139" customFormat="1" x14ac:dyDescent="0.3">
      <c r="A772" s="100">
        <v>45880</v>
      </c>
      <c r="B772" s="100" t="s">
        <v>207</v>
      </c>
      <c r="C772" s="14" t="s">
        <v>17</v>
      </c>
      <c r="D772" s="14" t="s">
        <v>1003</v>
      </c>
      <c r="E772" s="8">
        <v>-61.41</v>
      </c>
      <c r="F772" s="13" t="s">
        <v>8</v>
      </c>
      <c r="G772" s="9" t="s">
        <v>227</v>
      </c>
      <c r="H772" s="79"/>
    </row>
    <row r="773" spans="1:8" s="139" customFormat="1" x14ac:dyDescent="0.3">
      <c r="A773" s="100">
        <v>45880</v>
      </c>
      <c r="B773" s="100" t="s">
        <v>207</v>
      </c>
      <c r="C773" s="14" t="s">
        <v>44</v>
      </c>
      <c r="D773" s="14" t="s">
        <v>1005</v>
      </c>
      <c r="E773" s="8">
        <v>-1538</v>
      </c>
      <c r="F773" s="13" t="s">
        <v>8</v>
      </c>
      <c r="G773" s="9" t="s">
        <v>227</v>
      </c>
      <c r="H773" s="79"/>
    </row>
    <row r="774" spans="1:8" s="139" customFormat="1" x14ac:dyDescent="0.3">
      <c r="A774" s="100">
        <v>45880</v>
      </c>
      <c r="B774" s="100" t="s">
        <v>207</v>
      </c>
      <c r="C774" s="14" t="s">
        <v>71</v>
      </c>
      <c r="D774" s="14" t="s">
        <v>1007</v>
      </c>
      <c r="E774" s="8">
        <v>-1168.2</v>
      </c>
      <c r="F774" s="13" t="s">
        <v>8</v>
      </c>
      <c r="G774" s="9" t="s">
        <v>227</v>
      </c>
      <c r="H774" s="79"/>
    </row>
    <row r="775" spans="1:8" s="139" customFormat="1" x14ac:dyDescent="0.3">
      <c r="A775" s="100">
        <v>45880</v>
      </c>
      <c r="B775" s="100" t="s">
        <v>207</v>
      </c>
      <c r="C775" s="14" t="s">
        <v>6</v>
      </c>
      <c r="D775" s="14" t="s">
        <v>950</v>
      </c>
      <c r="E775" s="8">
        <v>-2500</v>
      </c>
      <c r="F775" s="13" t="s">
        <v>8</v>
      </c>
      <c r="G775" s="9" t="s">
        <v>186</v>
      </c>
      <c r="H775" s="79"/>
    </row>
    <row r="776" spans="1:8" s="139" customFormat="1" x14ac:dyDescent="0.3">
      <c r="A776" s="100">
        <v>45880</v>
      </c>
      <c r="B776" s="100" t="s">
        <v>207</v>
      </c>
      <c r="C776" s="14" t="s">
        <v>17</v>
      </c>
      <c r="D776" s="14" t="s">
        <v>951</v>
      </c>
      <c r="E776" s="8">
        <v>-2500</v>
      </c>
      <c r="F776" s="13" t="s">
        <v>8</v>
      </c>
      <c r="G776" s="9" t="s">
        <v>186</v>
      </c>
      <c r="H776" s="79"/>
    </row>
    <row r="777" spans="1:8" s="139" customFormat="1" x14ac:dyDescent="0.3">
      <c r="A777" s="100">
        <v>45880</v>
      </c>
      <c r="B777" s="100" t="s">
        <v>207</v>
      </c>
      <c r="C777" s="14" t="s">
        <v>44</v>
      </c>
      <c r="D777" s="14" t="s">
        <v>1006</v>
      </c>
      <c r="E777" s="8">
        <v>-46.64</v>
      </c>
      <c r="F777" s="13" t="s">
        <v>8</v>
      </c>
      <c r="G777" s="9" t="s">
        <v>203</v>
      </c>
      <c r="H777" s="130"/>
    </row>
    <row r="778" spans="1:8" s="139" customFormat="1" x14ac:dyDescent="0.3">
      <c r="A778" s="135">
        <v>45860</v>
      </c>
      <c r="B778" s="100" t="s">
        <v>206</v>
      </c>
      <c r="C778" s="6" t="s">
        <v>71</v>
      </c>
      <c r="D778" s="4" t="s">
        <v>781</v>
      </c>
      <c r="E778" s="93">
        <v>-133.02000000000001</v>
      </c>
      <c r="F778" s="13" t="s">
        <v>8</v>
      </c>
      <c r="G778" s="9" t="s">
        <v>73</v>
      </c>
      <c r="H778" s="130"/>
    </row>
    <row r="779" spans="1:8" s="139" customFormat="1" x14ac:dyDescent="0.3">
      <c r="A779" s="135">
        <v>45869</v>
      </c>
      <c r="B779" s="2" t="s">
        <v>206</v>
      </c>
      <c r="C779" s="14" t="s">
        <v>71</v>
      </c>
      <c r="D779" s="4" t="s">
        <v>919</v>
      </c>
      <c r="E779" s="292">
        <v>-5000</v>
      </c>
      <c r="F779" s="13" t="s">
        <v>8</v>
      </c>
      <c r="G779" s="9" t="s">
        <v>153</v>
      </c>
      <c r="H779" s="130"/>
    </row>
    <row r="780" spans="1:8" s="139" customFormat="1" x14ac:dyDescent="0.3">
      <c r="A780" s="78">
        <v>45869</v>
      </c>
      <c r="B780" s="100" t="s">
        <v>206</v>
      </c>
      <c r="C780" s="6" t="s">
        <v>71</v>
      </c>
      <c r="D780" s="4" t="s">
        <v>782</v>
      </c>
      <c r="E780" s="292">
        <v>-826.19</v>
      </c>
      <c r="F780" s="13" t="s">
        <v>8</v>
      </c>
      <c r="G780" s="9" t="s">
        <v>73</v>
      </c>
      <c r="H780" s="130"/>
    </row>
    <row r="781" spans="1:8" s="139" customFormat="1" x14ac:dyDescent="0.3">
      <c r="A781" s="135">
        <v>45860</v>
      </c>
      <c r="B781" s="100" t="s">
        <v>206</v>
      </c>
      <c r="C781" s="6" t="s">
        <v>71</v>
      </c>
      <c r="D781" s="4" t="s">
        <v>783</v>
      </c>
      <c r="E781" s="8">
        <v>-133.15</v>
      </c>
      <c r="F781" s="13" t="s">
        <v>8</v>
      </c>
      <c r="G781" s="9" t="s">
        <v>73</v>
      </c>
      <c r="H781" s="130"/>
    </row>
    <row r="782" spans="1:8" s="139" customFormat="1" x14ac:dyDescent="0.3">
      <c r="A782" s="135">
        <v>45860</v>
      </c>
      <c r="B782" s="100" t="s">
        <v>206</v>
      </c>
      <c r="C782" s="12" t="s">
        <v>17</v>
      </c>
      <c r="D782" s="4" t="s">
        <v>795</v>
      </c>
      <c r="E782" s="8">
        <v>-211.01</v>
      </c>
      <c r="F782" s="13" t="s">
        <v>8</v>
      </c>
      <c r="G782" s="9" t="s">
        <v>124</v>
      </c>
      <c r="H782" s="130"/>
    </row>
    <row r="783" spans="1:8" s="250" customFormat="1" x14ac:dyDescent="0.3">
      <c r="A783" s="316">
        <v>45891</v>
      </c>
      <c r="B783" s="316" t="s">
        <v>207</v>
      </c>
      <c r="C783" s="252" t="s">
        <v>71</v>
      </c>
      <c r="D783" s="253" t="s">
        <v>1147</v>
      </c>
      <c r="E783" s="248">
        <v>-2628.37</v>
      </c>
      <c r="F783" s="249" t="s">
        <v>8</v>
      </c>
      <c r="G783" s="254" t="s">
        <v>73</v>
      </c>
      <c r="H783" s="320"/>
    </row>
    <row r="784" spans="1:8" s="250" customFormat="1" x14ac:dyDescent="0.3">
      <c r="A784" s="316">
        <v>45891</v>
      </c>
      <c r="B784" s="316" t="s">
        <v>207</v>
      </c>
      <c r="C784" s="252" t="s">
        <v>71</v>
      </c>
      <c r="D784" s="253" t="s">
        <v>1148</v>
      </c>
      <c r="E784" s="248">
        <v>-826.19</v>
      </c>
      <c r="F784" s="249" t="s">
        <v>8</v>
      </c>
      <c r="G784" s="254" t="s">
        <v>73</v>
      </c>
      <c r="H784" s="320"/>
    </row>
    <row r="785" spans="1:8" s="250" customFormat="1" x14ac:dyDescent="0.3">
      <c r="A785" s="316">
        <v>45897</v>
      </c>
      <c r="B785" s="316" t="s">
        <v>207</v>
      </c>
      <c r="C785" s="268" t="s">
        <v>71</v>
      </c>
      <c r="D785" s="293" t="s">
        <v>1216</v>
      </c>
      <c r="E785" s="383">
        <v>-4875.8500000000004</v>
      </c>
      <c r="F785" s="249" t="s">
        <v>8</v>
      </c>
      <c r="G785" s="254" t="s">
        <v>73</v>
      </c>
      <c r="H785" s="383">
        <v>-4424.8</v>
      </c>
    </row>
    <row r="786" spans="1:8" s="250" customFormat="1" x14ac:dyDescent="0.3">
      <c r="A786" s="316">
        <v>45891</v>
      </c>
      <c r="B786" s="316" t="s">
        <v>207</v>
      </c>
      <c r="C786" s="394" t="s">
        <v>71</v>
      </c>
      <c r="D786" s="253" t="s">
        <v>1149</v>
      </c>
      <c r="E786" s="383">
        <v>-4375.75</v>
      </c>
      <c r="F786" s="249" t="s">
        <v>8</v>
      </c>
      <c r="G786" s="254" t="s">
        <v>73</v>
      </c>
      <c r="H786" s="320"/>
    </row>
    <row r="787" spans="1:8" s="250" customFormat="1" x14ac:dyDescent="0.3">
      <c r="A787" s="316">
        <v>45891</v>
      </c>
      <c r="B787" s="322" t="s">
        <v>207</v>
      </c>
      <c r="C787" s="395" t="s">
        <v>71</v>
      </c>
      <c r="D787" s="396" t="s">
        <v>1150</v>
      </c>
      <c r="E787" s="344">
        <v>-1504.25</v>
      </c>
      <c r="F787" s="373" t="s">
        <v>8</v>
      </c>
      <c r="G787" s="266" t="s">
        <v>73</v>
      </c>
      <c r="H787" s="320"/>
    </row>
    <row r="788" spans="1:8" s="300" customFormat="1" x14ac:dyDescent="0.3">
      <c r="A788" s="316">
        <v>45888</v>
      </c>
      <c r="B788" s="316" t="s">
        <v>207</v>
      </c>
      <c r="C788" s="293" t="s">
        <v>71</v>
      </c>
      <c r="D788" s="293" t="s">
        <v>1046</v>
      </c>
      <c r="E788" s="248">
        <v>-3209.14</v>
      </c>
      <c r="F788" s="254" t="s">
        <v>8</v>
      </c>
      <c r="G788" s="254" t="s">
        <v>227</v>
      </c>
      <c r="H788" s="255"/>
    </row>
    <row r="789" spans="1:8" s="4" customFormat="1" x14ac:dyDescent="0.3">
      <c r="A789" s="100">
        <v>45890</v>
      </c>
      <c r="B789" s="100" t="s">
        <v>207</v>
      </c>
      <c r="C789" s="14" t="s">
        <v>44</v>
      </c>
      <c r="D789" s="14" t="s">
        <v>1127</v>
      </c>
      <c r="E789" s="8">
        <v>-849.17</v>
      </c>
      <c r="F789" s="9" t="s">
        <v>8</v>
      </c>
      <c r="G789" s="9" t="s">
        <v>203</v>
      </c>
      <c r="H789" s="13"/>
    </row>
    <row r="790" spans="1:8" s="4" customFormat="1" x14ac:dyDescent="0.3">
      <c r="A790" s="100">
        <v>45883</v>
      </c>
      <c r="B790" s="100" t="s">
        <v>207</v>
      </c>
      <c r="C790" s="14" t="s">
        <v>25</v>
      </c>
      <c r="D790" s="14" t="s">
        <v>1015</v>
      </c>
      <c r="E790" s="273">
        <v>-252</v>
      </c>
      <c r="F790" s="9" t="s">
        <v>8</v>
      </c>
      <c r="G790" s="9" t="s">
        <v>82</v>
      </c>
      <c r="H790" s="13"/>
    </row>
    <row r="791" spans="1:8" s="4" customFormat="1" x14ac:dyDescent="0.3">
      <c r="A791" s="100">
        <v>45883</v>
      </c>
      <c r="B791" s="100" t="s">
        <v>207</v>
      </c>
      <c r="C791" s="14" t="s">
        <v>25</v>
      </c>
      <c r="D791" s="14" t="s">
        <v>1016</v>
      </c>
      <c r="E791" s="273">
        <v>-177</v>
      </c>
      <c r="F791" s="9" t="s">
        <v>8</v>
      </c>
      <c r="G791" s="9" t="s">
        <v>82</v>
      </c>
      <c r="H791" s="13"/>
    </row>
    <row r="792" spans="1:8" s="4" customFormat="1" x14ac:dyDescent="0.3">
      <c r="A792" s="100">
        <v>45883</v>
      </c>
      <c r="B792" s="100" t="s">
        <v>207</v>
      </c>
      <c r="C792" s="14" t="s">
        <v>25</v>
      </c>
      <c r="D792" s="14" t="s">
        <v>1058</v>
      </c>
      <c r="E792" s="273">
        <v>-44.87</v>
      </c>
      <c r="F792" s="9" t="s">
        <v>8</v>
      </c>
      <c r="G792" s="9" t="s">
        <v>746</v>
      </c>
      <c r="H792" s="13"/>
    </row>
    <row r="793" spans="1:8" s="4" customFormat="1" x14ac:dyDescent="0.3">
      <c r="A793" s="100">
        <v>45883</v>
      </c>
      <c r="B793" s="100" t="s">
        <v>207</v>
      </c>
      <c r="C793" s="14" t="s">
        <v>25</v>
      </c>
      <c r="D793" s="14" t="s">
        <v>1059</v>
      </c>
      <c r="E793" s="273">
        <v>-1500</v>
      </c>
      <c r="F793" s="9" t="s">
        <v>8</v>
      </c>
      <c r="G793" s="9" t="s">
        <v>15</v>
      </c>
      <c r="H793" s="13"/>
    </row>
    <row r="794" spans="1:8" s="4" customFormat="1" x14ac:dyDescent="0.3">
      <c r="A794" s="100">
        <v>45883</v>
      </c>
      <c r="B794" s="100" t="s">
        <v>207</v>
      </c>
      <c r="C794" s="14" t="s">
        <v>31</v>
      </c>
      <c r="D794" s="14" t="s">
        <v>952</v>
      </c>
      <c r="E794" s="273">
        <v>-1118.22</v>
      </c>
      <c r="F794" s="9" t="s">
        <v>8</v>
      </c>
      <c r="G794" s="9" t="s">
        <v>75</v>
      </c>
      <c r="H794" s="13"/>
    </row>
    <row r="795" spans="1:8" s="4" customFormat="1" x14ac:dyDescent="0.3">
      <c r="A795" s="100">
        <v>45883</v>
      </c>
      <c r="B795" s="100" t="s">
        <v>207</v>
      </c>
      <c r="C795" s="14" t="s">
        <v>25</v>
      </c>
      <c r="D795" s="14" t="s">
        <v>1017</v>
      </c>
      <c r="E795" s="273">
        <v>-179.46</v>
      </c>
      <c r="F795" s="9" t="s">
        <v>8</v>
      </c>
      <c r="G795" s="9" t="s">
        <v>75</v>
      </c>
      <c r="H795" s="13"/>
    </row>
    <row r="796" spans="1:8" s="164" customFormat="1" x14ac:dyDescent="0.3">
      <c r="A796" s="123">
        <v>45884</v>
      </c>
      <c r="B796" s="123" t="s">
        <v>207</v>
      </c>
      <c r="C796" s="52" t="s">
        <v>1070</v>
      </c>
      <c r="D796" s="327" t="s">
        <v>1071</v>
      </c>
      <c r="E796" s="345">
        <v>15535.08</v>
      </c>
      <c r="F796" s="67" t="s">
        <v>161</v>
      </c>
      <c r="G796" s="222" t="s">
        <v>1071</v>
      </c>
      <c r="H796" s="130"/>
    </row>
    <row r="797" spans="1:8" s="139" customFormat="1" x14ac:dyDescent="0.3">
      <c r="A797" s="100">
        <v>45884</v>
      </c>
      <c r="B797" s="100" t="s">
        <v>207</v>
      </c>
      <c r="C797" s="14" t="s">
        <v>44</v>
      </c>
      <c r="D797" s="104" t="s">
        <v>1069</v>
      </c>
      <c r="E797" s="355">
        <v>-2161</v>
      </c>
      <c r="F797" s="5" t="s">
        <v>8</v>
      </c>
      <c r="G797" s="82" t="s">
        <v>46</v>
      </c>
    </row>
    <row r="798" spans="1:8" s="139" customFormat="1" x14ac:dyDescent="0.3">
      <c r="A798" s="100">
        <v>45884</v>
      </c>
      <c r="B798" s="100" t="s">
        <v>207</v>
      </c>
      <c r="C798" s="4" t="s">
        <v>6</v>
      </c>
      <c r="D798" s="4" t="s">
        <v>517</v>
      </c>
      <c r="E798" s="241">
        <v>-79740.91</v>
      </c>
      <c r="F798" s="5" t="s">
        <v>8</v>
      </c>
      <c r="G798" s="5" t="s">
        <v>41</v>
      </c>
      <c r="H798" s="130"/>
    </row>
    <row r="799" spans="1:8" s="139" customFormat="1" x14ac:dyDescent="0.3">
      <c r="A799" s="100">
        <v>45884</v>
      </c>
      <c r="B799" s="100" t="s">
        <v>207</v>
      </c>
      <c r="C799" s="14" t="s">
        <v>44</v>
      </c>
      <c r="D799" s="14" t="s">
        <v>1062</v>
      </c>
      <c r="E799" s="242">
        <v>-363.81</v>
      </c>
      <c r="F799" s="5" t="s">
        <v>8</v>
      </c>
      <c r="G799" s="5" t="s">
        <v>41</v>
      </c>
      <c r="H799" s="130"/>
    </row>
    <row r="800" spans="1:8" s="139" customFormat="1" x14ac:dyDescent="0.3">
      <c r="A800" s="100">
        <v>45884</v>
      </c>
      <c r="B800" s="100" t="s">
        <v>207</v>
      </c>
      <c r="C800" s="7" t="s">
        <v>17</v>
      </c>
      <c r="D800" s="14" t="s">
        <v>1019</v>
      </c>
      <c r="E800" s="240">
        <v>-20700</v>
      </c>
      <c r="F800" s="13" t="s">
        <v>8</v>
      </c>
      <c r="G800" s="5" t="s">
        <v>78</v>
      </c>
      <c r="H800" s="130"/>
    </row>
    <row r="801" spans="1:8" s="139" customFormat="1" x14ac:dyDescent="0.3">
      <c r="A801" s="113">
        <v>45884</v>
      </c>
      <c r="B801" s="113" t="s">
        <v>207</v>
      </c>
      <c r="C801" s="7" t="s">
        <v>17</v>
      </c>
      <c r="D801" s="14" t="s">
        <v>1020</v>
      </c>
      <c r="E801" s="356">
        <v>-900</v>
      </c>
      <c r="F801" s="27" t="s">
        <v>8</v>
      </c>
      <c r="G801" s="41" t="s">
        <v>78</v>
      </c>
      <c r="H801" s="130"/>
    </row>
    <row r="802" spans="1:8" s="139" customFormat="1" x14ac:dyDescent="0.3">
      <c r="A802" s="100">
        <v>45884</v>
      </c>
      <c r="B802" s="100" t="s">
        <v>207</v>
      </c>
      <c r="C802" s="7" t="s">
        <v>17</v>
      </c>
      <c r="D802" s="14" t="s">
        <v>1021</v>
      </c>
      <c r="E802" s="240">
        <v>-14400</v>
      </c>
      <c r="F802" s="13" t="s">
        <v>8</v>
      </c>
      <c r="G802" s="5" t="s">
        <v>78</v>
      </c>
      <c r="H802" s="130"/>
    </row>
    <row r="803" spans="1:8" s="139" customFormat="1" x14ac:dyDescent="0.3">
      <c r="A803" s="100">
        <v>45884</v>
      </c>
      <c r="B803" s="100" t="s">
        <v>207</v>
      </c>
      <c r="C803" s="7" t="s">
        <v>17</v>
      </c>
      <c r="D803" s="14" t="s">
        <v>1022</v>
      </c>
      <c r="E803" s="240">
        <v>-3912</v>
      </c>
      <c r="F803" s="13" t="s">
        <v>8</v>
      </c>
      <c r="G803" s="5" t="s">
        <v>78</v>
      </c>
      <c r="H803" s="130"/>
    </row>
    <row r="804" spans="1:8" s="139" customFormat="1" x14ac:dyDescent="0.3">
      <c r="A804" s="146">
        <v>45887</v>
      </c>
      <c r="B804" s="146" t="s">
        <v>207</v>
      </c>
      <c r="C804" s="337" t="s">
        <v>25</v>
      </c>
      <c r="D804" s="96" t="s">
        <v>384</v>
      </c>
      <c r="E804" s="89">
        <v>-435.96</v>
      </c>
      <c r="F804" s="110" t="s">
        <v>8</v>
      </c>
      <c r="G804" s="24" t="s">
        <v>19</v>
      </c>
      <c r="H804" s="130"/>
    </row>
    <row r="805" spans="1:8" s="139" customFormat="1" x14ac:dyDescent="0.3">
      <c r="A805" s="100">
        <v>45887</v>
      </c>
      <c r="B805" s="100" t="s">
        <v>207</v>
      </c>
      <c r="C805" s="14" t="s">
        <v>17</v>
      </c>
      <c r="D805" s="14" t="s">
        <v>1023</v>
      </c>
      <c r="E805" s="8">
        <v>-435.96</v>
      </c>
      <c r="F805" s="13" t="s">
        <v>8</v>
      </c>
      <c r="G805" s="5" t="s">
        <v>19</v>
      </c>
      <c r="H805" s="130"/>
    </row>
    <row r="806" spans="1:8" s="139" customFormat="1" x14ac:dyDescent="0.3">
      <c r="A806" s="100">
        <v>45887</v>
      </c>
      <c r="B806" s="100" t="s">
        <v>207</v>
      </c>
      <c r="C806" s="14" t="s">
        <v>17</v>
      </c>
      <c r="D806" s="14" t="s">
        <v>1094</v>
      </c>
      <c r="E806" s="8">
        <v>-24329.72</v>
      </c>
      <c r="F806" s="13" t="s">
        <v>8</v>
      </c>
      <c r="G806" s="5" t="s">
        <v>19</v>
      </c>
      <c r="H806" s="130"/>
    </row>
    <row r="807" spans="1:8" s="139" customFormat="1" x14ac:dyDescent="0.3">
      <c r="A807" s="100">
        <v>45887</v>
      </c>
      <c r="B807" s="100" t="s">
        <v>207</v>
      </c>
      <c r="C807" s="14" t="s">
        <v>17</v>
      </c>
      <c r="D807" s="14" t="s">
        <v>376</v>
      </c>
      <c r="E807" s="8">
        <v>-61582.28</v>
      </c>
      <c r="F807" s="13" t="s">
        <v>8</v>
      </c>
      <c r="G807" s="5" t="s">
        <v>19</v>
      </c>
      <c r="H807" s="130"/>
    </row>
    <row r="808" spans="1:8" s="139" customFormat="1" x14ac:dyDescent="0.3">
      <c r="A808" s="100">
        <v>45887</v>
      </c>
      <c r="B808" s="100" t="s">
        <v>207</v>
      </c>
      <c r="C808" s="14" t="s">
        <v>17</v>
      </c>
      <c r="D808" s="14" t="s">
        <v>84</v>
      </c>
      <c r="E808" s="8">
        <v>-435.96</v>
      </c>
      <c r="F808" s="13" t="s">
        <v>8</v>
      </c>
      <c r="G808" s="5" t="s">
        <v>19</v>
      </c>
      <c r="H808" s="130"/>
    </row>
    <row r="809" spans="1:8" s="139" customFormat="1" x14ac:dyDescent="0.3">
      <c r="A809" s="100">
        <v>45887</v>
      </c>
      <c r="B809" s="100" t="s">
        <v>207</v>
      </c>
      <c r="C809" s="98" t="s">
        <v>17</v>
      </c>
      <c r="D809" s="14" t="s">
        <v>494</v>
      </c>
      <c r="E809" s="8">
        <v>-415.2</v>
      </c>
      <c r="F809" s="13" t="s">
        <v>8</v>
      </c>
      <c r="G809" s="5" t="s">
        <v>19</v>
      </c>
      <c r="H809" s="130"/>
    </row>
    <row r="810" spans="1:8" s="139" customFormat="1" x14ac:dyDescent="0.3">
      <c r="A810" s="100">
        <v>45887</v>
      </c>
      <c r="B810" s="100" t="s">
        <v>207</v>
      </c>
      <c r="C810" s="98" t="s">
        <v>17</v>
      </c>
      <c r="D810" s="14" t="s">
        <v>491</v>
      </c>
      <c r="E810" s="8">
        <v>-435.96</v>
      </c>
      <c r="F810" s="13" t="s">
        <v>8</v>
      </c>
      <c r="G810" s="5" t="s">
        <v>19</v>
      </c>
      <c r="H810" s="130"/>
    </row>
    <row r="811" spans="1:8" s="139" customFormat="1" x14ac:dyDescent="0.3">
      <c r="A811" s="113">
        <v>45887</v>
      </c>
      <c r="B811" s="113" t="s">
        <v>207</v>
      </c>
      <c r="C811" s="323" t="s">
        <v>17</v>
      </c>
      <c r="D811" s="97" t="s">
        <v>26</v>
      </c>
      <c r="E811" s="77">
        <v>-394.44</v>
      </c>
      <c r="F811" s="27" t="s">
        <v>8</v>
      </c>
      <c r="G811" s="41" t="s">
        <v>19</v>
      </c>
      <c r="H811" s="130"/>
    </row>
    <row r="812" spans="1:8" s="139" customFormat="1" x14ac:dyDescent="0.3">
      <c r="A812" s="100">
        <v>45884</v>
      </c>
      <c r="B812" s="100" t="s">
        <v>207</v>
      </c>
      <c r="C812" s="14" t="s">
        <v>6</v>
      </c>
      <c r="D812" s="14" t="s">
        <v>497</v>
      </c>
      <c r="E812" s="8">
        <v>-310.5</v>
      </c>
      <c r="F812" s="13" t="s">
        <v>8</v>
      </c>
      <c r="G812" s="9" t="s">
        <v>82</v>
      </c>
      <c r="H812" s="79"/>
    </row>
    <row r="813" spans="1:8" s="139" customFormat="1" x14ac:dyDescent="0.3">
      <c r="A813" s="100">
        <v>45884</v>
      </c>
      <c r="B813" s="100" t="s">
        <v>207</v>
      </c>
      <c r="C813" s="14" t="s">
        <v>25</v>
      </c>
      <c r="D813" s="14" t="s">
        <v>433</v>
      </c>
      <c r="E813" s="8">
        <v>-70.8</v>
      </c>
      <c r="F813" s="13" t="s">
        <v>8</v>
      </c>
      <c r="G813" s="9" t="s">
        <v>82</v>
      </c>
      <c r="H813" s="79"/>
    </row>
    <row r="814" spans="1:8" s="139" customFormat="1" x14ac:dyDescent="0.3">
      <c r="A814" s="100">
        <v>45884</v>
      </c>
      <c r="B814" s="100" t="s">
        <v>207</v>
      </c>
      <c r="C814" s="14" t="s">
        <v>25</v>
      </c>
      <c r="D814" s="14" t="s">
        <v>384</v>
      </c>
      <c r="E814" s="8">
        <v>-219.2</v>
      </c>
      <c r="F814" s="13" t="s">
        <v>8</v>
      </c>
      <c r="G814" s="9" t="s">
        <v>82</v>
      </c>
      <c r="H814" s="79"/>
    </row>
    <row r="815" spans="1:8" s="139" customFormat="1" x14ac:dyDescent="0.3">
      <c r="A815" s="100">
        <v>45884</v>
      </c>
      <c r="B815" s="100" t="s">
        <v>207</v>
      </c>
      <c r="C815" s="14" t="s">
        <v>25</v>
      </c>
      <c r="D815" s="14" t="s">
        <v>702</v>
      </c>
      <c r="E815" s="8">
        <v>-100</v>
      </c>
      <c r="F815" s="13" t="s">
        <v>8</v>
      </c>
      <c r="G815" s="9" t="s">
        <v>82</v>
      </c>
      <c r="H815" s="79"/>
    </row>
    <row r="816" spans="1:8" s="139" customFormat="1" x14ac:dyDescent="0.3">
      <c r="A816" s="100">
        <v>45884</v>
      </c>
      <c r="B816" s="100" t="s">
        <v>207</v>
      </c>
      <c r="C816" s="14" t="s">
        <v>104</v>
      </c>
      <c r="D816" s="14" t="s">
        <v>477</v>
      </c>
      <c r="E816" s="8">
        <v>-445</v>
      </c>
      <c r="F816" s="13" t="s">
        <v>8</v>
      </c>
      <c r="G816" s="9" t="s">
        <v>82</v>
      </c>
      <c r="H816" s="79"/>
    </row>
    <row r="817" spans="1:8" s="139" customFormat="1" x14ac:dyDescent="0.3">
      <c r="A817" s="100">
        <v>45884</v>
      </c>
      <c r="B817" s="100" t="s">
        <v>207</v>
      </c>
      <c r="C817" s="14" t="s">
        <v>104</v>
      </c>
      <c r="D817" s="14" t="s">
        <v>750</v>
      </c>
      <c r="E817" s="8">
        <v>-110</v>
      </c>
      <c r="F817" s="13" t="s">
        <v>8</v>
      </c>
      <c r="G817" s="9" t="s">
        <v>82</v>
      </c>
      <c r="H817" s="79"/>
    </row>
    <row r="818" spans="1:8" s="139" customFormat="1" x14ac:dyDescent="0.3">
      <c r="A818" s="100">
        <v>45884</v>
      </c>
      <c r="B818" s="100" t="s">
        <v>207</v>
      </c>
      <c r="C818" s="14" t="s">
        <v>71</v>
      </c>
      <c r="D818" s="14" t="s">
        <v>498</v>
      </c>
      <c r="E818" s="8">
        <v>-100</v>
      </c>
      <c r="F818" s="13" t="s">
        <v>8</v>
      </c>
      <c r="G818" s="9" t="s">
        <v>82</v>
      </c>
      <c r="H818" s="79"/>
    </row>
    <row r="819" spans="1:8" s="139" customFormat="1" x14ac:dyDescent="0.3">
      <c r="A819" s="100">
        <v>45884</v>
      </c>
      <c r="B819" s="100" t="s">
        <v>207</v>
      </c>
      <c r="C819" s="14" t="s">
        <v>71</v>
      </c>
      <c r="D819" s="14" t="s">
        <v>86</v>
      </c>
      <c r="E819" s="8">
        <v>-226.8</v>
      </c>
      <c r="F819" s="13" t="s">
        <v>8</v>
      </c>
      <c r="G819" s="9" t="s">
        <v>82</v>
      </c>
      <c r="H819" s="79"/>
    </row>
    <row r="820" spans="1:8" s="139" customFormat="1" x14ac:dyDescent="0.3">
      <c r="A820" s="100">
        <v>45884</v>
      </c>
      <c r="B820" s="100" t="s">
        <v>207</v>
      </c>
      <c r="C820" s="14" t="s">
        <v>17</v>
      </c>
      <c r="D820" s="14" t="s">
        <v>501</v>
      </c>
      <c r="E820" s="8">
        <v>-275</v>
      </c>
      <c r="F820" s="13" t="s">
        <v>8</v>
      </c>
      <c r="G820" s="9" t="s">
        <v>82</v>
      </c>
      <c r="H820" s="79"/>
    </row>
    <row r="821" spans="1:8" s="139" customFormat="1" x14ac:dyDescent="0.3">
      <c r="A821" s="100">
        <v>45884</v>
      </c>
      <c r="B821" s="100" t="s">
        <v>207</v>
      </c>
      <c r="C821" s="14" t="s">
        <v>17</v>
      </c>
      <c r="D821" s="14" t="s">
        <v>491</v>
      </c>
      <c r="E821" s="8">
        <v>-100</v>
      </c>
      <c r="F821" s="13" t="s">
        <v>8</v>
      </c>
      <c r="G821" s="9" t="s">
        <v>82</v>
      </c>
      <c r="H821" s="79"/>
    </row>
    <row r="822" spans="1:8" s="139" customFormat="1" x14ac:dyDescent="0.3">
      <c r="A822" s="100">
        <v>45884</v>
      </c>
      <c r="B822" s="100" t="s">
        <v>207</v>
      </c>
      <c r="C822" s="14" t="s">
        <v>17</v>
      </c>
      <c r="D822" s="14" t="s">
        <v>84</v>
      </c>
      <c r="E822" s="8">
        <v>-300</v>
      </c>
      <c r="F822" s="13" t="s">
        <v>8</v>
      </c>
      <c r="G822" s="9" t="s">
        <v>82</v>
      </c>
      <c r="H822" s="79"/>
    </row>
    <row r="823" spans="1:8" s="139" customFormat="1" x14ac:dyDescent="0.3">
      <c r="A823" s="100">
        <v>45884</v>
      </c>
      <c r="B823" s="100" t="s">
        <v>207</v>
      </c>
      <c r="C823" s="14" t="s">
        <v>17</v>
      </c>
      <c r="D823" s="14" t="s">
        <v>499</v>
      </c>
      <c r="E823" s="8">
        <v>-249.9</v>
      </c>
      <c r="F823" s="13" t="s">
        <v>8</v>
      </c>
      <c r="G823" s="9" t="s">
        <v>82</v>
      </c>
      <c r="H823" s="79"/>
    </row>
    <row r="824" spans="1:8" s="139" customFormat="1" x14ac:dyDescent="0.3">
      <c r="A824" s="100">
        <v>45884</v>
      </c>
      <c r="B824" s="100" t="s">
        <v>207</v>
      </c>
      <c r="C824" s="14" t="s">
        <v>17</v>
      </c>
      <c r="D824" s="14" t="s">
        <v>26</v>
      </c>
      <c r="E824" s="8">
        <v>-90</v>
      </c>
      <c r="F824" s="13" t="s">
        <v>8</v>
      </c>
      <c r="G824" s="9" t="s">
        <v>82</v>
      </c>
      <c r="H824" s="79"/>
    </row>
    <row r="825" spans="1:8" s="139" customFormat="1" x14ac:dyDescent="0.3">
      <c r="A825" s="100">
        <v>45884</v>
      </c>
      <c r="B825" s="100" t="s">
        <v>207</v>
      </c>
      <c r="C825" s="14" t="s">
        <v>17</v>
      </c>
      <c r="D825" s="14" t="s">
        <v>1023</v>
      </c>
      <c r="E825" s="8">
        <v>-210</v>
      </c>
      <c r="F825" s="13" t="s">
        <v>8</v>
      </c>
      <c r="G825" s="9" t="s">
        <v>82</v>
      </c>
      <c r="H825" s="79"/>
    </row>
    <row r="826" spans="1:8" s="139" customFormat="1" x14ac:dyDescent="0.3">
      <c r="A826" s="100">
        <v>45884</v>
      </c>
      <c r="B826" s="100" t="s">
        <v>207</v>
      </c>
      <c r="C826" s="4" t="s">
        <v>17</v>
      </c>
      <c r="D826" s="4" t="s">
        <v>83</v>
      </c>
      <c r="E826" s="16">
        <v>-20565.28</v>
      </c>
      <c r="F826" s="13" t="s">
        <v>8</v>
      </c>
      <c r="G826" s="5" t="s">
        <v>58</v>
      </c>
      <c r="H826" s="130"/>
    </row>
    <row r="827" spans="1:8" s="139" customFormat="1" x14ac:dyDescent="0.3">
      <c r="A827" s="100">
        <v>45887</v>
      </c>
      <c r="B827" s="100" t="s">
        <v>207</v>
      </c>
      <c r="C827" s="119" t="s">
        <v>17</v>
      </c>
      <c r="D827" s="7" t="s">
        <v>84</v>
      </c>
      <c r="E827" s="16">
        <v>-144.86000000000001</v>
      </c>
      <c r="F827" s="5" t="s">
        <v>8</v>
      </c>
      <c r="G827" s="5" t="s">
        <v>85</v>
      </c>
      <c r="H827" s="130"/>
    </row>
    <row r="828" spans="1:8" s="250" customFormat="1" x14ac:dyDescent="0.3">
      <c r="A828" s="316">
        <v>45888</v>
      </c>
      <c r="B828" s="316" t="s">
        <v>207</v>
      </c>
      <c r="C828" s="300" t="s">
        <v>13</v>
      </c>
      <c r="D828" s="300" t="s">
        <v>568</v>
      </c>
      <c r="E828" s="317">
        <v>-1375</v>
      </c>
      <c r="F828" s="255" t="s">
        <v>8</v>
      </c>
      <c r="G828" s="255" t="s">
        <v>41</v>
      </c>
      <c r="H828" s="320"/>
    </row>
    <row r="829" spans="1:8" s="250" customFormat="1" x14ac:dyDescent="0.3">
      <c r="A829" s="316">
        <v>45888</v>
      </c>
      <c r="B829" s="316" t="s">
        <v>207</v>
      </c>
      <c r="C829" s="325" t="s">
        <v>88</v>
      </c>
      <c r="D829" s="300" t="s">
        <v>567</v>
      </c>
      <c r="E829" s="317">
        <v>-2281.6999999999998</v>
      </c>
      <c r="F829" s="255" t="s">
        <v>8</v>
      </c>
      <c r="G829" s="255" t="s">
        <v>41</v>
      </c>
      <c r="H829" s="320"/>
    </row>
    <row r="830" spans="1:8" s="139" customFormat="1" x14ac:dyDescent="0.3">
      <c r="A830" s="100">
        <v>45884</v>
      </c>
      <c r="B830" s="100" t="s">
        <v>207</v>
      </c>
      <c r="C830" s="4" t="s">
        <v>6</v>
      </c>
      <c r="D830" s="4" t="s">
        <v>1063</v>
      </c>
      <c r="E830" s="16">
        <v>-5629.06</v>
      </c>
      <c r="F830" s="5" t="s">
        <v>8</v>
      </c>
      <c r="G830" s="5" t="s">
        <v>63</v>
      </c>
      <c r="H830" s="130"/>
    </row>
    <row r="831" spans="1:8" s="250" customFormat="1" x14ac:dyDescent="0.3">
      <c r="A831" s="316">
        <v>45888</v>
      </c>
      <c r="B831" s="316" t="s">
        <v>207</v>
      </c>
      <c r="C831" s="300" t="s">
        <v>17</v>
      </c>
      <c r="D831" s="300" t="s">
        <v>1052</v>
      </c>
      <c r="E831" s="317">
        <v>-10108.51</v>
      </c>
      <c r="F831" s="249" t="s">
        <v>8</v>
      </c>
      <c r="G831" s="255" t="s">
        <v>91</v>
      </c>
      <c r="H831" s="320"/>
    </row>
    <row r="832" spans="1:8" s="250" customFormat="1" x14ac:dyDescent="0.3">
      <c r="A832" s="316">
        <v>45888</v>
      </c>
      <c r="B832" s="316" t="s">
        <v>207</v>
      </c>
      <c r="C832" s="309" t="s">
        <v>31</v>
      </c>
      <c r="D832" s="362" t="s">
        <v>1053</v>
      </c>
      <c r="E832" s="317">
        <v>-2225.21</v>
      </c>
      <c r="F832" s="249" t="s">
        <v>8</v>
      </c>
      <c r="G832" s="255" t="s">
        <v>91</v>
      </c>
      <c r="H832" s="320"/>
    </row>
    <row r="833" spans="1:8" s="250" customFormat="1" x14ac:dyDescent="0.3">
      <c r="A833" s="316">
        <v>45888</v>
      </c>
      <c r="B833" s="316" t="s">
        <v>207</v>
      </c>
      <c r="C833" s="325" t="s">
        <v>25</v>
      </c>
      <c r="D833" s="362" t="s">
        <v>1053</v>
      </c>
      <c r="E833" s="317">
        <v>-1248.99</v>
      </c>
      <c r="F833" s="249" t="s">
        <v>8</v>
      </c>
      <c r="G833" s="255" t="s">
        <v>91</v>
      </c>
      <c r="H833" s="320"/>
    </row>
    <row r="834" spans="1:8" s="139" customFormat="1" x14ac:dyDescent="0.3">
      <c r="A834" s="100">
        <v>45884</v>
      </c>
      <c r="B834" s="100" t="s">
        <v>207</v>
      </c>
      <c r="C834" s="12" t="s">
        <v>6</v>
      </c>
      <c r="D834" s="4" t="s">
        <v>566</v>
      </c>
      <c r="E834" s="16">
        <v>-2012.45</v>
      </c>
      <c r="F834" s="13" t="s">
        <v>8</v>
      </c>
      <c r="G834" s="92" t="s">
        <v>46</v>
      </c>
      <c r="H834" s="130"/>
    </row>
    <row r="835" spans="1:8" s="139" customFormat="1" x14ac:dyDescent="0.3">
      <c r="A835" s="100">
        <v>45884</v>
      </c>
      <c r="B835" s="100" t="s">
        <v>207</v>
      </c>
      <c r="C835" s="4" t="s">
        <v>6</v>
      </c>
      <c r="D835" s="4" t="s">
        <v>92</v>
      </c>
      <c r="E835" s="16">
        <v>-177.05</v>
      </c>
      <c r="F835" s="13" t="s">
        <v>8</v>
      </c>
      <c r="G835" s="5" t="s">
        <v>29</v>
      </c>
      <c r="H835" s="130"/>
    </row>
    <row r="836" spans="1:8" s="250" customFormat="1" x14ac:dyDescent="0.3">
      <c r="A836" s="316">
        <v>45888</v>
      </c>
      <c r="B836" s="316" t="s">
        <v>207</v>
      </c>
      <c r="C836" s="300" t="s">
        <v>44</v>
      </c>
      <c r="D836" s="300" t="s">
        <v>92</v>
      </c>
      <c r="E836" s="317">
        <v>-177.05</v>
      </c>
      <c r="F836" s="249" t="s">
        <v>8</v>
      </c>
      <c r="G836" s="255" t="s">
        <v>29</v>
      </c>
      <c r="H836" s="320"/>
    </row>
    <row r="837" spans="1:8" s="139" customFormat="1" x14ac:dyDescent="0.3">
      <c r="A837" s="100">
        <v>45884</v>
      </c>
      <c r="B837" s="100" t="s">
        <v>207</v>
      </c>
      <c r="C837" s="4" t="s">
        <v>13</v>
      </c>
      <c r="D837" s="4" t="s">
        <v>92</v>
      </c>
      <c r="E837" s="16">
        <v>-177.05</v>
      </c>
      <c r="F837" s="13" t="s">
        <v>8</v>
      </c>
      <c r="G837" s="5" t="s">
        <v>29</v>
      </c>
      <c r="H837" s="130"/>
    </row>
    <row r="838" spans="1:8" s="139" customFormat="1" x14ac:dyDescent="0.3">
      <c r="A838" s="100">
        <v>45884</v>
      </c>
      <c r="B838" s="100" t="s">
        <v>207</v>
      </c>
      <c r="C838" s="4" t="s">
        <v>421</v>
      </c>
      <c r="D838" s="4" t="s">
        <v>92</v>
      </c>
      <c r="E838" s="16">
        <v>-177.05</v>
      </c>
      <c r="F838" s="13" t="s">
        <v>8</v>
      </c>
      <c r="G838" s="5" t="s">
        <v>29</v>
      </c>
      <c r="H838" s="130"/>
    </row>
    <row r="839" spans="1:8" s="139" customFormat="1" x14ac:dyDescent="0.3">
      <c r="A839" s="100">
        <v>45884</v>
      </c>
      <c r="B839" s="100" t="s">
        <v>207</v>
      </c>
      <c r="C839" s="4" t="s">
        <v>31</v>
      </c>
      <c r="D839" s="4" t="s">
        <v>92</v>
      </c>
      <c r="E839" s="16">
        <v>-177.05</v>
      </c>
      <c r="F839" s="13" t="s">
        <v>8</v>
      </c>
      <c r="G839" s="5" t="s">
        <v>29</v>
      </c>
      <c r="H839" s="130"/>
    </row>
    <row r="840" spans="1:8" s="139" customFormat="1" x14ac:dyDescent="0.3">
      <c r="A840" s="100">
        <v>45884</v>
      </c>
      <c r="B840" s="100" t="s">
        <v>207</v>
      </c>
      <c r="C840" s="4" t="s">
        <v>64</v>
      </c>
      <c r="D840" s="4" t="s">
        <v>92</v>
      </c>
      <c r="E840" s="16">
        <v>-177.05</v>
      </c>
      <c r="F840" s="13" t="s">
        <v>8</v>
      </c>
      <c r="G840" s="5" t="s">
        <v>29</v>
      </c>
      <c r="H840" s="130"/>
    </row>
    <row r="841" spans="1:8" s="139" customFormat="1" x14ac:dyDescent="0.3">
      <c r="A841" s="100">
        <v>45884</v>
      </c>
      <c r="B841" s="100" t="s">
        <v>207</v>
      </c>
      <c r="C841" s="119" t="s">
        <v>17</v>
      </c>
      <c r="D841" s="4" t="s">
        <v>92</v>
      </c>
      <c r="E841" s="16">
        <v>-177.05</v>
      </c>
      <c r="F841" s="13" t="s">
        <v>8</v>
      </c>
      <c r="G841" s="5" t="s">
        <v>29</v>
      </c>
      <c r="H841" s="130"/>
    </row>
    <row r="842" spans="1:8" s="139" customFormat="1" x14ac:dyDescent="0.3">
      <c r="A842" s="100">
        <v>45884</v>
      </c>
      <c r="B842" s="100" t="s">
        <v>207</v>
      </c>
      <c r="C842" s="119" t="s">
        <v>647</v>
      </c>
      <c r="D842" s="4" t="s">
        <v>92</v>
      </c>
      <c r="E842" s="16">
        <v>-177.05</v>
      </c>
      <c r="F842" s="13" t="s">
        <v>8</v>
      </c>
      <c r="G842" s="5" t="s">
        <v>29</v>
      </c>
      <c r="H842" s="130"/>
    </row>
    <row r="843" spans="1:8" s="139" customFormat="1" x14ac:dyDescent="0.3">
      <c r="A843" s="100">
        <v>45884</v>
      </c>
      <c r="B843" s="100" t="s">
        <v>207</v>
      </c>
      <c r="C843" s="119" t="s">
        <v>30</v>
      </c>
      <c r="D843" s="4" t="s">
        <v>92</v>
      </c>
      <c r="E843" s="16">
        <v>-177.05</v>
      </c>
      <c r="F843" s="13" t="s">
        <v>8</v>
      </c>
      <c r="G843" s="5" t="s">
        <v>29</v>
      </c>
      <c r="H843" s="130"/>
    </row>
    <row r="844" spans="1:8" s="139" customFormat="1" x14ac:dyDescent="0.3">
      <c r="A844" s="100">
        <v>45884</v>
      </c>
      <c r="B844" s="100" t="s">
        <v>207</v>
      </c>
      <c r="C844" s="119" t="s">
        <v>93</v>
      </c>
      <c r="D844" s="4" t="s">
        <v>92</v>
      </c>
      <c r="E844" s="16">
        <v>-177.05</v>
      </c>
      <c r="F844" s="13" t="s">
        <v>8</v>
      </c>
      <c r="G844" s="5" t="s">
        <v>29</v>
      </c>
      <c r="H844" s="130"/>
    </row>
    <row r="845" spans="1:8" s="139" customFormat="1" x14ac:dyDescent="0.3">
      <c r="A845" s="100">
        <v>45884</v>
      </c>
      <c r="B845" s="100" t="s">
        <v>207</v>
      </c>
      <c r="C845" s="119" t="s">
        <v>33</v>
      </c>
      <c r="D845" s="4" t="s">
        <v>92</v>
      </c>
      <c r="E845" s="16">
        <v>-177.05</v>
      </c>
      <c r="F845" s="13" t="s">
        <v>8</v>
      </c>
      <c r="G845" s="5" t="s">
        <v>29</v>
      </c>
      <c r="H845" s="130"/>
    </row>
    <row r="846" spans="1:8" s="139" customFormat="1" x14ac:dyDescent="0.3">
      <c r="A846" s="100">
        <v>45884</v>
      </c>
      <c r="B846" s="100" t="s">
        <v>207</v>
      </c>
      <c r="C846" s="119" t="s">
        <v>94</v>
      </c>
      <c r="D846" s="4" t="s">
        <v>92</v>
      </c>
      <c r="E846" s="16">
        <v>-177.05</v>
      </c>
      <c r="F846" s="13" t="s">
        <v>8</v>
      </c>
      <c r="G846" s="5" t="s">
        <v>29</v>
      </c>
      <c r="H846" s="130"/>
    </row>
    <row r="847" spans="1:8" s="139" customFormat="1" x14ac:dyDescent="0.3">
      <c r="A847" s="100">
        <v>45884</v>
      </c>
      <c r="B847" s="100" t="s">
        <v>207</v>
      </c>
      <c r="C847" s="119" t="s">
        <v>32</v>
      </c>
      <c r="D847" s="4" t="s">
        <v>92</v>
      </c>
      <c r="E847" s="16">
        <v>-177.05</v>
      </c>
      <c r="F847" s="13" t="s">
        <v>8</v>
      </c>
      <c r="G847" s="5" t="s">
        <v>29</v>
      </c>
      <c r="H847" s="130"/>
    </row>
    <row r="848" spans="1:8" s="139" customFormat="1" x14ac:dyDescent="0.3">
      <c r="A848" s="100">
        <v>45884</v>
      </c>
      <c r="B848" s="100" t="s">
        <v>207</v>
      </c>
      <c r="C848" s="119" t="s">
        <v>34</v>
      </c>
      <c r="D848" s="4" t="s">
        <v>92</v>
      </c>
      <c r="E848" s="16">
        <v>-177.05</v>
      </c>
      <c r="F848" s="13" t="s">
        <v>8</v>
      </c>
      <c r="G848" s="5" t="s">
        <v>29</v>
      </c>
      <c r="H848" s="130"/>
    </row>
    <row r="849" spans="1:8" s="139" customFormat="1" x14ac:dyDescent="0.3">
      <c r="A849" s="100">
        <v>45887</v>
      </c>
      <c r="B849" s="100" t="s">
        <v>207</v>
      </c>
      <c r="C849" s="3" t="s">
        <v>64</v>
      </c>
      <c r="D849" s="4" t="s">
        <v>95</v>
      </c>
      <c r="E849" s="16">
        <v>-768.72</v>
      </c>
      <c r="F849" s="5" t="s">
        <v>8</v>
      </c>
      <c r="G849" s="5" t="s">
        <v>39</v>
      </c>
      <c r="H849" s="130"/>
    </row>
    <row r="850" spans="1:8" s="139" customFormat="1" x14ac:dyDescent="0.3">
      <c r="A850" s="100">
        <v>45884</v>
      </c>
      <c r="B850" s="100" t="s">
        <v>207</v>
      </c>
      <c r="C850" s="4" t="s">
        <v>17</v>
      </c>
      <c r="D850" s="4" t="s">
        <v>1018</v>
      </c>
      <c r="E850" s="276">
        <v>-7131.5</v>
      </c>
      <c r="F850" s="13" t="s">
        <v>8</v>
      </c>
      <c r="G850" s="5" t="s">
        <v>97</v>
      </c>
      <c r="H850" s="130"/>
    </row>
    <row r="851" spans="1:8" s="250" customFormat="1" x14ac:dyDescent="0.3">
      <c r="A851" s="316">
        <v>45888</v>
      </c>
      <c r="B851" s="247" t="s">
        <v>207</v>
      </c>
      <c r="C851" s="252" t="s">
        <v>25</v>
      </c>
      <c r="D851" s="293" t="s">
        <v>760</v>
      </c>
      <c r="E851" s="248">
        <v>-75</v>
      </c>
      <c r="F851" s="254" t="s">
        <v>8</v>
      </c>
      <c r="G851" s="254" t="s">
        <v>99</v>
      </c>
    </row>
    <row r="852" spans="1:8" s="250" customFormat="1" x14ac:dyDescent="0.3">
      <c r="A852" s="316">
        <v>45888</v>
      </c>
      <c r="B852" s="247" t="s">
        <v>207</v>
      </c>
      <c r="C852" s="293" t="s">
        <v>17</v>
      </c>
      <c r="D852" s="293" t="s">
        <v>1126</v>
      </c>
      <c r="E852" s="248">
        <v>-57.81</v>
      </c>
      <c r="F852" s="249" t="s">
        <v>8</v>
      </c>
      <c r="G852" s="254" t="s">
        <v>227</v>
      </c>
    </row>
    <row r="853" spans="1:8" s="250" customFormat="1" x14ac:dyDescent="0.3">
      <c r="A853" s="316">
        <v>45888</v>
      </c>
      <c r="B853" s="316" t="s">
        <v>207</v>
      </c>
      <c r="C853" s="299" t="s">
        <v>6</v>
      </c>
      <c r="D853" s="300" t="s">
        <v>98</v>
      </c>
      <c r="E853" s="317">
        <v>-138.56</v>
      </c>
      <c r="F853" s="249" t="s">
        <v>8</v>
      </c>
      <c r="G853" s="255" t="s">
        <v>99</v>
      </c>
      <c r="H853" s="320"/>
    </row>
    <row r="854" spans="1:8" s="250" customFormat="1" x14ac:dyDescent="0.3">
      <c r="A854" s="316">
        <v>45888</v>
      </c>
      <c r="B854" s="316" t="s">
        <v>207</v>
      </c>
      <c r="C854" s="299" t="s">
        <v>6</v>
      </c>
      <c r="D854" s="300" t="s">
        <v>100</v>
      </c>
      <c r="E854" s="317">
        <v>-138.56</v>
      </c>
      <c r="F854" s="249" t="s">
        <v>8</v>
      </c>
      <c r="G854" s="255" t="s">
        <v>99</v>
      </c>
      <c r="H854" s="320"/>
    </row>
    <row r="855" spans="1:8" s="250" customFormat="1" x14ac:dyDescent="0.3">
      <c r="A855" s="316">
        <v>45888</v>
      </c>
      <c r="B855" s="316" t="s">
        <v>207</v>
      </c>
      <c r="C855" s="299" t="s">
        <v>6</v>
      </c>
      <c r="D855" s="300" t="s">
        <v>101</v>
      </c>
      <c r="E855" s="317">
        <v>-138.56</v>
      </c>
      <c r="F855" s="249" t="s">
        <v>8</v>
      </c>
      <c r="G855" s="255" t="s">
        <v>99</v>
      </c>
      <c r="H855" s="320"/>
    </row>
    <row r="856" spans="1:8" s="250" customFormat="1" x14ac:dyDescent="0.3">
      <c r="A856" s="316">
        <v>45888</v>
      </c>
      <c r="B856" s="316" t="s">
        <v>207</v>
      </c>
      <c r="C856" s="299" t="s">
        <v>6</v>
      </c>
      <c r="D856" s="300" t="s">
        <v>102</v>
      </c>
      <c r="E856" s="317">
        <v>-138.56</v>
      </c>
      <c r="F856" s="249" t="s">
        <v>8</v>
      </c>
      <c r="G856" s="255" t="s">
        <v>99</v>
      </c>
      <c r="H856" s="320"/>
    </row>
    <row r="857" spans="1:8" s="139" customFormat="1" x14ac:dyDescent="0.3">
      <c r="A857" s="100">
        <v>45887</v>
      </c>
      <c r="B857" s="100" t="s">
        <v>207</v>
      </c>
      <c r="C857" s="3" t="s">
        <v>32</v>
      </c>
      <c r="D857" s="4" t="s">
        <v>103</v>
      </c>
      <c r="E857" s="16">
        <v>-261.68</v>
      </c>
      <c r="F857" s="5" t="s">
        <v>8</v>
      </c>
      <c r="G857" s="5" t="s">
        <v>68</v>
      </c>
      <c r="H857" s="130"/>
    </row>
    <row r="858" spans="1:8" s="139" customFormat="1" x14ac:dyDescent="0.3">
      <c r="A858" s="100">
        <v>45887</v>
      </c>
      <c r="B858" s="100" t="s">
        <v>207</v>
      </c>
      <c r="C858" s="3" t="s">
        <v>104</v>
      </c>
      <c r="D858" s="4" t="s">
        <v>103</v>
      </c>
      <c r="E858" s="16">
        <v>-300</v>
      </c>
      <c r="F858" s="5" t="s">
        <v>8</v>
      </c>
      <c r="G858" s="5" t="s">
        <v>68</v>
      </c>
      <c r="H858" s="130"/>
    </row>
    <row r="859" spans="1:8" s="139" customFormat="1" x14ac:dyDescent="0.3">
      <c r="A859" s="100">
        <v>45887</v>
      </c>
      <c r="B859" s="100" t="s">
        <v>207</v>
      </c>
      <c r="C859" s="3" t="s">
        <v>35</v>
      </c>
      <c r="D859" s="4" t="s">
        <v>103</v>
      </c>
      <c r="E859" s="16">
        <v>-300</v>
      </c>
      <c r="F859" s="5" t="s">
        <v>8</v>
      </c>
      <c r="G859" s="5" t="s">
        <v>68</v>
      </c>
      <c r="H859" s="130"/>
    </row>
    <row r="860" spans="1:8" s="139" customFormat="1" x14ac:dyDescent="0.3">
      <c r="A860" s="100">
        <v>45887</v>
      </c>
      <c r="B860" s="100" t="s">
        <v>207</v>
      </c>
      <c r="C860" s="3" t="s">
        <v>105</v>
      </c>
      <c r="D860" s="4" t="s">
        <v>103</v>
      </c>
      <c r="E860" s="16">
        <v>-300</v>
      </c>
      <c r="F860" s="5" t="s">
        <v>8</v>
      </c>
      <c r="G860" s="5" t="s">
        <v>68</v>
      </c>
      <c r="H860" s="130"/>
    </row>
    <row r="861" spans="1:8" s="139" customFormat="1" x14ac:dyDescent="0.3">
      <c r="A861" s="100">
        <v>45887</v>
      </c>
      <c r="B861" s="100" t="s">
        <v>207</v>
      </c>
      <c r="C861" s="3" t="s">
        <v>106</v>
      </c>
      <c r="D861" s="4" t="s">
        <v>103</v>
      </c>
      <c r="E861" s="16">
        <v>-294.32</v>
      </c>
      <c r="F861" s="5" t="s">
        <v>8</v>
      </c>
      <c r="G861" s="5" t="s">
        <v>68</v>
      </c>
      <c r="H861" s="130"/>
    </row>
    <row r="862" spans="1:8" s="139" customFormat="1" x14ac:dyDescent="0.3">
      <c r="A862" s="100">
        <v>45887</v>
      </c>
      <c r="B862" s="100" t="s">
        <v>207</v>
      </c>
      <c r="C862" s="3" t="s">
        <v>71</v>
      </c>
      <c r="D862" s="4" t="s">
        <v>103</v>
      </c>
      <c r="E862" s="16">
        <v>-300</v>
      </c>
      <c r="F862" s="5" t="s">
        <v>8</v>
      </c>
      <c r="G862" s="5" t="s">
        <v>68</v>
      </c>
      <c r="H862" s="131"/>
    </row>
    <row r="863" spans="1:8" s="139" customFormat="1" x14ac:dyDescent="0.3">
      <c r="A863" s="100">
        <v>45887</v>
      </c>
      <c r="B863" s="100" t="s">
        <v>207</v>
      </c>
      <c r="C863" s="3" t="s">
        <v>107</v>
      </c>
      <c r="D863" s="4" t="s">
        <v>103</v>
      </c>
      <c r="E863" s="16">
        <v>-300</v>
      </c>
      <c r="F863" s="5" t="s">
        <v>8</v>
      </c>
      <c r="G863" s="5" t="s">
        <v>68</v>
      </c>
      <c r="H863" s="130"/>
    </row>
    <row r="864" spans="1:8" s="139" customFormat="1" x14ac:dyDescent="0.3">
      <c r="A864" s="100">
        <v>45884</v>
      </c>
      <c r="B864" s="100" t="s">
        <v>207</v>
      </c>
      <c r="C864" s="3" t="s">
        <v>108</v>
      </c>
      <c r="D864" s="4" t="s">
        <v>103</v>
      </c>
      <c r="E864" s="16">
        <v>-350</v>
      </c>
      <c r="F864" s="5" t="s">
        <v>8</v>
      </c>
      <c r="G864" s="5" t="s">
        <v>68</v>
      </c>
      <c r="H864" s="130"/>
    </row>
    <row r="865" spans="1:8" s="139" customFormat="1" x14ac:dyDescent="0.3">
      <c r="A865" s="113">
        <v>45887</v>
      </c>
      <c r="B865" s="113" t="s">
        <v>207</v>
      </c>
      <c r="C865" s="440" t="s">
        <v>109</v>
      </c>
      <c r="D865" s="107" t="s">
        <v>103</v>
      </c>
      <c r="E865" s="145">
        <v>-373.51</v>
      </c>
      <c r="F865" s="41" t="s">
        <v>8</v>
      </c>
      <c r="G865" s="41" t="s">
        <v>68</v>
      </c>
      <c r="H865" s="130"/>
    </row>
    <row r="866" spans="1:8" s="538" customFormat="1" x14ac:dyDescent="0.3">
      <c r="A866" s="539">
        <v>45912</v>
      </c>
      <c r="B866" s="539" t="s">
        <v>208</v>
      </c>
      <c r="C866" s="549" t="s">
        <v>17</v>
      </c>
      <c r="D866" s="550" t="s">
        <v>1381</v>
      </c>
      <c r="E866" s="535">
        <v>-6274.7</v>
      </c>
      <c r="F866" s="540" t="s">
        <v>8</v>
      </c>
      <c r="G866" s="548" t="s">
        <v>73</v>
      </c>
      <c r="H866" s="551"/>
    </row>
    <row r="867" spans="1:8" s="538" customFormat="1" x14ac:dyDescent="0.3">
      <c r="A867" s="539">
        <v>45912</v>
      </c>
      <c r="B867" s="539" t="s">
        <v>208</v>
      </c>
      <c r="C867" s="549" t="s">
        <v>17</v>
      </c>
      <c r="D867" s="550" t="s">
        <v>1383</v>
      </c>
      <c r="E867" s="535">
        <v>-1959.76</v>
      </c>
      <c r="F867" s="540" t="s">
        <v>8</v>
      </c>
      <c r="G867" s="548" t="s">
        <v>73</v>
      </c>
      <c r="H867" s="551"/>
    </row>
    <row r="868" spans="1:8" s="538" customFormat="1" x14ac:dyDescent="0.3">
      <c r="A868" s="539">
        <v>45912</v>
      </c>
      <c r="B868" s="539" t="s">
        <v>208</v>
      </c>
      <c r="C868" s="549" t="s">
        <v>13</v>
      </c>
      <c r="D868" s="550" t="s">
        <v>1382</v>
      </c>
      <c r="E868" s="535">
        <v>-4169.6000000000004</v>
      </c>
      <c r="F868" s="540" t="s">
        <v>8</v>
      </c>
      <c r="G868" s="548" t="s">
        <v>73</v>
      </c>
      <c r="H868" s="551"/>
    </row>
    <row r="869" spans="1:8" s="139" customFormat="1" x14ac:dyDescent="0.3">
      <c r="A869" s="146">
        <v>45884</v>
      </c>
      <c r="B869" s="146" t="s">
        <v>207</v>
      </c>
      <c r="C869" s="109" t="s">
        <v>17</v>
      </c>
      <c r="D869" s="109" t="s">
        <v>18</v>
      </c>
      <c r="E869" s="200">
        <v>-17235</v>
      </c>
      <c r="F869" s="110" t="s">
        <v>8</v>
      </c>
      <c r="G869" s="24" t="s">
        <v>19</v>
      </c>
      <c r="H869" s="130"/>
    </row>
    <row r="870" spans="1:8" s="250" customFormat="1" x14ac:dyDescent="0.3">
      <c r="A870" s="316">
        <v>45891</v>
      </c>
      <c r="B870" s="322" t="s">
        <v>207</v>
      </c>
      <c r="C870" s="268" t="s">
        <v>104</v>
      </c>
      <c r="D870" s="300" t="s">
        <v>1146</v>
      </c>
      <c r="E870" s="383">
        <v>-581.89</v>
      </c>
      <c r="F870" s="249" t="s">
        <v>8</v>
      </c>
      <c r="G870" s="255" t="s">
        <v>111</v>
      </c>
      <c r="H870" s="320"/>
    </row>
    <row r="871" spans="1:8" s="250" customFormat="1" x14ac:dyDescent="0.3">
      <c r="A871" s="316">
        <v>45891</v>
      </c>
      <c r="B871" s="322" t="s">
        <v>207</v>
      </c>
      <c r="C871" s="268" t="s">
        <v>661</v>
      </c>
      <c r="D871" s="300" t="s">
        <v>1146</v>
      </c>
      <c r="E871" s="383">
        <v>-429.35</v>
      </c>
      <c r="F871" s="249" t="s">
        <v>8</v>
      </c>
      <c r="G871" s="255" t="s">
        <v>111</v>
      </c>
      <c r="H871" s="320"/>
    </row>
    <row r="872" spans="1:8" s="250" customFormat="1" x14ac:dyDescent="0.3">
      <c r="A872" s="316">
        <v>45891</v>
      </c>
      <c r="B872" s="322" t="s">
        <v>207</v>
      </c>
      <c r="C872" s="268" t="s">
        <v>71</v>
      </c>
      <c r="D872" s="300" t="s">
        <v>1146</v>
      </c>
      <c r="E872" s="383">
        <v>-463.25</v>
      </c>
      <c r="F872" s="249" t="s">
        <v>8</v>
      </c>
      <c r="G872" s="255" t="s">
        <v>111</v>
      </c>
      <c r="H872" s="320"/>
    </row>
    <row r="873" spans="1:8" s="250" customFormat="1" x14ac:dyDescent="0.3">
      <c r="A873" s="316">
        <v>45891</v>
      </c>
      <c r="B873" s="322" t="s">
        <v>207</v>
      </c>
      <c r="C873" s="268" t="s">
        <v>32</v>
      </c>
      <c r="D873" s="300" t="s">
        <v>1146</v>
      </c>
      <c r="E873" s="383">
        <v>-463.25</v>
      </c>
      <c r="F873" s="249" t="s">
        <v>8</v>
      </c>
      <c r="G873" s="255" t="s">
        <v>111</v>
      </c>
      <c r="H873" s="320"/>
    </row>
    <row r="874" spans="1:8" s="250" customFormat="1" x14ac:dyDescent="0.3">
      <c r="A874" s="316">
        <v>45891</v>
      </c>
      <c r="B874" s="322" t="s">
        <v>207</v>
      </c>
      <c r="C874" s="268" t="s">
        <v>658</v>
      </c>
      <c r="D874" s="300" t="s">
        <v>1146</v>
      </c>
      <c r="E874" s="383">
        <v>-202.29</v>
      </c>
      <c r="F874" s="249" t="s">
        <v>8</v>
      </c>
      <c r="G874" s="255" t="s">
        <v>111</v>
      </c>
      <c r="H874" s="320"/>
    </row>
    <row r="875" spans="1:8" s="250" customFormat="1" x14ac:dyDescent="0.3">
      <c r="A875" s="316">
        <v>45891</v>
      </c>
      <c r="B875" s="322" t="s">
        <v>207</v>
      </c>
      <c r="C875" s="268" t="s">
        <v>1105</v>
      </c>
      <c r="D875" s="300" t="s">
        <v>1146</v>
      </c>
      <c r="E875" s="383">
        <v>-128.94</v>
      </c>
      <c r="F875" s="249" t="s">
        <v>8</v>
      </c>
      <c r="G875" s="255" t="s">
        <v>111</v>
      </c>
      <c r="H875" s="320"/>
    </row>
    <row r="876" spans="1:8" s="250" customFormat="1" x14ac:dyDescent="0.3">
      <c r="A876" s="316">
        <v>45891</v>
      </c>
      <c r="B876" s="322" t="s">
        <v>207</v>
      </c>
      <c r="C876" s="268" t="s">
        <v>6</v>
      </c>
      <c r="D876" s="300" t="s">
        <v>1146</v>
      </c>
      <c r="E876" s="383">
        <v>-193.41</v>
      </c>
      <c r="F876" s="249" t="s">
        <v>8</v>
      </c>
      <c r="G876" s="255" t="s">
        <v>111</v>
      </c>
      <c r="H876" s="320"/>
    </row>
    <row r="877" spans="1:8" s="250" customFormat="1" x14ac:dyDescent="0.3">
      <c r="A877" s="316">
        <v>45891</v>
      </c>
      <c r="B877" s="322" t="s">
        <v>207</v>
      </c>
      <c r="C877" s="268" t="s">
        <v>88</v>
      </c>
      <c r="D877" s="300" t="s">
        <v>1146</v>
      </c>
      <c r="E877" s="383">
        <v>-517.41</v>
      </c>
      <c r="F877" s="249" t="s">
        <v>8</v>
      </c>
      <c r="G877" s="255" t="s">
        <v>111</v>
      </c>
      <c r="H877" s="320"/>
    </row>
    <row r="878" spans="1:8" s="250" customFormat="1" x14ac:dyDescent="0.3">
      <c r="A878" s="316">
        <v>45891</v>
      </c>
      <c r="B878" s="322" t="s">
        <v>207</v>
      </c>
      <c r="C878" s="268" t="s">
        <v>66</v>
      </c>
      <c r="D878" s="300" t="s">
        <v>1146</v>
      </c>
      <c r="E878" s="383">
        <v>-780.72</v>
      </c>
      <c r="F878" s="249" t="s">
        <v>8</v>
      </c>
      <c r="G878" s="255" t="s">
        <v>111</v>
      </c>
      <c r="H878" s="320"/>
    </row>
    <row r="879" spans="1:8" s="250" customFormat="1" x14ac:dyDescent="0.3">
      <c r="A879" s="316">
        <v>45895</v>
      </c>
      <c r="B879" s="316" t="s">
        <v>207</v>
      </c>
      <c r="C879" s="293" t="s">
        <v>71</v>
      </c>
      <c r="D879" s="293" t="s">
        <v>1050</v>
      </c>
      <c r="E879" s="248">
        <v>-2592.66</v>
      </c>
      <c r="F879" s="255" t="s">
        <v>8</v>
      </c>
      <c r="G879" s="254" t="s">
        <v>227</v>
      </c>
      <c r="H879" s="321"/>
    </row>
    <row r="880" spans="1:8" s="250" customFormat="1" x14ac:dyDescent="0.3">
      <c r="A880" s="316">
        <v>45895</v>
      </c>
      <c r="B880" s="316" t="s">
        <v>207</v>
      </c>
      <c r="C880" s="293" t="s">
        <v>71</v>
      </c>
      <c r="D880" s="293" t="s">
        <v>1049</v>
      </c>
      <c r="E880" s="248">
        <v>-809.45</v>
      </c>
      <c r="F880" s="255" t="s">
        <v>8</v>
      </c>
      <c r="G880" s="254" t="s">
        <v>227</v>
      </c>
      <c r="H880" s="321"/>
    </row>
    <row r="881" spans="1:8" s="250" customFormat="1" x14ac:dyDescent="0.3">
      <c r="A881" s="316">
        <v>45896</v>
      </c>
      <c r="B881" s="316" t="s">
        <v>207</v>
      </c>
      <c r="C881" s="422" t="s">
        <v>6</v>
      </c>
      <c r="D881" s="300" t="s">
        <v>112</v>
      </c>
      <c r="E881" s="319">
        <v>-35714.57</v>
      </c>
      <c r="F881" s="255" t="s">
        <v>8</v>
      </c>
      <c r="G881" s="254" t="s">
        <v>46</v>
      </c>
      <c r="H881" s="320"/>
    </row>
    <row r="882" spans="1:8" s="139" customFormat="1" x14ac:dyDescent="0.3">
      <c r="A882" s="146">
        <v>45887</v>
      </c>
      <c r="B882" s="146" t="s">
        <v>207</v>
      </c>
      <c r="C882" s="96" t="s">
        <v>104</v>
      </c>
      <c r="D882" s="96" t="s">
        <v>573</v>
      </c>
      <c r="E882" s="89">
        <v>-3224.16</v>
      </c>
      <c r="F882" s="110" t="s">
        <v>8</v>
      </c>
      <c r="G882" s="70" t="s">
        <v>75</v>
      </c>
      <c r="H882" s="292"/>
    </row>
    <row r="883" spans="1:8" s="250" customFormat="1" x14ac:dyDescent="0.3">
      <c r="A883" s="322">
        <v>45888</v>
      </c>
      <c r="B883" s="322" t="s">
        <v>207</v>
      </c>
      <c r="C883" s="372" t="s">
        <v>104</v>
      </c>
      <c r="D883" s="372" t="s">
        <v>574</v>
      </c>
      <c r="E883" s="344">
        <v>-4187</v>
      </c>
      <c r="F883" s="373" t="s">
        <v>8</v>
      </c>
      <c r="G883" s="266" t="s">
        <v>75</v>
      </c>
      <c r="H883" s="321"/>
    </row>
    <row r="884" spans="1:8" s="250" customFormat="1" x14ac:dyDescent="0.3">
      <c r="A884" s="316">
        <v>45908</v>
      </c>
      <c r="B884" s="316" t="s">
        <v>207</v>
      </c>
      <c r="C884" s="293" t="s">
        <v>17</v>
      </c>
      <c r="D884" s="293" t="s">
        <v>1115</v>
      </c>
      <c r="E884" s="248">
        <v>-1752.88</v>
      </c>
      <c r="F884" s="249" t="s">
        <v>8</v>
      </c>
      <c r="G884" s="254" t="s">
        <v>19</v>
      </c>
      <c r="H884" s="321"/>
    </row>
    <row r="885" spans="1:8" s="250" customFormat="1" x14ac:dyDescent="0.3">
      <c r="A885" s="316">
        <v>45917</v>
      </c>
      <c r="B885" s="316" t="s">
        <v>208</v>
      </c>
      <c r="C885" s="293" t="s">
        <v>17</v>
      </c>
      <c r="D885" s="293" t="s">
        <v>1115</v>
      </c>
      <c r="E885" s="248">
        <v>-1752.88</v>
      </c>
      <c r="F885" s="249" t="s">
        <v>8</v>
      </c>
      <c r="G885" s="254" t="s">
        <v>19</v>
      </c>
      <c r="H885" s="321"/>
    </row>
    <row r="886" spans="1:8" s="250" customFormat="1" x14ac:dyDescent="0.3">
      <c r="A886" s="316">
        <v>45901</v>
      </c>
      <c r="B886" s="316" t="s">
        <v>208</v>
      </c>
      <c r="C886" s="293" t="s">
        <v>17</v>
      </c>
      <c r="D886" s="293" t="s">
        <v>1280</v>
      </c>
      <c r="E886" s="248">
        <v>-1752.88</v>
      </c>
      <c r="F886" s="249" t="s">
        <v>8</v>
      </c>
      <c r="G886" s="254" t="s">
        <v>19</v>
      </c>
      <c r="H886" s="321"/>
    </row>
    <row r="887" spans="1:8" s="250" customFormat="1" x14ac:dyDescent="0.3">
      <c r="A887" s="384">
        <v>45888</v>
      </c>
      <c r="B887" s="384" t="s">
        <v>207</v>
      </c>
      <c r="C887" s="411" t="s">
        <v>71</v>
      </c>
      <c r="D887" s="405" t="s">
        <v>1047</v>
      </c>
      <c r="E887" s="365">
        <v>-809.46</v>
      </c>
      <c r="F887" s="402" t="s">
        <v>8</v>
      </c>
      <c r="G887" s="412" t="s">
        <v>227</v>
      </c>
      <c r="H887" s="321"/>
    </row>
    <row r="888" spans="1:8" s="250" customFormat="1" x14ac:dyDescent="0.3">
      <c r="A888" s="316">
        <v>45898</v>
      </c>
      <c r="B888" s="316" t="s">
        <v>207</v>
      </c>
      <c r="C888" s="293" t="s">
        <v>6</v>
      </c>
      <c r="D888" s="253" t="s">
        <v>1044</v>
      </c>
      <c r="E888" s="342">
        <v>-2045</v>
      </c>
      <c r="F888" s="249" t="s">
        <v>8</v>
      </c>
      <c r="G888" s="254" t="s">
        <v>139</v>
      </c>
      <c r="H888" s="320"/>
    </row>
    <row r="889" spans="1:8" s="250" customFormat="1" x14ac:dyDescent="0.3">
      <c r="A889" s="316">
        <v>45898</v>
      </c>
      <c r="B889" s="316" t="s">
        <v>207</v>
      </c>
      <c r="C889" s="293" t="s">
        <v>6</v>
      </c>
      <c r="D889" s="253" t="s">
        <v>1243</v>
      </c>
      <c r="E889" s="294">
        <v>-3619.3394859999999</v>
      </c>
      <c r="F889" s="249" t="s">
        <v>8</v>
      </c>
      <c r="G889" s="254" t="s">
        <v>139</v>
      </c>
      <c r="H889" s="321"/>
    </row>
    <row r="890" spans="1:8" s="250" customFormat="1" ht="14.4" x14ac:dyDescent="0.3">
      <c r="A890" s="316">
        <v>45888</v>
      </c>
      <c r="B890" s="316" t="s">
        <v>207</v>
      </c>
      <c r="C890" s="364" t="s">
        <v>31</v>
      </c>
      <c r="D890" s="364" t="s">
        <v>1117</v>
      </c>
      <c r="E890" s="367">
        <v>-522.91999999999996</v>
      </c>
      <c r="F890" s="249" t="s">
        <v>8</v>
      </c>
      <c r="G890" s="254" t="s">
        <v>51</v>
      </c>
      <c r="H890" s="321"/>
    </row>
    <row r="891" spans="1:8" s="250" customFormat="1" ht="14.4" x14ac:dyDescent="0.3">
      <c r="A891" s="316">
        <v>45888</v>
      </c>
      <c r="B891" s="316" t="s">
        <v>207</v>
      </c>
      <c r="C891" s="364" t="s">
        <v>6</v>
      </c>
      <c r="D891" s="364" t="s">
        <v>1117</v>
      </c>
      <c r="E891" s="367">
        <v>-840.87</v>
      </c>
      <c r="F891" s="249" t="s">
        <v>8</v>
      </c>
      <c r="G891" s="254" t="s">
        <v>51</v>
      </c>
      <c r="H891" s="321"/>
    </row>
    <row r="892" spans="1:8" s="250" customFormat="1" ht="14.4" x14ac:dyDescent="0.3">
      <c r="A892" s="316">
        <v>45888</v>
      </c>
      <c r="B892" s="316" t="s">
        <v>207</v>
      </c>
      <c r="C892" s="364" t="s">
        <v>44</v>
      </c>
      <c r="D892" s="364" t="s">
        <v>1117</v>
      </c>
      <c r="E892" s="367">
        <v>-863.94</v>
      </c>
      <c r="F892" s="249" t="s">
        <v>8</v>
      </c>
      <c r="G892" s="254" t="s">
        <v>51</v>
      </c>
      <c r="H892" s="321"/>
    </row>
    <row r="893" spans="1:8" s="250" customFormat="1" ht="14.4" x14ac:dyDescent="0.3">
      <c r="A893" s="316">
        <v>45888</v>
      </c>
      <c r="B893" s="316" t="s">
        <v>207</v>
      </c>
      <c r="C893" s="364" t="s">
        <v>25</v>
      </c>
      <c r="D893" s="364" t="s">
        <v>1117</v>
      </c>
      <c r="E893" s="367">
        <v>-2843.19</v>
      </c>
      <c r="F893" s="249" t="s">
        <v>8</v>
      </c>
      <c r="G893" s="254" t="s">
        <v>51</v>
      </c>
      <c r="H893" s="321"/>
    </row>
    <row r="894" spans="1:8" s="250" customFormat="1" ht="14.4" x14ac:dyDescent="0.3">
      <c r="A894" s="316">
        <v>45888</v>
      </c>
      <c r="B894" s="316" t="s">
        <v>207</v>
      </c>
      <c r="C894" s="364" t="s">
        <v>33</v>
      </c>
      <c r="D894" s="364" t="s">
        <v>1117</v>
      </c>
      <c r="E894" s="367">
        <v>-875.77</v>
      </c>
      <c r="F894" s="249" t="s">
        <v>8</v>
      </c>
      <c r="G894" s="254" t="s">
        <v>51</v>
      </c>
      <c r="H894" s="321"/>
    </row>
    <row r="895" spans="1:8" s="250" customFormat="1" ht="14.4" x14ac:dyDescent="0.3">
      <c r="A895" s="316">
        <v>45888</v>
      </c>
      <c r="B895" s="316" t="s">
        <v>207</v>
      </c>
      <c r="C895" s="364" t="s">
        <v>104</v>
      </c>
      <c r="D895" s="364" t="s">
        <v>1117</v>
      </c>
      <c r="E895" s="367">
        <v>-648.41999999999996</v>
      </c>
      <c r="F895" s="249" t="s">
        <v>8</v>
      </c>
      <c r="G895" s="254" t="s">
        <v>51</v>
      </c>
      <c r="H895" s="321"/>
    </row>
    <row r="896" spans="1:8" s="250" customFormat="1" ht="14.4" x14ac:dyDescent="0.3">
      <c r="A896" s="316">
        <v>45888</v>
      </c>
      <c r="B896" s="316" t="s">
        <v>207</v>
      </c>
      <c r="C896" s="364" t="s">
        <v>32</v>
      </c>
      <c r="D896" s="364" t="s">
        <v>1117</v>
      </c>
      <c r="E896" s="367">
        <v>-2362.3000000000002</v>
      </c>
      <c r="F896" s="249" t="s">
        <v>8</v>
      </c>
      <c r="G896" s="254" t="s">
        <v>51</v>
      </c>
      <c r="H896" s="321"/>
    </row>
    <row r="897" spans="1:8" s="250" customFormat="1" ht="14.4" x14ac:dyDescent="0.3">
      <c r="A897" s="316">
        <v>45888</v>
      </c>
      <c r="B897" s="316" t="s">
        <v>207</v>
      </c>
      <c r="C897" s="364" t="s">
        <v>71</v>
      </c>
      <c r="D897" s="364" t="s">
        <v>1117</v>
      </c>
      <c r="E897" s="367">
        <v>-852.9</v>
      </c>
      <c r="F897" s="249" t="s">
        <v>8</v>
      </c>
      <c r="G897" s="254" t="s">
        <v>51</v>
      </c>
      <c r="H897" s="321"/>
    </row>
    <row r="898" spans="1:8" s="250" customFormat="1" ht="14.4" x14ac:dyDescent="0.3">
      <c r="A898" s="316">
        <v>45888</v>
      </c>
      <c r="B898" s="316" t="s">
        <v>207</v>
      </c>
      <c r="C898" s="364" t="s">
        <v>17</v>
      </c>
      <c r="D898" s="364" t="s">
        <v>1117</v>
      </c>
      <c r="E898" s="367">
        <v>-721.22</v>
      </c>
      <c r="F898" s="249" t="s">
        <v>8</v>
      </c>
      <c r="G898" s="254" t="s">
        <v>51</v>
      </c>
      <c r="H898" s="321"/>
    </row>
    <row r="899" spans="1:8" s="139" customFormat="1" x14ac:dyDescent="0.3">
      <c r="A899" s="100">
        <v>45887</v>
      </c>
      <c r="B899" s="100" t="s">
        <v>207</v>
      </c>
      <c r="C899" s="98" t="s">
        <v>17</v>
      </c>
      <c r="D899" s="14" t="s">
        <v>692</v>
      </c>
      <c r="E899" s="8">
        <v>-110.45</v>
      </c>
      <c r="F899" s="13" t="s">
        <v>8</v>
      </c>
      <c r="G899" s="9" t="s">
        <v>75</v>
      </c>
      <c r="H899" s="79"/>
    </row>
    <row r="900" spans="1:8" s="250" customFormat="1" x14ac:dyDescent="0.3">
      <c r="A900" s="316">
        <v>45889</v>
      </c>
      <c r="B900" s="316" t="s">
        <v>207</v>
      </c>
      <c r="C900" s="371" t="s">
        <v>17</v>
      </c>
      <c r="D900" s="300" t="s">
        <v>1103</v>
      </c>
      <c r="E900" s="317">
        <v>-5460</v>
      </c>
      <c r="F900" s="249" t="s">
        <v>8</v>
      </c>
      <c r="G900" s="255" t="s">
        <v>53</v>
      </c>
      <c r="H900" s="320"/>
    </row>
    <row r="901" spans="1:8" s="250" customFormat="1" x14ac:dyDescent="0.3">
      <c r="A901" s="316">
        <v>45898</v>
      </c>
      <c r="B901" s="316" t="s">
        <v>207</v>
      </c>
      <c r="C901" s="293" t="s">
        <v>6</v>
      </c>
      <c r="D901" s="253" t="s">
        <v>1244</v>
      </c>
      <c r="E901" s="294">
        <v>-2003.33</v>
      </c>
      <c r="F901" s="249" t="s">
        <v>8</v>
      </c>
      <c r="G901" s="254" t="s">
        <v>139</v>
      </c>
      <c r="H901" s="320"/>
    </row>
    <row r="902" spans="1:8" s="139" customFormat="1" x14ac:dyDescent="0.3">
      <c r="A902" s="100">
        <v>45887</v>
      </c>
      <c r="B902" s="100" t="s">
        <v>207</v>
      </c>
      <c r="C902" s="98" t="s">
        <v>17</v>
      </c>
      <c r="D902" s="14" t="s">
        <v>1096</v>
      </c>
      <c r="E902" s="8">
        <v>-318</v>
      </c>
      <c r="F902" s="5" t="s">
        <v>8</v>
      </c>
      <c r="G902" s="9" t="s">
        <v>139</v>
      </c>
      <c r="H902" s="79"/>
    </row>
    <row r="903" spans="1:8" s="139" customFormat="1" x14ac:dyDescent="0.3">
      <c r="A903" s="100">
        <v>45887</v>
      </c>
      <c r="B903" s="100" t="s">
        <v>207</v>
      </c>
      <c r="C903" s="357" t="s">
        <v>104</v>
      </c>
      <c r="D903" s="14" t="s">
        <v>1055</v>
      </c>
      <c r="E903" s="8">
        <v>-100</v>
      </c>
      <c r="F903" s="5" t="s">
        <v>8</v>
      </c>
      <c r="G903" s="9" t="s">
        <v>82</v>
      </c>
      <c r="H903" s="79"/>
    </row>
    <row r="904" spans="1:8" s="139" customFormat="1" x14ac:dyDescent="0.3">
      <c r="A904" s="100">
        <v>45887</v>
      </c>
      <c r="B904" s="100" t="s">
        <v>207</v>
      </c>
      <c r="C904" s="98" t="s">
        <v>25</v>
      </c>
      <c r="D904" s="14" t="s">
        <v>953</v>
      </c>
      <c r="E904" s="8">
        <v>-184.5</v>
      </c>
      <c r="F904" s="5" t="s">
        <v>8</v>
      </c>
      <c r="G904" s="9" t="s">
        <v>82</v>
      </c>
      <c r="H904" s="79"/>
    </row>
    <row r="905" spans="1:8" s="250" customFormat="1" x14ac:dyDescent="0.3">
      <c r="A905" s="316">
        <v>45888</v>
      </c>
      <c r="B905" s="316" t="s">
        <v>207</v>
      </c>
      <c r="C905" s="252" t="s">
        <v>13</v>
      </c>
      <c r="D905" s="300" t="s">
        <v>572</v>
      </c>
      <c r="E905" s="318">
        <v>-5072.57</v>
      </c>
      <c r="F905" s="249" t="s">
        <v>8</v>
      </c>
      <c r="G905" s="254" t="s">
        <v>46</v>
      </c>
      <c r="H905" s="320"/>
    </row>
    <row r="906" spans="1:8" s="250" customFormat="1" x14ac:dyDescent="0.3">
      <c r="A906" s="316">
        <v>45889</v>
      </c>
      <c r="B906" s="316" t="s">
        <v>207</v>
      </c>
      <c r="C906" s="293" t="s">
        <v>31</v>
      </c>
      <c r="D906" s="293" t="s">
        <v>1134</v>
      </c>
      <c r="E906" s="248">
        <v>-1689.3</v>
      </c>
      <c r="F906" s="249" t="s">
        <v>8</v>
      </c>
      <c r="G906" s="255" t="s">
        <v>119</v>
      </c>
      <c r="H906" s="320"/>
    </row>
    <row r="907" spans="1:8" s="250" customFormat="1" x14ac:dyDescent="0.3">
      <c r="A907" s="316">
        <v>45889</v>
      </c>
      <c r="B907" s="316" t="s">
        <v>207</v>
      </c>
      <c r="C907" s="293" t="s">
        <v>6</v>
      </c>
      <c r="D907" s="293" t="s">
        <v>1134</v>
      </c>
      <c r="E907" s="248">
        <v>-1689.3</v>
      </c>
      <c r="F907" s="249" t="s">
        <v>8</v>
      </c>
      <c r="G907" s="255" t="s">
        <v>119</v>
      </c>
      <c r="H907" s="320"/>
    </row>
    <row r="908" spans="1:8" s="250" customFormat="1" x14ac:dyDescent="0.3">
      <c r="A908" s="316">
        <v>45889</v>
      </c>
      <c r="B908" s="316" t="s">
        <v>207</v>
      </c>
      <c r="C908" s="293" t="s">
        <v>44</v>
      </c>
      <c r="D908" s="293" t="s">
        <v>1134</v>
      </c>
      <c r="E908" s="248">
        <v>-1689.3</v>
      </c>
      <c r="F908" s="249" t="s">
        <v>8</v>
      </c>
      <c r="G908" s="255" t="s">
        <v>119</v>
      </c>
      <c r="H908" s="320"/>
    </row>
    <row r="909" spans="1:8" s="250" customFormat="1" x14ac:dyDescent="0.3">
      <c r="A909" s="316">
        <v>45889</v>
      </c>
      <c r="B909" s="316" t="s">
        <v>207</v>
      </c>
      <c r="C909" s="293" t="s">
        <v>25</v>
      </c>
      <c r="D909" s="293" t="s">
        <v>1134</v>
      </c>
      <c r="E909" s="248">
        <v>-1689.3</v>
      </c>
      <c r="F909" s="249" t="s">
        <v>8</v>
      </c>
      <c r="G909" s="255" t="s">
        <v>119</v>
      </c>
      <c r="H909" s="320"/>
    </row>
    <row r="910" spans="1:8" s="250" customFormat="1" x14ac:dyDescent="0.3">
      <c r="A910" s="316">
        <v>45889</v>
      </c>
      <c r="B910" s="316" t="s">
        <v>207</v>
      </c>
      <c r="C910" s="293" t="s">
        <v>33</v>
      </c>
      <c r="D910" s="293" t="s">
        <v>1134</v>
      </c>
      <c r="E910" s="248">
        <v>-1689.3</v>
      </c>
      <c r="F910" s="249" t="s">
        <v>8</v>
      </c>
      <c r="G910" s="255" t="s">
        <v>119</v>
      </c>
      <c r="H910" s="320"/>
    </row>
    <row r="911" spans="1:8" s="250" customFormat="1" x14ac:dyDescent="0.3">
      <c r="A911" s="316">
        <v>45889</v>
      </c>
      <c r="B911" s="316" t="s">
        <v>207</v>
      </c>
      <c r="C911" s="293" t="s">
        <v>104</v>
      </c>
      <c r="D911" s="293" t="s">
        <v>1134</v>
      </c>
      <c r="E911" s="248">
        <v>-1689.3</v>
      </c>
      <c r="F911" s="249" t="s">
        <v>8</v>
      </c>
      <c r="G911" s="255" t="s">
        <v>119</v>
      </c>
      <c r="H911" s="320"/>
    </row>
    <row r="912" spans="1:8" s="250" customFormat="1" x14ac:dyDescent="0.3">
      <c r="A912" s="316">
        <v>45889</v>
      </c>
      <c r="B912" s="316" t="s">
        <v>207</v>
      </c>
      <c r="C912" s="293" t="s">
        <v>32</v>
      </c>
      <c r="D912" s="293" t="s">
        <v>1134</v>
      </c>
      <c r="E912" s="248">
        <v>-1689.3</v>
      </c>
      <c r="F912" s="249" t="s">
        <v>8</v>
      </c>
      <c r="G912" s="255" t="s">
        <v>119</v>
      </c>
      <c r="H912" s="320"/>
    </row>
    <row r="913" spans="1:8" s="250" customFormat="1" x14ac:dyDescent="0.3">
      <c r="A913" s="316">
        <v>45889</v>
      </c>
      <c r="B913" s="316" t="s">
        <v>207</v>
      </c>
      <c r="C913" s="293" t="s">
        <v>71</v>
      </c>
      <c r="D913" s="293" t="s">
        <v>1134</v>
      </c>
      <c r="E913" s="248">
        <v>-1689.3</v>
      </c>
      <c r="F913" s="249" t="s">
        <v>8</v>
      </c>
      <c r="G913" s="255" t="s">
        <v>119</v>
      </c>
      <c r="H913" s="320"/>
    </row>
    <row r="914" spans="1:8" s="250" customFormat="1" x14ac:dyDescent="0.3">
      <c r="A914" s="316">
        <v>45889</v>
      </c>
      <c r="B914" s="316" t="s">
        <v>207</v>
      </c>
      <c r="C914" s="293" t="s">
        <v>17</v>
      </c>
      <c r="D914" s="293" t="s">
        <v>1134</v>
      </c>
      <c r="E914" s="248">
        <v>-2346.25</v>
      </c>
      <c r="F914" s="249" t="s">
        <v>8</v>
      </c>
      <c r="G914" s="255" t="s">
        <v>119</v>
      </c>
      <c r="H914" s="320"/>
    </row>
    <row r="915" spans="1:8" s="250" customFormat="1" x14ac:dyDescent="0.3">
      <c r="A915" s="316">
        <v>45889</v>
      </c>
      <c r="B915" s="316" t="s">
        <v>207</v>
      </c>
      <c r="C915" s="371" t="s">
        <v>17</v>
      </c>
      <c r="D915" s="300" t="s">
        <v>121</v>
      </c>
      <c r="E915" s="335">
        <v>-1046.6400000000001</v>
      </c>
      <c r="F915" s="249" t="s">
        <v>8</v>
      </c>
      <c r="G915" s="255" t="s">
        <v>68</v>
      </c>
      <c r="H915" s="320"/>
    </row>
    <row r="916" spans="1:8" s="250" customFormat="1" x14ac:dyDescent="0.3">
      <c r="A916" s="316">
        <v>45889</v>
      </c>
      <c r="B916" s="316" t="s">
        <v>207</v>
      </c>
      <c r="C916" s="299" t="s">
        <v>6</v>
      </c>
      <c r="D916" s="300" t="s">
        <v>122</v>
      </c>
      <c r="E916" s="317">
        <v>-39.799999999999997</v>
      </c>
      <c r="F916" s="249" t="s">
        <v>8</v>
      </c>
      <c r="G916" s="255" t="s">
        <v>68</v>
      </c>
      <c r="H916" s="320"/>
    </row>
    <row r="917" spans="1:8" s="250" customFormat="1" x14ac:dyDescent="0.3">
      <c r="A917" s="316">
        <v>45889</v>
      </c>
      <c r="B917" s="316" t="s">
        <v>207</v>
      </c>
      <c r="C917" s="299" t="s">
        <v>44</v>
      </c>
      <c r="D917" s="300" t="s">
        <v>1107</v>
      </c>
      <c r="E917" s="317">
        <v>-4544.8500000000004</v>
      </c>
      <c r="F917" s="249" t="s">
        <v>8</v>
      </c>
      <c r="G917" s="374" t="s">
        <v>124</v>
      </c>
      <c r="H917" s="320"/>
    </row>
    <row r="918" spans="1:8" s="250" customFormat="1" x14ac:dyDescent="0.3">
      <c r="A918" s="316">
        <v>45889</v>
      </c>
      <c r="B918" s="316" t="s">
        <v>207</v>
      </c>
      <c r="C918" s="252" t="s">
        <v>25</v>
      </c>
      <c r="D918" s="300" t="s">
        <v>1106</v>
      </c>
      <c r="E918" s="317">
        <v>-1122.06</v>
      </c>
      <c r="F918" s="249" t="s">
        <v>8</v>
      </c>
      <c r="G918" s="374" t="s">
        <v>124</v>
      </c>
      <c r="H918" s="320"/>
    </row>
    <row r="919" spans="1:8" s="250" customFormat="1" x14ac:dyDescent="0.3">
      <c r="A919" s="316">
        <v>45889</v>
      </c>
      <c r="B919" s="316" t="s">
        <v>207</v>
      </c>
      <c r="C919" s="299" t="s">
        <v>1105</v>
      </c>
      <c r="D919" s="300" t="s">
        <v>1108</v>
      </c>
      <c r="E919" s="317">
        <v>-1375.8</v>
      </c>
      <c r="F919" s="249" t="s">
        <v>8</v>
      </c>
      <c r="G919" s="374" t="s">
        <v>124</v>
      </c>
      <c r="H919" s="320"/>
    </row>
    <row r="920" spans="1:8" s="250" customFormat="1" x14ac:dyDescent="0.3">
      <c r="A920" s="316">
        <v>45889</v>
      </c>
      <c r="B920" s="316" t="s">
        <v>207</v>
      </c>
      <c r="C920" s="299" t="s">
        <v>32</v>
      </c>
      <c r="D920" s="300" t="s">
        <v>1109</v>
      </c>
      <c r="E920" s="317">
        <v>-1418.32</v>
      </c>
      <c r="F920" s="249" t="s">
        <v>8</v>
      </c>
      <c r="G920" s="374" t="s">
        <v>124</v>
      </c>
      <c r="H920" s="320"/>
    </row>
    <row r="921" spans="1:8" s="250" customFormat="1" x14ac:dyDescent="0.3">
      <c r="A921" s="316">
        <v>45889</v>
      </c>
      <c r="B921" s="316" t="s">
        <v>207</v>
      </c>
      <c r="C921" s="299" t="s">
        <v>33</v>
      </c>
      <c r="D921" s="300" t="s">
        <v>1110</v>
      </c>
      <c r="E921" s="317">
        <v>-4591.54</v>
      </c>
      <c r="F921" s="249" t="s">
        <v>8</v>
      </c>
      <c r="G921" s="374" t="s">
        <v>124</v>
      </c>
      <c r="H921" s="320"/>
    </row>
    <row r="922" spans="1:8" s="250" customFormat="1" x14ac:dyDescent="0.3">
      <c r="A922" s="316">
        <v>45889</v>
      </c>
      <c r="B922" s="316" t="s">
        <v>207</v>
      </c>
      <c r="C922" s="299" t="s">
        <v>34</v>
      </c>
      <c r="D922" s="300" t="s">
        <v>1111</v>
      </c>
      <c r="E922" s="317">
        <v>-4774.17</v>
      </c>
      <c r="F922" s="249" t="s">
        <v>8</v>
      </c>
      <c r="G922" s="374" t="s">
        <v>124</v>
      </c>
      <c r="H922" s="320"/>
    </row>
    <row r="923" spans="1:8" s="250" customFormat="1" x14ac:dyDescent="0.3">
      <c r="A923" s="316">
        <v>45889</v>
      </c>
      <c r="B923" s="316" t="s">
        <v>207</v>
      </c>
      <c r="C923" s="299" t="s">
        <v>30</v>
      </c>
      <c r="D923" s="300" t="s">
        <v>1112</v>
      </c>
      <c r="E923" s="317">
        <v>-1309.9000000000001</v>
      </c>
      <c r="F923" s="249" t="s">
        <v>8</v>
      </c>
      <c r="G923" s="374" t="s">
        <v>124</v>
      </c>
      <c r="H923" s="320"/>
    </row>
    <row r="924" spans="1:8" s="250" customFormat="1" x14ac:dyDescent="0.3">
      <c r="A924" s="316">
        <v>45889</v>
      </c>
      <c r="B924" s="316" t="s">
        <v>207</v>
      </c>
      <c r="C924" s="252" t="s">
        <v>17</v>
      </c>
      <c r="D924" s="253" t="s">
        <v>1133</v>
      </c>
      <c r="E924" s="317">
        <v>-29.5</v>
      </c>
      <c r="F924" s="249" t="s">
        <v>8</v>
      </c>
      <c r="G924" s="374" t="s">
        <v>124</v>
      </c>
      <c r="H924" s="320"/>
    </row>
    <row r="925" spans="1:8" s="250" customFormat="1" x14ac:dyDescent="0.3">
      <c r="A925" s="316">
        <v>45889</v>
      </c>
      <c r="B925" s="316" t="s">
        <v>207</v>
      </c>
      <c r="C925" s="252" t="s">
        <v>17</v>
      </c>
      <c r="D925" s="253" t="s">
        <v>1104</v>
      </c>
      <c r="E925" s="317">
        <v>-14264.18</v>
      </c>
      <c r="F925" s="249" t="s">
        <v>8</v>
      </c>
      <c r="G925" s="374" t="s">
        <v>124</v>
      </c>
      <c r="H925" s="320"/>
    </row>
    <row r="926" spans="1:8" s="250" customFormat="1" x14ac:dyDescent="0.3">
      <c r="A926" s="316">
        <v>45894</v>
      </c>
      <c r="B926" s="316" t="s">
        <v>207</v>
      </c>
      <c r="C926" s="291" t="s">
        <v>6</v>
      </c>
      <c r="D926" s="253" t="s">
        <v>773</v>
      </c>
      <c r="E926" s="317">
        <v>-1773.62</v>
      </c>
      <c r="F926" s="373" t="s">
        <v>8</v>
      </c>
      <c r="G926" s="374" t="s">
        <v>124</v>
      </c>
      <c r="H926" s="320"/>
    </row>
    <row r="927" spans="1:8" s="250" customFormat="1" x14ac:dyDescent="0.3">
      <c r="A927" s="316">
        <v>45889</v>
      </c>
      <c r="B927" s="316" t="s">
        <v>207</v>
      </c>
      <c r="C927" s="293" t="s">
        <v>31</v>
      </c>
      <c r="D927" s="293" t="s">
        <v>1087</v>
      </c>
      <c r="E927" s="248">
        <v>-12296.18</v>
      </c>
      <c r="F927" s="373" t="s">
        <v>8</v>
      </c>
      <c r="G927" s="374" t="s">
        <v>124</v>
      </c>
      <c r="H927" s="320"/>
    </row>
    <row r="928" spans="1:8" s="250" customFormat="1" x14ac:dyDescent="0.3">
      <c r="A928" s="316">
        <v>45889</v>
      </c>
      <c r="B928" s="316" t="s">
        <v>207</v>
      </c>
      <c r="C928" s="293" t="s">
        <v>6</v>
      </c>
      <c r="D928" s="293" t="s">
        <v>668</v>
      </c>
      <c r="E928" s="248">
        <v>-4941.3100000000004</v>
      </c>
      <c r="F928" s="373" t="s">
        <v>8</v>
      </c>
      <c r="G928" s="374" t="s">
        <v>124</v>
      </c>
      <c r="H928" s="320"/>
    </row>
    <row r="929" spans="1:8" s="250" customFormat="1" x14ac:dyDescent="0.3">
      <c r="A929" s="316">
        <v>45889</v>
      </c>
      <c r="B929" s="316" t="s">
        <v>207</v>
      </c>
      <c r="C929" s="293" t="s">
        <v>44</v>
      </c>
      <c r="D929" s="293" t="s">
        <v>669</v>
      </c>
      <c r="E929" s="248">
        <v>-5133.79</v>
      </c>
      <c r="F929" s="373" t="s">
        <v>8</v>
      </c>
      <c r="G929" s="374" t="s">
        <v>124</v>
      </c>
      <c r="H929" s="320"/>
    </row>
    <row r="930" spans="1:8" s="250" customFormat="1" x14ac:dyDescent="0.3">
      <c r="A930" s="316">
        <v>45889</v>
      </c>
      <c r="B930" s="316" t="s">
        <v>207</v>
      </c>
      <c r="C930" s="293" t="s">
        <v>25</v>
      </c>
      <c r="D930" s="293" t="s">
        <v>1082</v>
      </c>
      <c r="E930" s="248">
        <v>-9118.24</v>
      </c>
      <c r="F930" s="373" t="s">
        <v>8</v>
      </c>
      <c r="G930" s="374" t="s">
        <v>124</v>
      </c>
      <c r="H930" s="320"/>
    </row>
    <row r="931" spans="1:8" s="250" customFormat="1" x14ac:dyDescent="0.3">
      <c r="A931" s="316">
        <v>45889</v>
      </c>
      <c r="B931" s="316" t="s">
        <v>207</v>
      </c>
      <c r="C931" s="293" t="s">
        <v>33</v>
      </c>
      <c r="D931" s="293" t="s">
        <v>1083</v>
      </c>
      <c r="E931" s="248">
        <v>-5275.51</v>
      </c>
      <c r="F931" s="373" t="s">
        <v>8</v>
      </c>
      <c r="G931" s="374" t="s">
        <v>124</v>
      </c>
      <c r="H931" s="320"/>
    </row>
    <row r="932" spans="1:8" s="250" customFormat="1" x14ac:dyDescent="0.3">
      <c r="A932" s="316">
        <v>45889</v>
      </c>
      <c r="B932" s="316" t="s">
        <v>207</v>
      </c>
      <c r="C932" s="293" t="s">
        <v>104</v>
      </c>
      <c r="D932" s="293" t="s">
        <v>1084</v>
      </c>
      <c r="E932" s="335">
        <v>-2899.38</v>
      </c>
      <c r="F932" s="373" t="s">
        <v>8</v>
      </c>
      <c r="G932" s="374" t="s">
        <v>124</v>
      </c>
      <c r="H932" s="320"/>
    </row>
    <row r="933" spans="1:8" s="250" customFormat="1" x14ac:dyDescent="0.3">
      <c r="A933" s="316">
        <v>45889</v>
      </c>
      <c r="B933" s="316" t="s">
        <v>207</v>
      </c>
      <c r="C933" s="293" t="s">
        <v>32</v>
      </c>
      <c r="D933" s="293" t="s">
        <v>1085</v>
      </c>
      <c r="E933" s="248">
        <v>-8629.2099999999991</v>
      </c>
      <c r="F933" s="373" t="s">
        <v>8</v>
      </c>
      <c r="G933" s="374" t="s">
        <v>124</v>
      </c>
      <c r="H933" s="320"/>
    </row>
    <row r="934" spans="1:8" s="250" customFormat="1" x14ac:dyDescent="0.3">
      <c r="A934" s="316">
        <v>45889</v>
      </c>
      <c r="B934" s="316" t="s">
        <v>207</v>
      </c>
      <c r="C934" s="293" t="s">
        <v>71</v>
      </c>
      <c r="D934" s="293" t="s">
        <v>1086</v>
      </c>
      <c r="E934" s="248">
        <v>-3577.26</v>
      </c>
      <c r="F934" s="373" t="s">
        <v>8</v>
      </c>
      <c r="G934" s="374" t="s">
        <v>124</v>
      </c>
      <c r="H934" s="320"/>
    </row>
    <row r="935" spans="1:8" s="250" customFormat="1" x14ac:dyDescent="0.3">
      <c r="A935" s="316">
        <v>45889</v>
      </c>
      <c r="B935" s="316" t="s">
        <v>207</v>
      </c>
      <c r="C935" s="372" t="s">
        <v>17</v>
      </c>
      <c r="D935" s="372" t="s">
        <v>675</v>
      </c>
      <c r="E935" s="344">
        <v>-3017.28</v>
      </c>
      <c r="F935" s="373" t="s">
        <v>8</v>
      </c>
      <c r="G935" s="374" t="s">
        <v>124</v>
      </c>
      <c r="H935" s="320"/>
    </row>
    <row r="936" spans="1:8" s="250" customFormat="1" x14ac:dyDescent="0.3">
      <c r="A936" s="316">
        <v>45889</v>
      </c>
      <c r="B936" s="316" t="s">
        <v>207</v>
      </c>
      <c r="C936" s="293" t="s">
        <v>31</v>
      </c>
      <c r="D936" s="293" t="s">
        <v>1075</v>
      </c>
      <c r="E936" s="248">
        <v>-9496.35</v>
      </c>
      <c r="F936" s="373" t="s">
        <v>8</v>
      </c>
      <c r="G936" s="374" t="s">
        <v>124</v>
      </c>
      <c r="H936" s="320"/>
    </row>
    <row r="937" spans="1:8" s="250" customFormat="1" x14ac:dyDescent="0.3">
      <c r="A937" s="316">
        <v>45889</v>
      </c>
      <c r="B937" s="316" t="s">
        <v>207</v>
      </c>
      <c r="C937" s="293" t="s">
        <v>6</v>
      </c>
      <c r="D937" s="293" t="s">
        <v>677</v>
      </c>
      <c r="E937" s="248">
        <v>-10971.43</v>
      </c>
      <c r="F937" s="373" t="s">
        <v>8</v>
      </c>
      <c r="G937" s="374" t="s">
        <v>124</v>
      </c>
      <c r="H937" s="320"/>
    </row>
    <row r="938" spans="1:8" s="250" customFormat="1" x14ac:dyDescent="0.3">
      <c r="A938" s="316">
        <v>45889</v>
      </c>
      <c r="B938" s="316" t="s">
        <v>207</v>
      </c>
      <c r="C938" s="293" t="s">
        <v>44</v>
      </c>
      <c r="D938" s="293" t="s">
        <v>1076</v>
      </c>
      <c r="E938" s="248">
        <v>-3579.94</v>
      </c>
      <c r="F938" s="373" t="s">
        <v>8</v>
      </c>
      <c r="G938" s="374" t="s">
        <v>124</v>
      </c>
      <c r="H938" s="320"/>
    </row>
    <row r="939" spans="1:8" s="250" customFormat="1" x14ac:dyDescent="0.3">
      <c r="A939" s="316">
        <v>45889</v>
      </c>
      <c r="B939" s="316" t="s">
        <v>207</v>
      </c>
      <c r="C939" s="293" t="s">
        <v>25</v>
      </c>
      <c r="D939" s="293" t="s">
        <v>1077</v>
      </c>
      <c r="E939" s="248">
        <v>-6549.14</v>
      </c>
      <c r="F939" s="373" t="s">
        <v>8</v>
      </c>
      <c r="G939" s="374" t="s">
        <v>124</v>
      </c>
      <c r="H939" s="320"/>
    </row>
    <row r="940" spans="1:8" s="250" customFormat="1" x14ac:dyDescent="0.3">
      <c r="A940" s="316">
        <v>45889</v>
      </c>
      <c r="B940" s="316" t="s">
        <v>207</v>
      </c>
      <c r="C940" s="293" t="s">
        <v>33</v>
      </c>
      <c r="D940" s="293" t="s">
        <v>1078</v>
      </c>
      <c r="E940" s="248">
        <v>-2091.98</v>
      </c>
      <c r="F940" s="373" t="s">
        <v>8</v>
      </c>
      <c r="G940" s="374" t="s">
        <v>124</v>
      </c>
      <c r="H940" s="320"/>
    </row>
    <row r="941" spans="1:8" s="250" customFormat="1" x14ac:dyDescent="0.3">
      <c r="A941" s="316">
        <v>45889</v>
      </c>
      <c r="B941" s="316" t="s">
        <v>207</v>
      </c>
      <c r="C941" s="293" t="s">
        <v>104</v>
      </c>
      <c r="D941" s="293" t="s">
        <v>1079</v>
      </c>
      <c r="E941" s="248">
        <v>-24.94</v>
      </c>
      <c r="F941" s="373" t="s">
        <v>8</v>
      </c>
      <c r="G941" s="374" t="s">
        <v>124</v>
      </c>
      <c r="H941" s="320"/>
    </row>
    <row r="942" spans="1:8" s="250" customFormat="1" x14ac:dyDescent="0.3">
      <c r="A942" s="316">
        <v>45889</v>
      </c>
      <c r="B942" s="316" t="s">
        <v>207</v>
      </c>
      <c r="C942" s="293" t="s">
        <v>32</v>
      </c>
      <c r="D942" s="293" t="s">
        <v>681</v>
      </c>
      <c r="E942" s="335">
        <v>-7620.64</v>
      </c>
      <c r="F942" s="373" t="s">
        <v>8</v>
      </c>
      <c r="G942" s="374" t="s">
        <v>124</v>
      </c>
      <c r="H942" s="320"/>
    </row>
    <row r="943" spans="1:8" s="250" customFormat="1" x14ac:dyDescent="0.3">
      <c r="A943" s="316">
        <v>45889</v>
      </c>
      <c r="B943" s="316" t="s">
        <v>207</v>
      </c>
      <c r="C943" s="293" t="s">
        <v>71</v>
      </c>
      <c r="D943" s="293" t="s">
        <v>1080</v>
      </c>
      <c r="E943" s="248">
        <v>-1818.31</v>
      </c>
      <c r="F943" s="373" t="s">
        <v>8</v>
      </c>
      <c r="G943" s="374" t="s">
        <v>124</v>
      </c>
      <c r="H943" s="320"/>
    </row>
    <row r="944" spans="1:8" s="250" customFormat="1" x14ac:dyDescent="0.3">
      <c r="A944" s="316">
        <v>45889</v>
      </c>
      <c r="B944" s="316" t="s">
        <v>207</v>
      </c>
      <c r="C944" s="293" t="s">
        <v>17</v>
      </c>
      <c r="D944" s="293" t="s">
        <v>1081</v>
      </c>
      <c r="E944" s="248">
        <v>-13894.59</v>
      </c>
      <c r="F944" s="373" t="s">
        <v>8</v>
      </c>
      <c r="G944" s="374" t="s">
        <v>124</v>
      </c>
      <c r="H944" s="320"/>
    </row>
    <row r="945" spans="1:7" s="210" customFormat="1" x14ac:dyDescent="0.3">
      <c r="A945" s="375">
        <v>45889</v>
      </c>
      <c r="B945" s="375" t="s">
        <v>207</v>
      </c>
      <c r="C945" s="376" t="s">
        <v>6</v>
      </c>
      <c r="D945" s="377" t="s">
        <v>764</v>
      </c>
      <c r="E945" s="317">
        <v>-62065.88</v>
      </c>
      <c r="F945" s="378" t="s">
        <v>8</v>
      </c>
      <c r="G945" s="379" t="s">
        <v>27</v>
      </c>
    </row>
    <row r="946" spans="1:7" s="250" customFormat="1" x14ac:dyDescent="0.3">
      <c r="A946" s="316">
        <v>45889</v>
      </c>
      <c r="B946" s="316" t="s">
        <v>207</v>
      </c>
      <c r="C946" s="293" t="s">
        <v>6</v>
      </c>
      <c r="D946" s="293" t="s">
        <v>654</v>
      </c>
      <c r="E946" s="248">
        <v>-11383.86</v>
      </c>
      <c r="F946" s="249" t="s">
        <v>8</v>
      </c>
      <c r="G946" s="254" t="s">
        <v>82</v>
      </c>
    </row>
    <row r="947" spans="1:7" s="250" customFormat="1" x14ac:dyDescent="0.3">
      <c r="A947" s="316">
        <v>45889</v>
      </c>
      <c r="B947" s="316" t="s">
        <v>207</v>
      </c>
      <c r="C947" s="293" t="s">
        <v>44</v>
      </c>
      <c r="D947" s="293" t="s">
        <v>654</v>
      </c>
      <c r="E947" s="248">
        <v>-1904.57</v>
      </c>
      <c r="F947" s="249" t="s">
        <v>8</v>
      </c>
      <c r="G947" s="254" t="s">
        <v>82</v>
      </c>
    </row>
    <row r="948" spans="1:7" s="250" customFormat="1" x14ac:dyDescent="0.3">
      <c r="A948" s="316">
        <v>45889</v>
      </c>
      <c r="B948" s="316" t="s">
        <v>207</v>
      </c>
      <c r="C948" s="293" t="s">
        <v>33</v>
      </c>
      <c r="D948" s="293" t="s">
        <v>654</v>
      </c>
      <c r="E948" s="248">
        <v>-620.04999999999995</v>
      </c>
      <c r="F948" s="249" t="s">
        <v>8</v>
      </c>
      <c r="G948" s="254" t="s">
        <v>82</v>
      </c>
    </row>
    <row r="949" spans="1:7" s="250" customFormat="1" x14ac:dyDescent="0.3">
      <c r="A949" s="316">
        <v>45889</v>
      </c>
      <c r="B949" s="316" t="s">
        <v>207</v>
      </c>
      <c r="C949" s="293" t="s">
        <v>104</v>
      </c>
      <c r="D949" s="293" t="s">
        <v>654</v>
      </c>
      <c r="E949" s="248">
        <v>-993.74</v>
      </c>
      <c r="F949" s="249" t="s">
        <v>8</v>
      </c>
      <c r="G949" s="254" t="s">
        <v>82</v>
      </c>
    </row>
    <row r="950" spans="1:7" s="250" customFormat="1" x14ac:dyDescent="0.3">
      <c r="A950" s="316">
        <v>45889</v>
      </c>
      <c r="B950" s="316" t="s">
        <v>207</v>
      </c>
      <c r="C950" s="293" t="s">
        <v>32</v>
      </c>
      <c r="D950" s="293" t="s">
        <v>654</v>
      </c>
      <c r="E950" s="248">
        <v>-2385.4499999999998</v>
      </c>
      <c r="F950" s="249" t="s">
        <v>8</v>
      </c>
      <c r="G950" s="254" t="s">
        <v>82</v>
      </c>
    </row>
    <row r="951" spans="1:7" s="250" customFormat="1" x14ac:dyDescent="0.3">
      <c r="A951" s="316">
        <v>45889</v>
      </c>
      <c r="B951" s="316" t="s">
        <v>207</v>
      </c>
      <c r="C951" s="293" t="s">
        <v>71</v>
      </c>
      <c r="D951" s="293" t="s">
        <v>654</v>
      </c>
      <c r="E951" s="248">
        <v>-1548.2</v>
      </c>
      <c r="F951" s="249" t="s">
        <v>8</v>
      </c>
      <c r="G951" s="254" t="s">
        <v>82</v>
      </c>
    </row>
    <row r="952" spans="1:7" s="250" customFormat="1" x14ac:dyDescent="0.3">
      <c r="A952" s="316">
        <v>45889</v>
      </c>
      <c r="B952" s="316" t="s">
        <v>207</v>
      </c>
      <c r="C952" s="293" t="s">
        <v>17</v>
      </c>
      <c r="D952" s="293" t="s">
        <v>654</v>
      </c>
      <c r="E952" s="248">
        <v>-23731.68</v>
      </c>
      <c r="F952" s="249" t="s">
        <v>8</v>
      </c>
      <c r="G952" s="254" t="s">
        <v>82</v>
      </c>
    </row>
    <row r="953" spans="1:7" s="250" customFormat="1" x14ac:dyDescent="0.3">
      <c r="A953" s="316">
        <v>45891</v>
      </c>
      <c r="B953" s="316" t="s">
        <v>207</v>
      </c>
      <c r="C953" s="299" t="s">
        <v>30</v>
      </c>
      <c r="D953" s="300" t="s">
        <v>766</v>
      </c>
      <c r="E953" s="317">
        <v>-5890</v>
      </c>
      <c r="F953" s="249" t="s">
        <v>8</v>
      </c>
      <c r="G953" s="255" t="s">
        <v>27</v>
      </c>
    </row>
    <row r="954" spans="1:7" s="250" customFormat="1" x14ac:dyDescent="0.3">
      <c r="A954" s="316">
        <v>45889</v>
      </c>
      <c r="B954" s="316" t="s">
        <v>207</v>
      </c>
      <c r="C954" s="299" t="s">
        <v>25</v>
      </c>
      <c r="D954" s="300" t="s">
        <v>761</v>
      </c>
      <c r="E954" s="317">
        <v>-2982.25</v>
      </c>
      <c r="F954" s="249" t="s">
        <v>8</v>
      </c>
      <c r="G954" s="310" t="s">
        <v>153</v>
      </c>
    </row>
    <row r="955" spans="1:7" s="139" customFormat="1" x14ac:dyDescent="0.3">
      <c r="A955" s="135">
        <v>45890</v>
      </c>
      <c r="B955" s="2" t="s">
        <v>207</v>
      </c>
      <c r="C955" s="14" t="s">
        <v>71</v>
      </c>
      <c r="D955" s="14" t="s">
        <v>1026</v>
      </c>
      <c r="E955" s="8">
        <v>-1400</v>
      </c>
      <c r="F955" s="13" t="s">
        <v>8</v>
      </c>
      <c r="G955" s="82" t="s">
        <v>227</v>
      </c>
    </row>
    <row r="956" spans="1:7" s="139" customFormat="1" x14ac:dyDescent="0.3">
      <c r="A956" s="135">
        <v>45890</v>
      </c>
      <c r="B956" s="2" t="s">
        <v>207</v>
      </c>
      <c r="C956" s="14" t="s">
        <v>17</v>
      </c>
      <c r="D956" s="14" t="s">
        <v>385</v>
      </c>
      <c r="E956" s="8">
        <v>-635.17999999999995</v>
      </c>
      <c r="F956" s="13" t="s">
        <v>8</v>
      </c>
      <c r="G956" s="9" t="s">
        <v>386</v>
      </c>
    </row>
    <row r="957" spans="1:7" s="139" customFormat="1" x14ac:dyDescent="0.3">
      <c r="A957" s="135">
        <v>45890</v>
      </c>
      <c r="B957" s="2" t="s">
        <v>207</v>
      </c>
      <c r="C957" s="14" t="s">
        <v>44</v>
      </c>
      <c r="D957" s="14" t="s">
        <v>204</v>
      </c>
      <c r="E957" s="8">
        <v>-9520.2999999999993</v>
      </c>
      <c r="F957" s="13" t="s">
        <v>8</v>
      </c>
      <c r="G957" s="9" t="s">
        <v>227</v>
      </c>
    </row>
    <row r="958" spans="1:7" s="250" customFormat="1" x14ac:dyDescent="0.3">
      <c r="A958" s="316">
        <v>45889</v>
      </c>
      <c r="B958" s="316" t="s">
        <v>207</v>
      </c>
      <c r="C958" s="293" t="s">
        <v>31</v>
      </c>
      <c r="D958" s="293" t="s">
        <v>1025</v>
      </c>
      <c r="E958" s="248">
        <v>-1240</v>
      </c>
      <c r="F958" s="249" t="s">
        <v>8</v>
      </c>
      <c r="G958" s="254" t="s">
        <v>186</v>
      </c>
    </row>
    <row r="959" spans="1:7" s="250" customFormat="1" x14ac:dyDescent="0.3">
      <c r="A959" s="441">
        <v>45889</v>
      </c>
      <c r="B959" s="442" t="s">
        <v>207</v>
      </c>
      <c r="C959" s="372" t="s">
        <v>17</v>
      </c>
      <c r="D959" s="372" t="s">
        <v>715</v>
      </c>
      <c r="E959" s="344">
        <v>-268.92</v>
      </c>
      <c r="F959" s="373" t="s">
        <v>8</v>
      </c>
      <c r="G959" s="266" t="s">
        <v>186</v>
      </c>
    </row>
    <row r="960" spans="1:7" s="300" customFormat="1" x14ac:dyDescent="0.3">
      <c r="A960" s="251">
        <v>45919</v>
      </c>
      <c r="B960" s="316" t="s">
        <v>208</v>
      </c>
      <c r="C960" s="293" t="s">
        <v>31</v>
      </c>
      <c r="D960" s="293" t="s">
        <v>1325</v>
      </c>
      <c r="E960" s="248">
        <v>-1240</v>
      </c>
      <c r="F960" s="249" t="s">
        <v>8</v>
      </c>
      <c r="G960" s="265" t="s">
        <v>186</v>
      </c>
    </row>
    <row r="961" spans="1:7" s="250" customFormat="1" x14ac:dyDescent="0.3">
      <c r="A961" s="580">
        <v>45919</v>
      </c>
      <c r="B961" s="316" t="s">
        <v>208</v>
      </c>
      <c r="C961" s="293" t="s">
        <v>17</v>
      </c>
      <c r="D961" s="293" t="s">
        <v>716</v>
      </c>
      <c r="E961" s="248">
        <v>-268.92</v>
      </c>
      <c r="F961" s="249" t="s">
        <v>8</v>
      </c>
      <c r="G961" s="265" t="s">
        <v>186</v>
      </c>
    </row>
    <row r="962" spans="1:7" s="139" customFormat="1" hidden="1" x14ac:dyDescent="0.3">
      <c r="A962" s="182">
        <v>45951</v>
      </c>
      <c r="B962" s="23" t="s">
        <v>211</v>
      </c>
      <c r="C962" s="357" t="s">
        <v>17</v>
      </c>
      <c r="D962" s="14" t="s">
        <v>389</v>
      </c>
      <c r="E962" s="273">
        <v>-84.56</v>
      </c>
      <c r="F962" s="110" t="s">
        <v>8</v>
      </c>
      <c r="G962" s="70" t="s">
        <v>139</v>
      </c>
    </row>
    <row r="963" spans="1:7" s="139" customFormat="1" hidden="1" x14ac:dyDescent="0.3">
      <c r="A963" s="206">
        <v>45951</v>
      </c>
      <c r="B963" s="146" t="s">
        <v>211</v>
      </c>
      <c r="C963" s="610" t="s">
        <v>17</v>
      </c>
      <c r="D963" s="14" t="s">
        <v>717</v>
      </c>
      <c r="E963" s="8">
        <v>-268.92</v>
      </c>
      <c r="F963" s="110" t="s">
        <v>8</v>
      </c>
      <c r="G963" s="187" t="s">
        <v>186</v>
      </c>
    </row>
    <row r="964" spans="1:7" s="139" customFormat="1" hidden="1" x14ac:dyDescent="0.3">
      <c r="A964" s="136">
        <v>45982</v>
      </c>
      <c r="B964" s="100" t="s">
        <v>212</v>
      </c>
      <c r="C964" s="14" t="s">
        <v>17</v>
      </c>
      <c r="D964" s="14" t="s">
        <v>718</v>
      </c>
      <c r="E964" s="8">
        <v>-268.92</v>
      </c>
      <c r="F964" s="13" t="s">
        <v>8</v>
      </c>
      <c r="G964" s="37" t="s">
        <v>186</v>
      </c>
    </row>
    <row r="965" spans="1:7" s="250" customFormat="1" x14ac:dyDescent="0.3">
      <c r="A965" s="316">
        <v>45891</v>
      </c>
      <c r="B965" s="316" t="s">
        <v>207</v>
      </c>
      <c r="C965" s="299" t="s">
        <v>30</v>
      </c>
      <c r="D965" s="293" t="s">
        <v>1151</v>
      </c>
      <c r="E965" s="248">
        <v>-500</v>
      </c>
      <c r="F965" s="249" t="s">
        <v>8</v>
      </c>
      <c r="G965" s="255" t="s">
        <v>27</v>
      </c>
    </row>
    <row r="966" spans="1:7" s="250" customFormat="1" x14ac:dyDescent="0.3">
      <c r="A966" s="316">
        <v>45891</v>
      </c>
      <c r="B966" s="316" t="s">
        <v>207</v>
      </c>
      <c r="C966" s="299" t="s">
        <v>30</v>
      </c>
      <c r="D966" s="293" t="s">
        <v>1152</v>
      </c>
      <c r="E966" s="248">
        <v>-500</v>
      </c>
      <c r="F966" s="249" t="s">
        <v>8</v>
      </c>
      <c r="G966" s="255" t="s">
        <v>27</v>
      </c>
    </row>
    <row r="967" spans="1:7" s="250" customFormat="1" x14ac:dyDescent="0.3">
      <c r="A967" s="316">
        <v>45891</v>
      </c>
      <c r="B967" s="316" t="s">
        <v>207</v>
      </c>
      <c r="C967" s="299" t="s">
        <v>30</v>
      </c>
      <c r="D967" s="293" t="s">
        <v>1153</v>
      </c>
      <c r="E967" s="248">
        <v>-700</v>
      </c>
      <c r="F967" s="249" t="s">
        <v>8</v>
      </c>
      <c r="G967" s="255" t="s">
        <v>27</v>
      </c>
    </row>
    <row r="968" spans="1:7" s="250" customFormat="1" x14ac:dyDescent="0.3">
      <c r="A968" s="316">
        <v>45891</v>
      </c>
      <c r="B968" s="316" t="s">
        <v>207</v>
      </c>
      <c r="C968" s="299" t="s">
        <v>30</v>
      </c>
      <c r="D968" s="293" t="s">
        <v>1154</v>
      </c>
      <c r="E968" s="248">
        <v>-390</v>
      </c>
      <c r="F968" s="249" t="s">
        <v>8</v>
      </c>
      <c r="G968" s="255" t="s">
        <v>27</v>
      </c>
    </row>
    <row r="969" spans="1:7" s="250" customFormat="1" x14ac:dyDescent="0.3">
      <c r="A969" s="316">
        <v>45891</v>
      </c>
      <c r="B969" s="316" t="s">
        <v>207</v>
      </c>
      <c r="C969" s="299" t="s">
        <v>30</v>
      </c>
      <c r="D969" s="293" t="s">
        <v>1155</v>
      </c>
      <c r="E969" s="248">
        <v>-900</v>
      </c>
      <c r="F969" s="249" t="s">
        <v>8</v>
      </c>
      <c r="G969" s="255" t="s">
        <v>27</v>
      </c>
    </row>
    <row r="970" spans="1:7" s="250" customFormat="1" x14ac:dyDescent="0.3">
      <c r="A970" s="251">
        <v>45891</v>
      </c>
      <c r="B970" s="316" t="s">
        <v>207</v>
      </c>
      <c r="C970" s="252" t="s">
        <v>17</v>
      </c>
      <c r="D970" s="300" t="s">
        <v>536</v>
      </c>
      <c r="E970" s="319">
        <v>-1560.68</v>
      </c>
      <c r="F970" s="249" t="s">
        <v>8</v>
      </c>
      <c r="G970" s="255" t="s">
        <v>132</v>
      </c>
    </row>
    <row r="971" spans="1:7" s="250" customFormat="1" x14ac:dyDescent="0.3">
      <c r="A971" s="369">
        <v>45889</v>
      </c>
      <c r="B971" s="247" t="s">
        <v>207</v>
      </c>
      <c r="C971" s="293" t="s">
        <v>31</v>
      </c>
      <c r="D971" s="293" t="s">
        <v>756</v>
      </c>
      <c r="E971" s="248">
        <v>-8.51</v>
      </c>
      <c r="F971" s="249" t="s">
        <v>8</v>
      </c>
      <c r="G971" s="254" t="s">
        <v>75</v>
      </c>
    </row>
    <row r="972" spans="1:7" s="250" customFormat="1" x14ac:dyDescent="0.3">
      <c r="A972" s="369">
        <v>45889</v>
      </c>
      <c r="B972" s="247" t="s">
        <v>207</v>
      </c>
      <c r="C972" s="293" t="s">
        <v>71</v>
      </c>
      <c r="D972" s="293" t="s">
        <v>1057</v>
      </c>
      <c r="E972" s="248">
        <v>-2013.06</v>
      </c>
      <c r="F972" s="249" t="s">
        <v>8</v>
      </c>
      <c r="G972" s="254" t="s">
        <v>75</v>
      </c>
    </row>
    <row r="973" spans="1:7" s="139" customFormat="1" x14ac:dyDescent="0.3">
      <c r="A973" s="100">
        <v>45890</v>
      </c>
      <c r="B973" s="100" t="s">
        <v>207</v>
      </c>
      <c r="C973" s="12" t="s">
        <v>64</v>
      </c>
      <c r="D973" s="360" t="s">
        <v>133</v>
      </c>
      <c r="E973" s="361">
        <v>-8937.32</v>
      </c>
      <c r="F973" s="13" t="s">
        <v>8</v>
      </c>
      <c r="G973" s="5" t="s">
        <v>39</v>
      </c>
    </row>
    <row r="974" spans="1:7" s="250" customFormat="1" x14ac:dyDescent="0.3">
      <c r="A974" s="316">
        <v>45891</v>
      </c>
      <c r="B974" s="316" t="s">
        <v>207</v>
      </c>
      <c r="C974" s="293" t="s">
        <v>33</v>
      </c>
      <c r="D974" s="293" t="s">
        <v>575</v>
      </c>
      <c r="E974" s="248">
        <v>-5103.17</v>
      </c>
      <c r="F974" s="249" t="s">
        <v>8</v>
      </c>
      <c r="G974" s="254" t="s">
        <v>75</v>
      </c>
    </row>
    <row r="975" spans="1:7" s="250" customFormat="1" x14ac:dyDescent="0.3">
      <c r="A975" s="316">
        <v>45891</v>
      </c>
      <c r="B975" s="316" t="s">
        <v>207</v>
      </c>
      <c r="C975" s="296" t="s">
        <v>33</v>
      </c>
      <c r="D975" s="293" t="s">
        <v>576</v>
      </c>
      <c r="E975" s="248">
        <v>-5625.82</v>
      </c>
      <c r="F975" s="249" t="s">
        <v>8</v>
      </c>
      <c r="G975" s="254" t="s">
        <v>75</v>
      </c>
    </row>
    <row r="976" spans="1:7" s="250" customFormat="1" x14ac:dyDescent="0.3">
      <c r="A976" s="316">
        <v>45891</v>
      </c>
      <c r="B976" s="316" t="s">
        <v>207</v>
      </c>
      <c r="C976" s="293" t="s">
        <v>25</v>
      </c>
      <c r="D976" s="293" t="s">
        <v>1089</v>
      </c>
      <c r="E976" s="248">
        <v>-90.73</v>
      </c>
      <c r="F976" s="249" t="s">
        <v>8</v>
      </c>
      <c r="G976" s="254" t="s">
        <v>75</v>
      </c>
    </row>
    <row r="977" spans="1:7" s="250" customFormat="1" x14ac:dyDescent="0.3">
      <c r="A977" s="316">
        <v>45891</v>
      </c>
      <c r="B977" s="316" t="s">
        <v>207</v>
      </c>
      <c r="C977" s="293" t="s">
        <v>25</v>
      </c>
      <c r="D977" s="293" t="s">
        <v>1089</v>
      </c>
      <c r="E977" s="248">
        <v>-1534.14</v>
      </c>
      <c r="F977" s="249" t="s">
        <v>8</v>
      </c>
      <c r="G977" s="254" t="s">
        <v>75</v>
      </c>
    </row>
    <row r="978" spans="1:7" s="250" customFormat="1" x14ac:dyDescent="0.3">
      <c r="A978" s="322">
        <v>45891</v>
      </c>
      <c r="B978" s="322" t="s">
        <v>207</v>
      </c>
      <c r="C978" s="372" t="s">
        <v>25</v>
      </c>
      <c r="D978" s="372" t="s">
        <v>1090</v>
      </c>
      <c r="E978" s="248">
        <v>-1110.55</v>
      </c>
      <c r="F978" s="249" t="s">
        <v>8</v>
      </c>
      <c r="G978" s="254" t="s">
        <v>75</v>
      </c>
    </row>
    <row r="979" spans="1:7" s="300" customFormat="1" x14ac:dyDescent="0.3">
      <c r="A979" s="316">
        <v>45891</v>
      </c>
      <c r="B979" s="316" t="s">
        <v>207</v>
      </c>
      <c r="C979" s="293" t="s">
        <v>17</v>
      </c>
      <c r="D979" s="293" t="s">
        <v>434</v>
      </c>
      <c r="E979" s="248">
        <v>-638.36</v>
      </c>
      <c r="F979" s="249" t="s">
        <v>8</v>
      </c>
      <c r="G979" s="254" t="s">
        <v>75</v>
      </c>
    </row>
    <row r="980" spans="1:7" s="300" customFormat="1" x14ac:dyDescent="0.3">
      <c r="A980" s="316">
        <v>45891</v>
      </c>
      <c r="B980" s="316" t="s">
        <v>207</v>
      </c>
      <c r="C980" s="293" t="s">
        <v>17</v>
      </c>
      <c r="D980" s="293" t="s">
        <v>1144</v>
      </c>
      <c r="E980" s="248">
        <v>-73.13</v>
      </c>
      <c r="F980" s="249" t="s">
        <v>8</v>
      </c>
      <c r="G980" s="254" t="s">
        <v>75</v>
      </c>
    </row>
    <row r="981" spans="1:7" s="250" customFormat="1" x14ac:dyDescent="0.3">
      <c r="A981" s="384">
        <v>45891</v>
      </c>
      <c r="B981" s="384" t="s">
        <v>207</v>
      </c>
      <c r="C981" s="385" t="s">
        <v>17</v>
      </c>
      <c r="D981" s="386" t="s">
        <v>18</v>
      </c>
      <c r="E981" s="319">
        <v>-17235</v>
      </c>
      <c r="F981" s="249" t="s">
        <v>8</v>
      </c>
      <c r="G981" s="255" t="s">
        <v>19</v>
      </c>
    </row>
    <row r="982" spans="1:7" s="250" customFormat="1" x14ac:dyDescent="0.3">
      <c r="A982" s="251">
        <v>45894</v>
      </c>
      <c r="B982" s="316" t="s">
        <v>207</v>
      </c>
      <c r="C982" s="299" t="s">
        <v>44</v>
      </c>
      <c r="D982" s="300" t="s">
        <v>1027</v>
      </c>
      <c r="E982" s="248">
        <v>-5003.51</v>
      </c>
      <c r="F982" s="249" t="s">
        <v>8</v>
      </c>
      <c r="G982" s="255" t="s">
        <v>63</v>
      </c>
    </row>
    <row r="983" spans="1:7" s="250" customFormat="1" x14ac:dyDescent="0.3">
      <c r="A983" s="251">
        <v>45894</v>
      </c>
      <c r="B983" s="316" t="s">
        <v>207</v>
      </c>
      <c r="C983" s="299" t="s">
        <v>17</v>
      </c>
      <c r="D983" s="300" t="s">
        <v>134</v>
      </c>
      <c r="E983" s="248">
        <v>-772.12</v>
      </c>
      <c r="F983" s="249" t="s">
        <v>8</v>
      </c>
      <c r="G983" s="255" t="s">
        <v>68</v>
      </c>
    </row>
    <row r="984" spans="1:7" s="250" customFormat="1" x14ac:dyDescent="0.3">
      <c r="A984" s="251">
        <v>45894</v>
      </c>
      <c r="B984" s="316" t="s">
        <v>207</v>
      </c>
      <c r="C984" s="299" t="s">
        <v>6</v>
      </c>
      <c r="D984" s="299" t="s">
        <v>541</v>
      </c>
      <c r="E984" s="319">
        <v>-154.9</v>
      </c>
      <c r="F984" s="249" t="s">
        <v>8</v>
      </c>
      <c r="G984" s="255" t="s">
        <v>136</v>
      </c>
    </row>
    <row r="985" spans="1:7" s="250" customFormat="1" x14ac:dyDescent="0.3">
      <c r="A985" s="251">
        <v>45894</v>
      </c>
      <c r="B985" s="316" t="s">
        <v>207</v>
      </c>
      <c r="C985" s="299" t="s">
        <v>6</v>
      </c>
      <c r="D985" s="299" t="s">
        <v>542</v>
      </c>
      <c r="E985" s="319">
        <v>-139.9</v>
      </c>
      <c r="F985" s="249" t="s">
        <v>8</v>
      </c>
      <c r="G985" s="255" t="s">
        <v>136</v>
      </c>
    </row>
    <row r="986" spans="1:7" s="250" customFormat="1" x14ac:dyDescent="0.3">
      <c r="A986" s="251">
        <v>45894</v>
      </c>
      <c r="B986" s="316" t="s">
        <v>207</v>
      </c>
      <c r="C986" s="293" t="s">
        <v>44</v>
      </c>
      <c r="D986" s="293" t="s">
        <v>1167</v>
      </c>
      <c r="E986" s="248">
        <v>-1380.6</v>
      </c>
      <c r="F986" s="249" t="s">
        <v>8</v>
      </c>
      <c r="G986" s="293" t="s">
        <v>227</v>
      </c>
    </row>
    <row r="987" spans="1:7" s="250" customFormat="1" x14ac:dyDescent="0.3">
      <c r="A987" s="251">
        <v>45894</v>
      </c>
      <c r="B987" s="316" t="s">
        <v>207</v>
      </c>
      <c r="C987" s="293" t="s">
        <v>44</v>
      </c>
      <c r="D987" s="293" t="s">
        <v>1166</v>
      </c>
      <c r="E987" s="248">
        <v>-2669.2</v>
      </c>
      <c r="F987" s="249" t="s">
        <v>8</v>
      </c>
      <c r="G987" s="293" t="s">
        <v>227</v>
      </c>
    </row>
    <row r="988" spans="1:7" s="250" customFormat="1" x14ac:dyDescent="0.3">
      <c r="A988" s="251">
        <v>45894</v>
      </c>
      <c r="B988" s="316" t="s">
        <v>207</v>
      </c>
      <c r="C988" s="293" t="s">
        <v>71</v>
      </c>
      <c r="D988" s="293" t="s">
        <v>1168</v>
      </c>
      <c r="E988" s="248">
        <v>-578.04</v>
      </c>
      <c r="F988" s="249" t="s">
        <v>8</v>
      </c>
      <c r="G988" s="293" t="s">
        <v>227</v>
      </c>
    </row>
    <row r="989" spans="1:7" s="139" customFormat="1" x14ac:dyDescent="0.3">
      <c r="A989" s="78">
        <v>45894</v>
      </c>
      <c r="B989" s="100" t="s">
        <v>207</v>
      </c>
      <c r="C989" s="12" t="s">
        <v>25</v>
      </c>
      <c r="D989" s="4" t="s">
        <v>762</v>
      </c>
      <c r="E989" s="16">
        <v>-1942.68</v>
      </c>
      <c r="F989" s="13" t="s">
        <v>8</v>
      </c>
      <c r="G989" s="82" t="s">
        <v>153</v>
      </c>
    </row>
    <row r="990" spans="1:7" s="250" customFormat="1" x14ac:dyDescent="0.3">
      <c r="A990" s="316">
        <v>45891</v>
      </c>
      <c r="B990" s="316" t="s">
        <v>207</v>
      </c>
      <c r="C990" s="293" t="s">
        <v>25</v>
      </c>
      <c r="D990" s="293" t="s">
        <v>1143</v>
      </c>
      <c r="E990" s="248">
        <v>-100</v>
      </c>
      <c r="F990" s="249" t="s">
        <v>8</v>
      </c>
      <c r="G990" s="254" t="s">
        <v>82</v>
      </c>
    </row>
    <row r="991" spans="1:7" s="250" customFormat="1" x14ac:dyDescent="0.3">
      <c r="A991" s="316">
        <v>45891</v>
      </c>
      <c r="B991" s="316" t="s">
        <v>207</v>
      </c>
      <c r="C991" s="293" t="s">
        <v>17</v>
      </c>
      <c r="D991" s="293" t="s">
        <v>376</v>
      </c>
      <c r="E991" s="248">
        <v>-99.04</v>
      </c>
      <c r="F991" s="249" t="s">
        <v>8</v>
      </c>
      <c r="G991" s="254" t="s">
        <v>97</v>
      </c>
    </row>
    <row r="992" spans="1:7" s="250" customFormat="1" x14ac:dyDescent="0.3">
      <c r="A992" s="316">
        <v>45891</v>
      </c>
      <c r="B992" s="316" t="s">
        <v>207</v>
      </c>
      <c r="C992" s="293" t="s">
        <v>17</v>
      </c>
      <c r="D992" s="293" t="s">
        <v>693</v>
      </c>
      <c r="E992" s="248">
        <v>-307.5</v>
      </c>
      <c r="F992" s="249" t="s">
        <v>8</v>
      </c>
      <c r="G992" s="254" t="s">
        <v>97</v>
      </c>
    </row>
    <row r="993" spans="1:7" s="210" customFormat="1" x14ac:dyDescent="0.3">
      <c r="A993" s="375">
        <v>45898</v>
      </c>
      <c r="B993" s="375" t="s">
        <v>207</v>
      </c>
      <c r="C993" s="377" t="s">
        <v>17</v>
      </c>
      <c r="D993" s="377" t="s">
        <v>140</v>
      </c>
      <c r="E993" s="401">
        <v>-19960</v>
      </c>
      <c r="F993" s="378" t="s">
        <v>8</v>
      </c>
      <c r="G993" s="379" t="s">
        <v>58</v>
      </c>
    </row>
    <row r="994" spans="1:7" s="250" customFormat="1" x14ac:dyDescent="0.3">
      <c r="A994" s="308">
        <v>45898</v>
      </c>
      <c r="B994" s="322" t="s">
        <v>207</v>
      </c>
      <c r="C994" s="291" t="s">
        <v>13</v>
      </c>
      <c r="D994" s="462" t="s">
        <v>141</v>
      </c>
      <c r="E994" s="461">
        <v>-500</v>
      </c>
      <c r="F994" s="373" t="s">
        <v>8</v>
      </c>
      <c r="G994" s="270" t="s">
        <v>68</v>
      </c>
    </row>
    <row r="995" spans="1:7" s="250" customFormat="1" x14ac:dyDescent="0.3">
      <c r="A995" s="251">
        <v>45901</v>
      </c>
      <c r="B995" s="316" t="s">
        <v>208</v>
      </c>
      <c r="C995" s="422" t="s">
        <v>64</v>
      </c>
      <c r="D995" s="300" t="s">
        <v>95</v>
      </c>
      <c r="E995" s="317">
        <v>-5000</v>
      </c>
      <c r="F995" s="255" t="s">
        <v>8</v>
      </c>
      <c r="G995" s="255" t="s">
        <v>39</v>
      </c>
    </row>
    <row r="996" spans="1:7" s="250" customFormat="1" x14ac:dyDescent="0.3">
      <c r="A996" s="404">
        <v>45898</v>
      </c>
      <c r="B996" s="384" t="s">
        <v>207</v>
      </c>
      <c r="C996" s="497" t="s">
        <v>17</v>
      </c>
      <c r="D996" s="435" t="s">
        <v>142</v>
      </c>
      <c r="E996" s="438">
        <v>-2530.4299999999998</v>
      </c>
      <c r="F996" s="402" t="s">
        <v>8</v>
      </c>
      <c r="G996" s="408" t="s">
        <v>68</v>
      </c>
    </row>
    <row r="997" spans="1:7" s="250" customFormat="1" x14ac:dyDescent="0.3">
      <c r="A997" s="251">
        <v>45898</v>
      </c>
      <c r="B997" s="316" t="s">
        <v>207</v>
      </c>
      <c r="C997" s="252" t="s">
        <v>17</v>
      </c>
      <c r="D997" s="253" t="s">
        <v>142</v>
      </c>
      <c r="E997" s="317">
        <v>-1339.5</v>
      </c>
      <c r="F997" s="249" t="s">
        <v>8</v>
      </c>
      <c r="G997" s="255" t="s">
        <v>68</v>
      </c>
    </row>
    <row r="998" spans="1:7" s="139" customFormat="1" x14ac:dyDescent="0.3">
      <c r="A998" s="100">
        <v>45874</v>
      </c>
      <c r="B998" s="2" t="s">
        <v>207</v>
      </c>
      <c r="C998" s="14" t="s">
        <v>17</v>
      </c>
      <c r="D998" s="14" t="s">
        <v>957</v>
      </c>
      <c r="E998" s="8">
        <v>-110.34</v>
      </c>
      <c r="F998" s="13" t="s">
        <v>8</v>
      </c>
      <c r="G998" s="5" t="s">
        <v>227</v>
      </c>
    </row>
    <row r="999" spans="1:7" s="139" customFormat="1" x14ac:dyDescent="0.3">
      <c r="A999" s="100">
        <v>45874</v>
      </c>
      <c r="B999" s="2" t="s">
        <v>207</v>
      </c>
      <c r="C999" s="14" t="s">
        <v>44</v>
      </c>
      <c r="D999" s="14" t="s">
        <v>387</v>
      </c>
      <c r="E999" s="8">
        <v>-215.21</v>
      </c>
      <c r="F999" s="13" t="s">
        <v>8</v>
      </c>
      <c r="G999" s="9" t="s">
        <v>37</v>
      </c>
    </row>
    <row r="1000" spans="1:7" s="139" customFormat="1" x14ac:dyDescent="0.3">
      <c r="A1000" s="100">
        <v>45874</v>
      </c>
      <c r="B1000" s="2" t="s">
        <v>207</v>
      </c>
      <c r="C1000" s="14" t="s">
        <v>104</v>
      </c>
      <c r="D1000" s="14" t="s">
        <v>387</v>
      </c>
      <c r="E1000" s="8">
        <v>-376.91</v>
      </c>
      <c r="F1000" s="13" t="s">
        <v>8</v>
      </c>
      <c r="G1000" s="9" t="s">
        <v>37</v>
      </c>
    </row>
    <row r="1001" spans="1:7" s="139" customFormat="1" x14ac:dyDescent="0.3">
      <c r="A1001" s="100">
        <v>45874</v>
      </c>
      <c r="B1001" s="2" t="s">
        <v>207</v>
      </c>
      <c r="C1001" s="14" t="s">
        <v>17</v>
      </c>
      <c r="D1001" s="14" t="s">
        <v>387</v>
      </c>
      <c r="E1001" s="8">
        <v>-360.09</v>
      </c>
      <c r="F1001" s="13" t="s">
        <v>8</v>
      </c>
      <c r="G1001" s="9" t="s">
        <v>37</v>
      </c>
    </row>
    <row r="1002" spans="1:7" s="139" customFormat="1" x14ac:dyDescent="0.3">
      <c r="A1002" s="100">
        <v>45875</v>
      </c>
      <c r="B1002" s="100" t="s">
        <v>207</v>
      </c>
      <c r="C1002" s="14" t="s">
        <v>31</v>
      </c>
      <c r="D1002" s="14" t="s">
        <v>964</v>
      </c>
      <c r="E1002" s="8">
        <v>-99.77</v>
      </c>
      <c r="F1002" s="13" t="s">
        <v>8</v>
      </c>
      <c r="G1002" s="9" t="s">
        <v>51</v>
      </c>
    </row>
    <row r="1003" spans="1:7" s="139" customFormat="1" x14ac:dyDescent="0.3">
      <c r="A1003" s="100">
        <v>45874</v>
      </c>
      <c r="B1003" s="100" t="s">
        <v>207</v>
      </c>
      <c r="C1003" s="14" t="s">
        <v>31</v>
      </c>
      <c r="D1003" s="14" t="s">
        <v>938</v>
      </c>
      <c r="E1003" s="8">
        <v>-141.6</v>
      </c>
      <c r="F1003" s="13" t="s">
        <v>8</v>
      </c>
      <c r="G1003" s="5" t="s">
        <v>82</v>
      </c>
    </row>
    <row r="1004" spans="1:7" s="139" customFormat="1" x14ac:dyDescent="0.3">
      <c r="A1004" s="100">
        <v>45874</v>
      </c>
      <c r="B1004" s="100" t="s">
        <v>207</v>
      </c>
      <c r="C1004" s="14" t="s">
        <v>25</v>
      </c>
      <c r="D1004" s="14" t="s">
        <v>939</v>
      </c>
      <c r="E1004" s="8">
        <v>-188.8</v>
      </c>
      <c r="F1004" s="13" t="s">
        <v>8</v>
      </c>
      <c r="G1004" s="5" t="s">
        <v>82</v>
      </c>
    </row>
    <row r="1005" spans="1:7" s="139" customFormat="1" x14ac:dyDescent="0.3">
      <c r="A1005" s="100">
        <v>45874</v>
      </c>
      <c r="B1005" s="100" t="s">
        <v>207</v>
      </c>
      <c r="C1005" s="14" t="s">
        <v>17</v>
      </c>
      <c r="D1005" s="14" t="s">
        <v>940</v>
      </c>
      <c r="E1005" s="8">
        <v>-200</v>
      </c>
      <c r="F1005" s="13" t="s">
        <v>8</v>
      </c>
      <c r="G1005" s="5" t="s">
        <v>82</v>
      </c>
    </row>
    <row r="1006" spans="1:7" s="139" customFormat="1" x14ac:dyDescent="0.3">
      <c r="A1006" s="100">
        <v>45874</v>
      </c>
      <c r="B1006" s="100" t="s">
        <v>207</v>
      </c>
      <c r="C1006" s="14" t="s">
        <v>17</v>
      </c>
      <c r="D1006" s="14" t="s">
        <v>941</v>
      </c>
      <c r="E1006" s="8">
        <v>-342</v>
      </c>
      <c r="F1006" s="13" t="s">
        <v>8</v>
      </c>
      <c r="G1006" s="5" t="s">
        <v>82</v>
      </c>
    </row>
    <row r="1007" spans="1:7" s="139" customFormat="1" x14ac:dyDescent="0.3">
      <c r="A1007" s="100">
        <v>45874</v>
      </c>
      <c r="B1007" s="100" t="s">
        <v>207</v>
      </c>
      <c r="C1007" s="14" t="s">
        <v>17</v>
      </c>
      <c r="D1007" s="14" t="s">
        <v>942</v>
      </c>
      <c r="E1007" s="8">
        <v>-186</v>
      </c>
      <c r="F1007" s="13" t="s">
        <v>8</v>
      </c>
      <c r="G1007" s="5" t="s">
        <v>82</v>
      </c>
    </row>
    <row r="1008" spans="1:7" s="139" customFormat="1" x14ac:dyDescent="0.3">
      <c r="A1008" s="100">
        <v>45874</v>
      </c>
      <c r="B1008" s="100" t="s">
        <v>207</v>
      </c>
      <c r="C1008" s="14" t="s">
        <v>17</v>
      </c>
      <c r="D1008" s="14" t="s">
        <v>943</v>
      </c>
      <c r="E1008" s="8">
        <v>-200</v>
      </c>
      <c r="F1008" s="13" t="s">
        <v>8</v>
      </c>
      <c r="G1008" s="5" t="s">
        <v>82</v>
      </c>
    </row>
    <row r="1009" spans="1:7" s="139" customFormat="1" x14ac:dyDescent="0.3">
      <c r="A1009" s="100">
        <v>45874</v>
      </c>
      <c r="B1009" s="100" t="s">
        <v>207</v>
      </c>
      <c r="C1009" s="14" t="s">
        <v>17</v>
      </c>
      <c r="D1009" s="14" t="s">
        <v>944</v>
      </c>
      <c r="E1009" s="8">
        <v>-200</v>
      </c>
      <c r="F1009" s="13" t="s">
        <v>8</v>
      </c>
      <c r="G1009" s="5" t="s">
        <v>82</v>
      </c>
    </row>
    <row r="1010" spans="1:7" s="139" customFormat="1" x14ac:dyDescent="0.3">
      <c r="A1010" s="100">
        <v>45874</v>
      </c>
      <c r="B1010" s="100" t="s">
        <v>207</v>
      </c>
      <c r="C1010" s="14" t="s">
        <v>17</v>
      </c>
      <c r="D1010" s="14" t="s">
        <v>959</v>
      </c>
      <c r="E1010" s="8">
        <v>-1500</v>
      </c>
      <c r="F1010" s="13" t="s">
        <v>8</v>
      </c>
      <c r="G1010" s="5" t="s">
        <v>15</v>
      </c>
    </row>
    <row r="1011" spans="1:7" s="139" customFormat="1" x14ac:dyDescent="0.3">
      <c r="A1011" s="100">
        <v>45874</v>
      </c>
      <c r="B1011" s="100" t="s">
        <v>207</v>
      </c>
      <c r="C1011" s="12" t="s">
        <v>30</v>
      </c>
      <c r="D1011" s="14" t="s">
        <v>963</v>
      </c>
      <c r="E1011" s="8">
        <v>-20</v>
      </c>
      <c r="F1011" s="13" t="s">
        <v>8</v>
      </c>
      <c r="G1011" s="5" t="s">
        <v>82</v>
      </c>
    </row>
    <row r="1012" spans="1:7" s="139" customFormat="1" x14ac:dyDescent="0.3">
      <c r="A1012" s="100">
        <v>45874</v>
      </c>
      <c r="B1012" s="100" t="s">
        <v>207</v>
      </c>
      <c r="C1012" s="12" t="s">
        <v>30</v>
      </c>
      <c r="D1012" s="14" t="s">
        <v>962</v>
      </c>
      <c r="E1012" s="8">
        <v>-20</v>
      </c>
      <c r="F1012" s="13" t="s">
        <v>8</v>
      </c>
      <c r="G1012" s="5" t="s">
        <v>82</v>
      </c>
    </row>
    <row r="1013" spans="1:7" s="139" customFormat="1" x14ac:dyDescent="0.3">
      <c r="A1013" s="100">
        <v>45874</v>
      </c>
      <c r="B1013" s="100" t="s">
        <v>207</v>
      </c>
      <c r="C1013" s="12" t="s">
        <v>30</v>
      </c>
      <c r="D1013" s="14" t="s">
        <v>961</v>
      </c>
      <c r="E1013" s="8">
        <v>-6.5</v>
      </c>
      <c r="F1013" s="13" t="s">
        <v>8</v>
      </c>
      <c r="G1013" s="5" t="s">
        <v>82</v>
      </c>
    </row>
    <row r="1014" spans="1:7" s="139" customFormat="1" x14ac:dyDescent="0.3">
      <c r="A1014" s="100">
        <v>45874</v>
      </c>
      <c r="B1014" s="100" t="s">
        <v>207</v>
      </c>
      <c r="C1014" s="12" t="s">
        <v>30</v>
      </c>
      <c r="D1014" s="14" t="s">
        <v>960</v>
      </c>
      <c r="E1014" s="8">
        <v>-120.4</v>
      </c>
      <c r="F1014" s="13" t="s">
        <v>8</v>
      </c>
      <c r="G1014" s="5" t="s">
        <v>82</v>
      </c>
    </row>
    <row r="1015" spans="1:7" s="139" customFormat="1" x14ac:dyDescent="0.3">
      <c r="A1015" s="100">
        <v>45874</v>
      </c>
      <c r="B1015" s="100" t="s">
        <v>207</v>
      </c>
      <c r="C1015" s="14" t="s">
        <v>17</v>
      </c>
      <c r="D1015" s="14" t="s">
        <v>958</v>
      </c>
      <c r="E1015" s="8">
        <v>-12500</v>
      </c>
      <c r="F1015" s="13" t="s">
        <v>8</v>
      </c>
      <c r="G1015" s="5" t="s">
        <v>41</v>
      </c>
    </row>
    <row r="1016" spans="1:7" s="250" customFormat="1" x14ac:dyDescent="0.3">
      <c r="A1016" s="251">
        <v>45898</v>
      </c>
      <c r="B1016" s="316" t="s">
        <v>207</v>
      </c>
      <c r="C1016" s="299" t="s">
        <v>80</v>
      </c>
      <c r="D1016" s="300" t="s">
        <v>81</v>
      </c>
      <c r="E1016" s="317">
        <v>-4968.66</v>
      </c>
      <c r="F1016" s="249" t="s">
        <v>8</v>
      </c>
      <c r="G1016" s="255" t="s">
        <v>82</v>
      </c>
    </row>
    <row r="1017" spans="1:7" s="210" customFormat="1" x14ac:dyDescent="0.3">
      <c r="A1017" s="429">
        <v>45898</v>
      </c>
      <c r="B1017" s="375" t="s">
        <v>207</v>
      </c>
      <c r="C1017" s="376" t="s">
        <v>17</v>
      </c>
      <c r="D1017" s="377" t="s">
        <v>140</v>
      </c>
      <c r="E1017" s="401">
        <v>-10997.46</v>
      </c>
      <c r="F1017" s="378" t="s">
        <v>8</v>
      </c>
      <c r="G1017" s="379" t="s">
        <v>58</v>
      </c>
    </row>
    <row r="1018" spans="1:7" s="250" customFormat="1" x14ac:dyDescent="0.3">
      <c r="A1018" s="251">
        <v>45898</v>
      </c>
      <c r="B1018" s="316" t="s">
        <v>207</v>
      </c>
      <c r="C1018" s="299" t="s">
        <v>6</v>
      </c>
      <c r="D1018" s="300" t="s">
        <v>144</v>
      </c>
      <c r="E1018" s="317">
        <v>-29341.02</v>
      </c>
      <c r="F1018" s="249" t="s">
        <v>8</v>
      </c>
      <c r="G1018" s="374" t="s">
        <v>124</v>
      </c>
    </row>
    <row r="1019" spans="1:7" s="382" customFormat="1" ht="14.4" x14ac:dyDescent="0.3">
      <c r="A1019" s="416">
        <v>45898</v>
      </c>
      <c r="B1019" s="381" t="s">
        <v>207</v>
      </c>
      <c r="C1019" s="419" t="s">
        <v>17</v>
      </c>
      <c r="D1019" s="426" t="s">
        <v>1194</v>
      </c>
      <c r="E1019" s="335">
        <v>-1057.5999999999999</v>
      </c>
      <c r="F1019" s="249" t="s">
        <v>8</v>
      </c>
      <c r="G1019" s="428" t="s">
        <v>97</v>
      </c>
    </row>
    <row r="1020" spans="1:7" s="382" customFormat="1" ht="14.4" x14ac:dyDescent="0.3">
      <c r="A1020" s="416">
        <v>45898</v>
      </c>
      <c r="B1020" s="381" t="s">
        <v>207</v>
      </c>
      <c r="C1020" s="419" t="s">
        <v>17</v>
      </c>
      <c r="D1020" s="426" t="s">
        <v>1193</v>
      </c>
      <c r="E1020" s="248">
        <v>-7610.5</v>
      </c>
      <c r="F1020" s="249" t="s">
        <v>8</v>
      </c>
      <c r="G1020" s="428" t="s">
        <v>97</v>
      </c>
    </row>
    <row r="1021" spans="1:7" s="250" customFormat="1" x14ac:dyDescent="0.3">
      <c r="A1021" s="308">
        <v>45898</v>
      </c>
      <c r="B1021" s="322" t="s">
        <v>207</v>
      </c>
      <c r="C1021" s="463" t="s">
        <v>17</v>
      </c>
      <c r="D1021" s="396" t="s">
        <v>146</v>
      </c>
      <c r="E1021" s="461">
        <v>-1500</v>
      </c>
      <c r="F1021" s="373" t="s">
        <v>8</v>
      </c>
      <c r="G1021" s="270" t="s">
        <v>147</v>
      </c>
    </row>
    <row r="1022" spans="1:7" s="250" customFormat="1" x14ac:dyDescent="0.3">
      <c r="A1022" s="251">
        <v>45901</v>
      </c>
      <c r="B1022" s="316" t="s">
        <v>208</v>
      </c>
      <c r="C1022" s="299" t="s">
        <v>17</v>
      </c>
      <c r="D1022" s="253" t="s">
        <v>148</v>
      </c>
      <c r="E1022" s="317">
        <v>-100</v>
      </c>
      <c r="F1022" s="249" t="s">
        <v>8</v>
      </c>
      <c r="G1022" s="255" t="s">
        <v>147</v>
      </c>
    </row>
    <row r="1023" spans="1:7" s="139" customFormat="1" x14ac:dyDescent="0.3">
      <c r="A1023" s="100">
        <v>45902</v>
      </c>
      <c r="B1023" s="100" t="s">
        <v>208</v>
      </c>
      <c r="C1023" s="12" t="s">
        <v>13</v>
      </c>
      <c r="D1023" s="571" t="s">
        <v>1338</v>
      </c>
      <c r="E1023" s="16">
        <v>-111.89</v>
      </c>
      <c r="F1023" s="13" t="s">
        <v>8</v>
      </c>
      <c r="G1023" s="5" t="s">
        <v>150</v>
      </c>
    </row>
    <row r="1024" spans="1:7" s="250" customFormat="1" x14ac:dyDescent="0.3">
      <c r="A1024" s="251">
        <v>45901</v>
      </c>
      <c r="B1024" s="316" t="s">
        <v>208</v>
      </c>
      <c r="C1024" s="299" t="s">
        <v>13</v>
      </c>
      <c r="D1024" s="253" t="s">
        <v>1285</v>
      </c>
      <c r="E1024" s="317">
        <v>-16.399999999999999</v>
      </c>
      <c r="F1024" s="249" t="s">
        <v>8</v>
      </c>
      <c r="G1024" s="255" t="s">
        <v>150</v>
      </c>
    </row>
    <row r="1025" spans="1:7" s="250" customFormat="1" x14ac:dyDescent="0.3">
      <c r="A1025" s="251">
        <v>45901</v>
      </c>
      <c r="B1025" s="316" t="s">
        <v>208</v>
      </c>
      <c r="C1025" s="299" t="s">
        <v>13</v>
      </c>
      <c r="D1025" s="253" t="s">
        <v>1284</v>
      </c>
      <c r="E1025" s="317">
        <v>-130</v>
      </c>
      <c r="F1025" s="249" t="s">
        <v>8</v>
      </c>
      <c r="G1025" s="255" t="s">
        <v>150</v>
      </c>
    </row>
    <row r="1026" spans="1:7" s="250" customFormat="1" ht="14.4" x14ac:dyDescent="0.3">
      <c r="A1026" s="404">
        <v>45898</v>
      </c>
      <c r="B1026" s="384" t="s">
        <v>207</v>
      </c>
      <c r="C1026" s="498" t="s">
        <v>31</v>
      </c>
      <c r="D1026" s="498" t="s">
        <v>1225</v>
      </c>
      <c r="E1026" s="499">
        <v>-2210.4699999999998</v>
      </c>
      <c r="F1026" s="402" t="s">
        <v>8</v>
      </c>
      <c r="G1026" s="402" t="s">
        <v>152</v>
      </c>
    </row>
    <row r="1027" spans="1:7" s="250" customFormat="1" ht="14.4" x14ac:dyDescent="0.3">
      <c r="A1027" s="251">
        <v>45898</v>
      </c>
      <c r="B1027" s="316" t="s">
        <v>207</v>
      </c>
      <c r="C1027" s="364" t="s">
        <v>31</v>
      </c>
      <c r="D1027" s="364" t="s">
        <v>1226</v>
      </c>
      <c r="E1027" s="367">
        <v>-2222.06</v>
      </c>
      <c r="F1027" s="249" t="s">
        <v>8</v>
      </c>
      <c r="G1027" s="249" t="s">
        <v>152</v>
      </c>
    </row>
    <row r="1028" spans="1:7" s="250" customFormat="1" ht="14.4" x14ac:dyDescent="0.3">
      <c r="A1028" s="251">
        <v>45898</v>
      </c>
      <c r="B1028" s="316" t="s">
        <v>207</v>
      </c>
      <c r="C1028" s="364" t="s">
        <v>31</v>
      </c>
      <c r="D1028" s="364" t="s">
        <v>471</v>
      </c>
      <c r="E1028" s="367">
        <v>-2187.31</v>
      </c>
      <c r="F1028" s="249" t="s">
        <v>8</v>
      </c>
      <c r="G1028" s="249" t="s">
        <v>152</v>
      </c>
    </row>
    <row r="1029" spans="1:7" s="250" customFormat="1" ht="14.4" x14ac:dyDescent="0.3">
      <c r="A1029" s="251">
        <v>45898</v>
      </c>
      <c r="B1029" s="316" t="s">
        <v>207</v>
      </c>
      <c r="C1029" s="364" t="s">
        <v>31</v>
      </c>
      <c r="D1029" s="364" t="s">
        <v>1227</v>
      </c>
      <c r="E1029" s="367">
        <v>-2175.75</v>
      </c>
      <c r="F1029" s="249" t="s">
        <v>8</v>
      </c>
      <c r="G1029" s="249" t="s">
        <v>152</v>
      </c>
    </row>
    <row r="1030" spans="1:7" s="250" customFormat="1" ht="14.4" x14ac:dyDescent="0.3">
      <c r="A1030" s="251">
        <v>45898</v>
      </c>
      <c r="B1030" s="316" t="s">
        <v>207</v>
      </c>
      <c r="C1030" s="364" t="s">
        <v>6</v>
      </c>
      <c r="D1030" s="364" t="s">
        <v>1228</v>
      </c>
      <c r="E1030" s="367">
        <v>-1891.45</v>
      </c>
      <c r="F1030" s="249" t="s">
        <v>8</v>
      </c>
      <c r="G1030" s="249" t="s">
        <v>152</v>
      </c>
    </row>
    <row r="1031" spans="1:7" s="250" customFormat="1" ht="14.4" x14ac:dyDescent="0.3">
      <c r="A1031" s="251">
        <v>45898</v>
      </c>
      <c r="B1031" s="316" t="s">
        <v>207</v>
      </c>
      <c r="C1031" s="364" t="s">
        <v>6</v>
      </c>
      <c r="D1031" s="364" t="s">
        <v>1229</v>
      </c>
      <c r="E1031" s="367">
        <v>-2548.5700000000002</v>
      </c>
      <c r="F1031" s="249" t="s">
        <v>8</v>
      </c>
      <c r="G1031" s="249" t="s">
        <v>152</v>
      </c>
    </row>
    <row r="1032" spans="1:7" s="250" customFormat="1" ht="14.4" x14ac:dyDescent="0.3">
      <c r="A1032" s="251">
        <v>45898</v>
      </c>
      <c r="B1032" s="316" t="s">
        <v>207</v>
      </c>
      <c r="C1032" s="364" t="s">
        <v>6</v>
      </c>
      <c r="D1032" s="364" t="s">
        <v>1230</v>
      </c>
      <c r="E1032" s="367">
        <v>-1745.15</v>
      </c>
      <c r="F1032" s="249" t="s">
        <v>8</v>
      </c>
      <c r="G1032" s="249" t="s">
        <v>152</v>
      </c>
    </row>
    <row r="1033" spans="1:7" s="250" customFormat="1" ht="14.4" x14ac:dyDescent="0.3">
      <c r="A1033" s="251">
        <v>45898</v>
      </c>
      <c r="B1033" s="316" t="s">
        <v>207</v>
      </c>
      <c r="C1033" s="364" t="s">
        <v>25</v>
      </c>
      <c r="D1033" s="364" t="s">
        <v>1231</v>
      </c>
      <c r="E1033" s="367">
        <v>-2367.39</v>
      </c>
      <c r="F1033" s="249" t="s">
        <v>8</v>
      </c>
      <c r="G1033" s="249" t="s">
        <v>152</v>
      </c>
    </row>
    <row r="1034" spans="1:7" s="250" customFormat="1" ht="14.4" x14ac:dyDescent="0.3">
      <c r="A1034" s="251">
        <v>45898</v>
      </c>
      <c r="B1034" s="316" t="s">
        <v>207</v>
      </c>
      <c r="C1034" s="364" t="s">
        <v>25</v>
      </c>
      <c r="D1034" s="364" t="s">
        <v>1232</v>
      </c>
      <c r="E1034" s="367">
        <v>-2931.59</v>
      </c>
      <c r="F1034" s="249" t="s">
        <v>8</v>
      </c>
      <c r="G1034" s="249" t="s">
        <v>152</v>
      </c>
    </row>
    <row r="1035" spans="1:7" s="250" customFormat="1" ht="14.4" x14ac:dyDescent="0.3">
      <c r="A1035" s="251">
        <v>45898</v>
      </c>
      <c r="B1035" s="316" t="s">
        <v>207</v>
      </c>
      <c r="C1035" s="364" t="s">
        <v>32</v>
      </c>
      <c r="D1035" s="364" t="s">
        <v>1233</v>
      </c>
      <c r="E1035" s="367">
        <v>-2229.48</v>
      </c>
      <c r="F1035" s="249" t="s">
        <v>8</v>
      </c>
      <c r="G1035" s="249" t="s">
        <v>152</v>
      </c>
    </row>
    <row r="1036" spans="1:7" s="250" customFormat="1" ht="14.4" x14ac:dyDescent="0.3">
      <c r="A1036" s="251">
        <v>45898</v>
      </c>
      <c r="B1036" s="316" t="s">
        <v>207</v>
      </c>
      <c r="C1036" s="364" t="s">
        <v>32</v>
      </c>
      <c r="D1036" s="364" t="s">
        <v>1234</v>
      </c>
      <c r="E1036" s="367">
        <v>-3398.37</v>
      </c>
      <c r="F1036" s="249" t="s">
        <v>8</v>
      </c>
      <c r="G1036" s="249" t="s">
        <v>152</v>
      </c>
    </row>
    <row r="1037" spans="1:7" s="250" customFormat="1" ht="14.4" x14ac:dyDescent="0.3">
      <c r="A1037" s="251">
        <v>45898</v>
      </c>
      <c r="B1037" s="316" t="s">
        <v>207</v>
      </c>
      <c r="C1037" s="364" t="s">
        <v>32</v>
      </c>
      <c r="D1037" s="364" t="s">
        <v>1235</v>
      </c>
      <c r="E1037" s="367">
        <v>-2245.13</v>
      </c>
      <c r="F1037" s="249" t="s">
        <v>8</v>
      </c>
      <c r="G1037" s="249" t="s">
        <v>152</v>
      </c>
    </row>
    <row r="1038" spans="1:7" s="250" customFormat="1" ht="14.4" x14ac:dyDescent="0.3">
      <c r="A1038" s="251">
        <v>45898</v>
      </c>
      <c r="B1038" s="316" t="s">
        <v>207</v>
      </c>
      <c r="C1038" s="364" t="s">
        <v>32</v>
      </c>
      <c r="D1038" s="364" t="s">
        <v>1236</v>
      </c>
      <c r="E1038" s="367">
        <v>-2796.76</v>
      </c>
      <c r="F1038" s="249" t="s">
        <v>8</v>
      </c>
      <c r="G1038" s="249" t="s">
        <v>152</v>
      </c>
    </row>
    <row r="1039" spans="1:7" s="250" customFormat="1" ht="14.4" x14ac:dyDescent="0.3">
      <c r="A1039" s="251">
        <v>45898</v>
      </c>
      <c r="B1039" s="316" t="s">
        <v>207</v>
      </c>
      <c r="C1039" s="364" t="s">
        <v>71</v>
      </c>
      <c r="D1039" s="364" t="s">
        <v>205</v>
      </c>
      <c r="E1039" s="367">
        <v>-2592.66</v>
      </c>
      <c r="F1039" s="249" t="s">
        <v>8</v>
      </c>
      <c r="G1039" s="249" t="s">
        <v>152</v>
      </c>
    </row>
    <row r="1040" spans="1:7" s="250" customFormat="1" ht="14.4" x14ac:dyDescent="0.3">
      <c r="A1040" s="251">
        <v>45898</v>
      </c>
      <c r="B1040" s="316" t="s">
        <v>207</v>
      </c>
      <c r="C1040" s="364" t="s">
        <v>71</v>
      </c>
      <c r="D1040" s="364" t="s">
        <v>86</v>
      </c>
      <c r="E1040" s="367">
        <v>-2156.87</v>
      </c>
      <c r="F1040" s="249" t="s">
        <v>8</v>
      </c>
      <c r="G1040" s="249" t="s">
        <v>152</v>
      </c>
    </row>
    <row r="1041" spans="1:7" s="250" customFormat="1" ht="14.4" x14ac:dyDescent="0.3">
      <c r="A1041" s="251">
        <v>45898</v>
      </c>
      <c r="B1041" s="316" t="s">
        <v>207</v>
      </c>
      <c r="C1041" s="364" t="s">
        <v>32</v>
      </c>
      <c r="D1041" s="364" t="s">
        <v>1247</v>
      </c>
      <c r="E1041" s="367">
        <v>-2565.6</v>
      </c>
      <c r="F1041" s="249" t="s">
        <v>8</v>
      </c>
      <c r="G1041" s="249" t="s">
        <v>152</v>
      </c>
    </row>
    <row r="1042" spans="1:7" s="250" customFormat="1" ht="14.4" x14ac:dyDescent="0.3">
      <c r="A1042" s="251">
        <v>45898</v>
      </c>
      <c r="B1042" s="316" t="s">
        <v>207</v>
      </c>
      <c r="C1042" s="364" t="s">
        <v>17</v>
      </c>
      <c r="D1042" s="364" t="s">
        <v>854</v>
      </c>
      <c r="E1042" s="367">
        <v>-6000</v>
      </c>
      <c r="F1042" s="249" t="s">
        <v>8</v>
      </c>
      <c r="G1042" s="249" t="s">
        <v>152</v>
      </c>
    </row>
    <row r="1043" spans="1:7" s="210" customFormat="1" x14ac:dyDescent="0.3">
      <c r="A1043" s="429">
        <v>45898</v>
      </c>
      <c r="B1043" s="375" t="s">
        <v>207</v>
      </c>
      <c r="C1043" s="376" t="s">
        <v>17</v>
      </c>
      <c r="D1043" s="207" t="s">
        <v>774</v>
      </c>
      <c r="E1043" s="401">
        <v>-6555.73</v>
      </c>
      <c r="F1043" s="378" t="s">
        <v>8</v>
      </c>
      <c r="G1043" s="431" t="s">
        <v>124</v>
      </c>
    </row>
    <row r="1044" spans="1:7" s="250" customFormat="1" x14ac:dyDescent="0.3">
      <c r="A1044" s="308">
        <v>45898</v>
      </c>
      <c r="B1044" s="322" t="s">
        <v>207</v>
      </c>
      <c r="C1044" s="464" t="s">
        <v>17</v>
      </c>
      <c r="D1044" s="465" t="s">
        <v>1237</v>
      </c>
      <c r="E1044" s="466">
        <v>-4331.1099999999997</v>
      </c>
      <c r="F1044" s="467" t="s">
        <v>8</v>
      </c>
      <c r="G1044" s="468" t="s">
        <v>124</v>
      </c>
    </row>
    <row r="1045" spans="1:7" s="250" customFormat="1" ht="14.4" x14ac:dyDescent="0.3">
      <c r="A1045" s="404">
        <v>45898</v>
      </c>
      <c r="B1045" s="384" t="s">
        <v>207</v>
      </c>
      <c r="C1045" s="500" t="s">
        <v>31</v>
      </c>
      <c r="D1045" s="501" t="s">
        <v>1245</v>
      </c>
      <c r="E1045" s="502">
        <v>-534.32000000000005</v>
      </c>
      <c r="F1045" s="503" t="s">
        <v>8</v>
      </c>
      <c r="G1045" s="504" t="s">
        <v>124</v>
      </c>
    </row>
    <row r="1046" spans="1:7" s="250" customFormat="1" ht="14.4" x14ac:dyDescent="0.3">
      <c r="A1046" s="251">
        <v>45898</v>
      </c>
      <c r="B1046" s="316" t="s">
        <v>207</v>
      </c>
      <c r="C1046" s="262" t="s">
        <v>25</v>
      </c>
      <c r="D1046" s="427" t="s">
        <v>767</v>
      </c>
      <c r="E1046" s="433">
        <v>-517.63</v>
      </c>
      <c r="F1046" s="313" t="s">
        <v>8</v>
      </c>
      <c r="G1046" s="314" t="s">
        <v>124</v>
      </c>
    </row>
    <row r="1047" spans="1:7" s="250" customFormat="1" ht="14.4" x14ac:dyDescent="0.3">
      <c r="A1047" s="251">
        <v>45898</v>
      </c>
      <c r="B1047" s="316" t="s">
        <v>207</v>
      </c>
      <c r="C1047" s="311" t="s">
        <v>393</v>
      </c>
      <c r="D1047" s="427" t="s">
        <v>768</v>
      </c>
      <c r="E1047" s="433">
        <v>-527.76</v>
      </c>
      <c r="F1047" s="313" t="s">
        <v>8</v>
      </c>
      <c r="G1047" s="314" t="s">
        <v>124</v>
      </c>
    </row>
    <row r="1048" spans="1:7" s="250" customFormat="1" ht="14.4" x14ac:dyDescent="0.3">
      <c r="A1048" s="251">
        <v>45898</v>
      </c>
      <c r="B1048" s="316" t="s">
        <v>207</v>
      </c>
      <c r="C1048" s="311" t="s">
        <v>33</v>
      </c>
      <c r="D1048" s="427" t="s">
        <v>400</v>
      </c>
      <c r="E1048" s="434">
        <v>-532.07000000000005</v>
      </c>
      <c r="F1048" s="313" t="s">
        <v>8</v>
      </c>
      <c r="G1048" s="314" t="s">
        <v>124</v>
      </c>
    </row>
    <row r="1049" spans="1:7" s="250" customFormat="1" ht="14.4" x14ac:dyDescent="0.3">
      <c r="A1049" s="251">
        <v>45898</v>
      </c>
      <c r="B1049" s="316" t="s">
        <v>207</v>
      </c>
      <c r="C1049" s="299" t="s">
        <v>44</v>
      </c>
      <c r="D1049" s="427" t="s">
        <v>1246</v>
      </c>
      <c r="E1049" s="434">
        <v>-554.52</v>
      </c>
      <c r="F1049" s="313" t="s">
        <v>8</v>
      </c>
      <c r="G1049" s="314" t="s">
        <v>124</v>
      </c>
    </row>
    <row r="1050" spans="1:7" s="250" customFormat="1" x14ac:dyDescent="0.3">
      <c r="A1050" s="251">
        <v>45898</v>
      </c>
      <c r="B1050" s="316" t="s">
        <v>207</v>
      </c>
      <c r="C1050" s="299" t="s">
        <v>44</v>
      </c>
      <c r="D1050" s="300" t="s">
        <v>158</v>
      </c>
      <c r="E1050" s="317">
        <v>-1719.53</v>
      </c>
      <c r="F1050" s="249" t="s">
        <v>8</v>
      </c>
      <c r="G1050" s="249" t="s">
        <v>91</v>
      </c>
    </row>
    <row r="1051" spans="1:7" s="250" customFormat="1" x14ac:dyDescent="0.3">
      <c r="A1051" s="251">
        <v>45898</v>
      </c>
      <c r="B1051" s="316" t="s">
        <v>207</v>
      </c>
      <c r="C1051" s="299" t="s">
        <v>6</v>
      </c>
      <c r="D1051" s="300" t="s">
        <v>158</v>
      </c>
      <c r="E1051" s="317">
        <v>-1392.65</v>
      </c>
      <c r="F1051" s="249" t="s">
        <v>8</v>
      </c>
      <c r="G1051" s="249" t="s">
        <v>91</v>
      </c>
    </row>
    <row r="1052" spans="1:7" s="139" customFormat="1" x14ac:dyDescent="0.3">
      <c r="A1052" s="100">
        <v>45880</v>
      </c>
      <c r="B1052" s="100" t="s">
        <v>207</v>
      </c>
      <c r="C1052" s="14" t="s">
        <v>17</v>
      </c>
      <c r="D1052" s="14" t="s">
        <v>993</v>
      </c>
      <c r="E1052" s="8">
        <v>-184.5</v>
      </c>
      <c r="F1052" s="13" t="s">
        <v>8</v>
      </c>
      <c r="G1052" s="9" t="s">
        <v>82</v>
      </c>
    </row>
    <row r="1053" spans="1:7" s="139" customFormat="1" x14ac:dyDescent="0.3">
      <c r="A1053" s="100">
        <v>45880</v>
      </c>
      <c r="B1053" s="100" t="s">
        <v>207</v>
      </c>
      <c r="C1053" s="14" t="s">
        <v>17</v>
      </c>
      <c r="D1053" s="14" t="s">
        <v>994</v>
      </c>
      <c r="E1053" s="8">
        <v>-313</v>
      </c>
      <c r="F1053" s="13" t="s">
        <v>8</v>
      </c>
      <c r="G1053" s="9" t="s">
        <v>82</v>
      </c>
    </row>
    <row r="1054" spans="1:7" s="139" customFormat="1" x14ac:dyDescent="0.3">
      <c r="A1054" s="100">
        <v>45880</v>
      </c>
      <c r="B1054" s="100" t="s">
        <v>207</v>
      </c>
      <c r="C1054" s="14" t="s">
        <v>17</v>
      </c>
      <c r="D1054" s="14" t="s">
        <v>995</v>
      </c>
      <c r="E1054" s="8">
        <v>-74</v>
      </c>
      <c r="F1054" s="13" t="s">
        <v>8</v>
      </c>
      <c r="G1054" s="9" t="s">
        <v>82</v>
      </c>
    </row>
    <row r="1055" spans="1:7" s="139" customFormat="1" x14ac:dyDescent="0.3">
      <c r="A1055" s="100">
        <v>45880</v>
      </c>
      <c r="B1055" s="100" t="s">
        <v>207</v>
      </c>
      <c r="C1055" s="14" t="s">
        <v>17</v>
      </c>
      <c r="D1055" s="14" t="s">
        <v>996</v>
      </c>
      <c r="E1055" s="8">
        <v>-190</v>
      </c>
      <c r="F1055" s="13" t="s">
        <v>8</v>
      </c>
      <c r="G1055" s="9" t="s">
        <v>82</v>
      </c>
    </row>
    <row r="1056" spans="1:7" s="139" customFormat="1" x14ac:dyDescent="0.3">
      <c r="A1056" s="100">
        <v>45880</v>
      </c>
      <c r="B1056" s="100" t="s">
        <v>207</v>
      </c>
      <c r="C1056" s="14" t="s">
        <v>31</v>
      </c>
      <c r="D1056" s="14" t="s">
        <v>997</v>
      </c>
      <c r="E1056" s="8">
        <v>-90</v>
      </c>
      <c r="F1056" s="13" t="s">
        <v>8</v>
      </c>
      <c r="G1056" s="9" t="s">
        <v>51</v>
      </c>
    </row>
    <row r="1057" spans="1:7" s="139" customFormat="1" x14ac:dyDescent="0.3">
      <c r="A1057" s="100">
        <v>45880</v>
      </c>
      <c r="B1057" s="100" t="s">
        <v>207</v>
      </c>
      <c r="C1057" s="14" t="s">
        <v>25</v>
      </c>
      <c r="D1057" s="14" t="s">
        <v>998</v>
      </c>
      <c r="E1057" s="8">
        <v>-341.24</v>
      </c>
      <c r="F1057" s="13" t="s">
        <v>8</v>
      </c>
      <c r="G1057" s="9" t="s">
        <v>381</v>
      </c>
    </row>
    <row r="1058" spans="1:7" s="139" customFormat="1" x14ac:dyDescent="0.3">
      <c r="A1058" s="100">
        <v>45880</v>
      </c>
      <c r="B1058" s="100" t="s">
        <v>207</v>
      </c>
      <c r="C1058" s="14" t="s">
        <v>33</v>
      </c>
      <c r="D1058" s="14" t="s">
        <v>999</v>
      </c>
      <c r="E1058" s="8">
        <v>-195.38</v>
      </c>
      <c r="F1058" s="13" t="s">
        <v>8</v>
      </c>
      <c r="G1058" s="9" t="s">
        <v>381</v>
      </c>
    </row>
    <row r="1059" spans="1:7" s="139" customFormat="1" x14ac:dyDescent="0.3">
      <c r="A1059" s="100">
        <v>45880</v>
      </c>
      <c r="B1059" s="100" t="s">
        <v>207</v>
      </c>
      <c r="C1059" s="286" t="s">
        <v>71</v>
      </c>
      <c r="D1059" s="286" t="s">
        <v>1000</v>
      </c>
      <c r="E1059" s="276">
        <v>-489.49</v>
      </c>
      <c r="F1059" s="13" t="s">
        <v>8</v>
      </c>
      <c r="G1059" s="354" t="s">
        <v>1001</v>
      </c>
    </row>
    <row r="1060" spans="1:7" s="139" customFormat="1" x14ac:dyDescent="0.3">
      <c r="A1060" s="100">
        <v>45880</v>
      </c>
      <c r="B1060" s="100" t="s">
        <v>207</v>
      </c>
      <c r="C1060" s="14" t="s">
        <v>17</v>
      </c>
      <c r="D1060" s="14" t="s">
        <v>467</v>
      </c>
      <c r="E1060" s="8">
        <v>-89.28</v>
      </c>
      <c r="F1060" s="13" t="s">
        <v>8</v>
      </c>
      <c r="G1060" s="9" t="s">
        <v>75</v>
      </c>
    </row>
    <row r="1061" spans="1:7" s="139" customFormat="1" x14ac:dyDescent="0.3">
      <c r="A1061" s="100">
        <v>45880</v>
      </c>
      <c r="B1061" s="100" t="s">
        <v>207</v>
      </c>
      <c r="C1061" s="12" t="s">
        <v>13</v>
      </c>
      <c r="D1061" s="7" t="s">
        <v>765</v>
      </c>
      <c r="E1061" s="8">
        <v>-30918.3</v>
      </c>
      <c r="F1061" s="13" t="s">
        <v>8</v>
      </c>
      <c r="G1061" s="9" t="s">
        <v>27</v>
      </c>
    </row>
    <row r="1062" spans="1:7" s="139" customFormat="1" x14ac:dyDescent="0.3">
      <c r="A1062" s="60">
        <v>45869</v>
      </c>
      <c r="B1062" s="50" t="s">
        <v>206</v>
      </c>
      <c r="C1062" s="120" t="s">
        <v>159</v>
      </c>
      <c r="D1062" s="29" t="s">
        <v>160</v>
      </c>
      <c r="E1062" s="30">
        <v>23638.67</v>
      </c>
      <c r="F1062" s="167" t="s">
        <v>161</v>
      </c>
      <c r="G1062" s="61" t="s">
        <v>162</v>
      </c>
    </row>
    <row r="1063" spans="1:7" s="139" customFormat="1" x14ac:dyDescent="0.3">
      <c r="A1063" s="60">
        <v>45869</v>
      </c>
      <c r="B1063" s="50" t="s">
        <v>206</v>
      </c>
      <c r="C1063" s="120" t="s">
        <v>163</v>
      </c>
      <c r="D1063" s="29" t="s">
        <v>164</v>
      </c>
      <c r="E1063" s="30">
        <v>18532.8</v>
      </c>
      <c r="F1063" s="167" t="s">
        <v>161</v>
      </c>
      <c r="G1063" s="61" t="s">
        <v>162</v>
      </c>
    </row>
    <row r="1064" spans="1:7" s="139" customFormat="1" x14ac:dyDescent="0.3">
      <c r="A1064" s="60">
        <v>45869</v>
      </c>
      <c r="B1064" s="50" t="s">
        <v>206</v>
      </c>
      <c r="C1064" s="120" t="s">
        <v>163</v>
      </c>
      <c r="D1064" s="29" t="s">
        <v>164</v>
      </c>
      <c r="E1064" s="30">
        <v>799.2</v>
      </c>
      <c r="F1064" s="167" t="s">
        <v>161</v>
      </c>
      <c r="G1064" s="61" t="s">
        <v>162</v>
      </c>
    </row>
    <row r="1065" spans="1:7" s="139" customFormat="1" x14ac:dyDescent="0.3">
      <c r="A1065" s="60">
        <v>45869</v>
      </c>
      <c r="B1065" s="50" t="s">
        <v>206</v>
      </c>
      <c r="C1065" s="120" t="s">
        <v>163</v>
      </c>
      <c r="D1065" s="29" t="s">
        <v>164</v>
      </c>
      <c r="E1065" s="30">
        <v>1200</v>
      </c>
      <c r="F1065" s="167" t="s">
        <v>161</v>
      </c>
      <c r="G1065" s="61" t="s">
        <v>162</v>
      </c>
    </row>
    <row r="1066" spans="1:7" s="139" customFormat="1" x14ac:dyDescent="0.3">
      <c r="A1066" s="60">
        <v>45869</v>
      </c>
      <c r="B1066" s="50" t="s">
        <v>206</v>
      </c>
      <c r="C1066" s="120" t="s">
        <v>44</v>
      </c>
      <c r="D1066" s="29" t="s">
        <v>917</v>
      </c>
      <c r="E1066" s="30">
        <v>11675.22</v>
      </c>
      <c r="F1066" s="167" t="s">
        <v>161</v>
      </c>
      <c r="G1066" s="61" t="s">
        <v>162</v>
      </c>
    </row>
    <row r="1067" spans="1:7" s="139" customFormat="1" x14ac:dyDescent="0.3">
      <c r="A1067" s="60">
        <v>45869</v>
      </c>
      <c r="B1067" s="50" t="s">
        <v>206</v>
      </c>
      <c r="C1067" s="120" t="s">
        <v>167</v>
      </c>
      <c r="D1067" s="29" t="s">
        <v>918</v>
      </c>
      <c r="E1067" s="30">
        <v>300</v>
      </c>
      <c r="F1067" s="167" t="s">
        <v>161</v>
      </c>
      <c r="G1067" s="61" t="s">
        <v>162</v>
      </c>
    </row>
    <row r="1068" spans="1:7" s="139" customFormat="1" x14ac:dyDescent="0.3">
      <c r="A1068" s="60">
        <v>45869</v>
      </c>
      <c r="B1068" s="50" t="s">
        <v>206</v>
      </c>
      <c r="C1068" s="120" t="s">
        <v>165</v>
      </c>
      <c r="D1068" s="29" t="s">
        <v>166</v>
      </c>
      <c r="E1068" s="30">
        <v>22451.91</v>
      </c>
      <c r="F1068" s="167" t="s">
        <v>161</v>
      </c>
      <c r="G1068" s="61" t="s">
        <v>162</v>
      </c>
    </row>
    <row r="1069" spans="1:7" s="139" customFormat="1" x14ac:dyDescent="0.3">
      <c r="A1069" s="60">
        <v>45869</v>
      </c>
      <c r="B1069" s="50" t="s">
        <v>206</v>
      </c>
      <c r="C1069" s="120" t="s">
        <v>167</v>
      </c>
      <c r="D1069" s="31" t="s">
        <v>168</v>
      </c>
      <c r="E1069" s="30">
        <v>196</v>
      </c>
      <c r="F1069" s="167" t="s">
        <v>161</v>
      </c>
      <c r="G1069" s="61" t="s">
        <v>162</v>
      </c>
    </row>
    <row r="1070" spans="1:7" s="139" customFormat="1" x14ac:dyDescent="0.3">
      <c r="A1070" s="60">
        <v>45869</v>
      </c>
      <c r="B1070" s="50" t="s">
        <v>206</v>
      </c>
      <c r="C1070" s="120" t="s">
        <v>167</v>
      </c>
      <c r="D1070" s="31" t="s">
        <v>367</v>
      </c>
      <c r="E1070" s="30">
        <v>21852.37</v>
      </c>
      <c r="F1070" s="167" t="s">
        <v>161</v>
      </c>
      <c r="G1070" s="61" t="s">
        <v>162</v>
      </c>
    </row>
    <row r="1071" spans="1:7" s="139" customFormat="1" x14ac:dyDescent="0.3">
      <c r="A1071" s="60">
        <v>45869</v>
      </c>
      <c r="B1071" s="50" t="s">
        <v>206</v>
      </c>
      <c r="C1071" s="120" t="s">
        <v>167</v>
      </c>
      <c r="D1071" s="32" t="s">
        <v>367</v>
      </c>
      <c r="E1071" s="30">
        <v>4983</v>
      </c>
      <c r="F1071" s="167" t="s">
        <v>161</v>
      </c>
      <c r="G1071" s="61" t="s">
        <v>162</v>
      </c>
    </row>
    <row r="1072" spans="1:7" s="139" customFormat="1" x14ac:dyDescent="0.3">
      <c r="A1072" s="60">
        <v>45869</v>
      </c>
      <c r="B1072" s="50" t="s">
        <v>206</v>
      </c>
      <c r="C1072" s="120" t="s">
        <v>167</v>
      </c>
      <c r="D1072" s="31" t="s">
        <v>168</v>
      </c>
      <c r="E1072" s="30">
        <v>23943.3</v>
      </c>
      <c r="F1072" s="167" t="s">
        <v>161</v>
      </c>
      <c r="G1072" s="61" t="s">
        <v>162</v>
      </c>
    </row>
    <row r="1073" spans="1:7" s="139" customFormat="1" x14ac:dyDescent="0.3">
      <c r="A1073" s="223">
        <v>45869</v>
      </c>
      <c r="B1073" s="62" t="s">
        <v>206</v>
      </c>
      <c r="C1073" s="407" t="s">
        <v>167</v>
      </c>
      <c r="D1073" s="469" t="s">
        <v>168</v>
      </c>
      <c r="E1073" s="470">
        <v>14482.07</v>
      </c>
      <c r="F1073" s="471" t="s">
        <v>161</v>
      </c>
      <c r="G1073" s="225" t="s">
        <v>162</v>
      </c>
    </row>
    <row r="1074" spans="1:7" hidden="1" x14ac:dyDescent="0.3">
      <c r="A1074" s="51">
        <v>45933</v>
      </c>
      <c r="B1074" s="123" t="s">
        <v>211</v>
      </c>
      <c r="C1074" s="120" t="s">
        <v>30</v>
      </c>
      <c r="D1074" s="73" t="s">
        <v>684</v>
      </c>
      <c r="E1074" s="121">
        <v>4935</v>
      </c>
      <c r="F1074" s="55" t="s">
        <v>161</v>
      </c>
      <c r="G1074" s="61" t="s">
        <v>162</v>
      </c>
    </row>
    <row r="1075" spans="1:7" hidden="1" x14ac:dyDescent="0.3">
      <c r="A1075" s="271">
        <v>45937</v>
      </c>
      <c r="B1075" s="271" t="s">
        <v>211</v>
      </c>
      <c r="C1075" s="233" t="s">
        <v>30</v>
      </c>
      <c r="D1075" s="234" t="s">
        <v>684</v>
      </c>
      <c r="E1075" s="439">
        <v>4935</v>
      </c>
      <c r="F1075" s="67" t="s">
        <v>161</v>
      </c>
      <c r="G1075" s="236" t="s">
        <v>162</v>
      </c>
    </row>
    <row r="1076" spans="1:7" hidden="1" x14ac:dyDescent="0.3">
      <c r="A1076" s="123">
        <v>45968</v>
      </c>
      <c r="B1076" s="123" t="s">
        <v>212</v>
      </c>
      <c r="C1076" s="120" t="s">
        <v>30</v>
      </c>
      <c r="D1076" s="73" t="s">
        <v>684</v>
      </c>
      <c r="E1076" s="121">
        <v>4935</v>
      </c>
      <c r="F1076" s="55" t="s">
        <v>161</v>
      </c>
      <c r="G1076" s="61" t="s">
        <v>162</v>
      </c>
    </row>
    <row r="1077" spans="1:7" hidden="1" x14ac:dyDescent="0.3">
      <c r="A1077" s="123">
        <v>46000</v>
      </c>
      <c r="B1077" s="123" t="s">
        <v>216</v>
      </c>
      <c r="C1077" s="120" t="s">
        <v>30</v>
      </c>
      <c r="D1077" s="73" t="s">
        <v>684</v>
      </c>
      <c r="E1077" s="121">
        <v>4935</v>
      </c>
      <c r="F1077" s="55" t="s">
        <v>161</v>
      </c>
      <c r="G1077" s="61" t="s">
        <v>162</v>
      </c>
    </row>
    <row r="1078" spans="1:7" x14ac:dyDescent="0.3">
      <c r="A1078" s="123">
        <v>45880</v>
      </c>
      <c r="B1078" s="123" t="s">
        <v>207</v>
      </c>
      <c r="C1078" s="120" t="s">
        <v>170</v>
      </c>
      <c r="D1078" s="73" t="s">
        <v>171</v>
      </c>
      <c r="E1078" s="228">
        <v>40542.71</v>
      </c>
      <c r="F1078" s="55" t="s">
        <v>161</v>
      </c>
      <c r="G1078" s="61" t="s">
        <v>162</v>
      </c>
    </row>
    <row r="1079" spans="1:7" x14ac:dyDescent="0.3">
      <c r="A1079" s="123">
        <v>45881</v>
      </c>
      <c r="B1079" s="123" t="s">
        <v>207</v>
      </c>
      <c r="C1079" s="120" t="s">
        <v>170</v>
      </c>
      <c r="D1079" s="29" t="s">
        <v>172</v>
      </c>
      <c r="E1079" s="228">
        <v>300</v>
      </c>
      <c r="F1079" s="55" t="s">
        <v>161</v>
      </c>
      <c r="G1079" s="61" t="s">
        <v>78</v>
      </c>
    </row>
    <row r="1080" spans="1:7" x14ac:dyDescent="0.3">
      <c r="A1080" s="123">
        <v>45881</v>
      </c>
      <c r="B1080" s="123" t="s">
        <v>207</v>
      </c>
      <c r="C1080" s="120" t="s">
        <v>170</v>
      </c>
      <c r="D1080" s="29" t="s">
        <v>172</v>
      </c>
      <c r="E1080" s="228">
        <v>5062.8</v>
      </c>
      <c r="F1080" s="55" t="s">
        <v>161</v>
      </c>
      <c r="G1080" s="61" t="s">
        <v>162</v>
      </c>
    </row>
    <row r="1081" spans="1:7" x14ac:dyDescent="0.3">
      <c r="A1081" s="123">
        <v>45881</v>
      </c>
      <c r="B1081" s="123" t="s">
        <v>207</v>
      </c>
      <c r="C1081" s="120" t="s">
        <v>167</v>
      </c>
      <c r="D1081" s="29" t="s">
        <v>173</v>
      </c>
      <c r="E1081" s="121">
        <v>603.26</v>
      </c>
      <c r="F1081" s="55" t="s">
        <v>161</v>
      </c>
      <c r="G1081" s="61" t="s">
        <v>162</v>
      </c>
    </row>
    <row r="1082" spans="1:7" x14ac:dyDescent="0.3">
      <c r="A1082" s="123">
        <v>45881</v>
      </c>
      <c r="B1082" s="123" t="s">
        <v>207</v>
      </c>
      <c r="C1082" s="120" t="s">
        <v>167</v>
      </c>
      <c r="D1082" s="29" t="s">
        <v>173</v>
      </c>
      <c r="E1082" s="121">
        <v>1106.1400000000001</v>
      </c>
      <c r="F1082" s="55" t="s">
        <v>161</v>
      </c>
      <c r="G1082" s="61" t="s">
        <v>162</v>
      </c>
    </row>
    <row r="1083" spans="1:7" x14ac:dyDescent="0.3">
      <c r="A1083" s="123">
        <v>45881</v>
      </c>
      <c r="B1083" s="123" t="s">
        <v>207</v>
      </c>
      <c r="C1083" s="120" t="s">
        <v>167</v>
      </c>
      <c r="D1083" s="29" t="s">
        <v>173</v>
      </c>
      <c r="E1083" s="121">
        <v>9631</v>
      </c>
      <c r="F1083" s="55" t="s">
        <v>161</v>
      </c>
      <c r="G1083" s="61" t="s">
        <v>162</v>
      </c>
    </row>
    <row r="1084" spans="1:7" x14ac:dyDescent="0.3">
      <c r="A1084" s="123">
        <v>45881</v>
      </c>
      <c r="B1084" s="123" t="s">
        <v>207</v>
      </c>
      <c r="C1084" s="120" t="s">
        <v>174</v>
      </c>
      <c r="D1084" s="29" t="s">
        <v>175</v>
      </c>
      <c r="E1084" s="58">
        <v>257.81</v>
      </c>
      <c r="F1084" s="55" t="s">
        <v>161</v>
      </c>
      <c r="G1084" s="61" t="s">
        <v>162</v>
      </c>
    </row>
    <row r="1085" spans="1:7" x14ac:dyDescent="0.3">
      <c r="A1085" s="123">
        <v>45881</v>
      </c>
      <c r="B1085" s="123" t="s">
        <v>207</v>
      </c>
      <c r="C1085" s="120" t="s">
        <v>174</v>
      </c>
      <c r="D1085" s="29" t="s">
        <v>176</v>
      </c>
      <c r="E1085" s="121">
        <v>680.03</v>
      </c>
      <c r="F1085" s="55" t="s">
        <v>161</v>
      </c>
      <c r="G1085" s="61" t="s">
        <v>162</v>
      </c>
    </row>
    <row r="1086" spans="1:7" x14ac:dyDescent="0.3">
      <c r="A1086" s="123">
        <v>45881</v>
      </c>
      <c r="B1086" s="123" t="s">
        <v>207</v>
      </c>
      <c r="C1086" s="120" t="s">
        <v>177</v>
      </c>
      <c r="D1086" s="122" t="s">
        <v>178</v>
      </c>
      <c r="E1086" s="53">
        <v>24988.71</v>
      </c>
      <c r="F1086" s="55" t="s">
        <v>161</v>
      </c>
      <c r="G1086" s="61" t="s">
        <v>162</v>
      </c>
    </row>
    <row r="1087" spans="1:7" x14ac:dyDescent="0.3">
      <c r="A1087" s="123">
        <v>45881</v>
      </c>
      <c r="B1087" s="123" t="s">
        <v>207</v>
      </c>
      <c r="C1087" s="120" t="s">
        <v>177</v>
      </c>
      <c r="D1087" s="122" t="s">
        <v>178</v>
      </c>
      <c r="E1087" s="53">
        <v>2284.4499999999998</v>
      </c>
      <c r="F1087" s="55" t="s">
        <v>161</v>
      </c>
      <c r="G1087" s="61" t="s">
        <v>162</v>
      </c>
    </row>
    <row r="1088" spans="1:7" x14ac:dyDescent="0.3">
      <c r="A1088" s="123">
        <v>45881</v>
      </c>
      <c r="B1088" s="123" t="s">
        <v>207</v>
      </c>
      <c r="C1088" s="120" t="s">
        <v>177</v>
      </c>
      <c r="D1088" s="122" t="s">
        <v>178</v>
      </c>
      <c r="E1088" s="53">
        <v>16834.330000000002</v>
      </c>
      <c r="F1088" s="55" t="s">
        <v>161</v>
      </c>
      <c r="G1088" s="61" t="s">
        <v>162</v>
      </c>
    </row>
    <row r="1089" spans="1:7" x14ac:dyDescent="0.3">
      <c r="A1089" s="123">
        <v>45881</v>
      </c>
      <c r="B1089" s="123" t="s">
        <v>207</v>
      </c>
      <c r="C1089" s="120" t="s">
        <v>177</v>
      </c>
      <c r="D1089" s="122" t="s">
        <v>178</v>
      </c>
      <c r="E1089" s="53">
        <v>268.13</v>
      </c>
      <c r="F1089" s="55" t="s">
        <v>161</v>
      </c>
      <c r="G1089" s="61" t="s">
        <v>162</v>
      </c>
    </row>
    <row r="1090" spans="1:7" x14ac:dyDescent="0.3">
      <c r="A1090" s="123">
        <v>45881</v>
      </c>
      <c r="B1090" s="123" t="s">
        <v>207</v>
      </c>
      <c r="C1090" s="120" t="s">
        <v>177</v>
      </c>
      <c r="D1090" s="122" t="s">
        <v>178</v>
      </c>
      <c r="E1090" s="121">
        <v>12459.61</v>
      </c>
      <c r="F1090" s="55" t="s">
        <v>161</v>
      </c>
      <c r="G1090" s="61" t="s">
        <v>162</v>
      </c>
    </row>
    <row r="1091" spans="1:7" x14ac:dyDescent="0.3">
      <c r="A1091" s="223">
        <v>45884</v>
      </c>
      <c r="B1091" s="62" t="s">
        <v>207</v>
      </c>
      <c r="C1091" s="407" t="s">
        <v>33</v>
      </c>
      <c r="D1091" s="472" t="s">
        <v>685</v>
      </c>
      <c r="E1091" s="473">
        <v>42921.04</v>
      </c>
      <c r="F1091" s="474" t="s">
        <v>161</v>
      </c>
      <c r="G1091" s="225" t="s">
        <v>162</v>
      </c>
    </row>
    <row r="1092" spans="1:7" x14ac:dyDescent="0.3">
      <c r="A1092" s="60">
        <v>45911</v>
      </c>
      <c r="B1092" s="123" t="s">
        <v>208</v>
      </c>
      <c r="C1092" s="120" t="s">
        <v>33</v>
      </c>
      <c r="D1092" s="122" t="s">
        <v>685</v>
      </c>
      <c r="E1092" s="121">
        <v>42921.04</v>
      </c>
      <c r="F1092" s="126" t="s">
        <v>161</v>
      </c>
      <c r="G1092" s="61" t="s">
        <v>162</v>
      </c>
    </row>
    <row r="1093" spans="1:7" hidden="1" x14ac:dyDescent="0.3">
      <c r="A1093" s="232">
        <v>45943</v>
      </c>
      <c r="B1093" s="271" t="s">
        <v>211</v>
      </c>
      <c r="C1093" s="233" t="s">
        <v>33</v>
      </c>
      <c r="D1093" s="505" t="s">
        <v>685</v>
      </c>
      <c r="E1093" s="439">
        <v>42921.04</v>
      </c>
      <c r="F1093" s="506" t="s">
        <v>161</v>
      </c>
      <c r="G1093" s="236" t="s">
        <v>162</v>
      </c>
    </row>
    <row r="1094" spans="1:7" hidden="1" x14ac:dyDescent="0.3">
      <c r="A1094" s="60">
        <v>45972</v>
      </c>
      <c r="B1094" s="123" t="s">
        <v>212</v>
      </c>
      <c r="C1094" s="120" t="s">
        <v>33</v>
      </c>
      <c r="D1094" s="122" t="s">
        <v>685</v>
      </c>
      <c r="E1094" s="121">
        <v>42921.04</v>
      </c>
      <c r="F1094" s="126" t="s">
        <v>161</v>
      </c>
      <c r="G1094" s="61" t="s">
        <v>162</v>
      </c>
    </row>
    <row r="1095" spans="1:7" hidden="1" x14ac:dyDescent="0.3">
      <c r="A1095" s="123">
        <v>46002</v>
      </c>
      <c r="B1095" s="147" t="s">
        <v>216</v>
      </c>
      <c r="C1095" s="120" t="s">
        <v>33</v>
      </c>
      <c r="D1095" s="122" t="s">
        <v>685</v>
      </c>
      <c r="E1095" s="121">
        <v>42921.04</v>
      </c>
      <c r="F1095" s="126" t="s">
        <v>161</v>
      </c>
      <c r="G1095" s="61" t="s">
        <v>162</v>
      </c>
    </row>
    <row r="1096" spans="1:7" x14ac:dyDescent="0.3">
      <c r="A1096" s="123">
        <v>45882</v>
      </c>
      <c r="B1096" s="123" t="s">
        <v>207</v>
      </c>
      <c r="C1096" s="120" t="s">
        <v>163</v>
      </c>
      <c r="D1096" s="122" t="s">
        <v>160</v>
      </c>
      <c r="E1096" s="121">
        <v>900</v>
      </c>
      <c r="F1096" s="126" t="s">
        <v>161</v>
      </c>
      <c r="G1096" s="61" t="s">
        <v>78</v>
      </c>
    </row>
    <row r="1097" spans="1:7" x14ac:dyDescent="0.3">
      <c r="A1097" s="123">
        <v>45882</v>
      </c>
      <c r="B1097" s="123" t="s">
        <v>207</v>
      </c>
      <c r="C1097" s="120" t="s">
        <v>163</v>
      </c>
      <c r="D1097" s="124" t="s">
        <v>179</v>
      </c>
      <c r="E1097" s="125">
        <v>7850</v>
      </c>
      <c r="F1097" s="126" t="s">
        <v>161</v>
      </c>
      <c r="G1097" s="61" t="s">
        <v>162</v>
      </c>
    </row>
    <row r="1098" spans="1:7" x14ac:dyDescent="0.3">
      <c r="A1098" s="123">
        <v>45874</v>
      </c>
      <c r="B1098" s="123" t="s">
        <v>207</v>
      </c>
      <c r="C1098" s="120" t="s">
        <v>17</v>
      </c>
      <c r="D1098" s="29" t="s">
        <v>180</v>
      </c>
      <c r="E1098" s="121">
        <v>345280</v>
      </c>
      <c r="F1098" s="55" t="s">
        <v>161</v>
      </c>
      <c r="G1098" s="61" t="s">
        <v>162</v>
      </c>
    </row>
    <row r="1099" spans="1:7" s="250" customFormat="1" x14ac:dyDescent="0.3">
      <c r="A1099" s="251">
        <v>45896</v>
      </c>
      <c r="B1099" s="247" t="s">
        <v>207</v>
      </c>
      <c r="C1099" s="293" t="s">
        <v>44</v>
      </c>
      <c r="D1099" s="293" t="s">
        <v>226</v>
      </c>
      <c r="E1099" s="248">
        <v>-3135.73</v>
      </c>
      <c r="F1099" s="249" t="s">
        <v>8</v>
      </c>
      <c r="G1099" s="293" t="s">
        <v>227</v>
      </c>
    </row>
    <row r="1100" spans="1:7" s="250" customFormat="1" x14ac:dyDescent="0.3">
      <c r="A1100" s="251">
        <v>45896</v>
      </c>
      <c r="B1100" s="247" t="s">
        <v>207</v>
      </c>
      <c r="C1100" s="293" t="s">
        <v>71</v>
      </c>
      <c r="D1100" s="293" t="s">
        <v>1210</v>
      </c>
      <c r="E1100" s="248">
        <v>-1270.08</v>
      </c>
      <c r="F1100" s="249" t="s">
        <v>8</v>
      </c>
      <c r="G1100" s="293" t="s">
        <v>227</v>
      </c>
    </row>
    <row r="1101" spans="1:7" s="382" customFormat="1" ht="14.4" x14ac:dyDescent="0.3">
      <c r="A1101" s="416">
        <v>45896</v>
      </c>
      <c r="B1101" s="417" t="s">
        <v>207</v>
      </c>
      <c r="C1101" s="364" t="s">
        <v>25</v>
      </c>
      <c r="D1101" s="364" t="s">
        <v>1179</v>
      </c>
      <c r="E1101" s="367">
        <v>-295</v>
      </c>
      <c r="F1101" s="249" t="s">
        <v>8</v>
      </c>
      <c r="G1101" s="249" t="s">
        <v>8</v>
      </c>
    </row>
    <row r="1102" spans="1:7" s="382" customFormat="1" ht="14.4" x14ac:dyDescent="0.3">
      <c r="A1102" s="416">
        <v>45896</v>
      </c>
      <c r="B1102" s="417" t="s">
        <v>207</v>
      </c>
      <c r="C1102" s="418" t="s">
        <v>104</v>
      </c>
      <c r="D1102" s="364" t="s">
        <v>360</v>
      </c>
      <c r="E1102" s="367">
        <v>-100</v>
      </c>
      <c r="F1102" s="249" t="s">
        <v>8</v>
      </c>
      <c r="G1102" s="249" t="s">
        <v>8</v>
      </c>
    </row>
    <row r="1103" spans="1:7" s="382" customFormat="1" ht="14.4" x14ac:dyDescent="0.3">
      <c r="A1103" s="416">
        <v>45896</v>
      </c>
      <c r="B1103" s="417" t="s">
        <v>207</v>
      </c>
      <c r="C1103" s="418" t="s">
        <v>17</v>
      </c>
      <c r="D1103" s="364" t="s">
        <v>1143</v>
      </c>
      <c r="E1103" s="367">
        <v>-100</v>
      </c>
      <c r="F1103" s="249" t="s">
        <v>8</v>
      </c>
      <c r="G1103" s="249" t="s">
        <v>8</v>
      </c>
    </row>
    <row r="1104" spans="1:7" s="382" customFormat="1" ht="14.4" x14ac:dyDescent="0.3">
      <c r="A1104" s="416">
        <v>45896</v>
      </c>
      <c r="B1104" s="417" t="s">
        <v>207</v>
      </c>
      <c r="C1104" s="418" t="s">
        <v>17</v>
      </c>
      <c r="D1104" s="364" t="s">
        <v>1180</v>
      </c>
      <c r="E1104" s="367">
        <v>-140</v>
      </c>
      <c r="F1104" s="249" t="s">
        <v>8</v>
      </c>
      <c r="G1104" s="249" t="s">
        <v>8</v>
      </c>
    </row>
    <row r="1105" spans="1:7" s="382" customFormat="1" ht="14.4" x14ac:dyDescent="0.3">
      <c r="A1105" s="416">
        <v>45896</v>
      </c>
      <c r="B1105" s="417" t="s">
        <v>207</v>
      </c>
      <c r="C1105" s="419" t="s">
        <v>17</v>
      </c>
      <c r="D1105" s="364" t="s">
        <v>1182</v>
      </c>
      <c r="E1105" s="367">
        <v>-477.48</v>
      </c>
      <c r="F1105" s="249" t="s">
        <v>8</v>
      </c>
      <c r="G1105" s="420" t="s">
        <v>386</v>
      </c>
    </row>
    <row r="1106" spans="1:7" s="382" customFormat="1" ht="14.4" x14ac:dyDescent="0.3">
      <c r="A1106" s="416">
        <v>45896</v>
      </c>
      <c r="B1106" s="417" t="s">
        <v>207</v>
      </c>
      <c r="C1106" s="419" t="s">
        <v>17</v>
      </c>
      <c r="D1106" s="364" t="s">
        <v>1181</v>
      </c>
      <c r="E1106" s="367">
        <v>-186.84</v>
      </c>
      <c r="F1106" s="249" t="s">
        <v>8</v>
      </c>
      <c r="G1106" s="421" t="s">
        <v>97</v>
      </c>
    </row>
    <row r="1107" spans="1:7" s="382" customFormat="1" ht="14.4" x14ac:dyDescent="0.3">
      <c r="A1107" s="251">
        <v>45897</v>
      </c>
      <c r="B1107" s="247" t="s">
        <v>207</v>
      </c>
      <c r="C1107" s="293" t="s">
        <v>71</v>
      </c>
      <c r="D1107" s="364" t="s">
        <v>1215</v>
      </c>
      <c r="E1107" s="367">
        <v>-100</v>
      </c>
      <c r="F1107" s="249" t="s">
        <v>8</v>
      </c>
      <c r="G1107" s="420" t="s">
        <v>386</v>
      </c>
    </row>
    <row r="1108" spans="1:7" s="382" customFormat="1" ht="14.4" x14ac:dyDescent="0.3">
      <c r="A1108" s="251">
        <v>45897</v>
      </c>
      <c r="B1108" s="247" t="s">
        <v>207</v>
      </c>
      <c r="C1108" s="293" t="s">
        <v>71</v>
      </c>
      <c r="D1108" s="364" t="s">
        <v>1217</v>
      </c>
      <c r="E1108" s="367">
        <v>-103.8</v>
      </c>
      <c r="F1108" s="249" t="s">
        <v>8</v>
      </c>
      <c r="G1108" s="420" t="s">
        <v>386</v>
      </c>
    </row>
    <row r="1109" spans="1:7" s="382" customFormat="1" ht="14.4" x14ac:dyDescent="0.3">
      <c r="A1109" s="251">
        <v>45897</v>
      </c>
      <c r="B1109" s="247" t="s">
        <v>207</v>
      </c>
      <c r="C1109" s="293" t="s">
        <v>71</v>
      </c>
      <c r="D1109" s="364" t="s">
        <v>1211</v>
      </c>
      <c r="E1109" s="367">
        <v>-193.9</v>
      </c>
      <c r="F1109" s="249" t="s">
        <v>8</v>
      </c>
      <c r="G1109" s="421" t="s">
        <v>1212</v>
      </c>
    </row>
    <row r="1110" spans="1:7" s="382" customFormat="1" ht="14.4" x14ac:dyDescent="0.3">
      <c r="A1110" s="251">
        <v>45897</v>
      </c>
      <c r="B1110" s="247" t="s">
        <v>207</v>
      </c>
      <c r="C1110" s="293" t="s">
        <v>71</v>
      </c>
      <c r="D1110" s="364" t="s">
        <v>1218</v>
      </c>
      <c r="E1110" s="367">
        <v>-100</v>
      </c>
      <c r="F1110" s="249" t="s">
        <v>8</v>
      </c>
      <c r="G1110" s="420" t="s">
        <v>386</v>
      </c>
    </row>
    <row r="1111" spans="1:7" s="250" customFormat="1" x14ac:dyDescent="0.3">
      <c r="A1111" s="316">
        <v>45896</v>
      </c>
      <c r="B1111" s="251" t="s">
        <v>207</v>
      </c>
      <c r="C1111" s="293" t="s">
        <v>71</v>
      </c>
      <c r="D1111" s="293" t="s">
        <v>1048</v>
      </c>
      <c r="E1111" s="248">
        <v>-1514.4703030000001</v>
      </c>
      <c r="F1111" s="254" t="s">
        <v>8</v>
      </c>
      <c r="G1111" s="254" t="s">
        <v>227</v>
      </c>
    </row>
    <row r="1112" spans="1:7" s="139" customFormat="1" x14ac:dyDescent="0.3">
      <c r="A1112" s="123">
        <v>45884</v>
      </c>
      <c r="B1112" s="123" t="s">
        <v>207</v>
      </c>
      <c r="C1112" s="120" t="s">
        <v>181</v>
      </c>
      <c r="D1112" s="29" t="s">
        <v>182</v>
      </c>
      <c r="E1112" s="30">
        <v>4960.8</v>
      </c>
      <c r="F1112" s="126" t="s">
        <v>161</v>
      </c>
      <c r="G1112" s="61" t="s">
        <v>162</v>
      </c>
    </row>
    <row r="1113" spans="1:7" s="139" customFormat="1" x14ac:dyDescent="0.3">
      <c r="A1113" s="123">
        <v>45884</v>
      </c>
      <c r="B1113" s="123" t="s">
        <v>207</v>
      </c>
      <c r="C1113" s="120" t="s">
        <v>181</v>
      </c>
      <c r="D1113" s="29" t="s">
        <v>182</v>
      </c>
      <c r="E1113" s="47">
        <v>900</v>
      </c>
      <c r="F1113" s="126" t="s">
        <v>161</v>
      </c>
      <c r="G1113" s="61" t="s">
        <v>162</v>
      </c>
    </row>
    <row r="1114" spans="1:7" x14ac:dyDescent="0.3">
      <c r="A1114" s="123">
        <v>45884</v>
      </c>
      <c r="B1114" s="123" t="s">
        <v>207</v>
      </c>
      <c r="C1114" s="120" t="s">
        <v>181</v>
      </c>
      <c r="D1114" s="29" t="s">
        <v>182</v>
      </c>
      <c r="E1114" s="127">
        <v>17956.39</v>
      </c>
      <c r="F1114" s="55" t="s">
        <v>161</v>
      </c>
      <c r="G1114" s="61" t="s">
        <v>162</v>
      </c>
    </row>
    <row r="1115" spans="1:7" x14ac:dyDescent="0.3">
      <c r="A1115" s="123">
        <v>45888</v>
      </c>
      <c r="B1115" s="123" t="s">
        <v>207</v>
      </c>
      <c r="C1115" s="120" t="s">
        <v>163</v>
      </c>
      <c r="D1115" s="29" t="s">
        <v>183</v>
      </c>
      <c r="E1115" s="53">
        <v>4717.4399999999996</v>
      </c>
      <c r="F1115" s="126" t="s">
        <v>161</v>
      </c>
      <c r="G1115" s="61" t="s">
        <v>162</v>
      </c>
    </row>
    <row r="1116" spans="1:7" x14ac:dyDescent="0.3">
      <c r="A1116" s="123">
        <v>45888</v>
      </c>
      <c r="B1116" s="123" t="s">
        <v>207</v>
      </c>
      <c r="C1116" s="120" t="s">
        <v>163</v>
      </c>
      <c r="D1116" s="29" t="s">
        <v>183</v>
      </c>
      <c r="E1116" s="53">
        <v>9938.39</v>
      </c>
      <c r="F1116" s="126" t="s">
        <v>161</v>
      </c>
      <c r="G1116" s="61" t="s">
        <v>162</v>
      </c>
    </row>
    <row r="1117" spans="1:7" x14ac:dyDescent="0.3">
      <c r="A1117" s="368">
        <v>45888</v>
      </c>
      <c r="B1117" s="368" t="s">
        <v>207</v>
      </c>
      <c r="C1117" s="407" t="s">
        <v>163</v>
      </c>
      <c r="D1117" s="437" t="s">
        <v>183</v>
      </c>
      <c r="E1117" s="64">
        <v>22139.98</v>
      </c>
      <c r="F1117" s="474" t="s">
        <v>161</v>
      </c>
      <c r="G1117" s="225" t="s">
        <v>162</v>
      </c>
    </row>
    <row r="1118" spans="1:7" x14ac:dyDescent="0.3">
      <c r="A1118" s="50">
        <v>45909</v>
      </c>
      <c r="B1118" s="123" t="s">
        <v>208</v>
      </c>
      <c r="C1118" s="120" t="s">
        <v>177</v>
      </c>
      <c r="D1118" s="29" t="s">
        <v>487</v>
      </c>
      <c r="E1118" s="58">
        <v>22930</v>
      </c>
      <c r="F1118" s="55" t="s">
        <v>161</v>
      </c>
      <c r="G1118" s="61" t="s">
        <v>162</v>
      </c>
    </row>
    <row r="1119" spans="1:7" hidden="1" x14ac:dyDescent="0.3">
      <c r="A1119" s="220">
        <v>45943</v>
      </c>
      <c r="B1119" s="271" t="s">
        <v>211</v>
      </c>
      <c r="C1119" s="233" t="s">
        <v>177</v>
      </c>
      <c r="D1119" s="272" t="s">
        <v>487</v>
      </c>
      <c r="E1119" s="235">
        <v>22930</v>
      </c>
      <c r="F1119" s="67" t="s">
        <v>161</v>
      </c>
      <c r="G1119" s="236" t="s">
        <v>162</v>
      </c>
    </row>
    <row r="1120" spans="1:7" hidden="1" x14ac:dyDescent="0.3">
      <c r="A1120" s="50">
        <v>45972</v>
      </c>
      <c r="B1120" s="123" t="s">
        <v>212</v>
      </c>
      <c r="C1120" s="120" t="s">
        <v>177</v>
      </c>
      <c r="D1120" s="29" t="s">
        <v>487</v>
      </c>
      <c r="E1120" s="58">
        <v>22930</v>
      </c>
      <c r="F1120" s="55" t="s">
        <v>161</v>
      </c>
      <c r="G1120" s="61" t="s">
        <v>162</v>
      </c>
    </row>
    <row r="1121" spans="1:7" hidden="1" x14ac:dyDescent="0.3">
      <c r="A1121" s="50">
        <v>46002</v>
      </c>
      <c r="B1121" s="123" t="s">
        <v>216</v>
      </c>
      <c r="C1121" s="120" t="s">
        <v>177</v>
      </c>
      <c r="D1121" s="29" t="s">
        <v>487</v>
      </c>
      <c r="E1121" s="58">
        <v>22930</v>
      </c>
      <c r="F1121" s="55" t="s">
        <v>161</v>
      </c>
      <c r="G1121" s="61" t="s">
        <v>162</v>
      </c>
    </row>
    <row r="1122" spans="1:7" x14ac:dyDescent="0.3">
      <c r="A1122" s="123">
        <v>45881</v>
      </c>
      <c r="B1122" s="123" t="s">
        <v>207</v>
      </c>
      <c r="C1122" s="120" t="s">
        <v>167</v>
      </c>
      <c r="D1122" s="227" t="s">
        <v>1039</v>
      </c>
      <c r="E1122" s="228">
        <v>1200</v>
      </c>
      <c r="F1122" s="126" t="s">
        <v>161</v>
      </c>
      <c r="G1122" s="61" t="s">
        <v>162</v>
      </c>
    </row>
    <row r="1123" spans="1:7" x14ac:dyDescent="0.3">
      <c r="A1123" s="123">
        <v>45881</v>
      </c>
      <c r="B1123" s="123" t="s">
        <v>207</v>
      </c>
      <c r="C1123" s="120" t="s">
        <v>167</v>
      </c>
      <c r="D1123" s="227" t="s">
        <v>168</v>
      </c>
      <c r="E1123" s="58">
        <v>1500</v>
      </c>
      <c r="F1123" s="126" t="s">
        <v>161</v>
      </c>
      <c r="G1123" s="61" t="s">
        <v>162</v>
      </c>
    </row>
    <row r="1124" spans="1:7" x14ac:dyDescent="0.3">
      <c r="A1124" s="50">
        <v>45881</v>
      </c>
      <c r="B1124" s="123" t="s">
        <v>207</v>
      </c>
      <c r="C1124" s="120" t="s">
        <v>163</v>
      </c>
      <c r="D1124" s="29" t="s">
        <v>685</v>
      </c>
      <c r="E1124" s="58">
        <v>600</v>
      </c>
      <c r="F1124" s="126" t="s">
        <v>161</v>
      </c>
      <c r="G1124" s="61" t="s">
        <v>78</v>
      </c>
    </row>
    <row r="1125" spans="1:7" x14ac:dyDescent="0.3">
      <c r="A1125" s="50">
        <v>45881</v>
      </c>
      <c r="B1125" s="123" t="s">
        <v>207</v>
      </c>
      <c r="C1125" s="120" t="s">
        <v>177</v>
      </c>
      <c r="D1125" s="29" t="s">
        <v>487</v>
      </c>
      <c r="E1125" s="228">
        <v>1565.33</v>
      </c>
      <c r="F1125" s="55" t="s">
        <v>161</v>
      </c>
      <c r="G1125" s="61" t="s">
        <v>162</v>
      </c>
    </row>
    <row r="1126" spans="1:7" x14ac:dyDescent="0.3">
      <c r="A1126" s="50">
        <v>45881</v>
      </c>
      <c r="B1126" s="123" t="s">
        <v>207</v>
      </c>
      <c r="C1126" s="120" t="s">
        <v>177</v>
      </c>
      <c r="D1126" s="29" t="s">
        <v>487</v>
      </c>
      <c r="E1126" s="58">
        <v>22930</v>
      </c>
      <c r="F1126" s="55" t="s">
        <v>161</v>
      </c>
      <c r="G1126" s="61" t="s">
        <v>162</v>
      </c>
    </row>
    <row r="1127" spans="1:7" x14ac:dyDescent="0.3">
      <c r="A1127" s="50">
        <v>45898</v>
      </c>
      <c r="B1127" s="123" t="s">
        <v>207</v>
      </c>
      <c r="C1127" s="120" t="s">
        <v>177</v>
      </c>
      <c r="D1127" s="29" t="s">
        <v>184</v>
      </c>
      <c r="E1127" s="58">
        <v>1500</v>
      </c>
      <c r="F1127" s="55" t="s">
        <v>161</v>
      </c>
      <c r="G1127" s="61" t="s">
        <v>162</v>
      </c>
    </row>
    <row r="1128" spans="1:7" x14ac:dyDescent="0.3">
      <c r="A1128" s="50">
        <v>45898</v>
      </c>
      <c r="B1128" s="123" t="s">
        <v>207</v>
      </c>
      <c r="C1128" s="120" t="s">
        <v>177</v>
      </c>
      <c r="D1128" s="29" t="s">
        <v>184</v>
      </c>
      <c r="E1128" s="58">
        <v>2373.31</v>
      </c>
      <c r="F1128" s="55" t="s">
        <v>161</v>
      </c>
      <c r="G1128" s="61" t="s">
        <v>162</v>
      </c>
    </row>
    <row r="1129" spans="1:7" x14ac:dyDescent="0.3">
      <c r="A1129" s="50">
        <v>45898</v>
      </c>
      <c r="B1129" s="123" t="s">
        <v>207</v>
      </c>
      <c r="C1129" s="120" t="s">
        <v>177</v>
      </c>
      <c r="D1129" s="29" t="s">
        <v>184</v>
      </c>
      <c r="E1129" s="58">
        <v>5823.82</v>
      </c>
      <c r="F1129" s="55" t="s">
        <v>161</v>
      </c>
      <c r="G1129" s="61" t="s">
        <v>162</v>
      </c>
    </row>
    <row r="1130" spans="1:7" x14ac:dyDescent="0.3">
      <c r="A1130" s="50">
        <v>45898</v>
      </c>
      <c r="B1130" s="123" t="s">
        <v>207</v>
      </c>
      <c r="C1130" s="120" t="s">
        <v>177</v>
      </c>
      <c r="D1130" s="29" t="s">
        <v>184</v>
      </c>
      <c r="E1130" s="58">
        <v>7526.95</v>
      </c>
      <c r="F1130" s="55" t="s">
        <v>161</v>
      </c>
      <c r="G1130" s="61" t="s">
        <v>162</v>
      </c>
    </row>
    <row r="1131" spans="1:7" x14ac:dyDescent="0.3">
      <c r="A1131" s="50">
        <v>45898</v>
      </c>
      <c r="B1131" s="123" t="s">
        <v>207</v>
      </c>
      <c r="C1131" s="120" t="s">
        <v>177</v>
      </c>
      <c r="D1131" s="29" t="s">
        <v>184</v>
      </c>
      <c r="E1131" s="58">
        <v>25756.63</v>
      </c>
      <c r="F1131" s="55" t="s">
        <v>161</v>
      </c>
      <c r="G1131" s="61" t="s">
        <v>162</v>
      </c>
    </row>
    <row r="1132" spans="1:7" ht="14.4" x14ac:dyDescent="0.3">
      <c r="A1132" s="62">
        <v>45898</v>
      </c>
      <c r="B1132" s="368" t="s">
        <v>207</v>
      </c>
      <c r="C1132" s="407" t="s">
        <v>177</v>
      </c>
      <c r="D1132" s="475" t="s">
        <v>1241</v>
      </c>
      <c r="E1132" s="432">
        <v>1073</v>
      </c>
      <c r="F1132" s="65" t="s">
        <v>161</v>
      </c>
      <c r="G1132" s="225" t="s">
        <v>162</v>
      </c>
    </row>
    <row r="1133" spans="1:7" ht="14.4" x14ac:dyDescent="0.3">
      <c r="A1133" s="51">
        <v>45929</v>
      </c>
      <c r="B1133" s="123" t="s">
        <v>208</v>
      </c>
      <c r="C1133" s="120" t="s">
        <v>177</v>
      </c>
      <c r="D1133" s="29" t="s">
        <v>1541</v>
      </c>
      <c r="E1133" s="522">
        <v>8400</v>
      </c>
      <c r="F1133" s="55" t="s">
        <v>161</v>
      </c>
      <c r="G1133" s="61" t="s">
        <v>162</v>
      </c>
    </row>
    <row r="1134" spans="1:7" hidden="1" x14ac:dyDescent="0.3">
      <c r="A1134" s="220">
        <v>45960</v>
      </c>
      <c r="B1134" s="271" t="s">
        <v>211</v>
      </c>
      <c r="C1134" s="233" t="s">
        <v>25</v>
      </c>
      <c r="D1134" s="272" t="s">
        <v>686</v>
      </c>
      <c r="E1134" s="235">
        <v>7440</v>
      </c>
      <c r="F1134" s="67" t="s">
        <v>161</v>
      </c>
      <c r="G1134" s="236" t="s">
        <v>162</v>
      </c>
    </row>
    <row r="1135" spans="1:7" hidden="1" x14ac:dyDescent="0.3">
      <c r="A1135" s="50">
        <v>45989</v>
      </c>
      <c r="B1135" s="123" t="s">
        <v>212</v>
      </c>
      <c r="C1135" s="120" t="s">
        <v>25</v>
      </c>
      <c r="D1135" s="29" t="s">
        <v>686</v>
      </c>
      <c r="E1135" s="58">
        <v>7440</v>
      </c>
      <c r="F1135" s="55" t="s">
        <v>161</v>
      </c>
      <c r="G1135" s="61" t="s">
        <v>162</v>
      </c>
    </row>
    <row r="1136" spans="1:7" hidden="1" x14ac:dyDescent="0.3">
      <c r="A1136" s="50">
        <v>46021</v>
      </c>
      <c r="B1136" s="123" t="s">
        <v>216</v>
      </c>
      <c r="C1136" s="120" t="s">
        <v>25</v>
      </c>
      <c r="D1136" s="29" t="s">
        <v>686</v>
      </c>
      <c r="E1136" s="58">
        <v>7440</v>
      </c>
      <c r="F1136" s="55" t="s">
        <v>161</v>
      </c>
      <c r="G1136" s="61" t="s">
        <v>162</v>
      </c>
    </row>
    <row r="1137" spans="1:7" ht="14.4" x14ac:dyDescent="0.3">
      <c r="A1137" s="50">
        <v>45888</v>
      </c>
      <c r="B1137" s="123" t="s">
        <v>207</v>
      </c>
      <c r="C1137" s="120" t="s">
        <v>170</v>
      </c>
      <c r="D1137" s="29" t="s">
        <v>185</v>
      </c>
      <c r="E1137" s="358">
        <v>688060.88</v>
      </c>
      <c r="F1137" s="55" t="s">
        <v>161</v>
      </c>
      <c r="G1137" s="61" t="s">
        <v>162</v>
      </c>
    </row>
    <row r="1138" spans="1:7" x14ac:dyDescent="0.3">
      <c r="A1138" s="50">
        <v>45897</v>
      </c>
      <c r="B1138" s="123" t="s">
        <v>207</v>
      </c>
      <c r="C1138" s="120" t="s">
        <v>170</v>
      </c>
      <c r="D1138" s="29" t="s">
        <v>1214</v>
      </c>
      <c r="E1138" s="128">
        <v>135668.9</v>
      </c>
      <c r="F1138" s="55" t="s">
        <v>161</v>
      </c>
      <c r="G1138" s="61" t="s">
        <v>162</v>
      </c>
    </row>
    <row r="1139" spans="1:7" s="250" customFormat="1" x14ac:dyDescent="0.3">
      <c r="A1139" s="316">
        <v>45894</v>
      </c>
      <c r="B1139" s="316" t="s">
        <v>207</v>
      </c>
      <c r="C1139" s="293" t="s">
        <v>71</v>
      </c>
      <c r="D1139" s="362" t="s">
        <v>1171</v>
      </c>
      <c r="E1139" s="410">
        <v>-1993.55</v>
      </c>
      <c r="F1139" s="249" t="s">
        <v>8</v>
      </c>
      <c r="G1139" s="408" t="s">
        <v>1071</v>
      </c>
    </row>
    <row r="1140" spans="1:7" s="250" customFormat="1" x14ac:dyDescent="0.3">
      <c r="A1140" s="251">
        <v>45894</v>
      </c>
      <c r="B1140" s="316" t="s">
        <v>207</v>
      </c>
      <c r="C1140" s="293" t="s">
        <v>6</v>
      </c>
      <c r="D1140" s="293" t="s">
        <v>1028</v>
      </c>
      <c r="E1140" s="248">
        <v>-2000</v>
      </c>
      <c r="F1140" s="402" t="s">
        <v>8</v>
      </c>
      <c r="G1140" s="403" t="s">
        <v>186</v>
      </c>
    </row>
    <row r="1141" spans="1:7" s="250" customFormat="1" x14ac:dyDescent="0.3">
      <c r="A1141" s="404">
        <v>45894</v>
      </c>
      <c r="B1141" s="384" t="s">
        <v>207</v>
      </c>
      <c r="C1141" s="405" t="s">
        <v>6</v>
      </c>
      <c r="D1141" s="405" t="s">
        <v>577</v>
      </c>
      <c r="E1141" s="406">
        <v>-2688.37</v>
      </c>
      <c r="F1141" s="402" t="s">
        <v>8</v>
      </c>
      <c r="G1141" s="403" t="s">
        <v>186</v>
      </c>
    </row>
    <row r="1142" spans="1:7" s="139" customFormat="1" x14ac:dyDescent="0.3">
      <c r="A1142" s="78">
        <v>45863</v>
      </c>
      <c r="B1142" s="2" t="s">
        <v>206</v>
      </c>
      <c r="C1142" s="14" t="s">
        <v>31</v>
      </c>
      <c r="D1142" s="14" t="s">
        <v>756</v>
      </c>
      <c r="E1142" s="276">
        <v>-87.32</v>
      </c>
      <c r="F1142" s="13" t="s">
        <v>8</v>
      </c>
      <c r="G1142" s="9" t="s">
        <v>75</v>
      </c>
    </row>
    <row r="1143" spans="1:7" s="139" customFormat="1" x14ac:dyDescent="0.3">
      <c r="A1143" s="78">
        <v>45863</v>
      </c>
      <c r="B1143" s="2" t="s">
        <v>206</v>
      </c>
      <c r="C1143" s="14" t="s">
        <v>31</v>
      </c>
      <c r="D1143" s="14" t="s">
        <v>756</v>
      </c>
      <c r="E1143" s="8">
        <v>-166.65</v>
      </c>
      <c r="F1143" s="13" t="s">
        <v>8</v>
      </c>
      <c r="G1143" s="9" t="s">
        <v>75</v>
      </c>
    </row>
    <row r="1144" spans="1:7" s="139" customFormat="1" x14ac:dyDescent="0.3">
      <c r="A1144" s="78">
        <v>45863</v>
      </c>
      <c r="B1144" s="2" t="s">
        <v>206</v>
      </c>
      <c r="C1144" s="14" t="s">
        <v>17</v>
      </c>
      <c r="D1144" s="14" t="s">
        <v>757</v>
      </c>
      <c r="E1144" s="8">
        <v>-169.78</v>
      </c>
      <c r="F1144" s="13" t="s">
        <v>8</v>
      </c>
      <c r="G1144" s="9" t="s">
        <v>75</v>
      </c>
    </row>
    <row r="1145" spans="1:7" s="139" customFormat="1" x14ac:dyDescent="0.3">
      <c r="A1145" s="78">
        <v>45860</v>
      </c>
      <c r="B1145" s="100" t="s">
        <v>206</v>
      </c>
      <c r="C1145" s="12" t="s">
        <v>31</v>
      </c>
      <c r="D1145" s="4" t="s">
        <v>578</v>
      </c>
      <c r="E1145" s="16">
        <v>-6371.92</v>
      </c>
      <c r="F1145" s="13" t="s">
        <v>8</v>
      </c>
      <c r="G1145" s="9" t="s">
        <v>46</v>
      </c>
    </row>
    <row r="1146" spans="1:7" s="139" customFormat="1" x14ac:dyDescent="0.3">
      <c r="A1146" s="78">
        <v>45860</v>
      </c>
      <c r="B1146" s="100" t="s">
        <v>206</v>
      </c>
      <c r="C1146" s="12" t="s">
        <v>25</v>
      </c>
      <c r="D1146" s="4" t="s">
        <v>688</v>
      </c>
      <c r="E1146" s="16">
        <v>-6456.32</v>
      </c>
      <c r="F1146" s="13" t="s">
        <v>8</v>
      </c>
      <c r="G1146" s="9" t="s">
        <v>46</v>
      </c>
    </row>
    <row r="1147" spans="1:7" s="139" customFormat="1" x14ac:dyDescent="0.3">
      <c r="A1147" s="74">
        <v>45860</v>
      </c>
      <c r="B1147" s="113" t="s">
        <v>206</v>
      </c>
      <c r="C1147" s="106" t="s">
        <v>25</v>
      </c>
      <c r="D1147" s="107" t="s">
        <v>796</v>
      </c>
      <c r="E1147" s="145">
        <v>-120</v>
      </c>
      <c r="F1147" s="27" t="s">
        <v>8</v>
      </c>
      <c r="G1147" s="91" t="s">
        <v>27</v>
      </c>
    </row>
    <row r="1148" spans="1:7" s="250" customFormat="1" x14ac:dyDescent="0.3">
      <c r="A1148" s="404">
        <v>45895</v>
      </c>
      <c r="B1148" s="384" t="s">
        <v>207</v>
      </c>
      <c r="C1148" s="385" t="s">
        <v>31</v>
      </c>
      <c r="D1148" s="385" t="s">
        <v>1208</v>
      </c>
      <c r="E1148" s="438">
        <v>-6462.87</v>
      </c>
      <c r="F1148" s="402" t="s">
        <v>8</v>
      </c>
      <c r="G1148" s="403" t="s">
        <v>46</v>
      </c>
    </row>
    <row r="1149" spans="1:7" s="250" customFormat="1" x14ac:dyDescent="0.3">
      <c r="A1149" s="308">
        <v>45895</v>
      </c>
      <c r="B1149" s="322" t="s">
        <v>207</v>
      </c>
      <c r="C1149" s="291" t="s">
        <v>25</v>
      </c>
      <c r="D1149" s="291" t="s">
        <v>1209</v>
      </c>
      <c r="E1149" s="461">
        <v>-6555.83</v>
      </c>
      <c r="F1149" s="373" t="s">
        <v>8</v>
      </c>
      <c r="G1149" s="266" t="s">
        <v>46</v>
      </c>
    </row>
    <row r="1150" spans="1:7" s="250" customFormat="1" x14ac:dyDescent="0.3">
      <c r="A1150" s="251">
        <v>45901</v>
      </c>
      <c r="B1150" s="316" t="s">
        <v>208</v>
      </c>
      <c r="C1150" s="293" t="s">
        <v>17</v>
      </c>
      <c r="D1150" s="253" t="s">
        <v>1282</v>
      </c>
      <c r="E1150" s="248">
        <v>-136.43000599999999</v>
      </c>
      <c r="F1150" s="249" t="s">
        <v>8</v>
      </c>
      <c r="G1150" s="254" t="s">
        <v>139</v>
      </c>
    </row>
    <row r="1151" spans="1:7" s="382" customFormat="1" ht="14.4" x14ac:dyDescent="0.3">
      <c r="A1151" s="507">
        <v>45897</v>
      </c>
      <c r="B1151" s="508" t="s">
        <v>207</v>
      </c>
      <c r="C1151" s="498" t="s">
        <v>71</v>
      </c>
      <c r="D1151" s="498" t="s">
        <v>1183</v>
      </c>
      <c r="E1151" s="499">
        <v>-123.5</v>
      </c>
      <c r="F1151" s="509" t="s">
        <v>8</v>
      </c>
      <c r="G1151" s="510" t="s">
        <v>75</v>
      </c>
    </row>
    <row r="1152" spans="1:7" s="250" customFormat="1" ht="14.4" x14ac:dyDescent="0.3">
      <c r="A1152" s="251">
        <v>45897</v>
      </c>
      <c r="B1152" s="247" t="s">
        <v>207</v>
      </c>
      <c r="C1152" s="364" t="s">
        <v>17</v>
      </c>
      <c r="D1152" s="364" t="s">
        <v>1184</v>
      </c>
      <c r="E1152" s="367">
        <v>-83.04</v>
      </c>
      <c r="F1152" s="249" t="s">
        <v>8</v>
      </c>
      <c r="G1152" s="421" t="s">
        <v>386</v>
      </c>
    </row>
    <row r="1153" spans="1:7" s="250" customFormat="1" ht="14.4" x14ac:dyDescent="0.3">
      <c r="A1153" s="251">
        <v>45897</v>
      </c>
      <c r="B1153" s="247" t="s">
        <v>207</v>
      </c>
      <c r="C1153" s="364" t="s">
        <v>17</v>
      </c>
      <c r="D1153" s="364" t="s">
        <v>1185</v>
      </c>
      <c r="E1153" s="367">
        <v>-83.04</v>
      </c>
      <c r="F1153" s="249" t="s">
        <v>8</v>
      </c>
      <c r="G1153" s="421" t="s">
        <v>386</v>
      </c>
    </row>
    <row r="1154" spans="1:7" s="250" customFormat="1" ht="14.4" x14ac:dyDescent="0.3">
      <c r="A1154" s="251">
        <v>45897</v>
      </c>
      <c r="B1154" s="247" t="s">
        <v>207</v>
      </c>
      <c r="C1154" s="364" t="s">
        <v>17</v>
      </c>
      <c r="D1154" s="364" t="s">
        <v>1186</v>
      </c>
      <c r="E1154" s="367">
        <v>-83.04</v>
      </c>
      <c r="F1154" s="249" t="s">
        <v>8</v>
      </c>
      <c r="G1154" s="421" t="s">
        <v>386</v>
      </c>
    </row>
    <row r="1155" spans="1:7" s="250" customFormat="1" ht="14.4" x14ac:dyDescent="0.3">
      <c r="A1155" s="251">
        <v>45897</v>
      </c>
      <c r="B1155" s="417" t="s">
        <v>207</v>
      </c>
      <c r="C1155" s="364" t="s">
        <v>17</v>
      </c>
      <c r="D1155" s="364" t="s">
        <v>1187</v>
      </c>
      <c r="E1155" s="367">
        <v>-210</v>
      </c>
      <c r="F1155" s="249" t="s">
        <v>8</v>
      </c>
      <c r="G1155" s="421" t="s">
        <v>97</v>
      </c>
    </row>
    <row r="1156" spans="1:7" s="250" customFormat="1" ht="14.4" x14ac:dyDescent="0.3">
      <c r="A1156" s="251">
        <v>45897</v>
      </c>
      <c r="B1156" s="417" t="s">
        <v>207</v>
      </c>
      <c r="C1156" s="364" t="s">
        <v>25</v>
      </c>
      <c r="D1156" s="364" t="s">
        <v>1188</v>
      </c>
      <c r="E1156" s="367">
        <v>-86.1</v>
      </c>
      <c r="F1156" s="249" t="s">
        <v>8</v>
      </c>
      <c r="G1156" s="421" t="s">
        <v>82</v>
      </c>
    </row>
    <row r="1157" spans="1:7" s="250" customFormat="1" ht="14.4" x14ac:dyDescent="0.3">
      <c r="A1157" s="251">
        <v>45897</v>
      </c>
      <c r="B1157" s="417" t="s">
        <v>207</v>
      </c>
      <c r="C1157" s="364" t="s">
        <v>25</v>
      </c>
      <c r="D1157" s="364" t="s">
        <v>1189</v>
      </c>
      <c r="E1157" s="367">
        <v>-151.19999999999999</v>
      </c>
      <c r="F1157" s="249" t="s">
        <v>8</v>
      </c>
      <c r="G1157" s="421" t="s">
        <v>82</v>
      </c>
    </row>
    <row r="1158" spans="1:7" s="250" customFormat="1" ht="14.4" x14ac:dyDescent="0.3">
      <c r="A1158" s="251">
        <v>45897</v>
      </c>
      <c r="B1158" s="417" t="s">
        <v>207</v>
      </c>
      <c r="C1158" s="364" t="s">
        <v>17</v>
      </c>
      <c r="D1158" s="364" t="s">
        <v>1190</v>
      </c>
      <c r="E1158" s="367">
        <v>-270</v>
      </c>
      <c r="F1158" s="249" t="s">
        <v>8</v>
      </c>
      <c r="G1158" s="421" t="s">
        <v>82</v>
      </c>
    </row>
    <row r="1159" spans="1:7" s="250" customFormat="1" ht="14.4" x14ac:dyDescent="0.3">
      <c r="A1159" s="251">
        <v>45897</v>
      </c>
      <c r="B1159" s="417" t="s">
        <v>207</v>
      </c>
      <c r="C1159" s="364" t="s">
        <v>17</v>
      </c>
      <c r="D1159" s="364" t="s">
        <v>1191</v>
      </c>
      <c r="E1159" s="367">
        <v>-270</v>
      </c>
      <c r="F1159" s="249" t="s">
        <v>8</v>
      </c>
      <c r="G1159" s="421" t="s">
        <v>82</v>
      </c>
    </row>
    <row r="1160" spans="1:7" s="250" customFormat="1" ht="14.4" x14ac:dyDescent="0.3">
      <c r="A1160" s="251">
        <v>45897</v>
      </c>
      <c r="B1160" s="417" t="s">
        <v>207</v>
      </c>
      <c r="C1160" s="364" t="s">
        <v>17</v>
      </c>
      <c r="D1160" s="364" t="s">
        <v>1192</v>
      </c>
      <c r="E1160" s="367">
        <v>-270</v>
      </c>
      <c r="F1160" s="249" t="s">
        <v>8</v>
      </c>
      <c r="G1160" s="421" t="s">
        <v>82</v>
      </c>
    </row>
    <row r="1161" spans="1:7" s="250" customFormat="1" ht="14.4" x14ac:dyDescent="0.3">
      <c r="A1161" s="251">
        <v>45897</v>
      </c>
      <c r="B1161" s="417" t="s">
        <v>207</v>
      </c>
      <c r="C1161" s="364" t="s">
        <v>25</v>
      </c>
      <c r="D1161" s="364" t="s">
        <v>1213</v>
      </c>
      <c r="E1161" s="367">
        <v>-2000</v>
      </c>
      <c r="F1161" s="249" t="s">
        <v>8</v>
      </c>
      <c r="G1161" s="421" t="s">
        <v>58</v>
      </c>
    </row>
    <row r="1162" spans="1:7" s="250" customFormat="1" ht="14.4" x14ac:dyDescent="0.3">
      <c r="A1162" s="308">
        <v>45897</v>
      </c>
      <c r="B1162" s="476" t="s">
        <v>207</v>
      </c>
      <c r="C1162" s="387" t="s">
        <v>25</v>
      </c>
      <c r="D1162" s="387" t="s">
        <v>1220</v>
      </c>
      <c r="E1162" s="388">
        <v>-400</v>
      </c>
      <c r="F1162" s="373" t="s">
        <v>8</v>
      </c>
      <c r="G1162" s="477" t="s">
        <v>139</v>
      </c>
    </row>
    <row r="1163" spans="1:7" s="139" customFormat="1" x14ac:dyDescent="0.3">
      <c r="A1163" s="100">
        <v>45902</v>
      </c>
      <c r="B1163" s="100" t="s">
        <v>208</v>
      </c>
      <c r="C1163" s="12" t="s">
        <v>6</v>
      </c>
      <c r="D1163" s="111" t="s">
        <v>196</v>
      </c>
      <c r="E1163" s="112">
        <v>-1905.5</v>
      </c>
      <c r="F1163" s="13" t="s">
        <v>8</v>
      </c>
      <c r="G1163" s="5" t="s">
        <v>51</v>
      </c>
    </row>
    <row r="1164" spans="1:7" s="250" customFormat="1" x14ac:dyDescent="0.3">
      <c r="A1164" s="404">
        <v>45898</v>
      </c>
      <c r="B1164" s="384" t="s">
        <v>207</v>
      </c>
      <c r="C1164" s="497" t="s">
        <v>44</v>
      </c>
      <c r="D1164" s="435" t="s">
        <v>1043</v>
      </c>
      <c r="E1164" s="406">
        <v>-1722.8</v>
      </c>
      <c r="F1164" s="408" t="s">
        <v>8</v>
      </c>
      <c r="G1164" s="511" t="s">
        <v>139</v>
      </c>
    </row>
    <row r="1165" spans="1:7" s="250" customFormat="1" x14ac:dyDescent="0.3">
      <c r="A1165" s="316">
        <v>45898</v>
      </c>
      <c r="B1165" s="316" t="s">
        <v>207</v>
      </c>
      <c r="C1165" s="293" t="s">
        <v>44</v>
      </c>
      <c r="D1165" s="253" t="s">
        <v>1242</v>
      </c>
      <c r="E1165" s="248">
        <v>-536</v>
      </c>
      <c r="F1165" s="249" t="s">
        <v>8</v>
      </c>
      <c r="G1165" s="254" t="s">
        <v>139</v>
      </c>
    </row>
    <row r="1166" spans="1:7" x14ac:dyDescent="0.3">
      <c r="A1166" s="264">
        <v>45884</v>
      </c>
      <c r="B1166" s="264" t="s">
        <v>207</v>
      </c>
      <c r="C1166" s="46" t="s">
        <v>1060</v>
      </c>
      <c r="D1166" s="46" t="s">
        <v>1061</v>
      </c>
      <c r="E1166" s="47">
        <v>110000</v>
      </c>
      <c r="F1166" s="48" t="s">
        <v>161</v>
      </c>
      <c r="G1166" s="49" t="s">
        <v>46</v>
      </c>
    </row>
    <row r="1167" spans="1:7" s="139" customFormat="1" x14ac:dyDescent="0.3">
      <c r="A1167" s="100">
        <v>45890</v>
      </c>
      <c r="B1167" s="100" t="s">
        <v>207</v>
      </c>
      <c r="C1167" s="14" t="s">
        <v>71</v>
      </c>
      <c r="D1167" s="14" t="s">
        <v>1057</v>
      </c>
      <c r="E1167" s="8">
        <v>-115</v>
      </c>
      <c r="F1167" s="13" t="s">
        <v>8</v>
      </c>
      <c r="G1167" s="9" t="s">
        <v>75</v>
      </c>
    </row>
    <row r="1168" spans="1:7" s="139" customFormat="1" ht="14.4" x14ac:dyDescent="0.3">
      <c r="A1168" s="100">
        <v>45890</v>
      </c>
      <c r="B1168" s="100" t="s">
        <v>207</v>
      </c>
      <c r="C1168" s="19" t="s">
        <v>25</v>
      </c>
      <c r="D1168" s="19" t="s">
        <v>372</v>
      </c>
      <c r="E1168" s="71">
        <v>-135.30000000000001</v>
      </c>
      <c r="F1168" s="13" t="s">
        <v>8</v>
      </c>
      <c r="G1168" s="9" t="s">
        <v>82</v>
      </c>
    </row>
    <row r="1169" spans="1:7" s="382" customFormat="1" ht="14.4" x14ac:dyDescent="0.3">
      <c r="A1169" s="381">
        <v>45891</v>
      </c>
      <c r="B1169" s="381" t="s">
        <v>207</v>
      </c>
      <c r="C1169" s="364" t="s">
        <v>25</v>
      </c>
      <c r="D1169" s="387" t="s">
        <v>1143</v>
      </c>
      <c r="E1169" s="388">
        <v>-100</v>
      </c>
      <c r="F1169" s="373" t="s">
        <v>8</v>
      </c>
      <c r="G1169" s="266" t="s">
        <v>82</v>
      </c>
    </row>
    <row r="1170" spans="1:7" s="250" customFormat="1" x14ac:dyDescent="0.3">
      <c r="A1170" s="316">
        <v>45891</v>
      </c>
      <c r="B1170" s="316" t="s">
        <v>207</v>
      </c>
      <c r="C1170" s="293" t="s">
        <v>25</v>
      </c>
      <c r="D1170" s="293" t="s">
        <v>1142</v>
      </c>
      <c r="E1170" s="248">
        <v>-135.30000000000001</v>
      </c>
      <c r="F1170" s="249" t="s">
        <v>8</v>
      </c>
      <c r="G1170" s="254" t="s">
        <v>82</v>
      </c>
    </row>
    <row r="1171" spans="1:7" s="250" customFormat="1" ht="14.4" x14ac:dyDescent="0.3">
      <c r="A1171" s="316">
        <v>45891</v>
      </c>
      <c r="B1171" s="316" t="s">
        <v>207</v>
      </c>
      <c r="C1171" s="364" t="s">
        <v>25</v>
      </c>
      <c r="D1171" s="364" t="s">
        <v>1138</v>
      </c>
      <c r="E1171" s="367">
        <v>-325</v>
      </c>
      <c r="F1171" s="249" t="s">
        <v>8</v>
      </c>
      <c r="G1171" s="254" t="s">
        <v>82</v>
      </c>
    </row>
    <row r="1172" spans="1:7" s="139" customFormat="1" ht="14.4" x14ac:dyDescent="0.3">
      <c r="A1172" s="100">
        <v>45890</v>
      </c>
      <c r="B1172" s="100" t="s">
        <v>207</v>
      </c>
      <c r="C1172" s="19" t="s">
        <v>25</v>
      </c>
      <c r="D1172" s="391" t="s">
        <v>751</v>
      </c>
      <c r="E1172" s="392">
        <v>-205</v>
      </c>
      <c r="F1172" s="110" t="s">
        <v>8</v>
      </c>
      <c r="G1172" s="70" t="s">
        <v>82</v>
      </c>
    </row>
    <row r="1173" spans="1:7" s="139" customFormat="1" ht="14.4" x14ac:dyDescent="0.3">
      <c r="A1173" s="100">
        <v>45890</v>
      </c>
      <c r="B1173" s="100" t="s">
        <v>207</v>
      </c>
      <c r="C1173" s="19" t="s">
        <v>25</v>
      </c>
      <c r="D1173" s="19" t="s">
        <v>418</v>
      </c>
      <c r="E1173" s="71">
        <v>-103.4</v>
      </c>
      <c r="F1173" s="13" t="s">
        <v>8</v>
      </c>
      <c r="G1173" s="9" t="s">
        <v>82</v>
      </c>
    </row>
    <row r="1174" spans="1:7" s="139" customFormat="1" ht="14.4" x14ac:dyDescent="0.3">
      <c r="A1174" s="100">
        <v>45890</v>
      </c>
      <c r="B1174" s="100" t="s">
        <v>207</v>
      </c>
      <c r="C1174" s="19" t="s">
        <v>25</v>
      </c>
      <c r="D1174" s="19" t="s">
        <v>748</v>
      </c>
      <c r="E1174" s="71">
        <v>-132</v>
      </c>
      <c r="F1174" s="13" t="s">
        <v>8</v>
      </c>
      <c r="G1174" s="9" t="s">
        <v>82</v>
      </c>
    </row>
    <row r="1175" spans="1:7" s="139" customFormat="1" ht="14.4" x14ac:dyDescent="0.3">
      <c r="A1175" s="100">
        <v>45890</v>
      </c>
      <c r="B1175" s="100" t="s">
        <v>207</v>
      </c>
      <c r="C1175" s="19" t="s">
        <v>25</v>
      </c>
      <c r="D1175" s="19" t="s">
        <v>749</v>
      </c>
      <c r="E1175" s="71">
        <v>-233</v>
      </c>
      <c r="F1175" s="13" t="s">
        <v>8</v>
      </c>
      <c r="G1175" s="9" t="s">
        <v>82</v>
      </c>
    </row>
    <row r="1176" spans="1:7" s="139" customFormat="1" ht="14.4" x14ac:dyDescent="0.3">
      <c r="A1176" s="100">
        <v>45890</v>
      </c>
      <c r="B1176" s="100" t="s">
        <v>207</v>
      </c>
      <c r="C1176" s="19" t="s">
        <v>25</v>
      </c>
      <c r="D1176" s="19" t="s">
        <v>496</v>
      </c>
      <c r="E1176" s="71">
        <v>-220</v>
      </c>
      <c r="F1176" s="13" t="s">
        <v>8</v>
      </c>
      <c r="G1176" s="9" t="s">
        <v>82</v>
      </c>
    </row>
    <row r="1177" spans="1:7" s="139" customFormat="1" ht="14.4" x14ac:dyDescent="0.3">
      <c r="A1177" s="100">
        <v>45890</v>
      </c>
      <c r="B1177" s="100" t="s">
        <v>207</v>
      </c>
      <c r="C1177" s="19" t="s">
        <v>25</v>
      </c>
      <c r="D1177" s="19" t="s">
        <v>1139</v>
      </c>
      <c r="E1177" s="71">
        <v>-123</v>
      </c>
      <c r="F1177" s="13" t="s">
        <v>8</v>
      </c>
      <c r="G1177" s="9" t="s">
        <v>82</v>
      </c>
    </row>
    <row r="1178" spans="1:7" s="139" customFormat="1" ht="14.4" x14ac:dyDescent="0.3">
      <c r="A1178" s="100">
        <v>45890</v>
      </c>
      <c r="B1178" s="100" t="s">
        <v>207</v>
      </c>
      <c r="C1178" s="19" t="s">
        <v>17</v>
      </c>
      <c r="D1178" s="19" t="s">
        <v>1140</v>
      </c>
      <c r="E1178" s="71">
        <v>-274</v>
      </c>
      <c r="F1178" s="13" t="s">
        <v>8</v>
      </c>
      <c r="G1178" s="9" t="s">
        <v>82</v>
      </c>
    </row>
    <row r="1179" spans="1:7" s="139" customFormat="1" ht="14.4" x14ac:dyDescent="0.3">
      <c r="A1179" s="100">
        <v>45890</v>
      </c>
      <c r="B1179" s="100" t="s">
        <v>207</v>
      </c>
      <c r="C1179" s="19" t="s">
        <v>17</v>
      </c>
      <c r="D1179" s="19" t="s">
        <v>1141</v>
      </c>
      <c r="E1179" s="71">
        <v>-51.8</v>
      </c>
      <c r="F1179" s="13" t="s">
        <v>8</v>
      </c>
      <c r="G1179" s="9" t="s">
        <v>82</v>
      </c>
    </row>
    <row r="1180" spans="1:7" s="139" customFormat="1" x14ac:dyDescent="0.3">
      <c r="A1180" s="100">
        <v>45890</v>
      </c>
      <c r="B1180" s="100" t="s">
        <v>207</v>
      </c>
      <c r="C1180" s="14" t="s">
        <v>17</v>
      </c>
      <c r="D1180" s="14" t="s">
        <v>1140</v>
      </c>
      <c r="E1180" s="273">
        <v>-228.36</v>
      </c>
      <c r="F1180" s="13" t="s">
        <v>8</v>
      </c>
      <c r="G1180" s="330" t="s">
        <v>386</v>
      </c>
    </row>
    <row r="1181" spans="1:7" s="139" customFormat="1" x14ac:dyDescent="0.3">
      <c r="A1181" s="100">
        <v>45890</v>
      </c>
      <c r="B1181" s="100" t="s">
        <v>207</v>
      </c>
      <c r="C1181" s="14" t="s">
        <v>17</v>
      </c>
      <c r="D1181" s="97" t="s">
        <v>376</v>
      </c>
      <c r="E1181" s="389">
        <v>-604.55999999999995</v>
      </c>
      <c r="F1181" s="27" t="s">
        <v>8</v>
      </c>
      <c r="G1181" s="390" t="s">
        <v>386</v>
      </c>
    </row>
    <row r="1182" spans="1:7" s="250" customFormat="1" x14ac:dyDescent="0.3">
      <c r="A1182" s="316">
        <v>45891</v>
      </c>
      <c r="B1182" s="316" t="s">
        <v>207</v>
      </c>
      <c r="C1182" s="300" t="s">
        <v>17</v>
      </c>
      <c r="D1182" s="372" t="s">
        <v>1157</v>
      </c>
      <c r="E1182" s="397">
        <v>-162</v>
      </c>
      <c r="F1182" s="249" t="s">
        <v>8</v>
      </c>
      <c r="G1182" s="254" t="s">
        <v>82</v>
      </c>
    </row>
    <row r="1183" spans="1:7" s="250" customFormat="1" x14ac:dyDescent="0.3">
      <c r="A1183" s="316">
        <v>45891</v>
      </c>
      <c r="B1183" s="316" t="s">
        <v>207</v>
      </c>
      <c r="C1183" s="300" t="s">
        <v>17</v>
      </c>
      <c r="D1183" s="372" t="s">
        <v>1158</v>
      </c>
      <c r="E1183" s="397">
        <v>-162</v>
      </c>
      <c r="F1183" s="249" t="s">
        <v>8</v>
      </c>
      <c r="G1183" s="254" t="s">
        <v>82</v>
      </c>
    </row>
    <row r="1184" spans="1:7" s="250" customFormat="1" x14ac:dyDescent="0.3">
      <c r="A1184" s="316">
        <v>45891</v>
      </c>
      <c r="B1184" s="316" t="s">
        <v>207</v>
      </c>
      <c r="C1184" s="300" t="s">
        <v>17</v>
      </c>
      <c r="D1184" s="372" t="s">
        <v>1159</v>
      </c>
      <c r="E1184" s="397">
        <v>-126</v>
      </c>
      <c r="F1184" s="249" t="s">
        <v>8</v>
      </c>
      <c r="G1184" s="254" t="s">
        <v>82</v>
      </c>
    </row>
    <row r="1185" spans="1:7" s="250" customFormat="1" x14ac:dyDescent="0.3">
      <c r="A1185" s="316">
        <v>45891</v>
      </c>
      <c r="B1185" s="316" t="s">
        <v>207</v>
      </c>
      <c r="C1185" s="300" t="s">
        <v>17</v>
      </c>
      <c r="D1185" s="372" t="s">
        <v>1162</v>
      </c>
      <c r="E1185" s="397">
        <v>-145.32</v>
      </c>
      <c r="F1185" s="249" t="s">
        <v>8</v>
      </c>
      <c r="G1185" s="254" t="s">
        <v>82</v>
      </c>
    </row>
    <row r="1186" spans="1:7" s="250" customFormat="1" x14ac:dyDescent="0.3">
      <c r="A1186" s="316">
        <v>45891</v>
      </c>
      <c r="B1186" s="316" t="s">
        <v>207</v>
      </c>
      <c r="C1186" s="300" t="s">
        <v>17</v>
      </c>
      <c r="D1186" s="372" t="s">
        <v>1160</v>
      </c>
      <c r="E1186" s="397">
        <v>-145.32</v>
      </c>
      <c r="F1186" s="373" t="s">
        <v>8</v>
      </c>
      <c r="G1186" s="398" t="s">
        <v>386</v>
      </c>
    </row>
    <row r="1187" spans="1:7" s="250" customFormat="1" x14ac:dyDescent="0.3">
      <c r="A1187" s="316">
        <v>45891</v>
      </c>
      <c r="B1187" s="316" t="s">
        <v>207</v>
      </c>
      <c r="C1187" s="300" t="s">
        <v>17</v>
      </c>
      <c r="D1187" s="372" t="s">
        <v>1161</v>
      </c>
      <c r="E1187" s="397">
        <v>-145.32</v>
      </c>
      <c r="F1187" s="373" t="s">
        <v>8</v>
      </c>
      <c r="G1187" s="398" t="s">
        <v>386</v>
      </c>
    </row>
    <row r="1188" spans="1:7" s="250" customFormat="1" x14ac:dyDescent="0.3">
      <c r="A1188" s="316">
        <v>45891</v>
      </c>
      <c r="B1188" s="316" t="s">
        <v>207</v>
      </c>
      <c r="C1188" s="299" t="s">
        <v>30</v>
      </c>
      <c r="D1188" s="293" t="s">
        <v>1156</v>
      </c>
      <c r="E1188" s="393">
        <v>-824.16</v>
      </c>
      <c r="F1188" s="249" t="s">
        <v>8</v>
      </c>
      <c r="G1188" s="254" t="s">
        <v>27</v>
      </c>
    </row>
    <row r="1189" spans="1:7" s="250" customFormat="1" x14ac:dyDescent="0.3">
      <c r="A1189" s="316">
        <v>45891</v>
      </c>
      <c r="B1189" s="316" t="s">
        <v>207</v>
      </c>
      <c r="C1189" s="299" t="s">
        <v>31</v>
      </c>
      <c r="D1189" s="293" t="s">
        <v>1163</v>
      </c>
      <c r="E1189" s="393">
        <v>-900</v>
      </c>
      <c r="F1189" s="249" t="s">
        <v>8</v>
      </c>
      <c r="G1189" s="254" t="s">
        <v>41</v>
      </c>
    </row>
    <row r="1190" spans="1:7" s="409" customFormat="1" ht="14.4" x14ac:dyDescent="0.3">
      <c r="A1190" s="316">
        <v>45894</v>
      </c>
      <c r="B1190" s="316" t="s">
        <v>207</v>
      </c>
      <c r="C1190" s="300" t="s">
        <v>31</v>
      </c>
      <c r="D1190" s="300" t="s">
        <v>1170</v>
      </c>
      <c r="E1190" s="317">
        <v>-69</v>
      </c>
      <c r="F1190" s="249" t="s">
        <v>8</v>
      </c>
      <c r="G1190" s="408" t="s">
        <v>1169</v>
      </c>
    </row>
    <row r="1191" spans="1:7" s="164" customFormat="1" x14ac:dyDescent="0.3">
      <c r="A1191" s="51">
        <v>45894</v>
      </c>
      <c r="B1191" s="123" t="s">
        <v>207</v>
      </c>
      <c r="C1191" s="120" t="s">
        <v>25</v>
      </c>
      <c r="D1191" s="413" t="s">
        <v>1172</v>
      </c>
      <c r="E1191" s="414">
        <v>8400</v>
      </c>
      <c r="F1191" s="126" t="s">
        <v>161</v>
      </c>
      <c r="G1191" s="54" t="s">
        <v>162</v>
      </c>
    </row>
    <row r="1192" spans="1:7" s="250" customFormat="1" x14ac:dyDescent="0.3">
      <c r="A1192" s="251">
        <v>45895</v>
      </c>
      <c r="B1192" s="316" t="s">
        <v>207</v>
      </c>
      <c r="C1192" s="293" t="s">
        <v>25</v>
      </c>
      <c r="D1192" s="293" t="s">
        <v>378</v>
      </c>
      <c r="E1192" s="248">
        <v>-174.6</v>
      </c>
      <c r="F1192" s="249" t="s">
        <v>8</v>
      </c>
      <c r="G1192" s="254" t="s">
        <v>82</v>
      </c>
    </row>
    <row r="1193" spans="1:7" s="250" customFormat="1" x14ac:dyDescent="0.3">
      <c r="A1193" s="251">
        <v>45895</v>
      </c>
      <c r="B1193" s="316" t="s">
        <v>207</v>
      </c>
      <c r="C1193" s="293" t="s">
        <v>71</v>
      </c>
      <c r="D1193" s="293" t="s">
        <v>1173</v>
      </c>
      <c r="E1193" s="248">
        <v>-100</v>
      </c>
      <c r="F1193" s="249" t="s">
        <v>8</v>
      </c>
      <c r="G1193" s="254" t="s">
        <v>82</v>
      </c>
    </row>
    <row r="1194" spans="1:7" s="250" customFormat="1" x14ac:dyDescent="0.3">
      <c r="A1194" s="251">
        <v>45895</v>
      </c>
      <c r="B1194" s="316" t="s">
        <v>207</v>
      </c>
      <c r="C1194" s="293" t="s">
        <v>71</v>
      </c>
      <c r="D1194" s="293" t="s">
        <v>1174</v>
      </c>
      <c r="E1194" s="248">
        <v>-100</v>
      </c>
      <c r="F1194" s="249" t="s">
        <v>8</v>
      </c>
      <c r="G1194" s="254" t="s">
        <v>82</v>
      </c>
    </row>
    <row r="1195" spans="1:7" s="250" customFormat="1" x14ac:dyDescent="0.3">
      <c r="A1195" s="251">
        <v>45895</v>
      </c>
      <c r="B1195" s="316" t="s">
        <v>207</v>
      </c>
      <c r="C1195" s="293" t="s">
        <v>71</v>
      </c>
      <c r="D1195" s="293" t="s">
        <v>1175</v>
      </c>
      <c r="E1195" s="248">
        <v>-100</v>
      </c>
      <c r="F1195" s="249" t="s">
        <v>8</v>
      </c>
      <c r="G1195" s="254" t="s">
        <v>82</v>
      </c>
    </row>
    <row r="1196" spans="1:7" s="250" customFormat="1" x14ac:dyDescent="0.3">
      <c r="A1196" s="251">
        <v>45895</v>
      </c>
      <c r="B1196" s="316" t="s">
        <v>207</v>
      </c>
      <c r="C1196" s="293" t="s">
        <v>71</v>
      </c>
      <c r="D1196" s="293" t="s">
        <v>1176</v>
      </c>
      <c r="E1196" s="248">
        <v>-100</v>
      </c>
      <c r="F1196" s="249" t="s">
        <v>8</v>
      </c>
      <c r="G1196" s="254" t="s">
        <v>82</v>
      </c>
    </row>
    <row r="1197" spans="1:7" s="250" customFormat="1" x14ac:dyDescent="0.3">
      <c r="A1197" s="251">
        <v>45895</v>
      </c>
      <c r="B1197" s="316" t="s">
        <v>207</v>
      </c>
      <c r="C1197" s="293" t="s">
        <v>71</v>
      </c>
      <c r="D1197" s="293" t="s">
        <v>1177</v>
      </c>
      <c r="E1197" s="248">
        <v>-100</v>
      </c>
      <c r="F1197" s="249" t="s">
        <v>8</v>
      </c>
      <c r="G1197" s="254" t="s">
        <v>82</v>
      </c>
    </row>
    <row r="1198" spans="1:7" s="250" customFormat="1" x14ac:dyDescent="0.3">
      <c r="A1198" s="251">
        <v>45895</v>
      </c>
      <c r="B1198" s="316" t="s">
        <v>207</v>
      </c>
      <c r="C1198" s="293" t="s">
        <v>71</v>
      </c>
      <c r="D1198" s="293" t="s">
        <v>1178</v>
      </c>
      <c r="E1198" s="248">
        <v>-100</v>
      </c>
      <c r="F1198" s="249" t="s">
        <v>8</v>
      </c>
      <c r="G1198" s="254" t="s">
        <v>82</v>
      </c>
    </row>
    <row r="1199" spans="1:7" s="250" customFormat="1" x14ac:dyDescent="0.3">
      <c r="A1199" s="251">
        <v>45895</v>
      </c>
      <c r="B1199" s="316" t="s">
        <v>207</v>
      </c>
      <c r="C1199" s="293" t="s">
        <v>17</v>
      </c>
      <c r="D1199" s="293" t="s">
        <v>923</v>
      </c>
      <c r="E1199" s="248">
        <v>-61.5</v>
      </c>
      <c r="F1199" s="249" t="s">
        <v>8</v>
      </c>
      <c r="G1199" s="254" t="s">
        <v>82</v>
      </c>
    </row>
    <row r="1200" spans="1:7" s="250" customFormat="1" x14ac:dyDescent="0.3">
      <c r="A1200" s="308">
        <v>45895</v>
      </c>
      <c r="B1200" s="322" t="s">
        <v>207</v>
      </c>
      <c r="C1200" s="372" t="s">
        <v>17</v>
      </c>
      <c r="D1200" s="372" t="s">
        <v>447</v>
      </c>
      <c r="E1200" s="344">
        <v>-162</v>
      </c>
      <c r="F1200" s="373" t="s">
        <v>8</v>
      </c>
      <c r="G1200" s="266" t="s">
        <v>82</v>
      </c>
    </row>
    <row r="1201" spans="1:7" s="139" customFormat="1" hidden="1" x14ac:dyDescent="0.3">
      <c r="A1201" s="100">
        <v>45932</v>
      </c>
      <c r="B1201" s="100" t="s">
        <v>211</v>
      </c>
      <c r="C1201" s="14" t="s">
        <v>44</v>
      </c>
      <c r="D1201" s="7" t="s">
        <v>1335</v>
      </c>
      <c r="E1201" s="8">
        <v>-171000</v>
      </c>
      <c r="F1201" s="13" t="s">
        <v>8</v>
      </c>
      <c r="G1201" s="9" t="s">
        <v>46</v>
      </c>
    </row>
    <row r="1202" spans="1:7" s="250" customFormat="1" ht="14.4" x14ac:dyDescent="0.3">
      <c r="A1202" s="384">
        <v>45898</v>
      </c>
      <c r="B1202" s="384" t="s">
        <v>207</v>
      </c>
      <c r="C1202" s="498" t="s">
        <v>25</v>
      </c>
      <c r="D1202" s="498" t="s">
        <v>1221</v>
      </c>
      <c r="E1202" s="499">
        <v>-41.52</v>
      </c>
      <c r="F1202" s="402" t="s">
        <v>8</v>
      </c>
      <c r="G1202" s="408" t="s">
        <v>19</v>
      </c>
    </row>
    <row r="1203" spans="1:7" s="250" customFormat="1" x14ac:dyDescent="0.3">
      <c r="A1203" s="384">
        <v>45898</v>
      </c>
      <c r="B1203" s="384" t="s">
        <v>207</v>
      </c>
      <c r="C1203" s="385" t="s">
        <v>17</v>
      </c>
      <c r="D1203" s="386" t="s">
        <v>18</v>
      </c>
      <c r="E1203" s="430">
        <v>-17235</v>
      </c>
      <c r="F1203" s="402" t="s">
        <v>8</v>
      </c>
      <c r="G1203" s="408" t="s">
        <v>19</v>
      </c>
    </row>
    <row r="1204" spans="1:7" s="250" customFormat="1" x14ac:dyDescent="0.3">
      <c r="A1204" s="316">
        <v>45888</v>
      </c>
      <c r="B1204" s="316" t="s">
        <v>207</v>
      </c>
      <c r="C1204" s="253" t="s">
        <v>71</v>
      </c>
      <c r="D1204" s="293" t="s">
        <v>1128</v>
      </c>
      <c r="E1204" s="248">
        <v>-368.7</v>
      </c>
      <c r="F1204" s="249" t="s">
        <v>8</v>
      </c>
      <c r="G1204" s="254" t="s">
        <v>227</v>
      </c>
    </row>
    <row r="1205" spans="1:7" s="139" customFormat="1" x14ac:dyDescent="0.3">
      <c r="A1205" s="146">
        <v>45884</v>
      </c>
      <c r="B1205" s="146" t="s">
        <v>207</v>
      </c>
      <c r="C1205" s="109" t="s">
        <v>17</v>
      </c>
      <c r="D1205" s="14" t="s">
        <v>692</v>
      </c>
      <c r="E1205" s="8">
        <v>-1091.77</v>
      </c>
      <c r="F1205" s="13" t="s">
        <v>8</v>
      </c>
      <c r="G1205" s="9" t="s">
        <v>75</v>
      </c>
    </row>
    <row r="1206" spans="1:7" s="139" customFormat="1" x14ac:dyDescent="0.3">
      <c r="A1206" s="100">
        <v>45884</v>
      </c>
      <c r="B1206" s="100" t="s">
        <v>207</v>
      </c>
      <c r="C1206" s="109" t="s">
        <v>44</v>
      </c>
      <c r="D1206" s="14" t="s">
        <v>1065</v>
      </c>
      <c r="E1206" s="240">
        <v>-700</v>
      </c>
      <c r="F1206" s="13" t="s">
        <v>8</v>
      </c>
      <c r="G1206" s="9" t="s">
        <v>1064</v>
      </c>
    </row>
    <row r="1207" spans="1:7" s="139" customFormat="1" x14ac:dyDescent="0.3">
      <c r="A1207" s="100">
        <v>45884</v>
      </c>
      <c r="B1207" s="100" t="s">
        <v>207</v>
      </c>
      <c r="C1207" s="7" t="s">
        <v>71</v>
      </c>
      <c r="D1207" s="14" t="s">
        <v>1041</v>
      </c>
      <c r="E1207" s="240">
        <v>-860</v>
      </c>
      <c r="F1207" s="13" t="s">
        <v>8</v>
      </c>
      <c r="G1207" s="9" t="s">
        <v>27</v>
      </c>
    </row>
    <row r="1208" spans="1:7" s="139" customFormat="1" x14ac:dyDescent="0.3">
      <c r="A1208" s="100">
        <v>45884</v>
      </c>
      <c r="B1208" s="100" t="s">
        <v>207</v>
      </c>
      <c r="C1208" s="7" t="s">
        <v>71</v>
      </c>
      <c r="D1208" s="14" t="s">
        <v>1040</v>
      </c>
      <c r="E1208" s="8">
        <v>-1648.48</v>
      </c>
      <c r="F1208" s="13" t="s">
        <v>8</v>
      </c>
      <c r="G1208" s="9" t="s">
        <v>27</v>
      </c>
    </row>
    <row r="1209" spans="1:7" s="250" customFormat="1" x14ac:dyDescent="0.3">
      <c r="A1209" s="316">
        <v>45888</v>
      </c>
      <c r="B1209" s="316" t="s">
        <v>207</v>
      </c>
      <c r="C1209" s="253" t="s">
        <v>44</v>
      </c>
      <c r="D1209" s="293" t="s">
        <v>1116</v>
      </c>
      <c r="E1209" s="248">
        <v>-1382.3</v>
      </c>
      <c r="F1209" s="249" t="s">
        <v>8</v>
      </c>
      <c r="G1209" s="254" t="s">
        <v>227</v>
      </c>
    </row>
    <row r="1210" spans="1:7" s="139" customFormat="1" x14ac:dyDescent="0.3">
      <c r="A1210" s="100">
        <v>45884</v>
      </c>
      <c r="B1210" s="100" t="s">
        <v>207</v>
      </c>
      <c r="C1210" s="7" t="s">
        <v>6</v>
      </c>
      <c r="D1210" s="14" t="s">
        <v>1066</v>
      </c>
      <c r="E1210" s="8">
        <v>-163.12</v>
      </c>
      <c r="F1210" s="13" t="s">
        <v>8</v>
      </c>
      <c r="G1210" s="9" t="s">
        <v>186</v>
      </c>
    </row>
    <row r="1211" spans="1:7" s="139" customFormat="1" x14ac:dyDescent="0.3">
      <c r="A1211" s="100">
        <v>45884</v>
      </c>
      <c r="B1211" s="100" t="s">
        <v>207</v>
      </c>
      <c r="C1211" s="7" t="s">
        <v>6</v>
      </c>
      <c r="D1211" s="14" t="s">
        <v>1068</v>
      </c>
      <c r="E1211" s="8">
        <v>-177.04</v>
      </c>
      <c r="F1211" s="13" t="s">
        <v>8</v>
      </c>
      <c r="G1211" s="9" t="s">
        <v>1067</v>
      </c>
    </row>
    <row r="1212" spans="1:7" s="132" customFormat="1" x14ac:dyDescent="0.3">
      <c r="A1212" s="359">
        <v>45884</v>
      </c>
      <c r="B1212" s="359" t="s">
        <v>207</v>
      </c>
      <c r="C1212" s="159" t="s">
        <v>6</v>
      </c>
      <c r="D1212" s="117" t="s">
        <v>569</v>
      </c>
      <c r="E1212" s="118">
        <v>-3500</v>
      </c>
      <c r="F1212" s="9" t="s">
        <v>8</v>
      </c>
      <c r="G1212" s="9" t="s">
        <v>186</v>
      </c>
    </row>
    <row r="1213" spans="1:7" s="139" customFormat="1" x14ac:dyDescent="0.3">
      <c r="A1213" s="78">
        <v>45884</v>
      </c>
      <c r="B1213" s="100" t="s">
        <v>207</v>
      </c>
      <c r="C1213" s="119" t="s">
        <v>31</v>
      </c>
      <c r="D1213" s="14" t="s">
        <v>570</v>
      </c>
      <c r="E1213" s="8">
        <v>-1000</v>
      </c>
      <c r="F1213" s="9" t="s">
        <v>8</v>
      </c>
      <c r="G1213" s="9" t="s">
        <v>186</v>
      </c>
    </row>
    <row r="1214" spans="1:7" s="139" customFormat="1" hidden="1" x14ac:dyDescent="0.3">
      <c r="A1214" s="100">
        <v>45968</v>
      </c>
      <c r="B1214" s="100" t="s">
        <v>212</v>
      </c>
      <c r="C1214" s="14" t="s">
        <v>25</v>
      </c>
      <c r="D1214" s="14" t="s">
        <v>598</v>
      </c>
      <c r="E1214" s="8">
        <v>-5600</v>
      </c>
      <c r="F1214" s="9" t="s">
        <v>8</v>
      </c>
      <c r="G1214" s="9" t="s">
        <v>186</v>
      </c>
    </row>
    <row r="1215" spans="1:7" s="139" customFormat="1" hidden="1" x14ac:dyDescent="0.3">
      <c r="A1215" s="113">
        <v>45937</v>
      </c>
      <c r="B1215" s="113" t="s">
        <v>211</v>
      </c>
      <c r="C1215" s="14" t="s">
        <v>71</v>
      </c>
      <c r="D1215" s="14" t="s">
        <v>205</v>
      </c>
      <c r="E1215" s="8">
        <v>-2141.69</v>
      </c>
      <c r="F1215" s="9" t="s">
        <v>8</v>
      </c>
      <c r="G1215" s="9" t="s">
        <v>227</v>
      </c>
    </row>
    <row r="1216" spans="1:7" s="139" customFormat="1" hidden="1" x14ac:dyDescent="0.3">
      <c r="A1216" s="113">
        <v>45938</v>
      </c>
      <c r="B1216" s="113" t="s">
        <v>211</v>
      </c>
      <c r="C1216" s="14" t="s">
        <v>71</v>
      </c>
      <c r="D1216" s="14" t="s">
        <v>1437</v>
      </c>
      <c r="E1216" s="8">
        <v>-1000</v>
      </c>
      <c r="F1216" s="9" t="s">
        <v>8</v>
      </c>
      <c r="G1216" s="9" t="s">
        <v>186</v>
      </c>
    </row>
    <row r="1217" spans="1:7" s="139" customFormat="1" hidden="1" x14ac:dyDescent="0.3">
      <c r="A1217" s="113">
        <v>45938</v>
      </c>
      <c r="B1217" s="113" t="s">
        <v>211</v>
      </c>
      <c r="C1217" s="97" t="s">
        <v>17</v>
      </c>
      <c r="D1217" s="97" t="s">
        <v>1438</v>
      </c>
      <c r="E1217" s="77">
        <v>-1000</v>
      </c>
      <c r="F1217" s="91" t="s">
        <v>8</v>
      </c>
      <c r="G1217" s="91" t="s">
        <v>186</v>
      </c>
    </row>
    <row r="1218" spans="1:7" s="4" customFormat="1" hidden="1" x14ac:dyDescent="0.3">
      <c r="A1218" s="100">
        <v>45938</v>
      </c>
      <c r="B1218" s="100" t="s">
        <v>211</v>
      </c>
      <c r="C1218" s="14" t="s">
        <v>31</v>
      </c>
      <c r="D1218" s="14" t="s">
        <v>1557</v>
      </c>
      <c r="E1218" s="8">
        <v>-871.9</v>
      </c>
      <c r="F1218" s="91" t="s">
        <v>8</v>
      </c>
      <c r="G1218" s="91" t="s">
        <v>186</v>
      </c>
    </row>
    <row r="1219" spans="1:7" s="139" customFormat="1" hidden="1" x14ac:dyDescent="0.3">
      <c r="A1219" s="188">
        <v>45938</v>
      </c>
      <c r="B1219" s="188" t="s">
        <v>211</v>
      </c>
      <c r="C1219" s="96" t="s">
        <v>25</v>
      </c>
      <c r="D1219" s="96" t="s">
        <v>599</v>
      </c>
      <c r="E1219" s="89">
        <v>-5600</v>
      </c>
      <c r="F1219" s="70" t="s">
        <v>8</v>
      </c>
      <c r="G1219" s="70" t="s">
        <v>186</v>
      </c>
    </row>
    <row r="1220" spans="1:7" s="139" customFormat="1" x14ac:dyDescent="0.3">
      <c r="A1220" s="100">
        <v>45908</v>
      </c>
      <c r="B1220" s="100" t="s">
        <v>208</v>
      </c>
      <c r="C1220" s="14" t="s">
        <v>25</v>
      </c>
      <c r="D1220" s="14" t="s">
        <v>600</v>
      </c>
      <c r="E1220" s="8">
        <v>-5600</v>
      </c>
      <c r="F1220" s="9" t="s">
        <v>8</v>
      </c>
      <c r="G1220" s="9" t="s">
        <v>186</v>
      </c>
    </row>
    <row r="1221" spans="1:7" s="139" customFormat="1" x14ac:dyDescent="0.3">
      <c r="A1221" s="146">
        <v>45877</v>
      </c>
      <c r="B1221" s="146" t="s">
        <v>207</v>
      </c>
      <c r="C1221" s="96" t="s">
        <v>17</v>
      </c>
      <c r="D1221" s="88" t="s">
        <v>467</v>
      </c>
      <c r="E1221" s="89">
        <v>-155.27000000000001</v>
      </c>
      <c r="F1221" s="110" t="s">
        <v>8</v>
      </c>
      <c r="G1221" s="70" t="s">
        <v>75</v>
      </c>
    </row>
    <row r="1222" spans="1:7" s="139" customFormat="1" x14ac:dyDescent="0.3">
      <c r="A1222" s="100">
        <v>45877</v>
      </c>
      <c r="B1222" s="100" t="s">
        <v>207</v>
      </c>
      <c r="C1222" s="14" t="s">
        <v>104</v>
      </c>
      <c r="D1222" s="7" t="s">
        <v>948</v>
      </c>
      <c r="E1222" s="8">
        <v>-166.39</v>
      </c>
      <c r="F1222" s="13" t="s">
        <v>8</v>
      </c>
      <c r="G1222" s="9" t="s">
        <v>75</v>
      </c>
    </row>
    <row r="1223" spans="1:7" s="139" customFormat="1" x14ac:dyDescent="0.3">
      <c r="A1223" s="100">
        <v>45877</v>
      </c>
      <c r="B1223" s="100" t="s">
        <v>207</v>
      </c>
      <c r="C1223" s="14" t="s">
        <v>44</v>
      </c>
      <c r="D1223" s="7" t="s">
        <v>986</v>
      </c>
      <c r="E1223" s="8">
        <v>-90</v>
      </c>
      <c r="F1223" s="13" t="s">
        <v>8</v>
      </c>
      <c r="G1223" s="9" t="s">
        <v>82</v>
      </c>
    </row>
    <row r="1224" spans="1:7" s="139" customFormat="1" x14ac:dyDescent="0.3">
      <c r="A1224" s="100">
        <v>45877</v>
      </c>
      <c r="B1224" s="100" t="s">
        <v>207</v>
      </c>
      <c r="C1224" s="14" t="s">
        <v>25</v>
      </c>
      <c r="D1224" s="7" t="s">
        <v>378</v>
      </c>
      <c r="E1224" s="8">
        <v>-291</v>
      </c>
      <c r="F1224" s="13" t="s">
        <v>8</v>
      </c>
      <c r="G1224" s="9" t="s">
        <v>82</v>
      </c>
    </row>
    <row r="1225" spans="1:7" s="139" customFormat="1" x14ac:dyDescent="0.3">
      <c r="A1225" s="100">
        <v>45877</v>
      </c>
      <c r="B1225" s="100" t="s">
        <v>207</v>
      </c>
      <c r="C1225" s="14" t="s">
        <v>25</v>
      </c>
      <c r="D1225" s="7" t="s">
        <v>987</v>
      </c>
      <c r="E1225" s="8">
        <v>-177</v>
      </c>
      <c r="F1225" s="13" t="s">
        <v>8</v>
      </c>
      <c r="G1225" s="9" t="s">
        <v>82</v>
      </c>
    </row>
    <row r="1226" spans="1:7" s="139" customFormat="1" x14ac:dyDescent="0.3">
      <c r="A1226" s="100">
        <v>45877</v>
      </c>
      <c r="B1226" s="100" t="s">
        <v>207</v>
      </c>
      <c r="C1226" s="14" t="s">
        <v>104</v>
      </c>
      <c r="D1226" s="7" t="s">
        <v>988</v>
      </c>
      <c r="E1226" s="8">
        <v>-90</v>
      </c>
      <c r="F1226" s="13" t="s">
        <v>8</v>
      </c>
      <c r="G1226" s="9" t="s">
        <v>82</v>
      </c>
    </row>
    <row r="1227" spans="1:7" s="139" customFormat="1" x14ac:dyDescent="0.3">
      <c r="A1227" s="100">
        <v>45877</v>
      </c>
      <c r="B1227" s="100" t="s">
        <v>207</v>
      </c>
      <c r="C1227" s="14" t="s">
        <v>17</v>
      </c>
      <c r="D1227" s="7" t="s">
        <v>923</v>
      </c>
      <c r="E1227" s="8">
        <v>-123</v>
      </c>
      <c r="F1227" s="13" t="s">
        <v>8</v>
      </c>
      <c r="G1227" s="9" t="s">
        <v>82</v>
      </c>
    </row>
    <row r="1228" spans="1:7" s="139" customFormat="1" x14ac:dyDescent="0.3">
      <c r="A1228" s="100">
        <v>45877</v>
      </c>
      <c r="B1228" s="100" t="s">
        <v>207</v>
      </c>
      <c r="C1228" s="14" t="s">
        <v>17</v>
      </c>
      <c r="D1228" s="7" t="s">
        <v>469</v>
      </c>
      <c r="E1228" s="8">
        <v>-224.2</v>
      </c>
      <c r="F1228" s="13" t="s">
        <v>8</v>
      </c>
      <c r="G1228" s="9" t="s">
        <v>82</v>
      </c>
    </row>
    <row r="1229" spans="1:7" s="139" customFormat="1" x14ac:dyDescent="0.3">
      <c r="A1229" s="100">
        <v>45877</v>
      </c>
      <c r="B1229" s="100" t="s">
        <v>207</v>
      </c>
      <c r="C1229" s="14" t="s">
        <v>17</v>
      </c>
      <c r="D1229" s="7" t="s">
        <v>924</v>
      </c>
      <c r="E1229" s="8">
        <v>-100</v>
      </c>
      <c r="F1229" s="13" t="s">
        <v>8</v>
      </c>
      <c r="G1229" s="9" t="s">
        <v>82</v>
      </c>
    </row>
    <row r="1230" spans="1:7" s="139" customFormat="1" x14ac:dyDescent="0.3">
      <c r="A1230" s="100">
        <v>45877</v>
      </c>
      <c r="B1230" s="100" t="s">
        <v>207</v>
      </c>
      <c r="C1230" s="14" t="s">
        <v>17</v>
      </c>
      <c r="D1230" s="7" t="s">
        <v>922</v>
      </c>
      <c r="E1230" s="8">
        <v>-123</v>
      </c>
      <c r="F1230" s="13" t="s">
        <v>8</v>
      </c>
      <c r="G1230" s="9" t="s">
        <v>82</v>
      </c>
    </row>
    <row r="1231" spans="1:7" s="139" customFormat="1" x14ac:dyDescent="0.3">
      <c r="A1231" s="100">
        <v>45877</v>
      </c>
      <c r="B1231" s="100" t="s">
        <v>207</v>
      </c>
      <c r="C1231" s="14" t="s">
        <v>17</v>
      </c>
      <c r="D1231" s="7" t="s">
        <v>447</v>
      </c>
      <c r="E1231" s="8">
        <v>-486</v>
      </c>
      <c r="F1231" s="13" t="s">
        <v>8</v>
      </c>
      <c r="G1231" s="9" t="s">
        <v>82</v>
      </c>
    </row>
    <row r="1232" spans="1:7" s="139" customFormat="1" x14ac:dyDescent="0.3">
      <c r="A1232" s="100">
        <v>45877</v>
      </c>
      <c r="B1232" s="100" t="s">
        <v>207</v>
      </c>
      <c r="C1232" s="14" t="s">
        <v>25</v>
      </c>
      <c r="D1232" s="7" t="s">
        <v>601</v>
      </c>
      <c r="E1232" s="8">
        <v>-5600</v>
      </c>
      <c r="F1232" s="9" t="s">
        <v>8</v>
      </c>
      <c r="G1232" s="9" t="s">
        <v>186</v>
      </c>
    </row>
    <row r="1233" spans="1:7" s="139" customFormat="1" x14ac:dyDescent="0.3">
      <c r="A1233" s="78">
        <v>45877</v>
      </c>
      <c r="B1233" s="100" t="s">
        <v>207</v>
      </c>
      <c r="C1233" s="6" t="s">
        <v>31</v>
      </c>
      <c r="D1233" s="7" t="s">
        <v>607</v>
      </c>
      <c r="E1233" s="8">
        <v>-1000</v>
      </c>
      <c r="F1233" s="9" t="s">
        <v>8</v>
      </c>
      <c r="G1233" s="9" t="s">
        <v>186</v>
      </c>
    </row>
    <row r="1234" spans="1:7" s="139" customFormat="1" x14ac:dyDescent="0.3">
      <c r="A1234" s="78">
        <v>45876</v>
      </c>
      <c r="B1234" s="100" t="s">
        <v>207</v>
      </c>
      <c r="C1234" s="98" t="s">
        <v>17</v>
      </c>
      <c r="D1234" s="7" t="s">
        <v>973</v>
      </c>
      <c r="E1234" s="8">
        <v>-1000</v>
      </c>
      <c r="F1234" s="9" t="s">
        <v>8</v>
      </c>
      <c r="G1234" s="9" t="s">
        <v>139</v>
      </c>
    </row>
    <row r="1235" spans="1:7" s="139" customFormat="1" x14ac:dyDescent="0.3">
      <c r="A1235" s="78">
        <v>45876</v>
      </c>
      <c r="B1235" s="100" t="s">
        <v>207</v>
      </c>
      <c r="C1235" s="14" t="s">
        <v>31</v>
      </c>
      <c r="D1235" s="7" t="s">
        <v>966</v>
      </c>
      <c r="E1235" s="8">
        <v>-84</v>
      </c>
      <c r="F1235" s="13" t="s">
        <v>8</v>
      </c>
      <c r="G1235" s="9" t="s">
        <v>82</v>
      </c>
    </row>
    <row r="1236" spans="1:7" s="139" customFormat="1" x14ac:dyDescent="0.3">
      <c r="A1236" s="78">
        <v>45876</v>
      </c>
      <c r="B1236" s="100" t="s">
        <v>207</v>
      </c>
      <c r="C1236" s="14" t="s">
        <v>25</v>
      </c>
      <c r="D1236" s="7" t="s">
        <v>967</v>
      </c>
      <c r="E1236" s="8">
        <v>-288</v>
      </c>
      <c r="F1236" s="13" t="s">
        <v>8</v>
      </c>
      <c r="G1236" s="9" t="s">
        <v>82</v>
      </c>
    </row>
    <row r="1237" spans="1:7" s="139" customFormat="1" x14ac:dyDescent="0.3">
      <c r="A1237" s="78">
        <v>45876</v>
      </c>
      <c r="B1237" s="100" t="s">
        <v>207</v>
      </c>
      <c r="C1237" s="14" t="s">
        <v>25</v>
      </c>
      <c r="D1237" s="7" t="s">
        <v>968</v>
      </c>
      <c r="E1237" s="8">
        <v>-224.2</v>
      </c>
      <c r="F1237" s="13" t="s">
        <v>8</v>
      </c>
      <c r="G1237" s="9" t="s">
        <v>82</v>
      </c>
    </row>
    <row r="1238" spans="1:7" s="139" customFormat="1" x14ac:dyDescent="0.3">
      <c r="A1238" s="78">
        <v>45876</v>
      </c>
      <c r="B1238" s="100" t="s">
        <v>207</v>
      </c>
      <c r="C1238" s="14" t="s">
        <v>25</v>
      </c>
      <c r="D1238" s="7" t="s">
        <v>969</v>
      </c>
      <c r="E1238" s="8">
        <v>-200</v>
      </c>
      <c r="F1238" s="13" t="s">
        <v>8</v>
      </c>
      <c r="G1238" s="9" t="s">
        <v>82</v>
      </c>
    </row>
    <row r="1239" spans="1:7" s="139" customFormat="1" x14ac:dyDescent="0.3">
      <c r="A1239" s="78">
        <v>45876</v>
      </c>
      <c r="B1239" s="100" t="s">
        <v>207</v>
      </c>
      <c r="C1239" s="14" t="s">
        <v>25</v>
      </c>
      <c r="D1239" s="7" t="s">
        <v>970</v>
      </c>
      <c r="E1239" s="8">
        <v>-472</v>
      </c>
      <c r="F1239" s="13" t="s">
        <v>8</v>
      </c>
      <c r="G1239" s="9" t="s">
        <v>82</v>
      </c>
    </row>
    <row r="1240" spans="1:7" s="139" customFormat="1" x14ac:dyDescent="0.3">
      <c r="A1240" s="78">
        <v>45876</v>
      </c>
      <c r="B1240" s="100" t="s">
        <v>207</v>
      </c>
      <c r="C1240" s="14" t="s">
        <v>25</v>
      </c>
      <c r="D1240" s="7" t="s">
        <v>971</v>
      </c>
      <c r="E1240" s="8">
        <v>-177</v>
      </c>
      <c r="F1240" s="13" t="s">
        <v>8</v>
      </c>
      <c r="G1240" s="9" t="s">
        <v>82</v>
      </c>
    </row>
    <row r="1241" spans="1:7" s="139" customFormat="1" x14ac:dyDescent="0.3">
      <c r="A1241" s="78">
        <v>45876</v>
      </c>
      <c r="B1241" s="100" t="s">
        <v>207</v>
      </c>
      <c r="C1241" s="14" t="s">
        <v>17</v>
      </c>
      <c r="D1241" s="7" t="s">
        <v>980</v>
      </c>
      <c r="E1241" s="8">
        <v>-70</v>
      </c>
      <c r="F1241" s="13" t="s">
        <v>8</v>
      </c>
      <c r="G1241" s="9" t="s">
        <v>82</v>
      </c>
    </row>
    <row r="1242" spans="1:7" s="139" customFormat="1" x14ac:dyDescent="0.3">
      <c r="A1242" s="78">
        <v>45876</v>
      </c>
      <c r="B1242" s="100" t="s">
        <v>207</v>
      </c>
      <c r="C1242" s="14" t="s">
        <v>25</v>
      </c>
      <c r="D1242" s="7" t="s">
        <v>972</v>
      </c>
      <c r="E1242" s="8">
        <v>-252</v>
      </c>
      <c r="F1242" s="13" t="s">
        <v>8</v>
      </c>
      <c r="G1242" s="9" t="s">
        <v>82</v>
      </c>
    </row>
    <row r="1243" spans="1:7" s="139" customFormat="1" x14ac:dyDescent="0.3">
      <c r="A1243" s="78">
        <v>45876</v>
      </c>
      <c r="B1243" s="100" t="s">
        <v>207</v>
      </c>
      <c r="C1243" s="14" t="s">
        <v>17</v>
      </c>
      <c r="D1243" s="7" t="s">
        <v>981</v>
      </c>
      <c r="E1243" s="8">
        <v>-708.24</v>
      </c>
      <c r="F1243" s="9" t="s">
        <v>8</v>
      </c>
      <c r="G1243" s="9" t="s">
        <v>386</v>
      </c>
    </row>
    <row r="1244" spans="1:7" x14ac:dyDescent="0.3">
      <c r="A1244" s="45">
        <v>45876</v>
      </c>
      <c r="B1244" s="264" t="s">
        <v>207</v>
      </c>
      <c r="C1244" s="46" t="s">
        <v>25</v>
      </c>
      <c r="D1244" s="326" t="s">
        <v>982</v>
      </c>
      <c r="E1244" s="47">
        <v>8400</v>
      </c>
      <c r="F1244" s="49" t="s">
        <v>161</v>
      </c>
      <c r="G1244" s="49" t="s">
        <v>162</v>
      </c>
    </row>
    <row r="1245" spans="1:7" x14ac:dyDescent="0.3">
      <c r="A1245" s="45">
        <v>45876</v>
      </c>
      <c r="B1245" s="264" t="s">
        <v>207</v>
      </c>
      <c r="C1245" s="46" t="s">
        <v>25</v>
      </c>
      <c r="D1245" s="326" t="s">
        <v>983</v>
      </c>
      <c r="E1245" s="47">
        <v>4935</v>
      </c>
      <c r="F1245" s="49" t="s">
        <v>161</v>
      </c>
      <c r="G1245" s="49" t="s">
        <v>162</v>
      </c>
    </row>
    <row r="1246" spans="1:7" s="139" customFormat="1" x14ac:dyDescent="0.3">
      <c r="A1246" s="78">
        <v>45876</v>
      </c>
      <c r="B1246" s="100" t="s">
        <v>207</v>
      </c>
      <c r="C1246" s="6" t="s">
        <v>6</v>
      </c>
      <c r="D1246" s="7" t="s">
        <v>565</v>
      </c>
      <c r="E1246" s="8">
        <v>-1000</v>
      </c>
      <c r="F1246" s="9" t="s">
        <v>8</v>
      </c>
      <c r="G1246" s="9" t="s">
        <v>186</v>
      </c>
    </row>
    <row r="1247" spans="1:7" s="250" customFormat="1" x14ac:dyDescent="0.3">
      <c r="A1247" s="322">
        <v>45898</v>
      </c>
      <c r="B1247" s="322" t="s">
        <v>207</v>
      </c>
      <c r="C1247" s="478" t="s">
        <v>17</v>
      </c>
      <c r="D1247" s="479" t="s">
        <v>1113</v>
      </c>
      <c r="E1247" s="480">
        <v>-430.22</v>
      </c>
      <c r="F1247" s="270" t="s">
        <v>8</v>
      </c>
      <c r="G1247" s="266" t="s">
        <v>804</v>
      </c>
    </row>
    <row r="1248" spans="1:7" s="139" customFormat="1" hidden="1" x14ac:dyDescent="0.3">
      <c r="A1248" s="100">
        <v>45932</v>
      </c>
      <c r="B1248" s="100" t="s">
        <v>211</v>
      </c>
      <c r="C1248" s="7" t="s">
        <v>6</v>
      </c>
      <c r="D1248" s="14" t="s">
        <v>786</v>
      </c>
      <c r="E1248" s="8">
        <v>-4636.07</v>
      </c>
      <c r="F1248" s="5" t="s">
        <v>8</v>
      </c>
      <c r="G1248" s="9" t="s">
        <v>124</v>
      </c>
    </row>
    <row r="1249" spans="1:7" s="139" customFormat="1" hidden="1" x14ac:dyDescent="0.3">
      <c r="A1249" s="100">
        <v>45932</v>
      </c>
      <c r="B1249" s="100" t="s">
        <v>211</v>
      </c>
      <c r="C1249" s="7" t="s">
        <v>6</v>
      </c>
      <c r="D1249" s="14" t="s">
        <v>787</v>
      </c>
      <c r="E1249" s="8">
        <v>-8011.38</v>
      </c>
      <c r="F1249" s="5" t="s">
        <v>8</v>
      </c>
      <c r="G1249" s="9" t="s">
        <v>124</v>
      </c>
    </row>
    <row r="1250" spans="1:7" s="250" customFormat="1" x14ac:dyDescent="0.3">
      <c r="A1250" s="404">
        <v>45898</v>
      </c>
      <c r="B1250" s="384" t="s">
        <v>207</v>
      </c>
      <c r="C1250" s="405" t="s">
        <v>6</v>
      </c>
      <c r="D1250" s="435" t="s">
        <v>477</v>
      </c>
      <c r="E1250" s="406">
        <v>-342.67</v>
      </c>
      <c r="F1250" s="408" t="s">
        <v>8</v>
      </c>
      <c r="G1250" s="403" t="s">
        <v>75</v>
      </c>
    </row>
    <row r="1251" spans="1:7" s="250" customFormat="1" x14ac:dyDescent="0.3">
      <c r="A1251" s="251">
        <v>45898</v>
      </c>
      <c r="B1251" s="316" t="s">
        <v>207</v>
      </c>
      <c r="C1251" s="293" t="s">
        <v>25</v>
      </c>
      <c r="D1251" s="253" t="s">
        <v>1195</v>
      </c>
      <c r="E1251" s="248">
        <v>-601.13</v>
      </c>
      <c r="F1251" s="255" t="s">
        <v>8</v>
      </c>
      <c r="G1251" s="254" t="s">
        <v>75</v>
      </c>
    </row>
    <row r="1252" spans="1:7" s="250" customFormat="1" x14ac:dyDescent="0.3">
      <c r="A1252" s="251">
        <v>45898</v>
      </c>
      <c r="B1252" s="316" t="s">
        <v>207</v>
      </c>
      <c r="C1252" s="293" t="s">
        <v>104</v>
      </c>
      <c r="D1252" s="253" t="s">
        <v>1196</v>
      </c>
      <c r="E1252" s="248">
        <v>-414.95</v>
      </c>
      <c r="F1252" s="255" t="s">
        <v>8</v>
      </c>
      <c r="G1252" s="254" t="s">
        <v>75</v>
      </c>
    </row>
    <row r="1253" spans="1:7" s="250" customFormat="1" x14ac:dyDescent="0.3">
      <c r="A1253" s="251">
        <v>45898</v>
      </c>
      <c r="B1253" s="316" t="s">
        <v>207</v>
      </c>
      <c r="C1253" s="293" t="s">
        <v>17</v>
      </c>
      <c r="D1253" s="253" t="s">
        <v>1197</v>
      </c>
      <c r="E1253" s="248">
        <v>-43.33</v>
      </c>
      <c r="F1253" s="255" t="s">
        <v>8</v>
      </c>
      <c r="G1253" s="254" t="s">
        <v>75</v>
      </c>
    </row>
    <row r="1254" spans="1:7" s="250" customFormat="1" x14ac:dyDescent="0.3">
      <c r="A1254" s="251">
        <v>45898</v>
      </c>
      <c r="B1254" s="316" t="s">
        <v>207</v>
      </c>
      <c r="C1254" s="293" t="s">
        <v>31</v>
      </c>
      <c r="D1254" s="253" t="s">
        <v>1198</v>
      </c>
      <c r="E1254" s="248">
        <v>-185.63</v>
      </c>
      <c r="F1254" s="255" t="s">
        <v>8</v>
      </c>
      <c r="G1254" s="254" t="s">
        <v>124</v>
      </c>
    </row>
    <row r="1255" spans="1:7" s="250" customFormat="1" x14ac:dyDescent="0.3">
      <c r="A1255" s="251">
        <v>45898</v>
      </c>
      <c r="B1255" s="316" t="s">
        <v>207</v>
      </c>
      <c r="C1255" s="293" t="s">
        <v>31</v>
      </c>
      <c r="D1255" s="253" t="s">
        <v>1224</v>
      </c>
      <c r="E1255" s="248">
        <v>-184.71</v>
      </c>
      <c r="F1255" s="255" t="s">
        <v>8</v>
      </c>
      <c r="G1255" s="254" t="s">
        <v>124</v>
      </c>
    </row>
    <row r="1256" spans="1:7" s="250" customFormat="1" x14ac:dyDescent="0.3">
      <c r="A1256" s="251">
        <v>45898</v>
      </c>
      <c r="B1256" s="316" t="s">
        <v>207</v>
      </c>
      <c r="C1256" s="293" t="s">
        <v>31</v>
      </c>
      <c r="D1256" s="253" t="s">
        <v>1199</v>
      </c>
      <c r="E1256" s="248">
        <v>-193.05</v>
      </c>
      <c r="F1256" s="255" t="s">
        <v>8</v>
      </c>
      <c r="G1256" s="254" t="s">
        <v>124</v>
      </c>
    </row>
    <row r="1257" spans="1:7" s="250" customFormat="1" x14ac:dyDescent="0.3">
      <c r="A1257" s="251">
        <v>45898</v>
      </c>
      <c r="B1257" s="316" t="s">
        <v>207</v>
      </c>
      <c r="C1257" s="293" t="s">
        <v>31</v>
      </c>
      <c r="D1257" s="253" t="s">
        <v>1201</v>
      </c>
      <c r="E1257" s="248">
        <v>-192.11</v>
      </c>
      <c r="F1257" s="255" t="s">
        <v>8</v>
      </c>
      <c r="G1257" s="254" t="s">
        <v>124</v>
      </c>
    </row>
    <row r="1258" spans="1:7" s="250" customFormat="1" x14ac:dyDescent="0.3">
      <c r="A1258" s="251">
        <v>45898</v>
      </c>
      <c r="B1258" s="316" t="s">
        <v>207</v>
      </c>
      <c r="C1258" s="293" t="s">
        <v>31</v>
      </c>
      <c r="D1258" s="253" t="s">
        <v>1200</v>
      </c>
      <c r="E1258" s="248">
        <v>-188.76</v>
      </c>
      <c r="F1258" s="255" t="s">
        <v>8</v>
      </c>
      <c r="G1258" s="254" t="s">
        <v>124</v>
      </c>
    </row>
    <row r="1259" spans="1:7" s="250" customFormat="1" x14ac:dyDescent="0.3">
      <c r="A1259" s="251">
        <v>45898</v>
      </c>
      <c r="B1259" s="316" t="s">
        <v>207</v>
      </c>
      <c r="C1259" s="293" t="s">
        <v>31</v>
      </c>
      <c r="D1259" s="253" t="s">
        <v>1202</v>
      </c>
      <c r="E1259" s="248">
        <v>-183.82</v>
      </c>
      <c r="F1259" s="255" t="s">
        <v>8</v>
      </c>
      <c r="G1259" s="254" t="s">
        <v>124</v>
      </c>
    </row>
    <row r="1260" spans="1:7" s="250" customFormat="1" x14ac:dyDescent="0.3">
      <c r="A1260" s="251">
        <v>45898</v>
      </c>
      <c r="B1260" s="316" t="s">
        <v>207</v>
      </c>
      <c r="C1260" s="293" t="s">
        <v>31</v>
      </c>
      <c r="D1260" s="253" t="s">
        <v>1203</v>
      </c>
      <c r="E1260" s="248">
        <v>-194.29</v>
      </c>
      <c r="F1260" s="255" t="s">
        <v>8</v>
      </c>
      <c r="G1260" s="254" t="s">
        <v>124</v>
      </c>
    </row>
    <row r="1261" spans="1:7" s="250" customFormat="1" x14ac:dyDescent="0.3">
      <c r="A1261" s="251">
        <v>45898</v>
      </c>
      <c r="B1261" s="316" t="s">
        <v>207</v>
      </c>
      <c r="C1261" s="293" t="s">
        <v>31</v>
      </c>
      <c r="D1261" s="253" t="s">
        <v>1223</v>
      </c>
      <c r="E1261" s="248">
        <v>-187.58</v>
      </c>
      <c r="F1261" s="255" t="s">
        <v>8</v>
      </c>
      <c r="G1261" s="254" t="s">
        <v>124</v>
      </c>
    </row>
    <row r="1262" spans="1:7" s="250" customFormat="1" x14ac:dyDescent="0.3">
      <c r="A1262" s="251">
        <v>45898</v>
      </c>
      <c r="B1262" s="316" t="s">
        <v>207</v>
      </c>
      <c r="C1262" s="293" t="s">
        <v>31</v>
      </c>
      <c r="D1262" s="253" t="s">
        <v>1204</v>
      </c>
      <c r="E1262" s="248">
        <v>-195.25</v>
      </c>
      <c r="F1262" s="255" t="s">
        <v>8</v>
      </c>
      <c r="G1262" s="254" t="s">
        <v>124</v>
      </c>
    </row>
    <row r="1263" spans="1:7" s="250" customFormat="1" x14ac:dyDescent="0.3">
      <c r="A1263" s="251">
        <v>45898</v>
      </c>
      <c r="B1263" s="316" t="s">
        <v>207</v>
      </c>
      <c r="C1263" s="293" t="s">
        <v>31</v>
      </c>
      <c r="D1263" s="253" t="s">
        <v>1205</v>
      </c>
      <c r="E1263" s="248">
        <v>-186.59</v>
      </c>
      <c r="F1263" s="255" t="s">
        <v>8</v>
      </c>
      <c r="G1263" s="254" t="s">
        <v>124</v>
      </c>
    </row>
    <row r="1264" spans="1:7" s="250" customFormat="1" x14ac:dyDescent="0.3">
      <c r="A1264" s="251">
        <v>45898</v>
      </c>
      <c r="B1264" s="316" t="s">
        <v>207</v>
      </c>
      <c r="C1264" s="293" t="s">
        <v>31</v>
      </c>
      <c r="D1264" s="253" t="s">
        <v>1206</v>
      </c>
      <c r="E1264" s="248">
        <v>-258.83999999999997</v>
      </c>
      <c r="F1264" s="255" t="s">
        <v>8</v>
      </c>
      <c r="G1264" s="254" t="s">
        <v>124</v>
      </c>
    </row>
    <row r="1265" spans="1:7" s="250" customFormat="1" x14ac:dyDescent="0.3">
      <c r="A1265" s="316">
        <v>45898</v>
      </c>
      <c r="B1265" s="316" t="s">
        <v>207</v>
      </c>
      <c r="C1265" s="293" t="s">
        <v>6</v>
      </c>
      <c r="D1265" s="253" t="s">
        <v>594</v>
      </c>
      <c r="E1265" s="248">
        <v>-2200</v>
      </c>
      <c r="F1265" s="254" t="s">
        <v>8</v>
      </c>
      <c r="G1265" s="254" t="s">
        <v>186</v>
      </c>
    </row>
    <row r="1266" spans="1:7" s="250" customFormat="1" x14ac:dyDescent="0.3">
      <c r="A1266" s="316">
        <v>45898</v>
      </c>
      <c r="B1266" s="316" t="s">
        <v>207</v>
      </c>
      <c r="C1266" s="293" t="s">
        <v>6</v>
      </c>
      <c r="D1266" s="253" t="s">
        <v>589</v>
      </c>
      <c r="E1266" s="248">
        <v>-1000</v>
      </c>
      <c r="F1266" s="254" t="s">
        <v>8</v>
      </c>
      <c r="G1266" s="254" t="s">
        <v>186</v>
      </c>
    </row>
    <row r="1267" spans="1:7" s="250" customFormat="1" x14ac:dyDescent="0.3">
      <c r="A1267" s="316">
        <v>45898</v>
      </c>
      <c r="B1267" s="316" t="s">
        <v>207</v>
      </c>
      <c r="C1267" s="293" t="s">
        <v>6</v>
      </c>
      <c r="D1267" s="253" t="s">
        <v>590</v>
      </c>
      <c r="E1267" s="248">
        <v>-3836.54</v>
      </c>
      <c r="F1267" s="254" t="s">
        <v>8</v>
      </c>
      <c r="G1267" s="254" t="s">
        <v>186</v>
      </c>
    </row>
    <row r="1268" spans="1:7" s="250" customFormat="1" x14ac:dyDescent="0.3">
      <c r="A1268" s="316">
        <v>45898</v>
      </c>
      <c r="B1268" s="316" t="s">
        <v>207</v>
      </c>
      <c r="C1268" s="293" t="s">
        <v>6</v>
      </c>
      <c r="D1268" s="253" t="s">
        <v>591</v>
      </c>
      <c r="E1268" s="248">
        <v>-3200</v>
      </c>
      <c r="F1268" s="254" t="s">
        <v>8</v>
      </c>
      <c r="G1268" s="254" t="s">
        <v>186</v>
      </c>
    </row>
    <row r="1269" spans="1:7" s="250" customFormat="1" x14ac:dyDescent="0.3">
      <c r="A1269" s="316">
        <v>45898</v>
      </c>
      <c r="B1269" s="316" t="s">
        <v>207</v>
      </c>
      <c r="C1269" s="293" t="s">
        <v>33</v>
      </c>
      <c r="D1269" s="427" t="s">
        <v>592</v>
      </c>
      <c r="E1269" s="248">
        <v>-1000</v>
      </c>
      <c r="F1269" s="254" t="s">
        <v>8</v>
      </c>
      <c r="G1269" s="254" t="s">
        <v>186</v>
      </c>
    </row>
    <row r="1270" spans="1:7" s="250" customFormat="1" x14ac:dyDescent="0.3">
      <c r="A1270" s="316">
        <v>45898</v>
      </c>
      <c r="B1270" s="316" t="s">
        <v>207</v>
      </c>
      <c r="C1270" s="293" t="s">
        <v>17</v>
      </c>
      <c r="D1270" s="253" t="s">
        <v>593</v>
      </c>
      <c r="E1270" s="335">
        <v>-2885.09</v>
      </c>
      <c r="F1270" s="254" t="s">
        <v>8</v>
      </c>
      <c r="G1270" s="254" t="s">
        <v>186</v>
      </c>
    </row>
    <row r="1271" spans="1:7" s="250" customFormat="1" x14ac:dyDescent="0.3">
      <c r="A1271" s="251">
        <v>45898</v>
      </c>
      <c r="B1271" s="316" t="s">
        <v>207</v>
      </c>
      <c r="C1271" s="252" t="s">
        <v>6</v>
      </c>
      <c r="D1271" s="253" t="s">
        <v>579</v>
      </c>
      <c r="E1271" s="248">
        <v>-2000</v>
      </c>
      <c r="F1271" s="254" t="s">
        <v>8</v>
      </c>
      <c r="G1271" s="254" t="s">
        <v>186</v>
      </c>
    </row>
    <row r="1272" spans="1:7" s="250" customFormat="1" x14ac:dyDescent="0.3">
      <c r="A1272" s="251">
        <v>45898</v>
      </c>
      <c r="B1272" s="316" t="s">
        <v>207</v>
      </c>
      <c r="C1272" s="423" t="s">
        <v>6</v>
      </c>
      <c r="D1272" s="253" t="s">
        <v>580</v>
      </c>
      <c r="E1272" s="248">
        <v>-501.54</v>
      </c>
      <c r="F1272" s="254" t="s">
        <v>8</v>
      </c>
      <c r="G1272" s="254" t="s">
        <v>186</v>
      </c>
    </row>
    <row r="1273" spans="1:7" s="139" customFormat="1" x14ac:dyDescent="0.3">
      <c r="A1273" s="78">
        <v>45884</v>
      </c>
      <c r="B1273" s="100" t="s">
        <v>207</v>
      </c>
      <c r="C1273" s="119" t="s">
        <v>6</v>
      </c>
      <c r="D1273" s="14" t="s">
        <v>571</v>
      </c>
      <c r="E1273" s="8">
        <v>-10000</v>
      </c>
      <c r="F1273" s="9" t="s">
        <v>8</v>
      </c>
      <c r="G1273" s="9" t="s">
        <v>186</v>
      </c>
    </row>
    <row r="1274" spans="1:7" s="250" customFormat="1" x14ac:dyDescent="0.3">
      <c r="A1274" s="251">
        <v>45898</v>
      </c>
      <c r="B1274" s="316" t="s">
        <v>207</v>
      </c>
      <c r="C1274" s="423" t="s">
        <v>44</v>
      </c>
      <c r="D1274" s="253" t="s">
        <v>581</v>
      </c>
      <c r="E1274" s="248">
        <v>-2500</v>
      </c>
      <c r="F1274" s="254" t="s">
        <v>8</v>
      </c>
      <c r="G1274" s="254" t="s">
        <v>186</v>
      </c>
    </row>
    <row r="1275" spans="1:7" s="139" customFormat="1" x14ac:dyDescent="0.3">
      <c r="A1275" s="78">
        <v>45884</v>
      </c>
      <c r="B1275" s="100" t="s">
        <v>207</v>
      </c>
      <c r="C1275" s="7" t="s">
        <v>104</v>
      </c>
      <c r="D1275" s="14" t="s">
        <v>714</v>
      </c>
      <c r="E1275" s="8">
        <v>-2000</v>
      </c>
      <c r="F1275" s="9" t="s">
        <v>8</v>
      </c>
      <c r="G1275" s="9" t="s">
        <v>186</v>
      </c>
    </row>
    <row r="1276" spans="1:7" s="139" customFormat="1" x14ac:dyDescent="0.3">
      <c r="A1276" s="78">
        <v>45877</v>
      </c>
      <c r="B1276" s="100" t="s">
        <v>207</v>
      </c>
      <c r="C1276" s="6" t="s">
        <v>104</v>
      </c>
      <c r="D1276" s="7" t="s">
        <v>602</v>
      </c>
      <c r="E1276" s="8">
        <v>-2000</v>
      </c>
      <c r="F1276" s="9" t="s">
        <v>8</v>
      </c>
      <c r="G1276" s="9" t="s">
        <v>186</v>
      </c>
    </row>
    <row r="1277" spans="1:7" s="139" customFormat="1" x14ac:dyDescent="0.3">
      <c r="A1277" s="100">
        <v>45877</v>
      </c>
      <c r="B1277" s="100" t="s">
        <v>207</v>
      </c>
      <c r="C1277" s="14" t="s">
        <v>71</v>
      </c>
      <c r="D1277" s="7" t="s">
        <v>985</v>
      </c>
      <c r="E1277" s="8">
        <v>-100</v>
      </c>
      <c r="F1277" s="13" t="s">
        <v>8</v>
      </c>
      <c r="G1277" s="9" t="s">
        <v>984</v>
      </c>
    </row>
    <row r="1278" spans="1:7" s="139" customFormat="1" x14ac:dyDescent="0.3">
      <c r="A1278" s="100">
        <v>45877</v>
      </c>
      <c r="B1278" s="100" t="s">
        <v>207</v>
      </c>
      <c r="C1278" s="14" t="s">
        <v>71</v>
      </c>
      <c r="D1278" s="7" t="s">
        <v>991</v>
      </c>
      <c r="E1278" s="8">
        <v>-1500</v>
      </c>
      <c r="F1278" s="9" t="s">
        <v>8</v>
      </c>
      <c r="G1278" s="9" t="s">
        <v>58</v>
      </c>
    </row>
    <row r="1279" spans="1:7" s="139" customFormat="1" x14ac:dyDescent="0.3">
      <c r="A1279" s="78">
        <v>45877</v>
      </c>
      <c r="B1279" s="100" t="s">
        <v>207</v>
      </c>
      <c r="C1279" s="6" t="s">
        <v>104</v>
      </c>
      <c r="D1279" s="7" t="s">
        <v>992</v>
      </c>
      <c r="E1279" s="8">
        <v>-20.76</v>
      </c>
      <c r="F1279" s="9" t="s">
        <v>8</v>
      </c>
      <c r="G1279" s="9" t="s">
        <v>19</v>
      </c>
    </row>
    <row r="1280" spans="1:7" s="250" customFormat="1" x14ac:dyDescent="0.3">
      <c r="A1280" s="251">
        <v>45898</v>
      </c>
      <c r="B1280" s="316" t="s">
        <v>207</v>
      </c>
      <c r="C1280" s="423" t="s">
        <v>17</v>
      </c>
      <c r="D1280" s="253" t="s">
        <v>582</v>
      </c>
      <c r="E1280" s="248">
        <v>-1916.67</v>
      </c>
      <c r="F1280" s="254" t="s">
        <v>8</v>
      </c>
      <c r="G1280" s="254" t="s">
        <v>186</v>
      </c>
    </row>
    <row r="1281" spans="1:7" s="139" customFormat="1" x14ac:dyDescent="0.3">
      <c r="A1281" s="100">
        <v>45870</v>
      </c>
      <c r="B1281" s="100" t="s">
        <v>207</v>
      </c>
      <c r="C1281" s="14" t="s">
        <v>33</v>
      </c>
      <c r="D1281" s="7" t="s">
        <v>890</v>
      </c>
      <c r="E1281" s="8">
        <v>-2056.35</v>
      </c>
      <c r="F1281" s="13" t="s">
        <v>8</v>
      </c>
      <c r="G1281" s="9" t="s">
        <v>75</v>
      </c>
    </row>
    <row r="1282" spans="1:7" s="139" customFormat="1" x14ac:dyDescent="0.3">
      <c r="A1282" s="100">
        <v>45870</v>
      </c>
      <c r="B1282" s="100" t="s">
        <v>207</v>
      </c>
      <c r="C1282" s="14" t="s">
        <v>33</v>
      </c>
      <c r="D1282" s="7" t="s">
        <v>891</v>
      </c>
      <c r="E1282" s="8">
        <v>-139.66</v>
      </c>
      <c r="F1282" s="13" t="s">
        <v>8</v>
      </c>
      <c r="G1282" s="9" t="s">
        <v>75</v>
      </c>
    </row>
    <row r="1283" spans="1:7" s="139" customFormat="1" x14ac:dyDescent="0.3">
      <c r="A1283" s="100">
        <v>45870</v>
      </c>
      <c r="B1283" s="100" t="s">
        <v>207</v>
      </c>
      <c r="C1283" s="14" t="s">
        <v>32</v>
      </c>
      <c r="D1283" s="7" t="s">
        <v>893</v>
      </c>
      <c r="E1283" s="8">
        <v>-313.87</v>
      </c>
      <c r="F1283" s="13" t="s">
        <v>8</v>
      </c>
      <c r="G1283" s="9" t="s">
        <v>75</v>
      </c>
    </row>
    <row r="1284" spans="1:7" s="139" customFormat="1" x14ac:dyDescent="0.3">
      <c r="A1284" s="100">
        <v>45870</v>
      </c>
      <c r="B1284" s="100" t="s">
        <v>207</v>
      </c>
      <c r="C1284" s="14" t="s">
        <v>17</v>
      </c>
      <c r="D1284" s="7" t="s">
        <v>892</v>
      </c>
      <c r="E1284" s="8">
        <v>-810.39</v>
      </c>
      <c r="F1284" s="13" t="s">
        <v>8</v>
      </c>
      <c r="G1284" s="9" t="s">
        <v>75</v>
      </c>
    </row>
    <row r="1285" spans="1:7" s="139" customFormat="1" x14ac:dyDescent="0.3">
      <c r="A1285" s="100">
        <v>45870</v>
      </c>
      <c r="B1285" s="100" t="s">
        <v>207</v>
      </c>
      <c r="C1285" s="14" t="s">
        <v>25</v>
      </c>
      <c r="D1285" s="7" t="s">
        <v>701</v>
      </c>
      <c r="E1285" s="8">
        <v>-82.6</v>
      </c>
      <c r="F1285" s="13" t="s">
        <v>8</v>
      </c>
      <c r="G1285" s="9" t="s">
        <v>82</v>
      </c>
    </row>
    <row r="1286" spans="1:7" s="139" customFormat="1" x14ac:dyDescent="0.3">
      <c r="A1286" s="100">
        <v>45870</v>
      </c>
      <c r="B1286" s="100" t="s">
        <v>207</v>
      </c>
      <c r="C1286" s="14" t="s">
        <v>25</v>
      </c>
      <c r="D1286" s="7" t="s">
        <v>372</v>
      </c>
      <c r="E1286" s="8">
        <v>-184.5</v>
      </c>
      <c r="F1286" s="13" t="s">
        <v>8</v>
      </c>
      <c r="G1286" s="9" t="s">
        <v>82</v>
      </c>
    </row>
    <row r="1287" spans="1:7" s="139" customFormat="1" x14ac:dyDescent="0.3">
      <c r="A1287" s="100">
        <v>45870</v>
      </c>
      <c r="B1287" s="100" t="s">
        <v>207</v>
      </c>
      <c r="C1287" s="14" t="s">
        <v>25</v>
      </c>
      <c r="D1287" s="7" t="s">
        <v>920</v>
      </c>
      <c r="E1287" s="8">
        <v>-430.5</v>
      </c>
      <c r="F1287" s="13" t="s">
        <v>8</v>
      </c>
      <c r="G1287" s="9" t="s">
        <v>82</v>
      </c>
    </row>
    <row r="1288" spans="1:7" s="139" customFormat="1" x14ac:dyDescent="0.3">
      <c r="A1288" s="100">
        <v>45870</v>
      </c>
      <c r="B1288" s="100" t="s">
        <v>207</v>
      </c>
      <c r="C1288" s="14" t="s">
        <v>25</v>
      </c>
      <c r="D1288" s="7" t="s">
        <v>751</v>
      </c>
      <c r="E1288" s="8">
        <v>-307.5</v>
      </c>
      <c r="F1288" s="13" t="s">
        <v>8</v>
      </c>
      <c r="G1288" s="9" t="s">
        <v>82</v>
      </c>
    </row>
    <row r="1289" spans="1:7" s="139" customFormat="1" x14ac:dyDescent="0.3">
      <c r="A1289" s="100">
        <v>45870</v>
      </c>
      <c r="B1289" s="100" t="s">
        <v>207</v>
      </c>
      <c r="C1289" s="14" t="s">
        <v>25</v>
      </c>
      <c r="D1289" s="7" t="s">
        <v>749</v>
      </c>
      <c r="E1289" s="8">
        <v>-349.5</v>
      </c>
      <c r="F1289" s="13" t="s">
        <v>8</v>
      </c>
      <c r="G1289" s="9" t="s">
        <v>82</v>
      </c>
    </row>
    <row r="1290" spans="1:7" s="139" customFormat="1" x14ac:dyDescent="0.3">
      <c r="A1290" s="100">
        <v>45870</v>
      </c>
      <c r="B1290" s="100" t="s">
        <v>207</v>
      </c>
      <c r="C1290" s="14" t="s">
        <v>25</v>
      </c>
      <c r="D1290" s="7" t="s">
        <v>921</v>
      </c>
      <c r="E1290" s="8">
        <v>-267</v>
      </c>
      <c r="F1290" s="13" t="s">
        <v>8</v>
      </c>
      <c r="G1290" s="9" t="s">
        <v>82</v>
      </c>
    </row>
    <row r="1291" spans="1:7" s="139" customFormat="1" x14ac:dyDescent="0.3">
      <c r="A1291" s="100">
        <v>45870</v>
      </c>
      <c r="B1291" s="100" t="s">
        <v>207</v>
      </c>
      <c r="C1291" s="14" t="s">
        <v>25</v>
      </c>
      <c r="D1291" s="7" t="s">
        <v>695</v>
      </c>
      <c r="E1291" s="8">
        <v>-184.5</v>
      </c>
      <c r="F1291" s="13" t="s">
        <v>8</v>
      </c>
      <c r="G1291" s="9" t="s">
        <v>82</v>
      </c>
    </row>
    <row r="1292" spans="1:7" s="139" customFormat="1" x14ac:dyDescent="0.3">
      <c r="A1292" s="100">
        <v>45870</v>
      </c>
      <c r="B1292" s="100" t="s">
        <v>207</v>
      </c>
      <c r="C1292" s="14" t="s">
        <v>17</v>
      </c>
      <c r="D1292" s="7" t="s">
        <v>469</v>
      </c>
      <c r="E1292" s="8">
        <v>-82.6</v>
      </c>
      <c r="F1292" s="13" t="s">
        <v>8</v>
      </c>
      <c r="G1292" s="9" t="s">
        <v>82</v>
      </c>
    </row>
    <row r="1293" spans="1:7" s="139" customFormat="1" x14ac:dyDescent="0.3">
      <c r="A1293" s="100">
        <v>45870</v>
      </c>
      <c r="B1293" s="100" t="s">
        <v>207</v>
      </c>
      <c r="C1293" s="14" t="s">
        <v>17</v>
      </c>
      <c r="D1293" s="7" t="s">
        <v>922</v>
      </c>
      <c r="E1293" s="8">
        <v>-86.1</v>
      </c>
      <c r="F1293" s="13" t="s">
        <v>8</v>
      </c>
      <c r="G1293" s="9" t="s">
        <v>82</v>
      </c>
    </row>
    <row r="1294" spans="1:7" s="139" customFormat="1" x14ac:dyDescent="0.3">
      <c r="A1294" s="100">
        <v>45870</v>
      </c>
      <c r="B1294" s="100" t="s">
        <v>207</v>
      </c>
      <c r="C1294" s="14" t="s">
        <v>17</v>
      </c>
      <c r="D1294" s="7" t="s">
        <v>923</v>
      </c>
      <c r="E1294" s="8">
        <v>-86.1</v>
      </c>
      <c r="F1294" s="13" t="s">
        <v>8</v>
      </c>
      <c r="G1294" s="9" t="s">
        <v>82</v>
      </c>
    </row>
    <row r="1295" spans="1:7" s="139" customFormat="1" x14ac:dyDescent="0.3">
      <c r="A1295" s="100">
        <v>45870</v>
      </c>
      <c r="B1295" s="100" t="s">
        <v>207</v>
      </c>
      <c r="C1295" s="14" t="s">
        <v>17</v>
      </c>
      <c r="D1295" s="7" t="s">
        <v>924</v>
      </c>
      <c r="E1295" s="8">
        <v>-80</v>
      </c>
      <c r="F1295" s="13" t="s">
        <v>8</v>
      </c>
      <c r="G1295" s="9" t="s">
        <v>82</v>
      </c>
    </row>
    <row r="1296" spans="1:7" s="139" customFormat="1" x14ac:dyDescent="0.3">
      <c r="A1296" s="100">
        <v>45870</v>
      </c>
      <c r="B1296" s="100" t="s">
        <v>207</v>
      </c>
      <c r="C1296" s="14" t="s">
        <v>17</v>
      </c>
      <c r="D1296" s="7" t="s">
        <v>925</v>
      </c>
      <c r="E1296" s="8">
        <v>-77</v>
      </c>
      <c r="F1296" s="13" t="s">
        <v>8</v>
      </c>
      <c r="G1296" s="9" t="s">
        <v>82</v>
      </c>
    </row>
    <row r="1297" spans="1:8" s="139" customFormat="1" x14ac:dyDescent="0.3">
      <c r="A1297" s="100">
        <v>45870</v>
      </c>
      <c r="B1297" s="100" t="s">
        <v>207</v>
      </c>
      <c r="C1297" s="14" t="s">
        <v>17</v>
      </c>
      <c r="D1297" s="7" t="s">
        <v>926</v>
      </c>
      <c r="E1297" s="8">
        <v>-86.1</v>
      </c>
      <c r="F1297" s="13" t="s">
        <v>8</v>
      </c>
      <c r="G1297" s="9" t="s">
        <v>82</v>
      </c>
    </row>
    <row r="1298" spans="1:8" s="139" customFormat="1" x14ac:dyDescent="0.3">
      <c r="A1298" s="100">
        <v>45870</v>
      </c>
      <c r="B1298" s="100" t="s">
        <v>207</v>
      </c>
      <c r="C1298" s="14" t="s">
        <v>44</v>
      </c>
      <c r="D1298" s="7" t="s">
        <v>562</v>
      </c>
      <c r="E1298" s="8">
        <v>-3968.99</v>
      </c>
      <c r="F1298" s="9" t="s">
        <v>8</v>
      </c>
      <c r="G1298" s="9" t="s">
        <v>186</v>
      </c>
    </row>
    <row r="1299" spans="1:8" s="139" customFormat="1" x14ac:dyDescent="0.3">
      <c r="A1299" s="78">
        <v>45870</v>
      </c>
      <c r="B1299" s="100" t="s">
        <v>207</v>
      </c>
      <c r="C1299" s="6" t="s">
        <v>17</v>
      </c>
      <c r="D1299" s="7" t="s">
        <v>563</v>
      </c>
      <c r="E1299" s="8">
        <v>-1848.63</v>
      </c>
      <c r="F1299" s="9" t="s">
        <v>8</v>
      </c>
      <c r="G1299" s="9" t="s">
        <v>186</v>
      </c>
      <c r="H1299" s="143"/>
    </row>
    <row r="1300" spans="1:8" s="250" customFormat="1" x14ac:dyDescent="0.3">
      <c r="A1300" s="308">
        <v>45898</v>
      </c>
      <c r="B1300" s="322" t="s">
        <v>207</v>
      </c>
      <c r="C1300" s="395" t="s">
        <v>6</v>
      </c>
      <c r="D1300" s="396" t="s">
        <v>719</v>
      </c>
      <c r="E1300" s="344">
        <v>-2500</v>
      </c>
      <c r="F1300" s="266" t="s">
        <v>8</v>
      </c>
      <c r="G1300" s="266" t="s">
        <v>186</v>
      </c>
    </row>
    <row r="1301" spans="1:8" s="250" customFormat="1" x14ac:dyDescent="0.3">
      <c r="A1301" s="251">
        <v>45930</v>
      </c>
      <c r="B1301" s="316" t="s">
        <v>208</v>
      </c>
      <c r="C1301" s="293" t="s">
        <v>6</v>
      </c>
      <c r="D1301" s="293" t="s">
        <v>720</v>
      </c>
      <c r="E1301" s="248">
        <v>-2500</v>
      </c>
      <c r="F1301" s="254" t="s">
        <v>8</v>
      </c>
      <c r="G1301" s="254" t="s">
        <v>186</v>
      </c>
    </row>
    <row r="1302" spans="1:8" s="139" customFormat="1" hidden="1" x14ac:dyDescent="0.3">
      <c r="A1302" s="87">
        <v>45960</v>
      </c>
      <c r="B1302" s="146" t="s">
        <v>211</v>
      </c>
      <c r="C1302" s="610" t="s">
        <v>6</v>
      </c>
      <c r="D1302" s="14" t="s">
        <v>721</v>
      </c>
      <c r="E1302" s="8">
        <v>-2500</v>
      </c>
      <c r="F1302" s="9" t="s">
        <v>8</v>
      </c>
      <c r="G1302" s="9" t="s">
        <v>186</v>
      </c>
    </row>
    <row r="1303" spans="1:8" s="139" customFormat="1" hidden="1" x14ac:dyDescent="0.3">
      <c r="A1303" s="78">
        <v>45989</v>
      </c>
      <c r="B1303" s="100" t="s">
        <v>212</v>
      </c>
      <c r="C1303" s="14" t="s">
        <v>6</v>
      </c>
      <c r="D1303" s="14" t="s">
        <v>722</v>
      </c>
      <c r="E1303" s="8">
        <v>-2500</v>
      </c>
      <c r="F1303" s="9" t="s">
        <v>8</v>
      </c>
      <c r="G1303" s="9" t="s">
        <v>186</v>
      </c>
    </row>
    <row r="1304" spans="1:8" s="250" customFormat="1" x14ac:dyDescent="0.3">
      <c r="A1304" s="251">
        <v>45898</v>
      </c>
      <c r="B1304" s="316" t="s">
        <v>207</v>
      </c>
      <c r="C1304" s="296" t="s">
        <v>31</v>
      </c>
      <c r="D1304" s="253" t="s">
        <v>1029</v>
      </c>
      <c r="E1304" s="248">
        <v>-1500</v>
      </c>
      <c r="F1304" s="254" t="s">
        <v>8</v>
      </c>
      <c r="G1304" s="254" t="s">
        <v>186</v>
      </c>
    </row>
    <row r="1305" spans="1:8" s="250" customFormat="1" x14ac:dyDescent="0.3">
      <c r="A1305" s="251">
        <v>45898</v>
      </c>
      <c r="B1305" s="316" t="s">
        <v>207</v>
      </c>
      <c r="C1305" s="296" t="s">
        <v>31</v>
      </c>
      <c r="D1305" s="253" t="s">
        <v>1030</v>
      </c>
      <c r="E1305" s="248">
        <v>-1000</v>
      </c>
      <c r="F1305" s="254" t="s">
        <v>8</v>
      </c>
      <c r="G1305" s="254" t="s">
        <v>186</v>
      </c>
    </row>
    <row r="1306" spans="1:8" s="250" customFormat="1" x14ac:dyDescent="0.3">
      <c r="A1306" s="251">
        <v>45898</v>
      </c>
      <c r="B1306" s="316" t="s">
        <v>207</v>
      </c>
      <c r="C1306" s="296" t="s">
        <v>6</v>
      </c>
      <c r="D1306" s="253" t="s">
        <v>1031</v>
      </c>
      <c r="E1306" s="248">
        <v>-2500</v>
      </c>
      <c r="F1306" s="254" t="s">
        <v>8</v>
      </c>
      <c r="G1306" s="254" t="s">
        <v>186</v>
      </c>
    </row>
    <row r="1307" spans="1:8" s="250" customFormat="1" x14ac:dyDescent="0.3">
      <c r="A1307" s="251">
        <v>45898</v>
      </c>
      <c r="B1307" s="316" t="s">
        <v>207</v>
      </c>
      <c r="C1307" s="424" t="s">
        <v>6</v>
      </c>
      <c r="D1307" s="396" t="s">
        <v>1033</v>
      </c>
      <c r="E1307" s="344">
        <v>-1000</v>
      </c>
      <c r="F1307" s="266" t="s">
        <v>8</v>
      </c>
      <c r="G1307" s="254" t="s">
        <v>186</v>
      </c>
    </row>
    <row r="1308" spans="1:8" s="250" customFormat="1" x14ac:dyDescent="0.3">
      <c r="A1308" s="251">
        <v>45898</v>
      </c>
      <c r="B1308" s="316" t="s">
        <v>207</v>
      </c>
      <c r="C1308" s="293" t="s">
        <v>44</v>
      </c>
      <c r="D1308" s="253" t="s">
        <v>1032</v>
      </c>
      <c r="E1308" s="248">
        <v>-3800</v>
      </c>
      <c r="F1308" s="254" t="s">
        <v>8</v>
      </c>
      <c r="G1308" s="254" t="s">
        <v>186</v>
      </c>
    </row>
    <row r="1309" spans="1:8" s="250" customFormat="1" x14ac:dyDescent="0.3">
      <c r="A1309" s="251">
        <v>45898</v>
      </c>
      <c r="B1309" s="316" t="s">
        <v>207</v>
      </c>
      <c r="C1309" s="293" t="s">
        <v>17</v>
      </c>
      <c r="D1309" s="253" t="s">
        <v>1034</v>
      </c>
      <c r="E1309" s="248">
        <v>-2500</v>
      </c>
      <c r="F1309" s="254" t="s">
        <v>8</v>
      </c>
      <c r="G1309" s="254" t="s">
        <v>186</v>
      </c>
    </row>
    <row r="1310" spans="1:8" s="250" customFormat="1" ht="14.4" x14ac:dyDescent="0.3">
      <c r="A1310" s="416">
        <v>45898</v>
      </c>
      <c r="B1310" s="381" t="s">
        <v>207</v>
      </c>
      <c r="C1310" s="425" t="s">
        <v>17</v>
      </c>
      <c r="D1310" s="426" t="s">
        <v>583</v>
      </c>
      <c r="E1310" s="367">
        <v>-1400</v>
      </c>
      <c r="F1310" s="421" t="s">
        <v>8</v>
      </c>
      <c r="G1310" s="254" t="s">
        <v>186</v>
      </c>
    </row>
    <row r="1311" spans="1:8" s="139" customFormat="1" x14ac:dyDescent="0.3">
      <c r="A1311" s="100">
        <v>45887</v>
      </c>
      <c r="B1311" s="100" t="s">
        <v>207</v>
      </c>
      <c r="C1311" s="14" t="s">
        <v>17</v>
      </c>
      <c r="D1311" s="14" t="s">
        <v>1098</v>
      </c>
      <c r="E1311" s="8">
        <v>-733.76</v>
      </c>
      <c r="F1311" s="5" t="s">
        <v>8</v>
      </c>
      <c r="G1311" s="9" t="s">
        <v>1097</v>
      </c>
    </row>
    <row r="1312" spans="1:8" s="139" customFormat="1" x14ac:dyDescent="0.3">
      <c r="A1312" s="100">
        <v>45887</v>
      </c>
      <c r="B1312" s="100" t="s">
        <v>207</v>
      </c>
      <c r="C1312" s="14" t="s">
        <v>31</v>
      </c>
      <c r="D1312" s="14" t="s">
        <v>1095</v>
      </c>
      <c r="E1312" s="8">
        <v>-303.24</v>
      </c>
      <c r="F1312" s="5" t="s">
        <v>8</v>
      </c>
      <c r="G1312" s="9" t="s">
        <v>51</v>
      </c>
    </row>
    <row r="1313" spans="1:7" s="139" customFormat="1" x14ac:dyDescent="0.3">
      <c r="A1313" s="100">
        <v>45887</v>
      </c>
      <c r="B1313" s="100" t="s">
        <v>207</v>
      </c>
      <c r="C1313" s="14" t="s">
        <v>6</v>
      </c>
      <c r="D1313" s="14" t="s">
        <v>1095</v>
      </c>
      <c r="E1313" s="8">
        <v>-383.04</v>
      </c>
      <c r="F1313" s="5" t="s">
        <v>8</v>
      </c>
      <c r="G1313" s="9" t="s">
        <v>51</v>
      </c>
    </row>
    <row r="1314" spans="1:7" s="139" customFormat="1" x14ac:dyDescent="0.3">
      <c r="A1314" s="100">
        <v>45887</v>
      </c>
      <c r="B1314" s="100" t="s">
        <v>207</v>
      </c>
      <c r="C1314" s="14" t="s">
        <v>44</v>
      </c>
      <c r="D1314" s="14" t="s">
        <v>1095</v>
      </c>
      <c r="E1314" s="8">
        <v>-383.04</v>
      </c>
      <c r="F1314" s="5" t="s">
        <v>8</v>
      </c>
      <c r="G1314" s="9" t="s">
        <v>51</v>
      </c>
    </row>
    <row r="1315" spans="1:7" s="139" customFormat="1" x14ac:dyDescent="0.3">
      <c r="A1315" s="100">
        <v>45887</v>
      </c>
      <c r="B1315" s="100" t="s">
        <v>207</v>
      </c>
      <c r="C1315" s="14" t="s">
        <v>25</v>
      </c>
      <c r="D1315" s="14" t="s">
        <v>1095</v>
      </c>
      <c r="E1315" s="8">
        <v>-941.64</v>
      </c>
      <c r="F1315" s="5" t="s">
        <v>8</v>
      </c>
      <c r="G1315" s="9" t="s">
        <v>51</v>
      </c>
    </row>
    <row r="1316" spans="1:7" s="139" customFormat="1" x14ac:dyDescent="0.3">
      <c r="A1316" s="100">
        <v>45887</v>
      </c>
      <c r="B1316" s="100" t="s">
        <v>207</v>
      </c>
      <c r="C1316" s="14" t="s">
        <v>33</v>
      </c>
      <c r="D1316" s="14" t="s">
        <v>1095</v>
      </c>
      <c r="E1316" s="8">
        <v>-271.32</v>
      </c>
      <c r="F1316" s="5" t="s">
        <v>8</v>
      </c>
      <c r="G1316" s="9" t="s">
        <v>51</v>
      </c>
    </row>
    <row r="1317" spans="1:7" s="139" customFormat="1" x14ac:dyDescent="0.3">
      <c r="A1317" s="100">
        <v>45887</v>
      </c>
      <c r="B1317" s="100" t="s">
        <v>207</v>
      </c>
      <c r="C1317" s="14" t="s">
        <v>104</v>
      </c>
      <c r="D1317" s="14" t="s">
        <v>1095</v>
      </c>
      <c r="E1317" s="8">
        <v>-287.27999999999997</v>
      </c>
      <c r="F1317" s="5" t="s">
        <v>8</v>
      </c>
      <c r="G1317" s="9" t="s">
        <v>51</v>
      </c>
    </row>
    <row r="1318" spans="1:7" s="139" customFormat="1" x14ac:dyDescent="0.3">
      <c r="A1318" s="100">
        <v>45887</v>
      </c>
      <c r="B1318" s="100" t="s">
        <v>207</v>
      </c>
      <c r="C1318" s="14" t="s">
        <v>32</v>
      </c>
      <c r="D1318" s="14" t="s">
        <v>1095</v>
      </c>
      <c r="E1318" s="8">
        <v>-590.52</v>
      </c>
      <c r="F1318" s="5" t="s">
        <v>8</v>
      </c>
      <c r="G1318" s="9" t="s">
        <v>51</v>
      </c>
    </row>
    <row r="1319" spans="1:7" s="139" customFormat="1" x14ac:dyDescent="0.3">
      <c r="A1319" s="100">
        <v>45887</v>
      </c>
      <c r="B1319" s="100" t="s">
        <v>207</v>
      </c>
      <c r="C1319" s="14" t="s">
        <v>71</v>
      </c>
      <c r="D1319" s="14" t="s">
        <v>1095</v>
      </c>
      <c r="E1319" s="8">
        <v>-351.12</v>
      </c>
      <c r="F1319" s="5" t="s">
        <v>8</v>
      </c>
      <c r="G1319" s="9" t="s">
        <v>51</v>
      </c>
    </row>
    <row r="1320" spans="1:7" s="139" customFormat="1" x14ac:dyDescent="0.3">
      <c r="A1320" s="100">
        <v>45887</v>
      </c>
      <c r="B1320" s="100" t="s">
        <v>207</v>
      </c>
      <c r="C1320" s="14" t="s">
        <v>17</v>
      </c>
      <c r="D1320" s="14" t="s">
        <v>1095</v>
      </c>
      <c r="E1320" s="8">
        <v>-207.48</v>
      </c>
      <c r="F1320" s="5" t="s">
        <v>8</v>
      </c>
      <c r="G1320" s="9" t="s">
        <v>51</v>
      </c>
    </row>
    <row r="1321" spans="1:7" s="250" customFormat="1" x14ac:dyDescent="0.3">
      <c r="A1321" s="316">
        <v>45888</v>
      </c>
      <c r="B1321" s="316" t="s">
        <v>207</v>
      </c>
      <c r="C1321" s="293" t="s">
        <v>17</v>
      </c>
      <c r="D1321" s="293" t="s">
        <v>1131</v>
      </c>
      <c r="E1321" s="294">
        <v>-3625.95</v>
      </c>
      <c r="F1321" s="255" t="s">
        <v>8</v>
      </c>
      <c r="G1321" s="254" t="s">
        <v>58</v>
      </c>
    </row>
    <row r="1322" spans="1:7" s="250" customFormat="1" x14ac:dyDescent="0.3">
      <c r="A1322" s="316">
        <v>45888</v>
      </c>
      <c r="B1322" s="316" t="s">
        <v>207</v>
      </c>
      <c r="C1322" s="293" t="s">
        <v>17</v>
      </c>
      <c r="D1322" s="293" t="s">
        <v>1114</v>
      </c>
      <c r="E1322" s="294">
        <v>-283.60000000000002</v>
      </c>
      <c r="F1322" s="255" t="s">
        <v>8</v>
      </c>
      <c r="G1322" s="254" t="s">
        <v>150</v>
      </c>
    </row>
    <row r="1323" spans="1:7" s="250" customFormat="1" x14ac:dyDescent="0.3">
      <c r="A1323" s="251">
        <v>45888</v>
      </c>
      <c r="B1323" s="316" t="s">
        <v>207</v>
      </c>
      <c r="C1323" s="252" t="s">
        <v>31</v>
      </c>
      <c r="D1323" s="293" t="s">
        <v>1122</v>
      </c>
      <c r="E1323" s="294">
        <v>-2324.85</v>
      </c>
      <c r="F1323" s="255" t="s">
        <v>8</v>
      </c>
      <c r="G1323" s="254" t="s">
        <v>85</v>
      </c>
    </row>
    <row r="1324" spans="1:7" s="250" customFormat="1" x14ac:dyDescent="0.3">
      <c r="A1324" s="251">
        <v>45888</v>
      </c>
      <c r="B1324" s="316" t="s">
        <v>207</v>
      </c>
      <c r="C1324" s="252" t="s">
        <v>6</v>
      </c>
      <c r="D1324" s="293" t="s">
        <v>1118</v>
      </c>
      <c r="E1324" s="294">
        <v>-2944.81</v>
      </c>
      <c r="F1324" s="255" t="s">
        <v>8</v>
      </c>
      <c r="G1324" s="254" t="s">
        <v>85</v>
      </c>
    </row>
    <row r="1325" spans="1:7" s="250" customFormat="1" x14ac:dyDescent="0.3">
      <c r="A1325" s="251">
        <v>45888</v>
      </c>
      <c r="B1325" s="316" t="s">
        <v>207</v>
      </c>
      <c r="C1325" s="252" t="s">
        <v>44</v>
      </c>
      <c r="D1325" s="293" t="s">
        <v>1120</v>
      </c>
      <c r="E1325" s="248">
        <v>-2867.31</v>
      </c>
      <c r="F1325" s="255" t="s">
        <v>8</v>
      </c>
      <c r="G1325" s="254" t="s">
        <v>85</v>
      </c>
    </row>
    <row r="1326" spans="1:7" s="250" customFormat="1" x14ac:dyDescent="0.3">
      <c r="A1326" s="251">
        <v>45888</v>
      </c>
      <c r="B1326" s="316" t="s">
        <v>207</v>
      </c>
      <c r="C1326" s="252" t="s">
        <v>44</v>
      </c>
      <c r="D1326" s="293" t="s">
        <v>1119</v>
      </c>
      <c r="E1326" s="248">
        <v>-852.44</v>
      </c>
      <c r="F1326" s="255" t="s">
        <v>8</v>
      </c>
      <c r="G1326" s="254" t="s">
        <v>85</v>
      </c>
    </row>
    <row r="1327" spans="1:7" s="250" customFormat="1" x14ac:dyDescent="0.3">
      <c r="A1327" s="251">
        <v>45888</v>
      </c>
      <c r="B1327" s="316" t="s">
        <v>207</v>
      </c>
      <c r="C1327" s="252" t="s">
        <v>25</v>
      </c>
      <c r="D1327" s="293" t="s">
        <v>1121</v>
      </c>
      <c r="E1327" s="248">
        <v>-2789.82</v>
      </c>
      <c r="F1327" s="255" t="s">
        <v>8</v>
      </c>
      <c r="G1327" s="254" t="s">
        <v>85</v>
      </c>
    </row>
    <row r="1328" spans="1:7" s="250" customFormat="1" x14ac:dyDescent="0.3">
      <c r="A1328" s="251">
        <v>45888</v>
      </c>
      <c r="B1328" s="316" t="s">
        <v>207</v>
      </c>
      <c r="C1328" s="252" t="s">
        <v>33</v>
      </c>
      <c r="D1328" s="293" t="s">
        <v>1124</v>
      </c>
      <c r="E1328" s="248">
        <v>-852.44</v>
      </c>
      <c r="F1328" s="255" t="s">
        <v>8</v>
      </c>
      <c r="G1328" s="254" t="s">
        <v>85</v>
      </c>
    </row>
    <row r="1329" spans="1:7" s="250" customFormat="1" x14ac:dyDescent="0.3">
      <c r="A1329" s="251">
        <v>45888</v>
      </c>
      <c r="B1329" s="316" t="s">
        <v>207</v>
      </c>
      <c r="C1329" s="252" t="s">
        <v>104</v>
      </c>
      <c r="D1329" s="293" t="s">
        <v>1123</v>
      </c>
      <c r="E1329" s="248">
        <v>-619.96</v>
      </c>
      <c r="F1329" s="255" t="s">
        <v>8</v>
      </c>
      <c r="G1329" s="254" t="s">
        <v>85</v>
      </c>
    </row>
    <row r="1330" spans="1:7" s="250" customFormat="1" x14ac:dyDescent="0.3">
      <c r="A1330" s="251">
        <v>45888</v>
      </c>
      <c r="B1330" s="316" t="s">
        <v>207</v>
      </c>
      <c r="C1330" s="252" t="s">
        <v>32</v>
      </c>
      <c r="D1330" s="293" t="s">
        <v>1129</v>
      </c>
      <c r="E1330" s="248">
        <v>-154.99</v>
      </c>
      <c r="F1330" s="255" t="s">
        <v>8</v>
      </c>
      <c r="G1330" s="254" t="s">
        <v>85</v>
      </c>
    </row>
    <row r="1331" spans="1:7" s="250" customFormat="1" x14ac:dyDescent="0.3">
      <c r="A1331" s="251">
        <v>45888</v>
      </c>
      <c r="B1331" s="316" t="s">
        <v>207</v>
      </c>
      <c r="C1331" s="252" t="s">
        <v>71</v>
      </c>
      <c r="D1331" s="293" t="s">
        <v>1125</v>
      </c>
      <c r="E1331" s="248">
        <v>-852.44</v>
      </c>
      <c r="F1331" s="255" t="s">
        <v>8</v>
      </c>
      <c r="G1331" s="254" t="s">
        <v>85</v>
      </c>
    </row>
    <row r="1332" spans="1:7" s="250" customFormat="1" x14ac:dyDescent="0.3">
      <c r="A1332" s="251">
        <v>45888</v>
      </c>
      <c r="B1332" s="322" t="s">
        <v>207</v>
      </c>
      <c r="C1332" s="366" t="s">
        <v>17</v>
      </c>
      <c r="D1332" s="293" t="s">
        <v>1132</v>
      </c>
      <c r="E1332" s="344">
        <v>-77.489999999999995</v>
      </c>
      <c r="F1332" s="270" t="s">
        <v>8</v>
      </c>
      <c r="G1332" s="254" t="s">
        <v>85</v>
      </c>
    </row>
    <row r="1333" spans="1:7" s="250" customFormat="1" x14ac:dyDescent="0.3">
      <c r="A1333" s="251">
        <v>45888</v>
      </c>
      <c r="B1333" s="322" t="s">
        <v>207</v>
      </c>
      <c r="C1333" s="366" t="s">
        <v>17</v>
      </c>
      <c r="D1333" s="293" t="s">
        <v>1130</v>
      </c>
      <c r="E1333" s="344">
        <v>-36835.56</v>
      </c>
      <c r="F1333" s="270" t="s">
        <v>8</v>
      </c>
      <c r="G1333" s="254" t="s">
        <v>46</v>
      </c>
    </row>
    <row r="1334" spans="1:7" s="250" customFormat="1" x14ac:dyDescent="0.3">
      <c r="A1334" s="316">
        <v>45889</v>
      </c>
      <c r="B1334" s="316" t="s">
        <v>207</v>
      </c>
      <c r="C1334" s="293" t="s">
        <v>17</v>
      </c>
      <c r="D1334" s="293" t="s">
        <v>1024</v>
      </c>
      <c r="E1334" s="248">
        <v>-2500</v>
      </c>
      <c r="F1334" s="249" t="s">
        <v>8</v>
      </c>
      <c r="G1334" s="254" t="s">
        <v>381</v>
      </c>
    </row>
    <row r="1335" spans="1:7" s="250" customFormat="1" x14ac:dyDescent="0.3">
      <c r="A1335" s="316">
        <v>45889</v>
      </c>
      <c r="B1335" s="316" t="s">
        <v>207</v>
      </c>
      <c r="C1335" s="293" t="s">
        <v>25</v>
      </c>
      <c r="D1335" s="293" t="s">
        <v>1072</v>
      </c>
      <c r="E1335" s="248">
        <v>-60</v>
      </c>
      <c r="F1335" s="249" t="s">
        <v>8</v>
      </c>
      <c r="G1335" s="254" t="s">
        <v>82</v>
      </c>
    </row>
    <row r="1336" spans="1:7" s="250" customFormat="1" x14ac:dyDescent="0.3">
      <c r="A1336" s="316">
        <v>45889</v>
      </c>
      <c r="B1336" s="316" t="s">
        <v>207</v>
      </c>
      <c r="C1336" s="293" t="s">
        <v>25</v>
      </c>
      <c r="D1336" s="293" t="s">
        <v>1073</v>
      </c>
      <c r="E1336" s="248">
        <v>-123</v>
      </c>
      <c r="F1336" s="249" t="s">
        <v>8</v>
      </c>
      <c r="G1336" s="254" t="s">
        <v>82</v>
      </c>
    </row>
    <row r="1337" spans="1:7" s="250" customFormat="1" x14ac:dyDescent="0.3">
      <c r="A1337" s="316">
        <v>45889</v>
      </c>
      <c r="B1337" s="316" t="s">
        <v>207</v>
      </c>
      <c r="C1337" s="293" t="s">
        <v>32</v>
      </c>
      <c r="D1337" s="293" t="s">
        <v>1074</v>
      </c>
      <c r="E1337" s="248">
        <v>-186.4</v>
      </c>
      <c r="F1337" s="249" t="s">
        <v>8</v>
      </c>
      <c r="G1337" s="254" t="s">
        <v>82</v>
      </c>
    </row>
    <row r="1338" spans="1:7" s="250" customFormat="1" x14ac:dyDescent="0.3">
      <c r="A1338" s="316">
        <v>45889</v>
      </c>
      <c r="B1338" s="316" t="s">
        <v>207</v>
      </c>
      <c r="C1338" s="293" t="s">
        <v>32</v>
      </c>
      <c r="D1338" s="293" t="s">
        <v>1088</v>
      </c>
      <c r="E1338" s="248">
        <v>-166.08</v>
      </c>
      <c r="F1338" s="249" t="s">
        <v>8</v>
      </c>
      <c r="G1338" s="254" t="s">
        <v>386</v>
      </c>
    </row>
    <row r="1339" spans="1:7" s="250" customFormat="1" x14ac:dyDescent="0.3">
      <c r="A1339" s="316">
        <v>45889</v>
      </c>
      <c r="B1339" s="316" t="s">
        <v>207</v>
      </c>
      <c r="C1339" s="293" t="s">
        <v>71</v>
      </c>
      <c r="D1339" s="293" t="s">
        <v>1048</v>
      </c>
      <c r="E1339" s="248">
        <v>-1514.4698490000001</v>
      </c>
      <c r="F1339" s="249" t="s">
        <v>8</v>
      </c>
      <c r="G1339" s="254" t="s">
        <v>82</v>
      </c>
    </row>
    <row r="1340" spans="1:7" s="250" customFormat="1" x14ac:dyDescent="0.3">
      <c r="A1340" s="251">
        <v>45889</v>
      </c>
      <c r="B1340" s="316" t="s">
        <v>207</v>
      </c>
      <c r="C1340" s="293" t="s">
        <v>31</v>
      </c>
      <c r="D1340" s="293" t="s">
        <v>197</v>
      </c>
      <c r="E1340" s="248">
        <v>-1239.92</v>
      </c>
      <c r="F1340" s="255" t="s">
        <v>8</v>
      </c>
      <c r="G1340" s="254" t="s">
        <v>85</v>
      </c>
    </row>
    <row r="1341" spans="1:7" s="250" customFormat="1" x14ac:dyDescent="0.3">
      <c r="A1341" s="251">
        <v>45889</v>
      </c>
      <c r="B1341" s="316" t="s">
        <v>207</v>
      </c>
      <c r="C1341" s="293" t="s">
        <v>6</v>
      </c>
      <c r="D1341" s="293" t="s">
        <v>197</v>
      </c>
      <c r="E1341" s="248">
        <v>-1627.4</v>
      </c>
      <c r="F1341" s="255" t="s">
        <v>8</v>
      </c>
      <c r="G1341" s="254" t="s">
        <v>85</v>
      </c>
    </row>
    <row r="1342" spans="1:7" s="250" customFormat="1" x14ac:dyDescent="0.3">
      <c r="A1342" s="251">
        <v>45889</v>
      </c>
      <c r="B1342" s="316" t="s">
        <v>207</v>
      </c>
      <c r="C1342" s="293" t="s">
        <v>44</v>
      </c>
      <c r="D1342" s="296" t="s">
        <v>197</v>
      </c>
      <c r="E1342" s="248">
        <v>-1162.43</v>
      </c>
      <c r="F1342" s="255" t="s">
        <v>8</v>
      </c>
      <c r="G1342" s="254" t="s">
        <v>85</v>
      </c>
    </row>
    <row r="1343" spans="1:7" s="250" customFormat="1" x14ac:dyDescent="0.3">
      <c r="A1343" s="251">
        <v>45889</v>
      </c>
      <c r="B1343" s="316" t="s">
        <v>207</v>
      </c>
      <c r="C1343" s="293" t="s">
        <v>44</v>
      </c>
      <c r="D1343" s="296" t="s">
        <v>197</v>
      </c>
      <c r="E1343" s="248">
        <v>-3099.8</v>
      </c>
      <c r="F1343" s="255" t="s">
        <v>8</v>
      </c>
      <c r="G1343" s="254" t="s">
        <v>85</v>
      </c>
    </row>
    <row r="1344" spans="1:7" s="250" customFormat="1" x14ac:dyDescent="0.3">
      <c r="A1344" s="251">
        <v>45889</v>
      </c>
      <c r="B1344" s="316" t="s">
        <v>207</v>
      </c>
      <c r="C1344" s="293" t="s">
        <v>25</v>
      </c>
      <c r="D1344" s="293" t="s">
        <v>197</v>
      </c>
      <c r="E1344" s="248">
        <v>-3564.77</v>
      </c>
      <c r="F1344" s="255" t="s">
        <v>8</v>
      </c>
      <c r="G1344" s="254" t="s">
        <v>85</v>
      </c>
    </row>
    <row r="1345" spans="1:7" s="250" customFormat="1" x14ac:dyDescent="0.3">
      <c r="A1345" s="251">
        <v>45889</v>
      </c>
      <c r="B1345" s="316" t="s">
        <v>207</v>
      </c>
      <c r="C1345" s="293" t="s">
        <v>33</v>
      </c>
      <c r="D1345" s="293" t="s">
        <v>197</v>
      </c>
      <c r="E1345" s="248">
        <v>-929.94</v>
      </c>
      <c r="F1345" s="255" t="s">
        <v>8</v>
      </c>
      <c r="G1345" s="254" t="s">
        <v>85</v>
      </c>
    </row>
    <row r="1346" spans="1:7" s="250" customFormat="1" x14ac:dyDescent="0.3">
      <c r="A1346" s="251">
        <v>45889</v>
      </c>
      <c r="B1346" s="316" t="s">
        <v>207</v>
      </c>
      <c r="C1346" s="293" t="s">
        <v>104</v>
      </c>
      <c r="D1346" s="293" t="s">
        <v>197</v>
      </c>
      <c r="E1346" s="248">
        <v>-697.46</v>
      </c>
      <c r="F1346" s="255" t="s">
        <v>8</v>
      </c>
      <c r="G1346" s="254" t="s">
        <v>85</v>
      </c>
    </row>
    <row r="1347" spans="1:7" s="250" customFormat="1" x14ac:dyDescent="0.3">
      <c r="A1347" s="251">
        <v>45889</v>
      </c>
      <c r="B1347" s="316" t="s">
        <v>207</v>
      </c>
      <c r="C1347" s="293" t="s">
        <v>32</v>
      </c>
      <c r="D1347" s="293" t="s">
        <v>197</v>
      </c>
      <c r="E1347" s="248">
        <v>-2479.84</v>
      </c>
      <c r="F1347" s="255" t="s">
        <v>8</v>
      </c>
      <c r="G1347" s="254" t="s">
        <v>85</v>
      </c>
    </row>
    <row r="1348" spans="1:7" s="250" customFormat="1" x14ac:dyDescent="0.3">
      <c r="A1348" s="251">
        <v>45889</v>
      </c>
      <c r="B1348" s="316" t="s">
        <v>207</v>
      </c>
      <c r="C1348" s="293" t="s">
        <v>71</v>
      </c>
      <c r="D1348" s="293" t="s">
        <v>197</v>
      </c>
      <c r="E1348" s="248">
        <v>-1394.91</v>
      </c>
      <c r="F1348" s="255" t="s">
        <v>8</v>
      </c>
      <c r="G1348" s="254" t="s">
        <v>85</v>
      </c>
    </row>
    <row r="1349" spans="1:7" s="250" customFormat="1" x14ac:dyDescent="0.3">
      <c r="A1349" s="251">
        <v>45889</v>
      </c>
      <c r="B1349" s="316" t="s">
        <v>207</v>
      </c>
      <c r="C1349" s="293" t="s">
        <v>17</v>
      </c>
      <c r="D1349" s="293" t="s">
        <v>197</v>
      </c>
      <c r="E1349" s="248">
        <v>-619.96</v>
      </c>
      <c r="F1349" s="255" t="s">
        <v>8</v>
      </c>
      <c r="G1349" s="254" t="s">
        <v>85</v>
      </c>
    </row>
    <row r="1350" spans="1:7" s="139" customFormat="1" x14ac:dyDescent="0.3">
      <c r="A1350" s="100">
        <v>45881</v>
      </c>
      <c r="B1350" s="100" t="s">
        <v>207</v>
      </c>
      <c r="C1350" s="14" t="s">
        <v>31</v>
      </c>
      <c r="D1350" s="14" t="s">
        <v>1011</v>
      </c>
      <c r="E1350" s="240">
        <v>-266</v>
      </c>
      <c r="F1350" s="13" t="s">
        <v>8</v>
      </c>
      <c r="G1350" s="9" t="s">
        <v>82</v>
      </c>
    </row>
    <row r="1351" spans="1:7" s="139" customFormat="1" x14ac:dyDescent="0.3">
      <c r="A1351" s="100">
        <v>45881</v>
      </c>
      <c r="B1351" s="100" t="s">
        <v>207</v>
      </c>
      <c r="C1351" s="14" t="s">
        <v>44</v>
      </c>
      <c r="D1351" s="14" t="s">
        <v>1012</v>
      </c>
      <c r="E1351" s="240">
        <v>-140</v>
      </c>
      <c r="F1351" s="13" t="s">
        <v>8</v>
      </c>
      <c r="G1351" s="9" t="s">
        <v>82</v>
      </c>
    </row>
    <row r="1352" spans="1:7" s="139" customFormat="1" x14ac:dyDescent="0.3">
      <c r="A1352" s="100">
        <v>45881</v>
      </c>
      <c r="B1352" s="100" t="s">
        <v>207</v>
      </c>
      <c r="C1352" s="14" t="s">
        <v>17</v>
      </c>
      <c r="D1352" s="7" t="s">
        <v>1013</v>
      </c>
      <c r="E1352" s="242">
        <v>-114.48</v>
      </c>
      <c r="F1352" s="286" t="s">
        <v>8</v>
      </c>
      <c r="G1352" s="9" t="s">
        <v>75</v>
      </c>
    </row>
    <row r="1353" spans="1:7" s="139" customFormat="1" x14ac:dyDescent="0.3">
      <c r="A1353" s="78">
        <v>45881</v>
      </c>
      <c r="B1353" s="100" t="s">
        <v>207</v>
      </c>
      <c r="C1353" s="6" t="s">
        <v>44</v>
      </c>
      <c r="D1353" s="14" t="s">
        <v>1010</v>
      </c>
      <c r="E1353" s="8">
        <v>-1035.44</v>
      </c>
      <c r="F1353" s="5" t="s">
        <v>8</v>
      </c>
      <c r="G1353" s="148" t="s">
        <v>203</v>
      </c>
    </row>
    <row r="1354" spans="1:7" s="250" customFormat="1" x14ac:dyDescent="0.3">
      <c r="A1354" s="316">
        <v>45889</v>
      </c>
      <c r="B1354" s="316" t="s">
        <v>207</v>
      </c>
      <c r="C1354" s="293" t="s">
        <v>71</v>
      </c>
      <c r="D1354" s="293" t="s">
        <v>1045</v>
      </c>
      <c r="E1354" s="248">
        <v>-1514.4698490000001</v>
      </c>
      <c r="F1354" s="249" t="s">
        <v>8</v>
      </c>
      <c r="G1354" s="254" t="s">
        <v>227</v>
      </c>
    </row>
    <row r="1355" spans="1:7" s="250" customFormat="1" x14ac:dyDescent="0.3">
      <c r="A1355" s="316">
        <v>45889</v>
      </c>
      <c r="B1355" s="316" t="s">
        <v>207</v>
      </c>
      <c r="C1355" s="293" t="s">
        <v>25</v>
      </c>
      <c r="D1355" s="293" t="s">
        <v>1135</v>
      </c>
      <c r="E1355" s="248">
        <v>-62</v>
      </c>
      <c r="F1355" s="255" t="s">
        <v>8</v>
      </c>
      <c r="G1355" s="380" t="s">
        <v>19</v>
      </c>
    </row>
    <row r="1356" spans="1:7" s="250" customFormat="1" x14ac:dyDescent="0.3">
      <c r="A1356" s="316">
        <v>45889</v>
      </c>
      <c r="B1356" s="316" t="s">
        <v>207</v>
      </c>
      <c r="C1356" s="293" t="s">
        <v>25</v>
      </c>
      <c r="D1356" s="293" t="s">
        <v>1137</v>
      </c>
      <c r="E1356" s="248">
        <v>-26</v>
      </c>
      <c r="F1356" s="255" t="s">
        <v>8</v>
      </c>
      <c r="G1356" s="380" t="s">
        <v>19</v>
      </c>
    </row>
    <row r="1357" spans="1:7" s="250" customFormat="1" x14ac:dyDescent="0.3">
      <c r="A1357" s="316">
        <v>45889</v>
      </c>
      <c r="B1357" s="316" t="s">
        <v>207</v>
      </c>
      <c r="C1357" s="293" t="s">
        <v>25</v>
      </c>
      <c r="D1357" s="293" t="s">
        <v>1136</v>
      </c>
      <c r="E1357" s="248">
        <v>-50</v>
      </c>
      <c r="F1357" s="255" t="s">
        <v>8</v>
      </c>
      <c r="G1357" s="380" t="s">
        <v>19</v>
      </c>
    </row>
    <row r="1358" spans="1:7" s="139" customFormat="1" x14ac:dyDescent="0.3">
      <c r="A1358" s="100">
        <v>45882</v>
      </c>
      <c r="B1358" s="100" t="s">
        <v>207</v>
      </c>
      <c r="C1358" s="14" t="s">
        <v>71</v>
      </c>
      <c r="D1358" s="14" t="s">
        <v>1042</v>
      </c>
      <c r="E1358" s="8">
        <v>-115</v>
      </c>
      <c r="F1358" s="13" t="s">
        <v>8</v>
      </c>
      <c r="G1358" s="9" t="s">
        <v>203</v>
      </c>
    </row>
    <row r="1359" spans="1:7" s="139" customFormat="1" x14ac:dyDescent="0.3">
      <c r="A1359" s="100">
        <v>45882</v>
      </c>
      <c r="B1359" s="100" t="s">
        <v>207</v>
      </c>
      <c r="C1359" s="14" t="s">
        <v>25</v>
      </c>
      <c r="D1359" s="14" t="s">
        <v>374</v>
      </c>
      <c r="E1359" s="8">
        <v>-1094.46</v>
      </c>
      <c r="F1359" s="13" t="s">
        <v>8</v>
      </c>
      <c r="G1359" s="9" t="s">
        <v>75</v>
      </c>
    </row>
    <row r="1360" spans="1:7" s="139" customFormat="1" x14ac:dyDescent="0.3">
      <c r="A1360" s="100">
        <v>45882</v>
      </c>
      <c r="B1360" s="100" t="s">
        <v>207</v>
      </c>
      <c r="C1360" s="14" t="s">
        <v>32</v>
      </c>
      <c r="D1360" s="14" t="s">
        <v>1014</v>
      </c>
      <c r="E1360" s="8">
        <v>-1645.12</v>
      </c>
      <c r="F1360" s="13" t="s">
        <v>8</v>
      </c>
      <c r="G1360" s="9" t="s">
        <v>75</v>
      </c>
    </row>
    <row r="1361" spans="1:7" s="139" customFormat="1" x14ac:dyDescent="0.3">
      <c r="A1361" s="100">
        <v>45882</v>
      </c>
      <c r="B1361" s="100" t="s">
        <v>207</v>
      </c>
      <c r="C1361" s="14" t="s">
        <v>31</v>
      </c>
      <c r="D1361" s="14" t="s">
        <v>952</v>
      </c>
      <c r="E1361" s="8">
        <v>-5416.21</v>
      </c>
      <c r="F1361" s="13" t="s">
        <v>8</v>
      </c>
      <c r="G1361" s="9" t="s">
        <v>75</v>
      </c>
    </row>
    <row r="1362" spans="1:7" s="139" customFormat="1" ht="14.4" x14ac:dyDescent="0.3">
      <c r="A1362" s="416">
        <v>45898</v>
      </c>
      <c r="B1362" s="381" t="s">
        <v>207</v>
      </c>
      <c r="C1362" s="425" t="s">
        <v>17</v>
      </c>
      <c r="D1362" s="14" t="s">
        <v>1211</v>
      </c>
      <c r="E1362" s="8">
        <v>-31.81</v>
      </c>
      <c r="F1362" s="421" t="s">
        <v>8</v>
      </c>
      <c r="G1362" s="9" t="s">
        <v>150</v>
      </c>
    </row>
    <row r="1363" spans="1:7" s="139" customFormat="1" ht="14.4" x14ac:dyDescent="0.3">
      <c r="A1363" s="416">
        <v>45898</v>
      </c>
      <c r="B1363" s="381" t="s">
        <v>207</v>
      </c>
      <c r="C1363" s="425" t="s">
        <v>17</v>
      </c>
      <c r="D1363" s="14" t="s">
        <v>1248</v>
      </c>
      <c r="E1363" s="8">
        <v>-69.8</v>
      </c>
      <c r="F1363" s="421" t="s">
        <v>8</v>
      </c>
      <c r="G1363" s="9" t="s">
        <v>150</v>
      </c>
    </row>
    <row r="1364" spans="1:7" s="139" customFormat="1" ht="14.4" x14ac:dyDescent="0.3">
      <c r="A1364" s="416">
        <v>45898</v>
      </c>
      <c r="B1364" s="381" t="s">
        <v>207</v>
      </c>
      <c r="C1364" s="425" t="s">
        <v>17</v>
      </c>
      <c r="D1364" s="14" t="s">
        <v>1249</v>
      </c>
      <c r="E1364" s="8">
        <v>-204.16</v>
      </c>
      <c r="F1364" s="421" t="s">
        <v>8</v>
      </c>
      <c r="G1364" s="9" t="s">
        <v>150</v>
      </c>
    </row>
    <row r="1365" spans="1:7" s="139" customFormat="1" ht="14.4" x14ac:dyDescent="0.3">
      <c r="A1365" s="416">
        <v>45898</v>
      </c>
      <c r="B1365" s="381" t="s">
        <v>207</v>
      </c>
      <c r="C1365" s="425" t="s">
        <v>17</v>
      </c>
      <c r="D1365" s="14" t="s">
        <v>1250</v>
      </c>
      <c r="E1365" s="8">
        <v>-62.28</v>
      </c>
      <c r="F1365" s="421" t="s">
        <v>8</v>
      </c>
      <c r="G1365" s="9" t="s">
        <v>150</v>
      </c>
    </row>
    <row r="1366" spans="1:7" s="250" customFormat="1" ht="14.4" x14ac:dyDescent="0.3">
      <c r="A1366" s="481">
        <v>45898</v>
      </c>
      <c r="B1366" s="436" t="s">
        <v>207</v>
      </c>
      <c r="C1366" s="387" t="s">
        <v>31</v>
      </c>
      <c r="D1366" s="387" t="s">
        <v>1222</v>
      </c>
      <c r="E1366" s="388">
        <v>-149.94999999999999</v>
      </c>
      <c r="F1366" s="477" t="s">
        <v>8</v>
      </c>
      <c r="G1366" s="266" t="s">
        <v>186</v>
      </c>
    </row>
    <row r="1367" spans="1:7" s="250" customFormat="1" x14ac:dyDescent="0.3">
      <c r="A1367" s="251">
        <v>45902</v>
      </c>
      <c r="B1367" s="316" t="s">
        <v>208</v>
      </c>
      <c r="C1367" s="293" t="s">
        <v>44</v>
      </c>
      <c r="D1367" s="293" t="s">
        <v>1295</v>
      </c>
      <c r="E1367" s="248">
        <v>-520</v>
      </c>
      <c r="F1367" s="249" t="s">
        <v>8</v>
      </c>
      <c r="G1367" s="255" t="s">
        <v>227</v>
      </c>
    </row>
    <row r="1368" spans="1:7" s="139" customFormat="1" x14ac:dyDescent="0.3">
      <c r="A1368" s="189">
        <v>45882</v>
      </c>
      <c r="B1368" s="188" t="s">
        <v>207</v>
      </c>
      <c r="C1368" s="194" t="s">
        <v>44</v>
      </c>
      <c r="D1368" s="102" t="s">
        <v>1051</v>
      </c>
      <c r="E1368" s="190">
        <v>-286.75</v>
      </c>
      <c r="F1368" s="197" t="s">
        <v>8</v>
      </c>
      <c r="G1368" s="512" t="s">
        <v>139</v>
      </c>
    </row>
    <row r="1369" spans="1:7" s="250" customFormat="1" x14ac:dyDescent="0.3">
      <c r="A1369" s="316">
        <v>45901</v>
      </c>
      <c r="B1369" s="316" t="s">
        <v>208</v>
      </c>
      <c r="C1369" s="422" t="s">
        <v>6</v>
      </c>
      <c r="D1369" s="300" t="s">
        <v>7</v>
      </c>
      <c r="E1369" s="317">
        <v>-237.82</v>
      </c>
      <c r="F1369" s="249" t="s">
        <v>8</v>
      </c>
      <c r="G1369" s="255" t="s">
        <v>9</v>
      </c>
    </row>
    <row r="1370" spans="1:7" s="250" customFormat="1" x14ac:dyDescent="0.3">
      <c r="A1370" s="316">
        <v>45901</v>
      </c>
      <c r="B1370" s="316" t="s">
        <v>208</v>
      </c>
      <c r="C1370" s="422" t="s">
        <v>6</v>
      </c>
      <c r="D1370" s="300" t="s">
        <v>10</v>
      </c>
      <c r="E1370" s="317">
        <v>-216.58</v>
      </c>
      <c r="F1370" s="249" t="s">
        <v>8</v>
      </c>
      <c r="G1370" s="255" t="s">
        <v>9</v>
      </c>
    </row>
    <row r="1371" spans="1:7" s="250" customFormat="1" x14ac:dyDescent="0.3">
      <c r="A1371" s="316">
        <v>45901</v>
      </c>
      <c r="B1371" s="316" t="s">
        <v>208</v>
      </c>
      <c r="C1371" s="299" t="s">
        <v>6</v>
      </c>
      <c r="D1371" s="300" t="s">
        <v>12</v>
      </c>
      <c r="E1371" s="317">
        <v>-142.61000000000001</v>
      </c>
      <c r="F1371" s="249" t="s">
        <v>8</v>
      </c>
      <c r="G1371" s="255" t="s">
        <v>9</v>
      </c>
    </row>
    <row r="1372" spans="1:7" s="538" customFormat="1" x14ac:dyDescent="0.3">
      <c r="A1372" s="539">
        <v>45912</v>
      </c>
      <c r="B1372" s="539" t="s">
        <v>208</v>
      </c>
      <c r="C1372" s="549" t="s">
        <v>13</v>
      </c>
      <c r="D1372" s="550" t="s">
        <v>14</v>
      </c>
      <c r="E1372" s="547">
        <v>-1500</v>
      </c>
      <c r="F1372" s="540" t="s">
        <v>8</v>
      </c>
      <c r="G1372" s="548" t="s">
        <v>15</v>
      </c>
    </row>
    <row r="1373" spans="1:7" s="250" customFormat="1" x14ac:dyDescent="0.3">
      <c r="A1373" s="316">
        <v>45904</v>
      </c>
      <c r="B1373" s="316" t="s">
        <v>208</v>
      </c>
      <c r="C1373" s="299" t="s">
        <v>13</v>
      </c>
      <c r="D1373" s="300" t="s">
        <v>480</v>
      </c>
      <c r="E1373" s="317">
        <v>-1500</v>
      </c>
      <c r="F1373" s="249" t="s">
        <v>8</v>
      </c>
      <c r="G1373" s="255" t="s">
        <v>15</v>
      </c>
    </row>
    <row r="1374" spans="1:7" s="447" customFormat="1" x14ac:dyDescent="0.3">
      <c r="A1374" s="443">
        <v>45905</v>
      </c>
      <c r="B1374" s="443" t="s">
        <v>208</v>
      </c>
      <c r="C1374" s="444" t="s">
        <v>44</v>
      </c>
      <c r="D1374" s="445" t="s">
        <v>1334</v>
      </c>
      <c r="E1374" s="518">
        <v>10000</v>
      </c>
      <c r="F1374" s="446" t="s">
        <v>161</v>
      </c>
      <c r="G1374" s="363" t="s">
        <v>46</v>
      </c>
    </row>
    <row r="1375" spans="1:7" s="250" customFormat="1" x14ac:dyDescent="0.3">
      <c r="A1375" s="316">
        <v>45905</v>
      </c>
      <c r="B1375" s="316" t="s">
        <v>208</v>
      </c>
      <c r="C1375" s="299" t="s">
        <v>17</v>
      </c>
      <c r="D1375" s="300" t="s">
        <v>18</v>
      </c>
      <c r="E1375" s="319">
        <v>-17235</v>
      </c>
      <c r="F1375" s="249" t="s">
        <v>8</v>
      </c>
      <c r="G1375" s="255" t="s">
        <v>19</v>
      </c>
    </row>
    <row r="1376" spans="1:7" s="250" customFormat="1" x14ac:dyDescent="0.3">
      <c r="A1376" s="316">
        <v>45902</v>
      </c>
      <c r="B1376" s="316" t="s">
        <v>208</v>
      </c>
      <c r="C1376" s="293" t="s">
        <v>71</v>
      </c>
      <c r="D1376" s="293" t="s">
        <v>1050</v>
      </c>
      <c r="E1376" s="248">
        <v>-2592.66</v>
      </c>
      <c r="F1376" s="249" t="s">
        <v>8</v>
      </c>
      <c r="G1376" s="255" t="s">
        <v>227</v>
      </c>
    </row>
    <row r="1377" spans="1:7" s="250" customFormat="1" x14ac:dyDescent="0.3">
      <c r="A1377" s="316">
        <v>45902</v>
      </c>
      <c r="B1377" s="316" t="s">
        <v>208</v>
      </c>
      <c r="C1377" s="293" t="s">
        <v>71</v>
      </c>
      <c r="D1377" s="293" t="s">
        <v>1296</v>
      </c>
      <c r="E1377" s="248">
        <v>-809.45</v>
      </c>
      <c r="F1377" s="249" t="s">
        <v>8</v>
      </c>
      <c r="G1377" s="255" t="s">
        <v>227</v>
      </c>
    </row>
    <row r="1378" spans="1:7" s="250" customFormat="1" x14ac:dyDescent="0.3">
      <c r="A1378" s="316">
        <v>45902</v>
      </c>
      <c r="B1378" s="316" t="s">
        <v>208</v>
      </c>
      <c r="C1378" s="293" t="s">
        <v>31</v>
      </c>
      <c r="D1378" s="293" t="s">
        <v>1274</v>
      </c>
      <c r="E1378" s="248">
        <v>-196.87</v>
      </c>
      <c r="F1378" s="249" t="s">
        <v>8</v>
      </c>
      <c r="G1378" s="374" t="s">
        <v>124</v>
      </c>
    </row>
    <row r="1379" spans="1:7" s="250" customFormat="1" x14ac:dyDescent="0.3">
      <c r="A1379" s="316">
        <v>45902</v>
      </c>
      <c r="B1379" s="316" t="s">
        <v>208</v>
      </c>
      <c r="C1379" s="293" t="s">
        <v>31</v>
      </c>
      <c r="D1379" s="293" t="s">
        <v>1275</v>
      </c>
      <c r="E1379" s="248">
        <v>-195.68</v>
      </c>
      <c r="F1379" s="249" t="s">
        <v>8</v>
      </c>
      <c r="G1379" s="374" t="s">
        <v>124</v>
      </c>
    </row>
    <row r="1380" spans="1:7" s="250" customFormat="1" x14ac:dyDescent="0.3">
      <c r="A1380" s="316">
        <v>45902</v>
      </c>
      <c r="B1380" s="316" t="s">
        <v>208</v>
      </c>
      <c r="C1380" s="293" t="s">
        <v>44</v>
      </c>
      <c r="D1380" s="293" t="s">
        <v>1294</v>
      </c>
      <c r="E1380" s="248">
        <v>-307.5</v>
      </c>
      <c r="F1380" s="249" t="s">
        <v>8</v>
      </c>
      <c r="G1380" s="254" t="s">
        <v>82</v>
      </c>
    </row>
    <row r="1381" spans="1:7" s="250" customFormat="1" x14ac:dyDescent="0.3">
      <c r="A1381" s="316">
        <v>45902</v>
      </c>
      <c r="B1381" s="316" t="s">
        <v>208</v>
      </c>
      <c r="C1381" s="293" t="s">
        <v>104</v>
      </c>
      <c r="D1381" s="293" t="s">
        <v>1055</v>
      </c>
      <c r="E1381" s="248">
        <v>-80</v>
      </c>
      <c r="F1381" s="249" t="s">
        <v>8</v>
      </c>
      <c r="G1381" s="254" t="s">
        <v>82</v>
      </c>
    </row>
    <row r="1382" spans="1:7" s="250" customFormat="1" x14ac:dyDescent="0.3">
      <c r="A1382" s="316">
        <v>45902</v>
      </c>
      <c r="B1382" s="316" t="s">
        <v>208</v>
      </c>
      <c r="C1382" s="252" t="s">
        <v>20</v>
      </c>
      <c r="D1382" s="253" t="s">
        <v>21</v>
      </c>
      <c r="E1382" s="317">
        <v>-669.22</v>
      </c>
      <c r="F1382" s="249" t="s">
        <v>8</v>
      </c>
      <c r="G1382" s="255" t="s">
        <v>22</v>
      </c>
    </row>
    <row r="1383" spans="1:7" s="250" customFormat="1" x14ac:dyDescent="0.3">
      <c r="A1383" s="316">
        <v>45903</v>
      </c>
      <c r="B1383" s="316" t="s">
        <v>208</v>
      </c>
      <c r="C1383" s="293" t="s">
        <v>44</v>
      </c>
      <c r="D1383" s="293" t="s">
        <v>1302</v>
      </c>
      <c r="E1383" s="248">
        <v>-210.65</v>
      </c>
      <c r="F1383" s="249" t="s">
        <v>8</v>
      </c>
      <c r="G1383" s="255" t="s">
        <v>203</v>
      </c>
    </row>
    <row r="1384" spans="1:7" s="250" customFormat="1" x14ac:dyDescent="0.3">
      <c r="A1384" s="316">
        <v>45903</v>
      </c>
      <c r="B1384" s="316" t="s">
        <v>208</v>
      </c>
      <c r="C1384" s="293" t="s">
        <v>25</v>
      </c>
      <c r="D1384" s="293" t="s">
        <v>1276</v>
      </c>
      <c r="E1384" s="248">
        <v>-225.3</v>
      </c>
      <c r="F1384" s="249" t="s">
        <v>8</v>
      </c>
      <c r="G1384" s="254" t="s">
        <v>82</v>
      </c>
    </row>
    <row r="1385" spans="1:7" s="250" customFormat="1" x14ac:dyDescent="0.3">
      <c r="A1385" s="316">
        <v>45903</v>
      </c>
      <c r="B1385" s="316" t="s">
        <v>208</v>
      </c>
      <c r="C1385" s="293" t="s">
        <v>25</v>
      </c>
      <c r="D1385" s="293" t="s">
        <v>695</v>
      </c>
      <c r="E1385" s="248">
        <v>-171.7</v>
      </c>
      <c r="F1385" s="249" t="s">
        <v>8</v>
      </c>
      <c r="G1385" s="254" t="s">
        <v>82</v>
      </c>
    </row>
    <row r="1386" spans="1:7" s="250" customFormat="1" x14ac:dyDescent="0.3">
      <c r="A1386" s="316">
        <v>45903</v>
      </c>
      <c r="B1386" s="316" t="s">
        <v>208</v>
      </c>
      <c r="C1386" s="293" t="s">
        <v>32</v>
      </c>
      <c r="D1386" s="293" t="s">
        <v>1271</v>
      </c>
      <c r="E1386" s="248">
        <v>-186.04</v>
      </c>
      <c r="F1386" s="249" t="s">
        <v>8</v>
      </c>
      <c r="G1386" s="254" t="s">
        <v>82</v>
      </c>
    </row>
    <row r="1387" spans="1:7" s="250" customFormat="1" x14ac:dyDescent="0.3">
      <c r="A1387" s="316">
        <v>45903</v>
      </c>
      <c r="B1387" s="316" t="s">
        <v>208</v>
      </c>
      <c r="C1387" s="293" t="s">
        <v>71</v>
      </c>
      <c r="D1387" s="293" t="s">
        <v>1207</v>
      </c>
      <c r="E1387" s="248">
        <v>-140</v>
      </c>
      <c r="F1387" s="249" t="s">
        <v>8</v>
      </c>
      <c r="G1387" s="254" t="s">
        <v>82</v>
      </c>
    </row>
    <row r="1388" spans="1:7" s="139" customFormat="1" x14ac:dyDescent="0.3">
      <c r="A1388" s="100">
        <v>45903</v>
      </c>
      <c r="B1388" s="100" t="s">
        <v>208</v>
      </c>
      <c r="C1388" s="14" t="s">
        <v>6</v>
      </c>
      <c r="D1388" s="14" t="s">
        <v>1297</v>
      </c>
      <c r="E1388" s="8">
        <v>-264</v>
      </c>
      <c r="F1388" s="13" t="s">
        <v>8</v>
      </c>
      <c r="G1388" s="448" t="s">
        <v>82</v>
      </c>
    </row>
    <row r="1389" spans="1:7" s="250" customFormat="1" x14ac:dyDescent="0.3">
      <c r="A1389" s="316">
        <v>45903</v>
      </c>
      <c r="B1389" s="316" t="s">
        <v>208</v>
      </c>
      <c r="C1389" s="293" t="s">
        <v>25</v>
      </c>
      <c r="D1389" s="293" t="s">
        <v>1298</v>
      </c>
      <c r="E1389" s="248">
        <v>-86.1</v>
      </c>
      <c r="F1389" s="249" t="s">
        <v>8</v>
      </c>
      <c r="G1389" s="254" t="s">
        <v>82</v>
      </c>
    </row>
    <row r="1390" spans="1:7" s="139" customFormat="1" x14ac:dyDescent="0.3">
      <c r="A1390" s="100">
        <v>45903</v>
      </c>
      <c r="B1390" s="100" t="s">
        <v>208</v>
      </c>
      <c r="C1390" s="14" t="s">
        <v>25</v>
      </c>
      <c r="D1390" s="14" t="s">
        <v>1142</v>
      </c>
      <c r="E1390" s="8">
        <v>-86.1</v>
      </c>
      <c r="F1390" s="13" t="s">
        <v>8</v>
      </c>
      <c r="G1390" s="448" t="s">
        <v>82</v>
      </c>
    </row>
    <row r="1391" spans="1:7" s="250" customFormat="1" x14ac:dyDescent="0.3">
      <c r="A1391" s="316">
        <v>45903</v>
      </c>
      <c r="B1391" s="316" t="s">
        <v>208</v>
      </c>
      <c r="C1391" s="293" t="s">
        <v>33</v>
      </c>
      <c r="D1391" s="293" t="s">
        <v>1299</v>
      </c>
      <c r="E1391" s="248">
        <v>-274</v>
      </c>
      <c r="F1391" s="249" t="s">
        <v>8</v>
      </c>
      <c r="G1391" s="254" t="s">
        <v>82</v>
      </c>
    </row>
    <row r="1392" spans="1:7" s="250" customFormat="1" x14ac:dyDescent="0.3">
      <c r="A1392" s="316">
        <v>45903</v>
      </c>
      <c r="B1392" s="316" t="s">
        <v>208</v>
      </c>
      <c r="C1392" s="293" t="s">
        <v>17</v>
      </c>
      <c r="D1392" s="293" t="s">
        <v>376</v>
      </c>
      <c r="E1392" s="248">
        <v>-177</v>
      </c>
      <c r="F1392" s="249" t="s">
        <v>8</v>
      </c>
      <c r="G1392" s="254" t="s">
        <v>97</v>
      </c>
    </row>
    <row r="1393" spans="1:7" s="250" customFormat="1" x14ac:dyDescent="0.3">
      <c r="A1393" s="316">
        <v>45903</v>
      </c>
      <c r="B1393" s="316" t="s">
        <v>208</v>
      </c>
      <c r="C1393" s="293" t="s">
        <v>17</v>
      </c>
      <c r="D1393" s="293" t="s">
        <v>1300</v>
      </c>
      <c r="E1393" s="248">
        <v>-145.32</v>
      </c>
      <c r="F1393" s="249" t="s">
        <v>8</v>
      </c>
      <c r="G1393" s="254" t="s">
        <v>386</v>
      </c>
    </row>
    <row r="1394" spans="1:7" s="250" customFormat="1" x14ac:dyDescent="0.3">
      <c r="A1394" s="316">
        <v>45903</v>
      </c>
      <c r="B1394" s="316" t="s">
        <v>208</v>
      </c>
      <c r="C1394" s="293" t="s">
        <v>44</v>
      </c>
      <c r="D1394" s="293" t="s">
        <v>1301</v>
      </c>
      <c r="E1394" s="248">
        <v>-3135.73</v>
      </c>
      <c r="F1394" s="249" t="s">
        <v>8</v>
      </c>
      <c r="G1394" s="254" t="s">
        <v>227</v>
      </c>
    </row>
    <row r="1395" spans="1:7" s="250" customFormat="1" x14ac:dyDescent="0.3">
      <c r="A1395" s="316">
        <v>45904</v>
      </c>
      <c r="B1395" s="316" t="s">
        <v>208</v>
      </c>
      <c r="C1395" s="293" t="s">
        <v>44</v>
      </c>
      <c r="D1395" s="293" t="s">
        <v>443</v>
      </c>
      <c r="E1395" s="248">
        <v>-342.12</v>
      </c>
      <c r="F1395" s="249" t="s">
        <v>8</v>
      </c>
      <c r="G1395" s="254" t="s">
        <v>22</v>
      </c>
    </row>
    <row r="1396" spans="1:7" s="250" customFormat="1" x14ac:dyDescent="0.3">
      <c r="A1396" s="316">
        <v>45904</v>
      </c>
      <c r="B1396" s="316" t="s">
        <v>208</v>
      </c>
      <c r="C1396" s="293" t="s">
        <v>44</v>
      </c>
      <c r="D1396" s="293" t="s">
        <v>1303</v>
      </c>
      <c r="E1396" s="248">
        <v>-78.150000000000006</v>
      </c>
      <c r="F1396" s="249" t="s">
        <v>8</v>
      </c>
      <c r="G1396" s="254" t="s">
        <v>22</v>
      </c>
    </row>
    <row r="1397" spans="1:7" s="250" customFormat="1" x14ac:dyDescent="0.3">
      <c r="A1397" s="316">
        <v>45904</v>
      </c>
      <c r="B1397" s="316" t="s">
        <v>208</v>
      </c>
      <c r="C1397" s="422" t="s">
        <v>6</v>
      </c>
      <c r="D1397" s="300" t="s">
        <v>23</v>
      </c>
      <c r="E1397" s="317">
        <v>-3809.98</v>
      </c>
      <c r="F1397" s="249" t="s">
        <v>8</v>
      </c>
      <c r="G1397" s="255" t="s">
        <v>24</v>
      </c>
    </row>
    <row r="1398" spans="1:7" s="250" customFormat="1" x14ac:dyDescent="0.3">
      <c r="A1398" s="316">
        <v>45904</v>
      </c>
      <c r="B1398" s="316" t="s">
        <v>208</v>
      </c>
      <c r="C1398" s="299" t="s">
        <v>25</v>
      </c>
      <c r="D1398" s="300" t="s">
        <v>28</v>
      </c>
      <c r="E1398" s="317">
        <v>-389</v>
      </c>
      <c r="F1398" s="249" t="s">
        <v>8</v>
      </c>
      <c r="G1398" s="255" t="s">
        <v>29</v>
      </c>
    </row>
    <row r="1399" spans="1:7" s="250" customFormat="1" x14ac:dyDescent="0.3">
      <c r="A1399" s="316">
        <v>45904</v>
      </c>
      <c r="B1399" s="316" t="s">
        <v>208</v>
      </c>
      <c r="C1399" s="299" t="s">
        <v>32</v>
      </c>
      <c r="D1399" s="300" t="s">
        <v>28</v>
      </c>
      <c r="E1399" s="317">
        <v>-389</v>
      </c>
      <c r="F1399" s="249" t="s">
        <v>8</v>
      </c>
      <c r="G1399" s="255" t="s">
        <v>29</v>
      </c>
    </row>
    <row r="1400" spans="1:7" s="250" customFormat="1" x14ac:dyDescent="0.3">
      <c r="A1400" s="316">
        <v>45904</v>
      </c>
      <c r="B1400" s="316" t="s">
        <v>208</v>
      </c>
      <c r="C1400" s="299" t="s">
        <v>33</v>
      </c>
      <c r="D1400" s="300" t="s">
        <v>28</v>
      </c>
      <c r="E1400" s="317">
        <v>-389</v>
      </c>
      <c r="F1400" s="249" t="s">
        <v>8</v>
      </c>
      <c r="G1400" s="255" t="s">
        <v>29</v>
      </c>
    </row>
    <row r="1401" spans="1:7" s="250" customFormat="1" x14ac:dyDescent="0.3">
      <c r="A1401" s="316">
        <v>45904</v>
      </c>
      <c r="B1401" s="316" t="s">
        <v>208</v>
      </c>
      <c r="C1401" s="293" t="s">
        <v>25</v>
      </c>
      <c r="D1401" s="293" t="s">
        <v>753</v>
      </c>
      <c r="E1401" s="248">
        <v>-319.8</v>
      </c>
      <c r="F1401" s="249" t="s">
        <v>8</v>
      </c>
      <c r="G1401" s="254" t="s">
        <v>82</v>
      </c>
    </row>
    <row r="1402" spans="1:7" s="250" customFormat="1" x14ac:dyDescent="0.3">
      <c r="A1402" s="316">
        <v>45904</v>
      </c>
      <c r="B1402" s="316" t="s">
        <v>208</v>
      </c>
      <c r="C1402" s="293" t="s">
        <v>25</v>
      </c>
      <c r="D1402" s="293" t="s">
        <v>1305</v>
      </c>
      <c r="E1402" s="248">
        <v>-117.6</v>
      </c>
      <c r="F1402" s="249" t="s">
        <v>8</v>
      </c>
      <c r="G1402" s="254" t="s">
        <v>82</v>
      </c>
    </row>
    <row r="1403" spans="1:7" s="250" customFormat="1" x14ac:dyDescent="0.3">
      <c r="A1403" s="316">
        <v>45904</v>
      </c>
      <c r="B1403" s="316" t="s">
        <v>208</v>
      </c>
      <c r="C1403" s="293" t="s">
        <v>25</v>
      </c>
      <c r="D1403" s="293" t="s">
        <v>1306</v>
      </c>
      <c r="E1403" s="248">
        <v>-177</v>
      </c>
      <c r="F1403" s="249" t="s">
        <v>8</v>
      </c>
      <c r="G1403" s="254" t="s">
        <v>82</v>
      </c>
    </row>
    <row r="1404" spans="1:7" s="250" customFormat="1" x14ac:dyDescent="0.3">
      <c r="A1404" s="316">
        <v>45904</v>
      </c>
      <c r="B1404" s="316" t="s">
        <v>208</v>
      </c>
      <c r="C1404" s="293" t="s">
        <v>104</v>
      </c>
      <c r="D1404" s="293" t="s">
        <v>1307</v>
      </c>
      <c r="E1404" s="248">
        <v>-140</v>
      </c>
      <c r="F1404" s="249" t="s">
        <v>8</v>
      </c>
      <c r="G1404" s="254" t="s">
        <v>82</v>
      </c>
    </row>
    <row r="1405" spans="1:7" s="250" customFormat="1" x14ac:dyDescent="0.3">
      <c r="A1405" s="316">
        <v>45904</v>
      </c>
      <c r="B1405" s="316" t="s">
        <v>208</v>
      </c>
      <c r="C1405" s="293" t="s">
        <v>71</v>
      </c>
      <c r="D1405" s="300" t="s">
        <v>1304</v>
      </c>
      <c r="E1405" s="317">
        <v>-131</v>
      </c>
      <c r="F1405" s="249" t="s">
        <v>8</v>
      </c>
      <c r="G1405" s="255" t="s">
        <v>27</v>
      </c>
    </row>
    <row r="1406" spans="1:7" s="250" customFormat="1" x14ac:dyDescent="0.3">
      <c r="A1406" s="316">
        <v>45904</v>
      </c>
      <c r="B1406" s="316" t="s">
        <v>208</v>
      </c>
      <c r="C1406" s="293" t="s">
        <v>44</v>
      </c>
      <c r="D1406" s="293" t="s">
        <v>1308</v>
      </c>
      <c r="E1406" s="248">
        <v>-9520.32</v>
      </c>
      <c r="F1406" s="249" t="s">
        <v>8</v>
      </c>
      <c r="G1406" s="254" t="s">
        <v>227</v>
      </c>
    </row>
    <row r="1407" spans="1:7" s="250" customFormat="1" x14ac:dyDescent="0.3">
      <c r="A1407" s="316">
        <v>45905</v>
      </c>
      <c r="B1407" s="316" t="s">
        <v>208</v>
      </c>
      <c r="C1407" s="293" t="s">
        <v>44</v>
      </c>
      <c r="D1407" s="293" t="s">
        <v>387</v>
      </c>
      <c r="E1407" s="248">
        <v>-215.21</v>
      </c>
      <c r="F1407" s="249" t="s">
        <v>8</v>
      </c>
      <c r="G1407" s="255" t="s">
        <v>37</v>
      </c>
    </row>
    <row r="1408" spans="1:7" s="250" customFormat="1" x14ac:dyDescent="0.3">
      <c r="A1408" s="316">
        <v>45905</v>
      </c>
      <c r="B1408" s="316" t="s">
        <v>208</v>
      </c>
      <c r="C1408" s="293" t="s">
        <v>104</v>
      </c>
      <c r="D1408" s="293" t="s">
        <v>387</v>
      </c>
      <c r="E1408" s="248">
        <v>-376.91</v>
      </c>
      <c r="F1408" s="249" t="s">
        <v>8</v>
      </c>
      <c r="G1408" s="255" t="s">
        <v>37</v>
      </c>
    </row>
    <row r="1409" spans="1:7" s="250" customFormat="1" x14ac:dyDescent="0.3">
      <c r="A1409" s="316">
        <v>45908</v>
      </c>
      <c r="B1409" s="316" t="s">
        <v>207</v>
      </c>
      <c r="C1409" s="293" t="s">
        <v>17</v>
      </c>
      <c r="D1409" s="293" t="s">
        <v>385</v>
      </c>
      <c r="E1409" s="248">
        <v>-643.76</v>
      </c>
      <c r="F1409" s="249" t="s">
        <v>8</v>
      </c>
      <c r="G1409" s="254" t="s">
        <v>19</v>
      </c>
    </row>
    <row r="1410" spans="1:7" s="250" customFormat="1" x14ac:dyDescent="0.3">
      <c r="A1410" s="316">
        <v>45908</v>
      </c>
      <c r="B1410" s="316" t="s">
        <v>208</v>
      </c>
      <c r="C1410" s="293" t="s">
        <v>25</v>
      </c>
      <c r="D1410" s="293" t="s">
        <v>1091</v>
      </c>
      <c r="E1410" s="248">
        <v>-5600</v>
      </c>
      <c r="F1410" s="249" t="s">
        <v>8</v>
      </c>
      <c r="G1410" s="255" t="s">
        <v>186</v>
      </c>
    </row>
    <row r="1411" spans="1:7" s="250" customFormat="1" x14ac:dyDescent="0.3">
      <c r="A1411" s="316">
        <v>45908</v>
      </c>
      <c r="B1411" s="316" t="s">
        <v>208</v>
      </c>
      <c r="C1411" s="293" t="s">
        <v>71</v>
      </c>
      <c r="D1411" s="293" t="s">
        <v>1092</v>
      </c>
      <c r="E1411" s="248">
        <v>-1000</v>
      </c>
      <c r="F1411" s="249" t="s">
        <v>8</v>
      </c>
      <c r="G1411" s="255" t="s">
        <v>186</v>
      </c>
    </row>
    <row r="1412" spans="1:7" s="250" customFormat="1" x14ac:dyDescent="0.3">
      <c r="A1412" s="316">
        <v>45908</v>
      </c>
      <c r="B1412" s="316" t="s">
        <v>208</v>
      </c>
      <c r="C1412" s="293" t="s">
        <v>17</v>
      </c>
      <c r="D1412" s="293" t="s">
        <v>1145</v>
      </c>
      <c r="E1412" s="248">
        <v>-1000</v>
      </c>
      <c r="F1412" s="249" t="s">
        <v>8</v>
      </c>
      <c r="G1412" s="255" t="s">
        <v>186</v>
      </c>
    </row>
    <row r="1413" spans="1:7" s="250" customFormat="1" x14ac:dyDescent="0.3">
      <c r="A1413" s="316">
        <v>45908</v>
      </c>
      <c r="B1413" s="316" t="s">
        <v>208</v>
      </c>
      <c r="C1413" s="293" t="s">
        <v>17</v>
      </c>
      <c r="D1413" s="293" t="s">
        <v>447</v>
      </c>
      <c r="E1413" s="248">
        <v>-318.8</v>
      </c>
      <c r="F1413" s="249" t="s">
        <v>8</v>
      </c>
      <c r="G1413" s="254" t="s">
        <v>75</v>
      </c>
    </row>
    <row r="1414" spans="1:7" s="250" customFormat="1" x14ac:dyDescent="0.3">
      <c r="A1414" s="316">
        <v>45908</v>
      </c>
      <c r="B1414" s="316" t="s">
        <v>208</v>
      </c>
      <c r="C1414" s="293" t="s">
        <v>17</v>
      </c>
      <c r="D1414" s="293" t="s">
        <v>1273</v>
      </c>
      <c r="E1414" s="248">
        <v>-1470</v>
      </c>
      <c r="F1414" s="249" t="s">
        <v>8</v>
      </c>
      <c r="G1414" s="254" t="s">
        <v>1316</v>
      </c>
    </row>
    <row r="1415" spans="1:7" s="250" customFormat="1" x14ac:dyDescent="0.3">
      <c r="A1415" s="316">
        <v>45908</v>
      </c>
      <c r="B1415" s="316" t="s">
        <v>208</v>
      </c>
      <c r="C1415" s="293" t="s">
        <v>17</v>
      </c>
      <c r="D1415" s="293" t="s">
        <v>389</v>
      </c>
      <c r="E1415" s="248">
        <v>-59.34</v>
      </c>
      <c r="F1415" s="249" t="s">
        <v>8</v>
      </c>
      <c r="G1415" s="255" t="s">
        <v>139</v>
      </c>
    </row>
    <row r="1416" spans="1:7" s="250" customFormat="1" x14ac:dyDescent="0.3">
      <c r="A1416" s="316">
        <v>45908</v>
      </c>
      <c r="B1416" s="316" t="s">
        <v>208</v>
      </c>
      <c r="C1416" s="252" t="s">
        <v>31</v>
      </c>
      <c r="D1416" s="253" t="s">
        <v>38</v>
      </c>
      <c r="E1416" s="317">
        <v>-701.1</v>
      </c>
      <c r="F1416" s="249" t="s">
        <v>8</v>
      </c>
      <c r="G1416" s="254" t="s">
        <v>39</v>
      </c>
    </row>
    <row r="1417" spans="1:7" s="250" customFormat="1" x14ac:dyDescent="0.3">
      <c r="A1417" s="316">
        <v>45905</v>
      </c>
      <c r="B1417" s="316" t="s">
        <v>208</v>
      </c>
      <c r="C1417" s="299" t="s">
        <v>6</v>
      </c>
      <c r="D1417" s="300" t="s">
        <v>40</v>
      </c>
      <c r="E1417" s="319">
        <v>-461722.54</v>
      </c>
      <c r="F1417" s="249" t="s">
        <v>8</v>
      </c>
      <c r="G1417" s="255" t="s">
        <v>41</v>
      </c>
    </row>
    <row r="1418" spans="1:7" s="250" customFormat="1" x14ac:dyDescent="0.3">
      <c r="A1418" s="316">
        <v>45905</v>
      </c>
      <c r="B1418" s="316" t="s">
        <v>208</v>
      </c>
      <c r="C1418" s="299" t="s">
        <v>6</v>
      </c>
      <c r="D1418" s="300" t="s">
        <v>42</v>
      </c>
      <c r="E1418" s="317">
        <v>-500</v>
      </c>
      <c r="F1418" s="249" t="s">
        <v>8</v>
      </c>
      <c r="G1418" s="255" t="s">
        <v>41</v>
      </c>
    </row>
    <row r="1419" spans="1:7" s="250" customFormat="1" x14ac:dyDescent="0.3">
      <c r="A1419" s="316">
        <v>45905</v>
      </c>
      <c r="B1419" s="316" t="s">
        <v>208</v>
      </c>
      <c r="C1419" s="299" t="s">
        <v>6</v>
      </c>
      <c r="D1419" s="300" t="s">
        <v>1315</v>
      </c>
      <c r="E1419" s="317">
        <v>-1500</v>
      </c>
      <c r="F1419" s="249" t="s">
        <v>8</v>
      </c>
      <c r="G1419" s="255" t="s">
        <v>41</v>
      </c>
    </row>
    <row r="1420" spans="1:7" s="250" customFormat="1" x14ac:dyDescent="0.3">
      <c r="A1420" s="316">
        <v>45905</v>
      </c>
      <c r="B1420" s="316" t="s">
        <v>208</v>
      </c>
      <c r="C1420" s="299" t="s">
        <v>6</v>
      </c>
      <c r="D1420" s="300" t="s">
        <v>702</v>
      </c>
      <c r="E1420" s="248">
        <v>-1974.52</v>
      </c>
      <c r="F1420" s="249" t="s">
        <v>8</v>
      </c>
      <c r="G1420" s="255" t="s">
        <v>41</v>
      </c>
    </row>
    <row r="1421" spans="1:7" s="250" customFormat="1" x14ac:dyDescent="0.3">
      <c r="A1421" s="316">
        <v>45917</v>
      </c>
      <c r="B1421" s="316" t="s">
        <v>208</v>
      </c>
      <c r="C1421" s="252" t="s">
        <v>44</v>
      </c>
      <c r="D1421" s="253" t="s">
        <v>209</v>
      </c>
      <c r="E1421" s="248">
        <v>-5811.41</v>
      </c>
      <c r="F1421" s="249" t="s">
        <v>8</v>
      </c>
      <c r="G1421" s="254" t="s">
        <v>46</v>
      </c>
    </row>
    <row r="1422" spans="1:7" s="250" customFormat="1" x14ac:dyDescent="0.3">
      <c r="A1422" s="316">
        <v>45905</v>
      </c>
      <c r="B1422" s="316" t="s">
        <v>208</v>
      </c>
      <c r="C1422" s="293" t="s">
        <v>44</v>
      </c>
      <c r="D1422" s="293" t="s">
        <v>1313</v>
      </c>
      <c r="E1422" s="248">
        <v>-480</v>
      </c>
      <c r="F1422" s="249" t="s">
        <v>8</v>
      </c>
      <c r="G1422" s="254" t="s">
        <v>227</v>
      </c>
    </row>
    <row r="1423" spans="1:7" s="250" customFormat="1" x14ac:dyDescent="0.3">
      <c r="A1423" s="316">
        <v>45905</v>
      </c>
      <c r="B1423" s="316" t="s">
        <v>208</v>
      </c>
      <c r="C1423" s="293" t="s">
        <v>44</v>
      </c>
      <c r="D1423" s="293" t="s">
        <v>1314</v>
      </c>
      <c r="E1423" s="248">
        <v>-531</v>
      </c>
      <c r="F1423" s="249" t="s">
        <v>8</v>
      </c>
      <c r="G1423" s="254" t="s">
        <v>227</v>
      </c>
    </row>
    <row r="1424" spans="1:7" s="250" customFormat="1" x14ac:dyDescent="0.3">
      <c r="A1424" s="316">
        <v>45905</v>
      </c>
      <c r="B1424" s="316" t="s">
        <v>208</v>
      </c>
      <c r="C1424" s="293" t="s">
        <v>17</v>
      </c>
      <c r="D1424" s="293" t="s">
        <v>201</v>
      </c>
      <c r="E1424" s="248">
        <v>-304.5</v>
      </c>
      <c r="F1424" s="249" t="s">
        <v>8</v>
      </c>
      <c r="G1424" s="254" t="s">
        <v>139</v>
      </c>
    </row>
    <row r="1425" spans="1:7" s="250" customFormat="1" x14ac:dyDescent="0.3">
      <c r="A1425" s="316">
        <v>45908</v>
      </c>
      <c r="B1425" s="316" t="s">
        <v>208</v>
      </c>
      <c r="C1425" s="252" t="s">
        <v>13</v>
      </c>
      <c r="D1425" s="300" t="s">
        <v>47</v>
      </c>
      <c r="E1425" s="317">
        <v>-6740</v>
      </c>
      <c r="F1425" s="249" t="s">
        <v>8</v>
      </c>
      <c r="G1425" s="255" t="s">
        <v>27</v>
      </c>
    </row>
    <row r="1426" spans="1:7" s="538" customFormat="1" x14ac:dyDescent="0.3">
      <c r="A1426" s="539">
        <v>45916</v>
      </c>
      <c r="B1426" s="539" t="s">
        <v>208</v>
      </c>
      <c r="C1426" s="549" t="s">
        <v>17</v>
      </c>
      <c r="D1426" s="550" t="s">
        <v>18</v>
      </c>
      <c r="E1426" s="568">
        <v>-17235</v>
      </c>
      <c r="F1426" s="540" t="s">
        <v>8</v>
      </c>
      <c r="G1426" s="548" t="s">
        <v>19</v>
      </c>
    </row>
    <row r="1427" spans="1:7" s="250" customFormat="1" x14ac:dyDescent="0.3">
      <c r="A1427" s="308">
        <v>45910</v>
      </c>
      <c r="B1427" s="322" t="s">
        <v>208</v>
      </c>
      <c r="C1427" s="366" t="s">
        <v>32</v>
      </c>
      <c r="D1427" s="396" t="s">
        <v>48</v>
      </c>
      <c r="E1427" s="344">
        <v>-434.35</v>
      </c>
      <c r="F1427" s="373" t="s">
        <v>8</v>
      </c>
      <c r="G1427" s="266" t="s">
        <v>49</v>
      </c>
    </row>
    <row r="1428" spans="1:7" s="4" customFormat="1" ht="14.4" hidden="1" x14ac:dyDescent="0.3">
      <c r="A1428" s="100">
        <v>45946</v>
      </c>
      <c r="B1428" s="100" t="s">
        <v>211</v>
      </c>
      <c r="C1428" s="624" t="s">
        <v>1594</v>
      </c>
      <c r="D1428" s="625" t="s">
        <v>1596</v>
      </c>
      <c r="E1428" s="230">
        <v>-585.46</v>
      </c>
      <c r="F1428" s="13" t="s">
        <v>8</v>
      </c>
      <c r="G1428" s="5" t="s">
        <v>51</v>
      </c>
    </row>
    <row r="1429" spans="1:7" s="4" customFormat="1" ht="14.4" hidden="1" x14ac:dyDescent="0.3">
      <c r="A1429" s="100">
        <v>45946</v>
      </c>
      <c r="B1429" s="100" t="s">
        <v>211</v>
      </c>
      <c r="C1429" s="624" t="s">
        <v>650</v>
      </c>
      <c r="D1429" s="625" t="s">
        <v>1596</v>
      </c>
      <c r="E1429" s="230">
        <v>-936.63</v>
      </c>
      <c r="F1429" s="13" t="s">
        <v>8</v>
      </c>
      <c r="G1429" s="5" t="s">
        <v>51</v>
      </c>
    </row>
    <row r="1430" spans="1:7" s="4" customFormat="1" ht="14.4" hidden="1" x14ac:dyDescent="0.3">
      <c r="A1430" s="100">
        <v>45946</v>
      </c>
      <c r="B1430" s="100" t="s">
        <v>211</v>
      </c>
      <c r="C1430" s="624" t="s">
        <v>108</v>
      </c>
      <c r="D1430" s="625" t="s">
        <v>1596</v>
      </c>
      <c r="E1430" s="230">
        <v>-1092.78</v>
      </c>
      <c r="F1430" s="13" t="s">
        <v>8</v>
      </c>
      <c r="G1430" s="5" t="s">
        <v>51</v>
      </c>
    </row>
    <row r="1431" spans="1:7" s="4" customFormat="1" ht="14.4" hidden="1" x14ac:dyDescent="0.3">
      <c r="A1431" s="100">
        <v>45946</v>
      </c>
      <c r="B1431" s="100" t="s">
        <v>211</v>
      </c>
      <c r="C1431" s="624" t="s">
        <v>32</v>
      </c>
      <c r="D1431" s="625" t="s">
        <v>1596</v>
      </c>
      <c r="E1431" s="230">
        <v>-1756.25</v>
      </c>
      <c r="F1431" s="13" t="s">
        <v>8</v>
      </c>
      <c r="G1431" s="5" t="s">
        <v>51</v>
      </c>
    </row>
    <row r="1432" spans="1:7" s="4" customFormat="1" ht="14.4" hidden="1" x14ac:dyDescent="0.3">
      <c r="A1432" s="100">
        <v>45946</v>
      </c>
      <c r="B1432" s="100" t="s">
        <v>211</v>
      </c>
      <c r="C1432" s="624" t="s">
        <v>13</v>
      </c>
      <c r="D1432" s="625" t="s">
        <v>1596</v>
      </c>
      <c r="E1432" s="230">
        <v>-1951.41</v>
      </c>
      <c r="F1432" s="13" t="s">
        <v>8</v>
      </c>
      <c r="G1432" s="5" t="s">
        <v>51</v>
      </c>
    </row>
    <row r="1433" spans="1:7" s="4" customFormat="1" ht="14.4" hidden="1" x14ac:dyDescent="0.3">
      <c r="A1433" s="100">
        <v>45946</v>
      </c>
      <c r="B1433" s="100" t="s">
        <v>211</v>
      </c>
      <c r="C1433" s="624" t="s">
        <v>651</v>
      </c>
      <c r="D1433" s="625" t="s">
        <v>1596</v>
      </c>
      <c r="E1433" s="230">
        <v>-897.62</v>
      </c>
      <c r="F1433" s="13" t="s">
        <v>8</v>
      </c>
      <c r="G1433" s="5" t="s">
        <v>51</v>
      </c>
    </row>
    <row r="1434" spans="1:7" s="4" customFormat="1" ht="14.4" hidden="1" x14ac:dyDescent="0.3">
      <c r="A1434" s="100">
        <v>45946</v>
      </c>
      <c r="B1434" s="100" t="s">
        <v>211</v>
      </c>
      <c r="C1434" s="624" t="s">
        <v>6</v>
      </c>
      <c r="D1434" s="625" t="s">
        <v>1596</v>
      </c>
      <c r="E1434" s="230">
        <v>-897.62</v>
      </c>
      <c r="F1434" s="13" t="s">
        <v>8</v>
      </c>
      <c r="G1434" s="5" t="s">
        <v>51</v>
      </c>
    </row>
    <row r="1435" spans="1:7" s="4" customFormat="1" ht="14.4" hidden="1" x14ac:dyDescent="0.3">
      <c r="A1435" s="100">
        <v>45946</v>
      </c>
      <c r="B1435" s="100" t="s">
        <v>211</v>
      </c>
      <c r="C1435" s="624" t="s">
        <v>1595</v>
      </c>
      <c r="D1435" s="625" t="s">
        <v>1596</v>
      </c>
      <c r="E1435" s="230">
        <v>-390.31</v>
      </c>
      <c r="F1435" s="13" t="s">
        <v>8</v>
      </c>
      <c r="G1435" s="5" t="s">
        <v>51</v>
      </c>
    </row>
    <row r="1436" spans="1:7" s="4" customFormat="1" ht="14.4" hidden="1" x14ac:dyDescent="0.3">
      <c r="A1436" s="100">
        <v>45946</v>
      </c>
      <c r="B1436" s="100" t="s">
        <v>211</v>
      </c>
      <c r="C1436" s="624" t="s">
        <v>71</v>
      </c>
      <c r="D1436" s="625" t="s">
        <v>1596</v>
      </c>
      <c r="E1436" s="230">
        <v>-1014.77</v>
      </c>
      <c r="F1436" s="13" t="s">
        <v>8</v>
      </c>
      <c r="G1436" s="5" t="s">
        <v>51</v>
      </c>
    </row>
    <row r="1437" spans="1:7" s="250" customFormat="1" x14ac:dyDescent="0.3">
      <c r="A1437" s="384">
        <v>45910</v>
      </c>
      <c r="B1437" s="384" t="s">
        <v>208</v>
      </c>
      <c r="C1437" s="385" t="s">
        <v>6</v>
      </c>
      <c r="D1437" s="386" t="s">
        <v>52</v>
      </c>
      <c r="E1437" s="406">
        <v>-356.64</v>
      </c>
      <c r="F1437" s="402" t="s">
        <v>8</v>
      </c>
      <c r="G1437" s="408" t="s">
        <v>53</v>
      </c>
    </row>
    <row r="1438" spans="1:7" s="139" customFormat="1" hidden="1" x14ac:dyDescent="0.3">
      <c r="A1438" s="100">
        <v>45931</v>
      </c>
      <c r="B1438" s="100" t="s">
        <v>211</v>
      </c>
      <c r="C1438" s="12" t="s">
        <v>13</v>
      </c>
      <c r="D1438" s="12" t="s">
        <v>1344</v>
      </c>
      <c r="E1438" s="16">
        <v>-1146.27</v>
      </c>
      <c r="F1438" s="13" t="s">
        <v>8</v>
      </c>
      <c r="G1438" s="5" t="s">
        <v>55</v>
      </c>
    </row>
    <row r="1439" spans="1:7" s="250" customFormat="1" x14ac:dyDescent="0.3">
      <c r="A1439" s="316">
        <v>45910</v>
      </c>
      <c r="B1439" s="316" t="s">
        <v>208</v>
      </c>
      <c r="C1439" s="299" t="s">
        <v>17</v>
      </c>
      <c r="D1439" s="300" t="s">
        <v>484</v>
      </c>
      <c r="E1439" s="317">
        <v>-10500</v>
      </c>
      <c r="F1439" s="249" t="s">
        <v>8</v>
      </c>
      <c r="G1439" s="255" t="s">
        <v>56</v>
      </c>
    </row>
    <row r="1440" spans="1:7" s="250" customFormat="1" x14ac:dyDescent="0.3">
      <c r="A1440" s="316">
        <v>45911</v>
      </c>
      <c r="B1440" s="316" t="s">
        <v>208</v>
      </c>
      <c r="C1440" s="293" t="s">
        <v>44</v>
      </c>
      <c r="D1440" s="293" t="s">
        <v>1377</v>
      </c>
      <c r="E1440" s="248">
        <v>-833</v>
      </c>
      <c r="F1440" s="249" t="s">
        <v>8</v>
      </c>
      <c r="G1440" s="255" t="s">
        <v>139</v>
      </c>
    </row>
    <row r="1441" spans="1:7" s="250" customFormat="1" x14ac:dyDescent="0.3">
      <c r="A1441" s="316">
        <v>45911</v>
      </c>
      <c r="B1441" s="316" t="s">
        <v>208</v>
      </c>
      <c r="C1441" s="293" t="s">
        <v>25</v>
      </c>
      <c r="D1441" s="293" t="s">
        <v>1359</v>
      </c>
      <c r="E1441" s="248">
        <v>-100</v>
      </c>
      <c r="F1441" s="249" t="s">
        <v>8</v>
      </c>
      <c r="G1441" s="254" t="s">
        <v>381</v>
      </c>
    </row>
    <row r="1442" spans="1:7" s="250" customFormat="1" x14ac:dyDescent="0.3">
      <c r="A1442" s="316">
        <v>45911</v>
      </c>
      <c r="B1442" s="316" t="s">
        <v>208</v>
      </c>
      <c r="C1442" s="293" t="s">
        <v>25</v>
      </c>
      <c r="D1442" s="293" t="s">
        <v>1360</v>
      </c>
      <c r="E1442" s="248">
        <v>-400</v>
      </c>
      <c r="F1442" s="249" t="s">
        <v>8</v>
      </c>
      <c r="G1442" s="254" t="s">
        <v>381</v>
      </c>
    </row>
    <row r="1443" spans="1:7" s="250" customFormat="1" x14ac:dyDescent="0.3">
      <c r="A1443" s="523">
        <v>45911</v>
      </c>
      <c r="B1443" s="523" t="s">
        <v>208</v>
      </c>
      <c r="C1443" s="304" t="s">
        <v>71</v>
      </c>
      <c r="D1443" s="304" t="s">
        <v>1358</v>
      </c>
      <c r="E1443" s="524">
        <v>-220.49</v>
      </c>
      <c r="F1443" s="525" t="s">
        <v>8</v>
      </c>
      <c r="G1443" s="254" t="s">
        <v>381</v>
      </c>
    </row>
    <row r="1444" spans="1:7" s="250" customFormat="1" x14ac:dyDescent="0.3">
      <c r="A1444" s="523">
        <v>45911</v>
      </c>
      <c r="B1444" s="523" t="s">
        <v>208</v>
      </c>
      <c r="C1444" s="530" t="s">
        <v>66</v>
      </c>
      <c r="D1444" s="531" t="s">
        <v>67</v>
      </c>
      <c r="E1444" s="524">
        <v>-397.05</v>
      </c>
      <c r="F1444" s="525" t="s">
        <v>8</v>
      </c>
      <c r="G1444" s="255" t="s">
        <v>68</v>
      </c>
    </row>
    <row r="1445" spans="1:7" s="250" customFormat="1" x14ac:dyDescent="0.3">
      <c r="A1445" s="523">
        <v>45911</v>
      </c>
      <c r="B1445" s="523" t="s">
        <v>208</v>
      </c>
      <c r="C1445" s="304" t="s">
        <v>71</v>
      </c>
      <c r="D1445" s="304" t="s">
        <v>1378</v>
      </c>
      <c r="E1445" s="524">
        <v>-886.67</v>
      </c>
      <c r="F1445" s="525" t="s">
        <v>8</v>
      </c>
      <c r="G1445" s="255" t="s">
        <v>227</v>
      </c>
    </row>
    <row r="1446" spans="1:7" s="250" customFormat="1" x14ac:dyDescent="0.3">
      <c r="A1446" s="316">
        <v>45917</v>
      </c>
      <c r="B1446" s="316" t="s">
        <v>208</v>
      </c>
      <c r="C1446" s="299" t="s">
        <v>13</v>
      </c>
      <c r="D1446" s="300" t="s">
        <v>57</v>
      </c>
      <c r="E1446" s="248">
        <v>-980.34</v>
      </c>
      <c r="F1446" s="249" t="s">
        <v>8</v>
      </c>
      <c r="G1446" s="255" t="s">
        <v>55</v>
      </c>
    </row>
    <row r="1447" spans="1:7" s="250" customFormat="1" x14ac:dyDescent="0.3">
      <c r="A1447" s="316">
        <v>45910</v>
      </c>
      <c r="B1447" s="316" t="s">
        <v>208</v>
      </c>
      <c r="C1447" s="299" t="s">
        <v>31</v>
      </c>
      <c r="D1447" s="300" t="s">
        <v>775</v>
      </c>
      <c r="E1447" s="317">
        <v>-3000</v>
      </c>
      <c r="F1447" s="249" t="s">
        <v>8</v>
      </c>
      <c r="G1447" s="255" t="s">
        <v>58</v>
      </c>
    </row>
    <row r="1448" spans="1:7" s="250" customFormat="1" x14ac:dyDescent="0.3">
      <c r="A1448" s="316">
        <v>45910</v>
      </c>
      <c r="B1448" s="316" t="s">
        <v>208</v>
      </c>
      <c r="C1448" s="299" t="s">
        <v>31</v>
      </c>
      <c r="D1448" s="300" t="s">
        <v>59</v>
      </c>
      <c r="E1448" s="317">
        <v>-3412.15</v>
      </c>
      <c r="F1448" s="249" t="s">
        <v>8</v>
      </c>
      <c r="G1448" s="255" t="s">
        <v>58</v>
      </c>
    </row>
    <row r="1449" spans="1:7" s="250" customFormat="1" x14ac:dyDescent="0.3">
      <c r="A1449" s="316">
        <v>45910</v>
      </c>
      <c r="B1449" s="316" t="s">
        <v>208</v>
      </c>
      <c r="C1449" s="299" t="s">
        <v>44</v>
      </c>
      <c r="D1449" s="300" t="s">
        <v>60</v>
      </c>
      <c r="E1449" s="248">
        <v>-6536.85</v>
      </c>
      <c r="F1449" s="255" t="s">
        <v>8</v>
      </c>
      <c r="G1449" s="255" t="s">
        <v>61</v>
      </c>
    </row>
    <row r="1450" spans="1:7" s="250" customFormat="1" x14ac:dyDescent="0.3">
      <c r="A1450" s="316">
        <v>45910</v>
      </c>
      <c r="B1450" s="316" t="s">
        <v>208</v>
      </c>
      <c r="C1450" s="299" t="s">
        <v>6</v>
      </c>
      <c r="D1450" s="300" t="s">
        <v>62</v>
      </c>
      <c r="E1450" s="248">
        <v>-7479.07</v>
      </c>
      <c r="F1450" s="249" t="s">
        <v>8</v>
      </c>
      <c r="G1450" s="255" t="s">
        <v>63</v>
      </c>
    </row>
    <row r="1451" spans="1:7" s="250" customFormat="1" x14ac:dyDescent="0.3">
      <c r="A1451" s="316">
        <v>45910</v>
      </c>
      <c r="B1451" s="316" t="s">
        <v>208</v>
      </c>
      <c r="C1451" s="422" t="s">
        <v>64</v>
      </c>
      <c r="D1451" s="300" t="s">
        <v>65</v>
      </c>
      <c r="E1451" s="317">
        <v>-442.04</v>
      </c>
      <c r="F1451" s="249" t="s">
        <v>8</v>
      </c>
      <c r="G1451" s="255" t="s">
        <v>39</v>
      </c>
    </row>
    <row r="1452" spans="1:7" s="250" customFormat="1" x14ac:dyDescent="0.3">
      <c r="A1452" s="523">
        <v>45911</v>
      </c>
      <c r="B1452" s="523" t="s">
        <v>208</v>
      </c>
      <c r="C1452" s="304" t="s">
        <v>6</v>
      </c>
      <c r="D1452" s="304" t="s">
        <v>1365</v>
      </c>
      <c r="E1452" s="524">
        <v>-61.5</v>
      </c>
      <c r="F1452" s="525" t="s">
        <v>8</v>
      </c>
      <c r="G1452" s="254" t="s">
        <v>82</v>
      </c>
    </row>
    <row r="1453" spans="1:7" s="250" customFormat="1" x14ac:dyDescent="0.3">
      <c r="A1453" s="523">
        <v>45911</v>
      </c>
      <c r="B1453" s="523" t="s">
        <v>208</v>
      </c>
      <c r="C1453" s="304" t="s">
        <v>25</v>
      </c>
      <c r="D1453" s="304" t="s">
        <v>1366</v>
      </c>
      <c r="E1453" s="524">
        <v>-280</v>
      </c>
      <c r="F1453" s="525" t="s">
        <v>8</v>
      </c>
      <c r="G1453" s="254" t="s">
        <v>82</v>
      </c>
    </row>
    <row r="1454" spans="1:7" s="250" customFormat="1" x14ac:dyDescent="0.3">
      <c r="A1454" s="523">
        <v>45911</v>
      </c>
      <c r="B1454" s="523" t="s">
        <v>208</v>
      </c>
      <c r="C1454" s="304" t="s">
        <v>25</v>
      </c>
      <c r="D1454" s="304" t="s">
        <v>1367</v>
      </c>
      <c r="E1454" s="524">
        <v>-289</v>
      </c>
      <c r="F1454" s="525" t="s">
        <v>8</v>
      </c>
      <c r="G1454" s="254" t="s">
        <v>82</v>
      </c>
    </row>
    <row r="1455" spans="1:7" s="250" customFormat="1" x14ac:dyDescent="0.3">
      <c r="A1455" s="523">
        <v>45911</v>
      </c>
      <c r="B1455" s="523" t="s">
        <v>208</v>
      </c>
      <c r="C1455" s="304" t="s">
        <v>25</v>
      </c>
      <c r="D1455" s="304" t="s">
        <v>1368</v>
      </c>
      <c r="E1455" s="524">
        <v>-205</v>
      </c>
      <c r="F1455" s="525" t="s">
        <v>8</v>
      </c>
      <c r="G1455" s="254" t="s">
        <v>82</v>
      </c>
    </row>
    <row r="1456" spans="1:7" s="210" customFormat="1" x14ac:dyDescent="0.3">
      <c r="A1456" s="526">
        <v>45911</v>
      </c>
      <c r="B1456" s="526" t="s">
        <v>208</v>
      </c>
      <c r="C1456" s="527" t="s">
        <v>32</v>
      </c>
      <c r="D1456" s="594" t="s">
        <v>1369</v>
      </c>
      <c r="E1456" s="595">
        <v>-205</v>
      </c>
      <c r="F1456" s="596" t="s">
        <v>8</v>
      </c>
      <c r="G1456" s="597" t="s">
        <v>82</v>
      </c>
    </row>
    <row r="1457" spans="1:8" s="250" customFormat="1" x14ac:dyDescent="0.3">
      <c r="A1457" s="316">
        <v>45924</v>
      </c>
      <c r="B1457" s="316" t="s">
        <v>208</v>
      </c>
      <c r="C1457" s="423" t="s">
        <v>71</v>
      </c>
      <c r="D1457" s="253" t="s">
        <v>1520</v>
      </c>
      <c r="E1457" s="248">
        <v>-4375.75</v>
      </c>
      <c r="F1457" s="249" t="s">
        <v>8</v>
      </c>
      <c r="G1457" s="254" t="s">
        <v>73</v>
      </c>
    </row>
    <row r="1458" spans="1:8" s="538" customFormat="1" x14ac:dyDescent="0.3">
      <c r="A1458" s="539">
        <v>45912</v>
      </c>
      <c r="B1458" s="539" t="s">
        <v>208</v>
      </c>
      <c r="C1458" s="534" t="s">
        <v>6</v>
      </c>
      <c r="D1458" s="534" t="s">
        <v>1384</v>
      </c>
      <c r="E1458" s="535">
        <v>-2045</v>
      </c>
      <c r="F1458" s="540" t="s">
        <v>8</v>
      </c>
      <c r="G1458" s="537" t="s">
        <v>139</v>
      </c>
    </row>
    <row r="1459" spans="1:8" s="538" customFormat="1" x14ac:dyDescent="0.3">
      <c r="A1459" s="539">
        <v>45912</v>
      </c>
      <c r="B1459" s="539" t="s">
        <v>208</v>
      </c>
      <c r="C1459" s="534" t="s">
        <v>71</v>
      </c>
      <c r="D1459" s="534" t="s">
        <v>350</v>
      </c>
      <c r="E1459" s="535">
        <v>-247</v>
      </c>
      <c r="F1459" s="540" t="s">
        <v>8</v>
      </c>
      <c r="G1459" s="537" t="s">
        <v>203</v>
      </c>
    </row>
    <row r="1460" spans="1:8" s="250" customFormat="1" x14ac:dyDescent="0.3">
      <c r="A1460" s="316">
        <v>45917</v>
      </c>
      <c r="B1460" s="316" t="s">
        <v>208</v>
      </c>
      <c r="C1460" s="304" t="s">
        <v>6</v>
      </c>
      <c r="D1460" s="304" t="s">
        <v>1373</v>
      </c>
      <c r="E1460" s="524">
        <v>-1279.42</v>
      </c>
      <c r="F1460" s="249" t="s">
        <v>8</v>
      </c>
      <c r="G1460" s="254" t="s">
        <v>75</v>
      </c>
    </row>
    <row r="1461" spans="1:8" s="250" customFormat="1" x14ac:dyDescent="0.3">
      <c r="A1461" s="316">
        <v>45917</v>
      </c>
      <c r="B1461" s="316" t="s">
        <v>208</v>
      </c>
      <c r="C1461" s="293" t="s">
        <v>44</v>
      </c>
      <c r="D1461" s="293" t="s">
        <v>819</v>
      </c>
      <c r="E1461" s="248">
        <v>-828.72</v>
      </c>
      <c r="F1461" s="249" t="s">
        <v>8</v>
      </c>
      <c r="G1461" s="254" t="s">
        <v>75</v>
      </c>
    </row>
    <row r="1462" spans="1:8" s="538" customFormat="1" x14ac:dyDescent="0.3">
      <c r="A1462" s="539">
        <v>45916</v>
      </c>
      <c r="B1462" s="539" t="s">
        <v>208</v>
      </c>
      <c r="C1462" s="549" t="s">
        <v>6</v>
      </c>
      <c r="D1462" s="550" t="s">
        <v>517</v>
      </c>
      <c r="E1462" s="547">
        <v>-70387.179999999993</v>
      </c>
      <c r="F1462" s="548" t="s">
        <v>8</v>
      </c>
      <c r="G1462" s="548" t="s">
        <v>41</v>
      </c>
      <c r="H1462" s="547">
        <v>-70423.179999999993</v>
      </c>
    </row>
    <row r="1463" spans="1:8" s="538" customFormat="1" x14ac:dyDescent="0.3">
      <c r="A1463" s="539">
        <v>45916</v>
      </c>
      <c r="B1463" s="539" t="s">
        <v>208</v>
      </c>
      <c r="C1463" s="534" t="s">
        <v>17</v>
      </c>
      <c r="D1463" s="534" t="s">
        <v>1321</v>
      </c>
      <c r="E1463" s="535">
        <v>-900</v>
      </c>
      <c r="F1463" s="540" t="s">
        <v>8</v>
      </c>
      <c r="G1463" s="548" t="s">
        <v>78</v>
      </c>
    </row>
    <row r="1464" spans="1:8" s="538" customFormat="1" x14ac:dyDescent="0.3">
      <c r="A1464" s="539">
        <v>45916</v>
      </c>
      <c r="B1464" s="539" t="s">
        <v>208</v>
      </c>
      <c r="C1464" s="534" t="s">
        <v>17</v>
      </c>
      <c r="D1464" s="534" t="s">
        <v>1021</v>
      </c>
      <c r="E1464" s="535">
        <v>-15600</v>
      </c>
      <c r="F1464" s="540" t="s">
        <v>8</v>
      </c>
      <c r="G1464" s="548" t="s">
        <v>78</v>
      </c>
    </row>
    <row r="1465" spans="1:8" s="538" customFormat="1" x14ac:dyDescent="0.3">
      <c r="A1465" s="539">
        <v>45916</v>
      </c>
      <c r="B1465" s="539" t="s">
        <v>208</v>
      </c>
      <c r="C1465" s="534" t="s">
        <v>17</v>
      </c>
      <c r="D1465" s="534" t="s">
        <v>1322</v>
      </c>
      <c r="E1465" s="535">
        <v>-4500</v>
      </c>
      <c r="F1465" s="540" t="s">
        <v>8</v>
      </c>
      <c r="G1465" s="548" t="s">
        <v>78</v>
      </c>
    </row>
    <row r="1466" spans="1:8" s="538" customFormat="1" x14ac:dyDescent="0.3">
      <c r="A1466" s="539">
        <v>45916</v>
      </c>
      <c r="B1466" s="539" t="s">
        <v>208</v>
      </c>
      <c r="C1466" s="534" t="s">
        <v>17</v>
      </c>
      <c r="D1466" s="534" t="s">
        <v>1323</v>
      </c>
      <c r="E1466" s="535">
        <v>-24000</v>
      </c>
      <c r="F1466" s="540" t="s">
        <v>8</v>
      </c>
      <c r="G1466" s="548" t="s">
        <v>78</v>
      </c>
    </row>
    <row r="1467" spans="1:8" s="538" customFormat="1" x14ac:dyDescent="0.3">
      <c r="A1467" s="539">
        <v>45916</v>
      </c>
      <c r="B1467" s="539" t="s">
        <v>208</v>
      </c>
      <c r="C1467" s="533" t="s">
        <v>25</v>
      </c>
      <c r="D1467" s="533" t="s">
        <v>1366</v>
      </c>
      <c r="E1467" s="541">
        <v>-352.92</v>
      </c>
      <c r="F1467" s="540" t="s">
        <v>8</v>
      </c>
      <c r="G1467" s="542" t="s">
        <v>19</v>
      </c>
    </row>
    <row r="1468" spans="1:8" s="538" customFormat="1" x14ac:dyDescent="0.3">
      <c r="A1468" s="539">
        <v>45916</v>
      </c>
      <c r="B1468" s="539" t="s">
        <v>208</v>
      </c>
      <c r="C1468" s="533" t="s">
        <v>25</v>
      </c>
      <c r="D1468" s="533" t="s">
        <v>384</v>
      </c>
      <c r="E1468" s="541">
        <v>-435.96</v>
      </c>
      <c r="F1468" s="540" t="s">
        <v>8</v>
      </c>
      <c r="G1468" s="542" t="s">
        <v>19</v>
      </c>
    </row>
    <row r="1469" spans="1:8" s="538" customFormat="1" x14ac:dyDescent="0.3">
      <c r="A1469" s="539">
        <v>45916</v>
      </c>
      <c r="B1469" s="539" t="s">
        <v>208</v>
      </c>
      <c r="C1469" s="533" t="s">
        <v>25</v>
      </c>
      <c r="D1469" s="533" t="s">
        <v>1310</v>
      </c>
      <c r="E1469" s="541">
        <v>-435.96</v>
      </c>
      <c r="F1469" s="540" t="s">
        <v>8</v>
      </c>
      <c r="G1469" s="542" t="s">
        <v>19</v>
      </c>
    </row>
    <row r="1470" spans="1:8" s="538" customFormat="1" x14ac:dyDescent="0.3">
      <c r="A1470" s="539">
        <v>45916</v>
      </c>
      <c r="B1470" s="539" t="s">
        <v>208</v>
      </c>
      <c r="C1470" s="533" t="s">
        <v>17</v>
      </c>
      <c r="D1470" s="533" t="s">
        <v>376</v>
      </c>
      <c r="E1470" s="541">
        <v>-44157.08</v>
      </c>
      <c r="F1470" s="540" t="s">
        <v>8</v>
      </c>
      <c r="G1470" s="542" t="s">
        <v>19</v>
      </c>
    </row>
    <row r="1471" spans="1:8" s="538" customFormat="1" x14ac:dyDescent="0.3">
      <c r="A1471" s="539">
        <v>45916</v>
      </c>
      <c r="B1471" s="539" t="s">
        <v>208</v>
      </c>
      <c r="C1471" s="533" t="s">
        <v>17</v>
      </c>
      <c r="D1471" s="533" t="s">
        <v>376</v>
      </c>
      <c r="E1471" s="541">
        <v>-42433.760000000002</v>
      </c>
      <c r="F1471" s="540" t="s">
        <v>8</v>
      </c>
      <c r="G1471" s="542" t="s">
        <v>19</v>
      </c>
    </row>
    <row r="1472" spans="1:8" s="538" customFormat="1" x14ac:dyDescent="0.3">
      <c r="A1472" s="539">
        <v>45916</v>
      </c>
      <c r="B1472" s="539" t="s">
        <v>208</v>
      </c>
      <c r="C1472" s="533" t="s">
        <v>17</v>
      </c>
      <c r="D1472" s="533" t="s">
        <v>491</v>
      </c>
      <c r="E1472" s="541">
        <v>-435.96</v>
      </c>
      <c r="F1472" s="540" t="s">
        <v>8</v>
      </c>
      <c r="G1472" s="542" t="s">
        <v>19</v>
      </c>
    </row>
    <row r="1473" spans="1:7" s="538" customFormat="1" x14ac:dyDescent="0.3">
      <c r="A1473" s="539">
        <v>45916</v>
      </c>
      <c r="B1473" s="539" t="s">
        <v>208</v>
      </c>
      <c r="C1473" s="533" t="s">
        <v>17</v>
      </c>
      <c r="D1473" s="533" t="s">
        <v>376</v>
      </c>
      <c r="E1473" s="541">
        <v>-435.96</v>
      </c>
      <c r="F1473" s="540" t="s">
        <v>8</v>
      </c>
      <c r="G1473" s="542" t="s">
        <v>19</v>
      </c>
    </row>
    <row r="1474" spans="1:7" s="538" customFormat="1" x14ac:dyDescent="0.3">
      <c r="A1474" s="539">
        <v>45916</v>
      </c>
      <c r="B1474" s="539" t="s">
        <v>208</v>
      </c>
      <c r="C1474" s="533" t="s">
        <v>17</v>
      </c>
      <c r="D1474" s="533" t="s">
        <v>494</v>
      </c>
      <c r="E1474" s="541">
        <v>-435.96</v>
      </c>
      <c r="F1474" s="540" t="s">
        <v>8</v>
      </c>
      <c r="G1474" s="542" t="s">
        <v>19</v>
      </c>
    </row>
    <row r="1475" spans="1:7" s="538" customFormat="1" x14ac:dyDescent="0.3">
      <c r="A1475" s="539">
        <v>45916</v>
      </c>
      <c r="B1475" s="539" t="s">
        <v>208</v>
      </c>
      <c r="C1475" s="533" t="s">
        <v>17</v>
      </c>
      <c r="D1475" s="533" t="s">
        <v>84</v>
      </c>
      <c r="E1475" s="541">
        <v>-415.2</v>
      </c>
      <c r="F1475" s="540" t="s">
        <v>8</v>
      </c>
      <c r="G1475" s="542" t="s">
        <v>19</v>
      </c>
    </row>
    <row r="1476" spans="1:7" s="538" customFormat="1" ht="14.4" x14ac:dyDescent="0.3">
      <c r="A1476" s="539">
        <v>45916</v>
      </c>
      <c r="B1476" s="539" t="s">
        <v>208</v>
      </c>
      <c r="C1476" s="533" t="s">
        <v>6</v>
      </c>
      <c r="D1476" s="533" t="s">
        <v>497</v>
      </c>
      <c r="E1476" s="541">
        <v>-276</v>
      </c>
      <c r="F1476" s="540" t="s">
        <v>8</v>
      </c>
      <c r="G1476" s="560" t="s">
        <v>82</v>
      </c>
    </row>
    <row r="1477" spans="1:7" s="538" customFormat="1" ht="14.4" x14ac:dyDescent="0.3">
      <c r="A1477" s="539">
        <v>45916</v>
      </c>
      <c r="B1477" s="539" t="s">
        <v>208</v>
      </c>
      <c r="C1477" s="533" t="s">
        <v>25</v>
      </c>
      <c r="D1477" s="533" t="s">
        <v>384</v>
      </c>
      <c r="E1477" s="541">
        <v>-274</v>
      </c>
      <c r="F1477" s="540" t="s">
        <v>8</v>
      </c>
      <c r="G1477" s="560" t="s">
        <v>82</v>
      </c>
    </row>
    <row r="1478" spans="1:7" s="538" customFormat="1" ht="14.4" x14ac:dyDescent="0.3">
      <c r="A1478" s="539">
        <v>45916</v>
      </c>
      <c r="B1478" s="539" t="s">
        <v>208</v>
      </c>
      <c r="C1478" s="533" t="s">
        <v>25</v>
      </c>
      <c r="D1478" s="533" t="s">
        <v>1371</v>
      </c>
      <c r="E1478" s="541">
        <v>-250</v>
      </c>
      <c r="F1478" s="540" t="s">
        <v>8</v>
      </c>
      <c r="G1478" s="560" t="s">
        <v>82</v>
      </c>
    </row>
    <row r="1479" spans="1:7" s="538" customFormat="1" ht="14.4" x14ac:dyDescent="0.3">
      <c r="A1479" s="539">
        <v>45916</v>
      </c>
      <c r="B1479" s="539" t="s">
        <v>208</v>
      </c>
      <c r="C1479" s="533" t="s">
        <v>25</v>
      </c>
      <c r="D1479" s="533" t="s">
        <v>702</v>
      </c>
      <c r="E1479" s="541">
        <v>-90</v>
      </c>
      <c r="F1479" s="540" t="s">
        <v>8</v>
      </c>
      <c r="G1479" s="560" t="s">
        <v>82</v>
      </c>
    </row>
    <row r="1480" spans="1:7" s="538" customFormat="1" ht="14.4" x14ac:dyDescent="0.3">
      <c r="A1480" s="539">
        <v>45916</v>
      </c>
      <c r="B1480" s="539" t="s">
        <v>208</v>
      </c>
      <c r="C1480" s="533" t="s">
        <v>32</v>
      </c>
      <c r="D1480" s="533" t="s">
        <v>492</v>
      </c>
      <c r="E1480" s="541">
        <v>-100</v>
      </c>
      <c r="F1480" s="540" t="s">
        <v>8</v>
      </c>
      <c r="G1480" s="560" t="s">
        <v>82</v>
      </c>
    </row>
    <row r="1481" spans="1:7" s="538" customFormat="1" ht="14.4" x14ac:dyDescent="0.3">
      <c r="A1481" s="539">
        <v>45916</v>
      </c>
      <c r="B1481" s="539" t="s">
        <v>208</v>
      </c>
      <c r="C1481" s="533" t="s">
        <v>32</v>
      </c>
      <c r="D1481" s="533" t="s">
        <v>1271</v>
      </c>
      <c r="E1481" s="541">
        <v>-256.08</v>
      </c>
      <c r="F1481" s="540" t="s">
        <v>8</v>
      </c>
      <c r="G1481" s="560" t="s">
        <v>82</v>
      </c>
    </row>
    <row r="1482" spans="1:7" s="538" customFormat="1" ht="14.4" x14ac:dyDescent="0.3">
      <c r="A1482" s="539">
        <v>45916</v>
      </c>
      <c r="B1482" s="539" t="s">
        <v>208</v>
      </c>
      <c r="C1482" s="533" t="s">
        <v>32</v>
      </c>
      <c r="D1482" s="533" t="s">
        <v>1140</v>
      </c>
      <c r="E1482" s="541">
        <v>-274</v>
      </c>
      <c r="F1482" s="540" t="s">
        <v>8</v>
      </c>
      <c r="G1482" s="560" t="s">
        <v>82</v>
      </c>
    </row>
    <row r="1483" spans="1:7" s="538" customFormat="1" ht="14.4" x14ac:dyDescent="0.3">
      <c r="A1483" s="539">
        <v>45916</v>
      </c>
      <c r="B1483" s="539" t="s">
        <v>208</v>
      </c>
      <c r="C1483" s="533" t="s">
        <v>32</v>
      </c>
      <c r="D1483" s="533" t="s">
        <v>26</v>
      </c>
      <c r="E1483" s="541">
        <v>-100</v>
      </c>
      <c r="F1483" s="540" t="s">
        <v>8</v>
      </c>
      <c r="G1483" s="560" t="s">
        <v>82</v>
      </c>
    </row>
    <row r="1484" spans="1:7" s="538" customFormat="1" ht="14.4" x14ac:dyDescent="0.3">
      <c r="A1484" s="539">
        <v>45916</v>
      </c>
      <c r="B1484" s="539" t="s">
        <v>208</v>
      </c>
      <c r="C1484" s="533" t="s">
        <v>71</v>
      </c>
      <c r="D1484" s="533" t="s">
        <v>498</v>
      </c>
      <c r="E1484" s="541">
        <v>-100</v>
      </c>
      <c r="F1484" s="540" t="s">
        <v>8</v>
      </c>
      <c r="G1484" s="560" t="s">
        <v>82</v>
      </c>
    </row>
    <row r="1485" spans="1:7" s="538" customFormat="1" ht="14.4" x14ac:dyDescent="0.3">
      <c r="A1485" s="539">
        <v>45916</v>
      </c>
      <c r="B1485" s="539" t="s">
        <v>208</v>
      </c>
      <c r="C1485" s="533" t="s">
        <v>17</v>
      </c>
      <c r="D1485" s="533" t="s">
        <v>84</v>
      </c>
      <c r="E1485" s="541">
        <v>-286.36</v>
      </c>
      <c r="F1485" s="540" t="s">
        <v>8</v>
      </c>
      <c r="G1485" s="560" t="s">
        <v>82</v>
      </c>
    </row>
    <row r="1486" spans="1:7" s="538" customFormat="1" ht="14.4" x14ac:dyDescent="0.3">
      <c r="A1486" s="539">
        <v>45916</v>
      </c>
      <c r="B1486" s="539" t="s">
        <v>208</v>
      </c>
      <c r="C1486" s="533" t="s">
        <v>17</v>
      </c>
      <c r="D1486" s="533" t="s">
        <v>491</v>
      </c>
      <c r="E1486" s="541">
        <v>-100</v>
      </c>
      <c r="F1486" s="540" t="s">
        <v>8</v>
      </c>
      <c r="G1486" s="560" t="s">
        <v>82</v>
      </c>
    </row>
    <row r="1487" spans="1:7" s="538" customFormat="1" ht="14.4" x14ac:dyDescent="0.3">
      <c r="A1487" s="539">
        <v>45916</v>
      </c>
      <c r="B1487" s="539" t="s">
        <v>208</v>
      </c>
      <c r="C1487" s="533" t="s">
        <v>17</v>
      </c>
      <c r="D1487" s="533" t="s">
        <v>499</v>
      </c>
      <c r="E1487" s="541">
        <v>-249.9</v>
      </c>
      <c r="F1487" s="540" t="s">
        <v>8</v>
      </c>
      <c r="G1487" s="560" t="s">
        <v>82</v>
      </c>
    </row>
    <row r="1488" spans="1:7" s="538" customFormat="1" x14ac:dyDescent="0.3">
      <c r="A1488" s="539">
        <v>45916</v>
      </c>
      <c r="B1488" s="539" t="s">
        <v>208</v>
      </c>
      <c r="C1488" s="549" t="s">
        <v>17</v>
      </c>
      <c r="D1488" s="550" t="s">
        <v>83</v>
      </c>
      <c r="E1488" s="547">
        <v>-20565.28</v>
      </c>
      <c r="F1488" s="540" t="s">
        <v>8</v>
      </c>
      <c r="G1488" s="548" t="s">
        <v>58</v>
      </c>
    </row>
    <row r="1489" spans="1:7" s="538" customFormat="1" x14ac:dyDescent="0.3">
      <c r="A1489" s="539">
        <v>45916</v>
      </c>
      <c r="B1489" s="539" t="s">
        <v>208</v>
      </c>
      <c r="C1489" s="544" t="s">
        <v>17</v>
      </c>
      <c r="D1489" s="561" t="s">
        <v>84</v>
      </c>
      <c r="E1489" s="547">
        <v>-144.68</v>
      </c>
      <c r="F1489" s="548" t="s">
        <v>8</v>
      </c>
      <c r="G1489" s="548" t="s">
        <v>85</v>
      </c>
    </row>
    <row r="1490" spans="1:7" s="250" customFormat="1" x14ac:dyDescent="0.3">
      <c r="A1490" s="316">
        <v>45917</v>
      </c>
      <c r="B1490" s="316" t="s">
        <v>208</v>
      </c>
      <c r="C1490" s="299" t="s">
        <v>13</v>
      </c>
      <c r="D1490" s="300" t="s">
        <v>87</v>
      </c>
      <c r="E1490" s="317">
        <v>-1375</v>
      </c>
      <c r="F1490" s="255" t="s">
        <v>8</v>
      </c>
      <c r="G1490" s="255" t="s">
        <v>41</v>
      </c>
    </row>
    <row r="1491" spans="1:7" s="250" customFormat="1" x14ac:dyDescent="0.3">
      <c r="A1491" s="316">
        <v>45917</v>
      </c>
      <c r="B1491" s="316" t="s">
        <v>208</v>
      </c>
      <c r="C1491" s="299" t="s">
        <v>6</v>
      </c>
      <c r="D1491" s="300" t="s">
        <v>1063</v>
      </c>
      <c r="E1491" s="317">
        <v>-3962.8</v>
      </c>
      <c r="F1491" s="255" t="s">
        <v>8</v>
      </c>
      <c r="G1491" s="255" t="s">
        <v>63</v>
      </c>
    </row>
    <row r="1492" spans="1:7" s="250" customFormat="1" x14ac:dyDescent="0.3">
      <c r="A1492" s="316">
        <v>45917</v>
      </c>
      <c r="B1492" s="316" t="s">
        <v>208</v>
      </c>
      <c r="C1492" s="299" t="s">
        <v>17</v>
      </c>
      <c r="D1492" s="300" t="s">
        <v>90</v>
      </c>
      <c r="E1492" s="317">
        <v>-9572.4</v>
      </c>
      <c r="F1492" s="249" t="s">
        <v>8</v>
      </c>
      <c r="G1492" s="255" t="s">
        <v>91</v>
      </c>
    </row>
    <row r="1493" spans="1:7" s="250" customFormat="1" x14ac:dyDescent="0.3">
      <c r="A1493" s="316">
        <v>45917</v>
      </c>
      <c r="B1493" s="316" t="s">
        <v>208</v>
      </c>
      <c r="C1493" s="252" t="s">
        <v>31</v>
      </c>
      <c r="D1493" s="362" t="s">
        <v>91</v>
      </c>
      <c r="E1493" s="317">
        <v>-2324.5500000000002</v>
      </c>
      <c r="F1493" s="249" t="s">
        <v>8</v>
      </c>
      <c r="G1493" s="255" t="s">
        <v>91</v>
      </c>
    </row>
    <row r="1494" spans="1:7" s="250" customFormat="1" x14ac:dyDescent="0.3">
      <c r="A1494" s="316">
        <v>45917</v>
      </c>
      <c r="B1494" s="316" t="s">
        <v>208</v>
      </c>
      <c r="C1494" s="422" t="s">
        <v>25</v>
      </c>
      <c r="D1494" s="362" t="s">
        <v>91</v>
      </c>
      <c r="E1494" s="317">
        <v>-1297.19</v>
      </c>
      <c r="F1494" s="249" t="s">
        <v>8</v>
      </c>
      <c r="G1494" s="255" t="s">
        <v>91</v>
      </c>
    </row>
    <row r="1495" spans="1:7" s="538" customFormat="1" x14ac:dyDescent="0.3">
      <c r="A1495" s="539">
        <v>45912</v>
      </c>
      <c r="B1495" s="539" t="s">
        <v>208</v>
      </c>
      <c r="C1495" s="534" t="s">
        <v>71</v>
      </c>
      <c r="D1495" s="546" t="s">
        <v>1380</v>
      </c>
      <c r="E1495" s="547">
        <v>-270.23</v>
      </c>
      <c r="F1495" s="540" t="s">
        <v>8</v>
      </c>
      <c r="G1495" s="548" t="s">
        <v>203</v>
      </c>
    </row>
    <row r="1496" spans="1:7" s="538" customFormat="1" x14ac:dyDescent="0.3">
      <c r="A1496" s="532">
        <v>45912</v>
      </c>
      <c r="B1496" s="532" t="s">
        <v>208</v>
      </c>
      <c r="C1496" s="533" t="s">
        <v>17</v>
      </c>
      <c r="D1496" s="533" t="s">
        <v>916</v>
      </c>
      <c r="E1496" s="541">
        <v>-1699.81</v>
      </c>
      <c r="F1496" s="536" t="s">
        <v>8</v>
      </c>
      <c r="G1496" s="537" t="s">
        <v>75</v>
      </c>
    </row>
    <row r="1497" spans="1:7" s="538" customFormat="1" x14ac:dyDescent="0.3">
      <c r="A1497" s="532">
        <v>45912</v>
      </c>
      <c r="B1497" s="532" t="s">
        <v>208</v>
      </c>
      <c r="C1497" s="533" t="s">
        <v>17</v>
      </c>
      <c r="D1497" s="533" t="s">
        <v>916</v>
      </c>
      <c r="E1497" s="541">
        <v>-243.64</v>
      </c>
      <c r="F1497" s="536" t="s">
        <v>8</v>
      </c>
      <c r="G1497" s="537" t="s">
        <v>75</v>
      </c>
    </row>
    <row r="1498" spans="1:7" s="538" customFormat="1" x14ac:dyDescent="0.3">
      <c r="A1498" s="532">
        <v>45912</v>
      </c>
      <c r="B1498" s="532" t="s">
        <v>208</v>
      </c>
      <c r="C1498" s="533" t="s">
        <v>25</v>
      </c>
      <c r="D1498" s="533" t="s">
        <v>820</v>
      </c>
      <c r="E1498" s="541">
        <v>-1280.94</v>
      </c>
      <c r="F1498" s="536" t="s">
        <v>8</v>
      </c>
      <c r="G1498" s="537" t="s">
        <v>75</v>
      </c>
    </row>
    <row r="1499" spans="1:7" s="210" customFormat="1" x14ac:dyDescent="0.3">
      <c r="A1499" s="526">
        <v>45912</v>
      </c>
      <c r="B1499" s="526" t="s">
        <v>208</v>
      </c>
      <c r="C1499" s="527" t="s">
        <v>32</v>
      </c>
      <c r="D1499" s="527" t="s">
        <v>1370</v>
      </c>
      <c r="E1499" s="528">
        <v>-369.34</v>
      </c>
      <c r="F1499" s="529" t="s">
        <v>8</v>
      </c>
      <c r="G1499" s="209" t="s">
        <v>75</v>
      </c>
    </row>
    <row r="1500" spans="1:7" s="538" customFormat="1" x14ac:dyDescent="0.3">
      <c r="A1500" s="532">
        <v>45912</v>
      </c>
      <c r="B1500" s="532" t="s">
        <v>208</v>
      </c>
      <c r="C1500" s="533" t="s">
        <v>44</v>
      </c>
      <c r="D1500" s="533" t="s">
        <v>986</v>
      </c>
      <c r="E1500" s="541">
        <v>-5.28</v>
      </c>
      <c r="F1500" s="536" t="s">
        <v>8</v>
      </c>
      <c r="G1500" s="537" t="s">
        <v>75</v>
      </c>
    </row>
    <row r="1501" spans="1:7" s="538" customFormat="1" x14ac:dyDescent="0.3">
      <c r="A1501" s="539">
        <v>45912</v>
      </c>
      <c r="B1501" s="539" t="s">
        <v>208</v>
      </c>
      <c r="C1501" s="534" t="s">
        <v>25</v>
      </c>
      <c r="D1501" s="534" t="s">
        <v>1320</v>
      </c>
      <c r="E1501" s="535">
        <v>-975.67</v>
      </c>
      <c r="F1501" s="540" t="s">
        <v>8</v>
      </c>
      <c r="G1501" s="537" t="s">
        <v>75</v>
      </c>
    </row>
    <row r="1502" spans="1:7" s="538" customFormat="1" x14ac:dyDescent="0.3">
      <c r="A1502" s="539">
        <v>45912</v>
      </c>
      <c r="B1502" s="539" t="s">
        <v>208</v>
      </c>
      <c r="C1502" s="534" t="s">
        <v>25</v>
      </c>
      <c r="D1502" s="534" t="s">
        <v>1319</v>
      </c>
      <c r="E1502" s="535">
        <v>-5608.44</v>
      </c>
      <c r="F1502" s="540" t="s">
        <v>8</v>
      </c>
      <c r="G1502" s="537" t="s">
        <v>75</v>
      </c>
    </row>
    <row r="1503" spans="1:7" s="250" customFormat="1" x14ac:dyDescent="0.3">
      <c r="A1503" s="316">
        <v>45917</v>
      </c>
      <c r="B1503" s="316" t="s">
        <v>208</v>
      </c>
      <c r="C1503" s="293" t="s">
        <v>25</v>
      </c>
      <c r="D1503" s="293" t="s">
        <v>1444</v>
      </c>
      <c r="E1503" s="248">
        <v>-211.89</v>
      </c>
      <c r="F1503" s="249" t="s">
        <v>8</v>
      </c>
      <c r="G1503" s="254" t="s">
        <v>124</v>
      </c>
    </row>
    <row r="1504" spans="1:7" s="538" customFormat="1" x14ac:dyDescent="0.3">
      <c r="A1504" s="539">
        <v>45912</v>
      </c>
      <c r="B1504" s="539" t="s">
        <v>208</v>
      </c>
      <c r="C1504" s="549" t="s">
        <v>6</v>
      </c>
      <c r="D1504" s="550" t="s">
        <v>566</v>
      </c>
      <c r="E1504" s="547">
        <v>-2012.45</v>
      </c>
      <c r="F1504" s="540" t="s">
        <v>8</v>
      </c>
      <c r="G1504" s="537" t="s">
        <v>46</v>
      </c>
    </row>
    <row r="1505" spans="1:7" s="250" customFormat="1" x14ac:dyDescent="0.3">
      <c r="A1505" s="316">
        <v>45917</v>
      </c>
      <c r="B1505" s="316" t="s">
        <v>208</v>
      </c>
      <c r="C1505" s="299" t="s">
        <v>6</v>
      </c>
      <c r="D1505" s="300" t="s">
        <v>92</v>
      </c>
      <c r="E1505" s="317">
        <v>-171.1</v>
      </c>
      <c r="F1505" s="249" t="s">
        <v>8</v>
      </c>
      <c r="G1505" s="255" t="s">
        <v>29</v>
      </c>
    </row>
    <row r="1506" spans="1:7" s="250" customFormat="1" x14ac:dyDescent="0.3">
      <c r="A1506" s="316">
        <v>45917</v>
      </c>
      <c r="B1506" s="316" t="s">
        <v>208</v>
      </c>
      <c r="C1506" s="299" t="s">
        <v>44</v>
      </c>
      <c r="D1506" s="300" t="s">
        <v>92</v>
      </c>
      <c r="E1506" s="317">
        <v>-171.1</v>
      </c>
      <c r="F1506" s="249" t="s">
        <v>8</v>
      </c>
      <c r="G1506" s="255" t="s">
        <v>29</v>
      </c>
    </row>
    <row r="1507" spans="1:7" s="250" customFormat="1" x14ac:dyDescent="0.3">
      <c r="A1507" s="316">
        <v>45917</v>
      </c>
      <c r="B1507" s="316" t="s">
        <v>208</v>
      </c>
      <c r="C1507" s="299" t="s">
        <v>13</v>
      </c>
      <c r="D1507" s="300" t="s">
        <v>92</v>
      </c>
      <c r="E1507" s="317">
        <v>-177.05</v>
      </c>
      <c r="F1507" s="249" t="s">
        <v>8</v>
      </c>
      <c r="G1507" s="255" t="s">
        <v>29</v>
      </c>
    </row>
    <row r="1508" spans="1:7" s="250" customFormat="1" x14ac:dyDescent="0.3">
      <c r="A1508" s="316">
        <v>45917</v>
      </c>
      <c r="B1508" s="316" t="s">
        <v>208</v>
      </c>
      <c r="C1508" s="299" t="s">
        <v>648</v>
      </c>
      <c r="D1508" s="300" t="s">
        <v>92</v>
      </c>
      <c r="E1508" s="317">
        <v>-177.05</v>
      </c>
      <c r="F1508" s="249" t="s">
        <v>8</v>
      </c>
      <c r="G1508" s="255" t="s">
        <v>29</v>
      </c>
    </row>
    <row r="1509" spans="1:7" s="250" customFormat="1" x14ac:dyDescent="0.3">
      <c r="A1509" s="316">
        <v>45917</v>
      </c>
      <c r="B1509" s="316" t="s">
        <v>208</v>
      </c>
      <c r="C1509" s="299" t="s">
        <v>31</v>
      </c>
      <c r="D1509" s="300" t="s">
        <v>92</v>
      </c>
      <c r="E1509" s="317">
        <v>-177.05</v>
      </c>
      <c r="F1509" s="249" t="s">
        <v>8</v>
      </c>
      <c r="G1509" s="255" t="s">
        <v>29</v>
      </c>
    </row>
    <row r="1510" spans="1:7" s="250" customFormat="1" x14ac:dyDescent="0.3">
      <c r="A1510" s="316">
        <v>45917</v>
      </c>
      <c r="B1510" s="316" t="s">
        <v>208</v>
      </c>
      <c r="C1510" s="299" t="s">
        <v>64</v>
      </c>
      <c r="D1510" s="300" t="s">
        <v>92</v>
      </c>
      <c r="E1510" s="317">
        <v>-177.05</v>
      </c>
      <c r="F1510" s="249" t="s">
        <v>8</v>
      </c>
      <c r="G1510" s="255" t="s">
        <v>29</v>
      </c>
    </row>
    <row r="1511" spans="1:7" s="250" customFormat="1" x14ac:dyDescent="0.3">
      <c r="A1511" s="316">
        <v>45917</v>
      </c>
      <c r="B1511" s="316" t="s">
        <v>208</v>
      </c>
      <c r="C1511" s="252" t="s">
        <v>17</v>
      </c>
      <c r="D1511" s="300" t="s">
        <v>92</v>
      </c>
      <c r="E1511" s="317">
        <v>-177.05</v>
      </c>
      <c r="F1511" s="249" t="s">
        <v>8</v>
      </c>
      <c r="G1511" s="255" t="s">
        <v>29</v>
      </c>
    </row>
    <row r="1512" spans="1:7" s="250" customFormat="1" x14ac:dyDescent="0.3">
      <c r="A1512" s="316">
        <v>45917</v>
      </c>
      <c r="B1512" s="316" t="s">
        <v>208</v>
      </c>
      <c r="C1512" s="252" t="s">
        <v>647</v>
      </c>
      <c r="D1512" s="300" t="s">
        <v>92</v>
      </c>
      <c r="E1512" s="317">
        <v>-177.05</v>
      </c>
      <c r="F1512" s="249" t="s">
        <v>8</v>
      </c>
      <c r="G1512" s="255" t="s">
        <v>29</v>
      </c>
    </row>
    <row r="1513" spans="1:7" s="250" customFormat="1" x14ac:dyDescent="0.3">
      <c r="A1513" s="316">
        <v>45917</v>
      </c>
      <c r="B1513" s="316" t="s">
        <v>208</v>
      </c>
      <c r="C1513" s="252" t="s">
        <v>30</v>
      </c>
      <c r="D1513" s="300" t="s">
        <v>92</v>
      </c>
      <c r="E1513" s="317">
        <v>-177.05</v>
      </c>
      <c r="F1513" s="249" t="s">
        <v>8</v>
      </c>
      <c r="G1513" s="255" t="s">
        <v>29</v>
      </c>
    </row>
    <row r="1514" spans="1:7" s="250" customFormat="1" x14ac:dyDescent="0.3">
      <c r="A1514" s="316">
        <v>45917</v>
      </c>
      <c r="B1514" s="316" t="s">
        <v>208</v>
      </c>
      <c r="C1514" s="252" t="s">
        <v>93</v>
      </c>
      <c r="D1514" s="300" t="s">
        <v>92</v>
      </c>
      <c r="E1514" s="317">
        <v>-177.05</v>
      </c>
      <c r="F1514" s="249" t="s">
        <v>8</v>
      </c>
      <c r="G1514" s="255" t="s">
        <v>29</v>
      </c>
    </row>
    <row r="1515" spans="1:7" s="250" customFormat="1" x14ac:dyDescent="0.3">
      <c r="A1515" s="316">
        <v>45917</v>
      </c>
      <c r="B1515" s="316" t="s">
        <v>208</v>
      </c>
      <c r="C1515" s="252" t="s">
        <v>33</v>
      </c>
      <c r="D1515" s="300" t="s">
        <v>92</v>
      </c>
      <c r="E1515" s="317">
        <v>-177.05</v>
      </c>
      <c r="F1515" s="249" t="s">
        <v>8</v>
      </c>
      <c r="G1515" s="255" t="s">
        <v>29</v>
      </c>
    </row>
    <row r="1516" spans="1:7" s="250" customFormat="1" x14ac:dyDescent="0.3">
      <c r="A1516" s="316">
        <v>45917</v>
      </c>
      <c r="B1516" s="316" t="s">
        <v>208</v>
      </c>
      <c r="C1516" s="252" t="s">
        <v>94</v>
      </c>
      <c r="D1516" s="300" t="s">
        <v>92</v>
      </c>
      <c r="E1516" s="317">
        <v>-177.05</v>
      </c>
      <c r="F1516" s="249" t="s">
        <v>8</v>
      </c>
      <c r="G1516" s="255" t="s">
        <v>29</v>
      </c>
    </row>
    <row r="1517" spans="1:7" s="250" customFormat="1" x14ac:dyDescent="0.3">
      <c r="A1517" s="316">
        <v>45917</v>
      </c>
      <c r="B1517" s="316" t="s">
        <v>208</v>
      </c>
      <c r="C1517" s="252" t="s">
        <v>32</v>
      </c>
      <c r="D1517" s="300" t="s">
        <v>92</v>
      </c>
      <c r="E1517" s="317">
        <v>-177.05</v>
      </c>
      <c r="F1517" s="249" t="s">
        <v>8</v>
      </c>
      <c r="G1517" s="255" t="s">
        <v>29</v>
      </c>
    </row>
    <row r="1518" spans="1:7" s="250" customFormat="1" x14ac:dyDescent="0.3">
      <c r="A1518" s="316">
        <v>45917</v>
      </c>
      <c r="B1518" s="316" t="s">
        <v>208</v>
      </c>
      <c r="C1518" s="252" t="s">
        <v>34</v>
      </c>
      <c r="D1518" s="300" t="s">
        <v>92</v>
      </c>
      <c r="E1518" s="317">
        <v>-177.05</v>
      </c>
      <c r="F1518" s="249" t="s">
        <v>8</v>
      </c>
      <c r="G1518" s="255" t="s">
        <v>29</v>
      </c>
    </row>
    <row r="1519" spans="1:7" s="250" customFormat="1" x14ac:dyDescent="0.3">
      <c r="A1519" s="316">
        <v>45918</v>
      </c>
      <c r="B1519" s="316" t="s">
        <v>208</v>
      </c>
      <c r="C1519" s="422" t="s">
        <v>64</v>
      </c>
      <c r="D1519" s="300" t="s">
        <v>95</v>
      </c>
      <c r="E1519" s="317">
        <v>-744.94</v>
      </c>
      <c r="F1519" s="255" t="s">
        <v>8</v>
      </c>
      <c r="G1519" s="255" t="s">
        <v>39</v>
      </c>
    </row>
    <row r="1520" spans="1:7" s="538" customFormat="1" x14ac:dyDescent="0.3">
      <c r="A1520" s="539">
        <v>45916</v>
      </c>
      <c r="B1520" s="539" t="s">
        <v>208</v>
      </c>
      <c r="C1520" s="549" t="s">
        <v>17</v>
      </c>
      <c r="D1520" s="550" t="s">
        <v>1372</v>
      </c>
      <c r="E1520" s="559">
        <v>-7225</v>
      </c>
      <c r="F1520" s="540" t="s">
        <v>8</v>
      </c>
      <c r="G1520" s="548" t="s">
        <v>97</v>
      </c>
    </row>
    <row r="1521" spans="1:7" s="250" customFormat="1" x14ac:dyDescent="0.3">
      <c r="A1521" s="316">
        <v>45918</v>
      </c>
      <c r="B1521" s="316" t="s">
        <v>208</v>
      </c>
      <c r="C1521" s="299" t="s">
        <v>6</v>
      </c>
      <c r="D1521" s="300" t="s">
        <v>98</v>
      </c>
      <c r="E1521" s="317">
        <v>-141.52000000000001</v>
      </c>
      <c r="F1521" s="249" t="s">
        <v>8</v>
      </c>
      <c r="G1521" s="255" t="s">
        <v>99</v>
      </c>
    </row>
    <row r="1522" spans="1:7" s="250" customFormat="1" x14ac:dyDescent="0.3">
      <c r="A1522" s="316">
        <v>45918</v>
      </c>
      <c r="B1522" s="316" t="s">
        <v>208</v>
      </c>
      <c r="C1522" s="299" t="s">
        <v>6</v>
      </c>
      <c r="D1522" s="300" t="s">
        <v>100</v>
      </c>
      <c r="E1522" s="317">
        <v>-141.52000000000001</v>
      </c>
      <c r="F1522" s="249" t="s">
        <v>8</v>
      </c>
      <c r="G1522" s="255" t="s">
        <v>99</v>
      </c>
    </row>
    <row r="1523" spans="1:7" s="250" customFormat="1" x14ac:dyDescent="0.3">
      <c r="A1523" s="316">
        <v>45918</v>
      </c>
      <c r="B1523" s="316" t="s">
        <v>208</v>
      </c>
      <c r="C1523" s="299" t="s">
        <v>6</v>
      </c>
      <c r="D1523" s="300" t="s">
        <v>101</v>
      </c>
      <c r="E1523" s="317">
        <v>-141.52000000000001</v>
      </c>
      <c r="F1523" s="249" t="s">
        <v>8</v>
      </c>
      <c r="G1523" s="255" t="s">
        <v>99</v>
      </c>
    </row>
    <row r="1524" spans="1:7" s="250" customFormat="1" x14ac:dyDescent="0.3">
      <c r="A1524" s="316">
        <v>45918</v>
      </c>
      <c r="B1524" s="316" t="s">
        <v>208</v>
      </c>
      <c r="C1524" s="299" t="s">
        <v>6</v>
      </c>
      <c r="D1524" s="300" t="s">
        <v>102</v>
      </c>
      <c r="E1524" s="317">
        <v>-138.56</v>
      </c>
      <c r="F1524" s="249" t="s">
        <v>8</v>
      </c>
      <c r="G1524" s="255" t="s">
        <v>99</v>
      </c>
    </row>
    <row r="1525" spans="1:7" s="250" customFormat="1" x14ac:dyDescent="0.3">
      <c r="A1525" s="316">
        <v>45917</v>
      </c>
      <c r="B1525" s="316" t="s">
        <v>208</v>
      </c>
      <c r="C1525" s="422" t="s">
        <v>32</v>
      </c>
      <c r="D1525" s="300" t="s">
        <v>103</v>
      </c>
      <c r="E1525" s="317">
        <v>-261.68</v>
      </c>
      <c r="F1525" s="255" t="s">
        <v>8</v>
      </c>
      <c r="G1525" s="255" t="s">
        <v>68</v>
      </c>
    </row>
    <row r="1526" spans="1:7" s="250" customFormat="1" x14ac:dyDescent="0.3">
      <c r="A1526" s="316">
        <v>45917</v>
      </c>
      <c r="B1526" s="316" t="s">
        <v>208</v>
      </c>
      <c r="C1526" s="422" t="s">
        <v>104</v>
      </c>
      <c r="D1526" s="300" t="s">
        <v>103</v>
      </c>
      <c r="E1526" s="317">
        <v>-300</v>
      </c>
      <c r="F1526" s="255" t="s">
        <v>8</v>
      </c>
      <c r="G1526" s="255" t="s">
        <v>68</v>
      </c>
    </row>
    <row r="1527" spans="1:7" s="250" customFormat="1" x14ac:dyDescent="0.3">
      <c r="A1527" s="316">
        <v>45917</v>
      </c>
      <c r="B1527" s="316" t="s">
        <v>208</v>
      </c>
      <c r="C1527" s="422" t="s">
        <v>35</v>
      </c>
      <c r="D1527" s="300" t="s">
        <v>103</v>
      </c>
      <c r="E1527" s="317">
        <v>-300</v>
      </c>
      <c r="F1527" s="255" t="s">
        <v>8</v>
      </c>
      <c r="G1527" s="255" t="s">
        <v>68</v>
      </c>
    </row>
    <row r="1528" spans="1:7" s="250" customFormat="1" x14ac:dyDescent="0.3">
      <c r="A1528" s="316">
        <v>45917</v>
      </c>
      <c r="B1528" s="316" t="s">
        <v>208</v>
      </c>
      <c r="C1528" s="422" t="s">
        <v>105</v>
      </c>
      <c r="D1528" s="300" t="s">
        <v>103</v>
      </c>
      <c r="E1528" s="317">
        <v>-300</v>
      </c>
      <c r="F1528" s="255" t="s">
        <v>8</v>
      </c>
      <c r="G1528" s="255" t="s">
        <v>68</v>
      </c>
    </row>
    <row r="1529" spans="1:7" s="250" customFormat="1" x14ac:dyDescent="0.3">
      <c r="A1529" s="316">
        <v>45917</v>
      </c>
      <c r="B1529" s="316" t="s">
        <v>208</v>
      </c>
      <c r="C1529" s="422" t="s">
        <v>106</v>
      </c>
      <c r="D1529" s="300" t="s">
        <v>103</v>
      </c>
      <c r="E1529" s="317">
        <v>-300</v>
      </c>
      <c r="F1529" s="255" t="s">
        <v>8</v>
      </c>
      <c r="G1529" s="255" t="s">
        <v>68</v>
      </c>
    </row>
    <row r="1530" spans="1:7" s="250" customFormat="1" x14ac:dyDescent="0.3">
      <c r="A1530" s="316">
        <v>45917</v>
      </c>
      <c r="B1530" s="316" t="s">
        <v>208</v>
      </c>
      <c r="C1530" s="422" t="s">
        <v>71</v>
      </c>
      <c r="D1530" s="300" t="s">
        <v>103</v>
      </c>
      <c r="E1530" s="317">
        <v>-300</v>
      </c>
      <c r="F1530" s="255" t="s">
        <v>8</v>
      </c>
      <c r="G1530" s="255" t="s">
        <v>68</v>
      </c>
    </row>
    <row r="1531" spans="1:7" s="250" customFormat="1" x14ac:dyDescent="0.3">
      <c r="A1531" s="316">
        <v>45917</v>
      </c>
      <c r="B1531" s="316" t="s">
        <v>208</v>
      </c>
      <c r="C1531" s="422" t="s">
        <v>107</v>
      </c>
      <c r="D1531" s="300" t="s">
        <v>103</v>
      </c>
      <c r="E1531" s="317">
        <v>-300</v>
      </c>
      <c r="F1531" s="255" t="s">
        <v>8</v>
      </c>
      <c r="G1531" s="255" t="s">
        <v>68</v>
      </c>
    </row>
    <row r="1532" spans="1:7" s="250" customFormat="1" x14ac:dyDescent="0.3">
      <c r="A1532" s="316">
        <v>45917</v>
      </c>
      <c r="B1532" s="316" t="s">
        <v>208</v>
      </c>
      <c r="C1532" s="422" t="s">
        <v>108</v>
      </c>
      <c r="D1532" s="300" t="s">
        <v>103</v>
      </c>
      <c r="E1532" s="317">
        <v>-350</v>
      </c>
      <c r="F1532" s="255" t="s">
        <v>8</v>
      </c>
      <c r="G1532" s="255" t="s">
        <v>68</v>
      </c>
    </row>
    <row r="1533" spans="1:7" s="250" customFormat="1" x14ac:dyDescent="0.3">
      <c r="A1533" s="316">
        <v>45917</v>
      </c>
      <c r="B1533" s="316" t="s">
        <v>208</v>
      </c>
      <c r="C1533" s="422" t="s">
        <v>109</v>
      </c>
      <c r="D1533" s="300" t="s">
        <v>103</v>
      </c>
      <c r="E1533" s="317">
        <v>-373.51</v>
      </c>
      <c r="F1533" s="255" t="s">
        <v>8</v>
      </c>
      <c r="G1533" s="255" t="s">
        <v>68</v>
      </c>
    </row>
    <row r="1534" spans="1:7" s="250" customFormat="1" x14ac:dyDescent="0.3">
      <c r="A1534" s="316">
        <v>45917</v>
      </c>
      <c r="B1534" s="316" t="s">
        <v>208</v>
      </c>
      <c r="C1534" s="293" t="s">
        <v>6</v>
      </c>
      <c r="D1534" s="293" t="s">
        <v>76</v>
      </c>
      <c r="E1534" s="248">
        <v>-2011.34</v>
      </c>
      <c r="F1534" s="254" t="s">
        <v>8</v>
      </c>
      <c r="G1534" s="254" t="s">
        <v>139</v>
      </c>
    </row>
    <row r="1535" spans="1:7" s="250" customFormat="1" x14ac:dyDescent="0.3">
      <c r="A1535" s="251">
        <v>45919</v>
      </c>
      <c r="B1535" s="316" t="s">
        <v>208</v>
      </c>
      <c r="C1535" s="252" t="s">
        <v>31</v>
      </c>
      <c r="D1535" s="293" t="s">
        <v>197</v>
      </c>
      <c r="E1535" s="248">
        <v>-3177.29</v>
      </c>
      <c r="F1535" s="254" t="s">
        <v>8</v>
      </c>
      <c r="G1535" s="254" t="s">
        <v>85</v>
      </c>
    </row>
    <row r="1536" spans="1:7" s="250" customFormat="1" x14ac:dyDescent="0.3">
      <c r="A1536" s="251">
        <v>45919</v>
      </c>
      <c r="B1536" s="316" t="s">
        <v>208</v>
      </c>
      <c r="C1536" s="252" t="s">
        <v>6</v>
      </c>
      <c r="D1536" s="293" t="s">
        <v>197</v>
      </c>
      <c r="E1536" s="248">
        <v>-2247.35</v>
      </c>
      <c r="F1536" s="254" t="s">
        <v>8</v>
      </c>
      <c r="G1536" s="254" t="s">
        <v>85</v>
      </c>
    </row>
    <row r="1537" spans="1:7" s="250" customFormat="1" x14ac:dyDescent="0.3">
      <c r="A1537" s="251">
        <v>45919</v>
      </c>
      <c r="B1537" s="316" t="s">
        <v>208</v>
      </c>
      <c r="C1537" s="252" t="s">
        <v>44</v>
      </c>
      <c r="D1537" s="293" t="s">
        <v>197</v>
      </c>
      <c r="E1537" s="248">
        <v>-1239.92</v>
      </c>
      <c r="F1537" s="254" t="s">
        <v>8</v>
      </c>
      <c r="G1537" s="254" t="s">
        <v>85</v>
      </c>
    </row>
    <row r="1538" spans="1:7" s="250" customFormat="1" x14ac:dyDescent="0.3">
      <c r="A1538" s="251">
        <v>45919</v>
      </c>
      <c r="B1538" s="316" t="s">
        <v>208</v>
      </c>
      <c r="C1538" s="252" t="s">
        <v>44</v>
      </c>
      <c r="D1538" s="293" t="s">
        <v>197</v>
      </c>
      <c r="E1538" s="248">
        <v>-3409.78</v>
      </c>
      <c r="F1538" s="254" t="s">
        <v>8</v>
      </c>
      <c r="G1538" s="254" t="s">
        <v>85</v>
      </c>
    </row>
    <row r="1539" spans="1:7" s="250" customFormat="1" x14ac:dyDescent="0.3">
      <c r="A1539" s="251">
        <v>45919</v>
      </c>
      <c r="B1539" s="316" t="s">
        <v>208</v>
      </c>
      <c r="C1539" s="252" t="s">
        <v>25</v>
      </c>
      <c r="D1539" s="293" t="s">
        <v>197</v>
      </c>
      <c r="E1539" s="248">
        <v>-3332.29</v>
      </c>
      <c r="F1539" s="254" t="s">
        <v>8</v>
      </c>
      <c r="G1539" s="254" t="s">
        <v>85</v>
      </c>
    </row>
    <row r="1540" spans="1:7" s="250" customFormat="1" x14ac:dyDescent="0.3">
      <c r="A1540" s="251">
        <v>45919</v>
      </c>
      <c r="B1540" s="316" t="s">
        <v>208</v>
      </c>
      <c r="C1540" s="252" t="s">
        <v>33</v>
      </c>
      <c r="D1540" s="293" t="s">
        <v>197</v>
      </c>
      <c r="E1540" s="248">
        <v>-929.94</v>
      </c>
      <c r="F1540" s="254" t="s">
        <v>8</v>
      </c>
      <c r="G1540" s="254" t="s">
        <v>85</v>
      </c>
    </row>
    <row r="1541" spans="1:7" s="250" customFormat="1" x14ac:dyDescent="0.3">
      <c r="A1541" s="251">
        <v>45919</v>
      </c>
      <c r="B1541" s="316" t="s">
        <v>208</v>
      </c>
      <c r="C1541" s="252" t="s">
        <v>104</v>
      </c>
      <c r="D1541" s="293" t="s">
        <v>197</v>
      </c>
      <c r="E1541" s="248">
        <v>-929.94</v>
      </c>
      <c r="F1541" s="254" t="s">
        <v>8</v>
      </c>
      <c r="G1541" s="254" t="s">
        <v>85</v>
      </c>
    </row>
    <row r="1542" spans="1:7" s="250" customFormat="1" ht="15" customHeight="1" x14ac:dyDescent="0.3">
      <c r="A1542" s="251">
        <v>45919</v>
      </c>
      <c r="B1542" s="316" t="s">
        <v>208</v>
      </c>
      <c r="C1542" s="252" t="s">
        <v>32</v>
      </c>
      <c r="D1542" s="293" t="s">
        <v>197</v>
      </c>
      <c r="E1542" s="248">
        <v>-232.49</v>
      </c>
      <c r="F1542" s="254" t="s">
        <v>8</v>
      </c>
      <c r="G1542" s="254" t="s">
        <v>85</v>
      </c>
    </row>
    <row r="1543" spans="1:7" s="250" customFormat="1" x14ac:dyDescent="0.3">
      <c r="A1543" s="251">
        <v>45919</v>
      </c>
      <c r="B1543" s="316" t="s">
        <v>208</v>
      </c>
      <c r="C1543" s="252" t="s">
        <v>71</v>
      </c>
      <c r="D1543" s="293" t="s">
        <v>197</v>
      </c>
      <c r="E1543" s="248">
        <v>-1084.93</v>
      </c>
      <c r="F1543" s="254" t="s">
        <v>8</v>
      </c>
      <c r="G1543" s="254" t="s">
        <v>85</v>
      </c>
    </row>
    <row r="1544" spans="1:7" s="250" customFormat="1" x14ac:dyDescent="0.3">
      <c r="A1544" s="251">
        <v>45919</v>
      </c>
      <c r="B1544" s="316" t="s">
        <v>208</v>
      </c>
      <c r="C1544" s="252" t="s">
        <v>17</v>
      </c>
      <c r="D1544" s="293" t="s">
        <v>197</v>
      </c>
      <c r="E1544" s="248">
        <v>-154.99</v>
      </c>
      <c r="F1544" s="254" t="s">
        <v>8</v>
      </c>
      <c r="G1544" s="254" t="s">
        <v>85</v>
      </c>
    </row>
    <row r="1545" spans="1:7" s="250" customFormat="1" x14ac:dyDescent="0.3">
      <c r="A1545" s="316">
        <v>45918</v>
      </c>
      <c r="B1545" s="316" t="s">
        <v>208</v>
      </c>
      <c r="C1545" s="293" t="s">
        <v>6</v>
      </c>
      <c r="D1545" s="293" t="s">
        <v>1451</v>
      </c>
      <c r="E1545" s="248">
        <v>-3619.33</v>
      </c>
      <c r="F1545" s="249" t="s">
        <v>8</v>
      </c>
      <c r="G1545" s="254" t="s">
        <v>139</v>
      </c>
    </row>
    <row r="1546" spans="1:7" s="250" customFormat="1" x14ac:dyDescent="0.3">
      <c r="A1546" s="316">
        <v>45918</v>
      </c>
      <c r="B1546" s="316" t="s">
        <v>208</v>
      </c>
      <c r="C1546" s="293" t="s">
        <v>71</v>
      </c>
      <c r="D1546" s="293" t="s">
        <v>1450</v>
      </c>
      <c r="E1546" s="248">
        <v>-354.28</v>
      </c>
      <c r="F1546" s="249" t="s">
        <v>8</v>
      </c>
      <c r="G1546" s="254" t="s">
        <v>227</v>
      </c>
    </row>
    <row r="1547" spans="1:7" s="250" customFormat="1" x14ac:dyDescent="0.3">
      <c r="A1547" s="316">
        <v>45918</v>
      </c>
      <c r="B1547" s="316" t="s">
        <v>208</v>
      </c>
      <c r="C1547" s="293" t="s">
        <v>17</v>
      </c>
      <c r="D1547" s="293" t="s">
        <v>201</v>
      </c>
      <c r="E1547" s="248">
        <v>-315</v>
      </c>
      <c r="F1547" s="249" t="s">
        <v>8</v>
      </c>
      <c r="G1547" s="254" t="s">
        <v>139</v>
      </c>
    </row>
    <row r="1548" spans="1:7" s="305" customFormat="1" x14ac:dyDescent="0.3">
      <c r="A1548" s="523">
        <v>45918</v>
      </c>
      <c r="B1548" s="523" t="s">
        <v>208</v>
      </c>
      <c r="C1548" s="304" t="s">
        <v>6</v>
      </c>
      <c r="D1548" s="304" t="s">
        <v>1374</v>
      </c>
      <c r="E1548" s="524">
        <v>-2000</v>
      </c>
      <c r="F1548" s="249" t="s">
        <v>8</v>
      </c>
      <c r="G1548" s="380" t="s">
        <v>186</v>
      </c>
    </row>
    <row r="1549" spans="1:7" s="305" customFormat="1" x14ac:dyDescent="0.3">
      <c r="A1549" s="523">
        <v>45918</v>
      </c>
      <c r="B1549" s="523" t="s">
        <v>208</v>
      </c>
      <c r="C1549" s="293" t="s">
        <v>31</v>
      </c>
      <c r="D1549" s="293" t="s">
        <v>1397</v>
      </c>
      <c r="E1549" s="248">
        <v>-177.57</v>
      </c>
      <c r="F1549" s="249" t="s">
        <v>8</v>
      </c>
      <c r="G1549" s="380" t="s">
        <v>124</v>
      </c>
    </row>
    <row r="1550" spans="1:7" s="305" customFormat="1" x14ac:dyDescent="0.3">
      <c r="A1550" s="523">
        <v>45918</v>
      </c>
      <c r="B1550" s="523" t="s">
        <v>208</v>
      </c>
      <c r="C1550" s="293" t="s">
        <v>31</v>
      </c>
      <c r="D1550" s="293" t="s">
        <v>1398</v>
      </c>
      <c r="E1550" s="248">
        <v>-180.73</v>
      </c>
      <c r="F1550" s="249" t="s">
        <v>8</v>
      </c>
      <c r="G1550" s="380" t="s">
        <v>124</v>
      </c>
    </row>
    <row r="1551" spans="1:7" s="305" customFormat="1" x14ac:dyDescent="0.3">
      <c r="A1551" s="523">
        <v>45918</v>
      </c>
      <c r="B1551" s="523" t="s">
        <v>208</v>
      </c>
      <c r="C1551" s="293" t="s">
        <v>31</v>
      </c>
      <c r="D1551" s="293" t="s">
        <v>1399</v>
      </c>
      <c r="E1551" s="248">
        <v>-174.63</v>
      </c>
      <c r="F1551" s="249" t="s">
        <v>8</v>
      </c>
      <c r="G1551" s="380" t="s">
        <v>124</v>
      </c>
    </row>
    <row r="1552" spans="1:7" s="305" customFormat="1" x14ac:dyDescent="0.3">
      <c r="A1552" s="523">
        <v>45918</v>
      </c>
      <c r="B1552" s="523" t="s">
        <v>208</v>
      </c>
      <c r="C1552" s="293" t="s">
        <v>31</v>
      </c>
      <c r="D1552" s="293" t="s">
        <v>1400</v>
      </c>
      <c r="E1552" s="248">
        <v>-172.92</v>
      </c>
      <c r="F1552" s="249" t="s">
        <v>8</v>
      </c>
      <c r="G1552" s="380" t="s">
        <v>124</v>
      </c>
    </row>
    <row r="1553" spans="1:7" s="305" customFormat="1" x14ac:dyDescent="0.3">
      <c r="A1553" s="523">
        <v>45918</v>
      </c>
      <c r="B1553" s="523" t="s">
        <v>208</v>
      </c>
      <c r="C1553" s="293" t="s">
        <v>31</v>
      </c>
      <c r="D1553" s="293" t="s">
        <v>1401</v>
      </c>
      <c r="E1553" s="248">
        <v>-181.6</v>
      </c>
      <c r="F1553" s="249" t="s">
        <v>8</v>
      </c>
      <c r="G1553" s="380" t="s">
        <v>124</v>
      </c>
    </row>
    <row r="1554" spans="1:7" s="305" customFormat="1" x14ac:dyDescent="0.3">
      <c r="A1554" s="523">
        <v>45918</v>
      </c>
      <c r="B1554" s="523" t="s">
        <v>208</v>
      </c>
      <c r="C1554" s="293" t="s">
        <v>31</v>
      </c>
      <c r="D1554" s="293" t="s">
        <v>1402</v>
      </c>
      <c r="E1554" s="248">
        <v>-176.47</v>
      </c>
      <c r="F1554" s="249" t="s">
        <v>8</v>
      </c>
      <c r="G1554" s="380" t="s">
        <v>124</v>
      </c>
    </row>
    <row r="1555" spans="1:7" s="305" customFormat="1" x14ac:dyDescent="0.3">
      <c r="A1555" s="523">
        <v>45918</v>
      </c>
      <c r="B1555" s="523" t="s">
        <v>208</v>
      </c>
      <c r="C1555" s="293" t="s">
        <v>31</v>
      </c>
      <c r="D1555" s="293" t="s">
        <v>1403</v>
      </c>
      <c r="E1555" s="248">
        <v>-173.76</v>
      </c>
      <c r="F1555" s="249" t="s">
        <v>8</v>
      </c>
      <c r="G1555" s="380" t="s">
        <v>124</v>
      </c>
    </row>
    <row r="1556" spans="1:7" s="305" customFormat="1" x14ac:dyDescent="0.3">
      <c r="A1556" s="523">
        <v>45918</v>
      </c>
      <c r="B1556" s="523" t="s">
        <v>208</v>
      </c>
      <c r="C1556" s="293" t="s">
        <v>31</v>
      </c>
      <c r="D1556" s="293" t="s">
        <v>1404</v>
      </c>
      <c r="E1556" s="248">
        <v>-183.68</v>
      </c>
      <c r="F1556" s="249" t="s">
        <v>8</v>
      </c>
      <c r="G1556" s="380" t="s">
        <v>124</v>
      </c>
    </row>
    <row r="1557" spans="1:7" s="305" customFormat="1" x14ac:dyDescent="0.3">
      <c r="A1557" s="523">
        <v>45918</v>
      </c>
      <c r="B1557" s="523" t="s">
        <v>208</v>
      </c>
      <c r="C1557" s="293" t="s">
        <v>31</v>
      </c>
      <c r="D1557" s="293" t="s">
        <v>1405</v>
      </c>
      <c r="E1557" s="248">
        <v>-185.9</v>
      </c>
      <c r="F1557" s="249" t="s">
        <v>8</v>
      </c>
      <c r="G1557" s="380" t="s">
        <v>124</v>
      </c>
    </row>
    <row r="1558" spans="1:7" s="305" customFormat="1" x14ac:dyDescent="0.3">
      <c r="A1558" s="523">
        <v>45918</v>
      </c>
      <c r="B1558" s="523" t="s">
        <v>208</v>
      </c>
      <c r="C1558" s="293" t="s">
        <v>31</v>
      </c>
      <c r="D1558" s="293" t="s">
        <v>1406</v>
      </c>
      <c r="E1558" s="248">
        <v>-182.77</v>
      </c>
      <c r="F1558" s="249" t="s">
        <v>8</v>
      </c>
      <c r="G1558" s="380" t="s">
        <v>124</v>
      </c>
    </row>
    <row r="1559" spans="1:7" s="305" customFormat="1" x14ac:dyDescent="0.3">
      <c r="A1559" s="523">
        <v>45918</v>
      </c>
      <c r="B1559" s="523" t="s">
        <v>208</v>
      </c>
      <c r="C1559" s="293" t="s">
        <v>31</v>
      </c>
      <c r="D1559" s="293" t="s">
        <v>1407</v>
      </c>
      <c r="E1559" s="248">
        <v>-175.53</v>
      </c>
      <c r="F1559" s="249" t="s">
        <v>8</v>
      </c>
      <c r="G1559" s="380" t="s">
        <v>124</v>
      </c>
    </row>
    <row r="1560" spans="1:7" s="250" customFormat="1" x14ac:dyDescent="0.3">
      <c r="A1560" s="316">
        <v>45919</v>
      </c>
      <c r="B1560" s="316" t="s">
        <v>208</v>
      </c>
      <c r="C1560" s="423" t="s">
        <v>13</v>
      </c>
      <c r="D1560" s="300" t="s">
        <v>1339</v>
      </c>
      <c r="E1560" s="317">
        <v>-5028.43</v>
      </c>
      <c r="F1560" s="249" t="s">
        <v>8</v>
      </c>
      <c r="G1560" s="254" t="s">
        <v>46</v>
      </c>
    </row>
    <row r="1561" spans="1:7" s="250" customFormat="1" x14ac:dyDescent="0.3">
      <c r="A1561" s="316">
        <v>45922</v>
      </c>
      <c r="B1561" s="316" t="s">
        <v>208</v>
      </c>
      <c r="C1561" s="293" t="s">
        <v>31</v>
      </c>
      <c r="D1561" s="293" t="s">
        <v>1134</v>
      </c>
      <c r="E1561" s="393">
        <v>-1689.3</v>
      </c>
      <c r="F1561" s="249" t="s">
        <v>8</v>
      </c>
      <c r="G1561" s="255" t="s">
        <v>119</v>
      </c>
    </row>
    <row r="1562" spans="1:7" s="250" customFormat="1" x14ac:dyDescent="0.3">
      <c r="A1562" s="316">
        <v>45922</v>
      </c>
      <c r="B1562" s="316" t="s">
        <v>208</v>
      </c>
      <c r="C1562" s="293" t="s">
        <v>6</v>
      </c>
      <c r="D1562" s="293" t="s">
        <v>1134</v>
      </c>
      <c r="E1562" s="393">
        <v>-1689.3</v>
      </c>
      <c r="F1562" s="249" t="s">
        <v>8</v>
      </c>
      <c r="G1562" s="255" t="s">
        <v>119</v>
      </c>
    </row>
    <row r="1563" spans="1:7" s="250" customFormat="1" x14ac:dyDescent="0.3">
      <c r="A1563" s="316">
        <v>45922</v>
      </c>
      <c r="B1563" s="316" t="s">
        <v>208</v>
      </c>
      <c r="C1563" s="293" t="s">
        <v>44</v>
      </c>
      <c r="D1563" s="293" t="s">
        <v>1134</v>
      </c>
      <c r="E1563" s="393">
        <v>-1689.3</v>
      </c>
      <c r="F1563" s="249" t="s">
        <v>8</v>
      </c>
      <c r="G1563" s="255" t="s">
        <v>119</v>
      </c>
    </row>
    <row r="1564" spans="1:7" s="250" customFormat="1" x14ac:dyDescent="0.3">
      <c r="A1564" s="316">
        <v>45922</v>
      </c>
      <c r="B1564" s="316" t="s">
        <v>208</v>
      </c>
      <c r="C1564" s="293" t="s">
        <v>25</v>
      </c>
      <c r="D1564" s="293" t="s">
        <v>1134</v>
      </c>
      <c r="E1564" s="393">
        <v>-1689.3</v>
      </c>
      <c r="F1564" s="249" t="s">
        <v>8</v>
      </c>
      <c r="G1564" s="255" t="s">
        <v>119</v>
      </c>
    </row>
    <row r="1565" spans="1:7" s="250" customFormat="1" x14ac:dyDescent="0.3">
      <c r="A1565" s="316">
        <v>45922</v>
      </c>
      <c r="B1565" s="316" t="s">
        <v>208</v>
      </c>
      <c r="C1565" s="293" t="s">
        <v>33</v>
      </c>
      <c r="D1565" s="293" t="s">
        <v>1134</v>
      </c>
      <c r="E1565" s="393">
        <v>-1689.3</v>
      </c>
      <c r="F1565" s="249" t="s">
        <v>8</v>
      </c>
      <c r="G1565" s="255" t="s">
        <v>119</v>
      </c>
    </row>
    <row r="1566" spans="1:7" s="250" customFormat="1" x14ac:dyDescent="0.3">
      <c r="A1566" s="316">
        <v>45922</v>
      </c>
      <c r="B1566" s="316" t="s">
        <v>208</v>
      </c>
      <c r="C1566" s="293" t="s">
        <v>104</v>
      </c>
      <c r="D1566" s="293" t="s">
        <v>1134</v>
      </c>
      <c r="E1566" s="393">
        <v>-1689.3</v>
      </c>
      <c r="F1566" s="249" t="s">
        <v>8</v>
      </c>
      <c r="G1566" s="255" t="s">
        <v>119</v>
      </c>
    </row>
    <row r="1567" spans="1:7" s="250" customFormat="1" x14ac:dyDescent="0.3">
      <c r="A1567" s="316">
        <v>45922</v>
      </c>
      <c r="B1567" s="316" t="s">
        <v>208</v>
      </c>
      <c r="C1567" s="293" t="s">
        <v>32</v>
      </c>
      <c r="D1567" s="293" t="s">
        <v>1134</v>
      </c>
      <c r="E1567" s="393">
        <v>-1689.3</v>
      </c>
      <c r="F1567" s="249" t="s">
        <v>8</v>
      </c>
      <c r="G1567" s="255" t="s">
        <v>119</v>
      </c>
    </row>
    <row r="1568" spans="1:7" s="250" customFormat="1" x14ac:dyDescent="0.3">
      <c r="A1568" s="316">
        <v>45922</v>
      </c>
      <c r="B1568" s="316" t="s">
        <v>208</v>
      </c>
      <c r="C1568" s="293" t="s">
        <v>71</v>
      </c>
      <c r="D1568" s="293" t="s">
        <v>1134</v>
      </c>
      <c r="E1568" s="393">
        <v>-1689.3</v>
      </c>
      <c r="F1568" s="249" t="s">
        <v>8</v>
      </c>
      <c r="G1568" s="255" t="s">
        <v>119</v>
      </c>
    </row>
    <row r="1569" spans="1:7" s="250" customFormat="1" x14ac:dyDescent="0.3">
      <c r="A1569" s="316">
        <v>45922</v>
      </c>
      <c r="B1569" s="316" t="s">
        <v>208</v>
      </c>
      <c r="C1569" s="293" t="s">
        <v>17</v>
      </c>
      <c r="D1569" s="293" t="s">
        <v>1134</v>
      </c>
      <c r="E1569" s="393">
        <v>-2346.25</v>
      </c>
      <c r="F1569" s="249" t="s">
        <v>8</v>
      </c>
      <c r="G1569" s="255" t="s">
        <v>119</v>
      </c>
    </row>
    <row r="1570" spans="1:7" s="250" customFormat="1" x14ac:dyDescent="0.3">
      <c r="A1570" s="316">
        <v>45922</v>
      </c>
      <c r="B1570" s="316" t="s">
        <v>208</v>
      </c>
      <c r="C1570" s="371" t="s">
        <v>6</v>
      </c>
      <c r="D1570" s="300" t="s">
        <v>121</v>
      </c>
      <c r="E1570" s="248">
        <v>-1114.33</v>
      </c>
      <c r="F1570" s="249" t="s">
        <v>8</v>
      </c>
      <c r="G1570" s="255" t="s">
        <v>68</v>
      </c>
    </row>
    <row r="1571" spans="1:7" s="250" customFormat="1" x14ac:dyDescent="0.3">
      <c r="A1571" s="316">
        <v>45922</v>
      </c>
      <c r="B1571" s="316" t="s">
        <v>208</v>
      </c>
      <c r="C1571" s="371" t="s">
        <v>6</v>
      </c>
      <c r="D1571" s="300" t="s">
        <v>122</v>
      </c>
      <c r="E1571" s="317">
        <v>-39.799999999999997</v>
      </c>
      <c r="F1571" s="249" t="s">
        <v>8</v>
      </c>
      <c r="G1571" s="255" t="s">
        <v>68</v>
      </c>
    </row>
    <row r="1572" spans="1:7" s="139" customFormat="1" hidden="1" x14ac:dyDescent="0.3">
      <c r="A1572" s="100">
        <v>45946</v>
      </c>
      <c r="B1572" s="100" t="s">
        <v>211</v>
      </c>
      <c r="C1572" s="287" t="s">
        <v>44</v>
      </c>
      <c r="D1572" s="4" t="s">
        <v>1428</v>
      </c>
      <c r="E1572" s="16">
        <v>-4492.67</v>
      </c>
      <c r="F1572" s="13" t="s">
        <v>8</v>
      </c>
      <c r="G1572" s="105" t="s">
        <v>124</v>
      </c>
    </row>
    <row r="1573" spans="1:7" s="139" customFormat="1" hidden="1" x14ac:dyDescent="0.3">
      <c r="A1573" s="100">
        <v>45946</v>
      </c>
      <c r="B1573" s="100" t="s">
        <v>211</v>
      </c>
      <c r="C1573" s="287" t="s">
        <v>25</v>
      </c>
      <c r="D1573" s="4" t="s">
        <v>1429</v>
      </c>
      <c r="E1573" s="16">
        <v>-1105.31</v>
      </c>
      <c r="F1573" s="13" t="s">
        <v>8</v>
      </c>
      <c r="G1573" s="105" t="s">
        <v>124</v>
      </c>
    </row>
    <row r="1574" spans="1:7" s="139" customFormat="1" hidden="1" x14ac:dyDescent="0.3">
      <c r="A1574" s="100">
        <v>45946</v>
      </c>
      <c r="B1574" s="100" t="s">
        <v>211</v>
      </c>
      <c r="C1574" s="287" t="s">
        <v>31</v>
      </c>
      <c r="D1574" s="4" t="s">
        <v>1430</v>
      </c>
      <c r="E1574" s="16">
        <v>-1375.8</v>
      </c>
      <c r="F1574" s="13" t="s">
        <v>8</v>
      </c>
      <c r="G1574" s="105" t="s">
        <v>124</v>
      </c>
    </row>
    <row r="1575" spans="1:7" s="139" customFormat="1" hidden="1" x14ac:dyDescent="0.3">
      <c r="A1575" s="100">
        <v>45946</v>
      </c>
      <c r="B1575" s="100" t="s">
        <v>211</v>
      </c>
      <c r="C1575" s="287" t="s">
        <v>32</v>
      </c>
      <c r="D1575" s="4" t="s">
        <v>1431</v>
      </c>
      <c r="E1575" s="16">
        <v>-1418.32</v>
      </c>
      <c r="F1575" s="13" t="s">
        <v>8</v>
      </c>
      <c r="G1575" s="105" t="s">
        <v>124</v>
      </c>
    </row>
    <row r="1576" spans="1:7" s="139" customFormat="1" hidden="1" x14ac:dyDescent="0.3">
      <c r="A1576" s="100">
        <v>45946</v>
      </c>
      <c r="B1576" s="100" t="s">
        <v>211</v>
      </c>
      <c r="C1576" s="287" t="s">
        <v>33</v>
      </c>
      <c r="D1576" s="4" t="s">
        <v>1432</v>
      </c>
      <c r="E1576" s="16">
        <v>-5040.0600000000004</v>
      </c>
      <c r="F1576" s="13" t="s">
        <v>8</v>
      </c>
      <c r="G1576" s="105" t="s">
        <v>124</v>
      </c>
    </row>
    <row r="1577" spans="1:7" s="139" customFormat="1" hidden="1" x14ac:dyDescent="0.3">
      <c r="A1577" s="100">
        <v>45946</v>
      </c>
      <c r="B1577" s="100" t="s">
        <v>211</v>
      </c>
      <c r="C1577" s="287" t="s">
        <v>34</v>
      </c>
      <c r="D1577" s="4" t="s">
        <v>1433</v>
      </c>
      <c r="E1577" s="16">
        <v>-5232.74</v>
      </c>
      <c r="F1577" s="13" t="s">
        <v>8</v>
      </c>
      <c r="G1577" s="105" t="s">
        <v>124</v>
      </c>
    </row>
    <row r="1578" spans="1:7" s="139" customFormat="1" hidden="1" x14ac:dyDescent="0.3">
      <c r="A1578" s="100">
        <v>45946</v>
      </c>
      <c r="B1578" s="100" t="s">
        <v>211</v>
      </c>
      <c r="C1578" s="287" t="s">
        <v>30</v>
      </c>
      <c r="D1578" s="4" t="s">
        <v>1434</v>
      </c>
      <c r="E1578" s="16">
        <v>-884.67</v>
      </c>
      <c r="F1578" s="13" t="s">
        <v>8</v>
      </c>
      <c r="G1578" s="105" t="s">
        <v>124</v>
      </c>
    </row>
    <row r="1579" spans="1:7" s="139" customFormat="1" hidden="1" x14ac:dyDescent="0.3">
      <c r="A1579" s="100">
        <v>45946</v>
      </c>
      <c r="B1579" s="100" t="s">
        <v>211</v>
      </c>
      <c r="C1579" s="6" t="s">
        <v>17</v>
      </c>
      <c r="D1579" s="7" t="s">
        <v>1603</v>
      </c>
      <c r="E1579" s="16">
        <v>-13668.57</v>
      </c>
      <c r="F1579" s="13" t="s">
        <v>8</v>
      </c>
      <c r="G1579" s="105" t="s">
        <v>124</v>
      </c>
    </row>
    <row r="1580" spans="1:7" s="139" customFormat="1" hidden="1" x14ac:dyDescent="0.3">
      <c r="A1580" s="100">
        <v>45946</v>
      </c>
      <c r="B1580" s="100" t="s">
        <v>211</v>
      </c>
      <c r="C1580" s="14" t="s">
        <v>31</v>
      </c>
      <c r="D1580" s="14" t="s">
        <v>1410</v>
      </c>
      <c r="E1580" s="8">
        <v>-7240.94</v>
      </c>
      <c r="F1580" s="13" t="s">
        <v>8</v>
      </c>
      <c r="G1580" s="105" t="s">
        <v>124</v>
      </c>
    </row>
    <row r="1581" spans="1:7" s="139" customFormat="1" ht="15" hidden="1" customHeight="1" x14ac:dyDescent="0.3">
      <c r="A1581" s="100">
        <v>45946</v>
      </c>
      <c r="B1581" s="100" t="s">
        <v>211</v>
      </c>
      <c r="C1581" s="14" t="s">
        <v>6</v>
      </c>
      <c r="D1581" s="14" t="s">
        <v>1411</v>
      </c>
      <c r="E1581" s="8">
        <v>-10349.69</v>
      </c>
      <c r="F1581" s="13" t="s">
        <v>8</v>
      </c>
      <c r="G1581" s="105" t="s">
        <v>124</v>
      </c>
    </row>
    <row r="1582" spans="1:7" s="250" customFormat="1" ht="16.2" customHeight="1" x14ac:dyDescent="0.3">
      <c r="A1582" s="316">
        <v>45919</v>
      </c>
      <c r="B1582" s="316" t="s">
        <v>208</v>
      </c>
      <c r="C1582" s="293" t="s">
        <v>44</v>
      </c>
      <c r="D1582" s="293" t="s">
        <v>1412</v>
      </c>
      <c r="E1582" s="248">
        <v>-3877.89</v>
      </c>
      <c r="F1582" s="249" t="s">
        <v>8</v>
      </c>
      <c r="G1582" s="374" t="s">
        <v>124</v>
      </c>
    </row>
    <row r="1583" spans="1:7" s="250" customFormat="1" x14ac:dyDescent="0.3">
      <c r="A1583" s="316">
        <v>45919</v>
      </c>
      <c r="B1583" s="316" t="s">
        <v>208</v>
      </c>
      <c r="C1583" s="293" t="s">
        <v>25</v>
      </c>
      <c r="D1583" s="293" t="s">
        <v>1413</v>
      </c>
      <c r="E1583" s="248">
        <v>-6173.28</v>
      </c>
      <c r="F1583" s="249" t="s">
        <v>8</v>
      </c>
      <c r="G1583" s="374" t="s">
        <v>124</v>
      </c>
    </row>
    <row r="1584" spans="1:7" s="139" customFormat="1" hidden="1" x14ac:dyDescent="0.3">
      <c r="A1584" s="100">
        <v>45946</v>
      </c>
      <c r="B1584" s="100" t="s">
        <v>211</v>
      </c>
      <c r="C1584" s="14" t="s">
        <v>33</v>
      </c>
      <c r="D1584" s="14" t="s">
        <v>1414</v>
      </c>
      <c r="E1584" s="8">
        <v>-2131.9499999999998</v>
      </c>
      <c r="F1584" s="13" t="s">
        <v>8</v>
      </c>
      <c r="G1584" s="105" t="s">
        <v>124</v>
      </c>
    </row>
    <row r="1585" spans="1:7" s="250" customFormat="1" x14ac:dyDescent="0.3">
      <c r="A1585" s="316">
        <v>45919</v>
      </c>
      <c r="B1585" s="316" t="s">
        <v>208</v>
      </c>
      <c r="C1585" s="293" t="s">
        <v>104</v>
      </c>
      <c r="D1585" s="293" t="s">
        <v>1415</v>
      </c>
      <c r="E1585" s="248">
        <v>-54.75</v>
      </c>
      <c r="F1585" s="249" t="s">
        <v>8</v>
      </c>
      <c r="G1585" s="374" t="s">
        <v>124</v>
      </c>
    </row>
    <row r="1586" spans="1:7" s="139" customFormat="1" hidden="1" x14ac:dyDescent="0.3">
      <c r="A1586" s="100">
        <v>45946</v>
      </c>
      <c r="B1586" s="100" t="s">
        <v>211</v>
      </c>
      <c r="C1586" s="14" t="s">
        <v>32</v>
      </c>
      <c r="D1586" s="14" t="s">
        <v>1416</v>
      </c>
      <c r="E1586" s="8">
        <v>-7599.89</v>
      </c>
      <c r="F1586" s="13" t="s">
        <v>8</v>
      </c>
      <c r="G1586" s="105" t="s">
        <v>124</v>
      </c>
    </row>
    <row r="1587" spans="1:7" s="139" customFormat="1" hidden="1" x14ac:dyDescent="0.3">
      <c r="A1587" s="100">
        <v>45946</v>
      </c>
      <c r="B1587" s="100" t="s">
        <v>211</v>
      </c>
      <c r="C1587" s="14" t="s">
        <v>71</v>
      </c>
      <c r="D1587" s="97" t="s">
        <v>1417</v>
      </c>
      <c r="E1587" s="77">
        <v>-2851.4</v>
      </c>
      <c r="F1587" s="27" t="s">
        <v>8</v>
      </c>
      <c r="G1587" s="180" t="s">
        <v>124</v>
      </c>
    </row>
    <row r="1588" spans="1:7" s="139" customFormat="1" hidden="1" x14ac:dyDescent="0.3">
      <c r="A1588" s="100">
        <v>45946</v>
      </c>
      <c r="B1588" s="100" t="s">
        <v>211</v>
      </c>
      <c r="C1588" s="14" t="s">
        <v>17</v>
      </c>
      <c r="D1588" s="14" t="s">
        <v>1418</v>
      </c>
      <c r="E1588" s="8">
        <v>-16742.48</v>
      </c>
      <c r="F1588" s="13" t="s">
        <v>8</v>
      </c>
      <c r="G1588" s="105" t="s">
        <v>124</v>
      </c>
    </row>
    <row r="1589" spans="1:7" s="250" customFormat="1" x14ac:dyDescent="0.3">
      <c r="A1589" s="316">
        <v>45919</v>
      </c>
      <c r="B1589" s="316" t="s">
        <v>208</v>
      </c>
      <c r="C1589" s="293" t="s">
        <v>31</v>
      </c>
      <c r="D1589" s="293" t="s">
        <v>1419</v>
      </c>
      <c r="E1589" s="248">
        <v>-11538.22</v>
      </c>
      <c r="F1589" s="249" t="s">
        <v>8</v>
      </c>
      <c r="G1589" s="374" t="s">
        <v>124</v>
      </c>
    </row>
    <row r="1590" spans="1:7" s="250" customFormat="1" x14ac:dyDescent="0.3">
      <c r="A1590" s="316">
        <v>45919</v>
      </c>
      <c r="B1590" s="316" t="s">
        <v>208</v>
      </c>
      <c r="C1590" s="293" t="s">
        <v>6</v>
      </c>
      <c r="D1590" s="293" t="s">
        <v>1420</v>
      </c>
      <c r="E1590" s="248">
        <v>-5859.72</v>
      </c>
      <c r="F1590" s="249" t="s">
        <v>8</v>
      </c>
      <c r="G1590" s="374" t="s">
        <v>124</v>
      </c>
    </row>
    <row r="1591" spans="1:7" s="250" customFormat="1" x14ac:dyDescent="0.3">
      <c r="A1591" s="316">
        <v>45919</v>
      </c>
      <c r="B1591" s="316" t="s">
        <v>208</v>
      </c>
      <c r="C1591" s="293" t="s">
        <v>44</v>
      </c>
      <c r="D1591" s="293" t="s">
        <v>1421</v>
      </c>
      <c r="E1591" s="248">
        <v>-4698.51</v>
      </c>
      <c r="F1591" s="249" t="s">
        <v>8</v>
      </c>
      <c r="G1591" s="374" t="s">
        <v>124</v>
      </c>
    </row>
    <row r="1592" spans="1:7" s="250" customFormat="1" x14ac:dyDescent="0.3">
      <c r="A1592" s="316">
        <v>45919</v>
      </c>
      <c r="B1592" s="316" t="s">
        <v>208</v>
      </c>
      <c r="C1592" s="293" t="s">
        <v>25</v>
      </c>
      <c r="D1592" s="293" t="s">
        <v>1422</v>
      </c>
      <c r="E1592" s="248">
        <v>-8746.14</v>
      </c>
      <c r="F1592" s="249" t="s">
        <v>8</v>
      </c>
      <c r="G1592" s="374" t="s">
        <v>124</v>
      </c>
    </row>
    <row r="1593" spans="1:7" s="250" customFormat="1" x14ac:dyDescent="0.3">
      <c r="A1593" s="316">
        <v>45919</v>
      </c>
      <c r="B1593" s="316" t="s">
        <v>208</v>
      </c>
      <c r="C1593" s="293" t="s">
        <v>33</v>
      </c>
      <c r="D1593" s="293" t="s">
        <v>1423</v>
      </c>
      <c r="E1593" s="248">
        <v>-5082.6099999999997</v>
      </c>
      <c r="F1593" s="249" t="s">
        <v>8</v>
      </c>
      <c r="G1593" s="374" t="s">
        <v>124</v>
      </c>
    </row>
    <row r="1594" spans="1:7" s="250" customFormat="1" x14ac:dyDescent="0.3">
      <c r="A1594" s="316">
        <v>45919</v>
      </c>
      <c r="B1594" s="316" t="s">
        <v>208</v>
      </c>
      <c r="C1594" s="293" t="s">
        <v>104</v>
      </c>
      <c r="D1594" s="293" t="s">
        <v>1424</v>
      </c>
      <c r="E1594" s="248">
        <v>-2832.62</v>
      </c>
      <c r="F1594" s="249" t="s">
        <v>8</v>
      </c>
      <c r="G1594" s="374" t="s">
        <v>124</v>
      </c>
    </row>
    <row r="1595" spans="1:7" s="250" customFormat="1" x14ac:dyDescent="0.3">
      <c r="A1595" s="316">
        <v>45919</v>
      </c>
      <c r="B1595" s="316" t="s">
        <v>208</v>
      </c>
      <c r="C1595" s="293" t="s">
        <v>32</v>
      </c>
      <c r="D1595" s="293" t="s">
        <v>1425</v>
      </c>
      <c r="E1595" s="248">
        <v>-9064.18</v>
      </c>
      <c r="F1595" s="249" t="s">
        <v>8</v>
      </c>
      <c r="G1595" s="374" t="s">
        <v>124</v>
      </c>
    </row>
    <row r="1596" spans="1:7" s="250" customFormat="1" ht="13.2" customHeight="1" x14ac:dyDescent="0.3">
      <c r="A1596" s="316">
        <v>45919</v>
      </c>
      <c r="B1596" s="316" t="s">
        <v>208</v>
      </c>
      <c r="C1596" s="293" t="s">
        <v>71</v>
      </c>
      <c r="D1596" s="293" t="s">
        <v>1426</v>
      </c>
      <c r="E1596" s="248">
        <v>-3638.69</v>
      </c>
      <c r="F1596" s="249" t="s">
        <v>8</v>
      </c>
      <c r="G1596" s="374" t="s">
        <v>124</v>
      </c>
    </row>
    <row r="1597" spans="1:7" s="250" customFormat="1" x14ac:dyDescent="0.3">
      <c r="A1597" s="316">
        <v>45919</v>
      </c>
      <c r="B1597" s="316" t="s">
        <v>208</v>
      </c>
      <c r="C1597" s="293" t="s">
        <v>17</v>
      </c>
      <c r="D1597" s="293" t="s">
        <v>1427</v>
      </c>
      <c r="E1597" s="248">
        <v>-3544.6</v>
      </c>
      <c r="F1597" s="249" t="s">
        <v>8</v>
      </c>
      <c r="G1597" s="374" t="s">
        <v>124</v>
      </c>
    </row>
    <row r="1598" spans="1:7" s="250" customFormat="1" x14ac:dyDescent="0.3">
      <c r="A1598" s="316">
        <v>45922</v>
      </c>
      <c r="B1598" s="316" t="s">
        <v>208</v>
      </c>
      <c r="C1598" s="463" t="s">
        <v>6</v>
      </c>
      <c r="D1598" s="462" t="s">
        <v>1340</v>
      </c>
      <c r="E1598" s="588">
        <v>-72096.91</v>
      </c>
      <c r="F1598" s="373" t="s">
        <v>8</v>
      </c>
      <c r="G1598" s="270" t="s">
        <v>27</v>
      </c>
    </row>
    <row r="1599" spans="1:7" s="250" customFormat="1" x14ac:dyDescent="0.3">
      <c r="A1599" s="316">
        <v>45922</v>
      </c>
      <c r="B1599" s="316" t="s">
        <v>208</v>
      </c>
      <c r="C1599" s="293" t="s">
        <v>6</v>
      </c>
      <c r="D1599" s="293" t="s">
        <v>654</v>
      </c>
      <c r="E1599" s="248">
        <v>-9186.57</v>
      </c>
      <c r="F1599" s="249" t="s">
        <v>8</v>
      </c>
      <c r="G1599" s="254" t="s">
        <v>82</v>
      </c>
    </row>
    <row r="1600" spans="1:7" s="250" customFormat="1" x14ac:dyDescent="0.3">
      <c r="A1600" s="316">
        <v>45922</v>
      </c>
      <c r="B1600" s="316" t="s">
        <v>208</v>
      </c>
      <c r="C1600" s="293" t="s">
        <v>44</v>
      </c>
      <c r="D1600" s="293" t="s">
        <v>654</v>
      </c>
      <c r="E1600" s="248">
        <v>-1373.01</v>
      </c>
      <c r="F1600" s="249" t="s">
        <v>8</v>
      </c>
      <c r="G1600" s="254" t="s">
        <v>82</v>
      </c>
    </row>
    <row r="1601" spans="1:7" s="250" customFormat="1" x14ac:dyDescent="0.3">
      <c r="A1601" s="316">
        <v>45922</v>
      </c>
      <c r="B1601" s="316" t="s">
        <v>208</v>
      </c>
      <c r="C1601" s="293" t="s">
        <v>33</v>
      </c>
      <c r="D1601" s="293" t="s">
        <v>654</v>
      </c>
      <c r="E1601" s="248">
        <v>-217.38</v>
      </c>
      <c r="F1601" s="249" t="s">
        <v>8</v>
      </c>
      <c r="G1601" s="254" t="s">
        <v>82</v>
      </c>
    </row>
    <row r="1602" spans="1:7" s="250" customFormat="1" x14ac:dyDescent="0.3">
      <c r="A1602" s="316">
        <v>45922</v>
      </c>
      <c r="B1602" s="316" t="s">
        <v>208</v>
      </c>
      <c r="C1602" s="296" t="s">
        <v>104</v>
      </c>
      <c r="D1602" s="293" t="s">
        <v>654</v>
      </c>
      <c r="E1602" s="248">
        <v>-1366.4</v>
      </c>
      <c r="F1602" s="249" t="s">
        <v>8</v>
      </c>
      <c r="G1602" s="254" t="s">
        <v>82</v>
      </c>
    </row>
    <row r="1603" spans="1:7" s="250" customFormat="1" x14ac:dyDescent="0.3">
      <c r="A1603" s="316">
        <v>45922</v>
      </c>
      <c r="B1603" s="316" t="s">
        <v>208</v>
      </c>
      <c r="C1603" s="296" t="s">
        <v>32</v>
      </c>
      <c r="D1603" s="293" t="s">
        <v>654</v>
      </c>
      <c r="E1603" s="248">
        <v>-3091.6</v>
      </c>
      <c r="F1603" s="249" t="s">
        <v>8</v>
      </c>
      <c r="G1603" s="254" t="s">
        <v>82</v>
      </c>
    </row>
    <row r="1604" spans="1:7" s="250" customFormat="1" x14ac:dyDescent="0.3">
      <c r="A1604" s="316">
        <v>45922</v>
      </c>
      <c r="B1604" s="316" t="s">
        <v>208</v>
      </c>
      <c r="C1604" s="296" t="s">
        <v>71</v>
      </c>
      <c r="D1604" s="293" t="s">
        <v>654</v>
      </c>
      <c r="E1604" s="248">
        <v>-1565.84</v>
      </c>
      <c r="F1604" s="249" t="s">
        <v>8</v>
      </c>
      <c r="G1604" s="254" t="s">
        <v>82</v>
      </c>
    </row>
    <row r="1605" spans="1:7" s="250" customFormat="1" x14ac:dyDescent="0.3">
      <c r="A1605" s="316">
        <v>45922</v>
      </c>
      <c r="B1605" s="316" t="s">
        <v>208</v>
      </c>
      <c r="C1605" s="296" t="s">
        <v>17</v>
      </c>
      <c r="D1605" s="293" t="s">
        <v>654</v>
      </c>
      <c r="E1605" s="248">
        <v>-16807.55</v>
      </c>
      <c r="F1605" s="249" t="s">
        <v>8</v>
      </c>
      <c r="G1605" s="254" t="s">
        <v>82</v>
      </c>
    </row>
    <row r="1606" spans="1:7" s="250" customFormat="1" x14ac:dyDescent="0.3">
      <c r="A1606" s="316">
        <v>45922</v>
      </c>
      <c r="B1606" s="316" t="s">
        <v>208</v>
      </c>
      <c r="C1606" s="339" t="s">
        <v>25</v>
      </c>
      <c r="D1606" s="293" t="s">
        <v>1456</v>
      </c>
      <c r="E1606" s="393">
        <v>-70</v>
      </c>
      <c r="F1606" s="249" t="s">
        <v>8</v>
      </c>
      <c r="G1606" s="254" t="s">
        <v>82</v>
      </c>
    </row>
    <row r="1607" spans="1:7" s="250" customFormat="1" x14ac:dyDescent="0.3">
      <c r="A1607" s="316">
        <v>45923</v>
      </c>
      <c r="B1607" s="316" t="s">
        <v>208</v>
      </c>
      <c r="C1607" s="371" t="s">
        <v>6</v>
      </c>
      <c r="D1607" s="300" t="s">
        <v>47</v>
      </c>
      <c r="E1607" s="317">
        <v>-6320</v>
      </c>
      <c r="F1607" s="249" t="s">
        <v>8</v>
      </c>
      <c r="G1607" s="255" t="s">
        <v>27</v>
      </c>
    </row>
    <row r="1608" spans="1:7" s="139" customFormat="1" x14ac:dyDescent="0.3">
      <c r="A1608" s="100">
        <v>45922</v>
      </c>
      <c r="B1608" s="100" t="s">
        <v>208</v>
      </c>
      <c r="C1608" s="287" t="s">
        <v>25</v>
      </c>
      <c r="D1608" s="360" t="s">
        <v>1346</v>
      </c>
      <c r="E1608" s="361">
        <v>-3003.13</v>
      </c>
      <c r="F1608" s="13" t="s">
        <v>8</v>
      </c>
      <c r="G1608" s="82" t="s">
        <v>153</v>
      </c>
    </row>
    <row r="1609" spans="1:7" s="250" customFormat="1" x14ac:dyDescent="0.3">
      <c r="A1609" s="251">
        <v>45922</v>
      </c>
      <c r="B1609" s="316" t="s">
        <v>208</v>
      </c>
      <c r="C1609" s="423" t="s">
        <v>17</v>
      </c>
      <c r="D1609" s="300" t="s">
        <v>131</v>
      </c>
      <c r="E1609" s="317">
        <v>-1560.68</v>
      </c>
      <c r="F1609" s="249" t="s">
        <v>8</v>
      </c>
      <c r="G1609" s="255" t="s">
        <v>132</v>
      </c>
    </row>
    <row r="1610" spans="1:7" s="250" customFormat="1" x14ac:dyDescent="0.3">
      <c r="A1610" s="316">
        <v>45919</v>
      </c>
      <c r="B1610" s="316" t="s">
        <v>208</v>
      </c>
      <c r="C1610" s="299" t="s">
        <v>64</v>
      </c>
      <c r="D1610" s="386" t="s">
        <v>133</v>
      </c>
      <c r="E1610" s="438">
        <v>-8937.32</v>
      </c>
      <c r="F1610" s="402" t="s">
        <v>8</v>
      </c>
      <c r="G1610" s="408" t="s">
        <v>39</v>
      </c>
    </row>
    <row r="1611" spans="1:7" s="250" customFormat="1" x14ac:dyDescent="0.3">
      <c r="A1611" s="316">
        <v>45919</v>
      </c>
      <c r="B1611" s="316" t="s">
        <v>208</v>
      </c>
      <c r="C1611" s="299" t="s">
        <v>17</v>
      </c>
      <c r="D1611" s="300" t="s">
        <v>18</v>
      </c>
      <c r="E1611" s="319">
        <v>-17235</v>
      </c>
      <c r="F1611" s="249" t="s">
        <v>8</v>
      </c>
      <c r="G1611" s="255" t="s">
        <v>19</v>
      </c>
    </row>
    <row r="1612" spans="1:7" s="250" customFormat="1" x14ac:dyDescent="0.3">
      <c r="A1612" s="316">
        <v>45926</v>
      </c>
      <c r="B1612" s="316" t="s">
        <v>208</v>
      </c>
      <c r="C1612" s="299" t="s">
        <v>17</v>
      </c>
      <c r="D1612" s="300" t="s">
        <v>18</v>
      </c>
      <c r="E1612" s="319">
        <v>-17235</v>
      </c>
      <c r="F1612" s="249" t="s">
        <v>8</v>
      </c>
      <c r="G1612" s="255" t="s">
        <v>19</v>
      </c>
    </row>
    <row r="1613" spans="1:7" s="164" customFormat="1" x14ac:dyDescent="0.3">
      <c r="A1613" s="51">
        <v>45911</v>
      </c>
      <c r="B1613" s="123" t="s">
        <v>208</v>
      </c>
      <c r="C1613" s="52" t="s">
        <v>71</v>
      </c>
      <c r="D1613" s="73" t="s">
        <v>1447</v>
      </c>
      <c r="E1613" s="58">
        <v>9000</v>
      </c>
      <c r="F1613" s="55" t="s">
        <v>161</v>
      </c>
      <c r="G1613" s="61" t="s">
        <v>1446</v>
      </c>
    </row>
    <row r="1614" spans="1:7" s="164" customFormat="1" x14ac:dyDescent="0.3">
      <c r="A1614" s="51">
        <v>45911</v>
      </c>
      <c r="B1614" s="123" t="s">
        <v>208</v>
      </c>
      <c r="C1614" s="52" t="s">
        <v>71</v>
      </c>
      <c r="D1614" s="73" t="s">
        <v>1445</v>
      </c>
      <c r="E1614" s="58">
        <v>3600</v>
      </c>
      <c r="F1614" s="55" t="s">
        <v>161</v>
      </c>
      <c r="G1614" s="61" t="s">
        <v>1071</v>
      </c>
    </row>
    <row r="1615" spans="1:7" s="250" customFormat="1" x14ac:dyDescent="0.3">
      <c r="A1615" s="251">
        <v>45925</v>
      </c>
      <c r="B1615" s="316" t="s">
        <v>208</v>
      </c>
      <c r="C1615" s="299" t="s">
        <v>44</v>
      </c>
      <c r="D1615" s="386" t="s">
        <v>1342</v>
      </c>
      <c r="E1615" s="600">
        <v>-6379.82</v>
      </c>
      <c r="F1615" s="249" t="s">
        <v>8</v>
      </c>
      <c r="G1615" s="255" t="s">
        <v>63</v>
      </c>
    </row>
    <row r="1616" spans="1:7" s="250" customFormat="1" x14ac:dyDescent="0.3">
      <c r="A1616" s="251">
        <v>45925</v>
      </c>
      <c r="B1616" s="316" t="s">
        <v>208</v>
      </c>
      <c r="C1616" s="299" t="s">
        <v>17</v>
      </c>
      <c r="D1616" s="300" t="s">
        <v>134</v>
      </c>
      <c r="E1616" s="248">
        <v>-84.3</v>
      </c>
      <c r="F1616" s="249" t="s">
        <v>8</v>
      </c>
      <c r="G1616" s="255" t="s">
        <v>68</v>
      </c>
    </row>
    <row r="1617" spans="1:7" s="139" customFormat="1" x14ac:dyDescent="0.3">
      <c r="A1617" s="87">
        <v>45863</v>
      </c>
      <c r="B1617" s="23" t="s">
        <v>206</v>
      </c>
      <c r="C1617" s="96" t="s">
        <v>25</v>
      </c>
      <c r="D1617" s="96" t="s">
        <v>806</v>
      </c>
      <c r="E1617" s="89">
        <v>-1470.99</v>
      </c>
      <c r="F1617" s="110" t="s">
        <v>8</v>
      </c>
      <c r="G1617" s="70" t="s">
        <v>75</v>
      </c>
    </row>
    <row r="1618" spans="1:7" s="139" customFormat="1" x14ac:dyDescent="0.3">
      <c r="A1618" s="78">
        <v>45863</v>
      </c>
      <c r="B1618" s="2" t="s">
        <v>206</v>
      </c>
      <c r="C1618" s="14" t="s">
        <v>32</v>
      </c>
      <c r="D1618" s="14" t="s">
        <v>807</v>
      </c>
      <c r="E1618" s="8">
        <v>-178.81</v>
      </c>
      <c r="F1618" s="13" t="s">
        <v>8</v>
      </c>
      <c r="G1618" s="9" t="s">
        <v>75</v>
      </c>
    </row>
    <row r="1619" spans="1:7" s="139" customFormat="1" x14ac:dyDescent="0.3">
      <c r="A1619" s="78">
        <v>45863</v>
      </c>
      <c r="B1619" s="2" t="s">
        <v>206</v>
      </c>
      <c r="C1619" s="14" t="s">
        <v>32</v>
      </c>
      <c r="D1619" s="14" t="s">
        <v>805</v>
      </c>
      <c r="E1619" s="8">
        <v>-2258</v>
      </c>
      <c r="F1619" s="13" t="s">
        <v>8</v>
      </c>
      <c r="G1619" s="9" t="s">
        <v>75</v>
      </c>
    </row>
    <row r="1620" spans="1:7" s="139" customFormat="1" x14ac:dyDescent="0.3">
      <c r="A1620" s="78">
        <v>45863</v>
      </c>
      <c r="B1620" s="2" t="s">
        <v>206</v>
      </c>
      <c r="C1620" s="14" t="s">
        <v>17</v>
      </c>
      <c r="D1620" s="14" t="s">
        <v>847</v>
      </c>
      <c r="E1620" s="8">
        <v>-176.4</v>
      </c>
      <c r="F1620" s="13" t="s">
        <v>8</v>
      </c>
      <c r="G1620" s="9" t="s">
        <v>82</v>
      </c>
    </row>
    <row r="1621" spans="1:7" s="139" customFormat="1" x14ac:dyDescent="0.3">
      <c r="A1621" s="78">
        <v>45863</v>
      </c>
      <c r="B1621" s="2" t="s">
        <v>206</v>
      </c>
      <c r="C1621" s="14" t="s">
        <v>25</v>
      </c>
      <c r="D1621" s="14" t="s">
        <v>848</v>
      </c>
      <c r="E1621" s="8">
        <v>-284.39999999999998</v>
      </c>
      <c r="F1621" s="13" t="s">
        <v>8</v>
      </c>
      <c r="G1621" s="9" t="s">
        <v>82</v>
      </c>
    </row>
    <row r="1622" spans="1:7" s="139" customFormat="1" x14ac:dyDescent="0.3">
      <c r="A1622" s="78">
        <v>45863</v>
      </c>
      <c r="B1622" s="2" t="s">
        <v>206</v>
      </c>
      <c r="C1622" s="14" t="s">
        <v>25</v>
      </c>
      <c r="D1622" s="14" t="s">
        <v>849</v>
      </c>
      <c r="E1622" s="8">
        <v>-345.6</v>
      </c>
      <c r="F1622" s="13" t="s">
        <v>8</v>
      </c>
      <c r="G1622" s="9" t="s">
        <v>82</v>
      </c>
    </row>
    <row r="1623" spans="1:7" s="139" customFormat="1" x14ac:dyDescent="0.3">
      <c r="A1623" s="78">
        <v>45863</v>
      </c>
      <c r="B1623" s="2" t="s">
        <v>206</v>
      </c>
      <c r="C1623" s="14" t="s">
        <v>25</v>
      </c>
      <c r="D1623" s="14" t="s">
        <v>850</v>
      </c>
      <c r="E1623" s="8">
        <v>-1000</v>
      </c>
      <c r="F1623" s="13" t="s">
        <v>8</v>
      </c>
      <c r="G1623" s="9" t="s">
        <v>27</v>
      </c>
    </row>
    <row r="1624" spans="1:7" s="139" customFormat="1" x14ac:dyDescent="0.3">
      <c r="A1624" s="78">
        <v>45863</v>
      </c>
      <c r="B1624" s="2" t="s">
        <v>206</v>
      </c>
      <c r="C1624" s="14" t="s">
        <v>6</v>
      </c>
      <c r="D1624" s="14" t="s">
        <v>615</v>
      </c>
      <c r="E1624" s="8">
        <v>-2688.37</v>
      </c>
      <c r="F1624" s="13" t="s">
        <v>8</v>
      </c>
      <c r="G1624" s="9" t="s">
        <v>186</v>
      </c>
    </row>
    <row r="1625" spans="1:7" s="139" customFormat="1" x14ac:dyDescent="0.3">
      <c r="A1625" s="78">
        <v>45863</v>
      </c>
      <c r="B1625" s="2" t="s">
        <v>206</v>
      </c>
      <c r="C1625" s="36" t="s">
        <v>71</v>
      </c>
      <c r="D1625" s="14" t="s">
        <v>860</v>
      </c>
      <c r="E1625" s="8">
        <v>-1500</v>
      </c>
      <c r="F1625" s="13" t="s">
        <v>8</v>
      </c>
      <c r="G1625" s="9" t="s">
        <v>15</v>
      </c>
    </row>
    <row r="1626" spans="1:7" s="139" customFormat="1" x14ac:dyDescent="0.3">
      <c r="A1626" s="78">
        <v>45863</v>
      </c>
      <c r="B1626" s="2" t="s">
        <v>206</v>
      </c>
      <c r="C1626" s="36" t="s">
        <v>71</v>
      </c>
      <c r="D1626" s="14" t="s">
        <v>862</v>
      </c>
      <c r="E1626" s="8">
        <v>-1500</v>
      </c>
      <c r="F1626" s="13" t="s">
        <v>8</v>
      </c>
      <c r="G1626" s="9" t="s">
        <v>15</v>
      </c>
    </row>
    <row r="1627" spans="1:7" s="139" customFormat="1" x14ac:dyDescent="0.3">
      <c r="A1627" s="74">
        <v>45863</v>
      </c>
      <c r="B1627" s="26" t="s">
        <v>206</v>
      </c>
      <c r="C1627" s="97" t="s">
        <v>6</v>
      </c>
      <c r="D1627" s="97" t="s">
        <v>861</v>
      </c>
      <c r="E1627" s="77">
        <v>-1399</v>
      </c>
      <c r="F1627" s="27" t="s">
        <v>8</v>
      </c>
      <c r="G1627" s="91" t="s">
        <v>27</v>
      </c>
    </row>
    <row r="1628" spans="1:7" s="250" customFormat="1" x14ac:dyDescent="0.3">
      <c r="A1628" s="251">
        <v>45925</v>
      </c>
      <c r="B1628" s="316" t="s">
        <v>208</v>
      </c>
      <c r="C1628" s="293" t="s">
        <v>6</v>
      </c>
      <c r="D1628" s="253" t="s">
        <v>615</v>
      </c>
      <c r="E1628" s="248">
        <v>-2688.37</v>
      </c>
      <c r="F1628" s="249" t="s">
        <v>8</v>
      </c>
      <c r="G1628" s="254" t="s">
        <v>186</v>
      </c>
    </row>
    <row r="1629" spans="1:7" s="139" customFormat="1" hidden="1" x14ac:dyDescent="0.3">
      <c r="A1629" s="78">
        <v>45932</v>
      </c>
      <c r="B1629" s="100" t="s">
        <v>211</v>
      </c>
      <c r="C1629" s="12" t="s">
        <v>6</v>
      </c>
      <c r="D1629" s="12" t="s">
        <v>1345</v>
      </c>
      <c r="E1629" s="16">
        <v>-294.8</v>
      </c>
      <c r="F1629" s="13" t="s">
        <v>8</v>
      </c>
      <c r="G1629" s="5" t="s">
        <v>136</v>
      </c>
    </row>
    <row r="1630" spans="1:7" s="250" customFormat="1" x14ac:dyDescent="0.3">
      <c r="A1630" s="251">
        <v>45925</v>
      </c>
      <c r="B1630" s="316" t="s">
        <v>208</v>
      </c>
      <c r="C1630" s="293" t="s">
        <v>44</v>
      </c>
      <c r="D1630" s="253" t="s">
        <v>1532</v>
      </c>
      <c r="E1630" s="248">
        <v>-4484.68</v>
      </c>
      <c r="F1630" s="249" t="s">
        <v>8</v>
      </c>
      <c r="G1630" s="255" t="s">
        <v>227</v>
      </c>
    </row>
    <row r="1631" spans="1:7" s="250" customFormat="1" x14ac:dyDescent="0.3">
      <c r="A1631" s="251">
        <v>45925</v>
      </c>
      <c r="B1631" s="316" t="s">
        <v>208</v>
      </c>
      <c r="C1631" s="293" t="s">
        <v>71</v>
      </c>
      <c r="D1631" s="253" t="s">
        <v>1378</v>
      </c>
      <c r="E1631" s="248">
        <v>-886.67</v>
      </c>
      <c r="F1631" s="249" t="s">
        <v>8</v>
      </c>
      <c r="G1631" s="255" t="s">
        <v>203</v>
      </c>
    </row>
    <row r="1632" spans="1:7" s="250" customFormat="1" x14ac:dyDescent="0.3">
      <c r="A1632" s="599">
        <v>45925</v>
      </c>
      <c r="B1632" s="523" t="s">
        <v>208</v>
      </c>
      <c r="C1632" s="304" t="s">
        <v>33</v>
      </c>
      <c r="D1632" s="603" t="s">
        <v>1461</v>
      </c>
      <c r="E1632" s="524">
        <v>-636.88</v>
      </c>
      <c r="F1632" s="525" t="s">
        <v>8</v>
      </c>
      <c r="G1632" s="380" t="s">
        <v>75</v>
      </c>
    </row>
    <row r="1633" spans="1:7" s="250" customFormat="1" x14ac:dyDescent="0.3">
      <c r="A1633" s="599">
        <v>45925</v>
      </c>
      <c r="B1633" s="523" t="s">
        <v>208</v>
      </c>
      <c r="C1633" s="304" t="s">
        <v>6</v>
      </c>
      <c r="D1633" s="603" t="s">
        <v>1327</v>
      </c>
      <c r="E1633" s="524">
        <v>-2000</v>
      </c>
      <c r="F1633" s="525" t="s">
        <v>8</v>
      </c>
      <c r="G1633" s="380" t="s">
        <v>186</v>
      </c>
    </row>
    <row r="1634" spans="1:7" s="250" customFormat="1" x14ac:dyDescent="0.3">
      <c r="A1634" s="599">
        <v>45925</v>
      </c>
      <c r="B1634" s="523" t="s">
        <v>208</v>
      </c>
      <c r="C1634" s="304" t="s">
        <v>25</v>
      </c>
      <c r="D1634" s="603" t="s">
        <v>1521</v>
      </c>
      <c r="E1634" s="524">
        <v>-87.3</v>
      </c>
      <c r="F1634" s="525" t="s">
        <v>8</v>
      </c>
      <c r="G1634" s="380" t="s">
        <v>82</v>
      </c>
    </row>
    <row r="1635" spans="1:7" s="250" customFormat="1" x14ac:dyDescent="0.3">
      <c r="A1635" s="599">
        <v>45925</v>
      </c>
      <c r="B1635" s="523" t="s">
        <v>208</v>
      </c>
      <c r="C1635" s="304" t="s">
        <v>25</v>
      </c>
      <c r="D1635" s="603" t="s">
        <v>1522</v>
      </c>
      <c r="E1635" s="524">
        <v>-60</v>
      </c>
      <c r="F1635" s="525" t="s">
        <v>8</v>
      </c>
      <c r="G1635" s="380" t="s">
        <v>82</v>
      </c>
    </row>
    <row r="1636" spans="1:7" s="250" customFormat="1" x14ac:dyDescent="0.3">
      <c r="A1636" s="599">
        <v>45925</v>
      </c>
      <c r="B1636" s="523" t="s">
        <v>208</v>
      </c>
      <c r="C1636" s="304" t="s">
        <v>33</v>
      </c>
      <c r="D1636" s="603" t="s">
        <v>1523</v>
      </c>
      <c r="E1636" s="524">
        <v>-61.5</v>
      </c>
      <c r="F1636" s="525" t="s">
        <v>8</v>
      </c>
      <c r="G1636" s="380" t="s">
        <v>82</v>
      </c>
    </row>
    <row r="1637" spans="1:7" s="250" customFormat="1" x14ac:dyDescent="0.3">
      <c r="A1637" s="599">
        <v>45925</v>
      </c>
      <c r="B1637" s="523" t="s">
        <v>208</v>
      </c>
      <c r="C1637" s="304" t="s">
        <v>33</v>
      </c>
      <c r="D1637" s="603" t="s">
        <v>1524</v>
      </c>
      <c r="E1637" s="524">
        <v>-79.900000000000006</v>
      </c>
      <c r="F1637" s="525" t="s">
        <v>8</v>
      </c>
      <c r="G1637" s="380" t="s">
        <v>82</v>
      </c>
    </row>
    <row r="1638" spans="1:7" s="250" customFormat="1" x14ac:dyDescent="0.3">
      <c r="A1638" s="599">
        <v>45925</v>
      </c>
      <c r="B1638" s="523" t="s">
        <v>208</v>
      </c>
      <c r="C1638" s="304" t="s">
        <v>6</v>
      </c>
      <c r="D1638" s="603" t="s">
        <v>1535</v>
      </c>
      <c r="E1638" s="524">
        <v>-1773.62</v>
      </c>
      <c r="F1638" s="525" t="s">
        <v>8</v>
      </c>
      <c r="G1638" s="380" t="s">
        <v>124</v>
      </c>
    </row>
    <row r="1639" spans="1:7" s="250" customFormat="1" x14ac:dyDescent="0.3">
      <c r="A1639" s="599">
        <v>45925</v>
      </c>
      <c r="B1639" s="523" t="s">
        <v>208</v>
      </c>
      <c r="C1639" s="304" t="s">
        <v>25</v>
      </c>
      <c r="D1639" s="603" t="s">
        <v>759</v>
      </c>
      <c r="E1639" s="524">
        <v>-830</v>
      </c>
      <c r="F1639" s="525" t="s">
        <v>8</v>
      </c>
      <c r="G1639" s="380" t="s">
        <v>381</v>
      </c>
    </row>
    <row r="1640" spans="1:7" s="250" customFormat="1" ht="27.6" x14ac:dyDescent="0.3">
      <c r="A1640" s="251">
        <v>45925</v>
      </c>
      <c r="B1640" s="316" t="s">
        <v>208</v>
      </c>
      <c r="C1640" s="293" t="s">
        <v>25</v>
      </c>
      <c r="D1640" s="253" t="s">
        <v>1533</v>
      </c>
      <c r="E1640" s="248">
        <v>-439</v>
      </c>
      <c r="F1640" s="249" t="s">
        <v>8</v>
      </c>
      <c r="G1640" s="254" t="s">
        <v>815</v>
      </c>
    </row>
    <row r="1641" spans="1:7" s="250" customFormat="1" x14ac:dyDescent="0.3">
      <c r="A1641" s="599">
        <v>45925</v>
      </c>
      <c r="B1641" s="523" t="s">
        <v>208</v>
      </c>
      <c r="C1641" s="304" t="s">
        <v>25</v>
      </c>
      <c r="D1641" s="603" t="s">
        <v>862</v>
      </c>
      <c r="E1641" s="524">
        <v>-1500</v>
      </c>
      <c r="F1641" s="525" t="s">
        <v>8</v>
      </c>
      <c r="G1641" s="380" t="s">
        <v>15</v>
      </c>
    </row>
    <row r="1642" spans="1:7" s="250" customFormat="1" x14ac:dyDescent="0.3">
      <c r="A1642" s="599">
        <v>45929</v>
      </c>
      <c r="B1642" s="523" t="s">
        <v>208</v>
      </c>
      <c r="C1642" s="304" t="s">
        <v>25</v>
      </c>
      <c r="D1642" s="603" t="s">
        <v>1579</v>
      </c>
      <c r="E1642" s="524">
        <v>-283.33</v>
      </c>
      <c r="F1642" s="525" t="s">
        <v>8</v>
      </c>
      <c r="G1642" s="380" t="s">
        <v>27</v>
      </c>
    </row>
    <row r="1643" spans="1:7" s="250" customFormat="1" x14ac:dyDescent="0.3">
      <c r="A1643" s="599">
        <v>45929</v>
      </c>
      <c r="B1643" s="523" t="s">
        <v>208</v>
      </c>
      <c r="C1643" s="304" t="s">
        <v>25</v>
      </c>
      <c r="D1643" s="304" t="s">
        <v>1534</v>
      </c>
      <c r="E1643" s="524">
        <v>-420</v>
      </c>
      <c r="F1643" s="525" t="s">
        <v>8</v>
      </c>
      <c r="G1643" s="380" t="s">
        <v>27</v>
      </c>
    </row>
    <row r="1644" spans="1:7" s="250" customFormat="1" x14ac:dyDescent="0.3">
      <c r="A1644" s="599">
        <v>45925</v>
      </c>
      <c r="B1644" s="523" t="s">
        <v>208</v>
      </c>
      <c r="C1644" s="304" t="s">
        <v>32</v>
      </c>
      <c r="D1644" s="603" t="s">
        <v>1530</v>
      </c>
      <c r="E1644" s="524">
        <v>-75</v>
      </c>
      <c r="F1644" s="525" t="s">
        <v>8</v>
      </c>
      <c r="G1644" s="380" t="s">
        <v>111</v>
      </c>
    </row>
    <row r="1645" spans="1:7" s="250" customFormat="1" x14ac:dyDescent="0.3">
      <c r="A1645" s="599">
        <v>45925</v>
      </c>
      <c r="B1645" s="523" t="s">
        <v>208</v>
      </c>
      <c r="C1645" s="304" t="s">
        <v>25</v>
      </c>
      <c r="D1645" s="603" t="s">
        <v>1529</v>
      </c>
      <c r="E1645" s="524">
        <v>-260</v>
      </c>
      <c r="F1645" s="525" t="s">
        <v>8</v>
      </c>
      <c r="G1645" s="380" t="s">
        <v>111</v>
      </c>
    </row>
    <row r="1646" spans="1:7" s="250" customFormat="1" ht="11.4" customHeight="1" x14ac:dyDescent="0.3">
      <c r="A1646" s="599">
        <v>45925</v>
      </c>
      <c r="B1646" s="523" t="s">
        <v>208</v>
      </c>
      <c r="C1646" s="304" t="s">
        <v>25</v>
      </c>
      <c r="D1646" s="603" t="s">
        <v>1531</v>
      </c>
      <c r="E1646" s="524">
        <v>-85.3</v>
      </c>
      <c r="F1646" s="525" t="s">
        <v>8</v>
      </c>
      <c r="G1646" s="380" t="s">
        <v>111</v>
      </c>
    </row>
    <row r="1647" spans="1:7" s="250" customFormat="1" x14ac:dyDescent="0.3">
      <c r="A1647" s="599">
        <v>45925</v>
      </c>
      <c r="B1647" s="523" t="s">
        <v>208</v>
      </c>
      <c r="C1647" s="601" t="s">
        <v>25</v>
      </c>
      <c r="D1647" s="531" t="s">
        <v>1347</v>
      </c>
      <c r="E1647" s="602">
        <v>-1956.28</v>
      </c>
      <c r="F1647" s="525" t="s">
        <v>8</v>
      </c>
      <c r="G1647" s="314" t="s">
        <v>153</v>
      </c>
    </row>
    <row r="1648" spans="1:7" s="250" customFormat="1" x14ac:dyDescent="0.3">
      <c r="A1648" s="251">
        <v>45929</v>
      </c>
      <c r="B1648" s="316" t="s">
        <v>208</v>
      </c>
      <c r="C1648" s="293" t="s">
        <v>44</v>
      </c>
      <c r="D1648" s="293" t="s">
        <v>138</v>
      </c>
      <c r="E1648" s="248">
        <v>-536.6</v>
      </c>
      <c r="F1648" s="249" t="s">
        <v>8</v>
      </c>
      <c r="G1648" s="254" t="s">
        <v>139</v>
      </c>
    </row>
    <row r="1649" spans="1:7" s="250" customFormat="1" x14ac:dyDescent="0.3">
      <c r="A1649" s="251">
        <v>45929</v>
      </c>
      <c r="B1649" s="316" t="s">
        <v>208</v>
      </c>
      <c r="C1649" s="299" t="s">
        <v>17</v>
      </c>
      <c r="D1649" s="299" t="s">
        <v>141</v>
      </c>
      <c r="E1649" s="317">
        <v>-500</v>
      </c>
      <c r="F1649" s="249" t="s">
        <v>8</v>
      </c>
      <c r="G1649" s="255" t="s">
        <v>68</v>
      </c>
    </row>
    <row r="1650" spans="1:7" s="139" customFormat="1" hidden="1" x14ac:dyDescent="0.3">
      <c r="A1650" s="78">
        <v>45932</v>
      </c>
      <c r="B1650" s="100" t="s">
        <v>211</v>
      </c>
      <c r="C1650" s="15" t="s">
        <v>64</v>
      </c>
      <c r="D1650" s="4" t="s">
        <v>1548</v>
      </c>
      <c r="E1650" s="16">
        <v>-3482.23</v>
      </c>
      <c r="F1650" s="5" t="s">
        <v>8</v>
      </c>
      <c r="G1650" s="5" t="s">
        <v>39</v>
      </c>
    </row>
    <row r="1651" spans="1:7" s="250" customFormat="1" x14ac:dyDescent="0.3">
      <c r="A1651" s="251">
        <v>45930</v>
      </c>
      <c r="B1651" s="316" t="s">
        <v>208</v>
      </c>
      <c r="C1651" s="422" t="s">
        <v>1585</v>
      </c>
      <c r="D1651" s="300" t="s">
        <v>1582</v>
      </c>
      <c r="E1651" s="317">
        <v>-99.49</v>
      </c>
      <c r="F1651" s="255" t="s">
        <v>8</v>
      </c>
      <c r="G1651" s="255" t="s">
        <v>124</v>
      </c>
    </row>
    <row r="1652" spans="1:7" s="139" customFormat="1" hidden="1" x14ac:dyDescent="0.3">
      <c r="A1652" s="78">
        <v>45931</v>
      </c>
      <c r="B1652" s="100" t="s">
        <v>211</v>
      </c>
      <c r="C1652" s="15" t="s">
        <v>1105</v>
      </c>
      <c r="D1652" s="4" t="s">
        <v>1606</v>
      </c>
      <c r="E1652" s="16">
        <v>-229.03</v>
      </c>
      <c r="F1652" s="5" t="s">
        <v>8</v>
      </c>
      <c r="G1652" s="5" t="s">
        <v>124</v>
      </c>
    </row>
    <row r="1653" spans="1:7" s="250" customFormat="1" x14ac:dyDescent="0.3">
      <c r="A1653" s="251">
        <v>45930</v>
      </c>
      <c r="B1653" s="316" t="s">
        <v>208</v>
      </c>
      <c r="C1653" s="422" t="s">
        <v>1105</v>
      </c>
      <c r="D1653" s="300" t="s">
        <v>1597</v>
      </c>
      <c r="E1653" s="317">
        <v>-106.54</v>
      </c>
      <c r="F1653" s="255" t="s">
        <v>8</v>
      </c>
      <c r="G1653" s="255" t="s">
        <v>124</v>
      </c>
    </row>
    <row r="1654" spans="1:7" s="139" customFormat="1" ht="14.4" hidden="1" customHeight="1" x14ac:dyDescent="0.3">
      <c r="A1654" s="78">
        <v>45931</v>
      </c>
      <c r="B1654" s="100" t="s">
        <v>211</v>
      </c>
      <c r="C1654" s="15" t="s">
        <v>1583</v>
      </c>
      <c r="D1654" s="4" t="s">
        <v>1607</v>
      </c>
      <c r="E1654" s="16">
        <v>-229.03</v>
      </c>
      <c r="F1654" s="5" t="s">
        <v>8</v>
      </c>
      <c r="G1654" s="5" t="s">
        <v>124</v>
      </c>
    </row>
    <row r="1655" spans="1:7" s="250" customFormat="1" x14ac:dyDescent="0.3">
      <c r="A1655" s="251">
        <v>45930</v>
      </c>
      <c r="B1655" s="316" t="s">
        <v>208</v>
      </c>
      <c r="C1655" s="422" t="s">
        <v>1583</v>
      </c>
      <c r="D1655" s="300" t="s">
        <v>1598</v>
      </c>
      <c r="E1655" s="317">
        <v>-106.54</v>
      </c>
      <c r="F1655" s="255" t="s">
        <v>8</v>
      </c>
      <c r="G1655" s="255" t="s">
        <v>124</v>
      </c>
    </row>
    <row r="1656" spans="1:7" s="139" customFormat="1" hidden="1" x14ac:dyDescent="0.3">
      <c r="A1656" s="78">
        <v>45931</v>
      </c>
      <c r="B1656" s="100" t="s">
        <v>211</v>
      </c>
      <c r="C1656" s="15" t="s">
        <v>661</v>
      </c>
      <c r="D1656" s="4" t="s">
        <v>1605</v>
      </c>
      <c r="E1656" s="16">
        <v>-229.03</v>
      </c>
      <c r="F1656" s="5" t="s">
        <v>8</v>
      </c>
      <c r="G1656" s="5" t="s">
        <v>124</v>
      </c>
    </row>
    <row r="1657" spans="1:7" s="250" customFormat="1" x14ac:dyDescent="0.3">
      <c r="A1657" s="251">
        <v>45930</v>
      </c>
      <c r="B1657" s="316" t="s">
        <v>208</v>
      </c>
      <c r="C1657" s="422" t="s">
        <v>661</v>
      </c>
      <c r="D1657" s="300" t="s">
        <v>1600</v>
      </c>
      <c r="E1657" s="317">
        <v>-106.54</v>
      </c>
      <c r="F1657" s="255" t="s">
        <v>8</v>
      </c>
      <c r="G1657" s="255" t="s">
        <v>124</v>
      </c>
    </row>
    <row r="1658" spans="1:7" s="139" customFormat="1" hidden="1" x14ac:dyDescent="0.3">
      <c r="A1658" s="78">
        <v>45931</v>
      </c>
      <c r="B1658" s="100" t="s">
        <v>211</v>
      </c>
      <c r="C1658" s="15" t="s">
        <v>44</v>
      </c>
      <c r="D1658" s="4" t="s">
        <v>1608</v>
      </c>
      <c r="E1658" s="16">
        <v>-240.44</v>
      </c>
      <c r="F1658" s="5" t="s">
        <v>8</v>
      </c>
      <c r="G1658" s="5" t="s">
        <v>124</v>
      </c>
    </row>
    <row r="1659" spans="1:7" s="210" customFormat="1" x14ac:dyDescent="0.3">
      <c r="A1659" s="429">
        <v>45930</v>
      </c>
      <c r="B1659" s="375" t="s">
        <v>208</v>
      </c>
      <c r="C1659" s="620" t="s">
        <v>44</v>
      </c>
      <c r="D1659" s="377" t="s">
        <v>1601</v>
      </c>
      <c r="E1659" s="401">
        <v>-106.54</v>
      </c>
      <c r="F1659" s="379" t="s">
        <v>8</v>
      </c>
      <c r="G1659" s="379" t="s">
        <v>124</v>
      </c>
    </row>
    <row r="1660" spans="1:7" s="250" customFormat="1" x14ac:dyDescent="0.3">
      <c r="A1660" s="251">
        <v>45930</v>
      </c>
      <c r="B1660" s="316" t="s">
        <v>208</v>
      </c>
      <c r="C1660" s="422" t="s">
        <v>6</v>
      </c>
      <c r="D1660" s="300" t="s">
        <v>1602</v>
      </c>
      <c r="E1660" s="317">
        <v>-106.54</v>
      </c>
      <c r="F1660" s="255" t="s">
        <v>8</v>
      </c>
      <c r="G1660" s="255" t="s">
        <v>124</v>
      </c>
    </row>
    <row r="1661" spans="1:7" s="139" customFormat="1" hidden="1" x14ac:dyDescent="0.3">
      <c r="A1661" s="78">
        <v>45931</v>
      </c>
      <c r="B1661" s="100" t="s">
        <v>211</v>
      </c>
      <c r="C1661" s="15" t="s">
        <v>6</v>
      </c>
      <c r="D1661" s="4" t="s">
        <v>1608</v>
      </c>
      <c r="E1661" s="16">
        <v>-229.1</v>
      </c>
      <c r="F1661" s="5" t="s">
        <v>8</v>
      </c>
      <c r="G1661" s="5" t="s">
        <v>124</v>
      </c>
    </row>
    <row r="1662" spans="1:7" s="250" customFormat="1" x14ac:dyDescent="0.3">
      <c r="A1662" s="251">
        <v>45930</v>
      </c>
      <c r="B1662" s="316" t="s">
        <v>208</v>
      </c>
      <c r="C1662" s="252" t="s">
        <v>17</v>
      </c>
      <c r="D1662" s="253" t="s">
        <v>142</v>
      </c>
      <c r="E1662" s="248">
        <v>-3002.16</v>
      </c>
      <c r="F1662" s="249" t="s">
        <v>8</v>
      </c>
      <c r="G1662" s="255" t="s">
        <v>68</v>
      </c>
    </row>
    <row r="1663" spans="1:7" s="250" customFormat="1" x14ac:dyDescent="0.3">
      <c r="A1663" s="251">
        <v>45930</v>
      </c>
      <c r="B1663" s="316" t="s">
        <v>208</v>
      </c>
      <c r="C1663" s="252" t="s">
        <v>17</v>
      </c>
      <c r="D1663" s="253" t="s">
        <v>142</v>
      </c>
      <c r="E1663" s="248">
        <v>-1576.11</v>
      </c>
      <c r="F1663" s="249" t="s">
        <v>8</v>
      </c>
      <c r="G1663" s="255" t="s">
        <v>68</v>
      </c>
    </row>
    <row r="1664" spans="1:7" s="250" customFormat="1" x14ac:dyDescent="0.3">
      <c r="A1664" s="316">
        <v>45905</v>
      </c>
      <c r="B1664" s="316" t="s">
        <v>208</v>
      </c>
      <c r="C1664" s="293" t="s">
        <v>17</v>
      </c>
      <c r="D1664" s="293" t="s">
        <v>1277</v>
      </c>
      <c r="E1664" s="248">
        <v>-15000</v>
      </c>
      <c r="F1664" s="249" t="s">
        <v>8</v>
      </c>
      <c r="G1664" s="255" t="s">
        <v>41</v>
      </c>
    </row>
    <row r="1665" spans="1:7" s="250" customFormat="1" x14ac:dyDescent="0.3">
      <c r="A1665" s="316">
        <v>45908</v>
      </c>
      <c r="B1665" s="316" t="s">
        <v>208</v>
      </c>
      <c r="C1665" s="293" t="s">
        <v>31</v>
      </c>
      <c r="D1665" s="293" t="s">
        <v>1350</v>
      </c>
      <c r="E1665" s="248">
        <v>-1200</v>
      </c>
      <c r="F1665" s="249" t="s">
        <v>8</v>
      </c>
      <c r="G1665" s="255" t="s">
        <v>27</v>
      </c>
    </row>
    <row r="1666" spans="1:7" s="250" customFormat="1" x14ac:dyDescent="0.3">
      <c r="A1666" s="316">
        <v>45908</v>
      </c>
      <c r="B1666" s="316" t="s">
        <v>208</v>
      </c>
      <c r="C1666" s="293" t="s">
        <v>31</v>
      </c>
      <c r="D1666" s="293" t="s">
        <v>1349</v>
      </c>
      <c r="E1666" s="248">
        <v>-1100</v>
      </c>
      <c r="F1666" s="249" t="s">
        <v>8</v>
      </c>
      <c r="G1666" s="255" t="s">
        <v>27</v>
      </c>
    </row>
    <row r="1667" spans="1:7" s="250" customFormat="1" x14ac:dyDescent="0.3">
      <c r="A1667" s="316">
        <v>45908</v>
      </c>
      <c r="B1667" s="316" t="s">
        <v>208</v>
      </c>
      <c r="C1667" s="293" t="s">
        <v>31</v>
      </c>
      <c r="D1667" s="293" t="s">
        <v>1351</v>
      </c>
      <c r="E1667" s="248">
        <v>-200</v>
      </c>
      <c r="F1667" s="249" t="s">
        <v>8</v>
      </c>
      <c r="G1667" s="255" t="s">
        <v>27</v>
      </c>
    </row>
    <row r="1668" spans="1:7" s="250" customFormat="1" x14ac:dyDescent="0.3">
      <c r="A1668" s="316">
        <v>45908</v>
      </c>
      <c r="B1668" s="316" t="s">
        <v>208</v>
      </c>
      <c r="C1668" s="293" t="s">
        <v>31</v>
      </c>
      <c r="D1668" s="293" t="s">
        <v>1352</v>
      </c>
      <c r="E1668" s="248">
        <v>-1000</v>
      </c>
      <c r="F1668" s="249" t="s">
        <v>8</v>
      </c>
      <c r="G1668" s="255" t="s">
        <v>27</v>
      </c>
    </row>
    <row r="1669" spans="1:7" s="250" customFormat="1" x14ac:dyDescent="0.3">
      <c r="A1669" s="316">
        <v>45908</v>
      </c>
      <c r="B1669" s="316" t="s">
        <v>208</v>
      </c>
      <c r="C1669" s="293" t="s">
        <v>31</v>
      </c>
      <c r="D1669" s="293" t="s">
        <v>1353</v>
      </c>
      <c r="E1669" s="248">
        <v>-750</v>
      </c>
      <c r="F1669" s="249" t="s">
        <v>8</v>
      </c>
      <c r="G1669" s="255" t="s">
        <v>27</v>
      </c>
    </row>
    <row r="1670" spans="1:7" s="250" customFormat="1" x14ac:dyDescent="0.3">
      <c r="A1670" s="316">
        <v>45908</v>
      </c>
      <c r="B1670" s="316" t="s">
        <v>208</v>
      </c>
      <c r="C1670" s="293" t="s">
        <v>31</v>
      </c>
      <c r="D1670" s="293" t="s">
        <v>1354</v>
      </c>
      <c r="E1670" s="248">
        <v>-900</v>
      </c>
      <c r="F1670" s="249" t="s">
        <v>8</v>
      </c>
      <c r="G1670" s="255" t="s">
        <v>27</v>
      </c>
    </row>
    <row r="1671" spans="1:7" s="250" customFormat="1" x14ac:dyDescent="0.3">
      <c r="A1671" s="316">
        <v>45908</v>
      </c>
      <c r="B1671" s="316" t="s">
        <v>208</v>
      </c>
      <c r="C1671" s="293" t="s">
        <v>31</v>
      </c>
      <c r="D1671" s="293" t="s">
        <v>1355</v>
      </c>
      <c r="E1671" s="248">
        <v>-1000</v>
      </c>
      <c r="F1671" s="249" t="s">
        <v>8</v>
      </c>
      <c r="G1671" s="255" t="s">
        <v>27</v>
      </c>
    </row>
    <row r="1672" spans="1:7" s="250" customFormat="1" x14ac:dyDescent="0.3">
      <c r="A1672" s="316">
        <v>45908</v>
      </c>
      <c r="B1672" s="316" t="s">
        <v>208</v>
      </c>
      <c r="C1672" s="293" t="s">
        <v>31</v>
      </c>
      <c r="D1672" s="293" t="s">
        <v>1348</v>
      </c>
      <c r="E1672" s="248">
        <v>-500</v>
      </c>
      <c r="F1672" s="249" t="s">
        <v>8</v>
      </c>
      <c r="G1672" s="255" t="s">
        <v>139</v>
      </c>
    </row>
    <row r="1673" spans="1:7" s="250" customFormat="1" x14ac:dyDescent="0.3">
      <c r="A1673" s="316">
        <v>45905</v>
      </c>
      <c r="B1673" s="316" t="s">
        <v>208</v>
      </c>
      <c r="C1673" s="293" t="s">
        <v>44</v>
      </c>
      <c r="D1673" s="293" t="s">
        <v>1312</v>
      </c>
      <c r="E1673" s="248">
        <v>-810</v>
      </c>
      <c r="F1673" s="249" t="s">
        <v>8</v>
      </c>
      <c r="G1673" s="255" t="s">
        <v>139</v>
      </c>
    </row>
    <row r="1674" spans="1:7" s="250" customFormat="1" x14ac:dyDescent="0.3">
      <c r="A1674" s="316">
        <v>45905</v>
      </c>
      <c r="B1674" s="316" t="s">
        <v>208</v>
      </c>
      <c r="C1674" s="293" t="s">
        <v>31</v>
      </c>
      <c r="D1674" s="293" t="s">
        <v>1311</v>
      </c>
      <c r="E1674" s="248">
        <v>-1446.81</v>
      </c>
      <c r="F1674" s="249" t="s">
        <v>8</v>
      </c>
      <c r="G1674" s="254" t="s">
        <v>75</v>
      </c>
    </row>
    <row r="1675" spans="1:7" s="250" customFormat="1" x14ac:dyDescent="0.3">
      <c r="A1675" s="316">
        <v>45905</v>
      </c>
      <c r="B1675" s="316" t="s">
        <v>208</v>
      </c>
      <c r="C1675" s="293" t="s">
        <v>33</v>
      </c>
      <c r="D1675" s="293" t="s">
        <v>946</v>
      </c>
      <c r="E1675" s="248">
        <v>-3356.61</v>
      </c>
      <c r="F1675" s="249" t="s">
        <v>8</v>
      </c>
      <c r="G1675" s="254" t="s">
        <v>75</v>
      </c>
    </row>
    <row r="1676" spans="1:7" s="250" customFormat="1" x14ac:dyDescent="0.3">
      <c r="A1676" s="316">
        <v>45905</v>
      </c>
      <c r="B1676" s="316" t="s">
        <v>208</v>
      </c>
      <c r="C1676" s="293" t="s">
        <v>33</v>
      </c>
      <c r="D1676" s="293" t="s">
        <v>1278</v>
      </c>
      <c r="E1676" s="248">
        <v>-485.24</v>
      </c>
      <c r="F1676" s="249" t="s">
        <v>8</v>
      </c>
      <c r="G1676" s="254" t="s">
        <v>75</v>
      </c>
    </row>
    <row r="1677" spans="1:7" s="250" customFormat="1" x14ac:dyDescent="0.3">
      <c r="A1677" s="316">
        <v>45905</v>
      </c>
      <c r="B1677" s="316" t="s">
        <v>208</v>
      </c>
      <c r="C1677" s="293" t="s">
        <v>17</v>
      </c>
      <c r="D1677" s="293" t="s">
        <v>447</v>
      </c>
      <c r="E1677" s="248">
        <v>-2696.79</v>
      </c>
      <c r="F1677" s="249" t="s">
        <v>8</v>
      </c>
      <c r="G1677" s="254" t="s">
        <v>75</v>
      </c>
    </row>
    <row r="1678" spans="1:7" s="250" customFormat="1" x14ac:dyDescent="0.3">
      <c r="A1678" s="316">
        <v>45905</v>
      </c>
      <c r="B1678" s="316" t="s">
        <v>208</v>
      </c>
      <c r="C1678" s="293" t="s">
        <v>17</v>
      </c>
      <c r="D1678" s="293" t="s">
        <v>1310</v>
      </c>
      <c r="E1678" s="248">
        <v>-55</v>
      </c>
      <c r="F1678" s="249" t="s">
        <v>8</v>
      </c>
      <c r="G1678" s="254" t="s">
        <v>82</v>
      </c>
    </row>
    <row r="1679" spans="1:7" s="250" customFormat="1" x14ac:dyDescent="0.3">
      <c r="A1679" s="316">
        <v>45908</v>
      </c>
      <c r="B1679" s="316" t="s">
        <v>208</v>
      </c>
      <c r="C1679" s="293" t="s">
        <v>25</v>
      </c>
      <c r="D1679" s="293" t="s">
        <v>1310</v>
      </c>
      <c r="E1679" s="248">
        <v>-122.4</v>
      </c>
      <c r="F1679" s="249" t="s">
        <v>8</v>
      </c>
      <c r="G1679" s="255" t="s">
        <v>82</v>
      </c>
    </row>
    <row r="1680" spans="1:7" s="210" customFormat="1" x14ac:dyDescent="0.3">
      <c r="A1680" s="429">
        <v>45930</v>
      </c>
      <c r="B1680" s="375" t="s">
        <v>208</v>
      </c>
      <c r="C1680" s="376" t="s">
        <v>80</v>
      </c>
      <c r="D1680" s="377" t="s">
        <v>81</v>
      </c>
      <c r="E1680" s="401">
        <v>-8806.15</v>
      </c>
      <c r="F1680" s="378" t="s">
        <v>8</v>
      </c>
      <c r="G1680" s="379" t="s">
        <v>82</v>
      </c>
    </row>
    <row r="1681" spans="1:7" s="250" customFormat="1" ht="14.4" x14ac:dyDescent="0.3">
      <c r="A1681" s="316">
        <v>45926</v>
      </c>
      <c r="B1681" s="316" t="s">
        <v>208</v>
      </c>
      <c r="C1681" s="364" t="s">
        <v>31</v>
      </c>
      <c r="D1681" s="364" t="s">
        <v>1460</v>
      </c>
      <c r="E1681" s="367">
        <v>-134</v>
      </c>
      <c r="F1681" s="249" t="s">
        <v>8</v>
      </c>
      <c r="G1681" s="421" t="s">
        <v>75</v>
      </c>
    </row>
    <row r="1682" spans="1:7" s="250" customFormat="1" ht="14.4" x14ac:dyDescent="0.3">
      <c r="A1682" s="316">
        <v>45926</v>
      </c>
      <c r="B1682" s="316" t="s">
        <v>208</v>
      </c>
      <c r="C1682" s="364" t="s">
        <v>17</v>
      </c>
      <c r="D1682" s="364" t="s">
        <v>1528</v>
      </c>
      <c r="E1682" s="367">
        <v>-214.92</v>
      </c>
      <c r="F1682" s="249" t="s">
        <v>8</v>
      </c>
      <c r="G1682" s="421" t="s">
        <v>124</v>
      </c>
    </row>
    <row r="1683" spans="1:7" s="250" customFormat="1" ht="14.4" x14ac:dyDescent="0.3">
      <c r="A1683" s="316">
        <v>45926</v>
      </c>
      <c r="B1683" s="316" t="s">
        <v>208</v>
      </c>
      <c r="C1683" s="364" t="s">
        <v>17</v>
      </c>
      <c r="D1683" s="364" t="s">
        <v>372</v>
      </c>
      <c r="E1683" s="367">
        <v>-1596.56</v>
      </c>
      <c r="F1683" s="249" t="s">
        <v>8</v>
      </c>
      <c r="G1683" s="421" t="s">
        <v>75</v>
      </c>
    </row>
    <row r="1684" spans="1:7" s="250" customFormat="1" x14ac:dyDescent="0.3">
      <c r="A1684" s="316">
        <v>45926</v>
      </c>
      <c r="B1684" s="316" t="s">
        <v>208</v>
      </c>
      <c r="C1684" s="304" t="s">
        <v>25</v>
      </c>
      <c r="D1684" s="304" t="s">
        <v>1525</v>
      </c>
      <c r="E1684" s="524">
        <v>-100</v>
      </c>
      <c r="F1684" s="249" t="s">
        <v>8</v>
      </c>
      <c r="G1684" s="380" t="s">
        <v>82</v>
      </c>
    </row>
    <row r="1685" spans="1:7" s="250" customFormat="1" x14ac:dyDescent="0.3">
      <c r="A1685" s="316">
        <v>45926</v>
      </c>
      <c r="B1685" s="316" t="s">
        <v>208</v>
      </c>
      <c r="C1685" s="304" t="s">
        <v>25</v>
      </c>
      <c r="D1685" s="304" t="s">
        <v>1526</v>
      </c>
      <c r="E1685" s="524">
        <v>-103.6</v>
      </c>
      <c r="F1685" s="249" t="s">
        <v>8</v>
      </c>
      <c r="G1685" s="380" t="s">
        <v>82</v>
      </c>
    </row>
    <row r="1686" spans="1:7" s="250" customFormat="1" x14ac:dyDescent="0.3">
      <c r="A1686" s="316">
        <v>45926</v>
      </c>
      <c r="B1686" s="316" t="s">
        <v>208</v>
      </c>
      <c r="C1686" s="304" t="s">
        <v>25</v>
      </c>
      <c r="D1686" s="304" t="s">
        <v>1357</v>
      </c>
      <c r="E1686" s="524">
        <v>-205</v>
      </c>
      <c r="F1686" s="249" t="s">
        <v>8</v>
      </c>
      <c r="G1686" s="380" t="s">
        <v>82</v>
      </c>
    </row>
    <row r="1687" spans="1:7" s="250" customFormat="1" x14ac:dyDescent="0.3">
      <c r="A1687" s="316">
        <v>45926</v>
      </c>
      <c r="B1687" s="316" t="s">
        <v>208</v>
      </c>
      <c r="C1687" s="304" t="s">
        <v>25</v>
      </c>
      <c r="D1687" s="304" t="s">
        <v>1318</v>
      </c>
      <c r="E1687" s="524">
        <v>-179</v>
      </c>
      <c r="F1687" s="249" t="s">
        <v>8</v>
      </c>
      <c r="G1687" s="380" t="s">
        <v>82</v>
      </c>
    </row>
    <row r="1688" spans="1:7" s="250" customFormat="1" x14ac:dyDescent="0.3">
      <c r="A1688" s="316">
        <v>45926</v>
      </c>
      <c r="B1688" s="316" t="s">
        <v>208</v>
      </c>
      <c r="C1688" s="304" t="s">
        <v>25</v>
      </c>
      <c r="D1688" s="304" t="s">
        <v>1138</v>
      </c>
      <c r="E1688" s="524">
        <v>-321</v>
      </c>
      <c r="F1688" s="249" t="s">
        <v>8</v>
      </c>
      <c r="G1688" s="380" t="s">
        <v>82</v>
      </c>
    </row>
    <row r="1689" spans="1:7" s="250" customFormat="1" x14ac:dyDescent="0.3">
      <c r="A1689" s="316">
        <v>45926</v>
      </c>
      <c r="B1689" s="316" t="s">
        <v>208</v>
      </c>
      <c r="C1689" s="304" t="s">
        <v>33</v>
      </c>
      <c r="D1689" s="304" t="s">
        <v>1524</v>
      </c>
      <c r="E1689" s="524">
        <v>-124.56</v>
      </c>
      <c r="F1689" s="249" t="s">
        <v>8</v>
      </c>
      <c r="G1689" s="255" t="s">
        <v>19</v>
      </c>
    </row>
    <row r="1690" spans="1:7" s="250" customFormat="1" x14ac:dyDescent="0.3">
      <c r="A1690" s="316">
        <v>45926</v>
      </c>
      <c r="B1690" s="316" t="s">
        <v>208</v>
      </c>
      <c r="C1690" s="304" t="s">
        <v>33</v>
      </c>
      <c r="D1690" s="304" t="s">
        <v>1523</v>
      </c>
      <c r="E1690" s="524">
        <v>-103.8</v>
      </c>
      <c r="F1690" s="249" t="s">
        <v>8</v>
      </c>
      <c r="G1690" s="255" t="s">
        <v>19</v>
      </c>
    </row>
    <row r="1691" spans="1:7" s="250" customFormat="1" x14ac:dyDescent="0.3">
      <c r="A1691" s="316">
        <v>45926</v>
      </c>
      <c r="B1691" s="316" t="s">
        <v>208</v>
      </c>
      <c r="C1691" s="304" t="s">
        <v>25</v>
      </c>
      <c r="D1691" s="304" t="s">
        <v>1537</v>
      </c>
      <c r="E1691" s="524">
        <v>-1500</v>
      </c>
      <c r="F1691" s="249" t="s">
        <v>8</v>
      </c>
      <c r="G1691" s="255" t="s">
        <v>15</v>
      </c>
    </row>
    <row r="1692" spans="1:7" s="250" customFormat="1" x14ac:dyDescent="0.3">
      <c r="A1692" s="316">
        <v>45926</v>
      </c>
      <c r="B1692" s="316" t="s">
        <v>208</v>
      </c>
      <c r="C1692" s="293" t="s">
        <v>44</v>
      </c>
      <c r="D1692" s="293" t="s">
        <v>1536</v>
      </c>
      <c r="E1692" s="248">
        <v>-371.04</v>
      </c>
      <c r="F1692" s="249" t="s">
        <v>8</v>
      </c>
      <c r="G1692" s="255" t="s">
        <v>203</v>
      </c>
    </row>
    <row r="1693" spans="1:7" s="587" customFormat="1" x14ac:dyDescent="0.3">
      <c r="A1693" s="585">
        <v>45922</v>
      </c>
      <c r="B1693" s="585" t="s">
        <v>208</v>
      </c>
      <c r="C1693" s="590" t="s">
        <v>25</v>
      </c>
      <c r="D1693" s="360" t="s">
        <v>140</v>
      </c>
      <c r="E1693" s="361">
        <v>-19960</v>
      </c>
      <c r="F1693" s="586" t="s">
        <v>8</v>
      </c>
      <c r="G1693" s="591" t="s">
        <v>58</v>
      </c>
    </row>
    <row r="1694" spans="1:7" s="139" customFormat="1" hidden="1" x14ac:dyDescent="0.3">
      <c r="A1694" s="78">
        <v>45931</v>
      </c>
      <c r="B1694" s="100" t="s">
        <v>211</v>
      </c>
      <c r="C1694" s="12" t="s">
        <v>647</v>
      </c>
      <c r="D1694" s="4" t="s">
        <v>140</v>
      </c>
      <c r="E1694" s="16">
        <v>-13251.8</v>
      </c>
      <c r="F1694" s="13" t="s">
        <v>8</v>
      </c>
      <c r="G1694" s="5" t="s">
        <v>58</v>
      </c>
    </row>
    <row r="1695" spans="1:7" s="139" customFormat="1" hidden="1" x14ac:dyDescent="0.3">
      <c r="A1695" s="100">
        <v>45946</v>
      </c>
      <c r="B1695" s="100" t="s">
        <v>211</v>
      </c>
      <c r="C1695" s="12" t="s">
        <v>6</v>
      </c>
      <c r="D1695" s="4" t="s">
        <v>144</v>
      </c>
      <c r="E1695" s="16">
        <v>-35000</v>
      </c>
      <c r="F1695" s="13" t="s">
        <v>8</v>
      </c>
      <c r="G1695" s="105" t="s">
        <v>124</v>
      </c>
    </row>
    <row r="1696" spans="1:7" s="250" customFormat="1" x14ac:dyDescent="0.3">
      <c r="A1696" s="251">
        <v>45930</v>
      </c>
      <c r="B1696" s="316" t="s">
        <v>208</v>
      </c>
      <c r="C1696" s="299" t="s">
        <v>17</v>
      </c>
      <c r="D1696" s="300" t="s">
        <v>1581</v>
      </c>
      <c r="E1696" s="335">
        <v>-8826.91</v>
      </c>
      <c r="F1696" s="249" t="s">
        <v>8</v>
      </c>
      <c r="G1696" s="255" t="s">
        <v>97</v>
      </c>
    </row>
    <row r="1697" spans="1:7" s="250" customFormat="1" x14ac:dyDescent="0.3">
      <c r="A1697" s="251">
        <v>45930</v>
      </c>
      <c r="B1697" s="316" t="s">
        <v>208</v>
      </c>
      <c r="C1697" s="299" t="s">
        <v>17</v>
      </c>
      <c r="D1697" s="253" t="s">
        <v>146</v>
      </c>
      <c r="E1697" s="317">
        <v>-1500</v>
      </c>
      <c r="F1697" s="249" t="s">
        <v>8</v>
      </c>
      <c r="G1697" s="255" t="s">
        <v>147</v>
      </c>
    </row>
    <row r="1698" spans="1:7" s="250" customFormat="1" x14ac:dyDescent="0.3">
      <c r="A1698" s="251">
        <v>45930</v>
      </c>
      <c r="B1698" s="316" t="s">
        <v>208</v>
      </c>
      <c r="C1698" s="299" t="s">
        <v>17</v>
      </c>
      <c r="D1698" s="253" t="s">
        <v>148</v>
      </c>
      <c r="E1698" s="317">
        <v>-100</v>
      </c>
      <c r="F1698" s="249" t="s">
        <v>8</v>
      </c>
      <c r="G1698" s="255" t="s">
        <v>147</v>
      </c>
    </row>
    <row r="1699" spans="1:7" s="250" customFormat="1" x14ac:dyDescent="0.3">
      <c r="A1699" s="251">
        <v>45930</v>
      </c>
      <c r="B1699" s="316" t="s">
        <v>208</v>
      </c>
      <c r="C1699" s="293" t="s">
        <v>17</v>
      </c>
      <c r="D1699" s="293" t="s">
        <v>491</v>
      </c>
      <c r="E1699" s="248">
        <v>-3256.25</v>
      </c>
      <c r="F1699" s="249" t="s">
        <v>8</v>
      </c>
      <c r="G1699" s="249" t="s">
        <v>152</v>
      </c>
    </row>
    <row r="1700" spans="1:7" s="250" customFormat="1" x14ac:dyDescent="0.3">
      <c r="A1700" s="251">
        <v>45930</v>
      </c>
      <c r="B1700" s="316" t="s">
        <v>208</v>
      </c>
      <c r="C1700" s="293" t="s">
        <v>71</v>
      </c>
      <c r="D1700" s="293" t="s">
        <v>205</v>
      </c>
      <c r="E1700" s="248">
        <v>-2141.69</v>
      </c>
      <c r="F1700" s="249" t="s">
        <v>8</v>
      </c>
      <c r="G1700" s="293" t="s">
        <v>227</v>
      </c>
    </row>
    <row r="1701" spans="1:7" s="139" customFormat="1" hidden="1" x14ac:dyDescent="0.3">
      <c r="A1701" s="78">
        <v>45932</v>
      </c>
      <c r="B1701" s="100" t="s">
        <v>211</v>
      </c>
      <c r="C1701" s="14" t="s">
        <v>44</v>
      </c>
      <c r="D1701" s="98" t="s">
        <v>226</v>
      </c>
      <c r="E1701" s="8">
        <v>-390</v>
      </c>
      <c r="F1701" s="13" t="s">
        <v>8</v>
      </c>
      <c r="G1701" s="9" t="s">
        <v>227</v>
      </c>
    </row>
    <row r="1702" spans="1:7" s="139" customFormat="1" hidden="1" x14ac:dyDescent="0.3">
      <c r="A1702" s="78">
        <v>45932</v>
      </c>
      <c r="B1702" s="100" t="s">
        <v>211</v>
      </c>
      <c r="C1702" s="98" t="s">
        <v>44</v>
      </c>
      <c r="D1702" s="14" t="s">
        <v>204</v>
      </c>
      <c r="E1702" s="8">
        <v>-4484.68</v>
      </c>
      <c r="F1702" s="13" t="s">
        <v>8</v>
      </c>
      <c r="G1702" s="9" t="s">
        <v>227</v>
      </c>
    </row>
    <row r="1703" spans="1:7" s="139" customFormat="1" hidden="1" x14ac:dyDescent="0.3">
      <c r="A1703" s="78">
        <v>45932</v>
      </c>
      <c r="B1703" s="100" t="s">
        <v>211</v>
      </c>
      <c r="C1703" s="98" t="s">
        <v>44</v>
      </c>
      <c r="D1703" s="14" t="s">
        <v>1611</v>
      </c>
      <c r="E1703" s="8">
        <v>-3198.35</v>
      </c>
      <c r="F1703" s="13" t="s">
        <v>8</v>
      </c>
      <c r="G1703" s="9" t="s">
        <v>124</v>
      </c>
    </row>
    <row r="1704" spans="1:7" s="139" customFormat="1" hidden="1" x14ac:dyDescent="0.3">
      <c r="A1704" s="78">
        <v>45932</v>
      </c>
      <c r="B1704" s="100" t="s">
        <v>211</v>
      </c>
      <c r="C1704" s="98" t="s">
        <v>44</v>
      </c>
      <c r="D1704" s="14" t="s">
        <v>1610</v>
      </c>
      <c r="E1704" s="8">
        <v>-687.81</v>
      </c>
      <c r="F1704" s="13" t="s">
        <v>8</v>
      </c>
      <c r="G1704" s="9" t="s">
        <v>124</v>
      </c>
    </row>
    <row r="1705" spans="1:7" s="139" customFormat="1" hidden="1" x14ac:dyDescent="0.3">
      <c r="A1705" s="78">
        <v>45932</v>
      </c>
      <c r="B1705" s="100" t="s">
        <v>211</v>
      </c>
      <c r="C1705" s="98" t="s">
        <v>44</v>
      </c>
      <c r="D1705" s="14" t="s">
        <v>226</v>
      </c>
      <c r="E1705" s="8">
        <v>-1456</v>
      </c>
      <c r="F1705" s="13" t="s">
        <v>8</v>
      </c>
      <c r="G1705" s="9" t="s">
        <v>227</v>
      </c>
    </row>
    <row r="1706" spans="1:7" s="139" customFormat="1" hidden="1" x14ac:dyDescent="0.3">
      <c r="A1706" s="78">
        <v>45932</v>
      </c>
      <c r="B1706" s="100" t="s">
        <v>211</v>
      </c>
      <c r="C1706" s="14" t="s">
        <v>31</v>
      </c>
      <c r="D1706" s="14" t="s">
        <v>1462</v>
      </c>
      <c r="E1706" s="8">
        <v>-2152.61</v>
      </c>
      <c r="F1706" s="13" t="s">
        <v>8</v>
      </c>
      <c r="G1706" s="13" t="s">
        <v>152</v>
      </c>
    </row>
    <row r="1707" spans="1:7" s="139" customFormat="1" hidden="1" x14ac:dyDescent="0.3">
      <c r="A1707" s="78">
        <v>45932</v>
      </c>
      <c r="B1707" s="100" t="s">
        <v>211</v>
      </c>
      <c r="C1707" s="14" t="s">
        <v>6</v>
      </c>
      <c r="D1707" s="14" t="s">
        <v>1365</v>
      </c>
      <c r="E1707" s="8">
        <v>-2666.08</v>
      </c>
      <c r="F1707" s="13" t="s">
        <v>8</v>
      </c>
      <c r="G1707" s="13" t="s">
        <v>152</v>
      </c>
    </row>
    <row r="1708" spans="1:7" s="139" customFormat="1" hidden="1" x14ac:dyDescent="0.3">
      <c r="A1708" s="78">
        <v>45932</v>
      </c>
      <c r="B1708" s="100" t="s">
        <v>211</v>
      </c>
      <c r="C1708" s="14" t="s">
        <v>6</v>
      </c>
      <c r="D1708" s="14" t="s">
        <v>1297</v>
      </c>
      <c r="E1708" s="8">
        <v>-2675.88</v>
      </c>
      <c r="F1708" s="13" t="s">
        <v>8</v>
      </c>
      <c r="G1708" s="13" t="s">
        <v>152</v>
      </c>
    </row>
    <row r="1709" spans="1:7" s="139" customFormat="1" hidden="1" x14ac:dyDescent="0.3">
      <c r="A1709" s="78">
        <v>45932</v>
      </c>
      <c r="B1709" s="100" t="s">
        <v>211</v>
      </c>
      <c r="C1709" s="14" t="s">
        <v>6</v>
      </c>
      <c r="D1709" s="14" t="s">
        <v>1265</v>
      </c>
      <c r="E1709" s="276">
        <v>-1885.2</v>
      </c>
      <c r="F1709" s="13" t="s">
        <v>8</v>
      </c>
      <c r="G1709" s="13" t="s">
        <v>152</v>
      </c>
    </row>
    <row r="1710" spans="1:7" s="139" customFormat="1" hidden="1" x14ac:dyDescent="0.3">
      <c r="A1710" s="78">
        <v>45932</v>
      </c>
      <c r="B1710" s="100" t="s">
        <v>211</v>
      </c>
      <c r="C1710" s="14" t="s">
        <v>6</v>
      </c>
      <c r="D1710" s="14" t="s">
        <v>497</v>
      </c>
      <c r="E1710" s="276">
        <v>-2173.63</v>
      </c>
      <c r="F1710" s="13" t="s">
        <v>8</v>
      </c>
      <c r="G1710" s="13" t="s">
        <v>152</v>
      </c>
    </row>
    <row r="1711" spans="1:7" s="139" customFormat="1" hidden="1" x14ac:dyDescent="0.3">
      <c r="A1711" s="78">
        <v>45932</v>
      </c>
      <c r="B1711" s="100" t="s">
        <v>211</v>
      </c>
      <c r="C1711" s="14" t="s">
        <v>25</v>
      </c>
      <c r="D1711" s="14" t="s">
        <v>1394</v>
      </c>
      <c r="E1711" s="8">
        <v>-2187.38</v>
      </c>
      <c r="F1711" s="13" t="s">
        <v>8</v>
      </c>
      <c r="G1711" s="13" t="s">
        <v>152</v>
      </c>
    </row>
    <row r="1712" spans="1:7" s="139" customFormat="1" hidden="1" x14ac:dyDescent="0.3">
      <c r="A1712" s="78">
        <v>45932</v>
      </c>
      <c r="B1712" s="100" t="s">
        <v>211</v>
      </c>
      <c r="C1712" s="14" t="s">
        <v>25</v>
      </c>
      <c r="D1712" s="14" t="s">
        <v>1463</v>
      </c>
      <c r="E1712" s="8">
        <v>-2643.56</v>
      </c>
      <c r="F1712" s="13" t="s">
        <v>8</v>
      </c>
      <c r="G1712" s="13" t="s">
        <v>152</v>
      </c>
    </row>
    <row r="1713" spans="1:7" s="139" customFormat="1" hidden="1" x14ac:dyDescent="0.3">
      <c r="A1713" s="78">
        <v>45932</v>
      </c>
      <c r="B1713" s="100" t="s">
        <v>211</v>
      </c>
      <c r="C1713" s="14" t="s">
        <v>33</v>
      </c>
      <c r="D1713" s="14" t="s">
        <v>1464</v>
      </c>
      <c r="E1713" s="8">
        <v>-2754.27</v>
      </c>
      <c r="F1713" s="13" t="s">
        <v>8</v>
      </c>
      <c r="G1713" s="13" t="s">
        <v>152</v>
      </c>
    </row>
    <row r="1714" spans="1:7" s="139" customFormat="1" hidden="1" x14ac:dyDescent="0.3">
      <c r="A1714" s="78">
        <v>45932</v>
      </c>
      <c r="B1714" s="100" t="s">
        <v>211</v>
      </c>
      <c r="C1714" s="14" t="s">
        <v>33</v>
      </c>
      <c r="D1714" s="14" t="s">
        <v>1465</v>
      </c>
      <c r="E1714" s="8">
        <v>-2684.2</v>
      </c>
      <c r="F1714" s="13" t="s">
        <v>8</v>
      </c>
      <c r="G1714" s="13" t="s">
        <v>152</v>
      </c>
    </row>
    <row r="1715" spans="1:7" s="139" customFormat="1" hidden="1" x14ac:dyDescent="0.3">
      <c r="A1715" s="78">
        <v>45932</v>
      </c>
      <c r="B1715" s="100" t="s">
        <v>211</v>
      </c>
      <c r="C1715" s="14" t="s">
        <v>104</v>
      </c>
      <c r="D1715" s="14" t="s">
        <v>1466</v>
      </c>
      <c r="E1715" s="8">
        <v>-2117.89</v>
      </c>
      <c r="F1715" s="13" t="s">
        <v>8</v>
      </c>
      <c r="G1715" s="13" t="s">
        <v>152</v>
      </c>
    </row>
    <row r="1716" spans="1:7" s="139" customFormat="1" hidden="1" x14ac:dyDescent="0.3">
      <c r="A1716" s="78">
        <v>45932</v>
      </c>
      <c r="B1716" s="100" t="s">
        <v>211</v>
      </c>
      <c r="C1716" s="14" t="s">
        <v>104</v>
      </c>
      <c r="D1716" s="98" t="s">
        <v>1467</v>
      </c>
      <c r="E1716" s="8">
        <v>-2720.59</v>
      </c>
      <c r="F1716" s="13" t="s">
        <v>8</v>
      </c>
      <c r="G1716" s="13" t="s">
        <v>152</v>
      </c>
    </row>
    <row r="1717" spans="1:7" s="139" customFormat="1" hidden="1" x14ac:dyDescent="0.3">
      <c r="A1717" s="78">
        <v>45932</v>
      </c>
      <c r="B1717" s="100" t="s">
        <v>211</v>
      </c>
      <c r="C1717" s="14" t="s">
        <v>32</v>
      </c>
      <c r="D1717" s="98" t="s">
        <v>1468</v>
      </c>
      <c r="E1717" s="8">
        <v>-2221.88</v>
      </c>
      <c r="F1717" s="13" t="s">
        <v>8</v>
      </c>
      <c r="G1717" s="13" t="s">
        <v>152</v>
      </c>
    </row>
    <row r="1718" spans="1:7" s="139" customFormat="1" hidden="1" x14ac:dyDescent="0.3">
      <c r="A1718" s="78">
        <v>45932</v>
      </c>
      <c r="B1718" s="100" t="s">
        <v>211</v>
      </c>
      <c r="C1718" s="14" t="s">
        <v>71</v>
      </c>
      <c r="D1718" s="98" t="s">
        <v>1469</v>
      </c>
      <c r="E1718" s="8">
        <v>-2969.85</v>
      </c>
      <c r="F1718" s="13" t="s">
        <v>8</v>
      </c>
      <c r="G1718" s="13" t="s">
        <v>152</v>
      </c>
    </row>
    <row r="1719" spans="1:7" s="139" customFormat="1" hidden="1" x14ac:dyDescent="0.3">
      <c r="A1719" s="78">
        <v>45932</v>
      </c>
      <c r="B1719" s="100" t="s">
        <v>211</v>
      </c>
      <c r="C1719" s="14" t="s">
        <v>71</v>
      </c>
      <c r="D1719" s="98" t="s">
        <v>418</v>
      </c>
      <c r="E1719" s="8">
        <v>-2570.3200000000002</v>
      </c>
      <c r="F1719" s="13" t="s">
        <v>8</v>
      </c>
      <c r="G1719" s="13" t="s">
        <v>152</v>
      </c>
    </row>
    <row r="1720" spans="1:7" s="139" customFormat="1" hidden="1" x14ac:dyDescent="0.3">
      <c r="A1720" s="78">
        <v>45932</v>
      </c>
      <c r="B1720" s="100" t="s">
        <v>211</v>
      </c>
      <c r="C1720" s="14" t="s">
        <v>31</v>
      </c>
      <c r="D1720" s="98" t="s">
        <v>1470</v>
      </c>
      <c r="E1720" s="8">
        <v>-1927.82</v>
      </c>
      <c r="F1720" s="13" t="s">
        <v>8</v>
      </c>
      <c r="G1720" s="13" t="s">
        <v>152</v>
      </c>
    </row>
    <row r="1721" spans="1:7" s="139" customFormat="1" hidden="1" x14ac:dyDescent="0.3">
      <c r="A1721" s="100">
        <v>45946</v>
      </c>
      <c r="B1721" s="100" t="s">
        <v>211</v>
      </c>
      <c r="C1721" s="12" t="s">
        <v>17</v>
      </c>
      <c r="D1721" s="7" t="s">
        <v>154</v>
      </c>
      <c r="E1721" s="16">
        <v>-5988.61</v>
      </c>
      <c r="F1721" s="13" t="s">
        <v>8</v>
      </c>
      <c r="G1721" s="105" t="s">
        <v>124</v>
      </c>
    </row>
    <row r="1722" spans="1:7" s="139" customFormat="1" hidden="1" x14ac:dyDescent="0.3">
      <c r="A1722" s="100">
        <v>45946</v>
      </c>
      <c r="B1722" s="100" t="s">
        <v>211</v>
      </c>
      <c r="C1722" s="12" t="s">
        <v>17</v>
      </c>
      <c r="D1722" s="7" t="s">
        <v>1591</v>
      </c>
      <c r="E1722" s="16">
        <v>-4434.6099999999997</v>
      </c>
      <c r="F1722" s="13" t="s">
        <v>8</v>
      </c>
      <c r="G1722" s="105" t="s">
        <v>124</v>
      </c>
    </row>
    <row r="1723" spans="1:7" s="139" customFormat="1" hidden="1" x14ac:dyDescent="0.3">
      <c r="A1723" s="100">
        <v>45946</v>
      </c>
      <c r="B1723" s="100" t="s">
        <v>211</v>
      </c>
      <c r="C1723" s="12" t="s">
        <v>80</v>
      </c>
      <c r="D1723" s="4" t="s">
        <v>157</v>
      </c>
      <c r="E1723" s="16">
        <v>-2700</v>
      </c>
      <c r="F1723" s="13" t="s">
        <v>8</v>
      </c>
      <c r="G1723" s="105" t="s">
        <v>124</v>
      </c>
    </row>
    <row r="1724" spans="1:7" s="250" customFormat="1" x14ac:dyDescent="0.3">
      <c r="A1724" s="251">
        <v>45930</v>
      </c>
      <c r="B1724" s="316" t="s">
        <v>208</v>
      </c>
      <c r="C1724" s="299" t="s">
        <v>44</v>
      </c>
      <c r="D1724" s="300" t="s">
        <v>158</v>
      </c>
      <c r="E1724" s="317">
        <v>-1719.53</v>
      </c>
      <c r="F1724" s="249" t="s">
        <v>8</v>
      </c>
      <c r="G1724" s="249" t="s">
        <v>91</v>
      </c>
    </row>
    <row r="1725" spans="1:7" s="250" customFormat="1" x14ac:dyDescent="0.3">
      <c r="A1725" s="251">
        <v>45930</v>
      </c>
      <c r="B1725" s="316" t="s">
        <v>208</v>
      </c>
      <c r="C1725" s="371" t="s">
        <v>6</v>
      </c>
      <c r="D1725" s="300" t="s">
        <v>158</v>
      </c>
      <c r="E1725" s="317">
        <v>-1392.65</v>
      </c>
      <c r="F1725" s="249" t="s">
        <v>8</v>
      </c>
      <c r="G1725" s="249" t="s">
        <v>91</v>
      </c>
    </row>
    <row r="1726" spans="1:7" x14ac:dyDescent="0.3">
      <c r="A1726" s="123">
        <v>45903</v>
      </c>
      <c r="B1726" s="123" t="s">
        <v>208</v>
      </c>
      <c r="C1726" s="120" t="s">
        <v>159</v>
      </c>
      <c r="D1726" s="29" t="s">
        <v>160</v>
      </c>
      <c r="E1726" s="53">
        <v>23638.67</v>
      </c>
      <c r="F1726" s="55" t="s">
        <v>161</v>
      </c>
      <c r="G1726" s="61" t="s">
        <v>162</v>
      </c>
    </row>
    <row r="1727" spans="1:7" x14ac:dyDescent="0.3">
      <c r="A1727" s="123">
        <v>45903</v>
      </c>
      <c r="B1727" s="123" t="s">
        <v>208</v>
      </c>
      <c r="C1727" s="120" t="s">
        <v>163</v>
      </c>
      <c r="D1727" s="29" t="s">
        <v>164</v>
      </c>
      <c r="E1727" s="53">
        <v>799.2</v>
      </c>
      <c r="F1727" s="55" t="s">
        <v>161</v>
      </c>
      <c r="G1727" s="61" t="s">
        <v>162</v>
      </c>
    </row>
    <row r="1728" spans="1:7" x14ac:dyDescent="0.3">
      <c r="A1728" s="123">
        <v>45903</v>
      </c>
      <c r="B1728" s="123" t="s">
        <v>208</v>
      </c>
      <c r="C1728" s="120" t="s">
        <v>163</v>
      </c>
      <c r="D1728" s="29" t="s">
        <v>164</v>
      </c>
      <c r="E1728" s="53">
        <v>18532.8</v>
      </c>
      <c r="F1728" s="55" t="s">
        <v>161</v>
      </c>
      <c r="G1728" s="61" t="s">
        <v>162</v>
      </c>
    </row>
    <row r="1729" spans="1:7" x14ac:dyDescent="0.3">
      <c r="A1729" s="123">
        <v>45903</v>
      </c>
      <c r="B1729" s="123" t="s">
        <v>208</v>
      </c>
      <c r="C1729" s="120" t="s">
        <v>163</v>
      </c>
      <c r="D1729" s="29" t="s">
        <v>164</v>
      </c>
      <c r="E1729" s="53">
        <v>1200</v>
      </c>
      <c r="F1729" s="55" t="s">
        <v>161</v>
      </c>
      <c r="G1729" s="61" t="s">
        <v>162</v>
      </c>
    </row>
    <row r="1730" spans="1:7" x14ac:dyDescent="0.3">
      <c r="A1730" s="123">
        <v>45903</v>
      </c>
      <c r="B1730" s="123" t="s">
        <v>208</v>
      </c>
      <c r="C1730" s="120" t="s">
        <v>17</v>
      </c>
      <c r="D1730" s="29" t="s">
        <v>1309</v>
      </c>
      <c r="E1730" s="449">
        <v>4200</v>
      </c>
      <c r="F1730" s="55" t="s">
        <v>161</v>
      </c>
      <c r="G1730" s="61" t="s">
        <v>162</v>
      </c>
    </row>
    <row r="1731" spans="1:7" ht="14.4" x14ac:dyDescent="0.3">
      <c r="A1731" s="123">
        <v>45903</v>
      </c>
      <c r="B1731" s="123" t="s">
        <v>208</v>
      </c>
      <c r="C1731" s="120" t="s">
        <v>165</v>
      </c>
      <c r="D1731" s="29" t="s">
        <v>166</v>
      </c>
      <c r="E1731" s="522">
        <v>919.19</v>
      </c>
      <c r="F1731" s="55" t="s">
        <v>161</v>
      </c>
      <c r="G1731" s="61" t="s">
        <v>162</v>
      </c>
    </row>
    <row r="1732" spans="1:7" ht="14.4" x14ac:dyDescent="0.3">
      <c r="A1732" s="123">
        <v>45911</v>
      </c>
      <c r="B1732" s="123" t="s">
        <v>208</v>
      </c>
      <c r="C1732" s="120" t="s">
        <v>165</v>
      </c>
      <c r="D1732" s="29" t="s">
        <v>166</v>
      </c>
      <c r="E1732" s="521">
        <v>11225.96</v>
      </c>
      <c r="F1732" s="55" t="s">
        <v>161</v>
      </c>
      <c r="G1732" s="61" t="s">
        <v>162</v>
      </c>
    </row>
    <row r="1733" spans="1:7" ht="14.4" x14ac:dyDescent="0.3">
      <c r="A1733" s="123">
        <v>45911</v>
      </c>
      <c r="B1733" s="123" t="s">
        <v>208</v>
      </c>
      <c r="C1733" s="120" t="s">
        <v>165</v>
      </c>
      <c r="D1733" s="29" t="s">
        <v>166</v>
      </c>
      <c r="E1733" s="573">
        <v>600</v>
      </c>
      <c r="F1733" s="55" t="s">
        <v>161</v>
      </c>
      <c r="G1733" s="61" t="s">
        <v>162</v>
      </c>
    </row>
    <row r="1734" spans="1:7" ht="14.4" x14ac:dyDescent="0.3">
      <c r="A1734" s="123">
        <v>45926</v>
      </c>
      <c r="B1734" s="123" t="s">
        <v>208</v>
      </c>
      <c r="C1734" s="120" t="s">
        <v>165</v>
      </c>
      <c r="D1734" s="520" t="s">
        <v>1364</v>
      </c>
      <c r="E1734" s="521">
        <v>11225.96</v>
      </c>
      <c r="F1734" s="55" t="s">
        <v>161</v>
      </c>
      <c r="G1734" s="61" t="s">
        <v>162</v>
      </c>
    </row>
    <row r="1735" spans="1:7" x14ac:dyDescent="0.3">
      <c r="A1735" s="123">
        <v>45902</v>
      </c>
      <c r="B1735" s="123" t="s">
        <v>208</v>
      </c>
      <c r="C1735" s="120" t="s">
        <v>167</v>
      </c>
      <c r="D1735" s="29" t="s">
        <v>168</v>
      </c>
      <c r="E1735" s="53">
        <v>14482.07</v>
      </c>
      <c r="F1735" s="55" t="s">
        <v>161</v>
      </c>
      <c r="G1735" s="61" t="s">
        <v>162</v>
      </c>
    </row>
    <row r="1736" spans="1:7" x14ac:dyDescent="0.3">
      <c r="A1736" s="123">
        <v>45902</v>
      </c>
      <c r="B1736" s="123" t="s">
        <v>208</v>
      </c>
      <c r="C1736" s="120" t="s">
        <v>167</v>
      </c>
      <c r="D1736" s="29" t="s">
        <v>168</v>
      </c>
      <c r="E1736" s="53">
        <v>23943.3</v>
      </c>
      <c r="F1736" s="55" t="s">
        <v>161</v>
      </c>
      <c r="G1736" s="61" t="s">
        <v>162</v>
      </c>
    </row>
    <row r="1737" spans="1:7" x14ac:dyDescent="0.3">
      <c r="A1737" s="123">
        <v>45902</v>
      </c>
      <c r="B1737" s="123" t="s">
        <v>208</v>
      </c>
      <c r="C1737" s="120" t="s">
        <v>167</v>
      </c>
      <c r="D1737" s="29" t="s">
        <v>168</v>
      </c>
      <c r="E1737" s="53">
        <v>21852.37</v>
      </c>
      <c r="F1737" s="55" t="s">
        <v>161</v>
      </c>
      <c r="G1737" s="61" t="s">
        <v>162</v>
      </c>
    </row>
    <row r="1738" spans="1:7" x14ac:dyDescent="0.3">
      <c r="A1738" s="123">
        <v>45902</v>
      </c>
      <c r="B1738" s="123" t="s">
        <v>208</v>
      </c>
      <c r="C1738" s="120" t="s">
        <v>167</v>
      </c>
      <c r="D1738" s="29" t="s">
        <v>168</v>
      </c>
      <c r="E1738" s="30">
        <v>4683.53</v>
      </c>
      <c r="F1738" s="55" t="s">
        <v>161</v>
      </c>
      <c r="G1738" s="61" t="s">
        <v>162</v>
      </c>
    </row>
    <row r="1739" spans="1:7" x14ac:dyDescent="0.3">
      <c r="A1739" s="123">
        <v>45902</v>
      </c>
      <c r="B1739" s="123" t="s">
        <v>208</v>
      </c>
      <c r="C1739" s="120" t="s">
        <v>167</v>
      </c>
      <c r="D1739" s="29" t="s">
        <v>168</v>
      </c>
      <c r="E1739" s="53">
        <v>196</v>
      </c>
      <c r="F1739" s="55" t="s">
        <v>161</v>
      </c>
      <c r="G1739" s="61" t="s">
        <v>162</v>
      </c>
    </row>
    <row r="1740" spans="1:7" s="250" customFormat="1" x14ac:dyDescent="0.3">
      <c r="A1740" s="316">
        <v>45910</v>
      </c>
      <c r="B1740" s="316" t="s">
        <v>208</v>
      </c>
      <c r="C1740" s="299" t="s">
        <v>13</v>
      </c>
      <c r="D1740" s="253" t="s">
        <v>1336</v>
      </c>
      <c r="E1740" s="319">
        <v>-34431.25</v>
      </c>
      <c r="F1740" s="249" t="s">
        <v>8</v>
      </c>
      <c r="G1740" s="254" t="s">
        <v>27</v>
      </c>
    </row>
    <row r="1741" spans="1:7" s="250" customFormat="1" x14ac:dyDescent="0.3">
      <c r="A1741" s="316">
        <v>45910</v>
      </c>
      <c r="B1741" s="316" t="s">
        <v>208</v>
      </c>
      <c r="C1741" s="299" t="s">
        <v>13</v>
      </c>
      <c r="D1741" s="253" t="s">
        <v>1337</v>
      </c>
      <c r="E1741" s="319">
        <v>-13794.61</v>
      </c>
      <c r="F1741" s="249" t="s">
        <v>8</v>
      </c>
      <c r="G1741" s="254" t="s">
        <v>27</v>
      </c>
    </row>
    <row r="1742" spans="1:7" s="139" customFormat="1" x14ac:dyDescent="0.3">
      <c r="A1742" s="123">
        <v>45912</v>
      </c>
      <c r="B1742" s="123" t="s">
        <v>208</v>
      </c>
      <c r="C1742" s="120" t="s">
        <v>170</v>
      </c>
      <c r="D1742" s="73" t="s">
        <v>171</v>
      </c>
      <c r="E1742" s="121">
        <v>8041</v>
      </c>
      <c r="F1742" s="55" t="s">
        <v>161</v>
      </c>
      <c r="G1742" s="54" t="s">
        <v>162</v>
      </c>
    </row>
    <row r="1743" spans="1:7" s="139" customFormat="1" x14ac:dyDescent="0.3">
      <c r="A1743" s="123">
        <v>45912</v>
      </c>
      <c r="B1743" s="123" t="s">
        <v>208</v>
      </c>
      <c r="C1743" s="120" t="s">
        <v>170</v>
      </c>
      <c r="D1743" s="73" t="s">
        <v>171</v>
      </c>
      <c r="E1743" s="121">
        <v>33748.379999999997</v>
      </c>
      <c r="F1743" s="55" t="s">
        <v>161</v>
      </c>
      <c r="G1743" s="61" t="s">
        <v>162</v>
      </c>
    </row>
    <row r="1744" spans="1:7" s="139" customFormat="1" ht="14.4" x14ac:dyDescent="0.3">
      <c r="A1744" s="123">
        <v>45910</v>
      </c>
      <c r="B1744" s="123" t="s">
        <v>208</v>
      </c>
      <c r="C1744" s="120" t="s">
        <v>170</v>
      </c>
      <c r="D1744" s="519" t="s">
        <v>487</v>
      </c>
      <c r="E1744" s="521">
        <v>6559.12</v>
      </c>
      <c r="F1744" s="55" t="s">
        <v>161</v>
      </c>
      <c r="G1744" s="61" t="s">
        <v>162</v>
      </c>
    </row>
    <row r="1745" spans="1:7" x14ac:dyDescent="0.3">
      <c r="A1745" s="123">
        <v>45910</v>
      </c>
      <c r="B1745" s="123" t="s">
        <v>208</v>
      </c>
      <c r="C1745" s="120" t="s">
        <v>170</v>
      </c>
      <c r="D1745" s="520" t="s">
        <v>172</v>
      </c>
      <c r="E1745" s="121">
        <v>600</v>
      </c>
      <c r="F1745" s="55" t="s">
        <v>161</v>
      </c>
      <c r="G1745" s="61" t="s">
        <v>162</v>
      </c>
    </row>
    <row r="1746" spans="1:7" x14ac:dyDescent="0.3">
      <c r="A1746" s="123">
        <v>45910</v>
      </c>
      <c r="B1746" s="123" t="s">
        <v>208</v>
      </c>
      <c r="C1746" s="120" t="s">
        <v>170</v>
      </c>
      <c r="D1746" s="29" t="s">
        <v>172</v>
      </c>
      <c r="E1746" s="121">
        <v>5062.8</v>
      </c>
      <c r="F1746" s="55" t="s">
        <v>161</v>
      </c>
      <c r="G1746" s="61" t="s">
        <v>162</v>
      </c>
    </row>
    <row r="1747" spans="1:7" ht="14.4" x14ac:dyDescent="0.3">
      <c r="A1747" s="60">
        <v>45911</v>
      </c>
      <c r="B1747" s="123" t="s">
        <v>208</v>
      </c>
      <c r="C1747" s="120" t="s">
        <v>33</v>
      </c>
      <c r="D1747" s="122" t="s">
        <v>685</v>
      </c>
      <c r="E1747" s="231">
        <v>1200</v>
      </c>
      <c r="F1747" s="126" t="s">
        <v>161</v>
      </c>
      <c r="G1747" s="61" t="s">
        <v>162</v>
      </c>
    </row>
    <row r="1748" spans="1:7" x14ac:dyDescent="0.3">
      <c r="A1748" s="123">
        <v>45911</v>
      </c>
      <c r="B1748" s="123" t="s">
        <v>208</v>
      </c>
      <c r="C1748" s="120" t="s">
        <v>167</v>
      </c>
      <c r="D1748" s="29" t="s">
        <v>173</v>
      </c>
      <c r="E1748" s="121">
        <v>603.26</v>
      </c>
      <c r="F1748" s="55" t="s">
        <v>161</v>
      </c>
      <c r="G1748" s="61" t="s">
        <v>162</v>
      </c>
    </row>
    <row r="1749" spans="1:7" x14ac:dyDescent="0.3">
      <c r="A1749" s="123">
        <v>45911</v>
      </c>
      <c r="B1749" s="123" t="s">
        <v>208</v>
      </c>
      <c r="C1749" s="120" t="s">
        <v>167</v>
      </c>
      <c r="D1749" s="29" t="s">
        <v>173</v>
      </c>
      <c r="E1749" s="121">
        <v>1106.1400000000001</v>
      </c>
      <c r="F1749" s="55" t="s">
        <v>161</v>
      </c>
      <c r="G1749" s="61" t="s">
        <v>162</v>
      </c>
    </row>
    <row r="1750" spans="1:7" x14ac:dyDescent="0.3">
      <c r="A1750" s="123">
        <v>45911</v>
      </c>
      <c r="B1750" s="123" t="s">
        <v>208</v>
      </c>
      <c r="C1750" s="120" t="s">
        <v>167</v>
      </c>
      <c r="D1750" s="29" t="s">
        <v>173</v>
      </c>
      <c r="E1750" s="121">
        <v>9631</v>
      </c>
      <c r="F1750" s="55" t="s">
        <v>161</v>
      </c>
      <c r="G1750" s="61" t="s">
        <v>162</v>
      </c>
    </row>
    <row r="1751" spans="1:7" x14ac:dyDescent="0.3">
      <c r="A1751" s="123">
        <v>45911</v>
      </c>
      <c r="B1751" s="123" t="s">
        <v>208</v>
      </c>
      <c r="C1751" s="120" t="s">
        <v>174</v>
      </c>
      <c r="D1751" s="29" t="s">
        <v>175</v>
      </c>
      <c r="E1751" s="224">
        <v>257.81</v>
      </c>
      <c r="F1751" s="55" t="s">
        <v>161</v>
      </c>
      <c r="G1751" s="61" t="s">
        <v>162</v>
      </c>
    </row>
    <row r="1752" spans="1:7" x14ac:dyDescent="0.3">
      <c r="A1752" s="51">
        <v>45924</v>
      </c>
      <c r="B1752" s="123" t="s">
        <v>208</v>
      </c>
      <c r="C1752" s="120" t="s">
        <v>174</v>
      </c>
      <c r="D1752" s="520" t="s">
        <v>176</v>
      </c>
      <c r="E1752" s="121">
        <v>680.03</v>
      </c>
      <c r="F1752" s="55" t="s">
        <v>161</v>
      </c>
      <c r="G1752" s="61" t="s">
        <v>162</v>
      </c>
    </row>
    <row r="1753" spans="1:7" x14ac:dyDescent="0.3">
      <c r="A1753" s="123">
        <v>45911</v>
      </c>
      <c r="B1753" s="123" t="s">
        <v>208</v>
      </c>
      <c r="C1753" s="120" t="s">
        <v>177</v>
      </c>
      <c r="D1753" s="122" t="s">
        <v>178</v>
      </c>
      <c r="E1753" s="53">
        <v>24988.71</v>
      </c>
      <c r="F1753" s="55" t="s">
        <v>161</v>
      </c>
      <c r="G1753" s="61" t="s">
        <v>162</v>
      </c>
    </row>
    <row r="1754" spans="1:7" x14ac:dyDescent="0.3">
      <c r="A1754" s="123">
        <v>45911</v>
      </c>
      <c r="B1754" s="123" t="s">
        <v>208</v>
      </c>
      <c r="C1754" s="120" t="s">
        <v>177</v>
      </c>
      <c r="D1754" s="122" t="s">
        <v>178</v>
      </c>
      <c r="E1754" s="53">
        <v>16834.330000000002</v>
      </c>
      <c r="F1754" s="55" t="s">
        <v>161</v>
      </c>
      <c r="G1754" s="61" t="s">
        <v>162</v>
      </c>
    </row>
    <row r="1755" spans="1:7" x14ac:dyDescent="0.3">
      <c r="A1755" s="123">
        <v>45911</v>
      </c>
      <c r="B1755" s="123" t="s">
        <v>208</v>
      </c>
      <c r="C1755" s="120" t="s">
        <v>177</v>
      </c>
      <c r="D1755" s="122" t="s">
        <v>178</v>
      </c>
      <c r="E1755" s="53">
        <v>268.13</v>
      </c>
      <c r="F1755" s="55" t="s">
        <v>161</v>
      </c>
      <c r="G1755" s="61" t="s">
        <v>162</v>
      </c>
    </row>
    <row r="1756" spans="1:7" x14ac:dyDescent="0.3">
      <c r="A1756" s="123">
        <v>45911</v>
      </c>
      <c r="B1756" s="123" t="s">
        <v>208</v>
      </c>
      <c r="C1756" s="120" t="s">
        <v>177</v>
      </c>
      <c r="D1756" s="122" t="s">
        <v>178</v>
      </c>
      <c r="E1756" s="121">
        <v>12459.61</v>
      </c>
      <c r="F1756" s="55" t="s">
        <v>161</v>
      </c>
      <c r="G1756" s="61" t="s">
        <v>162</v>
      </c>
    </row>
    <row r="1757" spans="1:7" x14ac:dyDescent="0.3">
      <c r="A1757" s="123">
        <v>45911</v>
      </c>
      <c r="B1757" s="123" t="s">
        <v>208</v>
      </c>
      <c r="C1757" s="120" t="s">
        <v>163</v>
      </c>
      <c r="D1757" s="124" t="s">
        <v>179</v>
      </c>
      <c r="E1757" s="125">
        <v>7850</v>
      </c>
      <c r="F1757" s="126" t="s">
        <v>161</v>
      </c>
      <c r="G1757" s="61" t="s">
        <v>162</v>
      </c>
    </row>
    <row r="1758" spans="1:7" x14ac:dyDescent="0.3">
      <c r="A1758" s="513">
        <v>45898</v>
      </c>
      <c r="B1758" s="513" t="s">
        <v>207</v>
      </c>
      <c r="C1758" s="514" t="s">
        <v>17</v>
      </c>
      <c r="D1758" s="515" t="s">
        <v>1239</v>
      </c>
      <c r="E1758" s="516">
        <v>357602.09</v>
      </c>
      <c r="F1758" s="166" t="s">
        <v>161</v>
      </c>
      <c r="G1758" s="517" t="s">
        <v>162</v>
      </c>
    </row>
    <row r="1759" spans="1:7" s="250" customFormat="1" x14ac:dyDescent="0.3">
      <c r="A1759" s="316">
        <v>45924</v>
      </c>
      <c r="B1759" s="316" t="s">
        <v>208</v>
      </c>
      <c r="C1759" s="296" t="s">
        <v>6</v>
      </c>
      <c r="D1759" s="598" t="s">
        <v>1517</v>
      </c>
      <c r="E1759" s="335">
        <v>-206.15</v>
      </c>
      <c r="F1759" s="249" t="s">
        <v>8</v>
      </c>
      <c r="G1759" s="493" t="s">
        <v>186</v>
      </c>
    </row>
    <row r="1760" spans="1:7" s="250" customFormat="1" x14ac:dyDescent="0.3">
      <c r="A1760" s="316">
        <v>45924</v>
      </c>
      <c r="B1760" s="316" t="s">
        <v>208</v>
      </c>
      <c r="C1760" s="296" t="s">
        <v>17</v>
      </c>
      <c r="D1760" s="293" t="s">
        <v>1505</v>
      </c>
      <c r="E1760" s="248">
        <v>-287.91000000000003</v>
      </c>
      <c r="F1760" s="249" t="s">
        <v>8</v>
      </c>
      <c r="G1760" s="255" t="s">
        <v>124</v>
      </c>
    </row>
    <row r="1761" spans="1:7" s="250" customFormat="1" x14ac:dyDescent="0.3">
      <c r="A1761" s="316">
        <v>45924</v>
      </c>
      <c r="B1761" s="316" t="s">
        <v>208</v>
      </c>
      <c r="C1761" s="296" t="s">
        <v>17</v>
      </c>
      <c r="D1761" s="293" t="s">
        <v>1506</v>
      </c>
      <c r="E1761" s="248">
        <v>-304.88</v>
      </c>
      <c r="F1761" s="249" t="s">
        <v>8</v>
      </c>
      <c r="G1761" s="255" t="s">
        <v>124</v>
      </c>
    </row>
    <row r="1762" spans="1:7" s="250" customFormat="1" x14ac:dyDescent="0.3">
      <c r="A1762" s="316">
        <v>45924</v>
      </c>
      <c r="B1762" s="316" t="s">
        <v>208</v>
      </c>
      <c r="C1762" s="296" t="s">
        <v>17</v>
      </c>
      <c r="D1762" s="293" t="s">
        <v>1507</v>
      </c>
      <c r="E1762" s="248">
        <v>-283.64999999999998</v>
      </c>
      <c r="F1762" s="249" t="s">
        <v>8</v>
      </c>
      <c r="G1762" s="255" t="s">
        <v>124</v>
      </c>
    </row>
    <row r="1763" spans="1:7" s="250" customFormat="1" x14ac:dyDescent="0.3">
      <c r="A1763" s="316">
        <v>45924</v>
      </c>
      <c r="B1763" s="316" t="s">
        <v>208</v>
      </c>
      <c r="C1763" s="296" t="s">
        <v>17</v>
      </c>
      <c r="D1763" s="293" t="s">
        <v>1508</v>
      </c>
      <c r="E1763" s="248">
        <v>-299.76</v>
      </c>
      <c r="F1763" s="249" t="s">
        <v>8</v>
      </c>
      <c r="G1763" s="255" t="s">
        <v>124</v>
      </c>
    </row>
    <row r="1764" spans="1:7" s="250" customFormat="1" x14ac:dyDescent="0.3">
      <c r="A1764" s="316">
        <v>45924</v>
      </c>
      <c r="B1764" s="316" t="s">
        <v>208</v>
      </c>
      <c r="C1764" s="296" t="s">
        <v>17</v>
      </c>
      <c r="D1764" s="293" t="s">
        <v>1509</v>
      </c>
      <c r="E1764" s="248">
        <v>-291.25</v>
      </c>
      <c r="F1764" s="249" t="s">
        <v>8</v>
      </c>
      <c r="G1764" s="255" t="s">
        <v>124</v>
      </c>
    </row>
    <row r="1765" spans="1:7" s="250" customFormat="1" x14ac:dyDescent="0.3">
      <c r="A1765" s="316">
        <v>45924</v>
      </c>
      <c r="B1765" s="316" t="s">
        <v>208</v>
      </c>
      <c r="C1765" s="296" t="s">
        <v>17</v>
      </c>
      <c r="D1765" s="293" t="s">
        <v>1510</v>
      </c>
      <c r="E1765" s="248">
        <v>-289.44</v>
      </c>
      <c r="F1765" s="249" t="s">
        <v>8</v>
      </c>
      <c r="G1765" s="255" t="s">
        <v>124</v>
      </c>
    </row>
    <row r="1766" spans="1:7" s="250" customFormat="1" x14ac:dyDescent="0.3">
      <c r="A1766" s="316">
        <v>45924</v>
      </c>
      <c r="B1766" s="316" t="s">
        <v>208</v>
      </c>
      <c r="C1766" s="296" t="s">
        <v>17</v>
      </c>
      <c r="D1766" s="293" t="s">
        <v>1511</v>
      </c>
      <c r="E1766" s="248">
        <v>-286.44</v>
      </c>
      <c r="F1766" s="249" t="s">
        <v>8</v>
      </c>
      <c r="G1766" s="255" t="s">
        <v>124</v>
      </c>
    </row>
    <row r="1767" spans="1:7" s="250" customFormat="1" x14ac:dyDescent="0.3">
      <c r="A1767" s="316">
        <v>45924</v>
      </c>
      <c r="B1767" s="316" t="s">
        <v>208</v>
      </c>
      <c r="C1767" s="296" t="s">
        <v>17</v>
      </c>
      <c r="D1767" s="293" t="s">
        <v>1512</v>
      </c>
      <c r="E1767" s="248">
        <v>-296.41000000000003</v>
      </c>
      <c r="F1767" s="249" t="s">
        <v>8</v>
      </c>
      <c r="G1767" s="255" t="s">
        <v>124</v>
      </c>
    </row>
    <row r="1768" spans="1:7" s="250" customFormat="1" x14ac:dyDescent="0.3">
      <c r="A1768" s="316">
        <v>45924</v>
      </c>
      <c r="B1768" s="316" t="s">
        <v>208</v>
      </c>
      <c r="C1768" s="296" t="s">
        <v>17</v>
      </c>
      <c r="D1768" s="293" t="s">
        <v>1513</v>
      </c>
      <c r="E1768" s="248">
        <v>-301.24</v>
      </c>
      <c r="F1768" s="249" t="s">
        <v>8</v>
      </c>
      <c r="G1768" s="255" t="s">
        <v>124</v>
      </c>
    </row>
    <row r="1769" spans="1:7" s="250" customFormat="1" x14ac:dyDescent="0.3">
      <c r="A1769" s="316">
        <v>45924</v>
      </c>
      <c r="B1769" s="316" t="s">
        <v>208</v>
      </c>
      <c r="C1769" s="296" t="s">
        <v>17</v>
      </c>
      <c r="D1769" s="293" t="s">
        <v>1514</v>
      </c>
      <c r="E1769" s="248">
        <v>-285.02</v>
      </c>
      <c r="F1769" s="249" t="s">
        <v>8</v>
      </c>
      <c r="G1769" s="255" t="s">
        <v>124</v>
      </c>
    </row>
    <row r="1770" spans="1:7" s="250" customFormat="1" x14ac:dyDescent="0.3">
      <c r="A1770" s="316">
        <v>45924</v>
      </c>
      <c r="B1770" s="316" t="s">
        <v>208</v>
      </c>
      <c r="C1770" s="296" t="s">
        <v>17</v>
      </c>
      <c r="D1770" s="293" t="s">
        <v>1515</v>
      </c>
      <c r="E1770" s="248">
        <v>-297.85000000000002</v>
      </c>
      <c r="F1770" s="249" t="s">
        <v>8</v>
      </c>
      <c r="G1770" s="255" t="s">
        <v>124</v>
      </c>
    </row>
    <row r="1771" spans="1:7" s="250" customFormat="1" x14ac:dyDescent="0.3">
      <c r="A1771" s="316">
        <v>45924</v>
      </c>
      <c r="B1771" s="316" t="s">
        <v>208</v>
      </c>
      <c r="C1771" s="296" t="s">
        <v>17</v>
      </c>
      <c r="D1771" s="293" t="s">
        <v>1516</v>
      </c>
      <c r="E1771" s="248">
        <v>-303.05</v>
      </c>
      <c r="F1771" s="249" t="s">
        <v>8</v>
      </c>
      <c r="G1771" s="255" t="s">
        <v>124</v>
      </c>
    </row>
    <row r="1772" spans="1:7" s="250" customFormat="1" x14ac:dyDescent="0.3">
      <c r="A1772" s="316">
        <v>45924</v>
      </c>
      <c r="B1772" s="316" t="s">
        <v>208</v>
      </c>
      <c r="C1772" s="423" t="s">
        <v>25</v>
      </c>
      <c r="D1772" s="293" t="s">
        <v>205</v>
      </c>
      <c r="E1772" s="248">
        <v>-985.45</v>
      </c>
      <c r="F1772" s="249" t="s">
        <v>8</v>
      </c>
      <c r="G1772" s="254" t="s">
        <v>227</v>
      </c>
    </row>
    <row r="1773" spans="1:7" s="538" customFormat="1" x14ac:dyDescent="0.3">
      <c r="A1773" s="562">
        <v>45916</v>
      </c>
      <c r="B1773" s="539" t="s">
        <v>208</v>
      </c>
      <c r="C1773" s="534" t="s">
        <v>44</v>
      </c>
      <c r="D1773" s="534" t="s">
        <v>1093</v>
      </c>
      <c r="E1773" s="535">
        <v>-700</v>
      </c>
      <c r="F1773" s="537" t="s">
        <v>8</v>
      </c>
      <c r="G1773" s="537" t="s">
        <v>203</v>
      </c>
    </row>
    <row r="1774" spans="1:7" s="250" customFormat="1" x14ac:dyDescent="0.3">
      <c r="A1774" s="251">
        <v>45917</v>
      </c>
      <c r="B1774" s="316" t="s">
        <v>208</v>
      </c>
      <c r="C1774" s="293" t="s">
        <v>71</v>
      </c>
      <c r="D1774" s="293" t="s">
        <v>205</v>
      </c>
      <c r="E1774" s="248">
        <v>-2145.25</v>
      </c>
      <c r="F1774" s="254" t="s">
        <v>8</v>
      </c>
      <c r="G1774" s="254" t="s">
        <v>227</v>
      </c>
    </row>
    <row r="1775" spans="1:7" s="300" customFormat="1" x14ac:dyDescent="0.3">
      <c r="A1775" s="251">
        <v>45917</v>
      </c>
      <c r="B1775" s="316" t="s">
        <v>208</v>
      </c>
      <c r="C1775" s="293" t="s">
        <v>17</v>
      </c>
      <c r="D1775" s="293" t="s">
        <v>389</v>
      </c>
      <c r="E1775" s="248">
        <v>-59.16</v>
      </c>
      <c r="F1775" s="254" t="s">
        <v>8</v>
      </c>
      <c r="G1775" s="254" t="s">
        <v>227</v>
      </c>
    </row>
    <row r="1776" spans="1:7" ht="14.4" x14ac:dyDescent="0.3">
      <c r="A1776" s="123">
        <v>45916</v>
      </c>
      <c r="B1776" s="123" t="s">
        <v>208</v>
      </c>
      <c r="C1776" s="120" t="s">
        <v>181</v>
      </c>
      <c r="D1776" s="29" t="s">
        <v>182</v>
      </c>
      <c r="E1776" s="552">
        <v>190.21</v>
      </c>
      <c r="F1776" s="55" t="s">
        <v>161</v>
      </c>
      <c r="G1776" s="61" t="s">
        <v>162</v>
      </c>
    </row>
    <row r="1777" spans="1:7" x14ac:dyDescent="0.3">
      <c r="A1777" s="123">
        <v>45916</v>
      </c>
      <c r="B1777" s="123" t="s">
        <v>208</v>
      </c>
      <c r="C1777" s="120" t="s">
        <v>181</v>
      </c>
      <c r="D1777" s="520" t="s">
        <v>182</v>
      </c>
      <c r="E1777" s="127">
        <v>17956.39</v>
      </c>
      <c r="F1777" s="55" t="s">
        <v>161</v>
      </c>
      <c r="G1777" s="61" t="s">
        <v>162</v>
      </c>
    </row>
    <row r="1778" spans="1:7" x14ac:dyDescent="0.3">
      <c r="A1778" s="123">
        <v>45918</v>
      </c>
      <c r="B1778" s="123" t="s">
        <v>208</v>
      </c>
      <c r="C1778" s="120" t="s">
        <v>163</v>
      </c>
      <c r="D1778" s="29" t="s">
        <v>183</v>
      </c>
      <c r="E1778" s="53">
        <v>4717.4399999999996</v>
      </c>
      <c r="F1778" s="126" t="s">
        <v>161</v>
      </c>
      <c r="G1778" s="61" t="s">
        <v>162</v>
      </c>
    </row>
    <row r="1779" spans="1:7" x14ac:dyDescent="0.3">
      <c r="A1779" s="123">
        <v>45918</v>
      </c>
      <c r="B1779" s="123" t="s">
        <v>208</v>
      </c>
      <c r="C1779" s="120" t="s">
        <v>163</v>
      </c>
      <c r="D1779" s="29" t="s">
        <v>183</v>
      </c>
      <c r="E1779" s="53">
        <v>9938.39</v>
      </c>
      <c r="F1779" s="126" t="s">
        <v>161</v>
      </c>
      <c r="G1779" s="61" t="s">
        <v>162</v>
      </c>
    </row>
    <row r="1780" spans="1:7" x14ac:dyDescent="0.3">
      <c r="A1780" s="123">
        <v>45918</v>
      </c>
      <c r="B1780" s="123" t="s">
        <v>208</v>
      </c>
      <c r="C1780" s="120" t="s">
        <v>163</v>
      </c>
      <c r="D1780" s="29" t="s">
        <v>183</v>
      </c>
      <c r="E1780" s="53">
        <v>750</v>
      </c>
      <c r="F1780" s="126" t="s">
        <v>161</v>
      </c>
      <c r="G1780" s="61" t="s">
        <v>162</v>
      </c>
    </row>
    <row r="1781" spans="1:7" x14ac:dyDescent="0.3">
      <c r="A1781" s="123">
        <v>45918</v>
      </c>
      <c r="B1781" s="123" t="s">
        <v>208</v>
      </c>
      <c r="C1781" s="120" t="s">
        <v>163</v>
      </c>
      <c r="D1781" s="29" t="s">
        <v>183</v>
      </c>
      <c r="E1781" s="53">
        <v>22139.98</v>
      </c>
      <c r="F1781" s="126" t="s">
        <v>161</v>
      </c>
      <c r="G1781" s="61" t="s">
        <v>162</v>
      </c>
    </row>
    <row r="1782" spans="1:7" ht="14.4" x14ac:dyDescent="0.3">
      <c r="A1782" s="50">
        <v>45926</v>
      </c>
      <c r="B1782" s="123" t="s">
        <v>208</v>
      </c>
      <c r="C1782" s="120" t="s">
        <v>177</v>
      </c>
      <c r="D1782" s="604" t="s">
        <v>487</v>
      </c>
      <c r="E1782" s="522">
        <v>1120.08</v>
      </c>
      <c r="F1782" s="55" t="s">
        <v>161</v>
      </c>
      <c r="G1782" s="61" t="s">
        <v>162</v>
      </c>
    </row>
    <row r="1783" spans="1:7" x14ac:dyDescent="0.3">
      <c r="A1783" s="50">
        <v>45926</v>
      </c>
      <c r="B1783" s="123" t="s">
        <v>208</v>
      </c>
      <c r="C1783" s="120" t="s">
        <v>177</v>
      </c>
      <c r="D1783" s="29" t="s">
        <v>184</v>
      </c>
      <c r="E1783" s="58">
        <v>1500</v>
      </c>
      <c r="F1783" s="55" t="s">
        <v>161</v>
      </c>
      <c r="G1783" s="61" t="s">
        <v>162</v>
      </c>
    </row>
    <row r="1784" spans="1:7" ht="14.4" x14ac:dyDescent="0.3">
      <c r="A1784" s="50">
        <v>45926</v>
      </c>
      <c r="B1784" s="123" t="s">
        <v>208</v>
      </c>
      <c r="C1784" s="120" t="s">
        <v>177</v>
      </c>
      <c r="D1784" s="29" t="s">
        <v>184</v>
      </c>
      <c r="E1784" s="522">
        <v>711.99</v>
      </c>
      <c r="F1784" s="55" t="s">
        <v>161</v>
      </c>
      <c r="G1784" s="61" t="s">
        <v>162</v>
      </c>
    </row>
    <row r="1785" spans="1:7" x14ac:dyDescent="0.3">
      <c r="A1785" s="50">
        <v>45926</v>
      </c>
      <c r="B1785" s="123" t="s">
        <v>208</v>
      </c>
      <c r="C1785" s="120" t="s">
        <v>177</v>
      </c>
      <c r="D1785" s="29" t="s">
        <v>184</v>
      </c>
      <c r="E1785" s="58">
        <v>5823.82</v>
      </c>
      <c r="F1785" s="55" t="s">
        <v>161</v>
      </c>
      <c r="G1785" s="61" t="s">
        <v>162</v>
      </c>
    </row>
    <row r="1786" spans="1:7" x14ac:dyDescent="0.3">
      <c r="A1786" s="50">
        <v>45926</v>
      </c>
      <c r="B1786" s="123" t="s">
        <v>208</v>
      </c>
      <c r="C1786" s="120" t="s">
        <v>177</v>
      </c>
      <c r="D1786" s="29" t="s">
        <v>184</v>
      </c>
      <c r="E1786" s="58">
        <v>7526.95</v>
      </c>
      <c r="F1786" s="55" t="s">
        <v>161</v>
      </c>
      <c r="G1786" s="61" t="s">
        <v>162</v>
      </c>
    </row>
    <row r="1787" spans="1:7" x14ac:dyDescent="0.3">
      <c r="A1787" s="50">
        <v>45926</v>
      </c>
      <c r="B1787" s="123" t="s">
        <v>208</v>
      </c>
      <c r="C1787" s="120" t="s">
        <v>177</v>
      </c>
      <c r="D1787" s="29" t="s">
        <v>184</v>
      </c>
      <c r="E1787" s="58">
        <v>25756.63</v>
      </c>
      <c r="F1787" s="55" t="s">
        <v>161</v>
      </c>
      <c r="G1787" s="61" t="s">
        <v>162</v>
      </c>
    </row>
    <row r="1788" spans="1:7" ht="14.4" x14ac:dyDescent="0.3">
      <c r="A1788" s="123">
        <v>45916</v>
      </c>
      <c r="B1788" s="123" t="s">
        <v>208</v>
      </c>
      <c r="C1788" s="120" t="s">
        <v>181</v>
      </c>
      <c r="D1788" s="553" t="s">
        <v>1386</v>
      </c>
      <c r="E1788" s="554">
        <v>190.21</v>
      </c>
      <c r="F1788" s="55" t="s">
        <v>161</v>
      </c>
      <c r="G1788" s="61" t="s">
        <v>162</v>
      </c>
    </row>
    <row r="1789" spans="1:7" x14ac:dyDescent="0.3">
      <c r="A1789" s="51">
        <v>45916</v>
      </c>
      <c r="B1789" s="123" t="s">
        <v>208</v>
      </c>
      <c r="C1789" s="120" t="s">
        <v>170</v>
      </c>
      <c r="D1789" s="520" t="s">
        <v>1385</v>
      </c>
      <c r="E1789" s="128">
        <v>593282.65</v>
      </c>
      <c r="F1789" s="55" t="s">
        <v>161</v>
      </c>
      <c r="G1789" s="61" t="s">
        <v>162</v>
      </c>
    </row>
    <row r="1790" spans="1:7" hidden="1" x14ac:dyDescent="0.3">
      <c r="A1790" s="51">
        <v>45933</v>
      </c>
      <c r="B1790" s="123" t="s">
        <v>211</v>
      </c>
      <c r="C1790" s="120" t="s">
        <v>170</v>
      </c>
      <c r="D1790" s="29" t="s">
        <v>1539</v>
      </c>
      <c r="E1790" s="128">
        <v>76508.240000000005</v>
      </c>
      <c r="F1790" s="55" t="s">
        <v>161</v>
      </c>
      <c r="G1790" s="61" t="s">
        <v>162</v>
      </c>
    </row>
    <row r="1791" spans="1:7" x14ac:dyDescent="0.3">
      <c r="A1791" s="51">
        <v>45929</v>
      </c>
      <c r="B1791" s="123" t="s">
        <v>208</v>
      </c>
      <c r="C1791" s="120" t="s">
        <v>170</v>
      </c>
      <c r="D1791" s="57" t="s">
        <v>1538</v>
      </c>
      <c r="E1791" s="128">
        <v>192770.08</v>
      </c>
      <c r="F1791" s="55" t="s">
        <v>161</v>
      </c>
      <c r="G1791" s="61" t="s">
        <v>162</v>
      </c>
    </row>
    <row r="1792" spans="1:7" s="267" customFormat="1" x14ac:dyDescent="0.3">
      <c r="A1792" s="316">
        <v>45923</v>
      </c>
      <c r="B1792" s="316" t="s">
        <v>208</v>
      </c>
      <c r="C1792" s="293" t="s">
        <v>25</v>
      </c>
      <c r="D1792" s="362" t="s">
        <v>1501</v>
      </c>
      <c r="E1792" s="410">
        <v>-900</v>
      </c>
      <c r="F1792" s="249" t="s">
        <v>8</v>
      </c>
      <c r="G1792" s="255" t="s">
        <v>27</v>
      </c>
    </row>
    <row r="1793" spans="1:7" s="267" customFormat="1" x14ac:dyDescent="0.3">
      <c r="A1793" s="316">
        <v>45923</v>
      </c>
      <c r="B1793" s="316" t="s">
        <v>208</v>
      </c>
      <c r="C1793" s="293" t="s">
        <v>25</v>
      </c>
      <c r="D1793" s="362" t="s">
        <v>1502</v>
      </c>
      <c r="E1793" s="410">
        <v>-283.33</v>
      </c>
      <c r="F1793" s="249" t="s">
        <v>8</v>
      </c>
      <c r="G1793" s="255" t="s">
        <v>27</v>
      </c>
    </row>
    <row r="1794" spans="1:7" s="267" customFormat="1" x14ac:dyDescent="0.3">
      <c r="A1794" s="316">
        <v>45923</v>
      </c>
      <c r="B1794" s="316" t="s">
        <v>208</v>
      </c>
      <c r="C1794" s="293" t="s">
        <v>25</v>
      </c>
      <c r="D1794" s="362" t="s">
        <v>1503</v>
      </c>
      <c r="E1794" s="410">
        <v>-400</v>
      </c>
      <c r="F1794" s="249" t="s">
        <v>8</v>
      </c>
      <c r="G1794" s="255" t="s">
        <v>27</v>
      </c>
    </row>
    <row r="1795" spans="1:7" s="267" customFormat="1" x14ac:dyDescent="0.3">
      <c r="A1795" s="316">
        <v>45923</v>
      </c>
      <c r="B1795" s="316" t="s">
        <v>208</v>
      </c>
      <c r="C1795" s="293" t="s">
        <v>71</v>
      </c>
      <c r="D1795" s="293" t="s">
        <v>205</v>
      </c>
      <c r="E1795" s="248">
        <v>-2141.69</v>
      </c>
      <c r="F1795" s="249" t="s">
        <v>8</v>
      </c>
      <c r="G1795" s="254" t="s">
        <v>227</v>
      </c>
    </row>
    <row r="1796" spans="1:7" s="267" customFormat="1" x14ac:dyDescent="0.3">
      <c r="A1796" s="316">
        <v>45923</v>
      </c>
      <c r="B1796" s="316" t="s">
        <v>208</v>
      </c>
      <c r="C1796" s="293" t="s">
        <v>17</v>
      </c>
      <c r="D1796" s="293" t="s">
        <v>389</v>
      </c>
      <c r="E1796" s="248">
        <v>-84.56</v>
      </c>
      <c r="F1796" s="249" t="s">
        <v>8</v>
      </c>
      <c r="G1796" s="254" t="s">
        <v>227</v>
      </c>
    </row>
    <row r="1797" spans="1:7" s="305" customFormat="1" x14ac:dyDescent="0.3">
      <c r="A1797" s="523">
        <v>45923</v>
      </c>
      <c r="B1797" s="523" t="s">
        <v>208</v>
      </c>
      <c r="C1797" s="293" t="s">
        <v>17</v>
      </c>
      <c r="D1797" s="293" t="s">
        <v>1457</v>
      </c>
      <c r="E1797" s="248">
        <v>-250.23</v>
      </c>
      <c r="F1797" s="249" t="s">
        <v>8</v>
      </c>
      <c r="G1797" s="380" t="s">
        <v>124</v>
      </c>
    </row>
    <row r="1798" spans="1:7" s="305" customFormat="1" x14ac:dyDescent="0.3">
      <c r="A1798" s="523">
        <v>45923</v>
      </c>
      <c r="B1798" s="523" t="s">
        <v>208</v>
      </c>
      <c r="C1798" s="293" t="s">
        <v>25</v>
      </c>
      <c r="D1798" s="293" t="s">
        <v>1458</v>
      </c>
      <c r="E1798" s="248">
        <v>-86.1</v>
      </c>
      <c r="F1798" s="249" t="s">
        <v>8</v>
      </c>
      <c r="G1798" s="254" t="s">
        <v>82</v>
      </c>
    </row>
    <row r="1799" spans="1:7" s="305" customFormat="1" x14ac:dyDescent="0.3">
      <c r="A1799" s="523">
        <v>45923</v>
      </c>
      <c r="B1799" s="523" t="s">
        <v>208</v>
      </c>
      <c r="C1799" s="293" t="s">
        <v>71</v>
      </c>
      <c r="D1799" s="293" t="s">
        <v>1459</v>
      </c>
      <c r="E1799" s="248">
        <v>-40</v>
      </c>
      <c r="F1799" s="249" t="s">
        <v>8</v>
      </c>
      <c r="G1799" s="254" t="s">
        <v>82</v>
      </c>
    </row>
    <row r="1800" spans="1:7" s="305" customFormat="1" x14ac:dyDescent="0.3">
      <c r="A1800" s="316">
        <v>45923</v>
      </c>
      <c r="B1800" s="316" t="s">
        <v>208</v>
      </c>
      <c r="C1800" s="293" t="s">
        <v>25</v>
      </c>
      <c r="D1800" s="293" t="s">
        <v>1477</v>
      </c>
      <c r="E1800" s="248">
        <v>-227.22</v>
      </c>
      <c r="F1800" s="249" t="s">
        <v>8</v>
      </c>
      <c r="G1800" s="254" t="s">
        <v>124</v>
      </c>
    </row>
    <row r="1801" spans="1:7" s="305" customFormat="1" x14ac:dyDescent="0.3">
      <c r="A1801" s="316">
        <v>45923</v>
      </c>
      <c r="B1801" s="316" t="s">
        <v>208</v>
      </c>
      <c r="C1801" s="293" t="s">
        <v>25</v>
      </c>
      <c r="D1801" s="293" t="s">
        <v>1478</v>
      </c>
      <c r="E1801" s="248">
        <v>-233.86</v>
      </c>
      <c r="F1801" s="249" t="s">
        <v>8</v>
      </c>
      <c r="G1801" s="254" t="s">
        <v>124</v>
      </c>
    </row>
    <row r="1802" spans="1:7" s="305" customFormat="1" x14ac:dyDescent="0.3">
      <c r="A1802" s="316">
        <v>45923</v>
      </c>
      <c r="B1802" s="316" t="s">
        <v>208</v>
      </c>
      <c r="C1802" s="293" t="s">
        <v>25</v>
      </c>
      <c r="D1802" s="293" t="s">
        <v>1479</v>
      </c>
      <c r="E1802" s="248">
        <v>-231.25</v>
      </c>
      <c r="F1802" s="249" t="s">
        <v>8</v>
      </c>
      <c r="G1802" s="254" t="s">
        <v>124</v>
      </c>
    </row>
    <row r="1803" spans="1:7" s="305" customFormat="1" x14ac:dyDescent="0.3">
      <c r="A1803" s="316">
        <v>45923</v>
      </c>
      <c r="B1803" s="316" t="s">
        <v>208</v>
      </c>
      <c r="C1803" s="293" t="s">
        <v>25</v>
      </c>
      <c r="D1803" s="293" t="s">
        <v>1480</v>
      </c>
      <c r="E1803" s="248">
        <v>-223.46</v>
      </c>
      <c r="F1803" s="249" t="s">
        <v>8</v>
      </c>
      <c r="G1803" s="254" t="s">
        <v>124</v>
      </c>
    </row>
    <row r="1804" spans="1:7" s="305" customFormat="1" x14ac:dyDescent="0.3">
      <c r="A1804" s="316">
        <v>45923</v>
      </c>
      <c r="B1804" s="316" t="s">
        <v>208</v>
      </c>
      <c r="C1804" s="293" t="s">
        <v>25</v>
      </c>
      <c r="D1804" s="293" t="s">
        <v>1481</v>
      </c>
      <c r="E1804" s="248">
        <v>-222.36</v>
      </c>
      <c r="F1804" s="249" t="s">
        <v>8</v>
      </c>
      <c r="G1804" s="254" t="s">
        <v>124</v>
      </c>
    </row>
    <row r="1805" spans="1:7" s="305" customFormat="1" x14ac:dyDescent="0.3">
      <c r="A1805" s="316">
        <v>45923</v>
      </c>
      <c r="B1805" s="316" t="s">
        <v>208</v>
      </c>
      <c r="C1805" s="293" t="s">
        <v>25</v>
      </c>
      <c r="D1805" s="293" t="s">
        <v>1482</v>
      </c>
      <c r="E1805" s="248">
        <v>-232.36</v>
      </c>
      <c r="F1805" s="249" t="s">
        <v>8</v>
      </c>
      <c r="G1805" s="254" t="s">
        <v>124</v>
      </c>
    </row>
    <row r="1806" spans="1:7" s="305" customFormat="1" x14ac:dyDescent="0.3">
      <c r="A1806" s="316">
        <v>45923</v>
      </c>
      <c r="B1806" s="316" t="s">
        <v>208</v>
      </c>
      <c r="C1806" s="293" t="s">
        <v>25</v>
      </c>
      <c r="D1806" s="293" t="s">
        <v>1483</v>
      </c>
      <c r="E1806" s="248">
        <v>-237.85</v>
      </c>
      <c r="F1806" s="249" t="s">
        <v>8</v>
      </c>
      <c r="G1806" s="254" t="s">
        <v>124</v>
      </c>
    </row>
    <row r="1807" spans="1:7" s="305" customFormat="1" x14ac:dyDescent="0.3">
      <c r="A1807" s="316">
        <v>45923</v>
      </c>
      <c r="B1807" s="316" t="s">
        <v>208</v>
      </c>
      <c r="C1807" s="293" t="s">
        <v>25</v>
      </c>
      <c r="D1807" s="293" t="s">
        <v>1484</v>
      </c>
      <c r="E1807" s="248">
        <v>-224.61</v>
      </c>
      <c r="F1807" s="249" t="s">
        <v>8</v>
      </c>
      <c r="G1807" s="254" t="s">
        <v>124</v>
      </c>
    </row>
    <row r="1808" spans="1:7" s="305" customFormat="1" x14ac:dyDescent="0.3">
      <c r="A1808" s="316">
        <v>45923</v>
      </c>
      <c r="B1808" s="316" t="s">
        <v>208</v>
      </c>
      <c r="C1808" s="293" t="s">
        <v>25</v>
      </c>
      <c r="D1808" s="293" t="s">
        <v>1485</v>
      </c>
      <c r="E1808" s="248">
        <v>-236.42</v>
      </c>
      <c r="F1808" s="249" t="s">
        <v>8</v>
      </c>
      <c r="G1808" s="254" t="s">
        <v>124</v>
      </c>
    </row>
    <row r="1809" spans="1:7" s="305" customFormat="1" x14ac:dyDescent="0.3">
      <c r="A1809" s="316">
        <v>45923</v>
      </c>
      <c r="B1809" s="316" t="s">
        <v>208</v>
      </c>
      <c r="C1809" s="293" t="s">
        <v>25</v>
      </c>
      <c r="D1809" s="293" t="s">
        <v>1486</v>
      </c>
      <c r="E1809" s="248">
        <v>-235.01</v>
      </c>
      <c r="F1809" s="249" t="s">
        <v>8</v>
      </c>
      <c r="G1809" s="254" t="s">
        <v>124</v>
      </c>
    </row>
    <row r="1810" spans="1:7" s="305" customFormat="1" x14ac:dyDescent="0.3">
      <c r="A1810" s="316">
        <v>45923</v>
      </c>
      <c r="B1810" s="316" t="s">
        <v>208</v>
      </c>
      <c r="C1810" s="293" t="s">
        <v>25</v>
      </c>
      <c r="D1810" s="293" t="s">
        <v>1487</v>
      </c>
      <c r="E1810" s="248">
        <v>-221.29</v>
      </c>
      <c r="F1810" s="249" t="s">
        <v>8</v>
      </c>
      <c r="G1810" s="254" t="s">
        <v>124</v>
      </c>
    </row>
    <row r="1811" spans="1:7" s="305" customFormat="1" x14ac:dyDescent="0.3">
      <c r="A1811" s="316">
        <v>45923</v>
      </c>
      <c r="B1811" s="316" t="s">
        <v>208</v>
      </c>
      <c r="C1811" s="293" t="s">
        <v>25</v>
      </c>
      <c r="D1811" s="293" t="s">
        <v>1488</v>
      </c>
      <c r="E1811" s="248">
        <v>-225.81</v>
      </c>
      <c r="F1811" s="249" t="s">
        <v>8</v>
      </c>
      <c r="G1811" s="254" t="s">
        <v>124</v>
      </c>
    </row>
    <row r="1812" spans="1:7" s="305" customFormat="1" x14ac:dyDescent="0.3">
      <c r="A1812" s="316">
        <v>45923</v>
      </c>
      <c r="B1812" s="316" t="s">
        <v>208</v>
      </c>
      <c r="C1812" s="293" t="s">
        <v>17</v>
      </c>
      <c r="D1812" s="293" t="s">
        <v>1489</v>
      </c>
      <c r="E1812" s="248">
        <v>-245.23</v>
      </c>
      <c r="F1812" s="249" t="s">
        <v>8</v>
      </c>
      <c r="G1812" s="254" t="s">
        <v>124</v>
      </c>
    </row>
    <row r="1813" spans="1:7" s="305" customFormat="1" x14ac:dyDescent="0.3">
      <c r="A1813" s="316">
        <v>45923</v>
      </c>
      <c r="B1813" s="316" t="s">
        <v>208</v>
      </c>
      <c r="C1813" s="293" t="s">
        <v>17</v>
      </c>
      <c r="D1813" s="293" t="s">
        <v>1500</v>
      </c>
      <c r="E1813" s="248">
        <v>-241.02</v>
      </c>
      <c r="F1813" s="249" t="s">
        <v>8</v>
      </c>
      <c r="G1813" s="254" t="s">
        <v>124</v>
      </c>
    </row>
    <row r="1814" spans="1:7" s="305" customFormat="1" x14ac:dyDescent="0.3">
      <c r="A1814" s="316">
        <v>45923</v>
      </c>
      <c r="B1814" s="316" t="s">
        <v>208</v>
      </c>
      <c r="C1814" s="293" t="s">
        <v>17</v>
      </c>
      <c r="D1814" s="293" t="s">
        <v>1490</v>
      </c>
      <c r="E1814" s="248">
        <v>-231.79</v>
      </c>
      <c r="F1814" s="249" t="s">
        <v>8</v>
      </c>
      <c r="G1814" s="254" t="s">
        <v>124</v>
      </c>
    </row>
    <row r="1815" spans="1:7" s="305" customFormat="1" x14ac:dyDescent="0.3">
      <c r="A1815" s="316">
        <v>45923</v>
      </c>
      <c r="B1815" s="316" t="s">
        <v>208</v>
      </c>
      <c r="C1815" s="293" t="s">
        <v>17</v>
      </c>
      <c r="D1815" s="293" t="s">
        <v>1491</v>
      </c>
      <c r="E1815" s="248">
        <v>-243.77</v>
      </c>
      <c r="F1815" s="249" t="s">
        <v>8</v>
      </c>
      <c r="G1815" s="254" t="s">
        <v>124</v>
      </c>
    </row>
    <row r="1816" spans="1:7" s="305" customFormat="1" x14ac:dyDescent="0.3">
      <c r="A1816" s="316">
        <v>45923</v>
      </c>
      <c r="B1816" s="316" t="s">
        <v>208</v>
      </c>
      <c r="C1816" s="293" t="s">
        <v>17</v>
      </c>
      <c r="D1816" s="293" t="s">
        <v>1492</v>
      </c>
      <c r="E1816" s="248">
        <v>-230.64</v>
      </c>
      <c r="F1816" s="249" t="s">
        <v>8</v>
      </c>
      <c r="G1816" s="254" t="s">
        <v>124</v>
      </c>
    </row>
    <row r="1817" spans="1:7" s="305" customFormat="1" x14ac:dyDescent="0.3">
      <c r="A1817" s="316">
        <v>45923</v>
      </c>
      <c r="B1817" s="316" t="s">
        <v>208</v>
      </c>
      <c r="C1817" s="293" t="s">
        <v>17</v>
      </c>
      <c r="D1817" s="293" t="s">
        <v>1493</v>
      </c>
      <c r="E1817" s="248">
        <v>-242.57</v>
      </c>
      <c r="F1817" s="249" t="s">
        <v>8</v>
      </c>
      <c r="G1817" s="254" t="s">
        <v>124</v>
      </c>
    </row>
    <row r="1818" spans="1:7" s="305" customFormat="1" x14ac:dyDescent="0.3">
      <c r="A1818" s="316">
        <v>45923</v>
      </c>
      <c r="B1818" s="316" t="s">
        <v>208</v>
      </c>
      <c r="C1818" s="293" t="s">
        <v>17</v>
      </c>
      <c r="D1818" s="293" t="s">
        <v>1494</v>
      </c>
      <c r="E1818" s="248">
        <v>-246.71</v>
      </c>
      <c r="F1818" s="249" t="s">
        <v>8</v>
      </c>
      <c r="G1818" s="254" t="s">
        <v>124</v>
      </c>
    </row>
    <row r="1819" spans="1:7" s="305" customFormat="1" x14ac:dyDescent="0.3">
      <c r="A1819" s="316">
        <v>45923</v>
      </c>
      <c r="B1819" s="316" t="s">
        <v>208</v>
      </c>
      <c r="C1819" s="293" t="s">
        <v>17</v>
      </c>
      <c r="D1819" s="293" t="s">
        <v>1495</v>
      </c>
      <c r="E1819" s="248">
        <v>-235.69</v>
      </c>
      <c r="F1819" s="249" t="s">
        <v>8</v>
      </c>
      <c r="G1819" s="254" t="s">
        <v>124</v>
      </c>
    </row>
    <row r="1820" spans="1:7" s="305" customFormat="1" x14ac:dyDescent="0.3">
      <c r="A1820" s="316">
        <v>45923</v>
      </c>
      <c r="B1820" s="316" t="s">
        <v>208</v>
      </c>
      <c r="C1820" s="293" t="s">
        <v>17</v>
      </c>
      <c r="D1820" s="293" t="s">
        <v>1496</v>
      </c>
      <c r="E1820" s="248">
        <v>-239.86</v>
      </c>
      <c r="F1820" s="249" t="s">
        <v>8</v>
      </c>
      <c r="G1820" s="254" t="s">
        <v>124</v>
      </c>
    </row>
    <row r="1821" spans="1:7" s="305" customFormat="1" x14ac:dyDescent="0.3">
      <c r="A1821" s="316">
        <v>45923</v>
      </c>
      <c r="B1821" s="316" t="s">
        <v>208</v>
      </c>
      <c r="C1821" s="293" t="s">
        <v>17</v>
      </c>
      <c r="D1821" s="293" t="s">
        <v>1497</v>
      </c>
      <c r="E1821" s="248">
        <v>-234.22</v>
      </c>
      <c r="F1821" s="249" t="s">
        <v>8</v>
      </c>
      <c r="G1821" s="254" t="s">
        <v>124</v>
      </c>
    </row>
    <row r="1822" spans="1:7" s="305" customFormat="1" x14ac:dyDescent="0.3">
      <c r="A1822" s="316">
        <v>45923</v>
      </c>
      <c r="B1822" s="316" t="s">
        <v>208</v>
      </c>
      <c r="C1822" s="293" t="s">
        <v>17</v>
      </c>
      <c r="D1822" s="293" t="s">
        <v>1498</v>
      </c>
      <c r="E1822" s="248">
        <v>-232.98</v>
      </c>
      <c r="F1822" s="249" t="s">
        <v>8</v>
      </c>
      <c r="G1822" s="254" t="s">
        <v>124</v>
      </c>
    </row>
    <row r="1823" spans="1:7" s="305" customFormat="1" ht="0.6" customHeight="1" x14ac:dyDescent="0.3">
      <c r="A1823" s="316">
        <v>45923</v>
      </c>
      <c r="B1823" s="316" t="s">
        <v>208</v>
      </c>
      <c r="C1823" s="293" t="s">
        <v>17</v>
      </c>
      <c r="D1823" s="293" t="s">
        <v>1499</v>
      </c>
      <c r="E1823" s="248">
        <v>-229.54</v>
      </c>
      <c r="F1823" s="249" t="s">
        <v>8</v>
      </c>
      <c r="G1823" s="254" t="s">
        <v>124</v>
      </c>
    </row>
    <row r="1824" spans="1:7" s="250" customFormat="1" x14ac:dyDescent="0.3">
      <c r="A1824" s="251">
        <v>45924</v>
      </c>
      <c r="B1824" s="316" t="s">
        <v>208</v>
      </c>
      <c r="C1824" s="299" t="s">
        <v>25</v>
      </c>
      <c r="D1824" s="300" t="s">
        <v>1341</v>
      </c>
      <c r="E1824" s="248">
        <v>-6615.39</v>
      </c>
      <c r="F1824" s="249" t="s">
        <v>8</v>
      </c>
      <c r="G1824" s="254" t="s">
        <v>46</v>
      </c>
    </row>
    <row r="1825" spans="1:7" s="250" customFormat="1" ht="16.2" customHeight="1" x14ac:dyDescent="0.3">
      <c r="A1825" s="251">
        <v>45924</v>
      </c>
      <c r="B1825" s="316" t="s">
        <v>208</v>
      </c>
      <c r="C1825" s="299" t="s">
        <v>31</v>
      </c>
      <c r="D1825" s="300" t="s">
        <v>1504</v>
      </c>
      <c r="E1825" s="248">
        <v>-6528.07</v>
      </c>
      <c r="F1825" s="249" t="s">
        <v>8</v>
      </c>
      <c r="G1825" s="254" t="s">
        <v>46</v>
      </c>
    </row>
    <row r="1826" spans="1:7" s="250" customFormat="1" ht="16.2" customHeight="1" x14ac:dyDescent="0.3">
      <c r="A1826" s="251">
        <v>45924</v>
      </c>
      <c r="B1826" s="316" t="s">
        <v>208</v>
      </c>
      <c r="C1826" s="293" t="s">
        <v>32</v>
      </c>
      <c r="D1826" s="300" t="s">
        <v>1519</v>
      </c>
      <c r="E1826" s="248">
        <v>-122</v>
      </c>
      <c r="F1826" s="249" t="s">
        <v>8</v>
      </c>
      <c r="G1826" s="254" t="s">
        <v>111</v>
      </c>
    </row>
    <row r="1827" spans="1:7" s="250" customFormat="1" ht="16.2" customHeight="1" x14ac:dyDescent="0.3">
      <c r="A1827" s="251">
        <v>45924</v>
      </c>
      <c r="B1827" s="316" t="s">
        <v>208</v>
      </c>
      <c r="C1827" s="293" t="s">
        <v>17</v>
      </c>
      <c r="D1827" s="300" t="s">
        <v>1518</v>
      </c>
      <c r="E1827" s="248">
        <v>-130</v>
      </c>
      <c r="F1827" s="249" t="s">
        <v>8</v>
      </c>
      <c r="G1827" s="254" t="s">
        <v>111</v>
      </c>
    </row>
    <row r="1828" spans="1:7" s="250" customFormat="1" x14ac:dyDescent="0.3">
      <c r="A1828" s="251">
        <v>45924</v>
      </c>
      <c r="B1828" s="316" t="s">
        <v>208</v>
      </c>
      <c r="C1828" s="293" t="s">
        <v>17</v>
      </c>
      <c r="D1828" s="293" t="s">
        <v>376</v>
      </c>
      <c r="E1828" s="248">
        <v>-643.55999999999995</v>
      </c>
      <c r="F1828" s="249" t="s">
        <v>8</v>
      </c>
      <c r="G1828" s="254" t="s">
        <v>386</v>
      </c>
    </row>
    <row r="1829" spans="1:7" s="139" customFormat="1" x14ac:dyDescent="0.3">
      <c r="A1829" s="100">
        <v>45916</v>
      </c>
      <c r="B1829" s="100" t="s">
        <v>208</v>
      </c>
      <c r="C1829" s="555" t="s">
        <v>17</v>
      </c>
      <c r="D1829" s="557" t="s">
        <v>1396</v>
      </c>
      <c r="E1829" s="558">
        <v>-733.36</v>
      </c>
      <c r="F1829" s="13" t="s">
        <v>8</v>
      </c>
      <c r="G1829" s="9" t="s">
        <v>1097</v>
      </c>
    </row>
    <row r="1830" spans="1:7" s="250" customFormat="1" x14ac:dyDescent="0.3">
      <c r="A1830" s="316">
        <v>45918</v>
      </c>
      <c r="B1830" s="316" t="s">
        <v>208</v>
      </c>
      <c r="C1830" s="293" t="s">
        <v>25</v>
      </c>
      <c r="D1830" s="293" t="s">
        <v>1395</v>
      </c>
      <c r="E1830" s="294">
        <v>-500</v>
      </c>
      <c r="F1830" s="249" t="s">
        <v>8</v>
      </c>
      <c r="G1830" s="254" t="s">
        <v>27</v>
      </c>
    </row>
    <row r="1831" spans="1:7" s="250" customFormat="1" x14ac:dyDescent="0.3">
      <c r="A1831" s="523">
        <v>45918</v>
      </c>
      <c r="B1831" s="316" t="s">
        <v>208</v>
      </c>
      <c r="C1831" s="293" t="s">
        <v>25</v>
      </c>
      <c r="D1831" s="293" t="s">
        <v>1393</v>
      </c>
      <c r="E1831" s="294">
        <v>-233.34</v>
      </c>
      <c r="F1831" s="249" t="s">
        <v>8</v>
      </c>
      <c r="G1831" s="254" t="s">
        <v>381</v>
      </c>
    </row>
    <row r="1832" spans="1:7" s="250" customFormat="1" x14ac:dyDescent="0.3">
      <c r="A1832" s="316">
        <v>45918</v>
      </c>
      <c r="B1832" s="316" t="s">
        <v>208</v>
      </c>
      <c r="C1832" s="293" t="s">
        <v>25</v>
      </c>
      <c r="D1832" s="293" t="s">
        <v>1409</v>
      </c>
      <c r="E1832" s="248">
        <v>-360.8</v>
      </c>
      <c r="F1832" s="249" t="s">
        <v>8</v>
      </c>
      <c r="G1832" s="254" t="s">
        <v>82</v>
      </c>
    </row>
    <row r="1833" spans="1:7" s="250" customFormat="1" x14ac:dyDescent="0.3">
      <c r="A1833" s="316">
        <v>45918</v>
      </c>
      <c r="B1833" s="316" t="s">
        <v>208</v>
      </c>
      <c r="C1833" s="293" t="s">
        <v>104</v>
      </c>
      <c r="D1833" s="293" t="s">
        <v>360</v>
      </c>
      <c r="E1833" s="248">
        <v>-52.5</v>
      </c>
      <c r="F1833" s="249" t="s">
        <v>8</v>
      </c>
      <c r="G1833" s="254" t="s">
        <v>82</v>
      </c>
    </row>
    <row r="1834" spans="1:7" s="250" customFormat="1" x14ac:dyDescent="0.3">
      <c r="A1834" s="316">
        <v>45918</v>
      </c>
      <c r="B1834" s="316" t="s">
        <v>208</v>
      </c>
      <c r="C1834" s="293" t="s">
        <v>31</v>
      </c>
      <c r="D1834" s="293" t="s">
        <v>473</v>
      </c>
      <c r="E1834" s="294">
        <v>-563.13</v>
      </c>
      <c r="F1834" s="249" t="s">
        <v>8</v>
      </c>
      <c r="G1834" s="255" t="s">
        <v>51</v>
      </c>
    </row>
    <row r="1835" spans="1:7" s="250" customFormat="1" x14ac:dyDescent="0.3">
      <c r="A1835" s="316">
        <v>45918</v>
      </c>
      <c r="B1835" s="316" t="s">
        <v>208</v>
      </c>
      <c r="C1835" s="293" t="s">
        <v>6</v>
      </c>
      <c r="D1835" s="293" t="s">
        <v>473</v>
      </c>
      <c r="E1835" s="294">
        <v>-795.63</v>
      </c>
      <c r="F1835" s="249" t="s">
        <v>8</v>
      </c>
      <c r="G1835" s="255" t="s">
        <v>51</v>
      </c>
    </row>
    <row r="1836" spans="1:7" s="250" customFormat="1" x14ac:dyDescent="0.3">
      <c r="A1836" s="316">
        <v>45918</v>
      </c>
      <c r="B1836" s="316" t="s">
        <v>208</v>
      </c>
      <c r="C1836" s="293" t="s">
        <v>44</v>
      </c>
      <c r="D1836" s="293" t="s">
        <v>473</v>
      </c>
      <c r="E1836" s="294">
        <v>-807.61</v>
      </c>
      <c r="F1836" s="249" t="s">
        <v>8</v>
      </c>
      <c r="G1836" s="255" t="s">
        <v>51</v>
      </c>
    </row>
    <row r="1837" spans="1:7" s="250" customFormat="1" x14ac:dyDescent="0.3">
      <c r="A1837" s="316">
        <v>45918</v>
      </c>
      <c r="B1837" s="316" t="s">
        <v>208</v>
      </c>
      <c r="C1837" s="293" t="s">
        <v>25</v>
      </c>
      <c r="D1837" s="293" t="s">
        <v>473</v>
      </c>
      <c r="E1837" s="294">
        <v>-33.39</v>
      </c>
      <c r="F1837" s="249" t="s">
        <v>8</v>
      </c>
      <c r="G1837" s="255" t="s">
        <v>51</v>
      </c>
    </row>
    <row r="1838" spans="1:7" s="250" customFormat="1" x14ac:dyDescent="0.3">
      <c r="A1838" s="316">
        <v>45918</v>
      </c>
      <c r="B1838" s="316" t="s">
        <v>208</v>
      </c>
      <c r="C1838" s="293" t="s">
        <v>25</v>
      </c>
      <c r="D1838" s="293" t="s">
        <v>473</v>
      </c>
      <c r="E1838" s="248">
        <v>-2411.56</v>
      </c>
      <c r="F1838" s="249" t="s">
        <v>8</v>
      </c>
      <c r="G1838" s="255" t="s">
        <v>51</v>
      </c>
    </row>
    <row r="1839" spans="1:7" s="250" customFormat="1" x14ac:dyDescent="0.3">
      <c r="A1839" s="316">
        <v>45918</v>
      </c>
      <c r="B1839" s="316" t="s">
        <v>208</v>
      </c>
      <c r="C1839" s="293" t="s">
        <v>33</v>
      </c>
      <c r="D1839" s="293" t="s">
        <v>473</v>
      </c>
      <c r="E1839" s="248">
        <v>-863.15</v>
      </c>
      <c r="F1839" s="249" t="s">
        <v>8</v>
      </c>
      <c r="G1839" s="255" t="s">
        <v>51</v>
      </c>
    </row>
    <row r="1840" spans="1:7" s="250" customFormat="1" x14ac:dyDescent="0.3">
      <c r="A1840" s="316">
        <v>45918</v>
      </c>
      <c r="B1840" s="316" t="s">
        <v>208</v>
      </c>
      <c r="C1840" s="293" t="s">
        <v>104</v>
      </c>
      <c r="D1840" s="293" t="s">
        <v>473</v>
      </c>
      <c r="E1840" s="248">
        <v>-650.19000000000005</v>
      </c>
      <c r="F1840" s="249" t="s">
        <v>8</v>
      </c>
      <c r="G1840" s="255" t="s">
        <v>51</v>
      </c>
    </row>
    <row r="1841" spans="1:7" s="250" customFormat="1" x14ac:dyDescent="0.3">
      <c r="A1841" s="316">
        <v>45918</v>
      </c>
      <c r="B1841" s="316" t="s">
        <v>208</v>
      </c>
      <c r="C1841" s="293" t="s">
        <v>32</v>
      </c>
      <c r="D1841" s="293" t="s">
        <v>473</v>
      </c>
      <c r="E1841" s="248">
        <v>-1954.95</v>
      </c>
      <c r="F1841" s="249" t="s">
        <v>8</v>
      </c>
      <c r="G1841" s="255" t="s">
        <v>51</v>
      </c>
    </row>
    <row r="1842" spans="1:7" s="250" customFormat="1" x14ac:dyDescent="0.3">
      <c r="A1842" s="316">
        <v>45918</v>
      </c>
      <c r="B1842" s="316" t="s">
        <v>208</v>
      </c>
      <c r="C1842" s="293" t="s">
        <v>71</v>
      </c>
      <c r="D1842" s="293" t="s">
        <v>473</v>
      </c>
      <c r="E1842" s="248">
        <v>-890.87</v>
      </c>
      <c r="F1842" s="249" t="s">
        <v>8</v>
      </c>
      <c r="G1842" s="255" t="s">
        <v>51</v>
      </c>
    </row>
    <row r="1843" spans="1:7" s="250" customFormat="1" x14ac:dyDescent="0.3">
      <c r="A1843" s="316">
        <v>45918</v>
      </c>
      <c r="B1843" s="316" t="s">
        <v>208</v>
      </c>
      <c r="C1843" s="293" t="s">
        <v>17</v>
      </c>
      <c r="D1843" s="293" t="s">
        <v>473</v>
      </c>
      <c r="E1843" s="248">
        <v>-1063.73</v>
      </c>
      <c r="F1843" s="249" t="s">
        <v>8</v>
      </c>
      <c r="G1843" s="255" t="s">
        <v>51</v>
      </c>
    </row>
    <row r="1844" spans="1:7" s="250" customFormat="1" x14ac:dyDescent="0.3">
      <c r="A1844" s="316">
        <v>45919</v>
      </c>
      <c r="B1844" s="316" t="s">
        <v>208</v>
      </c>
      <c r="C1844" s="293" t="s">
        <v>71</v>
      </c>
      <c r="D1844" s="293" t="s">
        <v>1476</v>
      </c>
      <c r="E1844" s="248">
        <v>-2014.27</v>
      </c>
      <c r="F1844" s="249" t="s">
        <v>8</v>
      </c>
      <c r="G1844" s="255" t="s">
        <v>153</v>
      </c>
    </row>
    <row r="1845" spans="1:7" s="250" customFormat="1" x14ac:dyDescent="0.3">
      <c r="A1845" s="316">
        <v>45919</v>
      </c>
      <c r="B1845" s="316" t="s">
        <v>208</v>
      </c>
      <c r="C1845" s="293" t="s">
        <v>71</v>
      </c>
      <c r="D1845" s="293" t="s">
        <v>1475</v>
      </c>
      <c r="E1845" s="248">
        <v>-284</v>
      </c>
      <c r="F1845" s="249" t="s">
        <v>8</v>
      </c>
      <c r="G1845" s="255" t="s">
        <v>153</v>
      </c>
    </row>
    <row r="1846" spans="1:7" s="250" customFormat="1" ht="14.4" x14ac:dyDescent="0.3">
      <c r="A1846" s="316">
        <v>45918</v>
      </c>
      <c r="B1846" s="316" t="s">
        <v>208</v>
      </c>
      <c r="C1846" s="364" t="s">
        <v>6</v>
      </c>
      <c r="D1846" s="364" t="s">
        <v>1448</v>
      </c>
      <c r="E1846" s="367">
        <v>-774.82</v>
      </c>
      <c r="F1846" s="249" t="s">
        <v>8</v>
      </c>
      <c r="G1846" s="421" t="s">
        <v>186</v>
      </c>
    </row>
    <row r="1847" spans="1:7" s="250" customFormat="1" ht="14.4" x14ac:dyDescent="0.3">
      <c r="A1847" s="316">
        <v>45918</v>
      </c>
      <c r="B1847" s="316" t="s">
        <v>208</v>
      </c>
      <c r="C1847" s="364" t="s">
        <v>6</v>
      </c>
      <c r="D1847" s="364" t="s">
        <v>1449</v>
      </c>
      <c r="E1847" s="367">
        <v>-80.39</v>
      </c>
      <c r="F1847" s="249" t="s">
        <v>8</v>
      </c>
      <c r="G1847" s="421" t="s">
        <v>186</v>
      </c>
    </row>
    <row r="1848" spans="1:7" s="250" customFormat="1" ht="15" customHeight="1" x14ac:dyDescent="0.3">
      <c r="A1848" s="316">
        <v>45919</v>
      </c>
      <c r="B1848" s="316" t="s">
        <v>208</v>
      </c>
      <c r="C1848" s="581" t="s">
        <v>31</v>
      </c>
      <c r="D1848" s="300" t="s">
        <v>1454</v>
      </c>
      <c r="E1848" s="582">
        <v>-159.6</v>
      </c>
      <c r="F1848" s="249" t="s">
        <v>8</v>
      </c>
      <c r="G1848" s="255" t="s">
        <v>51</v>
      </c>
    </row>
    <row r="1849" spans="1:7" s="250" customFormat="1" x14ac:dyDescent="0.3">
      <c r="A1849" s="316">
        <v>45919</v>
      </c>
      <c r="B1849" s="316" t="s">
        <v>208</v>
      </c>
      <c r="C1849" s="581" t="s">
        <v>6</v>
      </c>
      <c r="D1849" s="300" t="s">
        <v>1454</v>
      </c>
      <c r="E1849" s="582">
        <v>-399</v>
      </c>
      <c r="F1849" s="249" t="s">
        <v>8</v>
      </c>
      <c r="G1849" s="255" t="s">
        <v>51</v>
      </c>
    </row>
    <row r="1850" spans="1:7" s="250" customFormat="1" x14ac:dyDescent="0.3">
      <c r="A1850" s="316">
        <v>45919</v>
      </c>
      <c r="B1850" s="316" t="s">
        <v>208</v>
      </c>
      <c r="C1850" s="581" t="s">
        <v>44</v>
      </c>
      <c r="D1850" s="300" t="s">
        <v>1454</v>
      </c>
      <c r="E1850" s="582">
        <v>-383.04</v>
      </c>
      <c r="F1850" s="249" t="s">
        <v>8</v>
      </c>
      <c r="G1850" s="255" t="s">
        <v>51</v>
      </c>
    </row>
    <row r="1851" spans="1:7" s="250" customFormat="1" x14ac:dyDescent="0.3">
      <c r="A1851" s="316">
        <v>45919</v>
      </c>
      <c r="B1851" s="316" t="s">
        <v>208</v>
      </c>
      <c r="C1851" s="581" t="s">
        <v>25</v>
      </c>
      <c r="D1851" s="300" t="s">
        <v>1454</v>
      </c>
      <c r="E1851" s="582">
        <v>-845.88</v>
      </c>
      <c r="F1851" s="249" t="s">
        <v>8</v>
      </c>
      <c r="G1851" s="255" t="s">
        <v>51</v>
      </c>
    </row>
    <row r="1852" spans="1:7" s="250" customFormat="1" x14ac:dyDescent="0.3">
      <c r="A1852" s="316">
        <v>45919</v>
      </c>
      <c r="B1852" s="316" t="s">
        <v>208</v>
      </c>
      <c r="C1852" s="581" t="s">
        <v>33</v>
      </c>
      <c r="D1852" s="300" t="s">
        <v>1454</v>
      </c>
      <c r="E1852" s="582">
        <v>-271.32</v>
      </c>
      <c r="F1852" s="249" t="s">
        <v>8</v>
      </c>
      <c r="G1852" s="255" t="s">
        <v>51</v>
      </c>
    </row>
    <row r="1853" spans="1:7" s="250" customFormat="1" x14ac:dyDescent="0.3">
      <c r="A1853" s="316">
        <v>45919</v>
      </c>
      <c r="B1853" s="316" t="s">
        <v>208</v>
      </c>
      <c r="C1853" s="581" t="s">
        <v>104</v>
      </c>
      <c r="D1853" s="300" t="s">
        <v>1454</v>
      </c>
      <c r="E1853" s="582">
        <v>-287.27999999999997</v>
      </c>
      <c r="F1853" s="249" t="s">
        <v>8</v>
      </c>
      <c r="G1853" s="255" t="s">
        <v>51</v>
      </c>
    </row>
    <row r="1854" spans="1:7" s="250" customFormat="1" x14ac:dyDescent="0.3">
      <c r="A1854" s="316">
        <v>45919</v>
      </c>
      <c r="B1854" s="316" t="s">
        <v>208</v>
      </c>
      <c r="C1854" s="581" t="s">
        <v>32</v>
      </c>
      <c r="D1854" s="300" t="s">
        <v>1454</v>
      </c>
      <c r="E1854" s="582">
        <v>-702.24</v>
      </c>
      <c r="F1854" s="249" t="s">
        <v>8</v>
      </c>
      <c r="G1854" s="255" t="s">
        <v>51</v>
      </c>
    </row>
    <row r="1855" spans="1:7" s="250" customFormat="1" x14ac:dyDescent="0.3">
      <c r="A1855" s="316">
        <v>45919</v>
      </c>
      <c r="B1855" s="316" t="s">
        <v>208</v>
      </c>
      <c r="C1855" s="581" t="s">
        <v>71</v>
      </c>
      <c r="D1855" s="300" t="s">
        <v>1454</v>
      </c>
      <c r="E1855" s="582">
        <v>-383.04</v>
      </c>
      <c r="F1855" s="249" t="s">
        <v>8</v>
      </c>
      <c r="G1855" s="255" t="s">
        <v>51</v>
      </c>
    </row>
    <row r="1856" spans="1:7" s="250" customFormat="1" x14ac:dyDescent="0.3">
      <c r="A1856" s="316">
        <v>45919</v>
      </c>
      <c r="B1856" s="316" t="s">
        <v>208</v>
      </c>
      <c r="C1856" s="581" t="s">
        <v>17</v>
      </c>
      <c r="D1856" s="300" t="s">
        <v>1454</v>
      </c>
      <c r="E1856" s="582">
        <v>-510.72</v>
      </c>
      <c r="F1856" s="249" t="s">
        <v>8</v>
      </c>
      <c r="G1856" s="255" t="s">
        <v>51</v>
      </c>
    </row>
    <row r="1857" spans="1:7" s="250" customFormat="1" x14ac:dyDescent="0.3">
      <c r="A1857" s="316">
        <v>45930</v>
      </c>
      <c r="B1857" s="316" t="s">
        <v>208</v>
      </c>
      <c r="C1857" s="371" t="s">
        <v>31</v>
      </c>
      <c r="D1857" s="615" t="s">
        <v>195</v>
      </c>
      <c r="E1857" s="616">
        <v>-630</v>
      </c>
      <c r="F1857" s="249" t="s">
        <v>8</v>
      </c>
      <c r="G1857" s="255" t="s">
        <v>51</v>
      </c>
    </row>
    <row r="1858" spans="1:7" s="250" customFormat="1" ht="14.4" x14ac:dyDescent="0.3">
      <c r="A1858" s="251">
        <v>45922</v>
      </c>
      <c r="B1858" s="316" t="s">
        <v>208</v>
      </c>
      <c r="C1858" s="339" t="s">
        <v>31</v>
      </c>
      <c r="D1858" s="405" t="s">
        <v>1455</v>
      </c>
      <c r="E1858" s="592">
        <v>-249.12</v>
      </c>
      <c r="F1858" s="402" t="s">
        <v>8</v>
      </c>
      <c r="G1858" s="593" t="s">
        <v>386</v>
      </c>
    </row>
    <row r="1859" spans="1:7" s="382" customFormat="1" ht="14.4" x14ac:dyDescent="0.3">
      <c r="A1859" s="416">
        <v>45922</v>
      </c>
      <c r="B1859" s="381" t="s">
        <v>208</v>
      </c>
      <c r="C1859" s="419" t="s">
        <v>17</v>
      </c>
      <c r="D1859" s="364" t="s">
        <v>385</v>
      </c>
      <c r="E1859" s="367">
        <v>-762.72</v>
      </c>
      <c r="F1859" s="249" t="s">
        <v>8</v>
      </c>
      <c r="G1859" s="589" t="s">
        <v>386</v>
      </c>
    </row>
    <row r="1860" spans="1:7" s="250" customFormat="1" x14ac:dyDescent="0.3">
      <c r="A1860" s="251">
        <v>45922</v>
      </c>
      <c r="B1860" s="316" t="s">
        <v>208</v>
      </c>
      <c r="C1860" s="296" t="s">
        <v>44</v>
      </c>
      <c r="D1860" s="293" t="s">
        <v>226</v>
      </c>
      <c r="E1860" s="248">
        <v>-2510.4499999999998</v>
      </c>
      <c r="F1860" s="249" t="s">
        <v>8</v>
      </c>
      <c r="G1860" s="254" t="s">
        <v>227</v>
      </c>
    </row>
    <row r="1861" spans="1:7" s="250" customFormat="1" x14ac:dyDescent="0.3">
      <c r="A1861" s="316">
        <v>45922</v>
      </c>
      <c r="B1861" s="316" t="s">
        <v>208</v>
      </c>
      <c r="C1861" s="339" t="s">
        <v>25</v>
      </c>
      <c r="D1861" s="293" t="s">
        <v>1315</v>
      </c>
      <c r="E1861" s="248">
        <v>-1500</v>
      </c>
      <c r="F1861" s="249" t="s">
        <v>8</v>
      </c>
      <c r="G1861" s="254" t="s">
        <v>15</v>
      </c>
    </row>
    <row r="1862" spans="1:7" s="250" customFormat="1" x14ac:dyDescent="0.3">
      <c r="A1862" s="251">
        <v>45922</v>
      </c>
      <c r="B1862" s="316" t="s">
        <v>208</v>
      </c>
      <c r="C1862" s="296" t="s">
        <v>71</v>
      </c>
      <c r="D1862" s="293" t="s">
        <v>1326</v>
      </c>
      <c r="E1862" s="248">
        <v>-1101.8399999999999</v>
      </c>
      <c r="F1862" s="249" t="s">
        <v>8</v>
      </c>
      <c r="G1862" s="255" t="s">
        <v>85</v>
      </c>
    </row>
    <row r="1863" spans="1:7" s="250" customFormat="1" x14ac:dyDescent="0.3">
      <c r="A1863" s="523">
        <v>45917</v>
      </c>
      <c r="B1863" s="523" t="s">
        <v>208</v>
      </c>
      <c r="C1863" s="304" t="s">
        <v>25</v>
      </c>
      <c r="D1863" s="293" t="s">
        <v>1375</v>
      </c>
      <c r="E1863" s="248">
        <v>-230.81</v>
      </c>
      <c r="F1863" s="249" t="s">
        <v>8</v>
      </c>
      <c r="G1863" s="255" t="s">
        <v>150</v>
      </c>
    </row>
    <row r="1864" spans="1:7" s="250" customFormat="1" x14ac:dyDescent="0.3">
      <c r="A1864" s="523">
        <v>45917</v>
      </c>
      <c r="B1864" s="523" t="s">
        <v>208</v>
      </c>
      <c r="C1864" s="304" t="s">
        <v>25</v>
      </c>
      <c r="D1864" s="293" t="s">
        <v>1376</v>
      </c>
      <c r="E1864" s="248">
        <v>-416.28</v>
      </c>
      <c r="F1864" s="249" t="s">
        <v>8</v>
      </c>
      <c r="G1864" s="255" t="s">
        <v>150</v>
      </c>
    </row>
    <row r="1865" spans="1:7" s="250" customFormat="1" x14ac:dyDescent="0.3">
      <c r="A1865" s="523">
        <v>45911</v>
      </c>
      <c r="B1865" s="523" t="s">
        <v>208</v>
      </c>
      <c r="C1865" s="304" t="s">
        <v>25</v>
      </c>
      <c r="D1865" s="293" t="s">
        <v>1379</v>
      </c>
      <c r="E1865" s="248">
        <v>-12.3</v>
      </c>
      <c r="F1865" s="525" t="s">
        <v>8</v>
      </c>
      <c r="G1865" s="254" t="s">
        <v>82</v>
      </c>
    </row>
    <row r="1866" spans="1:7" s="250" customFormat="1" x14ac:dyDescent="0.3">
      <c r="A1866" s="251">
        <v>45911</v>
      </c>
      <c r="B1866" s="316" t="s">
        <v>208</v>
      </c>
      <c r="C1866" s="339" t="s">
        <v>25</v>
      </c>
      <c r="D1866" s="293" t="s">
        <v>1361</v>
      </c>
      <c r="E1866" s="248">
        <v>-600</v>
      </c>
      <c r="F1866" s="249" t="s">
        <v>8</v>
      </c>
      <c r="G1866" s="254" t="s">
        <v>27</v>
      </c>
    </row>
    <row r="1867" spans="1:7" s="250" customFormat="1" x14ac:dyDescent="0.3">
      <c r="A1867" s="251">
        <v>45930</v>
      </c>
      <c r="B1867" s="316" t="s">
        <v>208</v>
      </c>
      <c r="C1867" s="339" t="s">
        <v>25</v>
      </c>
      <c r="D1867" s="293" t="s">
        <v>1545</v>
      </c>
      <c r="E1867" s="248">
        <v>-83.5</v>
      </c>
      <c r="F1867" s="255" t="s">
        <v>8</v>
      </c>
      <c r="G1867" s="343" t="s">
        <v>111</v>
      </c>
    </row>
    <row r="1868" spans="1:7" s="250" customFormat="1" x14ac:dyDescent="0.3">
      <c r="A1868" s="251">
        <v>45930</v>
      </c>
      <c r="B1868" s="316" t="s">
        <v>208</v>
      </c>
      <c r="C1868" s="339" t="s">
        <v>25</v>
      </c>
      <c r="D1868" s="293" t="s">
        <v>1584</v>
      </c>
      <c r="E1868" s="248">
        <v>-40</v>
      </c>
      <c r="F1868" s="255" t="s">
        <v>8</v>
      </c>
      <c r="G1868" s="343" t="s">
        <v>111</v>
      </c>
    </row>
    <row r="1869" spans="1:7" s="250" customFormat="1" ht="14.4" x14ac:dyDescent="0.3">
      <c r="A1869" s="251">
        <v>45930</v>
      </c>
      <c r="B1869" s="316" t="s">
        <v>208</v>
      </c>
      <c r="C1869" s="617" t="s">
        <v>650</v>
      </c>
      <c r="D1869" s="618" t="s">
        <v>1593</v>
      </c>
      <c r="E1869" s="619">
        <v>-1027.5999999999999</v>
      </c>
      <c r="F1869" s="255" t="s">
        <v>8</v>
      </c>
      <c r="G1869" s="255" t="s">
        <v>85</v>
      </c>
    </row>
    <row r="1870" spans="1:7" s="250" customFormat="1" ht="14.4" x14ac:dyDescent="0.3">
      <c r="A1870" s="251">
        <v>45930</v>
      </c>
      <c r="B1870" s="316" t="s">
        <v>208</v>
      </c>
      <c r="C1870" s="617" t="s">
        <v>652</v>
      </c>
      <c r="D1870" s="618" t="s">
        <v>1593</v>
      </c>
      <c r="E1870" s="619">
        <v>-2134.17</v>
      </c>
      <c r="F1870" s="255" t="s">
        <v>8</v>
      </c>
      <c r="G1870" s="255" t="s">
        <v>85</v>
      </c>
    </row>
    <row r="1871" spans="1:7" s="250" customFormat="1" ht="14.4" x14ac:dyDescent="0.3">
      <c r="A1871" s="251">
        <v>45930</v>
      </c>
      <c r="B1871" s="316" t="s">
        <v>208</v>
      </c>
      <c r="C1871" s="617" t="s">
        <v>108</v>
      </c>
      <c r="D1871" s="618" t="s">
        <v>1593</v>
      </c>
      <c r="E1871" s="619">
        <v>-316.16000000000003</v>
      </c>
      <c r="F1871" s="255" t="s">
        <v>8</v>
      </c>
      <c r="G1871" s="255" t="s">
        <v>85</v>
      </c>
    </row>
    <row r="1872" spans="1:7" s="250" customFormat="1" ht="14.4" x14ac:dyDescent="0.3">
      <c r="A1872" s="251">
        <v>45930</v>
      </c>
      <c r="B1872" s="316" t="s">
        <v>208</v>
      </c>
      <c r="C1872" s="617" t="s">
        <v>650</v>
      </c>
      <c r="D1872" s="618" t="s">
        <v>1593</v>
      </c>
      <c r="E1872" s="619">
        <v>-4979.83</v>
      </c>
      <c r="F1872" s="255" t="s">
        <v>8</v>
      </c>
      <c r="G1872" s="255" t="s">
        <v>85</v>
      </c>
    </row>
    <row r="1873" spans="1:7" s="250" customFormat="1" ht="14.4" x14ac:dyDescent="0.3">
      <c r="A1873" s="251">
        <v>45930</v>
      </c>
      <c r="B1873" s="316" t="s">
        <v>208</v>
      </c>
      <c r="C1873" s="617" t="s">
        <v>25</v>
      </c>
      <c r="D1873" s="618" t="s">
        <v>1593</v>
      </c>
      <c r="E1873" s="619">
        <v>-2608.4299999999998</v>
      </c>
      <c r="F1873" s="255" t="s">
        <v>8</v>
      </c>
      <c r="G1873" s="255" t="s">
        <v>85</v>
      </c>
    </row>
    <row r="1874" spans="1:7" s="250" customFormat="1" ht="14.4" x14ac:dyDescent="0.3">
      <c r="A1874" s="251">
        <v>45930</v>
      </c>
      <c r="B1874" s="316" t="s">
        <v>208</v>
      </c>
      <c r="C1874" s="617" t="s">
        <v>6</v>
      </c>
      <c r="D1874" s="618" t="s">
        <v>1593</v>
      </c>
      <c r="E1874" s="619">
        <v>-1580.92</v>
      </c>
      <c r="F1874" s="255" t="s">
        <v>8</v>
      </c>
      <c r="G1874" s="255" t="s">
        <v>85</v>
      </c>
    </row>
    <row r="1875" spans="1:7" s="250" customFormat="1" ht="14.4" x14ac:dyDescent="0.3">
      <c r="A1875" s="251">
        <v>45930</v>
      </c>
      <c r="B1875" s="316" t="s">
        <v>208</v>
      </c>
      <c r="C1875" s="617" t="s">
        <v>651</v>
      </c>
      <c r="D1875" s="618" t="s">
        <v>1593</v>
      </c>
      <c r="E1875" s="619">
        <v>-711.38</v>
      </c>
      <c r="F1875" s="255" t="s">
        <v>8</v>
      </c>
      <c r="G1875" s="255" t="s">
        <v>85</v>
      </c>
    </row>
    <row r="1876" spans="1:7" s="250" customFormat="1" ht="14.4" x14ac:dyDescent="0.3">
      <c r="A1876" s="251">
        <v>45930</v>
      </c>
      <c r="B1876" s="316" t="s">
        <v>208</v>
      </c>
      <c r="C1876" s="617" t="s">
        <v>1592</v>
      </c>
      <c r="D1876" s="618" t="s">
        <v>1593</v>
      </c>
      <c r="E1876" s="619">
        <v>-1106.6500000000001</v>
      </c>
      <c r="F1876" s="255" t="s">
        <v>8</v>
      </c>
      <c r="G1876" s="255" t="s">
        <v>85</v>
      </c>
    </row>
    <row r="1877" spans="1:7" s="250" customFormat="1" ht="14.4" x14ac:dyDescent="0.3">
      <c r="A1877" s="251">
        <v>45930</v>
      </c>
      <c r="B1877" s="316" t="s">
        <v>208</v>
      </c>
      <c r="C1877" s="617" t="s">
        <v>1105</v>
      </c>
      <c r="D1877" s="618" t="s">
        <v>1593</v>
      </c>
      <c r="E1877" s="619">
        <v>-869.48</v>
      </c>
      <c r="F1877" s="255" t="s">
        <v>8</v>
      </c>
      <c r="G1877" s="255" t="s">
        <v>85</v>
      </c>
    </row>
    <row r="1878" spans="1:7" s="250" customFormat="1" ht="14.4" x14ac:dyDescent="0.3">
      <c r="A1878" s="251">
        <v>45930</v>
      </c>
      <c r="B1878" s="316" t="s">
        <v>208</v>
      </c>
      <c r="C1878" s="617" t="s">
        <v>107</v>
      </c>
      <c r="D1878" s="618" t="s">
        <v>1593</v>
      </c>
      <c r="E1878" s="619">
        <v>-869.48</v>
      </c>
      <c r="F1878" s="255" t="s">
        <v>8</v>
      </c>
      <c r="G1878" s="255" t="s">
        <v>85</v>
      </c>
    </row>
    <row r="1879" spans="1:7" s="250" customFormat="1" x14ac:dyDescent="0.3">
      <c r="A1879" s="316">
        <v>45910</v>
      </c>
      <c r="B1879" s="316" t="s">
        <v>208</v>
      </c>
      <c r="C1879" s="293" t="s">
        <v>25</v>
      </c>
      <c r="D1879" s="253" t="s">
        <v>1318</v>
      </c>
      <c r="E1879" s="248">
        <v>-161.1</v>
      </c>
      <c r="F1879" s="249" t="s">
        <v>8</v>
      </c>
      <c r="G1879" s="254" t="s">
        <v>82</v>
      </c>
    </row>
    <row r="1880" spans="1:7" s="250" customFormat="1" x14ac:dyDescent="0.3">
      <c r="A1880" s="316">
        <v>45910</v>
      </c>
      <c r="B1880" s="316" t="s">
        <v>208</v>
      </c>
      <c r="C1880" s="293" t="s">
        <v>25</v>
      </c>
      <c r="D1880" s="253" t="s">
        <v>1138</v>
      </c>
      <c r="E1880" s="248">
        <v>-321</v>
      </c>
      <c r="F1880" s="249" t="s">
        <v>8</v>
      </c>
      <c r="G1880" s="254" t="s">
        <v>82</v>
      </c>
    </row>
    <row r="1881" spans="1:7" s="250" customFormat="1" x14ac:dyDescent="0.3">
      <c r="A1881" s="316">
        <v>45910</v>
      </c>
      <c r="B1881" s="316" t="s">
        <v>208</v>
      </c>
      <c r="C1881" s="293" t="s">
        <v>25</v>
      </c>
      <c r="D1881" s="253" t="s">
        <v>1298</v>
      </c>
      <c r="E1881" s="248">
        <v>-209.1</v>
      </c>
      <c r="F1881" s="249" t="s">
        <v>8</v>
      </c>
      <c r="G1881" s="254" t="s">
        <v>82</v>
      </c>
    </row>
    <row r="1882" spans="1:7" s="250" customFormat="1" x14ac:dyDescent="0.3">
      <c r="A1882" s="316">
        <v>45910</v>
      </c>
      <c r="B1882" s="316" t="s">
        <v>208</v>
      </c>
      <c r="C1882" s="293" t="s">
        <v>44</v>
      </c>
      <c r="D1882" s="293" t="s">
        <v>1356</v>
      </c>
      <c r="E1882" s="248">
        <v>-140</v>
      </c>
      <c r="F1882" s="249" t="s">
        <v>8</v>
      </c>
      <c r="G1882" s="254" t="s">
        <v>82</v>
      </c>
    </row>
    <row r="1883" spans="1:7" s="250" customFormat="1" x14ac:dyDescent="0.3">
      <c r="A1883" s="316">
        <v>45910</v>
      </c>
      <c r="B1883" s="316" t="s">
        <v>208</v>
      </c>
      <c r="C1883" s="293" t="s">
        <v>25</v>
      </c>
      <c r="D1883" s="293" t="s">
        <v>1357</v>
      </c>
      <c r="E1883" s="248">
        <v>-143.5</v>
      </c>
      <c r="F1883" s="249" t="s">
        <v>8</v>
      </c>
      <c r="G1883" s="254" t="s">
        <v>82</v>
      </c>
    </row>
    <row r="1884" spans="1:7" s="250" customFormat="1" x14ac:dyDescent="0.3">
      <c r="A1884" s="316">
        <v>45910</v>
      </c>
      <c r="B1884" s="316" t="s">
        <v>208</v>
      </c>
      <c r="C1884" s="293" t="s">
        <v>17</v>
      </c>
      <c r="D1884" s="253" t="s">
        <v>1317</v>
      </c>
      <c r="E1884" s="248">
        <v>-363.81</v>
      </c>
      <c r="F1884" s="249" t="s">
        <v>8</v>
      </c>
      <c r="G1884" s="255" t="s">
        <v>41</v>
      </c>
    </row>
    <row r="1885" spans="1:7" s="250" customFormat="1" x14ac:dyDescent="0.3">
      <c r="A1885" s="316">
        <v>45910</v>
      </c>
      <c r="B1885" s="316" t="s">
        <v>208</v>
      </c>
      <c r="C1885" s="293" t="s">
        <v>25</v>
      </c>
      <c r="D1885" s="253" t="s">
        <v>1363</v>
      </c>
      <c r="E1885" s="248">
        <v>-2700</v>
      </c>
      <c r="F1885" s="249" t="s">
        <v>8</v>
      </c>
      <c r="G1885" s="255" t="s">
        <v>27</v>
      </c>
    </row>
    <row r="1886" spans="1:7" s="250" customFormat="1" x14ac:dyDescent="0.3">
      <c r="A1886" s="251">
        <v>45910</v>
      </c>
      <c r="B1886" s="316" t="s">
        <v>208</v>
      </c>
      <c r="C1886" s="252" t="s">
        <v>31</v>
      </c>
      <c r="D1886" s="253" t="s">
        <v>608</v>
      </c>
      <c r="E1886" s="248">
        <v>-1000</v>
      </c>
      <c r="F1886" s="254" t="s">
        <v>8</v>
      </c>
      <c r="G1886" s="254" t="s">
        <v>186</v>
      </c>
    </row>
    <row r="1887" spans="1:7" s="250" customFormat="1" x14ac:dyDescent="0.3">
      <c r="A1887" s="251">
        <v>45917</v>
      </c>
      <c r="B1887" s="316" t="s">
        <v>208</v>
      </c>
      <c r="C1887" s="293" t="s">
        <v>17</v>
      </c>
      <c r="D1887" s="293" t="s">
        <v>1273</v>
      </c>
      <c r="E1887" s="248">
        <v>-1470</v>
      </c>
      <c r="F1887" s="255" t="s">
        <v>8</v>
      </c>
      <c r="G1887" s="254" t="s">
        <v>53</v>
      </c>
    </row>
    <row r="1888" spans="1:7" s="250" customFormat="1" x14ac:dyDescent="0.3">
      <c r="A1888" s="251">
        <v>45917</v>
      </c>
      <c r="B1888" s="316" t="s">
        <v>208</v>
      </c>
      <c r="C1888" s="293" t="s">
        <v>71</v>
      </c>
      <c r="D1888" s="293" t="s">
        <v>1026</v>
      </c>
      <c r="E1888" s="248">
        <v>-900</v>
      </c>
      <c r="F1888" s="254" t="s">
        <v>8</v>
      </c>
      <c r="G1888" s="254" t="s">
        <v>203</v>
      </c>
    </row>
    <row r="1889" spans="1:7" s="250" customFormat="1" x14ac:dyDescent="0.3">
      <c r="A1889" s="251">
        <v>45917</v>
      </c>
      <c r="B1889" s="316" t="s">
        <v>208</v>
      </c>
      <c r="C1889" s="293" t="s">
        <v>44</v>
      </c>
      <c r="D1889" s="293" t="s">
        <v>560</v>
      </c>
      <c r="E1889" s="248">
        <v>-4781.3999999999996</v>
      </c>
      <c r="F1889" s="254" t="s">
        <v>8</v>
      </c>
      <c r="G1889" s="254" t="s">
        <v>203</v>
      </c>
    </row>
    <row r="1890" spans="1:7" s="538" customFormat="1" x14ac:dyDescent="0.3">
      <c r="A1890" s="562">
        <v>45916</v>
      </c>
      <c r="B1890" s="563" t="s">
        <v>208</v>
      </c>
      <c r="C1890" s="564" t="s">
        <v>31</v>
      </c>
      <c r="D1890" s="564" t="s">
        <v>1324</v>
      </c>
      <c r="E1890" s="565">
        <v>-4101.5</v>
      </c>
      <c r="F1890" s="566" t="s">
        <v>8</v>
      </c>
      <c r="G1890" s="567" t="s">
        <v>75</v>
      </c>
    </row>
    <row r="1891" spans="1:7" s="538" customFormat="1" x14ac:dyDescent="0.3">
      <c r="A1891" s="539">
        <v>45912</v>
      </c>
      <c r="B1891" s="539" t="s">
        <v>208</v>
      </c>
      <c r="C1891" s="544" t="s">
        <v>31</v>
      </c>
      <c r="D1891" s="534" t="s">
        <v>612</v>
      </c>
      <c r="E1891" s="535">
        <v>-1000</v>
      </c>
      <c r="F1891" s="537" t="s">
        <v>8</v>
      </c>
      <c r="G1891" s="537" t="s">
        <v>186</v>
      </c>
    </row>
    <row r="1892" spans="1:7" s="250" customFormat="1" x14ac:dyDescent="0.3">
      <c r="A1892" s="251">
        <v>45930</v>
      </c>
      <c r="B1892" s="316" t="s">
        <v>208</v>
      </c>
      <c r="C1892" s="293" t="s">
        <v>6</v>
      </c>
      <c r="D1892" s="293" t="s">
        <v>1332</v>
      </c>
      <c r="E1892" s="248">
        <v>-3000</v>
      </c>
      <c r="F1892" s="254" t="s">
        <v>8</v>
      </c>
      <c r="G1892" s="254" t="s">
        <v>186</v>
      </c>
    </row>
    <row r="1893" spans="1:7" s="250" customFormat="1" x14ac:dyDescent="0.3">
      <c r="A1893" s="251">
        <v>45930</v>
      </c>
      <c r="B1893" s="316" t="s">
        <v>208</v>
      </c>
      <c r="C1893" s="293" t="s">
        <v>17</v>
      </c>
      <c r="D1893" s="293" t="s">
        <v>1333</v>
      </c>
      <c r="E1893" s="248">
        <v>-2000</v>
      </c>
      <c r="F1893" s="254" t="s">
        <v>8</v>
      </c>
      <c r="G1893" s="254" t="s">
        <v>186</v>
      </c>
    </row>
    <row r="1894" spans="1:7" s="250" customFormat="1" x14ac:dyDescent="0.3">
      <c r="A1894" s="251">
        <v>45930</v>
      </c>
      <c r="B1894" s="316" t="s">
        <v>208</v>
      </c>
      <c r="C1894" s="293" t="s">
        <v>6</v>
      </c>
      <c r="D1894" s="293" t="s">
        <v>187</v>
      </c>
      <c r="E1894" s="248">
        <v>-2000</v>
      </c>
      <c r="F1894" s="254" t="s">
        <v>8</v>
      </c>
      <c r="G1894" s="254" t="s">
        <v>186</v>
      </c>
    </row>
    <row r="1895" spans="1:7" s="250" customFormat="1" x14ac:dyDescent="0.3">
      <c r="A1895" s="251">
        <v>45930</v>
      </c>
      <c r="B1895" s="316" t="s">
        <v>208</v>
      </c>
      <c r="C1895" s="293" t="s">
        <v>6</v>
      </c>
      <c r="D1895" s="293" t="s">
        <v>584</v>
      </c>
      <c r="E1895" s="248">
        <v>-1465</v>
      </c>
      <c r="F1895" s="254" t="s">
        <v>8</v>
      </c>
      <c r="G1895" s="254" t="s">
        <v>186</v>
      </c>
    </row>
    <row r="1896" spans="1:7" s="250" customFormat="1" x14ac:dyDescent="0.3">
      <c r="A1896" s="251">
        <v>45930</v>
      </c>
      <c r="B1896" s="316" t="s">
        <v>208</v>
      </c>
      <c r="C1896" s="293" t="s">
        <v>6</v>
      </c>
      <c r="D1896" s="293" t="s">
        <v>585</v>
      </c>
      <c r="E1896" s="248">
        <v>-3836.54</v>
      </c>
      <c r="F1896" s="254" t="s">
        <v>8</v>
      </c>
      <c r="G1896" s="254" t="s">
        <v>186</v>
      </c>
    </row>
    <row r="1897" spans="1:7" s="250" customFormat="1" x14ac:dyDescent="0.3">
      <c r="A1897" s="251">
        <v>45930</v>
      </c>
      <c r="B1897" s="316" t="s">
        <v>208</v>
      </c>
      <c r="C1897" s="293" t="s">
        <v>6</v>
      </c>
      <c r="D1897" s="293" t="s">
        <v>586</v>
      </c>
      <c r="E1897" s="248">
        <v>-3200</v>
      </c>
      <c r="F1897" s="254" t="s">
        <v>8</v>
      </c>
      <c r="G1897" s="254" t="s">
        <v>186</v>
      </c>
    </row>
    <row r="1898" spans="1:7" s="250" customFormat="1" x14ac:dyDescent="0.3">
      <c r="A1898" s="251">
        <v>45930</v>
      </c>
      <c r="B1898" s="316" t="s">
        <v>208</v>
      </c>
      <c r="C1898" s="293" t="s">
        <v>44</v>
      </c>
      <c r="D1898" s="293" t="s">
        <v>189</v>
      </c>
      <c r="E1898" s="248">
        <v>-2500</v>
      </c>
      <c r="F1898" s="254" t="s">
        <v>8</v>
      </c>
      <c r="G1898" s="254" t="s">
        <v>186</v>
      </c>
    </row>
    <row r="1899" spans="1:7" s="250" customFormat="1" x14ac:dyDescent="0.3">
      <c r="A1899" s="251">
        <v>45930</v>
      </c>
      <c r="B1899" s="316" t="s">
        <v>208</v>
      </c>
      <c r="C1899" s="293" t="s">
        <v>33</v>
      </c>
      <c r="D1899" s="293" t="s">
        <v>587</v>
      </c>
      <c r="E1899" s="248">
        <v>-1000</v>
      </c>
      <c r="F1899" s="254" t="s">
        <v>8</v>
      </c>
      <c r="G1899" s="254" t="s">
        <v>186</v>
      </c>
    </row>
    <row r="1900" spans="1:7" s="250" customFormat="1" x14ac:dyDescent="0.3">
      <c r="A1900" s="251">
        <v>45930</v>
      </c>
      <c r="B1900" s="316" t="s">
        <v>208</v>
      </c>
      <c r="C1900" s="293" t="s">
        <v>17</v>
      </c>
      <c r="D1900" s="293" t="s">
        <v>588</v>
      </c>
      <c r="E1900" s="335">
        <v>-2893.81</v>
      </c>
      <c r="F1900" s="254" t="s">
        <v>8</v>
      </c>
      <c r="G1900" s="254" t="s">
        <v>186</v>
      </c>
    </row>
    <row r="1901" spans="1:7" s="250" customFormat="1" x14ac:dyDescent="0.3">
      <c r="A1901" s="251">
        <v>45930</v>
      </c>
      <c r="B1901" s="316" t="s">
        <v>208</v>
      </c>
      <c r="C1901" s="293" t="s">
        <v>17</v>
      </c>
      <c r="D1901" s="293" t="s">
        <v>193</v>
      </c>
      <c r="E1901" s="248">
        <v>-1400</v>
      </c>
      <c r="F1901" s="254" t="s">
        <v>8</v>
      </c>
      <c r="G1901" s="254" t="s">
        <v>186</v>
      </c>
    </row>
    <row r="1902" spans="1:7" s="250" customFormat="1" x14ac:dyDescent="0.3">
      <c r="A1902" s="251">
        <v>45930</v>
      </c>
      <c r="B1902" s="316" t="s">
        <v>208</v>
      </c>
      <c r="C1902" s="293" t="s">
        <v>17</v>
      </c>
      <c r="D1902" s="293" t="s">
        <v>1546</v>
      </c>
      <c r="E1902" s="614">
        <v>-5000</v>
      </c>
      <c r="F1902" s="254" t="s">
        <v>8</v>
      </c>
      <c r="G1902" s="254" t="s">
        <v>186</v>
      </c>
    </row>
    <row r="1903" spans="1:7" s="139" customFormat="1" hidden="1" x14ac:dyDescent="0.3">
      <c r="A1903" s="78">
        <v>45932</v>
      </c>
      <c r="B1903" s="100" t="s">
        <v>211</v>
      </c>
      <c r="C1903" s="14" t="s">
        <v>6</v>
      </c>
      <c r="D1903" s="14" t="s">
        <v>1547</v>
      </c>
      <c r="E1903" s="240">
        <v>-558.71</v>
      </c>
      <c r="F1903" s="9" t="s">
        <v>8</v>
      </c>
      <c r="G1903" s="9" t="s">
        <v>186</v>
      </c>
    </row>
    <row r="1904" spans="1:7" s="250" customFormat="1" x14ac:dyDescent="0.3">
      <c r="A1904" s="251">
        <v>45930</v>
      </c>
      <c r="B1904" s="316" t="s">
        <v>208</v>
      </c>
      <c r="C1904" s="293" t="s">
        <v>17</v>
      </c>
      <c r="D1904" s="293" t="s">
        <v>191</v>
      </c>
      <c r="E1904" s="248">
        <v>-1916.67</v>
      </c>
      <c r="F1904" s="254" t="s">
        <v>8</v>
      </c>
      <c r="G1904" s="254" t="s">
        <v>186</v>
      </c>
    </row>
    <row r="1905" spans="1:7" s="538" customFormat="1" x14ac:dyDescent="0.3">
      <c r="A1905" s="539">
        <v>45912</v>
      </c>
      <c r="B1905" s="539" t="s">
        <v>208</v>
      </c>
      <c r="C1905" s="544" t="s">
        <v>6</v>
      </c>
      <c r="D1905" s="534" t="s">
        <v>613</v>
      </c>
      <c r="E1905" s="535">
        <v>-10000</v>
      </c>
      <c r="F1905" s="537" t="s">
        <v>8</v>
      </c>
      <c r="G1905" s="537" t="s">
        <v>186</v>
      </c>
    </row>
    <row r="1906" spans="1:7" s="250" customFormat="1" x14ac:dyDescent="0.3">
      <c r="A1906" s="251">
        <v>45909</v>
      </c>
      <c r="B1906" s="316" t="s">
        <v>208</v>
      </c>
      <c r="C1906" s="293" t="s">
        <v>71</v>
      </c>
      <c r="D1906" s="293" t="s">
        <v>1050</v>
      </c>
      <c r="E1906" s="248">
        <v>-2592.66</v>
      </c>
      <c r="F1906" s="254" t="s">
        <v>8</v>
      </c>
      <c r="G1906" s="254" t="s">
        <v>227</v>
      </c>
    </row>
    <row r="1907" spans="1:7" s="250" customFormat="1" x14ac:dyDescent="0.3">
      <c r="A1907" s="251">
        <v>45909</v>
      </c>
      <c r="B1907" s="316" t="s">
        <v>208</v>
      </c>
      <c r="C1907" s="293" t="s">
        <v>71</v>
      </c>
      <c r="D1907" s="293" t="s">
        <v>1362</v>
      </c>
      <c r="E1907" s="248">
        <v>-487.53</v>
      </c>
      <c r="F1907" s="254" t="s">
        <v>8</v>
      </c>
      <c r="G1907" s="254" t="s">
        <v>227</v>
      </c>
    </row>
    <row r="1908" spans="1:7" s="250" customFormat="1" x14ac:dyDescent="0.3">
      <c r="A1908" s="251">
        <v>45909</v>
      </c>
      <c r="B1908" s="316" t="s">
        <v>208</v>
      </c>
      <c r="C1908" s="252" t="s">
        <v>104</v>
      </c>
      <c r="D1908" s="293" t="s">
        <v>603</v>
      </c>
      <c r="E1908" s="248">
        <v>-2000</v>
      </c>
      <c r="F1908" s="254" t="s">
        <v>8</v>
      </c>
      <c r="G1908" s="254" t="s">
        <v>186</v>
      </c>
    </row>
    <row r="1909" spans="1:7" s="538" customFormat="1" x14ac:dyDescent="0.3">
      <c r="A1909" s="539">
        <v>45912</v>
      </c>
      <c r="B1909" s="539" t="s">
        <v>208</v>
      </c>
      <c r="C1909" s="544" t="s">
        <v>104</v>
      </c>
      <c r="D1909" s="545" t="s">
        <v>614</v>
      </c>
      <c r="E1909" s="535">
        <v>-2000</v>
      </c>
      <c r="F1909" s="537" t="s">
        <v>8</v>
      </c>
      <c r="G1909" s="537" t="s">
        <v>186</v>
      </c>
    </row>
    <row r="1910" spans="1:7" s="139" customFormat="1" hidden="1" x14ac:dyDescent="0.3">
      <c r="A1910" s="146">
        <v>45992</v>
      </c>
      <c r="B1910" s="146" t="s">
        <v>216</v>
      </c>
      <c r="C1910" s="96" t="s">
        <v>44</v>
      </c>
      <c r="D1910" s="96" t="s">
        <v>617</v>
      </c>
      <c r="E1910" s="89">
        <v>-3968.99</v>
      </c>
      <c r="F1910" s="110" t="s">
        <v>8</v>
      </c>
      <c r="G1910" s="70" t="s">
        <v>186</v>
      </c>
    </row>
    <row r="1911" spans="1:7" s="139" customFormat="1" hidden="1" x14ac:dyDescent="0.3">
      <c r="A1911" s="100">
        <v>45931</v>
      </c>
      <c r="B1911" s="100" t="s">
        <v>211</v>
      </c>
      <c r="C1911" s="14" t="s">
        <v>44</v>
      </c>
      <c r="D1911" s="14" t="s">
        <v>616</v>
      </c>
      <c r="E1911" s="77">
        <v>-3968.99</v>
      </c>
      <c r="F1911" s="27" t="s">
        <v>8</v>
      </c>
      <c r="G1911" s="91" t="s">
        <v>186</v>
      </c>
    </row>
    <row r="1912" spans="1:7" s="250" customFormat="1" x14ac:dyDescent="0.3">
      <c r="A1912" s="316">
        <v>45901</v>
      </c>
      <c r="B1912" s="316" t="s">
        <v>208</v>
      </c>
      <c r="C1912" s="293" t="s">
        <v>17</v>
      </c>
      <c r="D1912" s="293" t="s">
        <v>1281</v>
      </c>
      <c r="E1912" s="248">
        <v>-600</v>
      </c>
      <c r="F1912" s="249" t="s">
        <v>8</v>
      </c>
      <c r="G1912" s="254" t="s">
        <v>139</v>
      </c>
    </row>
    <row r="1913" spans="1:7" s="250" customFormat="1" x14ac:dyDescent="0.3">
      <c r="A1913" s="316">
        <v>45901</v>
      </c>
      <c r="B1913" s="316" t="s">
        <v>208</v>
      </c>
      <c r="C1913" s="293" t="s">
        <v>44</v>
      </c>
      <c r="D1913" s="293" t="s">
        <v>595</v>
      </c>
      <c r="E1913" s="248">
        <v>-3968.99</v>
      </c>
      <c r="F1913" s="249" t="s">
        <v>8</v>
      </c>
      <c r="G1913" s="254" t="s">
        <v>186</v>
      </c>
    </row>
    <row r="1914" spans="1:7" s="250" customFormat="1" x14ac:dyDescent="0.3">
      <c r="A1914" s="316">
        <v>45901</v>
      </c>
      <c r="B1914" s="316" t="s">
        <v>208</v>
      </c>
      <c r="C1914" s="293" t="s">
        <v>31</v>
      </c>
      <c r="D1914" s="293" t="s">
        <v>1251</v>
      </c>
      <c r="E1914" s="248">
        <v>-240</v>
      </c>
      <c r="F1914" s="249" t="s">
        <v>8</v>
      </c>
      <c r="G1914" s="254" t="s">
        <v>82</v>
      </c>
    </row>
    <row r="1915" spans="1:7" s="250" customFormat="1" x14ac:dyDescent="0.3">
      <c r="A1915" s="316">
        <v>45901</v>
      </c>
      <c r="B1915" s="316" t="s">
        <v>208</v>
      </c>
      <c r="C1915" s="293" t="s">
        <v>31</v>
      </c>
      <c r="D1915" s="293" t="s">
        <v>1252</v>
      </c>
      <c r="E1915" s="248">
        <v>-240</v>
      </c>
      <c r="F1915" s="249" t="s">
        <v>8</v>
      </c>
      <c r="G1915" s="254" t="s">
        <v>82</v>
      </c>
    </row>
    <row r="1916" spans="1:7" s="250" customFormat="1" x14ac:dyDescent="0.3">
      <c r="A1916" s="316">
        <v>45901</v>
      </c>
      <c r="B1916" s="316" t="s">
        <v>208</v>
      </c>
      <c r="C1916" s="293" t="s">
        <v>31</v>
      </c>
      <c r="D1916" s="293" t="s">
        <v>1253</v>
      </c>
      <c r="E1916" s="248">
        <v>-200</v>
      </c>
      <c r="F1916" s="249" t="s">
        <v>8</v>
      </c>
      <c r="G1916" s="254" t="s">
        <v>82</v>
      </c>
    </row>
    <row r="1917" spans="1:7" s="250" customFormat="1" x14ac:dyDescent="0.3">
      <c r="A1917" s="316">
        <v>45901</v>
      </c>
      <c r="B1917" s="316" t="s">
        <v>208</v>
      </c>
      <c r="C1917" s="293" t="s">
        <v>31</v>
      </c>
      <c r="D1917" s="293" t="s">
        <v>1254</v>
      </c>
      <c r="E1917" s="248">
        <v>-159.16</v>
      </c>
      <c r="F1917" s="249" t="s">
        <v>8</v>
      </c>
      <c r="G1917" s="254" t="s">
        <v>82</v>
      </c>
    </row>
    <row r="1918" spans="1:7" s="250" customFormat="1" x14ac:dyDescent="0.3">
      <c r="A1918" s="316">
        <v>45901</v>
      </c>
      <c r="B1918" s="316" t="s">
        <v>208</v>
      </c>
      <c r="C1918" s="293" t="s">
        <v>31</v>
      </c>
      <c r="D1918" s="293" t="s">
        <v>1255</v>
      </c>
      <c r="E1918" s="248">
        <v>-240</v>
      </c>
      <c r="F1918" s="249" t="s">
        <v>8</v>
      </c>
      <c r="G1918" s="254" t="s">
        <v>82</v>
      </c>
    </row>
    <row r="1919" spans="1:7" s="250" customFormat="1" x14ac:dyDescent="0.3">
      <c r="A1919" s="316">
        <v>45901</v>
      </c>
      <c r="B1919" s="316" t="s">
        <v>208</v>
      </c>
      <c r="C1919" s="293" t="s">
        <v>31</v>
      </c>
      <c r="D1919" s="293" t="s">
        <v>1256</v>
      </c>
      <c r="E1919" s="248">
        <v>-360</v>
      </c>
      <c r="F1919" s="249" t="s">
        <v>8</v>
      </c>
      <c r="G1919" s="254" t="s">
        <v>82</v>
      </c>
    </row>
    <row r="1920" spans="1:7" s="250" customFormat="1" x14ac:dyDescent="0.3">
      <c r="A1920" s="316">
        <v>45901</v>
      </c>
      <c r="B1920" s="316" t="s">
        <v>208</v>
      </c>
      <c r="C1920" s="293" t="s">
        <v>31</v>
      </c>
      <c r="D1920" s="293" t="s">
        <v>1257</v>
      </c>
      <c r="E1920" s="248">
        <v>-264</v>
      </c>
      <c r="F1920" s="249" t="s">
        <v>8</v>
      </c>
      <c r="G1920" s="254" t="s">
        <v>82</v>
      </c>
    </row>
    <row r="1921" spans="1:7" s="250" customFormat="1" x14ac:dyDescent="0.3">
      <c r="A1921" s="316">
        <v>45901</v>
      </c>
      <c r="B1921" s="316" t="s">
        <v>208</v>
      </c>
      <c r="C1921" s="293" t="s">
        <v>31</v>
      </c>
      <c r="D1921" s="293" t="s">
        <v>1258</v>
      </c>
      <c r="E1921" s="248">
        <v>-180</v>
      </c>
      <c r="F1921" s="249" t="s">
        <v>8</v>
      </c>
      <c r="G1921" s="254" t="s">
        <v>82</v>
      </c>
    </row>
    <row r="1922" spans="1:7" s="250" customFormat="1" x14ac:dyDescent="0.3">
      <c r="A1922" s="316">
        <v>45901</v>
      </c>
      <c r="B1922" s="316" t="s">
        <v>208</v>
      </c>
      <c r="C1922" s="293" t="s">
        <v>31</v>
      </c>
      <c r="D1922" s="293" t="s">
        <v>1259</v>
      </c>
      <c r="E1922" s="248">
        <v>-250</v>
      </c>
      <c r="F1922" s="249" t="s">
        <v>8</v>
      </c>
      <c r="G1922" s="254" t="s">
        <v>82</v>
      </c>
    </row>
    <row r="1923" spans="1:7" s="250" customFormat="1" x14ac:dyDescent="0.3">
      <c r="A1923" s="316">
        <v>45901</v>
      </c>
      <c r="B1923" s="316" t="s">
        <v>208</v>
      </c>
      <c r="C1923" s="293" t="s">
        <v>31</v>
      </c>
      <c r="D1923" s="293" t="s">
        <v>1260</v>
      </c>
      <c r="E1923" s="248">
        <v>-180</v>
      </c>
      <c r="F1923" s="249" t="s">
        <v>8</v>
      </c>
      <c r="G1923" s="254" t="s">
        <v>82</v>
      </c>
    </row>
    <row r="1924" spans="1:7" s="139" customFormat="1" x14ac:dyDescent="0.3">
      <c r="A1924" s="100">
        <v>45901</v>
      </c>
      <c r="B1924" s="100" t="s">
        <v>208</v>
      </c>
      <c r="C1924" s="328" t="s">
        <v>31</v>
      </c>
      <c r="D1924" s="328" t="s">
        <v>1261</v>
      </c>
      <c r="E1924" s="329">
        <v>-250</v>
      </c>
      <c r="F1924" s="13" t="s">
        <v>8</v>
      </c>
      <c r="G1924" s="448" t="s">
        <v>82</v>
      </c>
    </row>
    <row r="1925" spans="1:7" s="250" customFormat="1" x14ac:dyDescent="0.3">
      <c r="A1925" s="316">
        <v>45901</v>
      </c>
      <c r="B1925" s="316" t="s">
        <v>208</v>
      </c>
      <c r="C1925" s="293" t="s">
        <v>31</v>
      </c>
      <c r="D1925" s="293" t="s">
        <v>1262</v>
      </c>
      <c r="E1925" s="248">
        <v>-240</v>
      </c>
      <c r="F1925" s="249" t="s">
        <v>8</v>
      </c>
      <c r="G1925" s="254" t="s">
        <v>82</v>
      </c>
    </row>
    <row r="1926" spans="1:7" s="250" customFormat="1" x14ac:dyDescent="0.3">
      <c r="A1926" s="316">
        <v>45901</v>
      </c>
      <c r="B1926" s="316" t="s">
        <v>208</v>
      </c>
      <c r="C1926" s="293" t="s">
        <v>31</v>
      </c>
      <c r="D1926" s="293" t="s">
        <v>1263</v>
      </c>
      <c r="E1926" s="248">
        <v>-140</v>
      </c>
      <c r="F1926" s="249" t="s">
        <v>8</v>
      </c>
      <c r="G1926" s="254" t="s">
        <v>82</v>
      </c>
    </row>
    <row r="1927" spans="1:7" s="250" customFormat="1" x14ac:dyDescent="0.3">
      <c r="A1927" s="316">
        <v>45901</v>
      </c>
      <c r="B1927" s="316" t="s">
        <v>208</v>
      </c>
      <c r="C1927" s="293" t="s">
        <v>6</v>
      </c>
      <c r="D1927" s="293" t="s">
        <v>1264</v>
      </c>
      <c r="E1927" s="248">
        <v>-59</v>
      </c>
      <c r="F1927" s="249" t="s">
        <v>8</v>
      </c>
      <c r="G1927" s="254" t="s">
        <v>82</v>
      </c>
    </row>
    <row r="1928" spans="1:7" s="250" customFormat="1" x14ac:dyDescent="0.3">
      <c r="A1928" s="316">
        <v>45901</v>
      </c>
      <c r="B1928" s="316" t="s">
        <v>208</v>
      </c>
      <c r="C1928" s="293" t="s">
        <v>6</v>
      </c>
      <c r="D1928" s="293" t="s">
        <v>1265</v>
      </c>
      <c r="E1928" s="248">
        <v>-59</v>
      </c>
      <c r="F1928" s="249" t="s">
        <v>8</v>
      </c>
      <c r="G1928" s="254" t="s">
        <v>82</v>
      </c>
    </row>
    <row r="1929" spans="1:7" s="250" customFormat="1" x14ac:dyDescent="0.3">
      <c r="A1929" s="316">
        <v>45901</v>
      </c>
      <c r="B1929" s="316" t="s">
        <v>208</v>
      </c>
      <c r="C1929" s="293" t="s">
        <v>6</v>
      </c>
      <c r="D1929" s="293" t="s">
        <v>1266</v>
      </c>
      <c r="E1929" s="248">
        <v>-59</v>
      </c>
      <c r="F1929" s="249" t="s">
        <v>8</v>
      </c>
      <c r="G1929" s="254" t="s">
        <v>82</v>
      </c>
    </row>
    <row r="1930" spans="1:7" s="250" customFormat="1" x14ac:dyDescent="0.3">
      <c r="A1930" s="316">
        <v>45901</v>
      </c>
      <c r="B1930" s="316" t="s">
        <v>208</v>
      </c>
      <c r="C1930" s="293" t="s">
        <v>6</v>
      </c>
      <c r="D1930" s="293" t="s">
        <v>1267</v>
      </c>
      <c r="E1930" s="248">
        <v>-59</v>
      </c>
      <c r="F1930" s="249" t="s">
        <v>8</v>
      </c>
      <c r="G1930" s="254" t="s">
        <v>82</v>
      </c>
    </row>
    <row r="1931" spans="1:7" s="250" customFormat="1" x14ac:dyDescent="0.3">
      <c r="A1931" s="316">
        <v>45901</v>
      </c>
      <c r="B1931" s="316" t="s">
        <v>208</v>
      </c>
      <c r="C1931" s="293" t="s">
        <v>6</v>
      </c>
      <c r="D1931" s="293" t="s">
        <v>1268</v>
      </c>
      <c r="E1931" s="248">
        <v>-59</v>
      </c>
      <c r="F1931" s="249" t="s">
        <v>8</v>
      </c>
      <c r="G1931" s="254" t="s">
        <v>82</v>
      </c>
    </row>
    <row r="1932" spans="1:7" s="250" customFormat="1" x14ac:dyDescent="0.3">
      <c r="A1932" s="316">
        <v>45901</v>
      </c>
      <c r="B1932" s="316" t="s">
        <v>208</v>
      </c>
      <c r="C1932" s="293" t="s">
        <v>6</v>
      </c>
      <c r="D1932" s="293" t="s">
        <v>1228</v>
      </c>
      <c r="E1932" s="248">
        <v>-23.6</v>
      </c>
      <c r="F1932" s="249" t="s">
        <v>8</v>
      </c>
      <c r="G1932" s="254" t="s">
        <v>82</v>
      </c>
    </row>
    <row r="1933" spans="1:7" s="250" customFormat="1" x14ac:dyDescent="0.3">
      <c r="A1933" s="316">
        <v>45901</v>
      </c>
      <c r="B1933" s="316" t="s">
        <v>208</v>
      </c>
      <c r="C1933" s="293" t="s">
        <v>25</v>
      </c>
      <c r="D1933" s="293" t="s">
        <v>1269</v>
      </c>
      <c r="E1933" s="248">
        <v>-307.5</v>
      </c>
      <c r="F1933" s="249" t="s">
        <v>8</v>
      </c>
      <c r="G1933" s="254" t="s">
        <v>82</v>
      </c>
    </row>
    <row r="1934" spans="1:7" s="250" customFormat="1" x14ac:dyDescent="0.3">
      <c r="A1934" s="316">
        <v>45901</v>
      </c>
      <c r="B1934" s="316" t="s">
        <v>208</v>
      </c>
      <c r="C1934" s="293" t="s">
        <v>25</v>
      </c>
      <c r="D1934" s="293" t="s">
        <v>364</v>
      </c>
      <c r="E1934" s="248">
        <v>-566.4</v>
      </c>
      <c r="F1934" s="249" t="s">
        <v>8</v>
      </c>
      <c r="G1934" s="254" t="s">
        <v>82</v>
      </c>
    </row>
    <row r="1935" spans="1:7" s="250" customFormat="1" x14ac:dyDescent="0.3">
      <c r="A1935" s="316">
        <v>45901</v>
      </c>
      <c r="B1935" s="316" t="s">
        <v>208</v>
      </c>
      <c r="C1935" s="293" t="s">
        <v>25</v>
      </c>
      <c r="D1935" s="293" t="s">
        <v>1270</v>
      </c>
      <c r="E1935" s="248">
        <v>-220</v>
      </c>
      <c r="F1935" s="249" t="s">
        <v>8</v>
      </c>
      <c r="G1935" s="254" t="s">
        <v>82</v>
      </c>
    </row>
    <row r="1936" spans="1:7" s="250" customFormat="1" x14ac:dyDescent="0.3">
      <c r="A1936" s="316">
        <v>45901</v>
      </c>
      <c r="B1936" s="316" t="s">
        <v>208</v>
      </c>
      <c r="C1936" s="293" t="s">
        <v>25</v>
      </c>
      <c r="D1936" s="293" t="s">
        <v>749</v>
      </c>
      <c r="E1936" s="248">
        <v>-349.5</v>
      </c>
      <c r="F1936" s="249" t="s">
        <v>8</v>
      </c>
      <c r="G1936" s="254" t="s">
        <v>82</v>
      </c>
    </row>
    <row r="1937" spans="1:7" s="250" customFormat="1" x14ac:dyDescent="0.3">
      <c r="A1937" s="316">
        <v>45901</v>
      </c>
      <c r="B1937" s="316" t="s">
        <v>208</v>
      </c>
      <c r="C1937" s="293" t="s">
        <v>32</v>
      </c>
      <c r="D1937" s="293" t="s">
        <v>1271</v>
      </c>
      <c r="E1937" s="248">
        <v>-279.36</v>
      </c>
      <c r="F1937" s="249" t="s">
        <v>8</v>
      </c>
      <c r="G1937" s="254" t="s">
        <v>82</v>
      </c>
    </row>
    <row r="1938" spans="1:7" s="250" customFormat="1" x14ac:dyDescent="0.3">
      <c r="A1938" s="316">
        <v>45901</v>
      </c>
      <c r="B1938" s="316" t="s">
        <v>208</v>
      </c>
      <c r="C1938" s="293" t="s">
        <v>32</v>
      </c>
      <c r="D1938" s="293" t="s">
        <v>1272</v>
      </c>
      <c r="E1938" s="393">
        <v>-516.96</v>
      </c>
      <c r="F1938" s="254" t="s">
        <v>8</v>
      </c>
      <c r="G1938" s="254" t="s">
        <v>41</v>
      </c>
    </row>
    <row r="1939" spans="1:7" s="250" customFormat="1" x14ac:dyDescent="0.3">
      <c r="A1939" s="316">
        <v>45901</v>
      </c>
      <c r="B1939" s="316" t="s">
        <v>208</v>
      </c>
      <c r="C1939" s="293" t="s">
        <v>17</v>
      </c>
      <c r="D1939" s="293" t="s">
        <v>1273</v>
      </c>
      <c r="E1939" s="393">
        <v>-2100</v>
      </c>
      <c r="F1939" s="254" t="s">
        <v>8</v>
      </c>
      <c r="G1939" s="254" t="s">
        <v>1287</v>
      </c>
    </row>
    <row r="1940" spans="1:7" s="250" customFormat="1" x14ac:dyDescent="0.3">
      <c r="A1940" s="316">
        <v>45901</v>
      </c>
      <c r="B1940" s="316" t="s">
        <v>208</v>
      </c>
      <c r="C1940" s="299" t="s">
        <v>13</v>
      </c>
      <c r="D1940" s="293" t="s">
        <v>1283</v>
      </c>
      <c r="E1940" s="248">
        <v>-200</v>
      </c>
      <c r="F1940" s="249" t="s">
        <v>8</v>
      </c>
      <c r="G1940" s="254" t="s">
        <v>984</v>
      </c>
    </row>
    <row r="1941" spans="1:7" s="250" customFormat="1" x14ac:dyDescent="0.3">
      <c r="A1941" s="251">
        <v>45901</v>
      </c>
      <c r="B1941" s="316" t="s">
        <v>208</v>
      </c>
      <c r="C1941" s="252" t="s">
        <v>17</v>
      </c>
      <c r="D1941" s="293" t="s">
        <v>596</v>
      </c>
      <c r="E1941" s="248">
        <v>-1848.63</v>
      </c>
      <c r="F1941" s="254" t="s">
        <v>8</v>
      </c>
      <c r="G1941" s="254" t="s">
        <v>186</v>
      </c>
    </row>
    <row r="1942" spans="1:7" s="250" customFormat="1" x14ac:dyDescent="0.3">
      <c r="A1942" s="251">
        <v>45901</v>
      </c>
      <c r="B1942" s="316" t="s">
        <v>208</v>
      </c>
      <c r="C1942" s="293" t="s">
        <v>25</v>
      </c>
      <c r="D1942" s="293" t="s">
        <v>1286</v>
      </c>
      <c r="E1942" s="248">
        <v>-500</v>
      </c>
      <c r="F1942" s="254" t="s">
        <v>8</v>
      </c>
      <c r="G1942" s="254" t="s">
        <v>1287</v>
      </c>
    </row>
    <row r="1943" spans="1:7" s="250" customFormat="1" x14ac:dyDescent="0.3">
      <c r="A1943" s="251">
        <v>45901</v>
      </c>
      <c r="B1943" s="316" t="s">
        <v>208</v>
      </c>
      <c r="C1943" s="293" t="s">
        <v>25</v>
      </c>
      <c r="D1943" s="293" t="s">
        <v>1291</v>
      </c>
      <c r="E1943" s="248">
        <v>-400</v>
      </c>
      <c r="F1943" s="254" t="s">
        <v>8</v>
      </c>
      <c r="G1943" s="254" t="s">
        <v>27</v>
      </c>
    </row>
    <row r="1944" spans="1:7" s="250" customFormat="1" x14ac:dyDescent="0.3">
      <c r="A1944" s="251">
        <v>45901</v>
      </c>
      <c r="B1944" s="316" t="s">
        <v>208</v>
      </c>
      <c r="C1944" s="293" t="s">
        <v>25</v>
      </c>
      <c r="D1944" s="293" t="s">
        <v>1288</v>
      </c>
      <c r="E1944" s="248">
        <v>-270</v>
      </c>
      <c r="F1944" s="254" t="s">
        <v>8</v>
      </c>
      <c r="G1944" s="254" t="s">
        <v>27</v>
      </c>
    </row>
    <row r="1945" spans="1:7" s="250" customFormat="1" x14ac:dyDescent="0.3">
      <c r="A1945" s="251">
        <v>45901</v>
      </c>
      <c r="B1945" s="316" t="s">
        <v>208</v>
      </c>
      <c r="C1945" s="293" t="s">
        <v>25</v>
      </c>
      <c r="D1945" s="293" t="s">
        <v>1289</v>
      </c>
      <c r="E1945" s="248">
        <v>-1717.2</v>
      </c>
      <c r="F1945" s="254" t="s">
        <v>8</v>
      </c>
      <c r="G1945" s="254" t="s">
        <v>27</v>
      </c>
    </row>
    <row r="1946" spans="1:7" s="250" customFormat="1" x14ac:dyDescent="0.3">
      <c r="A1946" s="251">
        <v>45901</v>
      </c>
      <c r="B1946" s="316" t="s">
        <v>208</v>
      </c>
      <c r="C1946" s="293" t="s">
        <v>25</v>
      </c>
      <c r="D1946" s="293" t="s">
        <v>1290</v>
      </c>
      <c r="E1946" s="248">
        <v>-1717.2</v>
      </c>
      <c r="F1946" s="254" t="s">
        <v>8</v>
      </c>
      <c r="G1946" s="254" t="s">
        <v>27</v>
      </c>
    </row>
    <row r="1947" spans="1:7" s="250" customFormat="1" x14ac:dyDescent="0.3">
      <c r="A1947" s="251">
        <v>45901</v>
      </c>
      <c r="B1947" s="316" t="s">
        <v>208</v>
      </c>
      <c r="C1947" s="293" t="s">
        <v>25</v>
      </c>
      <c r="D1947" s="293" t="s">
        <v>1292</v>
      </c>
      <c r="E1947" s="248">
        <v>-755.28</v>
      </c>
      <c r="F1947" s="254" t="s">
        <v>8</v>
      </c>
      <c r="G1947" s="254" t="s">
        <v>27</v>
      </c>
    </row>
    <row r="1948" spans="1:7" s="250" customFormat="1" x14ac:dyDescent="0.3">
      <c r="A1948" s="251">
        <v>45901</v>
      </c>
      <c r="B1948" s="316" t="s">
        <v>208</v>
      </c>
      <c r="C1948" s="293" t="s">
        <v>25</v>
      </c>
      <c r="D1948" s="293" t="s">
        <v>1293</v>
      </c>
      <c r="E1948" s="248">
        <v>-540</v>
      </c>
      <c r="F1948" s="254" t="s">
        <v>8</v>
      </c>
      <c r="G1948" s="254" t="s">
        <v>27</v>
      </c>
    </row>
    <row r="1949" spans="1:7" s="139" customFormat="1" hidden="1" x14ac:dyDescent="0.3">
      <c r="A1949" s="146">
        <v>45945</v>
      </c>
      <c r="B1949" s="146" t="s">
        <v>211</v>
      </c>
      <c r="C1949" s="108" t="s">
        <v>6</v>
      </c>
      <c r="D1949" s="109" t="s">
        <v>77</v>
      </c>
      <c r="E1949" s="101">
        <v>-75000</v>
      </c>
      <c r="F1949" s="24" t="s">
        <v>8</v>
      </c>
      <c r="G1949" s="24" t="s">
        <v>41</v>
      </c>
    </row>
    <row r="1950" spans="1:7" s="139" customFormat="1" hidden="1" x14ac:dyDescent="0.3">
      <c r="A1950" s="100">
        <v>45936</v>
      </c>
      <c r="B1950" s="100" t="s">
        <v>211</v>
      </c>
      <c r="C1950" s="12" t="s">
        <v>6</v>
      </c>
      <c r="D1950" s="4" t="s">
        <v>43</v>
      </c>
      <c r="E1950" s="16">
        <v>-15451.45</v>
      </c>
      <c r="F1950" s="13" t="s">
        <v>8</v>
      </c>
      <c r="G1950" s="5" t="s">
        <v>41</v>
      </c>
    </row>
    <row r="1951" spans="1:7" s="139" customFormat="1" hidden="1" x14ac:dyDescent="0.3">
      <c r="A1951" s="78">
        <v>45932</v>
      </c>
      <c r="B1951" s="100" t="s">
        <v>211</v>
      </c>
      <c r="C1951" s="286" t="s">
        <v>44</v>
      </c>
      <c r="D1951" s="357" t="s">
        <v>1552</v>
      </c>
      <c r="E1951" s="8">
        <v>-1383.98</v>
      </c>
      <c r="F1951" s="13" t="s">
        <v>8</v>
      </c>
      <c r="G1951" s="5" t="s">
        <v>75</v>
      </c>
    </row>
    <row r="1952" spans="1:7" s="139" customFormat="1" hidden="1" x14ac:dyDescent="0.3">
      <c r="A1952" s="78">
        <v>45932</v>
      </c>
      <c r="B1952" s="100" t="s">
        <v>211</v>
      </c>
      <c r="C1952" s="14" t="s">
        <v>17</v>
      </c>
      <c r="D1952" s="98" t="s">
        <v>389</v>
      </c>
      <c r="E1952" s="8">
        <v>-107.14</v>
      </c>
      <c r="F1952" s="13" t="s">
        <v>8</v>
      </c>
      <c r="G1952" s="9" t="s">
        <v>227</v>
      </c>
    </row>
    <row r="1953" spans="1:7" s="139" customFormat="1" hidden="1" x14ac:dyDescent="0.3">
      <c r="A1953" s="78">
        <v>45932</v>
      </c>
      <c r="B1953" s="100" t="s">
        <v>211</v>
      </c>
      <c r="C1953" s="14" t="s">
        <v>71</v>
      </c>
      <c r="D1953" s="98" t="s">
        <v>205</v>
      </c>
      <c r="E1953" s="8">
        <v>-827.13995</v>
      </c>
      <c r="F1953" s="13" t="s">
        <v>8</v>
      </c>
      <c r="G1953" s="9" t="s">
        <v>227</v>
      </c>
    </row>
    <row r="1954" spans="1:7" s="139" customFormat="1" hidden="1" x14ac:dyDescent="0.3">
      <c r="A1954" s="78">
        <v>45932</v>
      </c>
      <c r="B1954" s="100" t="s">
        <v>211</v>
      </c>
      <c r="C1954" s="14" t="s">
        <v>6</v>
      </c>
      <c r="D1954" s="98" t="s">
        <v>1553</v>
      </c>
      <c r="E1954" s="8">
        <v>-5048.21</v>
      </c>
      <c r="F1954" s="13" t="s">
        <v>8</v>
      </c>
      <c r="G1954" s="9" t="s">
        <v>186</v>
      </c>
    </row>
    <row r="1955" spans="1:7" s="139" customFormat="1" hidden="1" x14ac:dyDescent="0.3">
      <c r="A1955" s="78">
        <v>45932</v>
      </c>
      <c r="B1955" s="100" t="s">
        <v>211</v>
      </c>
      <c r="C1955" s="572" t="s">
        <v>44</v>
      </c>
      <c r="D1955" s="98" t="s">
        <v>417</v>
      </c>
      <c r="E1955" s="8">
        <v>-279</v>
      </c>
      <c r="F1955" s="13" t="s">
        <v>8</v>
      </c>
      <c r="G1955" s="9" t="s">
        <v>1169</v>
      </c>
    </row>
    <row r="1956" spans="1:7" s="612" customFormat="1" ht="14.4" hidden="1" x14ac:dyDescent="0.3">
      <c r="A1956" s="69">
        <v>45932</v>
      </c>
      <c r="B1956" s="611" t="s">
        <v>211</v>
      </c>
      <c r="C1956" s="42" t="s">
        <v>25</v>
      </c>
      <c r="D1956" s="42" t="s">
        <v>749</v>
      </c>
      <c r="E1956" s="43">
        <v>-349.5</v>
      </c>
      <c r="F1956" s="570" t="s">
        <v>8</v>
      </c>
      <c r="G1956" s="626" t="s">
        <v>82</v>
      </c>
    </row>
    <row r="1957" spans="1:7" s="612" customFormat="1" ht="14.4" hidden="1" x14ac:dyDescent="0.3">
      <c r="A1957" s="69">
        <v>45932</v>
      </c>
      <c r="B1957" s="611" t="s">
        <v>211</v>
      </c>
      <c r="C1957" s="42" t="s">
        <v>25</v>
      </c>
      <c r="D1957" s="42" t="s">
        <v>1588</v>
      </c>
      <c r="E1957" s="43">
        <v>-86.1</v>
      </c>
      <c r="F1957" s="570" t="s">
        <v>8</v>
      </c>
      <c r="G1957" s="626" t="s">
        <v>82</v>
      </c>
    </row>
    <row r="1958" spans="1:7" s="612" customFormat="1" ht="14.4" hidden="1" x14ac:dyDescent="0.3">
      <c r="A1958" s="69">
        <v>45932</v>
      </c>
      <c r="B1958" s="611" t="s">
        <v>211</v>
      </c>
      <c r="C1958" s="42" t="s">
        <v>25</v>
      </c>
      <c r="D1958" s="42" t="s">
        <v>1142</v>
      </c>
      <c r="E1958" s="43">
        <v>-184.5</v>
      </c>
      <c r="F1958" s="570" t="s">
        <v>8</v>
      </c>
      <c r="G1958" s="626" t="s">
        <v>82</v>
      </c>
    </row>
    <row r="1959" spans="1:7" s="612" customFormat="1" ht="14.4" hidden="1" x14ac:dyDescent="0.3">
      <c r="A1959" s="69">
        <v>45932</v>
      </c>
      <c r="B1959" s="611" t="s">
        <v>211</v>
      </c>
      <c r="C1959" s="42" t="s">
        <v>25</v>
      </c>
      <c r="D1959" s="42" t="s">
        <v>753</v>
      </c>
      <c r="E1959" s="43">
        <v>-184.5</v>
      </c>
      <c r="F1959" s="570" t="s">
        <v>8</v>
      </c>
      <c r="G1959" s="626" t="s">
        <v>82</v>
      </c>
    </row>
    <row r="1960" spans="1:7" s="612" customFormat="1" ht="14.4" hidden="1" x14ac:dyDescent="0.3">
      <c r="A1960" s="611">
        <v>45932</v>
      </c>
      <c r="B1960" s="611" t="s">
        <v>211</v>
      </c>
      <c r="C1960" s="627" t="s">
        <v>20</v>
      </c>
      <c r="D1960" s="628" t="s">
        <v>21</v>
      </c>
      <c r="E1960" s="629">
        <v>-900</v>
      </c>
      <c r="F1960" s="570" t="s">
        <v>8</v>
      </c>
      <c r="G1960" s="613" t="s">
        <v>22</v>
      </c>
    </row>
    <row r="1961" spans="1:7" s="139" customFormat="1" hidden="1" x14ac:dyDescent="0.3">
      <c r="A1961" s="78">
        <v>45961</v>
      </c>
      <c r="B1961" s="100" t="s">
        <v>211</v>
      </c>
      <c r="C1961" s="12" t="s">
        <v>17</v>
      </c>
      <c r="D1961" s="7" t="s">
        <v>146</v>
      </c>
      <c r="E1961" s="16">
        <v>-2000</v>
      </c>
      <c r="F1961" s="13" t="s">
        <v>8</v>
      </c>
      <c r="G1961" s="5" t="s">
        <v>147</v>
      </c>
    </row>
    <row r="1962" spans="1:7" s="139" customFormat="1" hidden="1" x14ac:dyDescent="0.3">
      <c r="A1962" s="78">
        <v>45961</v>
      </c>
      <c r="B1962" s="100" t="s">
        <v>211</v>
      </c>
      <c r="C1962" s="12" t="s">
        <v>17</v>
      </c>
      <c r="D1962" s="7" t="s">
        <v>148</v>
      </c>
      <c r="E1962" s="16">
        <v>-50</v>
      </c>
      <c r="F1962" s="13" t="s">
        <v>8</v>
      </c>
      <c r="G1962" s="5" t="s">
        <v>147</v>
      </c>
    </row>
    <row r="1963" spans="1:7" s="139" customFormat="1" hidden="1" x14ac:dyDescent="0.3">
      <c r="A1963" s="100">
        <v>45950</v>
      </c>
      <c r="B1963" s="100" t="s">
        <v>211</v>
      </c>
      <c r="C1963" s="12" t="s">
        <v>6</v>
      </c>
      <c r="D1963" s="4" t="s">
        <v>121</v>
      </c>
      <c r="E1963" s="276">
        <v>-1114.33</v>
      </c>
      <c r="F1963" s="13" t="s">
        <v>8</v>
      </c>
      <c r="G1963" s="5" t="s">
        <v>68</v>
      </c>
    </row>
    <row r="1964" spans="1:7" s="139" customFormat="1" hidden="1" x14ac:dyDescent="0.3">
      <c r="A1964" s="100">
        <v>45945</v>
      </c>
      <c r="B1964" s="100" t="s">
        <v>211</v>
      </c>
      <c r="C1964" s="12" t="s">
        <v>6</v>
      </c>
      <c r="D1964" s="4" t="s">
        <v>78</v>
      </c>
      <c r="E1964" s="16">
        <v>-47000</v>
      </c>
      <c r="F1964" s="13" t="s">
        <v>8</v>
      </c>
      <c r="G1964" s="5" t="s">
        <v>78</v>
      </c>
    </row>
    <row r="1965" spans="1:7" s="250" customFormat="1" x14ac:dyDescent="0.3">
      <c r="A1965" s="316">
        <v>45919</v>
      </c>
      <c r="B1965" s="316" t="s">
        <v>208</v>
      </c>
      <c r="C1965" s="293" t="s">
        <v>71</v>
      </c>
      <c r="D1965" s="293" t="s">
        <v>1026</v>
      </c>
      <c r="E1965" s="248">
        <v>-1400</v>
      </c>
      <c r="F1965" s="249" t="s">
        <v>8</v>
      </c>
      <c r="G1965" s="255" t="s">
        <v>227</v>
      </c>
    </row>
    <row r="1966" spans="1:7" s="250" customFormat="1" x14ac:dyDescent="0.3">
      <c r="A1966" s="322">
        <v>45919</v>
      </c>
      <c r="B1966" s="322" t="s">
        <v>208</v>
      </c>
      <c r="C1966" s="372" t="s">
        <v>71</v>
      </c>
      <c r="D1966" s="372" t="s">
        <v>350</v>
      </c>
      <c r="E1966" s="344">
        <v>-35.299999999999997</v>
      </c>
      <c r="F1966" s="373" t="s">
        <v>8</v>
      </c>
      <c r="G1966" s="266" t="s">
        <v>351</v>
      </c>
    </row>
    <row r="1967" spans="1:7" s="250" customFormat="1" x14ac:dyDescent="0.3">
      <c r="A1967" s="316">
        <v>45919</v>
      </c>
      <c r="B1967" s="316" t="s">
        <v>208</v>
      </c>
      <c r="C1967" s="293" t="s">
        <v>25</v>
      </c>
      <c r="D1967" s="293" t="s">
        <v>477</v>
      </c>
      <c r="E1967" s="248">
        <v>-168</v>
      </c>
      <c r="F1967" s="249" t="s">
        <v>8</v>
      </c>
      <c r="G1967" s="254" t="s">
        <v>82</v>
      </c>
    </row>
    <row r="1968" spans="1:7" s="250" customFormat="1" x14ac:dyDescent="0.3">
      <c r="A1968" s="316">
        <v>45919</v>
      </c>
      <c r="B1968" s="316" t="s">
        <v>208</v>
      </c>
      <c r="C1968" s="293" t="s">
        <v>25</v>
      </c>
      <c r="D1968" s="293" t="s">
        <v>1452</v>
      </c>
      <c r="E1968" s="248">
        <v>-220</v>
      </c>
      <c r="F1968" s="249" t="s">
        <v>8</v>
      </c>
      <c r="G1968" s="254" t="s">
        <v>82</v>
      </c>
    </row>
    <row r="1969" spans="1:8" s="139" customFormat="1" x14ac:dyDescent="0.3">
      <c r="A1969" s="100">
        <v>45919</v>
      </c>
      <c r="B1969" s="100" t="s">
        <v>208</v>
      </c>
      <c r="C1969" s="328" t="s">
        <v>25</v>
      </c>
      <c r="D1969" s="328" t="s">
        <v>1190</v>
      </c>
      <c r="E1969" s="329">
        <v>-180</v>
      </c>
      <c r="F1969" s="13" t="s">
        <v>8</v>
      </c>
      <c r="G1969" s="448" t="s">
        <v>82</v>
      </c>
    </row>
    <row r="1970" spans="1:8" s="250" customFormat="1" x14ac:dyDescent="0.3">
      <c r="A1970" s="316">
        <v>45919</v>
      </c>
      <c r="B1970" s="316" t="s">
        <v>208</v>
      </c>
      <c r="C1970" s="293" t="s">
        <v>25</v>
      </c>
      <c r="D1970" s="293" t="s">
        <v>1453</v>
      </c>
      <c r="E1970" s="248">
        <v>-147</v>
      </c>
      <c r="F1970" s="249" t="s">
        <v>8</v>
      </c>
      <c r="G1970" s="254" t="s">
        <v>82</v>
      </c>
    </row>
    <row r="1971" spans="1:8" s="300" customFormat="1" x14ac:dyDescent="0.3">
      <c r="A1971" s="316">
        <v>45919</v>
      </c>
      <c r="B1971" s="316" t="s">
        <v>208</v>
      </c>
      <c r="C1971" s="293" t="s">
        <v>25</v>
      </c>
      <c r="D1971" s="293" t="s">
        <v>1310</v>
      </c>
      <c r="E1971" s="248">
        <v>-163.19999999999999</v>
      </c>
      <c r="F1971" s="249" t="s">
        <v>8</v>
      </c>
      <c r="G1971" s="254" t="s">
        <v>82</v>
      </c>
      <c r="H1971" s="583"/>
    </row>
    <row r="1972" spans="1:8" s="250" customFormat="1" ht="14.4" x14ac:dyDescent="0.3">
      <c r="A1972" s="384">
        <v>45919</v>
      </c>
      <c r="B1972" s="584" t="s">
        <v>208</v>
      </c>
      <c r="C1972" s="364" t="s">
        <v>71</v>
      </c>
      <c r="D1972" s="364" t="s">
        <v>1391</v>
      </c>
      <c r="E1972" s="335">
        <v>-3410.83</v>
      </c>
      <c r="F1972" s="249" t="s">
        <v>8</v>
      </c>
      <c r="G1972" s="254" t="s">
        <v>75</v>
      </c>
    </row>
    <row r="1973" spans="1:8" s="250" customFormat="1" x14ac:dyDescent="0.3">
      <c r="A1973" s="384">
        <v>45919</v>
      </c>
      <c r="B1973" s="384" t="s">
        <v>208</v>
      </c>
      <c r="C1973" s="293" t="s">
        <v>17</v>
      </c>
      <c r="D1973" s="293" t="s">
        <v>376</v>
      </c>
      <c r="E1973" s="248">
        <v>-290.64</v>
      </c>
      <c r="F1973" s="249" t="s">
        <v>8</v>
      </c>
      <c r="G1973" s="254" t="s">
        <v>386</v>
      </c>
    </row>
    <row r="1974" spans="1:8" s="250" customFormat="1" ht="14.4" x14ac:dyDescent="0.3">
      <c r="A1974" s="316">
        <v>45919</v>
      </c>
      <c r="B1974" s="381" t="s">
        <v>208</v>
      </c>
      <c r="C1974" s="364" t="s">
        <v>17</v>
      </c>
      <c r="D1974" s="364" t="s">
        <v>1392</v>
      </c>
      <c r="E1974" s="248">
        <v>-1759.52</v>
      </c>
      <c r="F1974" s="249" t="s">
        <v>8</v>
      </c>
      <c r="G1974" s="254" t="s">
        <v>75</v>
      </c>
    </row>
    <row r="1975" spans="1:8" s="250" customFormat="1" ht="14.4" x14ac:dyDescent="0.3">
      <c r="A1975" s="316">
        <v>45919</v>
      </c>
      <c r="B1975" s="381" t="s">
        <v>208</v>
      </c>
      <c r="C1975" s="364" t="s">
        <v>17</v>
      </c>
      <c r="D1975" s="364" t="s">
        <v>1435</v>
      </c>
      <c r="E1975" s="248">
        <v>-101.87</v>
      </c>
      <c r="F1975" s="249" t="s">
        <v>8</v>
      </c>
      <c r="G1975" s="254" t="s">
        <v>75</v>
      </c>
    </row>
    <row r="1976" spans="1:8" s="139" customFormat="1" hidden="1" x14ac:dyDescent="0.3">
      <c r="A1976" s="146">
        <v>45947</v>
      </c>
      <c r="B1976" s="146" t="s">
        <v>211</v>
      </c>
      <c r="C1976" s="108" t="s">
        <v>6</v>
      </c>
      <c r="D1976" s="109" t="s">
        <v>689</v>
      </c>
      <c r="E1976" s="101">
        <v>-4500</v>
      </c>
      <c r="F1976" s="110" t="s">
        <v>8</v>
      </c>
      <c r="G1976" s="24" t="s">
        <v>111</v>
      </c>
    </row>
    <row r="1977" spans="1:8" s="139" customFormat="1" hidden="1" x14ac:dyDescent="0.3">
      <c r="A1977" s="100">
        <v>45940</v>
      </c>
      <c r="B1977" s="100" t="s">
        <v>211</v>
      </c>
      <c r="C1977" s="12" t="s">
        <v>6</v>
      </c>
      <c r="D1977" s="4" t="s">
        <v>62</v>
      </c>
      <c r="E1977" s="276">
        <v>-6318.09</v>
      </c>
      <c r="F1977" s="13" t="s">
        <v>8</v>
      </c>
      <c r="G1977" s="5" t="s">
        <v>63</v>
      </c>
    </row>
    <row r="1978" spans="1:8" s="139" customFormat="1" hidden="1" x14ac:dyDescent="0.3">
      <c r="A1978" s="113">
        <v>45957</v>
      </c>
      <c r="B1978" s="113" t="s">
        <v>211</v>
      </c>
      <c r="C1978" s="106" t="s">
        <v>6</v>
      </c>
      <c r="D1978" s="107" t="s">
        <v>62</v>
      </c>
      <c r="E1978" s="145">
        <v>-9000</v>
      </c>
      <c r="F1978" s="27" t="s">
        <v>8</v>
      </c>
      <c r="G1978" s="41" t="s">
        <v>63</v>
      </c>
    </row>
    <row r="1979" spans="1:8" hidden="1" x14ac:dyDescent="0.3">
      <c r="A1979" s="123">
        <v>45931</v>
      </c>
      <c r="B1979" s="123" t="s">
        <v>211</v>
      </c>
      <c r="C1979" s="120" t="s">
        <v>17</v>
      </c>
      <c r="D1979" s="29" t="s">
        <v>180</v>
      </c>
      <c r="E1979" s="30">
        <v>341420.9</v>
      </c>
      <c r="F1979" s="55" t="s">
        <v>161</v>
      </c>
      <c r="G1979" s="61" t="s">
        <v>162</v>
      </c>
    </row>
    <row r="1980" spans="1:8" s="139" customFormat="1" hidden="1" x14ac:dyDescent="0.3">
      <c r="A1980" s="100">
        <v>45936</v>
      </c>
      <c r="B1980" s="100" t="s">
        <v>211</v>
      </c>
      <c r="C1980" s="15" t="s">
        <v>6</v>
      </c>
      <c r="D1980" s="4" t="s">
        <v>23</v>
      </c>
      <c r="E1980" s="16">
        <v>-3809.98</v>
      </c>
      <c r="F1980" s="13" t="s">
        <v>8</v>
      </c>
      <c r="G1980" s="5" t="s">
        <v>24</v>
      </c>
    </row>
    <row r="1981" spans="1:8" hidden="1" x14ac:dyDescent="0.3">
      <c r="A1981" s="123">
        <v>45946</v>
      </c>
      <c r="B1981" s="123" t="s">
        <v>211</v>
      </c>
      <c r="C1981" s="120" t="s">
        <v>181</v>
      </c>
      <c r="D1981" s="29" t="s">
        <v>182</v>
      </c>
      <c r="E1981" s="127">
        <v>17956.39</v>
      </c>
      <c r="F1981" s="55" t="s">
        <v>161</v>
      </c>
      <c r="G1981" s="61" t="s">
        <v>162</v>
      </c>
    </row>
    <row r="1982" spans="1:8" s="139" customFormat="1" hidden="1" x14ac:dyDescent="0.3">
      <c r="A1982" s="188">
        <v>45946</v>
      </c>
      <c r="B1982" s="188" t="s">
        <v>211</v>
      </c>
      <c r="C1982" s="192" t="s">
        <v>6</v>
      </c>
      <c r="D1982" s="195" t="s">
        <v>115</v>
      </c>
      <c r="E1982" s="196">
        <v>-4500</v>
      </c>
      <c r="F1982" s="80" t="s">
        <v>8</v>
      </c>
      <c r="G1982" s="197" t="s">
        <v>51</v>
      </c>
    </row>
    <row r="1983" spans="1:8" hidden="1" x14ac:dyDescent="0.3">
      <c r="A1983" s="50">
        <v>45960</v>
      </c>
      <c r="B1983" s="123" t="s">
        <v>211</v>
      </c>
      <c r="C1983" s="120" t="s">
        <v>170</v>
      </c>
      <c r="D1983" s="29" t="s">
        <v>185</v>
      </c>
      <c r="E1983" s="128">
        <v>816717.89</v>
      </c>
      <c r="F1983" s="55" t="s">
        <v>161</v>
      </c>
      <c r="G1983" s="61" t="s">
        <v>162</v>
      </c>
    </row>
    <row r="1984" spans="1:8" s="139" customFormat="1" hidden="1" x14ac:dyDescent="0.3">
      <c r="A1984" s="100">
        <v>45945</v>
      </c>
      <c r="B1984" s="100" t="s">
        <v>211</v>
      </c>
      <c r="C1984" s="12" t="s">
        <v>17</v>
      </c>
      <c r="D1984" s="4" t="s">
        <v>83</v>
      </c>
      <c r="E1984" s="16">
        <v>-21000</v>
      </c>
      <c r="F1984" s="13" t="s">
        <v>8</v>
      </c>
      <c r="G1984" s="5" t="s">
        <v>58</v>
      </c>
    </row>
    <row r="1985" spans="1:7" s="250" customFormat="1" x14ac:dyDescent="0.3">
      <c r="A1985" s="251">
        <v>45929</v>
      </c>
      <c r="B1985" s="316" t="s">
        <v>208</v>
      </c>
      <c r="C1985" s="296" t="s">
        <v>31</v>
      </c>
      <c r="D1985" s="293" t="s">
        <v>1328</v>
      </c>
      <c r="E1985" s="248">
        <v>-1500</v>
      </c>
      <c r="F1985" s="249" t="s">
        <v>8</v>
      </c>
      <c r="G1985" s="254" t="s">
        <v>186</v>
      </c>
    </row>
    <row r="1986" spans="1:7" s="250" customFormat="1" x14ac:dyDescent="0.3">
      <c r="A1986" s="251">
        <v>45929</v>
      </c>
      <c r="B1986" s="316" t="s">
        <v>208</v>
      </c>
      <c r="C1986" s="268" t="s">
        <v>104</v>
      </c>
      <c r="D1986" s="300" t="s">
        <v>1568</v>
      </c>
      <c r="E1986" s="383">
        <v>-633.67999999999995</v>
      </c>
      <c r="F1986" s="249" t="s">
        <v>8</v>
      </c>
      <c r="G1986" s="255" t="s">
        <v>111</v>
      </c>
    </row>
    <row r="1987" spans="1:7" s="250" customFormat="1" x14ac:dyDescent="0.3">
      <c r="A1987" s="251">
        <v>45929</v>
      </c>
      <c r="B1987" s="316" t="s">
        <v>208</v>
      </c>
      <c r="C1987" s="268" t="s">
        <v>107</v>
      </c>
      <c r="D1987" s="300" t="s">
        <v>1568</v>
      </c>
      <c r="E1987" s="383">
        <v>-403.62</v>
      </c>
      <c r="F1987" s="249" t="s">
        <v>8</v>
      </c>
      <c r="G1987" s="255" t="s">
        <v>111</v>
      </c>
    </row>
    <row r="1988" spans="1:7" s="250" customFormat="1" x14ac:dyDescent="0.3">
      <c r="A1988" s="251">
        <v>45929</v>
      </c>
      <c r="B1988" s="316" t="s">
        <v>208</v>
      </c>
      <c r="C1988" s="268" t="s">
        <v>71</v>
      </c>
      <c r="D1988" s="300" t="s">
        <v>1568</v>
      </c>
      <c r="E1988" s="383">
        <v>-455.51</v>
      </c>
      <c r="F1988" s="249" t="s">
        <v>8</v>
      </c>
      <c r="G1988" s="255" t="s">
        <v>111</v>
      </c>
    </row>
    <row r="1989" spans="1:7" s="250" customFormat="1" x14ac:dyDescent="0.3">
      <c r="A1989" s="251">
        <v>45929</v>
      </c>
      <c r="B1989" s="316" t="s">
        <v>208</v>
      </c>
      <c r="C1989" s="268" t="s">
        <v>32</v>
      </c>
      <c r="D1989" s="300" t="s">
        <v>1568</v>
      </c>
      <c r="E1989" s="383">
        <v>-420.91</v>
      </c>
      <c r="F1989" s="249" t="s">
        <v>8</v>
      </c>
      <c r="G1989" s="255" t="s">
        <v>111</v>
      </c>
    </row>
    <row r="1990" spans="1:7" s="250" customFormat="1" x14ac:dyDescent="0.3">
      <c r="A1990" s="251">
        <v>45929</v>
      </c>
      <c r="B1990" s="316" t="s">
        <v>208</v>
      </c>
      <c r="C1990" s="268" t="s">
        <v>658</v>
      </c>
      <c r="D1990" s="300" t="s">
        <v>1568</v>
      </c>
      <c r="E1990" s="383">
        <v>-340.97</v>
      </c>
      <c r="F1990" s="249" t="s">
        <v>8</v>
      </c>
      <c r="G1990" s="255" t="s">
        <v>111</v>
      </c>
    </row>
    <row r="1991" spans="1:7" s="250" customFormat="1" x14ac:dyDescent="0.3">
      <c r="A1991" s="251">
        <v>45929</v>
      </c>
      <c r="B1991" s="316" t="s">
        <v>208</v>
      </c>
      <c r="C1991" s="268" t="s">
        <v>1105</v>
      </c>
      <c r="D1991" s="300" t="s">
        <v>1568</v>
      </c>
      <c r="E1991" s="383">
        <v>-98.7</v>
      </c>
      <c r="F1991" s="249" t="s">
        <v>8</v>
      </c>
      <c r="G1991" s="255" t="s">
        <v>111</v>
      </c>
    </row>
    <row r="1992" spans="1:7" s="250" customFormat="1" x14ac:dyDescent="0.3">
      <c r="A1992" s="251">
        <v>45929</v>
      </c>
      <c r="B1992" s="316" t="s">
        <v>208</v>
      </c>
      <c r="C1992" s="268" t="s">
        <v>6</v>
      </c>
      <c r="D1992" s="300" t="s">
        <v>1568</v>
      </c>
      <c r="E1992" s="383">
        <v>-240.21</v>
      </c>
      <c r="F1992" s="249" t="s">
        <v>8</v>
      </c>
      <c r="G1992" s="255" t="s">
        <v>111</v>
      </c>
    </row>
    <row r="1993" spans="1:7" s="250" customFormat="1" ht="13.2" customHeight="1" x14ac:dyDescent="0.3">
      <c r="A1993" s="251">
        <v>45929</v>
      </c>
      <c r="B1993" s="316" t="s">
        <v>208</v>
      </c>
      <c r="C1993" s="268" t="s">
        <v>13</v>
      </c>
      <c r="D1993" s="300" t="s">
        <v>1568</v>
      </c>
      <c r="E1993" s="383">
        <v>-435.92</v>
      </c>
      <c r="F1993" s="249" t="s">
        <v>8</v>
      </c>
      <c r="G1993" s="255" t="s">
        <v>111</v>
      </c>
    </row>
    <row r="1994" spans="1:7" s="250" customFormat="1" x14ac:dyDescent="0.3">
      <c r="A1994" s="251">
        <v>45929</v>
      </c>
      <c r="B1994" s="316" t="s">
        <v>208</v>
      </c>
      <c r="C1994" s="268" t="s">
        <v>108</v>
      </c>
      <c r="D1994" s="300" t="s">
        <v>1568</v>
      </c>
      <c r="E1994" s="383">
        <v>-844.52</v>
      </c>
      <c r="F1994" s="249" t="s">
        <v>8</v>
      </c>
      <c r="G1994" s="255" t="s">
        <v>111</v>
      </c>
    </row>
    <row r="1995" spans="1:7" s="250" customFormat="1" x14ac:dyDescent="0.3">
      <c r="A1995" s="251">
        <v>45929</v>
      </c>
      <c r="B1995" s="316" t="s">
        <v>208</v>
      </c>
      <c r="C1995" s="296" t="s">
        <v>6</v>
      </c>
      <c r="D1995" s="293" t="s">
        <v>1331</v>
      </c>
      <c r="E1995" s="248">
        <v>-1000</v>
      </c>
      <c r="F1995" s="249" t="s">
        <v>8</v>
      </c>
      <c r="G1995" s="254" t="s">
        <v>186</v>
      </c>
    </row>
    <row r="1996" spans="1:7" s="250" customFormat="1" x14ac:dyDescent="0.3">
      <c r="A1996" s="251">
        <v>45929</v>
      </c>
      <c r="B1996" s="316" t="s">
        <v>208</v>
      </c>
      <c r="C1996" s="293" t="s">
        <v>44</v>
      </c>
      <c r="D1996" s="293" t="s">
        <v>1330</v>
      </c>
      <c r="E1996" s="248">
        <v>-3800</v>
      </c>
      <c r="F1996" s="249" t="s">
        <v>8</v>
      </c>
      <c r="G1996" s="254" t="s">
        <v>186</v>
      </c>
    </row>
    <row r="1997" spans="1:7" s="250" customFormat="1" x14ac:dyDescent="0.3">
      <c r="A1997" s="251">
        <v>45929</v>
      </c>
      <c r="B1997" s="316" t="s">
        <v>208</v>
      </c>
      <c r="C1997" s="293" t="s">
        <v>31</v>
      </c>
      <c r="D1997" s="293" t="s">
        <v>1329</v>
      </c>
      <c r="E1997" s="248">
        <v>-1000</v>
      </c>
      <c r="F1997" s="249" t="s">
        <v>8</v>
      </c>
      <c r="G1997" s="254" t="s">
        <v>186</v>
      </c>
    </row>
    <row r="1998" spans="1:7" s="250" customFormat="1" x14ac:dyDescent="0.3">
      <c r="A1998" s="251">
        <v>45929</v>
      </c>
      <c r="B1998" s="316" t="s">
        <v>208</v>
      </c>
      <c r="C1998" s="293" t="s">
        <v>6</v>
      </c>
      <c r="D1998" s="293" t="s">
        <v>1543</v>
      </c>
      <c r="E1998" s="248">
        <v>-40</v>
      </c>
      <c r="F1998" s="249" t="s">
        <v>8</v>
      </c>
      <c r="G1998" s="254" t="s">
        <v>186</v>
      </c>
    </row>
    <row r="1999" spans="1:7" s="139" customFormat="1" ht="12.6" hidden="1" customHeight="1" x14ac:dyDescent="0.3">
      <c r="A1999" s="78">
        <v>45932</v>
      </c>
      <c r="B1999" s="100" t="s">
        <v>211</v>
      </c>
      <c r="C1999" s="14" t="s">
        <v>25</v>
      </c>
      <c r="D1999" s="14" t="s">
        <v>1544</v>
      </c>
      <c r="E1999" s="8">
        <v>-2079.2399999999998</v>
      </c>
      <c r="F1999" s="13" t="s">
        <v>8</v>
      </c>
      <c r="G1999" s="354" t="s">
        <v>186</v>
      </c>
    </row>
    <row r="2000" spans="1:7" s="250" customFormat="1" x14ac:dyDescent="0.3">
      <c r="A2000" s="251">
        <v>45929</v>
      </c>
      <c r="B2000" s="316" t="s">
        <v>208</v>
      </c>
      <c r="C2000" s="296" t="s">
        <v>17</v>
      </c>
      <c r="D2000" s="293" t="s">
        <v>1566</v>
      </c>
      <c r="E2000" s="248">
        <v>-136.44</v>
      </c>
      <c r="F2000" s="249" t="s">
        <v>8</v>
      </c>
      <c r="G2000" s="255" t="s">
        <v>227</v>
      </c>
    </row>
    <row r="2001" spans="1:8" s="250" customFormat="1" x14ac:dyDescent="0.3">
      <c r="A2001" s="251">
        <v>45929</v>
      </c>
      <c r="B2001" s="316" t="s">
        <v>208</v>
      </c>
      <c r="C2001" s="339" t="s">
        <v>17</v>
      </c>
      <c r="D2001" s="293" t="s">
        <v>1542</v>
      </c>
      <c r="E2001" s="248">
        <v>-240.59</v>
      </c>
      <c r="F2001" s="249" t="s">
        <v>8</v>
      </c>
      <c r="G2001" s="255" t="s">
        <v>75</v>
      </c>
    </row>
    <row r="2002" spans="1:8" s="250" customFormat="1" x14ac:dyDescent="0.3">
      <c r="A2002" s="251">
        <v>45929</v>
      </c>
      <c r="B2002" s="316" t="s">
        <v>208</v>
      </c>
      <c r="C2002" s="296" t="s">
        <v>71</v>
      </c>
      <c r="D2002" s="293" t="s">
        <v>1572</v>
      </c>
      <c r="E2002" s="248">
        <v>-1101.8399999999999</v>
      </c>
      <c r="F2002" s="249" t="s">
        <v>8</v>
      </c>
      <c r="G2002" s="255" t="s">
        <v>227</v>
      </c>
    </row>
    <row r="2003" spans="1:8" s="250" customFormat="1" x14ac:dyDescent="0.3">
      <c r="A2003" s="251">
        <v>45929</v>
      </c>
      <c r="B2003" s="316" t="s">
        <v>208</v>
      </c>
      <c r="C2003" s="296" t="s">
        <v>44</v>
      </c>
      <c r="D2003" s="293" t="s">
        <v>1567</v>
      </c>
      <c r="E2003" s="248">
        <v>-2510.4499999999998</v>
      </c>
      <c r="F2003" s="249" t="s">
        <v>8</v>
      </c>
      <c r="G2003" s="255" t="s">
        <v>227</v>
      </c>
    </row>
    <row r="2004" spans="1:8" s="250" customFormat="1" x14ac:dyDescent="0.3">
      <c r="A2004" s="251">
        <v>45929</v>
      </c>
      <c r="B2004" s="316" t="s">
        <v>208</v>
      </c>
      <c r="C2004" s="296" t="s">
        <v>71</v>
      </c>
      <c r="D2004" s="293" t="s">
        <v>1450</v>
      </c>
      <c r="E2004" s="248">
        <v>-354.28</v>
      </c>
      <c r="F2004" s="249" t="s">
        <v>8</v>
      </c>
      <c r="G2004" s="255" t="s">
        <v>227</v>
      </c>
    </row>
    <row r="2005" spans="1:8" s="250" customFormat="1" x14ac:dyDescent="0.3">
      <c r="A2005" s="251">
        <v>45929</v>
      </c>
      <c r="B2005" s="316" t="s">
        <v>208</v>
      </c>
      <c r="C2005" s="296" t="s">
        <v>1571</v>
      </c>
      <c r="D2005" s="293" t="s">
        <v>1570</v>
      </c>
      <c r="E2005" s="248">
        <v>-70</v>
      </c>
      <c r="F2005" s="249" t="s">
        <v>8</v>
      </c>
      <c r="G2005" s="255" t="s">
        <v>111</v>
      </c>
    </row>
    <row r="2006" spans="1:8" s="250" customFormat="1" x14ac:dyDescent="0.3">
      <c r="A2006" s="251">
        <v>45929</v>
      </c>
      <c r="B2006" s="316" t="s">
        <v>208</v>
      </c>
      <c r="C2006" s="296" t="s">
        <v>31</v>
      </c>
      <c r="D2006" s="293" t="s">
        <v>1569</v>
      </c>
      <c r="E2006" s="248">
        <v>-165</v>
      </c>
      <c r="F2006" s="249" t="s">
        <v>8</v>
      </c>
      <c r="G2006" s="255" t="s">
        <v>111</v>
      </c>
    </row>
    <row r="2007" spans="1:8" s="250" customFormat="1" x14ac:dyDescent="0.3">
      <c r="A2007" s="251">
        <v>45929</v>
      </c>
      <c r="B2007" s="316" t="s">
        <v>208</v>
      </c>
      <c r="C2007" s="293" t="s">
        <v>32</v>
      </c>
      <c r="D2007" s="293" t="s">
        <v>654</v>
      </c>
      <c r="E2007" s="248">
        <v>-2487.16</v>
      </c>
      <c r="F2007" s="249" t="s">
        <v>8</v>
      </c>
      <c r="G2007" s="254" t="s">
        <v>82</v>
      </c>
    </row>
    <row r="2008" spans="1:8" s="250" customFormat="1" x14ac:dyDescent="0.3">
      <c r="A2008" s="251">
        <v>45929</v>
      </c>
      <c r="B2008" s="316" t="s">
        <v>208</v>
      </c>
      <c r="C2008" s="293" t="s">
        <v>25</v>
      </c>
      <c r="D2008" s="293" t="s">
        <v>1577</v>
      </c>
      <c r="E2008" s="248">
        <v>-2517.84</v>
      </c>
      <c r="F2008" s="249" t="s">
        <v>8</v>
      </c>
      <c r="G2008" s="254" t="s">
        <v>153</v>
      </c>
    </row>
    <row r="2009" spans="1:8" s="250" customFormat="1" x14ac:dyDescent="0.3">
      <c r="A2009" s="251">
        <v>45929</v>
      </c>
      <c r="B2009" s="316" t="s">
        <v>208</v>
      </c>
      <c r="C2009" s="293" t="s">
        <v>25</v>
      </c>
      <c r="D2009" s="293" t="s">
        <v>1578</v>
      </c>
      <c r="E2009" s="248">
        <v>-355</v>
      </c>
      <c r="F2009" s="249" t="s">
        <v>8</v>
      </c>
      <c r="G2009" s="254" t="s">
        <v>153</v>
      </c>
    </row>
    <row r="2010" spans="1:8" s="250" customFormat="1" x14ac:dyDescent="0.3">
      <c r="A2010" s="251">
        <v>45929</v>
      </c>
      <c r="B2010" s="316" t="s">
        <v>208</v>
      </c>
      <c r="C2010" s="293" t="s">
        <v>30</v>
      </c>
      <c r="D2010" s="293" t="s">
        <v>1575</v>
      </c>
      <c r="E2010" s="248">
        <v>-70.34</v>
      </c>
      <c r="F2010" s="249" t="s">
        <v>8</v>
      </c>
      <c r="G2010" s="254" t="s">
        <v>1574</v>
      </c>
    </row>
    <row r="2011" spans="1:8" s="250" customFormat="1" x14ac:dyDescent="0.3">
      <c r="A2011" s="251">
        <v>45929</v>
      </c>
      <c r="B2011" s="316" t="s">
        <v>208</v>
      </c>
      <c r="C2011" s="293" t="s">
        <v>32</v>
      </c>
      <c r="D2011" s="293" t="s">
        <v>1576</v>
      </c>
      <c r="E2011" s="248">
        <v>-70.34</v>
      </c>
      <c r="F2011" s="249" t="s">
        <v>8</v>
      </c>
      <c r="G2011" s="254" t="s">
        <v>1574</v>
      </c>
    </row>
    <row r="2012" spans="1:8" s="250" customFormat="1" x14ac:dyDescent="0.3">
      <c r="A2012" s="251">
        <v>45929</v>
      </c>
      <c r="B2012" s="316" t="s">
        <v>208</v>
      </c>
      <c r="C2012" s="293" t="s">
        <v>25</v>
      </c>
      <c r="D2012" s="293" t="s">
        <v>1573</v>
      </c>
      <c r="E2012" s="248">
        <v>-61.28</v>
      </c>
      <c r="F2012" s="249" t="s">
        <v>8</v>
      </c>
      <c r="G2012" s="255" t="s">
        <v>227</v>
      </c>
    </row>
    <row r="2013" spans="1:8" s="250" customFormat="1" x14ac:dyDescent="0.3">
      <c r="A2013" s="251">
        <v>45929</v>
      </c>
      <c r="B2013" s="316" t="s">
        <v>208</v>
      </c>
      <c r="C2013" s="422" t="s">
        <v>6</v>
      </c>
      <c r="D2013" s="299" t="s">
        <v>1580</v>
      </c>
      <c r="E2013" s="317">
        <v>-35714.57</v>
      </c>
      <c r="F2013" s="255" t="s">
        <v>8</v>
      </c>
      <c r="G2013" s="254" t="s">
        <v>46</v>
      </c>
      <c r="H2013" s="320"/>
    </row>
    <row r="2014" spans="1:8" s="139" customFormat="1" hidden="1" x14ac:dyDescent="0.3">
      <c r="A2014" s="146">
        <v>45957</v>
      </c>
      <c r="B2014" s="146" t="s">
        <v>211</v>
      </c>
      <c r="C2014" s="15" t="s">
        <v>6</v>
      </c>
      <c r="D2014" s="4" t="s">
        <v>112</v>
      </c>
      <c r="E2014" s="16">
        <v>-35714.57</v>
      </c>
      <c r="F2014" s="24" t="s">
        <v>8</v>
      </c>
      <c r="G2014" s="70" t="s">
        <v>46</v>
      </c>
    </row>
    <row r="2015" spans="1:8" s="139" customFormat="1" hidden="1" x14ac:dyDescent="0.3">
      <c r="A2015" s="100">
        <v>45940</v>
      </c>
      <c r="B2015" s="100" t="s">
        <v>211</v>
      </c>
      <c r="C2015" s="12" t="s">
        <v>13</v>
      </c>
      <c r="D2015" s="4" t="s">
        <v>50</v>
      </c>
      <c r="E2015" s="16">
        <v>-9000</v>
      </c>
      <c r="F2015" s="13" t="s">
        <v>8</v>
      </c>
      <c r="G2015" s="5" t="s">
        <v>51</v>
      </c>
    </row>
    <row r="2016" spans="1:8" s="139" customFormat="1" hidden="1" x14ac:dyDescent="0.3">
      <c r="A2016" s="78">
        <v>45932</v>
      </c>
      <c r="B2016" s="100" t="s">
        <v>211</v>
      </c>
      <c r="C2016" s="14" t="s">
        <v>25</v>
      </c>
      <c r="D2016" s="14" t="s">
        <v>1612</v>
      </c>
      <c r="E2016" s="273">
        <v>-40</v>
      </c>
      <c r="F2016" s="13" t="s">
        <v>8</v>
      </c>
      <c r="G2016" s="5" t="s">
        <v>111</v>
      </c>
    </row>
    <row r="2017" spans="1:7" s="139" customFormat="1" hidden="1" x14ac:dyDescent="0.3">
      <c r="A2017" s="78">
        <v>45932</v>
      </c>
      <c r="B2017" s="100" t="s">
        <v>211</v>
      </c>
      <c r="C2017" s="14" t="s">
        <v>17</v>
      </c>
      <c r="D2017" s="14" t="s">
        <v>1613</v>
      </c>
      <c r="E2017" s="273">
        <v>-130</v>
      </c>
      <c r="F2017" s="13" t="s">
        <v>8</v>
      </c>
      <c r="G2017" s="5" t="s">
        <v>111</v>
      </c>
    </row>
    <row r="2018" spans="1:7" s="139" customFormat="1" hidden="1" x14ac:dyDescent="0.3">
      <c r="A2018" s="100">
        <v>45932</v>
      </c>
      <c r="B2018" s="100" t="s">
        <v>211</v>
      </c>
      <c r="C2018" s="12" t="s">
        <v>13</v>
      </c>
      <c r="D2018" s="4" t="s">
        <v>16</v>
      </c>
      <c r="E2018" s="16">
        <v>-1500</v>
      </c>
      <c r="F2018" s="13" t="s">
        <v>8</v>
      </c>
      <c r="G2018" s="5" t="s">
        <v>15</v>
      </c>
    </row>
    <row r="2019" spans="1:7" s="139" customFormat="1" hidden="1" x14ac:dyDescent="0.3">
      <c r="A2019" s="100">
        <v>45932</v>
      </c>
      <c r="B2019" s="100" t="s">
        <v>211</v>
      </c>
      <c r="C2019" s="12" t="s">
        <v>13</v>
      </c>
      <c r="D2019" s="4" t="s">
        <v>14</v>
      </c>
      <c r="E2019" s="16">
        <v>-1500</v>
      </c>
      <c r="F2019" s="13" t="s">
        <v>8</v>
      </c>
      <c r="G2019" s="5" t="s">
        <v>15</v>
      </c>
    </row>
    <row r="2020" spans="1:7" s="139" customFormat="1" hidden="1" x14ac:dyDescent="0.3">
      <c r="A2020" s="100">
        <v>45945</v>
      </c>
      <c r="B2020" s="100" t="s">
        <v>211</v>
      </c>
      <c r="C2020" s="6" t="s">
        <v>31</v>
      </c>
      <c r="D2020" s="104" t="s">
        <v>91</v>
      </c>
      <c r="E2020" s="16">
        <v>-2302.0500000000002</v>
      </c>
      <c r="F2020" s="13" t="s">
        <v>8</v>
      </c>
      <c r="G2020" s="5" t="s">
        <v>91</v>
      </c>
    </row>
    <row r="2021" spans="1:7" s="139" customFormat="1" hidden="1" x14ac:dyDescent="0.3">
      <c r="A2021" s="100">
        <v>45945</v>
      </c>
      <c r="B2021" s="100" t="s">
        <v>211</v>
      </c>
      <c r="C2021" s="15" t="s">
        <v>25</v>
      </c>
      <c r="D2021" s="104" t="s">
        <v>91</v>
      </c>
      <c r="E2021" s="16">
        <v>-1248.99</v>
      </c>
      <c r="F2021" s="13" t="s">
        <v>8</v>
      </c>
      <c r="G2021" s="5" t="s">
        <v>91</v>
      </c>
    </row>
    <row r="2022" spans="1:7" s="139" customFormat="1" hidden="1" x14ac:dyDescent="0.3">
      <c r="A2022" s="100">
        <v>45945</v>
      </c>
      <c r="B2022" s="100" t="s">
        <v>211</v>
      </c>
      <c r="C2022" s="12" t="s">
        <v>17</v>
      </c>
      <c r="D2022" s="4" t="s">
        <v>1623</v>
      </c>
      <c r="E2022" s="16">
        <v>-12000</v>
      </c>
      <c r="F2022" s="13" t="s">
        <v>8</v>
      </c>
      <c r="G2022" s="5" t="s">
        <v>91</v>
      </c>
    </row>
    <row r="2023" spans="1:7" s="139" customFormat="1" hidden="1" x14ac:dyDescent="0.3">
      <c r="A2023" s="100">
        <v>45940</v>
      </c>
      <c r="B2023" s="100" t="s">
        <v>211</v>
      </c>
      <c r="C2023" s="12" t="s">
        <v>93</v>
      </c>
      <c r="D2023" s="4" t="s">
        <v>1622</v>
      </c>
      <c r="E2023" s="16">
        <v>-1917.95</v>
      </c>
      <c r="F2023" s="13" t="s">
        <v>8</v>
      </c>
      <c r="G2023" s="5" t="s">
        <v>58</v>
      </c>
    </row>
    <row r="2024" spans="1:7" s="139" customFormat="1" hidden="1" x14ac:dyDescent="0.3">
      <c r="A2024" s="100">
        <v>45953</v>
      </c>
      <c r="B2024" s="100" t="s">
        <v>211</v>
      </c>
      <c r="C2024" s="12" t="s">
        <v>25</v>
      </c>
      <c r="D2024" s="4" t="s">
        <v>194</v>
      </c>
      <c r="E2024" s="16">
        <v>-7000</v>
      </c>
      <c r="F2024" s="13" t="s">
        <v>8</v>
      </c>
      <c r="G2024" s="9" t="s">
        <v>46</v>
      </c>
    </row>
    <row r="2025" spans="1:7" s="139" customFormat="1" hidden="1" x14ac:dyDescent="0.3">
      <c r="A2025" s="100">
        <v>45953</v>
      </c>
      <c r="B2025" s="100" t="s">
        <v>211</v>
      </c>
      <c r="C2025" s="12" t="s">
        <v>31</v>
      </c>
      <c r="D2025" s="4" t="s">
        <v>578</v>
      </c>
      <c r="E2025" s="16">
        <v>-7000</v>
      </c>
      <c r="F2025" s="13" t="s">
        <v>8</v>
      </c>
      <c r="G2025" s="9" t="s">
        <v>46</v>
      </c>
    </row>
    <row r="2026" spans="1:7" s="139" customFormat="1" hidden="1" x14ac:dyDescent="0.3">
      <c r="A2026" s="100">
        <v>45945</v>
      </c>
      <c r="B2026" s="100" t="s">
        <v>211</v>
      </c>
      <c r="C2026" s="15" t="s">
        <v>64</v>
      </c>
      <c r="D2026" s="4" t="s">
        <v>95</v>
      </c>
      <c r="E2026" s="16">
        <v>-877.96</v>
      </c>
      <c r="F2026" s="5" t="s">
        <v>8</v>
      </c>
      <c r="G2026" s="5" t="s">
        <v>39</v>
      </c>
    </row>
    <row r="2027" spans="1:7" s="139" customFormat="1" hidden="1" x14ac:dyDescent="0.3">
      <c r="A2027" s="78">
        <v>45961</v>
      </c>
      <c r="B2027" s="100" t="s">
        <v>211</v>
      </c>
      <c r="C2027" s="15" t="s">
        <v>64</v>
      </c>
      <c r="D2027" s="4" t="s">
        <v>95</v>
      </c>
      <c r="E2027" s="16">
        <v>-5000</v>
      </c>
      <c r="F2027" s="5" t="s">
        <v>8</v>
      </c>
      <c r="G2027" s="5" t="s">
        <v>39</v>
      </c>
    </row>
    <row r="2028" spans="1:7" s="139" customFormat="1" hidden="1" x14ac:dyDescent="0.3">
      <c r="A2028" s="100">
        <v>45947</v>
      </c>
      <c r="B2028" s="146" t="s">
        <v>211</v>
      </c>
      <c r="C2028" s="108" t="s">
        <v>17</v>
      </c>
      <c r="D2028" s="109" t="s">
        <v>140</v>
      </c>
      <c r="E2028" s="101">
        <v>-9980</v>
      </c>
      <c r="F2028" s="13" t="s">
        <v>8</v>
      </c>
      <c r="G2028" s="5" t="s">
        <v>58</v>
      </c>
    </row>
    <row r="2029" spans="1:7" s="139" customFormat="1" hidden="1" x14ac:dyDescent="0.3">
      <c r="A2029" s="100">
        <v>45954</v>
      </c>
      <c r="B2029" s="100" t="s">
        <v>211</v>
      </c>
      <c r="C2029" s="12" t="s">
        <v>17</v>
      </c>
      <c r="D2029" s="4" t="s">
        <v>140</v>
      </c>
      <c r="E2029" s="16">
        <v>-9980</v>
      </c>
      <c r="F2029" s="13" t="s">
        <v>8</v>
      </c>
      <c r="G2029" s="5" t="s">
        <v>58</v>
      </c>
    </row>
    <row r="2030" spans="1:7" s="139" customFormat="1" hidden="1" x14ac:dyDescent="0.3">
      <c r="A2030" s="78">
        <v>45961</v>
      </c>
      <c r="B2030" s="100" t="s">
        <v>211</v>
      </c>
      <c r="C2030" s="12" t="s">
        <v>17</v>
      </c>
      <c r="D2030" s="4" t="s">
        <v>140</v>
      </c>
      <c r="E2030" s="16">
        <v>-23498.18</v>
      </c>
      <c r="F2030" s="13" t="s">
        <v>8</v>
      </c>
      <c r="G2030" s="5" t="s">
        <v>58</v>
      </c>
    </row>
    <row r="2031" spans="1:7" s="139" customFormat="1" hidden="1" x14ac:dyDescent="0.3">
      <c r="A2031" s="78">
        <v>45952</v>
      </c>
      <c r="B2031" s="146" t="s">
        <v>211</v>
      </c>
      <c r="C2031" s="572" t="s">
        <v>44</v>
      </c>
      <c r="D2031" s="14" t="s">
        <v>204</v>
      </c>
      <c r="E2031" s="8">
        <v>-4057.4</v>
      </c>
      <c r="F2031" s="13" t="s">
        <v>8</v>
      </c>
      <c r="G2031" s="9" t="s">
        <v>227</v>
      </c>
    </row>
    <row r="2032" spans="1:7" s="139" customFormat="1" hidden="1" x14ac:dyDescent="0.3">
      <c r="A2032" s="78">
        <v>45952</v>
      </c>
      <c r="B2032" s="146" t="s">
        <v>211</v>
      </c>
      <c r="C2032" s="572" t="s">
        <v>71</v>
      </c>
      <c r="D2032" s="14" t="s">
        <v>1326</v>
      </c>
      <c r="E2032" s="8">
        <v>-643.77007900000001</v>
      </c>
      <c r="F2032" s="13" t="s">
        <v>8</v>
      </c>
      <c r="G2032" s="9" t="s">
        <v>227</v>
      </c>
    </row>
    <row r="2033" spans="1:7" s="139" customFormat="1" hidden="1" x14ac:dyDescent="0.3">
      <c r="A2033" s="78">
        <v>45952</v>
      </c>
      <c r="B2033" s="146" t="s">
        <v>211</v>
      </c>
      <c r="C2033" s="572" t="s">
        <v>71</v>
      </c>
      <c r="D2033" s="14" t="s">
        <v>205</v>
      </c>
      <c r="E2033" s="8">
        <v>-1420.97</v>
      </c>
      <c r="F2033" s="13" t="s">
        <v>8</v>
      </c>
      <c r="G2033" s="9" t="s">
        <v>227</v>
      </c>
    </row>
    <row r="2034" spans="1:7" s="139" customFormat="1" hidden="1" x14ac:dyDescent="0.3">
      <c r="A2034" s="78">
        <v>45952</v>
      </c>
      <c r="B2034" s="146" t="s">
        <v>211</v>
      </c>
      <c r="C2034" s="572" t="s">
        <v>17</v>
      </c>
      <c r="D2034" s="14" t="s">
        <v>389</v>
      </c>
      <c r="E2034" s="8">
        <v>-9.8528009999999995</v>
      </c>
      <c r="F2034" s="13" t="s">
        <v>8</v>
      </c>
      <c r="G2034" s="9" t="s">
        <v>227</v>
      </c>
    </row>
    <row r="2035" spans="1:7" s="139" customFormat="1" hidden="1" x14ac:dyDescent="0.3">
      <c r="A2035" s="78">
        <v>45952</v>
      </c>
      <c r="B2035" s="146" t="s">
        <v>211</v>
      </c>
      <c r="C2035" s="572" t="s">
        <v>17</v>
      </c>
      <c r="D2035" s="14" t="s">
        <v>389</v>
      </c>
      <c r="E2035" s="8">
        <v>-55.277199000000003</v>
      </c>
      <c r="F2035" s="13" t="s">
        <v>8</v>
      </c>
      <c r="G2035" s="9" t="s">
        <v>227</v>
      </c>
    </row>
    <row r="2036" spans="1:7" s="139" customFormat="1" hidden="1" x14ac:dyDescent="0.3">
      <c r="A2036" s="78">
        <v>45952</v>
      </c>
      <c r="B2036" s="146" t="s">
        <v>211</v>
      </c>
      <c r="C2036" s="286" t="s">
        <v>71</v>
      </c>
      <c r="D2036" s="286" t="s">
        <v>1625</v>
      </c>
      <c r="E2036" s="276">
        <v>-427.46</v>
      </c>
      <c r="F2036" s="13" t="s">
        <v>8</v>
      </c>
      <c r="G2036" s="9" t="s">
        <v>1626</v>
      </c>
    </row>
    <row r="2037" spans="1:7" s="139" customFormat="1" hidden="1" x14ac:dyDescent="0.3">
      <c r="A2037" s="78">
        <v>45952</v>
      </c>
      <c r="B2037" s="146" t="s">
        <v>211</v>
      </c>
      <c r="C2037" s="6" t="s">
        <v>17</v>
      </c>
      <c r="D2037" s="4" t="s">
        <v>131</v>
      </c>
      <c r="E2037" s="16">
        <v>-1700</v>
      </c>
      <c r="F2037" s="13" t="s">
        <v>8</v>
      </c>
      <c r="G2037" s="5" t="s">
        <v>132</v>
      </c>
    </row>
    <row r="2038" spans="1:7" hidden="1" x14ac:dyDescent="0.3">
      <c r="A2038" s="123">
        <v>45943</v>
      </c>
      <c r="B2038" s="123" t="s">
        <v>211</v>
      </c>
      <c r="C2038" s="120" t="s">
        <v>170</v>
      </c>
      <c r="D2038" s="29" t="s">
        <v>172</v>
      </c>
      <c r="E2038" s="121">
        <v>4880.1400000000003</v>
      </c>
      <c r="F2038" s="55" t="s">
        <v>161</v>
      </c>
      <c r="G2038" s="61" t="s">
        <v>162</v>
      </c>
    </row>
    <row r="2039" spans="1:7" s="139" customFormat="1" hidden="1" x14ac:dyDescent="0.3">
      <c r="A2039" s="100">
        <v>45936</v>
      </c>
      <c r="B2039" s="100" t="s">
        <v>211</v>
      </c>
      <c r="C2039" s="15" t="s">
        <v>35</v>
      </c>
      <c r="D2039" s="4" t="s">
        <v>36</v>
      </c>
      <c r="E2039" s="16">
        <v>-3000</v>
      </c>
      <c r="F2039" s="13" t="s">
        <v>8</v>
      </c>
      <c r="G2039" s="5" t="s">
        <v>37</v>
      </c>
    </row>
    <row r="2040" spans="1:7" s="139" customFormat="1" hidden="1" x14ac:dyDescent="0.3">
      <c r="A2040" s="100">
        <v>45950</v>
      </c>
      <c r="B2040" s="100" t="s">
        <v>211</v>
      </c>
      <c r="C2040" s="6" t="s">
        <v>17</v>
      </c>
      <c r="D2040" s="7" t="s">
        <v>126</v>
      </c>
      <c r="E2040" s="16">
        <v>-3000</v>
      </c>
      <c r="F2040" s="13" t="s">
        <v>8</v>
      </c>
      <c r="G2040" s="105" t="s">
        <v>124</v>
      </c>
    </row>
    <row r="2041" spans="1:7" s="139" customFormat="1" hidden="1" x14ac:dyDescent="0.3">
      <c r="A2041" s="100">
        <v>45950</v>
      </c>
      <c r="B2041" s="100" t="s">
        <v>211</v>
      </c>
      <c r="C2041" s="6" t="s">
        <v>17</v>
      </c>
      <c r="D2041" s="7" t="s">
        <v>125</v>
      </c>
      <c r="E2041" s="16">
        <v>-15000</v>
      </c>
      <c r="F2041" s="13" t="s">
        <v>8</v>
      </c>
      <c r="G2041" s="105" t="s">
        <v>124</v>
      </c>
    </row>
    <row r="2042" spans="1:7" s="139" customFormat="1" hidden="1" x14ac:dyDescent="0.3">
      <c r="A2042" s="113">
        <v>45950</v>
      </c>
      <c r="B2042" s="113" t="s">
        <v>211</v>
      </c>
      <c r="C2042" s="106" t="s">
        <v>6</v>
      </c>
      <c r="D2042" s="76" t="s">
        <v>128</v>
      </c>
      <c r="E2042" s="16">
        <v>-50000</v>
      </c>
      <c r="F2042" s="27" t="s">
        <v>8</v>
      </c>
      <c r="G2042" s="180" t="s">
        <v>124</v>
      </c>
    </row>
    <row r="2043" spans="1:7" hidden="1" x14ac:dyDescent="0.3">
      <c r="A2043" s="123">
        <v>45943</v>
      </c>
      <c r="B2043" s="123" t="s">
        <v>211</v>
      </c>
      <c r="C2043" s="120" t="s">
        <v>174</v>
      </c>
      <c r="D2043" s="29" t="s">
        <v>175</v>
      </c>
      <c r="E2043" s="58">
        <v>257.81</v>
      </c>
      <c r="F2043" s="55" t="s">
        <v>161</v>
      </c>
      <c r="G2043" s="61" t="s">
        <v>162</v>
      </c>
    </row>
    <row r="2044" spans="1:7" s="139" customFormat="1" hidden="1" x14ac:dyDescent="0.3">
      <c r="A2044" s="189">
        <v>45961</v>
      </c>
      <c r="B2044" s="100" t="s">
        <v>211</v>
      </c>
      <c r="C2044" s="12" t="s">
        <v>17</v>
      </c>
      <c r="D2044" s="14" t="s">
        <v>690</v>
      </c>
      <c r="E2044" s="16">
        <v>-56900</v>
      </c>
      <c r="F2044" s="80" t="s">
        <v>8</v>
      </c>
      <c r="G2044" s="80" t="s">
        <v>153</v>
      </c>
    </row>
    <row r="2045" spans="1:7" s="139" customFormat="1" hidden="1" x14ac:dyDescent="0.3">
      <c r="A2045" s="189">
        <v>45989</v>
      </c>
      <c r="B2045" s="188" t="s">
        <v>212</v>
      </c>
      <c r="C2045" s="192" t="s">
        <v>17</v>
      </c>
      <c r="D2045" s="102" t="s">
        <v>690</v>
      </c>
      <c r="E2045" s="196">
        <v>-56900</v>
      </c>
      <c r="F2045" s="80" t="s">
        <v>8</v>
      </c>
      <c r="G2045" s="80" t="s">
        <v>153</v>
      </c>
    </row>
    <row r="2046" spans="1:7" hidden="1" x14ac:dyDescent="0.3">
      <c r="A2046" s="123">
        <v>45931</v>
      </c>
      <c r="B2046" s="123" t="s">
        <v>211</v>
      </c>
      <c r="C2046" s="120" t="s">
        <v>163</v>
      </c>
      <c r="D2046" s="29" t="s">
        <v>164</v>
      </c>
      <c r="E2046" s="53">
        <v>1200</v>
      </c>
      <c r="F2046" s="55" t="s">
        <v>161</v>
      </c>
      <c r="G2046" s="61" t="s">
        <v>162</v>
      </c>
    </row>
    <row r="2047" spans="1:7" hidden="1" x14ac:dyDescent="0.3">
      <c r="A2047" s="123">
        <v>45931</v>
      </c>
      <c r="B2047" s="123" t="s">
        <v>211</v>
      </c>
      <c r="C2047" s="120" t="s">
        <v>163</v>
      </c>
      <c r="D2047" s="29" t="s">
        <v>164</v>
      </c>
      <c r="E2047" s="53">
        <v>799.2</v>
      </c>
      <c r="F2047" s="55" t="s">
        <v>161</v>
      </c>
      <c r="G2047" s="61" t="s">
        <v>162</v>
      </c>
    </row>
    <row r="2048" spans="1:7" hidden="1" x14ac:dyDescent="0.3">
      <c r="A2048" s="123">
        <v>45931</v>
      </c>
      <c r="B2048" s="123" t="s">
        <v>211</v>
      </c>
      <c r="C2048" s="120" t="s">
        <v>163</v>
      </c>
      <c r="D2048" s="29" t="s">
        <v>164</v>
      </c>
      <c r="E2048" s="53">
        <v>18532.8</v>
      </c>
      <c r="F2048" s="55" t="s">
        <v>161</v>
      </c>
      <c r="G2048" s="61" t="s">
        <v>162</v>
      </c>
    </row>
    <row r="2049" spans="1:7" s="139" customFormat="1" hidden="1" x14ac:dyDescent="0.3">
      <c r="A2049" s="100">
        <v>45931</v>
      </c>
      <c r="B2049" s="100" t="s">
        <v>211</v>
      </c>
      <c r="C2049" s="12" t="s">
        <v>6</v>
      </c>
      <c r="D2049" s="4" t="s">
        <v>12</v>
      </c>
      <c r="E2049" s="16">
        <v>-202.51</v>
      </c>
      <c r="F2049" s="110" t="s">
        <v>8</v>
      </c>
      <c r="G2049" s="24" t="s">
        <v>9</v>
      </c>
    </row>
    <row r="2050" spans="1:7" s="139" customFormat="1" hidden="1" x14ac:dyDescent="0.3">
      <c r="A2050" s="100">
        <v>45931</v>
      </c>
      <c r="B2050" s="100" t="s">
        <v>211</v>
      </c>
      <c r="C2050" s="15" t="s">
        <v>6</v>
      </c>
      <c r="D2050" s="4" t="s">
        <v>7</v>
      </c>
      <c r="E2050" s="16">
        <v>-437.54</v>
      </c>
      <c r="F2050" s="13" t="s">
        <v>8</v>
      </c>
      <c r="G2050" s="5" t="s">
        <v>9</v>
      </c>
    </row>
    <row r="2051" spans="1:7" s="139" customFormat="1" hidden="1" x14ac:dyDescent="0.3">
      <c r="A2051" s="100">
        <v>45931</v>
      </c>
      <c r="B2051" s="100" t="s">
        <v>211</v>
      </c>
      <c r="C2051" s="15" t="s">
        <v>6</v>
      </c>
      <c r="D2051" s="4" t="s">
        <v>10</v>
      </c>
      <c r="E2051" s="16">
        <v>-284.22000000000003</v>
      </c>
      <c r="F2051" s="13" t="s">
        <v>8</v>
      </c>
      <c r="G2051" s="5" t="s">
        <v>9</v>
      </c>
    </row>
    <row r="2052" spans="1:7" s="139" customFormat="1" hidden="1" x14ac:dyDescent="0.3">
      <c r="A2052" s="100">
        <v>45931</v>
      </c>
      <c r="B2052" s="100" t="s">
        <v>211</v>
      </c>
      <c r="C2052" s="15" t="s">
        <v>6</v>
      </c>
      <c r="D2052" s="4" t="s">
        <v>11</v>
      </c>
      <c r="E2052" s="16">
        <v>-138.03</v>
      </c>
      <c r="F2052" s="13" t="s">
        <v>8</v>
      </c>
      <c r="G2052" s="5" t="s">
        <v>9</v>
      </c>
    </row>
    <row r="2053" spans="1:7" s="139" customFormat="1" hidden="1" x14ac:dyDescent="0.3">
      <c r="A2053" s="100">
        <v>45946</v>
      </c>
      <c r="B2053" s="100" t="s">
        <v>211</v>
      </c>
      <c r="C2053" s="14" t="s">
        <v>31</v>
      </c>
      <c r="D2053" s="14" t="s">
        <v>197</v>
      </c>
      <c r="E2053" s="8">
        <v>-1239.92</v>
      </c>
      <c r="F2053" s="13" t="s">
        <v>8</v>
      </c>
      <c r="G2053" s="9" t="s">
        <v>85</v>
      </c>
    </row>
    <row r="2054" spans="1:7" s="139" customFormat="1" hidden="1" x14ac:dyDescent="0.3">
      <c r="A2054" s="100">
        <v>45946</v>
      </c>
      <c r="B2054" s="100" t="s">
        <v>211</v>
      </c>
      <c r="C2054" s="14" t="s">
        <v>6</v>
      </c>
      <c r="D2054" s="14" t="s">
        <v>197</v>
      </c>
      <c r="E2054" s="8">
        <v>-1627.39</v>
      </c>
      <c r="F2054" s="13" t="s">
        <v>8</v>
      </c>
      <c r="G2054" s="9" t="s">
        <v>85</v>
      </c>
    </row>
    <row r="2055" spans="1:7" s="139" customFormat="1" hidden="1" x14ac:dyDescent="0.3">
      <c r="A2055" s="100">
        <v>45946</v>
      </c>
      <c r="B2055" s="100" t="s">
        <v>211</v>
      </c>
      <c r="C2055" s="14" t="s">
        <v>44</v>
      </c>
      <c r="D2055" s="14" t="s">
        <v>197</v>
      </c>
      <c r="E2055" s="8">
        <v>-1162.42</v>
      </c>
      <c r="F2055" s="13" t="s">
        <v>8</v>
      </c>
      <c r="G2055" s="9" t="s">
        <v>85</v>
      </c>
    </row>
    <row r="2056" spans="1:7" s="139" customFormat="1" hidden="1" x14ac:dyDescent="0.3">
      <c r="A2056" s="100">
        <v>45946</v>
      </c>
      <c r="B2056" s="100" t="s">
        <v>211</v>
      </c>
      <c r="C2056" s="14" t="s">
        <v>44</v>
      </c>
      <c r="D2056" s="14" t="s">
        <v>197</v>
      </c>
      <c r="E2056" s="8">
        <v>-3099.8</v>
      </c>
      <c r="F2056" s="13" t="s">
        <v>8</v>
      </c>
      <c r="G2056" s="9" t="s">
        <v>85</v>
      </c>
    </row>
    <row r="2057" spans="1:7" s="139" customFormat="1" hidden="1" x14ac:dyDescent="0.3">
      <c r="A2057" s="100">
        <v>45946</v>
      </c>
      <c r="B2057" s="100" t="s">
        <v>211</v>
      </c>
      <c r="C2057" s="14" t="s">
        <v>25</v>
      </c>
      <c r="D2057" s="14" t="s">
        <v>197</v>
      </c>
      <c r="E2057" s="8">
        <v>-3564.77</v>
      </c>
      <c r="F2057" s="13" t="s">
        <v>8</v>
      </c>
      <c r="G2057" s="9" t="s">
        <v>85</v>
      </c>
    </row>
    <row r="2058" spans="1:7" s="139" customFormat="1" hidden="1" x14ac:dyDescent="0.3">
      <c r="A2058" s="100">
        <v>45946</v>
      </c>
      <c r="B2058" s="100" t="s">
        <v>211</v>
      </c>
      <c r="C2058" s="14" t="s">
        <v>33</v>
      </c>
      <c r="D2058" s="14" t="s">
        <v>197</v>
      </c>
      <c r="E2058" s="8">
        <v>-929.94</v>
      </c>
      <c r="F2058" s="13" t="s">
        <v>8</v>
      </c>
      <c r="G2058" s="9" t="s">
        <v>85</v>
      </c>
    </row>
    <row r="2059" spans="1:7" s="139" customFormat="1" hidden="1" x14ac:dyDescent="0.3">
      <c r="A2059" s="100">
        <v>45946</v>
      </c>
      <c r="B2059" s="100" t="s">
        <v>211</v>
      </c>
      <c r="C2059" s="14" t="s">
        <v>104</v>
      </c>
      <c r="D2059" s="14" t="s">
        <v>197</v>
      </c>
      <c r="E2059" s="8">
        <v>-697.45</v>
      </c>
      <c r="F2059" s="13" t="s">
        <v>8</v>
      </c>
      <c r="G2059" s="9" t="s">
        <v>85</v>
      </c>
    </row>
    <row r="2060" spans="1:7" s="139" customFormat="1" hidden="1" x14ac:dyDescent="0.3">
      <c r="A2060" s="100">
        <v>45946</v>
      </c>
      <c r="B2060" s="100" t="s">
        <v>211</v>
      </c>
      <c r="C2060" s="14" t="s">
        <v>32</v>
      </c>
      <c r="D2060" s="14" t="s">
        <v>197</v>
      </c>
      <c r="E2060" s="8">
        <v>-2479.84</v>
      </c>
      <c r="F2060" s="13" t="s">
        <v>8</v>
      </c>
      <c r="G2060" s="9" t="s">
        <v>85</v>
      </c>
    </row>
    <row r="2061" spans="1:7" s="139" customFormat="1" hidden="1" x14ac:dyDescent="0.3">
      <c r="A2061" s="100">
        <v>45946</v>
      </c>
      <c r="B2061" s="100" t="s">
        <v>211</v>
      </c>
      <c r="C2061" s="14" t="s">
        <v>71</v>
      </c>
      <c r="D2061" s="14" t="s">
        <v>197</v>
      </c>
      <c r="E2061" s="8">
        <v>-1394.91</v>
      </c>
      <c r="F2061" s="13" t="s">
        <v>8</v>
      </c>
      <c r="G2061" s="9" t="s">
        <v>85</v>
      </c>
    </row>
    <row r="2062" spans="1:7" s="139" customFormat="1" hidden="1" x14ac:dyDescent="0.3">
      <c r="A2062" s="100">
        <v>45946</v>
      </c>
      <c r="B2062" s="100" t="s">
        <v>211</v>
      </c>
      <c r="C2062" s="14" t="s">
        <v>17</v>
      </c>
      <c r="D2062" s="14" t="s">
        <v>197</v>
      </c>
      <c r="E2062" s="8">
        <v>-619.96</v>
      </c>
      <c r="F2062" s="13" t="s">
        <v>8</v>
      </c>
      <c r="G2062" s="9" t="s">
        <v>85</v>
      </c>
    </row>
    <row r="2063" spans="1:7" s="139" customFormat="1" hidden="1" x14ac:dyDescent="0.3">
      <c r="A2063" s="100">
        <v>45950</v>
      </c>
      <c r="B2063" s="100" t="s">
        <v>211</v>
      </c>
      <c r="C2063" s="6" t="s">
        <v>31</v>
      </c>
      <c r="D2063" s="7" t="s">
        <v>197</v>
      </c>
      <c r="E2063" s="8">
        <v>-2324.85</v>
      </c>
      <c r="F2063" s="13" t="s">
        <v>8</v>
      </c>
      <c r="G2063" s="5" t="s">
        <v>85</v>
      </c>
    </row>
    <row r="2064" spans="1:7" s="139" customFormat="1" hidden="1" x14ac:dyDescent="0.3">
      <c r="A2064" s="100">
        <v>45950</v>
      </c>
      <c r="B2064" s="100" t="s">
        <v>211</v>
      </c>
      <c r="C2064" s="6" t="s">
        <v>6</v>
      </c>
      <c r="D2064" s="7" t="s">
        <v>197</v>
      </c>
      <c r="E2064" s="8">
        <v>-2944.81</v>
      </c>
      <c r="F2064" s="13" t="s">
        <v>8</v>
      </c>
      <c r="G2064" s="5" t="s">
        <v>85</v>
      </c>
    </row>
    <row r="2065" spans="1:7" s="139" customFormat="1" hidden="1" x14ac:dyDescent="0.3">
      <c r="A2065" s="100">
        <v>45950</v>
      </c>
      <c r="B2065" s="100" t="s">
        <v>211</v>
      </c>
      <c r="C2065" s="6" t="s">
        <v>44</v>
      </c>
      <c r="D2065" s="7" t="s">
        <v>197</v>
      </c>
      <c r="E2065" s="8">
        <v>-2867.32</v>
      </c>
      <c r="F2065" s="13" t="s">
        <v>8</v>
      </c>
      <c r="G2065" s="5" t="s">
        <v>85</v>
      </c>
    </row>
    <row r="2066" spans="1:7" s="139" customFormat="1" hidden="1" x14ac:dyDescent="0.3">
      <c r="A2066" s="100">
        <v>45950</v>
      </c>
      <c r="B2066" s="100" t="s">
        <v>211</v>
      </c>
      <c r="C2066" s="6" t="s">
        <v>44</v>
      </c>
      <c r="D2066" s="7" t="s">
        <v>197</v>
      </c>
      <c r="E2066" s="8">
        <v>-852.45</v>
      </c>
      <c r="F2066" s="13" t="s">
        <v>8</v>
      </c>
      <c r="G2066" s="5" t="s">
        <v>85</v>
      </c>
    </row>
    <row r="2067" spans="1:7" s="139" customFormat="1" hidden="1" x14ac:dyDescent="0.3">
      <c r="A2067" s="100">
        <v>45950</v>
      </c>
      <c r="B2067" s="100" t="s">
        <v>211</v>
      </c>
      <c r="C2067" s="6" t="s">
        <v>25</v>
      </c>
      <c r="D2067" s="7" t="s">
        <v>197</v>
      </c>
      <c r="E2067" s="8">
        <v>-2789.82</v>
      </c>
      <c r="F2067" s="13" t="s">
        <v>8</v>
      </c>
      <c r="G2067" s="5" t="s">
        <v>85</v>
      </c>
    </row>
    <row r="2068" spans="1:7" s="139" customFormat="1" hidden="1" x14ac:dyDescent="0.3">
      <c r="A2068" s="100">
        <v>45950</v>
      </c>
      <c r="B2068" s="100" t="s">
        <v>211</v>
      </c>
      <c r="C2068" s="6" t="s">
        <v>33</v>
      </c>
      <c r="D2068" s="7" t="s">
        <v>197</v>
      </c>
      <c r="E2068" s="8">
        <v>-852.45</v>
      </c>
      <c r="F2068" s="13" t="s">
        <v>8</v>
      </c>
      <c r="G2068" s="5" t="s">
        <v>85</v>
      </c>
    </row>
    <row r="2069" spans="1:7" s="139" customFormat="1" hidden="1" x14ac:dyDescent="0.3">
      <c r="A2069" s="100">
        <v>45950</v>
      </c>
      <c r="B2069" s="100" t="s">
        <v>211</v>
      </c>
      <c r="C2069" s="6" t="s">
        <v>104</v>
      </c>
      <c r="D2069" s="7" t="s">
        <v>197</v>
      </c>
      <c r="E2069" s="8">
        <v>-619.96</v>
      </c>
      <c r="F2069" s="13" t="s">
        <v>8</v>
      </c>
      <c r="G2069" s="5" t="s">
        <v>85</v>
      </c>
    </row>
    <row r="2070" spans="1:7" s="139" customFormat="1" hidden="1" x14ac:dyDescent="0.3">
      <c r="A2070" s="100">
        <v>45950</v>
      </c>
      <c r="B2070" s="100" t="s">
        <v>211</v>
      </c>
      <c r="C2070" s="6" t="s">
        <v>32</v>
      </c>
      <c r="D2070" s="7" t="s">
        <v>197</v>
      </c>
      <c r="E2070" s="8">
        <v>-154.99</v>
      </c>
      <c r="F2070" s="13" t="s">
        <v>8</v>
      </c>
      <c r="G2070" s="5" t="s">
        <v>85</v>
      </c>
    </row>
    <row r="2071" spans="1:7" s="139" customFormat="1" hidden="1" x14ac:dyDescent="0.3">
      <c r="A2071" s="100">
        <v>45950</v>
      </c>
      <c r="B2071" s="100" t="s">
        <v>211</v>
      </c>
      <c r="C2071" s="6" t="s">
        <v>71</v>
      </c>
      <c r="D2071" s="7" t="s">
        <v>197</v>
      </c>
      <c r="E2071" s="8">
        <v>-852.45</v>
      </c>
      <c r="F2071" s="13" t="s">
        <v>8</v>
      </c>
      <c r="G2071" s="5" t="s">
        <v>85</v>
      </c>
    </row>
    <row r="2072" spans="1:7" s="139" customFormat="1" hidden="1" x14ac:dyDescent="0.3">
      <c r="A2072" s="100">
        <v>45950</v>
      </c>
      <c r="B2072" s="100" t="s">
        <v>211</v>
      </c>
      <c r="C2072" s="6" t="s">
        <v>17</v>
      </c>
      <c r="D2072" s="7" t="s">
        <v>197</v>
      </c>
      <c r="E2072" s="8">
        <v>-77.5</v>
      </c>
      <c r="F2072" s="13" t="s">
        <v>8</v>
      </c>
      <c r="G2072" s="5" t="s">
        <v>85</v>
      </c>
    </row>
    <row r="2073" spans="1:7" s="139" customFormat="1" hidden="1" x14ac:dyDescent="0.3">
      <c r="A2073" s="100">
        <v>45944</v>
      </c>
      <c r="B2073" s="100" t="s">
        <v>211</v>
      </c>
      <c r="C2073" s="6" t="s">
        <v>44</v>
      </c>
      <c r="D2073" s="7" t="s">
        <v>209</v>
      </c>
      <c r="E2073" s="8">
        <v>-5523.75</v>
      </c>
      <c r="F2073" s="13" t="s">
        <v>8</v>
      </c>
      <c r="G2073" s="9" t="s">
        <v>46</v>
      </c>
    </row>
    <row r="2074" spans="1:7" s="139" customFormat="1" hidden="1" x14ac:dyDescent="0.3">
      <c r="A2074" s="100">
        <v>45945</v>
      </c>
      <c r="B2074" s="100" t="s">
        <v>211</v>
      </c>
      <c r="C2074" s="12" t="s">
        <v>13</v>
      </c>
      <c r="D2074" s="4" t="s">
        <v>87</v>
      </c>
      <c r="E2074" s="16">
        <v>-1375</v>
      </c>
      <c r="F2074" s="5" t="s">
        <v>8</v>
      </c>
      <c r="G2074" s="5" t="s">
        <v>41</v>
      </c>
    </row>
    <row r="2075" spans="1:7" s="139" customFormat="1" hidden="1" x14ac:dyDescent="0.3">
      <c r="A2075" s="100">
        <v>45936</v>
      </c>
      <c r="B2075" s="100" t="s">
        <v>211</v>
      </c>
      <c r="C2075" s="12" t="s">
        <v>6</v>
      </c>
      <c r="D2075" s="4" t="s">
        <v>42</v>
      </c>
      <c r="E2075" s="16">
        <v>-500</v>
      </c>
      <c r="F2075" s="13" t="s">
        <v>8</v>
      </c>
      <c r="G2075" s="5" t="s">
        <v>41</v>
      </c>
    </row>
    <row r="2076" spans="1:7" s="139" customFormat="1" hidden="1" x14ac:dyDescent="0.3">
      <c r="A2076" s="78">
        <v>45961</v>
      </c>
      <c r="B2076" s="100" t="s">
        <v>211</v>
      </c>
      <c r="C2076" s="12" t="s">
        <v>6</v>
      </c>
      <c r="D2076" s="7" t="s">
        <v>151</v>
      </c>
      <c r="E2076" s="16">
        <v>-37000</v>
      </c>
      <c r="F2076" s="13" t="s">
        <v>8</v>
      </c>
      <c r="G2076" s="13" t="s">
        <v>152</v>
      </c>
    </row>
    <row r="2077" spans="1:7" s="139" customFormat="1" hidden="1" x14ac:dyDescent="0.3">
      <c r="A2077" s="100">
        <v>45950</v>
      </c>
      <c r="B2077" s="100" t="s">
        <v>211</v>
      </c>
      <c r="C2077" s="12" t="s">
        <v>6</v>
      </c>
      <c r="D2077" s="4" t="s">
        <v>127</v>
      </c>
      <c r="E2077" s="10">
        <v>-55000</v>
      </c>
      <c r="F2077" s="13" t="s">
        <v>8</v>
      </c>
      <c r="G2077" s="105" t="s">
        <v>124</v>
      </c>
    </row>
    <row r="2078" spans="1:7" s="139" customFormat="1" hidden="1" x14ac:dyDescent="0.3">
      <c r="A2078" s="100">
        <v>45940</v>
      </c>
      <c r="B2078" s="100" t="s">
        <v>211</v>
      </c>
      <c r="C2078" s="15" t="s">
        <v>64</v>
      </c>
      <c r="D2078" s="4" t="s">
        <v>65</v>
      </c>
      <c r="E2078" s="16">
        <v>-432</v>
      </c>
      <c r="F2078" s="13" t="s">
        <v>8</v>
      </c>
      <c r="G2078" s="5" t="s">
        <v>39</v>
      </c>
    </row>
    <row r="2079" spans="1:7" s="139" customFormat="1" hidden="1" x14ac:dyDescent="0.3">
      <c r="A2079" s="100">
        <v>45950</v>
      </c>
      <c r="B2079" s="100" t="s">
        <v>211</v>
      </c>
      <c r="C2079" s="12" t="s">
        <v>6</v>
      </c>
      <c r="D2079" s="4" t="s">
        <v>213</v>
      </c>
      <c r="E2079" s="16">
        <v>-110000</v>
      </c>
      <c r="F2079" s="13" t="s">
        <v>8</v>
      </c>
      <c r="G2079" s="5" t="s">
        <v>27</v>
      </c>
    </row>
    <row r="2080" spans="1:7" s="139" customFormat="1" hidden="1" x14ac:dyDescent="0.3">
      <c r="A2080" s="100">
        <v>45940</v>
      </c>
      <c r="B2080" s="100" t="s">
        <v>211</v>
      </c>
      <c r="C2080" s="12" t="s">
        <v>13</v>
      </c>
      <c r="D2080" s="7" t="s">
        <v>210</v>
      </c>
      <c r="E2080" s="8">
        <v>-50000</v>
      </c>
      <c r="F2080" s="13" t="s">
        <v>8</v>
      </c>
      <c r="G2080" s="9" t="s">
        <v>27</v>
      </c>
    </row>
    <row r="2081" spans="1:7" s="139" customFormat="1" hidden="1" x14ac:dyDescent="0.3">
      <c r="A2081" s="100">
        <v>45936</v>
      </c>
      <c r="B2081" s="100" t="s">
        <v>211</v>
      </c>
      <c r="C2081" s="6" t="s">
        <v>13</v>
      </c>
      <c r="D2081" s="4" t="s">
        <v>47</v>
      </c>
      <c r="E2081" s="16">
        <v>-7000</v>
      </c>
      <c r="F2081" s="13" t="s">
        <v>8</v>
      </c>
      <c r="G2081" s="5" t="s">
        <v>27</v>
      </c>
    </row>
    <row r="2082" spans="1:7" s="139" customFormat="1" hidden="1" x14ac:dyDescent="0.3">
      <c r="A2082" s="113">
        <v>45950</v>
      </c>
      <c r="B2082" s="100" t="s">
        <v>211</v>
      </c>
      <c r="C2082" s="12" t="s">
        <v>6</v>
      </c>
      <c r="D2082" s="4" t="s">
        <v>47</v>
      </c>
      <c r="E2082" s="16">
        <v>-8000</v>
      </c>
      <c r="F2082" s="27" t="s">
        <v>8</v>
      </c>
      <c r="G2082" s="41" t="s">
        <v>27</v>
      </c>
    </row>
    <row r="2083" spans="1:7" s="4" customFormat="1" hidden="1" x14ac:dyDescent="0.3">
      <c r="A2083" s="78">
        <v>45959</v>
      </c>
      <c r="B2083" s="100" t="s">
        <v>211</v>
      </c>
      <c r="C2083" s="14" t="s">
        <v>25</v>
      </c>
      <c r="D2083" s="14" t="s">
        <v>1527</v>
      </c>
      <c r="E2083" s="8">
        <v>-2517.84</v>
      </c>
      <c r="F2083" s="110" t="s">
        <v>8</v>
      </c>
      <c r="G2083" s="9" t="s">
        <v>153</v>
      </c>
    </row>
    <row r="2084" spans="1:7" s="4" customFormat="1" hidden="1" x14ac:dyDescent="0.3">
      <c r="A2084" s="78">
        <v>45988</v>
      </c>
      <c r="B2084" s="100" t="s">
        <v>212</v>
      </c>
      <c r="C2084" s="14" t="s">
        <v>25</v>
      </c>
      <c r="D2084" s="14" t="s">
        <v>1527</v>
      </c>
      <c r="E2084" s="8">
        <v>-2517.84</v>
      </c>
      <c r="F2084" s="110" t="s">
        <v>8</v>
      </c>
      <c r="G2084" s="9" t="s">
        <v>153</v>
      </c>
    </row>
    <row r="2085" spans="1:7" s="4" customFormat="1" hidden="1" x14ac:dyDescent="0.3">
      <c r="A2085" s="78">
        <v>46020</v>
      </c>
      <c r="B2085" s="100" t="s">
        <v>216</v>
      </c>
      <c r="C2085" s="14" t="s">
        <v>25</v>
      </c>
      <c r="D2085" s="14" t="s">
        <v>1527</v>
      </c>
      <c r="E2085" s="8">
        <v>-2517.84</v>
      </c>
      <c r="F2085" s="110" t="s">
        <v>8</v>
      </c>
      <c r="G2085" s="9" t="s">
        <v>153</v>
      </c>
    </row>
    <row r="2086" spans="1:7" s="4" customFormat="1" hidden="1" x14ac:dyDescent="0.3">
      <c r="A2086" s="78">
        <v>45959</v>
      </c>
      <c r="B2086" s="100" t="s">
        <v>211</v>
      </c>
      <c r="C2086" s="14" t="s">
        <v>25</v>
      </c>
      <c r="D2086" s="14" t="s">
        <v>1527</v>
      </c>
      <c r="E2086" s="8">
        <v>-355</v>
      </c>
      <c r="F2086" s="110" t="s">
        <v>8</v>
      </c>
      <c r="G2086" s="9" t="s">
        <v>153</v>
      </c>
    </row>
    <row r="2087" spans="1:7" s="4" customFormat="1" hidden="1" x14ac:dyDescent="0.3">
      <c r="A2087" s="78">
        <v>45988</v>
      </c>
      <c r="B2087" s="100" t="s">
        <v>212</v>
      </c>
      <c r="C2087" s="14" t="s">
        <v>25</v>
      </c>
      <c r="D2087" s="14" t="s">
        <v>1527</v>
      </c>
      <c r="E2087" s="8">
        <v>-355</v>
      </c>
      <c r="F2087" s="110" t="s">
        <v>8</v>
      </c>
      <c r="G2087" s="9" t="s">
        <v>153</v>
      </c>
    </row>
    <row r="2088" spans="1:7" s="4" customFormat="1" hidden="1" x14ac:dyDescent="0.3">
      <c r="A2088" s="78">
        <v>46020</v>
      </c>
      <c r="B2088" s="100" t="s">
        <v>216</v>
      </c>
      <c r="C2088" s="14" t="s">
        <v>25</v>
      </c>
      <c r="D2088" s="14" t="s">
        <v>1527</v>
      </c>
      <c r="E2088" s="8">
        <v>-355</v>
      </c>
      <c r="F2088" s="110" t="s">
        <v>8</v>
      </c>
      <c r="G2088" s="9" t="s">
        <v>153</v>
      </c>
    </row>
    <row r="2089" spans="1:7" s="139" customFormat="1" hidden="1" x14ac:dyDescent="0.3">
      <c r="A2089" s="78">
        <v>45959</v>
      </c>
      <c r="B2089" s="100" t="s">
        <v>211</v>
      </c>
      <c r="C2089" s="14" t="s">
        <v>44</v>
      </c>
      <c r="D2089" s="14" t="s">
        <v>204</v>
      </c>
      <c r="E2089" s="8">
        <v>-4057.4</v>
      </c>
      <c r="F2089" s="110" t="s">
        <v>8</v>
      </c>
      <c r="G2089" s="70" t="s">
        <v>1279</v>
      </c>
    </row>
    <row r="2090" spans="1:7" s="139" customFormat="1" hidden="1" x14ac:dyDescent="0.3">
      <c r="A2090" s="78">
        <v>45959</v>
      </c>
      <c r="B2090" s="100" t="s">
        <v>211</v>
      </c>
      <c r="C2090" s="14" t="s">
        <v>71</v>
      </c>
      <c r="D2090" s="14" t="s">
        <v>1326</v>
      </c>
      <c r="E2090" s="8">
        <v>-643.77007900000001</v>
      </c>
      <c r="F2090" s="110" t="s">
        <v>8</v>
      </c>
      <c r="G2090" s="70" t="s">
        <v>1279</v>
      </c>
    </row>
    <row r="2091" spans="1:7" s="139" customFormat="1" hidden="1" x14ac:dyDescent="0.3">
      <c r="A2091" s="78">
        <v>45959</v>
      </c>
      <c r="B2091" s="100" t="s">
        <v>211</v>
      </c>
      <c r="C2091" s="14" t="s">
        <v>31</v>
      </c>
      <c r="D2091" s="14" t="s">
        <v>1627</v>
      </c>
      <c r="E2091" s="8">
        <v>-1500</v>
      </c>
      <c r="F2091" s="13" t="s">
        <v>8</v>
      </c>
      <c r="G2091" s="14" t="s">
        <v>186</v>
      </c>
    </row>
    <row r="2092" spans="1:7" s="139" customFormat="1" hidden="1" x14ac:dyDescent="0.3">
      <c r="A2092" s="78">
        <v>45989</v>
      </c>
      <c r="B2092" s="100" t="s">
        <v>212</v>
      </c>
      <c r="C2092" s="14" t="s">
        <v>31</v>
      </c>
      <c r="D2092" s="14" t="s">
        <v>1630</v>
      </c>
      <c r="E2092" s="8">
        <v>-1500</v>
      </c>
      <c r="F2092" s="13" t="s">
        <v>8</v>
      </c>
      <c r="G2092" s="9" t="s">
        <v>186</v>
      </c>
    </row>
    <row r="2093" spans="1:7" s="139" customFormat="1" hidden="1" x14ac:dyDescent="0.3">
      <c r="A2093" s="78">
        <v>46020</v>
      </c>
      <c r="B2093" s="100" t="s">
        <v>216</v>
      </c>
      <c r="C2093" s="14" t="s">
        <v>31</v>
      </c>
      <c r="D2093" s="14" t="s">
        <v>1631</v>
      </c>
      <c r="E2093" s="8">
        <v>-1500</v>
      </c>
      <c r="F2093" s="13" t="s">
        <v>8</v>
      </c>
      <c r="G2093" s="9" t="s">
        <v>186</v>
      </c>
    </row>
    <row r="2094" spans="1:7" s="139" customFormat="1" hidden="1" x14ac:dyDescent="0.3">
      <c r="A2094" s="78">
        <v>45959</v>
      </c>
      <c r="B2094" s="100" t="s">
        <v>211</v>
      </c>
      <c r="C2094" s="14" t="s">
        <v>31</v>
      </c>
      <c r="D2094" s="14" t="s">
        <v>1628</v>
      </c>
      <c r="E2094" s="8">
        <v>-1000</v>
      </c>
      <c r="F2094" s="13" t="s">
        <v>8</v>
      </c>
      <c r="G2094" s="14" t="s">
        <v>186</v>
      </c>
    </row>
    <row r="2095" spans="1:7" s="139" customFormat="1" hidden="1" x14ac:dyDescent="0.3">
      <c r="A2095" s="78">
        <v>45989</v>
      </c>
      <c r="B2095" s="100" t="s">
        <v>212</v>
      </c>
      <c r="C2095" s="14" t="s">
        <v>31</v>
      </c>
      <c r="D2095" s="14" t="s">
        <v>1628</v>
      </c>
      <c r="E2095" s="8">
        <v>-1000</v>
      </c>
      <c r="F2095" s="13" t="s">
        <v>8</v>
      </c>
      <c r="G2095" s="9" t="s">
        <v>186</v>
      </c>
    </row>
    <row r="2096" spans="1:7" s="139" customFormat="1" hidden="1" x14ac:dyDescent="0.3">
      <c r="A2096" s="78">
        <v>46020</v>
      </c>
      <c r="B2096" s="100" t="s">
        <v>216</v>
      </c>
      <c r="C2096" s="14" t="s">
        <v>31</v>
      </c>
      <c r="D2096" s="14" t="s">
        <v>1628</v>
      </c>
      <c r="E2096" s="8">
        <v>-1000</v>
      </c>
      <c r="F2096" s="13" t="s">
        <v>8</v>
      </c>
      <c r="G2096" s="9" t="s">
        <v>186</v>
      </c>
    </row>
    <row r="2097" spans="1:7" s="139" customFormat="1" hidden="1" x14ac:dyDescent="0.3">
      <c r="A2097" s="78">
        <v>45959</v>
      </c>
      <c r="B2097" s="100" t="s">
        <v>211</v>
      </c>
      <c r="C2097" s="14" t="s">
        <v>6</v>
      </c>
      <c r="D2097" s="14" t="s">
        <v>1629</v>
      </c>
      <c r="E2097" s="240">
        <v>-1000</v>
      </c>
      <c r="F2097" s="13" t="s">
        <v>8</v>
      </c>
      <c r="G2097" s="14" t="s">
        <v>186</v>
      </c>
    </row>
    <row r="2098" spans="1:7" s="139" customFormat="1" hidden="1" x14ac:dyDescent="0.3">
      <c r="A2098" s="78">
        <v>45989</v>
      </c>
      <c r="B2098" s="100" t="s">
        <v>212</v>
      </c>
      <c r="C2098" s="14" t="s">
        <v>6</v>
      </c>
      <c r="D2098" s="14" t="s">
        <v>1629</v>
      </c>
      <c r="E2098" s="8">
        <v>-1000</v>
      </c>
      <c r="F2098" s="13" t="s">
        <v>8</v>
      </c>
      <c r="G2098" s="9" t="s">
        <v>186</v>
      </c>
    </row>
    <row r="2099" spans="1:7" s="139" customFormat="1" hidden="1" x14ac:dyDescent="0.3">
      <c r="A2099" s="78">
        <v>46020</v>
      </c>
      <c r="B2099" s="100" t="s">
        <v>216</v>
      </c>
      <c r="C2099" s="14" t="s">
        <v>6</v>
      </c>
      <c r="D2099" s="14" t="s">
        <v>1629</v>
      </c>
      <c r="E2099" s="8">
        <v>-1000</v>
      </c>
      <c r="F2099" s="13" t="s">
        <v>8</v>
      </c>
      <c r="G2099" s="9" t="s">
        <v>186</v>
      </c>
    </row>
    <row r="2100" spans="1:7" s="139" customFormat="1" ht="13.2" hidden="1" customHeight="1" x14ac:dyDescent="0.3">
      <c r="A2100" s="87">
        <v>45959</v>
      </c>
      <c r="B2100" s="146" t="s">
        <v>211</v>
      </c>
      <c r="C2100" s="14" t="s">
        <v>44</v>
      </c>
      <c r="D2100" s="14" t="s">
        <v>1633</v>
      </c>
      <c r="E2100" s="486">
        <v>-3800</v>
      </c>
      <c r="F2100" s="110" t="s">
        <v>8</v>
      </c>
      <c r="G2100" s="336" t="s">
        <v>186</v>
      </c>
    </row>
    <row r="2101" spans="1:7" s="139" customFormat="1" ht="13.2" hidden="1" customHeight="1" x14ac:dyDescent="0.3">
      <c r="A2101" s="87">
        <v>45989</v>
      </c>
      <c r="B2101" s="146" t="s">
        <v>212</v>
      </c>
      <c r="C2101" s="14" t="s">
        <v>44</v>
      </c>
      <c r="D2101" s="14" t="s">
        <v>1632</v>
      </c>
      <c r="E2101" s="486">
        <v>-3800</v>
      </c>
      <c r="F2101" s="110" t="s">
        <v>8</v>
      </c>
      <c r="G2101" s="630" t="s">
        <v>186</v>
      </c>
    </row>
    <row r="2102" spans="1:7" s="139" customFormat="1" ht="13.2" hidden="1" customHeight="1" x14ac:dyDescent="0.3">
      <c r="A2102" s="87">
        <v>46020</v>
      </c>
      <c r="B2102" s="146" t="s">
        <v>216</v>
      </c>
      <c r="C2102" s="14" t="s">
        <v>44</v>
      </c>
      <c r="D2102" s="14" t="s">
        <v>1634</v>
      </c>
      <c r="E2102" s="486">
        <v>-3800</v>
      </c>
      <c r="F2102" s="110" t="s">
        <v>8</v>
      </c>
      <c r="G2102" s="630" t="s">
        <v>186</v>
      </c>
    </row>
    <row r="2103" spans="1:7" s="139" customFormat="1" hidden="1" x14ac:dyDescent="0.3">
      <c r="A2103" s="87">
        <v>45959</v>
      </c>
      <c r="B2103" s="146" t="s">
        <v>211</v>
      </c>
      <c r="C2103" s="12" t="s">
        <v>13</v>
      </c>
      <c r="D2103" s="4" t="s">
        <v>141</v>
      </c>
      <c r="E2103" s="241">
        <v>-500</v>
      </c>
      <c r="F2103" s="110" t="s">
        <v>8</v>
      </c>
      <c r="G2103" s="24" t="s">
        <v>68</v>
      </c>
    </row>
    <row r="2104" spans="1:7" s="139" customFormat="1" hidden="1" x14ac:dyDescent="0.3">
      <c r="A2104" s="113">
        <v>45957</v>
      </c>
      <c r="B2104" s="113" t="s">
        <v>211</v>
      </c>
      <c r="C2104" s="12" t="s">
        <v>17</v>
      </c>
      <c r="D2104" s="4" t="s">
        <v>134</v>
      </c>
      <c r="E2104" s="16">
        <v>-500</v>
      </c>
      <c r="F2104" s="27" t="s">
        <v>8</v>
      </c>
      <c r="G2104" s="41" t="s">
        <v>68</v>
      </c>
    </row>
    <row r="2105" spans="1:7" hidden="1" x14ac:dyDescent="0.3">
      <c r="A2105" s="123">
        <v>45943</v>
      </c>
      <c r="B2105" s="123" t="s">
        <v>211</v>
      </c>
      <c r="C2105" s="120" t="s">
        <v>174</v>
      </c>
      <c r="D2105" s="29" t="s">
        <v>176</v>
      </c>
      <c r="E2105" s="121">
        <v>680.03</v>
      </c>
      <c r="F2105" s="55" t="s">
        <v>161</v>
      </c>
      <c r="G2105" s="61" t="s">
        <v>162</v>
      </c>
    </row>
    <row r="2106" spans="1:7" hidden="1" x14ac:dyDescent="0.3">
      <c r="A2106" s="78">
        <v>45960</v>
      </c>
      <c r="B2106" s="100" t="s">
        <v>211</v>
      </c>
      <c r="C2106" s="14" t="s">
        <v>1636</v>
      </c>
      <c r="D2106" s="14" t="s">
        <v>1642</v>
      </c>
      <c r="E2106" s="240">
        <v>-99.49</v>
      </c>
      <c r="F2106" s="9" t="s">
        <v>8</v>
      </c>
      <c r="G2106" s="9" t="s">
        <v>58</v>
      </c>
    </row>
    <row r="2107" spans="1:7" hidden="1" x14ac:dyDescent="0.3">
      <c r="A2107" s="78">
        <v>45989</v>
      </c>
      <c r="B2107" s="100" t="s">
        <v>212</v>
      </c>
      <c r="C2107" s="14" t="s">
        <v>1636</v>
      </c>
      <c r="D2107" s="14" t="s">
        <v>1637</v>
      </c>
      <c r="E2107" s="8">
        <v>-99.49</v>
      </c>
      <c r="F2107" s="9" t="s">
        <v>8</v>
      </c>
      <c r="G2107" s="9" t="s">
        <v>58</v>
      </c>
    </row>
    <row r="2108" spans="1:7" hidden="1" x14ac:dyDescent="0.3">
      <c r="A2108" s="78">
        <v>46020</v>
      </c>
      <c r="B2108" s="100" t="s">
        <v>216</v>
      </c>
      <c r="C2108" s="14" t="s">
        <v>1636</v>
      </c>
      <c r="D2108" s="14" t="s">
        <v>1637</v>
      </c>
      <c r="E2108" s="8">
        <v>-99.49</v>
      </c>
      <c r="F2108" s="9" t="s">
        <v>8</v>
      </c>
      <c r="G2108" s="9" t="s">
        <v>58</v>
      </c>
    </row>
    <row r="2109" spans="1:7" s="139" customFormat="1" hidden="1" x14ac:dyDescent="0.3">
      <c r="A2109" s="78">
        <v>45960</v>
      </c>
      <c r="B2109" s="100" t="s">
        <v>211</v>
      </c>
      <c r="C2109" s="97" t="s">
        <v>31</v>
      </c>
      <c r="D2109" s="97" t="s">
        <v>1638</v>
      </c>
      <c r="E2109" s="631">
        <v>-106.54</v>
      </c>
      <c r="F2109" s="91" t="s">
        <v>8</v>
      </c>
      <c r="G2109" s="105" t="s">
        <v>124</v>
      </c>
    </row>
    <row r="2110" spans="1:7" s="139" customFormat="1" hidden="1" x14ac:dyDescent="0.3">
      <c r="A2110" s="78">
        <v>45960</v>
      </c>
      <c r="B2110" s="100" t="s">
        <v>211</v>
      </c>
      <c r="C2110" s="14" t="s">
        <v>44</v>
      </c>
      <c r="D2110" s="14" t="s">
        <v>1640</v>
      </c>
      <c r="E2110" s="8">
        <v>-111.85</v>
      </c>
      <c r="F2110" s="91" t="s">
        <v>8</v>
      </c>
      <c r="G2110" s="105" t="s">
        <v>124</v>
      </c>
    </row>
    <row r="2111" spans="1:7" s="139" customFormat="1" hidden="1" x14ac:dyDescent="0.3">
      <c r="A2111" s="78">
        <v>45960</v>
      </c>
      <c r="B2111" s="100" t="s">
        <v>211</v>
      </c>
      <c r="C2111" s="14" t="s">
        <v>33</v>
      </c>
      <c r="D2111" s="14" t="s">
        <v>1639</v>
      </c>
      <c r="E2111" s="8">
        <v>-106.54</v>
      </c>
      <c r="F2111" s="91" t="s">
        <v>8</v>
      </c>
      <c r="G2111" s="105" t="s">
        <v>124</v>
      </c>
    </row>
    <row r="2112" spans="1:7" hidden="1" x14ac:dyDescent="0.3">
      <c r="A2112" s="78">
        <v>45960</v>
      </c>
      <c r="B2112" s="100" t="s">
        <v>211</v>
      </c>
      <c r="C2112" s="14" t="s">
        <v>32</v>
      </c>
      <c r="D2112" s="14" t="s">
        <v>1641</v>
      </c>
      <c r="E2112" s="8">
        <v>-106.54</v>
      </c>
      <c r="F2112" s="91" t="s">
        <v>8</v>
      </c>
      <c r="G2112" s="105" t="s">
        <v>124</v>
      </c>
    </row>
    <row r="2113" spans="1:7" hidden="1" x14ac:dyDescent="0.3">
      <c r="A2113" s="78">
        <v>45960</v>
      </c>
      <c r="B2113" s="100" t="s">
        <v>211</v>
      </c>
      <c r="C2113" s="14" t="s">
        <v>6</v>
      </c>
      <c r="D2113" s="14" t="s">
        <v>1643</v>
      </c>
      <c r="E2113" s="8">
        <v>-106.58</v>
      </c>
      <c r="F2113" s="91" t="s">
        <v>8</v>
      </c>
      <c r="G2113" s="105" t="s">
        <v>124</v>
      </c>
    </row>
    <row r="2114" spans="1:7" hidden="1" x14ac:dyDescent="0.3">
      <c r="A2114" s="78">
        <v>45989</v>
      </c>
      <c r="B2114" s="100" t="s">
        <v>212</v>
      </c>
      <c r="C2114" s="14" t="s">
        <v>6</v>
      </c>
      <c r="D2114" s="14" t="s">
        <v>1644</v>
      </c>
      <c r="E2114" s="8">
        <v>-106.58</v>
      </c>
      <c r="F2114" s="91" t="s">
        <v>8</v>
      </c>
      <c r="G2114" s="105" t="s">
        <v>124</v>
      </c>
    </row>
    <row r="2115" spans="1:7" hidden="1" x14ac:dyDescent="0.3">
      <c r="A2115" s="78">
        <v>46020</v>
      </c>
      <c r="B2115" s="100" t="s">
        <v>216</v>
      </c>
      <c r="C2115" s="14" t="s">
        <v>6</v>
      </c>
      <c r="D2115" s="14" t="s">
        <v>1645</v>
      </c>
      <c r="E2115" s="8">
        <v>-106.58</v>
      </c>
      <c r="F2115" s="91" t="s">
        <v>8</v>
      </c>
      <c r="G2115" s="105" t="s">
        <v>124</v>
      </c>
    </row>
    <row r="2116" spans="1:7" s="139" customFormat="1" hidden="1" x14ac:dyDescent="0.3">
      <c r="A2116" s="78">
        <v>45960</v>
      </c>
      <c r="B2116" s="100" t="s">
        <v>211</v>
      </c>
      <c r="C2116" s="287" t="s">
        <v>44</v>
      </c>
      <c r="D2116" s="7" t="s">
        <v>1635</v>
      </c>
      <c r="E2116" s="16">
        <v>-4000</v>
      </c>
      <c r="F2116" s="13" t="s">
        <v>8</v>
      </c>
      <c r="G2116" s="105" t="s">
        <v>124</v>
      </c>
    </row>
    <row r="2117" spans="1:7" s="139" customFormat="1" hidden="1" x14ac:dyDescent="0.3">
      <c r="A2117" s="78">
        <v>45961</v>
      </c>
      <c r="B2117" s="100" t="s">
        <v>211</v>
      </c>
      <c r="C2117" s="12" t="s">
        <v>17</v>
      </c>
      <c r="D2117" s="7" t="s">
        <v>154</v>
      </c>
      <c r="E2117" s="16">
        <v>-7000</v>
      </c>
      <c r="F2117" s="13" t="s">
        <v>8</v>
      </c>
      <c r="G2117" s="105" t="s">
        <v>124</v>
      </c>
    </row>
    <row r="2118" spans="1:7" s="139" customFormat="1" hidden="1" x14ac:dyDescent="0.3">
      <c r="A2118" s="78">
        <v>45961</v>
      </c>
      <c r="B2118" s="100" t="s">
        <v>211</v>
      </c>
      <c r="C2118" s="12" t="s">
        <v>44</v>
      </c>
      <c r="D2118" s="7" t="s">
        <v>155</v>
      </c>
      <c r="E2118" s="16">
        <v>-600</v>
      </c>
      <c r="F2118" s="13" t="s">
        <v>8</v>
      </c>
      <c r="G2118" s="105" t="s">
        <v>124</v>
      </c>
    </row>
    <row r="2119" spans="1:7" s="139" customFormat="1" hidden="1" x14ac:dyDescent="0.3">
      <c r="A2119" s="100">
        <v>45950</v>
      </c>
      <c r="B2119" s="100" t="s">
        <v>211</v>
      </c>
      <c r="C2119" s="12" t="s">
        <v>6</v>
      </c>
      <c r="D2119" s="4" t="s">
        <v>118</v>
      </c>
      <c r="E2119" s="16">
        <v>-16000</v>
      </c>
      <c r="F2119" s="13" t="s">
        <v>8</v>
      </c>
      <c r="G2119" s="5" t="s">
        <v>119</v>
      </c>
    </row>
    <row r="2120" spans="1:7" s="139" customFormat="1" hidden="1" x14ac:dyDescent="0.3">
      <c r="A2120" s="113">
        <v>45950</v>
      </c>
      <c r="B2120" s="100" t="s">
        <v>211</v>
      </c>
      <c r="C2120" s="12" t="s">
        <v>64</v>
      </c>
      <c r="D2120" s="4" t="s">
        <v>133</v>
      </c>
      <c r="E2120" s="16">
        <v>-8937.32</v>
      </c>
      <c r="F2120" s="27" t="s">
        <v>8</v>
      </c>
      <c r="G2120" s="41" t="s">
        <v>39</v>
      </c>
    </row>
    <row r="2121" spans="1:7" hidden="1" x14ac:dyDescent="0.3">
      <c r="A2121" s="123">
        <v>45943</v>
      </c>
      <c r="B2121" s="123" t="s">
        <v>211</v>
      </c>
      <c r="C2121" s="120" t="s">
        <v>163</v>
      </c>
      <c r="D2121" s="124" t="s">
        <v>179</v>
      </c>
      <c r="E2121" s="125">
        <v>7850</v>
      </c>
      <c r="F2121" s="126" t="s">
        <v>161</v>
      </c>
      <c r="G2121" s="61" t="s">
        <v>162</v>
      </c>
    </row>
    <row r="2122" spans="1:7" hidden="1" x14ac:dyDescent="0.3">
      <c r="A2122" s="123">
        <v>45931</v>
      </c>
      <c r="B2122" s="123" t="s">
        <v>211</v>
      </c>
      <c r="C2122" s="120" t="s">
        <v>159</v>
      </c>
      <c r="D2122" s="29" t="s">
        <v>160</v>
      </c>
      <c r="E2122" s="53">
        <v>23638.67</v>
      </c>
      <c r="F2122" s="55" t="s">
        <v>161</v>
      </c>
      <c r="G2122" s="61" t="s">
        <v>162</v>
      </c>
    </row>
    <row r="2123" spans="1:7" s="139" customFormat="1" hidden="1" x14ac:dyDescent="0.3">
      <c r="A2123" s="146">
        <v>45940</v>
      </c>
      <c r="B2123" s="146" t="s">
        <v>211</v>
      </c>
      <c r="C2123" s="108" t="s">
        <v>44</v>
      </c>
      <c r="D2123" s="109" t="s">
        <v>60</v>
      </c>
      <c r="E2123" s="276">
        <v>-6536.85</v>
      </c>
      <c r="F2123" s="24" t="s">
        <v>8</v>
      </c>
      <c r="G2123" s="24" t="s">
        <v>61</v>
      </c>
    </row>
    <row r="2124" spans="1:7" s="139" customFormat="1" hidden="1" x14ac:dyDescent="0.3">
      <c r="A2124" s="100">
        <v>45940</v>
      </c>
      <c r="B2124" s="100" t="s">
        <v>211</v>
      </c>
      <c r="C2124" s="12" t="s">
        <v>13</v>
      </c>
      <c r="D2124" s="4" t="s">
        <v>54</v>
      </c>
      <c r="E2124" s="16">
        <v>-1000</v>
      </c>
      <c r="F2124" s="13" t="s">
        <v>8</v>
      </c>
      <c r="G2124" s="5" t="s">
        <v>55</v>
      </c>
    </row>
    <row r="2125" spans="1:7" s="139" customFormat="1" hidden="1" x14ac:dyDescent="0.3">
      <c r="A2125" s="113">
        <v>45940</v>
      </c>
      <c r="B2125" s="113" t="s">
        <v>211</v>
      </c>
      <c r="C2125" s="106" t="s">
        <v>13</v>
      </c>
      <c r="D2125" s="107" t="s">
        <v>57</v>
      </c>
      <c r="E2125" s="145">
        <v>-1000</v>
      </c>
      <c r="F2125" s="27" t="s">
        <v>8</v>
      </c>
      <c r="G2125" s="41" t="s">
        <v>55</v>
      </c>
    </row>
    <row r="2126" spans="1:7" s="250" customFormat="1" x14ac:dyDescent="0.3">
      <c r="A2126" s="316">
        <v>45917</v>
      </c>
      <c r="B2126" s="316" t="s">
        <v>208</v>
      </c>
      <c r="C2126" s="299" t="s">
        <v>17</v>
      </c>
      <c r="D2126" s="300" t="s">
        <v>116</v>
      </c>
      <c r="E2126" s="317">
        <v>-5460</v>
      </c>
      <c r="F2126" s="249" t="s">
        <v>8</v>
      </c>
      <c r="G2126" s="255" t="s">
        <v>53</v>
      </c>
    </row>
    <row r="2127" spans="1:7" s="139" customFormat="1" hidden="1" x14ac:dyDescent="0.3">
      <c r="A2127" s="188">
        <v>45947</v>
      </c>
      <c r="B2127" s="188" t="s">
        <v>211</v>
      </c>
      <c r="C2127" s="192" t="s">
        <v>17</v>
      </c>
      <c r="D2127" s="195" t="s">
        <v>116</v>
      </c>
      <c r="E2127" s="196">
        <v>-5300</v>
      </c>
      <c r="F2127" s="80" t="s">
        <v>8</v>
      </c>
      <c r="G2127" s="197" t="s">
        <v>53</v>
      </c>
    </row>
    <row r="2128" spans="1:7" s="250" customFormat="1" x14ac:dyDescent="0.3">
      <c r="A2128" s="316">
        <v>45917</v>
      </c>
      <c r="B2128" s="316" t="s">
        <v>208</v>
      </c>
      <c r="C2128" s="293" t="s">
        <v>44</v>
      </c>
      <c r="D2128" s="293" t="s">
        <v>226</v>
      </c>
      <c r="E2128" s="248">
        <v>-1560</v>
      </c>
      <c r="F2128" s="249" t="s">
        <v>8</v>
      </c>
      <c r="G2128" s="255" t="s">
        <v>1279</v>
      </c>
    </row>
    <row r="2129" spans="1:7" s="250" customFormat="1" x14ac:dyDescent="0.3">
      <c r="A2129" s="316">
        <v>45917</v>
      </c>
      <c r="B2129" s="316" t="s">
        <v>208</v>
      </c>
      <c r="C2129" s="293" t="s">
        <v>71</v>
      </c>
      <c r="D2129" s="293" t="s">
        <v>205</v>
      </c>
      <c r="E2129" s="248">
        <v>-985.46</v>
      </c>
      <c r="F2129" s="249" t="s">
        <v>8</v>
      </c>
      <c r="G2129" s="255" t="s">
        <v>1279</v>
      </c>
    </row>
    <row r="2130" spans="1:7" s="250" customFormat="1" x14ac:dyDescent="0.3">
      <c r="A2130" s="316">
        <v>45917</v>
      </c>
      <c r="B2130" s="316" t="s">
        <v>208</v>
      </c>
      <c r="C2130" s="293" t="s">
        <v>25</v>
      </c>
      <c r="D2130" s="293" t="s">
        <v>1389</v>
      </c>
      <c r="E2130" s="248">
        <v>-450</v>
      </c>
      <c r="F2130" s="249" t="s">
        <v>8</v>
      </c>
      <c r="G2130" s="254" t="s">
        <v>27</v>
      </c>
    </row>
    <row r="2131" spans="1:7" s="250" customFormat="1" x14ac:dyDescent="0.3">
      <c r="A2131" s="316">
        <v>45917</v>
      </c>
      <c r="B2131" s="316" t="s">
        <v>208</v>
      </c>
      <c r="C2131" s="293" t="s">
        <v>25</v>
      </c>
      <c r="D2131" s="293" t="s">
        <v>1390</v>
      </c>
      <c r="E2131" s="248">
        <v>-200</v>
      </c>
      <c r="F2131" s="249" t="s">
        <v>8</v>
      </c>
      <c r="G2131" s="254" t="s">
        <v>27</v>
      </c>
    </row>
    <row r="2132" spans="1:7" s="250" customFormat="1" x14ac:dyDescent="0.3">
      <c r="A2132" s="316">
        <v>45917</v>
      </c>
      <c r="B2132" s="316" t="s">
        <v>208</v>
      </c>
      <c r="C2132" s="296" t="s">
        <v>25</v>
      </c>
      <c r="D2132" s="293" t="s">
        <v>1387</v>
      </c>
      <c r="E2132" s="248">
        <v>-135.30000000000001</v>
      </c>
      <c r="F2132" s="249" t="s">
        <v>8</v>
      </c>
      <c r="G2132" s="254" t="s">
        <v>82</v>
      </c>
    </row>
    <row r="2133" spans="1:7" s="382" customFormat="1" ht="14.4" x14ac:dyDescent="0.3">
      <c r="A2133" s="381">
        <v>45917</v>
      </c>
      <c r="B2133" s="381" t="s">
        <v>208</v>
      </c>
      <c r="C2133" s="364" t="s">
        <v>25</v>
      </c>
      <c r="D2133" s="364" t="s">
        <v>1388</v>
      </c>
      <c r="E2133" s="367">
        <v>-242</v>
      </c>
      <c r="F2133" s="249" t="s">
        <v>8</v>
      </c>
      <c r="G2133" s="254" t="s">
        <v>82</v>
      </c>
    </row>
    <row r="2134" spans="1:7" s="250" customFormat="1" x14ac:dyDescent="0.3">
      <c r="A2134" s="316">
        <v>45917</v>
      </c>
      <c r="B2134" s="316" t="s">
        <v>208</v>
      </c>
      <c r="C2134" s="293" t="s">
        <v>25</v>
      </c>
      <c r="D2134" s="293" t="s">
        <v>749</v>
      </c>
      <c r="E2134" s="248">
        <v>-233</v>
      </c>
      <c r="F2134" s="249" t="s">
        <v>8</v>
      </c>
      <c r="G2134" s="254" t="s">
        <v>82</v>
      </c>
    </row>
    <row r="2135" spans="1:7" s="250" customFormat="1" x14ac:dyDescent="0.3">
      <c r="A2135" s="316">
        <v>45917</v>
      </c>
      <c r="B2135" s="316" t="s">
        <v>208</v>
      </c>
      <c r="C2135" s="293" t="s">
        <v>25</v>
      </c>
      <c r="D2135" s="293" t="s">
        <v>1139</v>
      </c>
      <c r="E2135" s="248">
        <v>-123</v>
      </c>
      <c r="F2135" s="249" t="s">
        <v>8</v>
      </c>
      <c r="G2135" s="254" t="s">
        <v>82</v>
      </c>
    </row>
    <row r="2136" spans="1:7" s="139" customFormat="1" hidden="1" x14ac:dyDescent="0.3">
      <c r="A2136" s="146">
        <v>45947</v>
      </c>
      <c r="B2136" s="146" t="s">
        <v>211</v>
      </c>
      <c r="C2136" s="12" t="s">
        <v>17</v>
      </c>
      <c r="D2136" s="4" t="s">
        <v>110</v>
      </c>
      <c r="E2136" s="16">
        <v>-3760</v>
      </c>
      <c r="F2136" s="13" t="s">
        <v>8</v>
      </c>
      <c r="G2136" s="5" t="s">
        <v>73</v>
      </c>
    </row>
    <row r="2137" spans="1:7" s="139" customFormat="1" hidden="1" x14ac:dyDescent="0.3">
      <c r="A2137" s="100">
        <v>45947</v>
      </c>
      <c r="B2137" s="100" t="s">
        <v>211</v>
      </c>
      <c r="C2137" s="12" t="s">
        <v>17</v>
      </c>
      <c r="D2137" s="4" t="s">
        <v>110</v>
      </c>
      <c r="E2137" s="16">
        <v>-5800</v>
      </c>
      <c r="F2137" s="13" t="s">
        <v>8</v>
      </c>
      <c r="G2137" s="5" t="s">
        <v>73</v>
      </c>
    </row>
    <row r="2138" spans="1:7" s="139" customFormat="1" hidden="1" x14ac:dyDescent="0.3">
      <c r="A2138" s="100">
        <v>45947</v>
      </c>
      <c r="B2138" s="100" t="s">
        <v>211</v>
      </c>
      <c r="C2138" s="12" t="s">
        <v>13</v>
      </c>
      <c r="D2138" s="4" t="s">
        <v>110</v>
      </c>
      <c r="E2138" s="16">
        <v>-5460</v>
      </c>
      <c r="F2138" s="13" t="s">
        <v>8</v>
      </c>
      <c r="G2138" s="5" t="s">
        <v>73</v>
      </c>
    </row>
    <row r="2139" spans="1:7" s="139" customFormat="1" hidden="1" x14ac:dyDescent="0.3">
      <c r="A2139" s="113">
        <v>45957</v>
      </c>
      <c r="B2139" s="113" t="s">
        <v>211</v>
      </c>
      <c r="C2139" s="14" t="s">
        <v>44</v>
      </c>
      <c r="D2139" s="14" t="s">
        <v>226</v>
      </c>
      <c r="E2139" s="16">
        <v>-165</v>
      </c>
      <c r="F2139" s="27" t="s">
        <v>8</v>
      </c>
      <c r="G2139" s="5" t="s">
        <v>1279</v>
      </c>
    </row>
    <row r="2140" spans="1:7" s="139" customFormat="1" hidden="1" x14ac:dyDescent="0.3">
      <c r="A2140" s="113">
        <v>45957</v>
      </c>
      <c r="B2140" s="113" t="s">
        <v>211</v>
      </c>
      <c r="C2140" s="14" t="s">
        <v>44</v>
      </c>
      <c r="D2140" s="14" t="s">
        <v>226</v>
      </c>
      <c r="E2140" s="16">
        <v>-420</v>
      </c>
      <c r="F2140" s="27" t="s">
        <v>8</v>
      </c>
      <c r="G2140" s="5" t="s">
        <v>1279</v>
      </c>
    </row>
    <row r="2141" spans="1:7" s="139" customFormat="1" hidden="1" x14ac:dyDescent="0.3">
      <c r="A2141" s="113">
        <v>45957</v>
      </c>
      <c r="B2141" s="113" t="s">
        <v>211</v>
      </c>
      <c r="C2141" s="14" t="s">
        <v>44</v>
      </c>
      <c r="D2141" s="14" t="s">
        <v>226</v>
      </c>
      <c r="E2141" s="8">
        <v>-1127.5</v>
      </c>
      <c r="F2141" s="27" t="s">
        <v>8</v>
      </c>
      <c r="G2141" s="5" t="s">
        <v>1279</v>
      </c>
    </row>
    <row r="2142" spans="1:7" s="139" customFormat="1" hidden="1" x14ac:dyDescent="0.3">
      <c r="A2142" s="100">
        <v>45950</v>
      </c>
      <c r="B2142" s="100" t="s">
        <v>211</v>
      </c>
      <c r="C2142" s="12" t="s">
        <v>25</v>
      </c>
      <c r="D2142" s="4" t="s">
        <v>130</v>
      </c>
      <c r="E2142" s="16">
        <v>-3006</v>
      </c>
      <c r="F2142" s="13" t="s">
        <v>8</v>
      </c>
      <c r="G2142" s="82" t="s">
        <v>153</v>
      </c>
    </row>
    <row r="2143" spans="1:7" s="139" customFormat="1" hidden="1" x14ac:dyDescent="0.3">
      <c r="A2143" s="113">
        <v>45957</v>
      </c>
      <c r="B2143" s="113" t="s">
        <v>211</v>
      </c>
      <c r="C2143" s="286" t="s">
        <v>17</v>
      </c>
      <c r="D2143" s="286" t="s">
        <v>389</v>
      </c>
      <c r="E2143" s="276">
        <v>-57.259995000000004</v>
      </c>
      <c r="F2143" s="27" t="s">
        <v>8</v>
      </c>
      <c r="G2143" s="5" t="s">
        <v>1279</v>
      </c>
    </row>
    <row r="2144" spans="1:7" s="139" customFormat="1" hidden="1" x14ac:dyDescent="0.3">
      <c r="A2144" s="100">
        <v>45957</v>
      </c>
      <c r="B2144" s="100" t="s">
        <v>211</v>
      </c>
      <c r="C2144" s="12" t="s">
        <v>25</v>
      </c>
      <c r="D2144" s="4" t="s">
        <v>137</v>
      </c>
      <c r="E2144" s="16">
        <v>-1812.64</v>
      </c>
      <c r="F2144" s="13" t="s">
        <v>8</v>
      </c>
      <c r="G2144" s="82" t="s">
        <v>153</v>
      </c>
    </row>
    <row r="2145" spans="1:7" s="139" customFormat="1" hidden="1" x14ac:dyDescent="0.3">
      <c r="A2145" s="100">
        <v>45940</v>
      </c>
      <c r="B2145" s="100" t="s">
        <v>211</v>
      </c>
      <c r="C2145" s="12" t="s">
        <v>17</v>
      </c>
      <c r="D2145" s="4" t="s">
        <v>484</v>
      </c>
      <c r="E2145" s="16">
        <v>-10500</v>
      </c>
      <c r="F2145" s="13" t="s">
        <v>8</v>
      </c>
      <c r="G2145" s="5" t="s">
        <v>56</v>
      </c>
    </row>
    <row r="2146" spans="1:7" s="139" customFormat="1" hidden="1" x14ac:dyDescent="0.3">
      <c r="A2146" s="113">
        <v>45950</v>
      </c>
      <c r="B2146" s="100" t="s">
        <v>211</v>
      </c>
      <c r="C2146" s="12" t="s">
        <v>6</v>
      </c>
      <c r="D2146" s="4" t="s">
        <v>122</v>
      </c>
      <c r="E2146" s="16">
        <v>-39.799999999999997</v>
      </c>
      <c r="F2146" s="13" t="s">
        <v>8</v>
      </c>
      <c r="G2146" s="41" t="s">
        <v>68</v>
      </c>
    </row>
    <row r="2147" spans="1:7" hidden="1" x14ac:dyDescent="0.3">
      <c r="A2147" s="123">
        <v>45950</v>
      </c>
      <c r="B2147" s="123" t="s">
        <v>211</v>
      </c>
      <c r="C2147" s="120" t="s">
        <v>163</v>
      </c>
      <c r="D2147" s="29" t="s">
        <v>183</v>
      </c>
      <c r="E2147" s="53">
        <v>4717.4399999999996</v>
      </c>
      <c r="F2147" s="126" t="s">
        <v>161</v>
      </c>
      <c r="G2147" s="61" t="s">
        <v>162</v>
      </c>
    </row>
    <row r="2148" spans="1:7" hidden="1" x14ac:dyDescent="0.3">
      <c r="A2148" s="123">
        <v>45950</v>
      </c>
      <c r="B2148" s="123" t="s">
        <v>211</v>
      </c>
      <c r="C2148" s="120" t="s">
        <v>163</v>
      </c>
      <c r="D2148" s="29" t="s">
        <v>183</v>
      </c>
      <c r="E2148" s="53">
        <v>9938.39</v>
      </c>
      <c r="F2148" s="126" t="s">
        <v>161</v>
      </c>
      <c r="G2148" s="61" t="s">
        <v>162</v>
      </c>
    </row>
    <row r="2149" spans="1:7" hidden="1" x14ac:dyDescent="0.3">
      <c r="A2149" s="123">
        <v>45950</v>
      </c>
      <c r="B2149" s="123" t="s">
        <v>211</v>
      </c>
      <c r="C2149" s="120" t="s">
        <v>163</v>
      </c>
      <c r="D2149" s="29" t="s">
        <v>183</v>
      </c>
      <c r="E2149" s="53">
        <v>22139.98</v>
      </c>
      <c r="F2149" s="126" t="s">
        <v>161</v>
      </c>
      <c r="G2149" s="61" t="s">
        <v>162</v>
      </c>
    </row>
    <row r="2150" spans="1:7" hidden="1" x14ac:dyDescent="0.3">
      <c r="A2150" s="146">
        <v>45943</v>
      </c>
      <c r="B2150" s="146" t="s">
        <v>211</v>
      </c>
      <c r="C2150" s="572" t="s">
        <v>44</v>
      </c>
      <c r="D2150" s="572" t="s">
        <v>204</v>
      </c>
      <c r="E2150" s="608">
        <v>-2808.81</v>
      </c>
      <c r="F2150" s="110" t="s">
        <v>8</v>
      </c>
      <c r="G2150" s="24" t="s">
        <v>1279</v>
      </c>
    </row>
    <row r="2151" spans="1:7" s="139" customFormat="1" hidden="1" x14ac:dyDescent="0.3">
      <c r="A2151" s="146">
        <v>45943</v>
      </c>
      <c r="B2151" s="146" t="s">
        <v>211</v>
      </c>
      <c r="C2151" s="14" t="s">
        <v>71</v>
      </c>
      <c r="D2151" s="14" t="s">
        <v>74</v>
      </c>
      <c r="E2151" s="8">
        <v>-9.9</v>
      </c>
      <c r="F2151" s="13" t="s">
        <v>8</v>
      </c>
      <c r="G2151" s="14" t="s">
        <v>73</v>
      </c>
    </row>
    <row r="2152" spans="1:7" s="139" customFormat="1" hidden="1" x14ac:dyDescent="0.3">
      <c r="A2152" s="146">
        <v>45943</v>
      </c>
      <c r="B2152" s="146" t="s">
        <v>211</v>
      </c>
      <c r="C2152" s="14" t="s">
        <v>17</v>
      </c>
      <c r="D2152" s="14" t="s">
        <v>198</v>
      </c>
      <c r="E2152" s="8">
        <v>-129.13</v>
      </c>
      <c r="F2152" s="13" t="s">
        <v>8</v>
      </c>
      <c r="G2152" s="14" t="s">
        <v>73</v>
      </c>
    </row>
    <row r="2153" spans="1:7" s="139" customFormat="1" hidden="1" x14ac:dyDescent="0.3">
      <c r="A2153" s="146">
        <v>45943</v>
      </c>
      <c r="B2153" s="146" t="s">
        <v>211</v>
      </c>
      <c r="C2153" s="14" t="s">
        <v>44</v>
      </c>
      <c r="D2153" s="98" t="s">
        <v>138</v>
      </c>
      <c r="E2153" s="8">
        <v>-832.4</v>
      </c>
      <c r="F2153" s="13" t="s">
        <v>8</v>
      </c>
      <c r="G2153" s="5" t="s">
        <v>1440</v>
      </c>
    </row>
    <row r="2154" spans="1:7" s="139" customFormat="1" hidden="1" x14ac:dyDescent="0.3">
      <c r="A2154" s="146">
        <v>45946</v>
      </c>
      <c r="B2154" s="146" t="s">
        <v>211</v>
      </c>
      <c r="C2154" s="95" t="s">
        <v>71</v>
      </c>
      <c r="D2154" s="88" t="s">
        <v>74</v>
      </c>
      <c r="E2154" s="89">
        <v>-4375.75</v>
      </c>
      <c r="F2154" s="110" t="s">
        <v>8</v>
      </c>
      <c r="G2154" s="70" t="s">
        <v>73</v>
      </c>
    </row>
    <row r="2155" spans="1:7" s="139" customFormat="1" hidden="1" x14ac:dyDescent="0.3">
      <c r="A2155" s="100">
        <v>45947</v>
      </c>
      <c r="B2155" s="100" t="s">
        <v>211</v>
      </c>
      <c r="C2155" s="6" t="s">
        <v>71</v>
      </c>
      <c r="D2155" s="7" t="s">
        <v>72</v>
      </c>
      <c r="E2155" s="8">
        <v>-4347.01</v>
      </c>
      <c r="F2155" s="13" t="s">
        <v>8</v>
      </c>
      <c r="G2155" s="9" t="s">
        <v>73</v>
      </c>
    </row>
    <row r="2156" spans="1:7" s="139" customFormat="1" hidden="1" x14ac:dyDescent="0.3">
      <c r="A2156" s="100">
        <v>45947</v>
      </c>
      <c r="B2156" s="100" t="s">
        <v>211</v>
      </c>
      <c r="C2156" s="6" t="s">
        <v>71</v>
      </c>
      <c r="D2156" s="7" t="s">
        <v>72</v>
      </c>
      <c r="E2156" s="8">
        <v>-2173.96</v>
      </c>
      <c r="F2156" s="13" t="s">
        <v>8</v>
      </c>
      <c r="G2156" s="9" t="s">
        <v>73</v>
      </c>
    </row>
    <row r="2157" spans="1:7" s="139" customFormat="1" hidden="1" x14ac:dyDescent="0.3">
      <c r="A2157" s="78">
        <v>45961</v>
      </c>
      <c r="B2157" s="100" t="s">
        <v>211</v>
      </c>
      <c r="C2157" s="6" t="s">
        <v>17</v>
      </c>
      <c r="D2157" s="7" t="s">
        <v>142</v>
      </c>
      <c r="E2157" s="16">
        <v>-2530.4299999999998</v>
      </c>
      <c r="F2157" s="13" t="s">
        <v>8</v>
      </c>
      <c r="G2157" s="5" t="s">
        <v>68</v>
      </c>
    </row>
    <row r="2158" spans="1:7" s="139" customFormat="1" hidden="1" x14ac:dyDescent="0.3">
      <c r="A2158" s="78">
        <v>45961</v>
      </c>
      <c r="B2158" s="100" t="s">
        <v>211</v>
      </c>
      <c r="C2158" s="6" t="s">
        <v>17</v>
      </c>
      <c r="D2158" s="7" t="s">
        <v>142</v>
      </c>
      <c r="E2158" s="16">
        <v>-1339.5</v>
      </c>
      <c r="F2158" s="13" t="s">
        <v>8</v>
      </c>
      <c r="G2158" s="5" t="s">
        <v>68</v>
      </c>
    </row>
    <row r="2159" spans="1:7" s="139" customFormat="1" hidden="1" x14ac:dyDescent="0.3">
      <c r="A2159" s="100">
        <v>45945</v>
      </c>
      <c r="B2159" s="100" t="s">
        <v>211</v>
      </c>
      <c r="C2159" s="15" t="s">
        <v>32</v>
      </c>
      <c r="D2159" s="4" t="s">
        <v>103</v>
      </c>
      <c r="E2159" s="16">
        <v>-244.5</v>
      </c>
      <c r="F2159" s="5" t="s">
        <v>8</v>
      </c>
      <c r="G2159" s="5" t="s">
        <v>68</v>
      </c>
    </row>
    <row r="2160" spans="1:7" s="139" customFormat="1" hidden="1" x14ac:dyDescent="0.3">
      <c r="A2160" s="100">
        <v>45945</v>
      </c>
      <c r="B2160" s="100" t="s">
        <v>211</v>
      </c>
      <c r="C2160" s="15" t="s">
        <v>104</v>
      </c>
      <c r="D2160" s="4" t="s">
        <v>103</v>
      </c>
      <c r="E2160" s="16">
        <v>-300</v>
      </c>
      <c r="F2160" s="5" t="s">
        <v>8</v>
      </c>
      <c r="G2160" s="5" t="s">
        <v>68</v>
      </c>
    </row>
    <row r="2161" spans="1:7" s="139" customFormat="1" hidden="1" x14ac:dyDescent="0.3">
      <c r="A2161" s="100">
        <v>45945</v>
      </c>
      <c r="B2161" s="100" t="s">
        <v>211</v>
      </c>
      <c r="C2161" s="15" t="s">
        <v>35</v>
      </c>
      <c r="D2161" s="4" t="s">
        <v>103</v>
      </c>
      <c r="E2161" s="16">
        <v>-300</v>
      </c>
      <c r="F2161" s="5" t="s">
        <v>8</v>
      </c>
      <c r="G2161" s="5" t="s">
        <v>68</v>
      </c>
    </row>
    <row r="2162" spans="1:7" s="139" customFormat="1" hidden="1" x14ac:dyDescent="0.3">
      <c r="A2162" s="100">
        <v>45945</v>
      </c>
      <c r="B2162" s="100" t="s">
        <v>211</v>
      </c>
      <c r="C2162" s="15" t="s">
        <v>105</v>
      </c>
      <c r="D2162" s="4" t="s">
        <v>103</v>
      </c>
      <c r="E2162" s="16">
        <v>-300</v>
      </c>
      <c r="F2162" s="5" t="s">
        <v>8</v>
      </c>
      <c r="G2162" s="5" t="s">
        <v>68</v>
      </c>
    </row>
    <row r="2163" spans="1:7" s="139" customFormat="1" hidden="1" x14ac:dyDescent="0.3">
      <c r="A2163" s="100">
        <v>45945</v>
      </c>
      <c r="B2163" s="100" t="s">
        <v>211</v>
      </c>
      <c r="C2163" s="15" t="s">
        <v>106</v>
      </c>
      <c r="D2163" s="4" t="s">
        <v>103</v>
      </c>
      <c r="E2163" s="16">
        <v>-275</v>
      </c>
      <c r="F2163" s="5" t="s">
        <v>8</v>
      </c>
      <c r="G2163" s="5" t="s">
        <v>68</v>
      </c>
    </row>
    <row r="2164" spans="1:7" s="139" customFormat="1" hidden="1" x14ac:dyDescent="0.3">
      <c r="A2164" s="100">
        <v>45945</v>
      </c>
      <c r="B2164" s="100" t="s">
        <v>211</v>
      </c>
      <c r="C2164" s="15" t="s">
        <v>71</v>
      </c>
      <c r="D2164" s="4" t="s">
        <v>103</v>
      </c>
      <c r="E2164" s="16">
        <v>-300</v>
      </c>
      <c r="F2164" s="5" t="s">
        <v>8</v>
      </c>
      <c r="G2164" s="5" t="s">
        <v>68</v>
      </c>
    </row>
    <row r="2165" spans="1:7" s="139" customFormat="1" hidden="1" x14ac:dyDescent="0.3">
      <c r="A2165" s="100">
        <v>45945</v>
      </c>
      <c r="B2165" s="100" t="s">
        <v>211</v>
      </c>
      <c r="C2165" s="15" t="s">
        <v>107</v>
      </c>
      <c r="D2165" s="4" t="s">
        <v>103</v>
      </c>
      <c r="E2165" s="16">
        <v>-300</v>
      </c>
      <c r="F2165" s="5" t="s">
        <v>8</v>
      </c>
      <c r="G2165" s="5" t="s">
        <v>68</v>
      </c>
    </row>
    <row r="2166" spans="1:7" s="139" customFormat="1" hidden="1" x14ac:dyDescent="0.3">
      <c r="A2166" s="100">
        <v>45945</v>
      </c>
      <c r="B2166" s="100" t="s">
        <v>211</v>
      </c>
      <c r="C2166" s="15" t="s">
        <v>108</v>
      </c>
      <c r="D2166" s="4" t="s">
        <v>103</v>
      </c>
      <c r="E2166" s="16">
        <v>-350</v>
      </c>
      <c r="F2166" s="5" t="s">
        <v>8</v>
      </c>
      <c r="G2166" s="5" t="s">
        <v>68</v>
      </c>
    </row>
    <row r="2167" spans="1:7" s="139" customFormat="1" hidden="1" x14ac:dyDescent="0.3">
      <c r="A2167" s="100">
        <v>45945</v>
      </c>
      <c r="B2167" s="100" t="s">
        <v>211</v>
      </c>
      <c r="C2167" s="15" t="s">
        <v>109</v>
      </c>
      <c r="D2167" s="4" t="s">
        <v>103</v>
      </c>
      <c r="E2167" s="16">
        <v>-373.51</v>
      </c>
      <c r="F2167" s="5" t="s">
        <v>8</v>
      </c>
      <c r="G2167" s="5" t="s">
        <v>68</v>
      </c>
    </row>
    <row r="2168" spans="1:7" s="139" customFormat="1" hidden="1" x14ac:dyDescent="0.3">
      <c r="A2168" s="100">
        <v>45957</v>
      </c>
      <c r="B2168" s="100" t="s">
        <v>211</v>
      </c>
      <c r="C2168" s="287" t="s">
        <v>6</v>
      </c>
      <c r="D2168" s="4" t="s">
        <v>135</v>
      </c>
      <c r="E2168" s="16">
        <v>-294.8</v>
      </c>
      <c r="F2168" s="13" t="s">
        <v>8</v>
      </c>
      <c r="G2168" s="5" t="s">
        <v>136</v>
      </c>
    </row>
    <row r="2169" spans="1:7" s="139" customFormat="1" ht="14.4" hidden="1" x14ac:dyDescent="0.3">
      <c r="A2169" s="78">
        <v>45940</v>
      </c>
      <c r="B2169" s="100" t="s">
        <v>211</v>
      </c>
      <c r="C2169" s="6" t="s">
        <v>32</v>
      </c>
      <c r="D2169" s="7" t="s">
        <v>48</v>
      </c>
      <c r="E2169" s="43">
        <v>-2383.04</v>
      </c>
      <c r="F2169" s="13" t="s">
        <v>8</v>
      </c>
      <c r="G2169" s="9" t="s">
        <v>49</v>
      </c>
    </row>
    <row r="2170" spans="1:7" s="139" customFormat="1" hidden="1" x14ac:dyDescent="0.3">
      <c r="A2170" s="78">
        <v>45961</v>
      </c>
      <c r="B2170" s="100" t="s">
        <v>211</v>
      </c>
      <c r="C2170" s="12" t="s">
        <v>44</v>
      </c>
      <c r="D2170" s="4" t="s">
        <v>158</v>
      </c>
      <c r="E2170" s="16">
        <v>-1719.53</v>
      </c>
      <c r="F2170" s="13" t="s">
        <v>8</v>
      </c>
      <c r="G2170" s="13" t="s">
        <v>91</v>
      </c>
    </row>
    <row r="2171" spans="1:7" s="139" customFormat="1" hidden="1" x14ac:dyDescent="0.3">
      <c r="A2171" s="78">
        <v>45961</v>
      </c>
      <c r="B2171" s="100" t="s">
        <v>211</v>
      </c>
      <c r="C2171" s="12" t="s">
        <v>6</v>
      </c>
      <c r="D2171" s="4" t="s">
        <v>158</v>
      </c>
      <c r="E2171" s="16">
        <v>-1392.65</v>
      </c>
      <c r="F2171" s="13" t="s">
        <v>8</v>
      </c>
      <c r="G2171" s="13" t="s">
        <v>91</v>
      </c>
    </row>
    <row r="2172" spans="1:7" s="139" customFormat="1" hidden="1" x14ac:dyDescent="0.3">
      <c r="A2172" s="74">
        <v>45961</v>
      </c>
      <c r="B2172" s="113" t="s">
        <v>211</v>
      </c>
      <c r="C2172" s="106" t="s">
        <v>80</v>
      </c>
      <c r="D2172" s="107" t="s">
        <v>157</v>
      </c>
      <c r="E2172" s="145">
        <v>-9000</v>
      </c>
      <c r="F2172" s="27" t="s">
        <v>8</v>
      </c>
      <c r="G2172" s="180" t="s">
        <v>124</v>
      </c>
    </row>
    <row r="2173" spans="1:7" hidden="1" x14ac:dyDescent="0.3">
      <c r="A2173" s="123">
        <v>45961</v>
      </c>
      <c r="B2173" s="123" t="s">
        <v>211</v>
      </c>
      <c r="C2173" s="120" t="s">
        <v>177</v>
      </c>
      <c r="D2173" s="29" t="s">
        <v>184</v>
      </c>
      <c r="E2173" s="58">
        <v>2373.8200000000002</v>
      </c>
      <c r="F2173" s="55" t="s">
        <v>161</v>
      </c>
      <c r="G2173" s="61" t="s">
        <v>162</v>
      </c>
    </row>
    <row r="2174" spans="1:7" hidden="1" x14ac:dyDescent="0.3">
      <c r="A2174" s="123">
        <v>45961</v>
      </c>
      <c r="B2174" s="123" t="s">
        <v>211</v>
      </c>
      <c r="C2174" s="120" t="s">
        <v>177</v>
      </c>
      <c r="D2174" s="29" t="s">
        <v>184</v>
      </c>
      <c r="E2174" s="58">
        <v>5823.82</v>
      </c>
      <c r="F2174" s="55" t="s">
        <v>161</v>
      </c>
      <c r="G2174" s="61" t="s">
        <v>162</v>
      </c>
    </row>
    <row r="2175" spans="1:7" hidden="1" x14ac:dyDescent="0.3">
      <c r="A2175" s="123">
        <v>45961</v>
      </c>
      <c r="B2175" s="123" t="s">
        <v>211</v>
      </c>
      <c r="C2175" s="120" t="s">
        <v>177</v>
      </c>
      <c r="D2175" s="29" t="s">
        <v>184</v>
      </c>
      <c r="E2175" s="58">
        <v>7526.95</v>
      </c>
      <c r="F2175" s="55" t="s">
        <v>161</v>
      </c>
      <c r="G2175" s="61" t="s">
        <v>162</v>
      </c>
    </row>
    <row r="2176" spans="1:7" hidden="1" x14ac:dyDescent="0.3">
      <c r="A2176" s="123">
        <v>45961</v>
      </c>
      <c r="B2176" s="123" t="s">
        <v>211</v>
      </c>
      <c r="C2176" s="120" t="s">
        <v>177</v>
      </c>
      <c r="D2176" s="29" t="s">
        <v>184</v>
      </c>
      <c r="E2176" s="58">
        <v>25756.63</v>
      </c>
      <c r="F2176" s="55" t="s">
        <v>161</v>
      </c>
      <c r="G2176" s="61" t="s">
        <v>162</v>
      </c>
    </row>
    <row r="2177" spans="1:7" s="139" customFormat="1" hidden="1" x14ac:dyDescent="0.3">
      <c r="A2177" s="146">
        <v>45940</v>
      </c>
      <c r="B2177" s="146" t="s">
        <v>211</v>
      </c>
      <c r="C2177" s="108" t="s">
        <v>31</v>
      </c>
      <c r="D2177" s="12" t="s">
        <v>775</v>
      </c>
      <c r="E2177" s="16">
        <v>-3000</v>
      </c>
      <c r="F2177" s="110" t="s">
        <v>8</v>
      </c>
      <c r="G2177" s="24" t="s">
        <v>58</v>
      </c>
    </row>
    <row r="2178" spans="1:7" s="139" customFormat="1" hidden="1" x14ac:dyDescent="0.3">
      <c r="A2178" s="78">
        <v>45961</v>
      </c>
      <c r="B2178" s="100" t="s">
        <v>211</v>
      </c>
      <c r="C2178" s="12" t="s">
        <v>13</v>
      </c>
      <c r="D2178" s="4" t="s">
        <v>149</v>
      </c>
      <c r="E2178" s="16">
        <v>-800</v>
      </c>
      <c r="F2178" s="13" t="s">
        <v>8</v>
      </c>
      <c r="G2178" s="5" t="s">
        <v>150</v>
      </c>
    </row>
    <row r="2179" spans="1:7" s="139" customFormat="1" hidden="1" x14ac:dyDescent="0.3">
      <c r="A2179" s="100">
        <v>45947</v>
      </c>
      <c r="B2179" s="100" t="s">
        <v>211</v>
      </c>
      <c r="C2179" s="6" t="s">
        <v>6</v>
      </c>
      <c r="D2179" s="7" t="s">
        <v>75</v>
      </c>
      <c r="E2179" s="8">
        <v>-20000</v>
      </c>
      <c r="F2179" s="13" t="s">
        <v>8</v>
      </c>
      <c r="G2179" s="9" t="s">
        <v>75</v>
      </c>
    </row>
    <row r="2180" spans="1:7" s="139" customFormat="1" hidden="1" x14ac:dyDescent="0.3">
      <c r="A2180" s="113">
        <v>45950</v>
      </c>
      <c r="B2180" s="100" t="s">
        <v>211</v>
      </c>
      <c r="C2180" s="15" t="s">
        <v>6</v>
      </c>
      <c r="D2180" s="4" t="s">
        <v>120</v>
      </c>
      <c r="E2180" s="16">
        <v>-600</v>
      </c>
      <c r="F2180" s="13" t="s">
        <v>8</v>
      </c>
      <c r="G2180" s="91" t="s">
        <v>19</v>
      </c>
    </row>
    <row r="2181" spans="1:7" x14ac:dyDescent="0.3">
      <c r="A2181" s="123">
        <v>45911</v>
      </c>
      <c r="B2181" s="123" t="s">
        <v>208</v>
      </c>
      <c r="C2181" s="120" t="s">
        <v>177</v>
      </c>
      <c r="D2181" s="122" t="s">
        <v>178</v>
      </c>
      <c r="E2181" s="53">
        <v>2284.4499999999998</v>
      </c>
      <c r="F2181" s="55" t="s">
        <v>161</v>
      </c>
      <c r="G2181" s="61" t="s">
        <v>162</v>
      </c>
    </row>
    <row r="2182" spans="1:7" hidden="1" x14ac:dyDescent="0.3">
      <c r="A2182" s="271">
        <v>45943</v>
      </c>
      <c r="B2182" s="271" t="s">
        <v>211</v>
      </c>
      <c r="C2182" s="233" t="s">
        <v>177</v>
      </c>
      <c r="D2182" s="505" t="s">
        <v>178</v>
      </c>
      <c r="E2182" s="221">
        <v>24988.71</v>
      </c>
      <c r="F2182" s="67" t="s">
        <v>161</v>
      </c>
      <c r="G2182" s="236" t="s">
        <v>162</v>
      </c>
    </row>
    <row r="2183" spans="1:7" hidden="1" x14ac:dyDescent="0.3">
      <c r="A2183" s="123">
        <v>45943</v>
      </c>
      <c r="B2183" s="123" t="s">
        <v>211</v>
      </c>
      <c r="C2183" s="120" t="s">
        <v>177</v>
      </c>
      <c r="D2183" s="122" t="s">
        <v>178</v>
      </c>
      <c r="E2183" s="53">
        <v>16834.330000000002</v>
      </c>
      <c r="F2183" s="55" t="s">
        <v>161</v>
      </c>
      <c r="G2183" s="61" t="s">
        <v>162</v>
      </c>
    </row>
    <row r="2184" spans="1:7" hidden="1" x14ac:dyDescent="0.3">
      <c r="A2184" s="123">
        <v>45943</v>
      </c>
      <c r="B2184" s="123" t="s">
        <v>211</v>
      </c>
      <c r="C2184" s="120" t="s">
        <v>177</v>
      </c>
      <c r="D2184" s="122" t="s">
        <v>178</v>
      </c>
      <c r="E2184" s="53">
        <v>268.13</v>
      </c>
      <c r="F2184" s="55" t="s">
        <v>161</v>
      </c>
      <c r="G2184" s="61" t="s">
        <v>162</v>
      </c>
    </row>
    <row r="2185" spans="1:7" hidden="1" x14ac:dyDescent="0.3">
      <c r="A2185" s="123">
        <v>45952</v>
      </c>
      <c r="B2185" s="123" t="s">
        <v>211</v>
      </c>
      <c r="C2185" s="120" t="s">
        <v>177</v>
      </c>
      <c r="D2185" s="122" t="s">
        <v>178</v>
      </c>
      <c r="E2185" s="53">
        <v>2284.4499999999998</v>
      </c>
      <c r="F2185" s="55" t="s">
        <v>161</v>
      </c>
      <c r="G2185" s="61" t="s">
        <v>162</v>
      </c>
    </row>
    <row r="2186" spans="1:7" s="139" customFormat="1" hidden="1" x14ac:dyDescent="0.3">
      <c r="A2186" s="146">
        <v>45940</v>
      </c>
      <c r="B2186" s="146" t="s">
        <v>211</v>
      </c>
      <c r="C2186" s="198" t="s">
        <v>66</v>
      </c>
      <c r="D2186" s="4" t="s">
        <v>67</v>
      </c>
      <c r="E2186" s="8">
        <v>-395.73</v>
      </c>
      <c r="F2186" s="110" t="s">
        <v>8</v>
      </c>
      <c r="G2186" s="24" t="s">
        <v>68</v>
      </c>
    </row>
    <row r="2187" spans="1:7" s="139" customFormat="1" hidden="1" x14ac:dyDescent="0.3">
      <c r="A2187" s="100">
        <v>45946</v>
      </c>
      <c r="B2187" s="100" t="s">
        <v>211</v>
      </c>
      <c r="C2187" s="12" t="s">
        <v>6</v>
      </c>
      <c r="D2187" s="4" t="s">
        <v>102</v>
      </c>
      <c r="E2187" s="16">
        <v>-139.25</v>
      </c>
      <c r="F2187" s="13" t="s">
        <v>8</v>
      </c>
      <c r="G2187" s="5" t="s">
        <v>99</v>
      </c>
    </row>
    <row r="2188" spans="1:7" s="139" customFormat="1" hidden="1" x14ac:dyDescent="0.3">
      <c r="A2188" s="100">
        <v>45946</v>
      </c>
      <c r="B2188" s="100" t="s">
        <v>211</v>
      </c>
      <c r="C2188" s="12" t="s">
        <v>6</v>
      </c>
      <c r="D2188" s="4" t="s">
        <v>98</v>
      </c>
      <c r="E2188" s="16">
        <v>-141.69999999999999</v>
      </c>
      <c r="F2188" s="13" t="s">
        <v>8</v>
      </c>
      <c r="G2188" s="5" t="s">
        <v>99</v>
      </c>
    </row>
    <row r="2189" spans="1:7" s="139" customFormat="1" hidden="1" x14ac:dyDescent="0.3">
      <c r="A2189" s="100">
        <v>45946</v>
      </c>
      <c r="B2189" s="100" t="s">
        <v>211</v>
      </c>
      <c r="C2189" s="12" t="s">
        <v>6</v>
      </c>
      <c r="D2189" s="4" t="s">
        <v>100</v>
      </c>
      <c r="E2189" s="16">
        <v>-141.69999999999999</v>
      </c>
      <c r="F2189" s="13" t="s">
        <v>8</v>
      </c>
      <c r="G2189" s="5" t="s">
        <v>99</v>
      </c>
    </row>
    <row r="2190" spans="1:7" s="139" customFormat="1" hidden="1" x14ac:dyDescent="0.3">
      <c r="A2190" s="100">
        <v>45946</v>
      </c>
      <c r="B2190" s="100" t="s">
        <v>211</v>
      </c>
      <c r="C2190" s="12" t="s">
        <v>6</v>
      </c>
      <c r="D2190" s="4" t="s">
        <v>101</v>
      </c>
      <c r="E2190" s="16">
        <v>-141.69999999999999</v>
      </c>
      <c r="F2190" s="13" t="s">
        <v>8</v>
      </c>
      <c r="G2190" s="5" t="s">
        <v>99</v>
      </c>
    </row>
    <row r="2191" spans="1:7" s="139" customFormat="1" hidden="1" x14ac:dyDescent="0.3">
      <c r="A2191" s="100">
        <v>45936</v>
      </c>
      <c r="B2191" s="100" t="s">
        <v>211</v>
      </c>
      <c r="C2191" s="12" t="s">
        <v>6</v>
      </c>
      <c r="D2191" s="4" t="s">
        <v>40</v>
      </c>
      <c r="E2191" s="10">
        <v>-452014.32</v>
      </c>
      <c r="F2191" s="13" t="s">
        <v>8</v>
      </c>
      <c r="G2191" s="5" t="s">
        <v>41</v>
      </c>
    </row>
    <row r="2192" spans="1:7" s="139" customFormat="1" hidden="1" x14ac:dyDescent="0.3">
      <c r="A2192" s="100">
        <v>45945</v>
      </c>
      <c r="B2192" s="100" t="s">
        <v>211</v>
      </c>
      <c r="C2192" s="12" t="s">
        <v>6</v>
      </c>
      <c r="D2192" s="4" t="s">
        <v>89</v>
      </c>
      <c r="E2192" s="16">
        <v>-6500</v>
      </c>
      <c r="F2192" s="5" t="s">
        <v>8</v>
      </c>
      <c r="G2192" s="5" t="s">
        <v>63</v>
      </c>
    </row>
    <row r="2193" spans="1:7" s="139" customFormat="1" hidden="1" x14ac:dyDescent="0.3">
      <c r="A2193" s="100">
        <v>45940</v>
      </c>
      <c r="B2193" s="100" t="s">
        <v>211</v>
      </c>
      <c r="C2193" s="12" t="s">
        <v>6</v>
      </c>
      <c r="D2193" s="4" t="s">
        <v>52</v>
      </c>
      <c r="E2193" s="16">
        <v>-204.25</v>
      </c>
      <c r="F2193" s="13" t="s">
        <v>8</v>
      </c>
      <c r="G2193" s="5" t="s">
        <v>53</v>
      </c>
    </row>
    <row r="2194" spans="1:7" s="139" customFormat="1" hidden="1" x14ac:dyDescent="0.3">
      <c r="A2194" s="100">
        <v>45944</v>
      </c>
      <c r="B2194" s="100" t="s">
        <v>211</v>
      </c>
      <c r="C2194" s="12" t="s">
        <v>6</v>
      </c>
      <c r="D2194" s="4" t="s">
        <v>566</v>
      </c>
      <c r="E2194" s="16">
        <v>-2012.45</v>
      </c>
      <c r="F2194" s="13" t="s">
        <v>8</v>
      </c>
      <c r="G2194" s="9" t="s">
        <v>46</v>
      </c>
    </row>
    <row r="2195" spans="1:7" s="139" customFormat="1" hidden="1" x14ac:dyDescent="0.3">
      <c r="A2195" s="100">
        <v>45946</v>
      </c>
      <c r="B2195" s="100" t="s">
        <v>211</v>
      </c>
      <c r="C2195" s="12" t="s">
        <v>6</v>
      </c>
      <c r="D2195" s="111" t="s">
        <v>196</v>
      </c>
      <c r="E2195" s="112">
        <v>-1905.5</v>
      </c>
      <c r="F2195" s="13" t="s">
        <v>8</v>
      </c>
      <c r="G2195" s="5" t="s">
        <v>51</v>
      </c>
    </row>
    <row r="2196" spans="1:7" s="139" customFormat="1" hidden="1" x14ac:dyDescent="0.3">
      <c r="A2196" s="113">
        <v>45950</v>
      </c>
      <c r="B2196" s="100" t="s">
        <v>211</v>
      </c>
      <c r="C2196" s="572" t="s">
        <v>31</v>
      </c>
      <c r="D2196" s="572" t="s">
        <v>1564</v>
      </c>
      <c r="E2196" s="608">
        <v>-1240</v>
      </c>
      <c r="F2196" s="13" t="s">
        <v>8</v>
      </c>
      <c r="G2196" s="5" t="s">
        <v>186</v>
      </c>
    </row>
    <row r="2197" spans="1:7" s="139" customFormat="1" hidden="1" x14ac:dyDescent="0.3">
      <c r="A2197" s="100">
        <v>45950</v>
      </c>
      <c r="B2197" s="100" t="s">
        <v>211</v>
      </c>
      <c r="C2197" s="12" t="s">
        <v>6</v>
      </c>
      <c r="D2197" s="4" t="s">
        <v>123</v>
      </c>
      <c r="E2197" s="16">
        <v>-20000</v>
      </c>
      <c r="F2197" s="13" t="s">
        <v>8</v>
      </c>
      <c r="G2197" s="105" t="s">
        <v>124</v>
      </c>
    </row>
    <row r="2198" spans="1:7" s="139" customFormat="1" hidden="1" x14ac:dyDescent="0.3">
      <c r="A2198" s="78">
        <v>45961</v>
      </c>
      <c r="B2198" s="100" t="s">
        <v>211</v>
      </c>
      <c r="C2198" s="12" t="s">
        <v>6</v>
      </c>
      <c r="D2198" s="4" t="s">
        <v>144</v>
      </c>
      <c r="E2198" s="16">
        <v>-35000</v>
      </c>
      <c r="F2198" s="13" t="s">
        <v>8</v>
      </c>
      <c r="G2198" s="105" t="s">
        <v>124</v>
      </c>
    </row>
    <row r="2199" spans="1:7" s="139" customFormat="1" hidden="1" x14ac:dyDescent="0.3">
      <c r="A2199" s="100">
        <v>45946</v>
      </c>
      <c r="B2199" s="100" t="s">
        <v>211</v>
      </c>
      <c r="C2199" s="12" t="s">
        <v>6</v>
      </c>
      <c r="D2199" s="4" t="s">
        <v>113</v>
      </c>
      <c r="E2199" s="16">
        <v>-30</v>
      </c>
      <c r="F2199" s="13" t="s">
        <v>8</v>
      </c>
      <c r="G2199" s="5" t="s">
        <v>51</v>
      </c>
    </row>
    <row r="2200" spans="1:7" s="139" customFormat="1" hidden="1" x14ac:dyDescent="0.3">
      <c r="A2200" s="100">
        <v>45946</v>
      </c>
      <c r="B2200" s="100" t="s">
        <v>211</v>
      </c>
      <c r="C2200" s="12" t="s">
        <v>6</v>
      </c>
      <c r="D2200" s="4" t="s">
        <v>114</v>
      </c>
      <c r="E2200" s="16">
        <v>-10000</v>
      </c>
      <c r="F2200" s="13" t="s">
        <v>8</v>
      </c>
      <c r="G2200" s="5" t="s">
        <v>51</v>
      </c>
    </row>
    <row r="2201" spans="1:7" s="139" customFormat="1" hidden="1" x14ac:dyDescent="0.3">
      <c r="A2201" s="100">
        <v>45946</v>
      </c>
      <c r="B2201" s="100" t="s">
        <v>211</v>
      </c>
      <c r="C2201" s="14" t="s">
        <v>17</v>
      </c>
      <c r="D2201" s="14" t="s">
        <v>1563</v>
      </c>
      <c r="E2201" s="8">
        <v>-1000</v>
      </c>
      <c r="F2201" s="13" t="s">
        <v>8</v>
      </c>
      <c r="G2201" s="5" t="s">
        <v>186</v>
      </c>
    </row>
    <row r="2202" spans="1:7" s="139" customFormat="1" hidden="1" x14ac:dyDescent="0.3">
      <c r="A2202" s="100">
        <v>45946</v>
      </c>
      <c r="B2202" s="100" t="s">
        <v>211</v>
      </c>
      <c r="C2202" s="14" t="s">
        <v>44</v>
      </c>
      <c r="D2202" s="14" t="s">
        <v>417</v>
      </c>
      <c r="E2202" s="8">
        <v>-930.49</v>
      </c>
      <c r="F2202" s="13" t="s">
        <v>8</v>
      </c>
      <c r="G2202" s="5" t="s">
        <v>46</v>
      </c>
    </row>
    <row r="2203" spans="1:7" s="139" customFormat="1" hidden="1" x14ac:dyDescent="0.3">
      <c r="A2203" s="100">
        <v>45946</v>
      </c>
      <c r="B2203" s="100" t="s">
        <v>211</v>
      </c>
      <c r="C2203" s="14" t="s">
        <v>17</v>
      </c>
      <c r="D2203" s="14" t="s">
        <v>201</v>
      </c>
      <c r="E2203" s="8">
        <v>-450</v>
      </c>
      <c r="F2203" s="13" t="s">
        <v>8</v>
      </c>
      <c r="G2203" s="5" t="s">
        <v>1440</v>
      </c>
    </row>
    <row r="2204" spans="1:7" s="139" customFormat="1" hidden="1" x14ac:dyDescent="0.3">
      <c r="A2204" s="100">
        <v>45946</v>
      </c>
      <c r="B2204" s="100" t="s">
        <v>211</v>
      </c>
      <c r="C2204" s="14" t="s">
        <v>44</v>
      </c>
      <c r="D2204" s="14" t="s">
        <v>1562</v>
      </c>
      <c r="E2204" s="8">
        <v>-675</v>
      </c>
      <c r="F2204" s="13" t="s">
        <v>8</v>
      </c>
      <c r="G2204" s="5" t="s">
        <v>1064</v>
      </c>
    </row>
    <row r="2205" spans="1:7" s="139" customFormat="1" hidden="1" x14ac:dyDescent="0.3">
      <c r="A2205" s="100">
        <v>45946</v>
      </c>
      <c r="B2205" s="100" t="s">
        <v>211</v>
      </c>
      <c r="C2205" s="14" t="s">
        <v>44</v>
      </c>
      <c r="D2205" s="14" t="s">
        <v>226</v>
      </c>
      <c r="E2205" s="8">
        <v>-1658.93</v>
      </c>
      <c r="F2205" s="13" t="s">
        <v>8</v>
      </c>
      <c r="G2205" s="5" t="s">
        <v>1279</v>
      </c>
    </row>
    <row r="2206" spans="1:7" s="139" customFormat="1" hidden="1" x14ac:dyDescent="0.3">
      <c r="A2206" s="100">
        <v>45946</v>
      </c>
      <c r="B2206" s="100" t="s">
        <v>211</v>
      </c>
      <c r="C2206" s="14" t="s">
        <v>71</v>
      </c>
      <c r="D2206" s="14" t="s">
        <v>229</v>
      </c>
      <c r="E2206" s="8">
        <v>-467.6</v>
      </c>
      <c r="F2206" s="13" t="s">
        <v>8</v>
      </c>
      <c r="G2206" s="5" t="s">
        <v>1279</v>
      </c>
    </row>
    <row r="2207" spans="1:7" s="139" customFormat="1" hidden="1" x14ac:dyDescent="0.3">
      <c r="A2207" s="100">
        <v>45946</v>
      </c>
      <c r="B2207" s="100" t="s">
        <v>211</v>
      </c>
      <c r="C2207" s="14" t="s">
        <v>71</v>
      </c>
      <c r="D2207" s="14" t="s">
        <v>205</v>
      </c>
      <c r="E2207" s="8">
        <v>-827.13</v>
      </c>
      <c r="F2207" s="13" t="s">
        <v>8</v>
      </c>
      <c r="G2207" s="5" t="s">
        <v>1279</v>
      </c>
    </row>
    <row r="2208" spans="1:7" s="139" customFormat="1" hidden="1" x14ac:dyDescent="0.3">
      <c r="A2208" s="100">
        <v>45946</v>
      </c>
      <c r="B2208" s="100" t="s">
        <v>211</v>
      </c>
      <c r="C2208" s="12" t="s">
        <v>31</v>
      </c>
      <c r="D2208" s="111" t="s">
        <v>195</v>
      </c>
      <c r="E2208" s="112">
        <v>-630</v>
      </c>
      <c r="F2208" s="13" t="s">
        <v>8</v>
      </c>
      <c r="G2208" s="5" t="s">
        <v>51</v>
      </c>
    </row>
    <row r="2209" spans="1:7" s="139" customFormat="1" hidden="1" x14ac:dyDescent="0.3">
      <c r="A2209" s="100">
        <v>45947</v>
      </c>
      <c r="B2209" s="100" t="s">
        <v>211</v>
      </c>
      <c r="C2209" s="14" t="s">
        <v>17</v>
      </c>
      <c r="D2209" s="14" t="s">
        <v>389</v>
      </c>
      <c r="E2209" s="8">
        <v>-101.149987</v>
      </c>
      <c r="F2209" s="13" t="s">
        <v>8</v>
      </c>
      <c r="G2209" s="5" t="s">
        <v>1279</v>
      </c>
    </row>
    <row r="2210" spans="1:7" s="139" customFormat="1" hidden="1" x14ac:dyDescent="0.3">
      <c r="A2210" s="100">
        <v>45947</v>
      </c>
      <c r="B2210" s="100" t="s">
        <v>211</v>
      </c>
      <c r="C2210" s="14" t="s">
        <v>17</v>
      </c>
      <c r="D2210" s="14" t="s">
        <v>389</v>
      </c>
      <c r="E2210" s="8">
        <v>-109.06</v>
      </c>
      <c r="F2210" s="13" t="s">
        <v>8</v>
      </c>
      <c r="G2210" s="5" t="s">
        <v>1279</v>
      </c>
    </row>
    <row r="2211" spans="1:7" s="139" customFormat="1" hidden="1" x14ac:dyDescent="0.3">
      <c r="A2211" s="100">
        <v>45947</v>
      </c>
      <c r="B2211" s="100" t="s">
        <v>211</v>
      </c>
      <c r="C2211" s="14" t="s">
        <v>17</v>
      </c>
      <c r="D2211" s="14" t="s">
        <v>389</v>
      </c>
      <c r="E2211" s="8">
        <v>-7.9100130000000002</v>
      </c>
      <c r="F2211" s="13" t="s">
        <v>8</v>
      </c>
      <c r="G2211" s="5" t="s">
        <v>1279</v>
      </c>
    </row>
    <row r="2212" spans="1:7" s="139" customFormat="1" hidden="1" x14ac:dyDescent="0.3">
      <c r="A2212" s="100">
        <v>45947</v>
      </c>
      <c r="B2212" s="100" t="s">
        <v>211</v>
      </c>
      <c r="C2212" s="14" t="s">
        <v>44</v>
      </c>
      <c r="D2212" s="14" t="s">
        <v>560</v>
      </c>
      <c r="E2212" s="8">
        <v>-1651.54</v>
      </c>
      <c r="F2212" s="13" t="s">
        <v>8</v>
      </c>
      <c r="G2212" s="5" t="s">
        <v>1064</v>
      </c>
    </row>
    <row r="2213" spans="1:7" s="139" customFormat="1" hidden="1" x14ac:dyDescent="0.3">
      <c r="A2213" s="100">
        <v>45947</v>
      </c>
      <c r="B2213" s="100" t="s">
        <v>211</v>
      </c>
      <c r="C2213" s="14" t="s">
        <v>25</v>
      </c>
      <c r="D2213" s="14" t="s">
        <v>1527</v>
      </c>
      <c r="E2213" s="8">
        <v>-200</v>
      </c>
      <c r="F2213" s="13" t="s">
        <v>8</v>
      </c>
      <c r="G2213" s="5" t="s">
        <v>153</v>
      </c>
    </row>
    <row r="2214" spans="1:7" s="139" customFormat="1" hidden="1" x14ac:dyDescent="0.3">
      <c r="A2214" s="100">
        <v>45947</v>
      </c>
      <c r="B2214" s="100" t="s">
        <v>211</v>
      </c>
      <c r="C2214" s="14" t="s">
        <v>17</v>
      </c>
      <c r="D2214" s="14" t="s">
        <v>201</v>
      </c>
      <c r="E2214" s="8">
        <v>-180</v>
      </c>
      <c r="F2214" s="13" t="s">
        <v>8</v>
      </c>
      <c r="G2214" s="5" t="s">
        <v>1440</v>
      </c>
    </row>
    <row r="2215" spans="1:7" s="139" customFormat="1" hidden="1" x14ac:dyDescent="0.3">
      <c r="A2215" s="100">
        <v>45947</v>
      </c>
      <c r="B2215" s="100" t="s">
        <v>211</v>
      </c>
      <c r="C2215" s="6" t="s">
        <v>13</v>
      </c>
      <c r="D2215" s="4" t="s">
        <v>1624</v>
      </c>
      <c r="E2215" s="16">
        <v>-5996.67</v>
      </c>
      <c r="F2215" s="13" t="s">
        <v>8</v>
      </c>
      <c r="G2215" s="9" t="s">
        <v>46</v>
      </c>
    </row>
    <row r="2216" spans="1:7" s="139" customFormat="1" hidden="1" x14ac:dyDescent="0.3">
      <c r="A2216" s="100">
        <v>45936</v>
      </c>
      <c r="B2216" s="100" t="s">
        <v>211</v>
      </c>
      <c r="C2216" s="12" t="s">
        <v>6</v>
      </c>
      <c r="D2216" s="4" t="s">
        <v>28</v>
      </c>
      <c r="E2216" s="16">
        <v>-349</v>
      </c>
      <c r="F2216" s="13" t="s">
        <v>8</v>
      </c>
      <c r="G2216" s="5" t="s">
        <v>29</v>
      </c>
    </row>
    <row r="2217" spans="1:7" s="139" customFormat="1" hidden="1" x14ac:dyDescent="0.3">
      <c r="A2217" s="100">
        <v>45936</v>
      </c>
      <c r="B2217" s="100" t="s">
        <v>211</v>
      </c>
      <c r="C2217" s="12" t="s">
        <v>30</v>
      </c>
      <c r="D2217" s="4" t="s">
        <v>28</v>
      </c>
      <c r="E2217" s="16">
        <v>-389</v>
      </c>
      <c r="F2217" s="13" t="s">
        <v>8</v>
      </c>
      <c r="G2217" s="5" t="s">
        <v>29</v>
      </c>
    </row>
    <row r="2218" spans="1:7" s="139" customFormat="1" hidden="1" x14ac:dyDescent="0.3">
      <c r="A2218" s="100">
        <v>45936</v>
      </c>
      <c r="B2218" s="100" t="s">
        <v>211</v>
      </c>
      <c r="C2218" s="12" t="s">
        <v>25</v>
      </c>
      <c r="D2218" s="4" t="s">
        <v>28</v>
      </c>
      <c r="E2218" s="16">
        <v>-349</v>
      </c>
      <c r="F2218" s="13" t="s">
        <v>8</v>
      </c>
      <c r="G2218" s="5" t="s">
        <v>29</v>
      </c>
    </row>
    <row r="2219" spans="1:7" s="139" customFormat="1" hidden="1" x14ac:dyDescent="0.3">
      <c r="A2219" s="100">
        <v>45936</v>
      </c>
      <c r="B2219" s="100" t="s">
        <v>211</v>
      </c>
      <c r="C2219" s="12" t="s">
        <v>31</v>
      </c>
      <c r="D2219" s="4" t="s">
        <v>28</v>
      </c>
      <c r="E2219" s="16">
        <v>-349</v>
      </c>
      <c r="F2219" s="13" t="s">
        <v>8</v>
      </c>
      <c r="G2219" s="5" t="s">
        <v>29</v>
      </c>
    </row>
    <row r="2220" spans="1:7" s="139" customFormat="1" hidden="1" x14ac:dyDescent="0.3">
      <c r="A2220" s="100">
        <v>45936</v>
      </c>
      <c r="B2220" s="100" t="s">
        <v>211</v>
      </c>
      <c r="C2220" s="12" t="s">
        <v>32</v>
      </c>
      <c r="D2220" s="4" t="s">
        <v>28</v>
      </c>
      <c r="E2220" s="16">
        <v>-389</v>
      </c>
      <c r="F2220" s="13" t="s">
        <v>8</v>
      </c>
      <c r="G2220" s="5" t="s">
        <v>29</v>
      </c>
    </row>
    <row r="2221" spans="1:7" s="139" customFormat="1" hidden="1" x14ac:dyDescent="0.3">
      <c r="A2221" s="100">
        <v>45936</v>
      </c>
      <c r="B2221" s="100" t="s">
        <v>211</v>
      </c>
      <c r="C2221" s="287" t="s">
        <v>33</v>
      </c>
      <c r="D2221" s="4" t="s">
        <v>28</v>
      </c>
      <c r="E2221" s="16">
        <v>-389</v>
      </c>
      <c r="F2221" s="13" t="s">
        <v>8</v>
      </c>
      <c r="G2221" s="5" t="s">
        <v>29</v>
      </c>
    </row>
    <row r="2222" spans="1:7" s="139" customFormat="1" hidden="1" x14ac:dyDescent="0.3">
      <c r="A2222" s="100">
        <v>45936</v>
      </c>
      <c r="B2222" s="100" t="s">
        <v>211</v>
      </c>
      <c r="C2222" s="287" t="s">
        <v>34</v>
      </c>
      <c r="D2222" s="4" t="s">
        <v>28</v>
      </c>
      <c r="E2222" s="16">
        <v>-389</v>
      </c>
      <c r="F2222" s="13" t="s">
        <v>8</v>
      </c>
      <c r="G2222" s="5" t="s">
        <v>29</v>
      </c>
    </row>
    <row r="2223" spans="1:7" s="139" customFormat="1" hidden="1" x14ac:dyDescent="0.3">
      <c r="A2223" s="100">
        <v>45945</v>
      </c>
      <c r="B2223" s="100" t="s">
        <v>211</v>
      </c>
      <c r="C2223" s="12" t="s">
        <v>6</v>
      </c>
      <c r="D2223" s="4" t="s">
        <v>92</v>
      </c>
      <c r="E2223" s="16">
        <v>-171.1</v>
      </c>
      <c r="F2223" s="13" t="s">
        <v>8</v>
      </c>
      <c r="G2223" s="5" t="s">
        <v>29</v>
      </c>
    </row>
    <row r="2224" spans="1:7" s="139" customFormat="1" hidden="1" x14ac:dyDescent="0.3">
      <c r="A2224" s="100">
        <v>45945</v>
      </c>
      <c r="B2224" s="100" t="s">
        <v>211</v>
      </c>
      <c r="C2224" s="12" t="s">
        <v>44</v>
      </c>
      <c r="D2224" s="4" t="s">
        <v>92</v>
      </c>
      <c r="E2224" s="16">
        <v>-171.1</v>
      </c>
      <c r="F2224" s="13" t="s">
        <v>8</v>
      </c>
      <c r="G2224" s="5" t="s">
        <v>29</v>
      </c>
    </row>
    <row r="2225" spans="1:7" s="139" customFormat="1" hidden="1" x14ac:dyDescent="0.3">
      <c r="A2225" s="100">
        <v>45945</v>
      </c>
      <c r="B2225" s="100" t="s">
        <v>211</v>
      </c>
      <c r="C2225" s="12" t="s">
        <v>13</v>
      </c>
      <c r="D2225" s="4" t="s">
        <v>92</v>
      </c>
      <c r="E2225" s="16">
        <v>-171.1</v>
      </c>
      <c r="F2225" s="13" t="s">
        <v>8</v>
      </c>
      <c r="G2225" s="5" t="s">
        <v>29</v>
      </c>
    </row>
    <row r="2226" spans="1:7" s="139" customFormat="1" hidden="1" x14ac:dyDescent="0.3">
      <c r="A2226" s="100">
        <v>45945</v>
      </c>
      <c r="B2226" s="100" t="s">
        <v>211</v>
      </c>
      <c r="C2226" s="12" t="s">
        <v>648</v>
      </c>
      <c r="D2226" s="4" t="s">
        <v>92</v>
      </c>
      <c r="E2226" s="16">
        <v>-171.1</v>
      </c>
      <c r="F2226" s="13" t="s">
        <v>8</v>
      </c>
      <c r="G2226" s="5" t="s">
        <v>29</v>
      </c>
    </row>
    <row r="2227" spans="1:7" s="139" customFormat="1" hidden="1" x14ac:dyDescent="0.3">
      <c r="A2227" s="100">
        <v>45945</v>
      </c>
      <c r="B2227" s="100" t="s">
        <v>211</v>
      </c>
      <c r="C2227" s="12" t="s">
        <v>31</v>
      </c>
      <c r="D2227" s="4" t="s">
        <v>92</v>
      </c>
      <c r="E2227" s="16">
        <v>-171.1</v>
      </c>
      <c r="F2227" s="13" t="s">
        <v>8</v>
      </c>
      <c r="G2227" s="5" t="s">
        <v>29</v>
      </c>
    </row>
    <row r="2228" spans="1:7" s="139" customFormat="1" hidden="1" x14ac:dyDescent="0.3">
      <c r="A2228" s="100">
        <v>45945</v>
      </c>
      <c r="B2228" s="100" t="s">
        <v>211</v>
      </c>
      <c r="C2228" s="12" t="s">
        <v>64</v>
      </c>
      <c r="D2228" s="4" t="s">
        <v>92</v>
      </c>
      <c r="E2228" s="16">
        <v>-171.1</v>
      </c>
      <c r="F2228" s="13" t="s">
        <v>8</v>
      </c>
      <c r="G2228" s="5" t="s">
        <v>29</v>
      </c>
    </row>
    <row r="2229" spans="1:7" s="139" customFormat="1" hidden="1" x14ac:dyDescent="0.3">
      <c r="A2229" s="100">
        <v>45945</v>
      </c>
      <c r="B2229" s="100" t="s">
        <v>211</v>
      </c>
      <c r="C2229" s="6" t="s">
        <v>17</v>
      </c>
      <c r="D2229" s="4" t="s">
        <v>92</v>
      </c>
      <c r="E2229" s="16">
        <v>-171.1</v>
      </c>
      <c r="F2229" s="13" t="s">
        <v>8</v>
      </c>
      <c r="G2229" s="5" t="s">
        <v>29</v>
      </c>
    </row>
    <row r="2230" spans="1:7" s="139" customFormat="1" hidden="1" x14ac:dyDescent="0.3">
      <c r="A2230" s="100">
        <v>45945</v>
      </c>
      <c r="B2230" s="100" t="s">
        <v>211</v>
      </c>
      <c r="C2230" s="6" t="s">
        <v>647</v>
      </c>
      <c r="D2230" s="4" t="s">
        <v>92</v>
      </c>
      <c r="E2230" s="16">
        <v>-171.1</v>
      </c>
      <c r="F2230" s="13" t="s">
        <v>8</v>
      </c>
      <c r="G2230" s="5" t="s">
        <v>29</v>
      </c>
    </row>
    <row r="2231" spans="1:7" s="139" customFormat="1" hidden="1" x14ac:dyDescent="0.3">
      <c r="A2231" s="100">
        <v>45945</v>
      </c>
      <c r="B2231" s="100" t="s">
        <v>211</v>
      </c>
      <c r="C2231" s="6" t="s">
        <v>30</v>
      </c>
      <c r="D2231" s="4" t="s">
        <v>92</v>
      </c>
      <c r="E2231" s="16">
        <v>-171.1</v>
      </c>
      <c r="F2231" s="13" t="s">
        <v>8</v>
      </c>
      <c r="G2231" s="5" t="s">
        <v>29</v>
      </c>
    </row>
    <row r="2232" spans="1:7" s="139" customFormat="1" hidden="1" x14ac:dyDescent="0.3">
      <c r="A2232" s="100">
        <v>45945</v>
      </c>
      <c r="B2232" s="100" t="s">
        <v>211</v>
      </c>
      <c r="C2232" s="6" t="s">
        <v>93</v>
      </c>
      <c r="D2232" s="4" t="s">
        <v>92</v>
      </c>
      <c r="E2232" s="16">
        <v>-171.1</v>
      </c>
      <c r="F2232" s="13" t="s">
        <v>8</v>
      </c>
      <c r="G2232" s="5" t="s">
        <v>29</v>
      </c>
    </row>
    <row r="2233" spans="1:7" s="139" customFormat="1" hidden="1" x14ac:dyDescent="0.3">
      <c r="A2233" s="100">
        <v>45945</v>
      </c>
      <c r="B2233" s="100" t="s">
        <v>211</v>
      </c>
      <c r="C2233" s="6" t="s">
        <v>33</v>
      </c>
      <c r="D2233" s="115" t="s">
        <v>92</v>
      </c>
      <c r="E2233" s="16">
        <v>-171.1</v>
      </c>
      <c r="F2233" s="13" t="s">
        <v>8</v>
      </c>
      <c r="G2233" s="5" t="s">
        <v>29</v>
      </c>
    </row>
    <row r="2234" spans="1:7" s="139" customFormat="1" hidden="1" x14ac:dyDescent="0.3">
      <c r="A2234" s="100">
        <v>45945</v>
      </c>
      <c r="B2234" s="100" t="s">
        <v>211</v>
      </c>
      <c r="C2234" s="6" t="s">
        <v>94</v>
      </c>
      <c r="D2234" s="115" t="s">
        <v>92</v>
      </c>
      <c r="E2234" s="16">
        <v>-171.1</v>
      </c>
      <c r="F2234" s="13" t="s">
        <v>8</v>
      </c>
      <c r="G2234" s="5" t="s">
        <v>29</v>
      </c>
    </row>
    <row r="2235" spans="1:7" s="139" customFormat="1" hidden="1" x14ac:dyDescent="0.3">
      <c r="A2235" s="100">
        <v>45945</v>
      </c>
      <c r="B2235" s="100" t="s">
        <v>211</v>
      </c>
      <c r="C2235" s="6" t="s">
        <v>32</v>
      </c>
      <c r="D2235" s="115" t="s">
        <v>92</v>
      </c>
      <c r="E2235" s="16">
        <v>-171.1</v>
      </c>
      <c r="F2235" s="13" t="s">
        <v>8</v>
      </c>
      <c r="G2235" s="5" t="s">
        <v>29</v>
      </c>
    </row>
    <row r="2236" spans="1:7" s="139" customFormat="1" hidden="1" x14ac:dyDescent="0.3">
      <c r="A2236" s="113">
        <v>45945</v>
      </c>
      <c r="B2236" s="113" t="s">
        <v>211</v>
      </c>
      <c r="C2236" s="75" t="s">
        <v>34</v>
      </c>
      <c r="D2236" s="574" t="s">
        <v>92</v>
      </c>
      <c r="E2236" s="16">
        <v>-171.1</v>
      </c>
      <c r="F2236" s="13" t="s">
        <v>8</v>
      </c>
      <c r="G2236" s="5" t="s">
        <v>29</v>
      </c>
    </row>
    <row r="2237" spans="1:7" s="139" customFormat="1" hidden="1" x14ac:dyDescent="0.3">
      <c r="A2237" s="123">
        <v>45931</v>
      </c>
      <c r="B2237" s="123" t="s">
        <v>211</v>
      </c>
      <c r="C2237" s="621" t="s">
        <v>44</v>
      </c>
      <c r="D2237" s="621" t="s">
        <v>917</v>
      </c>
      <c r="E2237" s="30">
        <v>300</v>
      </c>
      <c r="F2237" s="55" t="s">
        <v>161</v>
      </c>
      <c r="G2237" s="61" t="s">
        <v>162</v>
      </c>
    </row>
    <row r="2238" spans="1:7" ht="12.6" hidden="1" customHeight="1" x14ac:dyDescent="0.3">
      <c r="A2238" s="123">
        <v>45933</v>
      </c>
      <c r="B2238" s="123" t="s">
        <v>211</v>
      </c>
      <c r="C2238" s="120" t="s">
        <v>165</v>
      </c>
      <c r="D2238" s="29" t="s">
        <v>166</v>
      </c>
      <c r="E2238" s="53">
        <v>22451.91</v>
      </c>
      <c r="F2238" s="55" t="s">
        <v>161</v>
      </c>
      <c r="G2238" s="61" t="s">
        <v>162</v>
      </c>
    </row>
    <row r="2239" spans="1:7" hidden="1" x14ac:dyDescent="0.3">
      <c r="A2239" s="123">
        <v>45940</v>
      </c>
      <c r="B2239" s="123" t="s">
        <v>211</v>
      </c>
      <c r="C2239" s="120" t="s">
        <v>170</v>
      </c>
      <c r="D2239" s="73" t="s">
        <v>171</v>
      </c>
      <c r="E2239" s="121">
        <v>11000</v>
      </c>
      <c r="F2239" s="55" t="s">
        <v>161</v>
      </c>
      <c r="G2239" s="61" t="s">
        <v>162</v>
      </c>
    </row>
    <row r="2240" spans="1:7" hidden="1" x14ac:dyDescent="0.3">
      <c r="A2240" s="123">
        <v>45943</v>
      </c>
      <c r="B2240" s="123" t="s">
        <v>211</v>
      </c>
      <c r="C2240" s="120" t="s">
        <v>167</v>
      </c>
      <c r="D2240" s="29" t="s">
        <v>173</v>
      </c>
      <c r="E2240" s="121">
        <v>603.26</v>
      </c>
      <c r="F2240" s="55" t="s">
        <v>161</v>
      </c>
      <c r="G2240" s="61" t="s">
        <v>162</v>
      </c>
    </row>
    <row r="2241" spans="1:7" hidden="1" x14ac:dyDescent="0.3">
      <c r="A2241" s="123">
        <v>45943</v>
      </c>
      <c r="B2241" s="123" t="s">
        <v>211</v>
      </c>
      <c r="C2241" s="120" t="s">
        <v>167</v>
      </c>
      <c r="D2241" s="29" t="s">
        <v>173</v>
      </c>
      <c r="E2241" s="121">
        <v>1106.1400000000001</v>
      </c>
      <c r="F2241" s="55" t="s">
        <v>161</v>
      </c>
      <c r="G2241" s="61" t="s">
        <v>162</v>
      </c>
    </row>
    <row r="2242" spans="1:7" hidden="1" x14ac:dyDescent="0.3">
      <c r="A2242" s="123">
        <v>45943</v>
      </c>
      <c r="B2242" s="123" t="s">
        <v>211</v>
      </c>
      <c r="C2242" s="120" t="s">
        <v>167</v>
      </c>
      <c r="D2242" s="29" t="s">
        <v>173</v>
      </c>
      <c r="E2242" s="121">
        <v>9631</v>
      </c>
      <c r="F2242" s="55" t="s">
        <v>161</v>
      </c>
      <c r="G2242" s="61" t="s">
        <v>162</v>
      </c>
    </row>
    <row r="2243" spans="1:7" s="139" customFormat="1" hidden="1" x14ac:dyDescent="0.3">
      <c r="A2243" s="100">
        <v>45945</v>
      </c>
      <c r="B2243" s="100" t="s">
        <v>211</v>
      </c>
      <c r="C2243" s="14" t="s">
        <v>25</v>
      </c>
      <c r="D2243" s="14" t="s">
        <v>491</v>
      </c>
      <c r="E2243" s="8">
        <v>-1139.25</v>
      </c>
      <c r="F2243" s="13" t="s">
        <v>8</v>
      </c>
      <c r="G2243" s="9" t="s">
        <v>1473</v>
      </c>
    </row>
    <row r="2244" spans="1:7" s="139" customFormat="1" hidden="1" x14ac:dyDescent="0.3">
      <c r="A2244" s="188">
        <v>45945</v>
      </c>
      <c r="B2244" s="188" t="s">
        <v>211</v>
      </c>
      <c r="C2244" s="192" t="s">
        <v>6</v>
      </c>
      <c r="D2244" s="575" t="s">
        <v>79</v>
      </c>
      <c r="E2244" s="101">
        <v>-91000</v>
      </c>
      <c r="F2244" s="110" t="s">
        <v>8</v>
      </c>
      <c r="G2244" s="24" t="s">
        <v>19</v>
      </c>
    </row>
    <row r="2245" spans="1:7" s="139" customFormat="1" hidden="1" x14ac:dyDescent="0.3">
      <c r="A2245" s="78">
        <v>45960</v>
      </c>
      <c r="B2245" s="100" t="s">
        <v>211</v>
      </c>
      <c r="C2245" s="12" t="s">
        <v>6</v>
      </c>
      <c r="D2245" s="4" t="s">
        <v>145</v>
      </c>
      <c r="E2245" s="16">
        <v>-7000</v>
      </c>
      <c r="F2245" s="13" t="s">
        <v>8</v>
      </c>
      <c r="G2245" s="5" t="s">
        <v>97</v>
      </c>
    </row>
    <row r="2246" spans="1:7" s="139" customFormat="1" hidden="1" x14ac:dyDescent="0.3">
      <c r="A2246" s="100">
        <v>45945</v>
      </c>
      <c r="B2246" s="100" t="s">
        <v>211</v>
      </c>
      <c r="C2246" s="12" t="s">
        <v>6</v>
      </c>
      <c r="D2246" s="115" t="s">
        <v>96</v>
      </c>
      <c r="E2246" s="16">
        <v>-8000</v>
      </c>
      <c r="F2246" s="13" t="s">
        <v>8</v>
      </c>
      <c r="G2246" s="5" t="s">
        <v>97</v>
      </c>
    </row>
    <row r="2247" spans="1:7" s="139" customFormat="1" hidden="1" x14ac:dyDescent="0.3">
      <c r="A2247" s="100">
        <v>45936</v>
      </c>
      <c r="B2247" s="100" t="s">
        <v>211</v>
      </c>
      <c r="C2247" s="98" t="s">
        <v>44</v>
      </c>
      <c r="D2247" s="14" t="s">
        <v>226</v>
      </c>
      <c r="E2247" s="8">
        <v>-2510.44</v>
      </c>
      <c r="F2247" s="13" t="s">
        <v>8</v>
      </c>
      <c r="G2247" s="9" t="s">
        <v>227</v>
      </c>
    </row>
    <row r="2248" spans="1:7" s="139" customFormat="1" hidden="1" x14ac:dyDescent="0.3">
      <c r="A2248" s="100">
        <v>45936</v>
      </c>
      <c r="B2248" s="100" t="s">
        <v>211</v>
      </c>
      <c r="C2248" s="98" t="s">
        <v>71</v>
      </c>
      <c r="D2248" s="14" t="s">
        <v>229</v>
      </c>
      <c r="E2248" s="8">
        <v>-725.7</v>
      </c>
      <c r="F2248" s="13" t="s">
        <v>8</v>
      </c>
      <c r="G2248" s="9" t="s">
        <v>227</v>
      </c>
    </row>
    <row r="2249" spans="1:7" s="139" customFormat="1" hidden="1" x14ac:dyDescent="0.3">
      <c r="A2249" s="100">
        <v>45936</v>
      </c>
      <c r="B2249" s="100" t="s">
        <v>211</v>
      </c>
      <c r="C2249" s="98" t="s">
        <v>71</v>
      </c>
      <c r="D2249" s="14" t="s">
        <v>1326</v>
      </c>
      <c r="E2249" s="8">
        <v>-1101.8399999999999</v>
      </c>
      <c r="F2249" s="13" t="s">
        <v>8</v>
      </c>
      <c r="G2249" s="9" t="s">
        <v>227</v>
      </c>
    </row>
    <row r="2250" spans="1:7" s="139" customFormat="1" hidden="1" x14ac:dyDescent="0.3">
      <c r="A2250" s="100">
        <v>45936</v>
      </c>
      <c r="B2250" s="100" t="s">
        <v>211</v>
      </c>
      <c r="C2250" s="98" t="s">
        <v>17</v>
      </c>
      <c r="D2250" s="14" t="s">
        <v>389</v>
      </c>
      <c r="E2250" s="8">
        <v>-59.35</v>
      </c>
      <c r="F2250" s="13" t="s">
        <v>8</v>
      </c>
      <c r="G2250" s="9" t="s">
        <v>227</v>
      </c>
    </row>
    <row r="2251" spans="1:7" s="139" customFormat="1" hidden="1" x14ac:dyDescent="0.3">
      <c r="A2251" s="100">
        <v>45936</v>
      </c>
      <c r="B2251" s="100" t="s">
        <v>211</v>
      </c>
      <c r="C2251" s="98" t="s">
        <v>44</v>
      </c>
      <c r="D2251" s="14" t="s">
        <v>1191</v>
      </c>
      <c r="E2251" s="8">
        <v>-396</v>
      </c>
      <c r="F2251" s="13" t="s">
        <v>8</v>
      </c>
      <c r="G2251" s="5" t="s">
        <v>82</v>
      </c>
    </row>
    <row r="2252" spans="1:7" s="139" customFormat="1" hidden="1" x14ac:dyDescent="0.3">
      <c r="A2252" s="100">
        <v>45936</v>
      </c>
      <c r="B2252" s="100" t="s">
        <v>211</v>
      </c>
      <c r="C2252" s="357" t="s">
        <v>17</v>
      </c>
      <c r="D2252" s="14" t="s">
        <v>500</v>
      </c>
      <c r="E2252" s="8">
        <v>-2207.67</v>
      </c>
      <c r="F2252" s="13" t="s">
        <v>8</v>
      </c>
      <c r="G2252" s="9" t="s">
        <v>75</v>
      </c>
    </row>
    <row r="2253" spans="1:7" s="139" customFormat="1" hidden="1" x14ac:dyDescent="0.3">
      <c r="A2253" s="100">
        <v>45936</v>
      </c>
      <c r="B2253" s="100" t="s">
        <v>211</v>
      </c>
      <c r="C2253" s="98" t="s">
        <v>17</v>
      </c>
      <c r="D2253" s="14" t="s">
        <v>1317</v>
      </c>
      <c r="E2253" s="8">
        <v>-363.81</v>
      </c>
      <c r="F2253" s="13" t="s">
        <v>8</v>
      </c>
      <c r="G2253" s="9" t="s">
        <v>41</v>
      </c>
    </row>
    <row r="2254" spans="1:7" s="139" customFormat="1" hidden="1" x14ac:dyDescent="0.3">
      <c r="A2254" s="100">
        <v>45936</v>
      </c>
      <c r="B2254" s="100" t="s">
        <v>211</v>
      </c>
      <c r="C2254" s="98" t="s">
        <v>32</v>
      </c>
      <c r="D2254" s="14" t="s">
        <v>1271</v>
      </c>
      <c r="E2254" s="8">
        <v>-2561.04</v>
      </c>
      <c r="F2254" s="13" t="s">
        <v>8</v>
      </c>
      <c r="G2254" s="9" t="s">
        <v>75</v>
      </c>
    </row>
    <row r="2255" spans="1:7" s="139" customFormat="1" hidden="1" x14ac:dyDescent="0.3">
      <c r="A2255" s="100">
        <v>45937</v>
      </c>
      <c r="B2255" s="100" t="s">
        <v>211</v>
      </c>
      <c r="C2255" s="14" t="s">
        <v>32</v>
      </c>
      <c r="D2255" s="14" t="s">
        <v>1271</v>
      </c>
      <c r="E2255" s="8">
        <v>-211.3</v>
      </c>
      <c r="F2255" s="13" t="s">
        <v>8</v>
      </c>
      <c r="G2255" s="9" t="s">
        <v>75</v>
      </c>
    </row>
    <row r="2256" spans="1:7" s="139" customFormat="1" hidden="1" x14ac:dyDescent="0.3">
      <c r="A2256" s="100">
        <v>45936</v>
      </c>
      <c r="B2256" s="100" t="s">
        <v>211</v>
      </c>
      <c r="C2256" s="357" t="s">
        <v>6</v>
      </c>
      <c r="D2256" s="14" t="s">
        <v>1620</v>
      </c>
      <c r="E2256" s="8">
        <v>-250</v>
      </c>
      <c r="F2256" s="13" t="s">
        <v>8</v>
      </c>
      <c r="G2256" s="9" t="s">
        <v>186</v>
      </c>
    </row>
    <row r="2257" spans="1:7" s="139" customFormat="1" ht="14.4" hidden="1" x14ac:dyDescent="0.3">
      <c r="A2257" s="100">
        <v>45936</v>
      </c>
      <c r="B2257" s="100" t="s">
        <v>211</v>
      </c>
      <c r="C2257" s="632" t="s">
        <v>44</v>
      </c>
      <c r="D2257" s="42" t="s">
        <v>1555</v>
      </c>
      <c r="E2257" s="43">
        <v>-337.84</v>
      </c>
      <c r="F2257" s="13" t="s">
        <v>8</v>
      </c>
      <c r="G2257" s="626" t="s">
        <v>82</v>
      </c>
    </row>
    <row r="2258" spans="1:7" s="139" customFormat="1" hidden="1" x14ac:dyDescent="0.3">
      <c r="A2258" s="100">
        <v>45936</v>
      </c>
      <c r="B2258" s="100" t="s">
        <v>211</v>
      </c>
      <c r="C2258" s="14" t="s">
        <v>31</v>
      </c>
      <c r="D2258" s="96" t="s">
        <v>1556</v>
      </c>
      <c r="E2258" s="89">
        <v>-100</v>
      </c>
      <c r="F2258" s="13" t="s">
        <v>8</v>
      </c>
      <c r="G2258" s="9" t="s">
        <v>186</v>
      </c>
    </row>
    <row r="2259" spans="1:7" s="139" customFormat="1" hidden="1" x14ac:dyDescent="0.3">
      <c r="A2259" s="100">
        <v>45945</v>
      </c>
      <c r="B2259" s="100" t="s">
        <v>211</v>
      </c>
      <c r="C2259" s="287" t="s">
        <v>80</v>
      </c>
      <c r="D2259" s="4" t="s">
        <v>81</v>
      </c>
      <c r="E2259" s="16">
        <v>-10000</v>
      </c>
      <c r="F2259" s="13" t="s">
        <v>8</v>
      </c>
      <c r="G2259" s="5" t="s">
        <v>82</v>
      </c>
    </row>
    <row r="2260" spans="1:7" s="139" customFormat="1" hidden="1" x14ac:dyDescent="0.3">
      <c r="A2260" s="78">
        <v>45961</v>
      </c>
      <c r="B2260" s="100" t="s">
        <v>211</v>
      </c>
      <c r="C2260" s="12" t="s">
        <v>80</v>
      </c>
      <c r="D2260" s="4" t="s">
        <v>81</v>
      </c>
      <c r="E2260" s="16">
        <v>-15000</v>
      </c>
      <c r="F2260" s="13" t="s">
        <v>8</v>
      </c>
      <c r="G2260" s="5" t="s">
        <v>82</v>
      </c>
    </row>
    <row r="2261" spans="1:7" s="139" customFormat="1" hidden="1" x14ac:dyDescent="0.3">
      <c r="A2261" s="113">
        <v>45950</v>
      </c>
      <c r="B2261" s="100" t="s">
        <v>211</v>
      </c>
      <c r="C2261" s="12" t="s">
        <v>6</v>
      </c>
      <c r="D2261" s="4" t="s">
        <v>129</v>
      </c>
      <c r="E2261" s="10">
        <v>-41000</v>
      </c>
      <c r="F2261" s="13" t="s">
        <v>8</v>
      </c>
      <c r="G2261" s="41" t="s">
        <v>82</v>
      </c>
    </row>
    <row r="2262" spans="1:7" hidden="1" x14ac:dyDescent="0.3">
      <c r="A2262" s="123">
        <v>45931</v>
      </c>
      <c r="B2262" s="123" t="s">
        <v>211</v>
      </c>
      <c r="C2262" s="120" t="s">
        <v>167</v>
      </c>
      <c r="D2262" s="29" t="s">
        <v>168</v>
      </c>
      <c r="E2262" s="53">
        <v>1500</v>
      </c>
      <c r="F2262" s="55" t="s">
        <v>161</v>
      </c>
      <c r="G2262" s="61" t="s">
        <v>162</v>
      </c>
    </row>
    <row r="2263" spans="1:7" hidden="1" x14ac:dyDescent="0.3">
      <c r="A2263" s="123">
        <v>45931</v>
      </c>
      <c r="B2263" s="123" t="s">
        <v>211</v>
      </c>
      <c r="C2263" s="120" t="s">
        <v>167</v>
      </c>
      <c r="D2263" s="29" t="s">
        <v>168</v>
      </c>
      <c r="E2263" s="53">
        <v>1200</v>
      </c>
      <c r="F2263" s="55" t="s">
        <v>161</v>
      </c>
      <c r="G2263" s="61" t="s">
        <v>162</v>
      </c>
    </row>
    <row r="2264" spans="1:7" hidden="1" x14ac:dyDescent="0.3">
      <c r="A2264" s="123">
        <v>45931</v>
      </c>
      <c r="B2264" s="123" t="s">
        <v>211</v>
      </c>
      <c r="C2264" s="120" t="s">
        <v>167</v>
      </c>
      <c r="D2264" s="29" t="s">
        <v>168</v>
      </c>
      <c r="E2264" s="53">
        <v>14482.07</v>
      </c>
      <c r="F2264" s="55" t="s">
        <v>161</v>
      </c>
      <c r="G2264" s="61" t="s">
        <v>162</v>
      </c>
    </row>
    <row r="2265" spans="1:7" hidden="1" x14ac:dyDescent="0.3">
      <c r="A2265" s="123">
        <v>45931</v>
      </c>
      <c r="B2265" s="123" t="s">
        <v>211</v>
      </c>
      <c r="C2265" s="120" t="s">
        <v>167</v>
      </c>
      <c r="D2265" s="29" t="s">
        <v>168</v>
      </c>
      <c r="E2265" s="53">
        <v>23943.3</v>
      </c>
      <c r="F2265" s="55" t="s">
        <v>161</v>
      </c>
      <c r="G2265" s="61" t="s">
        <v>162</v>
      </c>
    </row>
    <row r="2266" spans="1:7" hidden="1" x14ac:dyDescent="0.3">
      <c r="A2266" s="123">
        <v>45931</v>
      </c>
      <c r="B2266" s="123" t="s">
        <v>211</v>
      </c>
      <c r="C2266" s="120" t="s">
        <v>167</v>
      </c>
      <c r="D2266" s="29" t="s">
        <v>168</v>
      </c>
      <c r="E2266" s="53">
        <v>21852.37</v>
      </c>
      <c r="F2266" s="55" t="s">
        <v>161</v>
      </c>
      <c r="G2266" s="61" t="s">
        <v>162</v>
      </c>
    </row>
    <row r="2267" spans="1:7" hidden="1" x14ac:dyDescent="0.3">
      <c r="A2267" s="123">
        <v>45931</v>
      </c>
      <c r="B2267" s="123" t="s">
        <v>211</v>
      </c>
      <c r="C2267" s="120" t="s">
        <v>167</v>
      </c>
      <c r="D2267" s="29" t="s">
        <v>168</v>
      </c>
      <c r="E2267" s="30">
        <v>4983</v>
      </c>
      <c r="F2267" s="55" t="s">
        <v>161</v>
      </c>
      <c r="G2267" s="61" t="s">
        <v>162</v>
      </c>
    </row>
    <row r="2268" spans="1:7" ht="14.4" hidden="1" x14ac:dyDescent="0.3">
      <c r="A2268" s="146">
        <v>45933</v>
      </c>
      <c r="B2268" s="146" t="s">
        <v>211</v>
      </c>
      <c r="C2268" s="42" t="s">
        <v>44</v>
      </c>
      <c r="D2268" s="632" t="s">
        <v>204</v>
      </c>
      <c r="E2268" s="43">
        <v>-2045.3</v>
      </c>
      <c r="F2268" s="570" t="s">
        <v>8</v>
      </c>
      <c r="G2268" s="626" t="s">
        <v>227</v>
      </c>
    </row>
    <row r="2269" spans="1:7" s="139" customFormat="1" ht="14.4" hidden="1" x14ac:dyDescent="0.3">
      <c r="A2269" s="146">
        <v>45933</v>
      </c>
      <c r="B2269" s="146" t="s">
        <v>211</v>
      </c>
      <c r="C2269" s="286" t="s">
        <v>17</v>
      </c>
      <c r="D2269" s="357" t="s">
        <v>1471</v>
      </c>
      <c r="E2269" s="8">
        <v>-1846.33</v>
      </c>
      <c r="F2269" s="570" t="s">
        <v>8</v>
      </c>
      <c r="G2269" s="9" t="s">
        <v>1472</v>
      </c>
    </row>
    <row r="2270" spans="1:7" ht="14.4" hidden="1" x14ac:dyDescent="0.3">
      <c r="A2270" s="146">
        <v>45933</v>
      </c>
      <c r="B2270" s="146" t="s">
        <v>211</v>
      </c>
      <c r="C2270" s="42" t="s">
        <v>6</v>
      </c>
      <c r="D2270" s="632" t="s">
        <v>1436</v>
      </c>
      <c r="E2270" s="43">
        <v>-2000</v>
      </c>
      <c r="F2270" s="570" t="s">
        <v>8</v>
      </c>
      <c r="G2270" s="626" t="s">
        <v>186</v>
      </c>
    </row>
    <row r="2271" spans="1:7" hidden="1" x14ac:dyDescent="0.3">
      <c r="A2271" s="123">
        <v>45931</v>
      </c>
      <c r="B2271" s="123" t="s">
        <v>211</v>
      </c>
      <c r="C2271" s="120" t="s">
        <v>167</v>
      </c>
      <c r="D2271" s="29" t="s">
        <v>168</v>
      </c>
      <c r="E2271" s="53">
        <v>196</v>
      </c>
      <c r="F2271" s="55" t="s">
        <v>161</v>
      </c>
      <c r="G2271" s="61" t="s">
        <v>162</v>
      </c>
    </row>
    <row r="2272" spans="1:7" s="139" customFormat="1" ht="14.4" hidden="1" x14ac:dyDescent="0.3">
      <c r="A2272" s="146">
        <v>45933</v>
      </c>
      <c r="B2272" s="146" t="s">
        <v>211</v>
      </c>
      <c r="C2272" s="286" t="s">
        <v>31</v>
      </c>
      <c r="D2272" s="357" t="s">
        <v>1554</v>
      </c>
      <c r="E2272" s="8">
        <v>-3550</v>
      </c>
      <c r="F2272" s="570" t="s">
        <v>8</v>
      </c>
      <c r="G2272" s="24" t="s">
        <v>124</v>
      </c>
    </row>
    <row r="2273" spans="1:7" ht="14.4" hidden="1" x14ac:dyDescent="0.3">
      <c r="A2273" s="146">
        <v>45933</v>
      </c>
      <c r="B2273" s="146" t="s">
        <v>211</v>
      </c>
      <c r="C2273" s="14" t="s">
        <v>32</v>
      </c>
      <c r="D2273" s="98" t="s">
        <v>1369</v>
      </c>
      <c r="E2273" s="633">
        <v>-7022.51</v>
      </c>
      <c r="F2273" s="570" t="s">
        <v>8</v>
      </c>
      <c r="G2273" s="24" t="s">
        <v>75</v>
      </c>
    </row>
    <row r="2274" spans="1:7" ht="14.4" hidden="1" x14ac:dyDescent="0.3">
      <c r="A2274" s="146">
        <v>45933</v>
      </c>
      <c r="B2274" s="146" t="s">
        <v>211</v>
      </c>
      <c r="C2274" s="98" t="s">
        <v>17</v>
      </c>
      <c r="D2274" s="14" t="s">
        <v>1192</v>
      </c>
      <c r="E2274" s="43">
        <v>-329.28</v>
      </c>
      <c r="F2274" s="570" t="s">
        <v>8</v>
      </c>
      <c r="G2274" s="24" t="s">
        <v>75</v>
      </c>
    </row>
    <row r="2275" spans="1:7" ht="14.4" hidden="1" x14ac:dyDescent="0.3">
      <c r="A2275" s="146">
        <v>45933</v>
      </c>
      <c r="B2275" s="146" t="s">
        <v>211</v>
      </c>
      <c r="C2275" s="98" t="s">
        <v>17</v>
      </c>
      <c r="D2275" s="14" t="s">
        <v>1192</v>
      </c>
      <c r="E2275" s="43">
        <v>-89.27</v>
      </c>
      <c r="F2275" s="570" t="s">
        <v>8</v>
      </c>
      <c r="G2275" s="24" t="s">
        <v>75</v>
      </c>
    </row>
    <row r="2276" spans="1:7" s="139" customFormat="1" ht="14.4" hidden="1" x14ac:dyDescent="0.3">
      <c r="A2276" s="146">
        <v>45933</v>
      </c>
      <c r="B2276" s="146" t="s">
        <v>211</v>
      </c>
      <c r="C2276" s="357" t="s">
        <v>31</v>
      </c>
      <c r="D2276" s="14" t="s">
        <v>1589</v>
      </c>
      <c r="E2276" s="43">
        <v>-1500</v>
      </c>
      <c r="F2276" s="570" t="s">
        <v>8</v>
      </c>
      <c r="G2276" s="24" t="s">
        <v>124</v>
      </c>
    </row>
    <row r="2277" spans="1:7" s="139" customFormat="1" ht="14.4" hidden="1" x14ac:dyDescent="0.3">
      <c r="A2277" s="146">
        <v>45933</v>
      </c>
      <c r="B2277" s="146" t="s">
        <v>211</v>
      </c>
      <c r="C2277" s="634" t="s">
        <v>31</v>
      </c>
      <c r="D2277" s="97" t="s">
        <v>1614</v>
      </c>
      <c r="E2277" s="77">
        <v>-145.32</v>
      </c>
      <c r="F2277" s="622" t="s">
        <v>8</v>
      </c>
      <c r="G2277" s="354" t="s">
        <v>19</v>
      </c>
    </row>
    <row r="2278" spans="1:7" s="139" customFormat="1" ht="14.4" hidden="1" x14ac:dyDescent="0.3">
      <c r="A2278" s="146">
        <v>45933</v>
      </c>
      <c r="B2278" s="146" t="s">
        <v>211</v>
      </c>
      <c r="C2278" s="14" t="s">
        <v>6</v>
      </c>
      <c r="D2278" s="14" t="s">
        <v>497</v>
      </c>
      <c r="E2278" s="8">
        <v>-529</v>
      </c>
      <c r="F2278" s="622" t="s">
        <v>8</v>
      </c>
      <c r="G2278" s="9" t="s">
        <v>82</v>
      </c>
    </row>
    <row r="2279" spans="1:7" s="139" customFormat="1" ht="14.4" hidden="1" x14ac:dyDescent="0.3">
      <c r="A2279" s="146">
        <v>45933</v>
      </c>
      <c r="B2279" s="146" t="s">
        <v>211</v>
      </c>
      <c r="C2279" s="14" t="s">
        <v>25</v>
      </c>
      <c r="D2279" s="14" t="s">
        <v>468</v>
      </c>
      <c r="E2279" s="8">
        <v>-319.8</v>
      </c>
      <c r="F2279" s="622" t="s">
        <v>8</v>
      </c>
      <c r="G2279" s="9" t="s">
        <v>82</v>
      </c>
    </row>
    <row r="2280" spans="1:7" s="139" customFormat="1" ht="14.4" hidden="1" x14ac:dyDescent="0.3">
      <c r="A2280" s="146">
        <v>45933</v>
      </c>
      <c r="B2280" s="146" t="s">
        <v>211</v>
      </c>
      <c r="C2280" s="14" t="s">
        <v>25</v>
      </c>
      <c r="D2280" s="14" t="s">
        <v>1139</v>
      </c>
      <c r="E2280" s="8">
        <v>-184.5</v>
      </c>
      <c r="F2280" s="622" t="s">
        <v>8</v>
      </c>
      <c r="G2280" s="9" t="s">
        <v>82</v>
      </c>
    </row>
    <row r="2281" spans="1:7" s="139" customFormat="1" ht="14.4" hidden="1" x14ac:dyDescent="0.3">
      <c r="A2281" s="146">
        <v>45933</v>
      </c>
      <c r="B2281" s="146" t="s">
        <v>211</v>
      </c>
      <c r="C2281" s="14" t="s">
        <v>32</v>
      </c>
      <c r="D2281" s="14" t="s">
        <v>1615</v>
      </c>
      <c r="E2281" s="8">
        <v>-147.6</v>
      </c>
      <c r="F2281" s="622" t="s">
        <v>8</v>
      </c>
      <c r="G2281" s="9" t="s">
        <v>82</v>
      </c>
    </row>
    <row r="2282" spans="1:7" s="139" customFormat="1" ht="14.4" hidden="1" x14ac:dyDescent="0.3">
      <c r="A2282" s="146">
        <v>45933</v>
      </c>
      <c r="B2282" s="146" t="s">
        <v>211</v>
      </c>
      <c r="C2282" s="14" t="s">
        <v>32</v>
      </c>
      <c r="D2282" s="14" t="s">
        <v>1616</v>
      </c>
      <c r="E2282" s="8">
        <v>-89.6</v>
      </c>
      <c r="F2282" s="622" t="s">
        <v>8</v>
      </c>
      <c r="G2282" s="9" t="s">
        <v>82</v>
      </c>
    </row>
    <row r="2283" spans="1:7" s="139" customFormat="1" ht="14.4" hidden="1" x14ac:dyDescent="0.3">
      <c r="A2283" s="146">
        <v>45933</v>
      </c>
      <c r="B2283" s="146" t="s">
        <v>211</v>
      </c>
      <c r="C2283" s="14" t="s">
        <v>71</v>
      </c>
      <c r="D2283" s="14" t="s">
        <v>1176</v>
      </c>
      <c r="E2283" s="8">
        <v>-140</v>
      </c>
      <c r="F2283" s="622" t="s">
        <v>8</v>
      </c>
      <c r="G2283" s="9" t="s">
        <v>82</v>
      </c>
    </row>
    <row r="2284" spans="1:7" s="139" customFormat="1" ht="14.4" hidden="1" x14ac:dyDescent="0.3">
      <c r="A2284" s="146">
        <v>45933</v>
      </c>
      <c r="B2284" s="146" t="s">
        <v>211</v>
      </c>
      <c r="C2284" s="14" t="s">
        <v>17</v>
      </c>
      <c r="D2284" s="14" t="s">
        <v>1617</v>
      </c>
      <c r="E2284" s="8">
        <v>-86.1</v>
      </c>
      <c r="F2284" s="622" t="s">
        <v>8</v>
      </c>
      <c r="G2284" s="9" t="s">
        <v>82</v>
      </c>
    </row>
    <row r="2285" spans="1:7" s="139" customFormat="1" ht="14.4" hidden="1" x14ac:dyDescent="0.3">
      <c r="A2285" s="146">
        <v>45933</v>
      </c>
      <c r="B2285" s="146" t="s">
        <v>211</v>
      </c>
      <c r="C2285" s="14" t="s">
        <v>17</v>
      </c>
      <c r="D2285" s="14" t="s">
        <v>1618</v>
      </c>
      <c r="E2285" s="8">
        <v>-120</v>
      </c>
      <c r="F2285" s="622" t="s">
        <v>8</v>
      </c>
      <c r="G2285" s="9" t="s">
        <v>82</v>
      </c>
    </row>
    <row r="2286" spans="1:7" s="139" customFormat="1" ht="14.4" hidden="1" x14ac:dyDescent="0.3">
      <c r="A2286" s="146">
        <v>45933</v>
      </c>
      <c r="B2286" s="146" t="s">
        <v>211</v>
      </c>
      <c r="C2286" s="14" t="s">
        <v>17</v>
      </c>
      <c r="D2286" s="14" t="s">
        <v>1619</v>
      </c>
      <c r="E2286" s="8">
        <v>-86.1</v>
      </c>
      <c r="F2286" s="622" t="s">
        <v>8</v>
      </c>
      <c r="G2286" s="9" t="s">
        <v>82</v>
      </c>
    </row>
    <row r="2287" spans="1:7" s="139" customFormat="1" ht="14.4" hidden="1" x14ac:dyDescent="0.3">
      <c r="A2287" s="146">
        <v>45933</v>
      </c>
      <c r="B2287" s="146" t="s">
        <v>211</v>
      </c>
      <c r="C2287" s="14" t="s">
        <v>17</v>
      </c>
      <c r="D2287" s="14" t="s">
        <v>693</v>
      </c>
      <c r="E2287" s="8">
        <v>-307.5</v>
      </c>
      <c r="F2287" s="622" t="s">
        <v>8</v>
      </c>
      <c r="G2287" s="9" t="s">
        <v>82</v>
      </c>
    </row>
    <row r="2288" spans="1:7" s="139" customFormat="1" ht="14.4" hidden="1" x14ac:dyDescent="0.3">
      <c r="A2288" s="146">
        <v>45933</v>
      </c>
      <c r="B2288" s="146" t="s">
        <v>211</v>
      </c>
      <c r="C2288" s="556" t="s">
        <v>17</v>
      </c>
      <c r="D2288" s="635" t="s">
        <v>18</v>
      </c>
      <c r="E2288" s="636">
        <v>-17235</v>
      </c>
      <c r="F2288" s="570" t="s">
        <v>8</v>
      </c>
      <c r="G2288" s="24" t="s">
        <v>19</v>
      </c>
    </row>
    <row r="2289" spans="1:7" s="139" customFormat="1" hidden="1" x14ac:dyDescent="0.3">
      <c r="A2289" s="100">
        <v>45940</v>
      </c>
      <c r="B2289" s="100" t="s">
        <v>211</v>
      </c>
      <c r="C2289" s="14" t="s">
        <v>25</v>
      </c>
      <c r="D2289" s="14" t="s">
        <v>1231</v>
      </c>
      <c r="E2289" s="8">
        <v>-6999.49</v>
      </c>
      <c r="F2289" s="13" t="s">
        <v>8</v>
      </c>
      <c r="G2289" s="9" t="s">
        <v>75</v>
      </c>
    </row>
    <row r="2290" spans="1:7" s="139" customFormat="1" hidden="1" x14ac:dyDescent="0.3">
      <c r="A2290" s="100">
        <v>45940</v>
      </c>
      <c r="B2290" s="100" t="s">
        <v>211</v>
      </c>
      <c r="C2290" s="14" t="s">
        <v>25</v>
      </c>
      <c r="D2290" s="14" t="s">
        <v>1441</v>
      </c>
      <c r="E2290" s="8">
        <v>-2365.2199999999998</v>
      </c>
      <c r="F2290" s="13" t="s">
        <v>8</v>
      </c>
      <c r="G2290" s="9" t="s">
        <v>75</v>
      </c>
    </row>
    <row r="2291" spans="1:7" s="139" customFormat="1" hidden="1" x14ac:dyDescent="0.3">
      <c r="A2291" s="100">
        <v>45940</v>
      </c>
      <c r="B2291" s="100" t="s">
        <v>211</v>
      </c>
      <c r="C2291" s="14" t="s">
        <v>25</v>
      </c>
      <c r="D2291" s="14" t="s">
        <v>1442</v>
      </c>
      <c r="E2291" s="8">
        <v>-1986</v>
      </c>
      <c r="F2291" s="13" t="s">
        <v>8</v>
      </c>
      <c r="G2291" s="5" t="s">
        <v>124</v>
      </c>
    </row>
    <row r="2292" spans="1:7" s="139" customFormat="1" hidden="1" x14ac:dyDescent="0.3">
      <c r="A2292" s="100">
        <v>45940</v>
      </c>
      <c r="B2292" s="100" t="s">
        <v>211</v>
      </c>
      <c r="C2292" s="14" t="s">
        <v>32</v>
      </c>
      <c r="D2292" s="14" t="s">
        <v>1247</v>
      </c>
      <c r="E2292" s="8">
        <v>-7009.1</v>
      </c>
      <c r="F2292" s="13" t="s">
        <v>8</v>
      </c>
      <c r="G2292" s="9" t="s">
        <v>75</v>
      </c>
    </row>
    <row r="2293" spans="1:7" s="139" customFormat="1" hidden="1" x14ac:dyDescent="0.3">
      <c r="A2293" s="100">
        <v>45940</v>
      </c>
      <c r="B2293" s="100" t="s">
        <v>211</v>
      </c>
      <c r="C2293" s="14" t="s">
        <v>32</v>
      </c>
      <c r="D2293" s="14" t="s">
        <v>1443</v>
      </c>
      <c r="E2293" s="8">
        <v>-1321.77</v>
      </c>
      <c r="F2293" s="13" t="s">
        <v>8</v>
      </c>
      <c r="G2293" s="9" t="s">
        <v>75</v>
      </c>
    </row>
    <row r="2294" spans="1:7" s="139" customFormat="1" hidden="1" x14ac:dyDescent="0.3">
      <c r="A2294" s="100">
        <v>45940</v>
      </c>
      <c r="B2294" s="100" t="s">
        <v>211</v>
      </c>
      <c r="C2294" s="14" t="s">
        <v>71</v>
      </c>
      <c r="D2294" s="14" t="s">
        <v>86</v>
      </c>
      <c r="E2294" s="8">
        <v>-5270.17</v>
      </c>
      <c r="F2294" s="13" t="s">
        <v>8</v>
      </c>
      <c r="G2294" s="9" t="s">
        <v>75</v>
      </c>
    </row>
    <row r="2295" spans="1:7" s="139" customFormat="1" hidden="1" x14ac:dyDescent="0.3">
      <c r="A2295" s="100">
        <v>45940</v>
      </c>
      <c r="B2295" s="100" t="s">
        <v>211</v>
      </c>
      <c r="C2295" s="14" t="s">
        <v>71</v>
      </c>
      <c r="D2295" s="14" t="s">
        <v>1621</v>
      </c>
      <c r="E2295" s="8">
        <v>-1430.57</v>
      </c>
      <c r="F2295" s="13" t="s">
        <v>8</v>
      </c>
      <c r="G2295" s="9" t="s">
        <v>75</v>
      </c>
    </row>
    <row r="2296" spans="1:7" s="139" customFormat="1" hidden="1" x14ac:dyDescent="0.3">
      <c r="A2296" s="100">
        <v>45940</v>
      </c>
      <c r="B2296" s="100" t="s">
        <v>211</v>
      </c>
      <c r="C2296" s="14" t="s">
        <v>17</v>
      </c>
      <c r="D2296" s="14" t="s">
        <v>500</v>
      </c>
      <c r="E2296" s="8">
        <v>-149.74</v>
      </c>
      <c r="F2296" s="13" t="s">
        <v>8</v>
      </c>
      <c r="G2296" s="9" t="s">
        <v>75</v>
      </c>
    </row>
    <row r="2297" spans="1:7" s="139" customFormat="1" hidden="1" x14ac:dyDescent="0.3">
      <c r="A2297" s="100">
        <v>45940</v>
      </c>
      <c r="B2297" s="100" t="s">
        <v>211</v>
      </c>
      <c r="C2297" s="14" t="s">
        <v>17</v>
      </c>
      <c r="D2297" s="14" t="s">
        <v>389</v>
      </c>
      <c r="E2297" s="240">
        <v>-81.635803999999993</v>
      </c>
      <c r="F2297" s="13" t="s">
        <v>8</v>
      </c>
      <c r="G2297" s="5" t="s">
        <v>1440</v>
      </c>
    </row>
    <row r="2298" spans="1:7" s="139" customFormat="1" hidden="1" x14ac:dyDescent="0.3">
      <c r="A2298" s="100">
        <v>45940</v>
      </c>
      <c r="B2298" s="100" t="s">
        <v>211</v>
      </c>
      <c r="C2298" s="14" t="s">
        <v>17</v>
      </c>
      <c r="D2298" s="14" t="s">
        <v>389</v>
      </c>
      <c r="E2298" s="240">
        <v>-97.33</v>
      </c>
      <c r="F2298" s="13" t="s">
        <v>8</v>
      </c>
      <c r="G2298" s="5" t="s">
        <v>1440</v>
      </c>
    </row>
    <row r="2299" spans="1:7" s="139" customFormat="1" hidden="1" x14ac:dyDescent="0.3">
      <c r="A2299" s="100">
        <v>45940</v>
      </c>
      <c r="B2299" s="100" t="s">
        <v>211</v>
      </c>
      <c r="C2299" s="14" t="s">
        <v>17</v>
      </c>
      <c r="D2299" s="14" t="s">
        <v>389</v>
      </c>
      <c r="E2299" s="240">
        <v>-15.694193</v>
      </c>
      <c r="F2299" s="13" t="s">
        <v>8</v>
      </c>
      <c r="G2299" s="5" t="s">
        <v>1440</v>
      </c>
    </row>
    <row r="2300" spans="1:7" s="139" customFormat="1" hidden="1" x14ac:dyDescent="0.3">
      <c r="A2300" s="100">
        <v>45940</v>
      </c>
      <c r="B2300" s="100" t="s">
        <v>211</v>
      </c>
      <c r="C2300" s="14" t="s">
        <v>25</v>
      </c>
      <c r="D2300" s="14" t="s">
        <v>1558</v>
      </c>
      <c r="E2300" s="240">
        <v>-900</v>
      </c>
      <c r="F2300" s="13" t="s">
        <v>8</v>
      </c>
      <c r="G2300" s="9" t="s">
        <v>27</v>
      </c>
    </row>
    <row r="2301" spans="1:7" s="612" customFormat="1" ht="14.4" hidden="1" x14ac:dyDescent="0.3">
      <c r="A2301" s="611">
        <v>45940</v>
      </c>
      <c r="B2301" s="611" t="s">
        <v>211</v>
      </c>
      <c r="C2301" s="42" t="s">
        <v>25</v>
      </c>
      <c r="D2301" s="42" t="s">
        <v>1590</v>
      </c>
      <c r="E2301" s="637">
        <v>-3750</v>
      </c>
      <c r="F2301" s="13" t="s">
        <v>8</v>
      </c>
      <c r="G2301" s="9" t="s">
        <v>27</v>
      </c>
    </row>
    <row r="2302" spans="1:7" s="139" customFormat="1" hidden="1" x14ac:dyDescent="0.3">
      <c r="A2302" s="100">
        <v>45940</v>
      </c>
      <c r="B2302" s="100" t="s">
        <v>211</v>
      </c>
      <c r="C2302" s="12" t="s">
        <v>17</v>
      </c>
      <c r="D2302" s="4" t="s">
        <v>18</v>
      </c>
      <c r="E2302" s="10">
        <v>-17235</v>
      </c>
      <c r="F2302" s="13" t="s">
        <v>8</v>
      </c>
      <c r="G2302" s="5" t="s">
        <v>19</v>
      </c>
    </row>
    <row r="2303" spans="1:7" s="139" customFormat="1" hidden="1" x14ac:dyDescent="0.3">
      <c r="A2303" s="100">
        <v>45947</v>
      </c>
      <c r="B2303" s="100" t="s">
        <v>211</v>
      </c>
      <c r="C2303" s="12" t="s">
        <v>17</v>
      </c>
      <c r="D2303" s="4" t="s">
        <v>18</v>
      </c>
      <c r="E2303" s="10">
        <v>-17235</v>
      </c>
      <c r="F2303" s="13" t="s">
        <v>8</v>
      </c>
      <c r="G2303" s="5" t="s">
        <v>19</v>
      </c>
    </row>
    <row r="2304" spans="1:7" s="139" customFormat="1" hidden="1" x14ac:dyDescent="0.3">
      <c r="A2304" s="100">
        <v>45954</v>
      </c>
      <c r="B2304" s="100" t="s">
        <v>211</v>
      </c>
      <c r="C2304" s="14" t="s">
        <v>25</v>
      </c>
      <c r="D2304" s="14" t="s">
        <v>1565</v>
      </c>
      <c r="E2304" s="8">
        <v>-1480.5</v>
      </c>
      <c r="F2304" s="13" t="s">
        <v>8</v>
      </c>
      <c r="G2304" s="9" t="s">
        <v>153</v>
      </c>
    </row>
    <row r="2305" spans="1:7" s="139" customFormat="1" hidden="1" x14ac:dyDescent="0.3">
      <c r="A2305" s="100">
        <v>45954</v>
      </c>
      <c r="B2305" s="100" t="s">
        <v>211</v>
      </c>
      <c r="C2305" s="14" t="s">
        <v>71</v>
      </c>
      <c r="D2305" s="14" t="s">
        <v>205</v>
      </c>
      <c r="E2305" s="8">
        <v>-457.16</v>
      </c>
      <c r="F2305" s="13" t="s">
        <v>8</v>
      </c>
      <c r="G2305" s="5" t="s">
        <v>1279</v>
      </c>
    </row>
    <row r="2306" spans="1:7" s="139" customFormat="1" hidden="1" x14ac:dyDescent="0.3">
      <c r="A2306" s="100">
        <v>45954</v>
      </c>
      <c r="B2306" s="100" t="s">
        <v>211</v>
      </c>
      <c r="C2306" s="12" t="s">
        <v>17</v>
      </c>
      <c r="D2306" s="4" t="s">
        <v>18</v>
      </c>
      <c r="E2306" s="10">
        <v>-17235</v>
      </c>
      <c r="F2306" s="13" t="s">
        <v>8</v>
      </c>
      <c r="G2306" s="5" t="s">
        <v>19</v>
      </c>
    </row>
    <row r="2307" spans="1:7" s="151" customFormat="1" hidden="1" x14ac:dyDescent="0.3">
      <c r="A2307" s="274">
        <v>45961</v>
      </c>
      <c r="B2307" s="144" t="s">
        <v>211</v>
      </c>
      <c r="C2307" s="246" t="s">
        <v>44</v>
      </c>
      <c r="D2307" s="246" t="s">
        <v>561</v>
      </c>
      <c r="E2307" s="85">
        <v>-3968.99</v>
      </c>
      <c r="F2307" s="103" t="s">
        <v>8</v>
      </c>
      <c r="G2307" s="86" t="s">
        <v>186</v>
      </c>
    </row>
    <row r="2308" spans="1:7" s="139" customFormat="1" hidden="1" x14ac:dyDescent="0.3">
      <c r="A2308" s="100">
        <v>45961</v>
      </c>
      <c r="B2308" s="100" t="s">
        <v>211</v>
      </c>
      <c r="C2308" s="12" t="s">
        <v>17</v>
      </c>
      <c r="D2308" s="4" t="s">
        <v>18</v>
      </c>
      <c r="E2308" s="10">
        <v>-17235</v>
      </c>
      <c r="F2308" s="13" t="s">
        <v>8</v>
      </c>
      <c r="G2308" s="5" t="s">
        <v>19</v>
      </c>
    </row>
    <row r="2309" spans="1:7" hidden="1" x14ac:dyDescent="0.3">
      <c r="A2309" s="123">
        <v>45961</v>
      </c>
      <c r="B2309" s="123" t="s">
        <v>211</v>
      </c>
      <c r="C2309" s="120" t="s">
        <v>163</v>
      </c>
      <c r="D2309" s="29" t="s">
        <v>164</v>
      </c>
      <c r="E2309" s="53">
        <v>799.2</v>
      </c>
      <c r="F2309" s="55" t="s">
        <v>161</v>
      </c>
      <c r="G2309" s="61" t="s">
        <v>162</v>
      </c>
    </row>
    <row r="2310" spans="1:7" hidden="1" x14ac:dyDescent="0.3">
      <c r="A2310" s="123">
        <v>45961</v>
      </c>
      <c r="B2310" s="123" t="s">
        <v>211</v>
      </c>
      <c r="C2310" s="120" t="s">
        <v>163</v>
      </c>
      <c r="D2310" s="29" t="s">
        <v>164</v>
      </c>
      <c r="E2310" s="53">
        <v>18532.8</v>
      </c>
      <c r="F2310" s="55" t="s">
        <v>161</v>
      </c>
      <c r="G2310" s="61" t="s">
        <v>162</v>
      </c>
    </row>
    <row r="2311" spans="1:7" hidden="1" x14ac:dyDescent="0.3">
      <c r="A2311" s="123">
        <v>45961</v>
      </c>
      <c r="B2311" s="123" t="s">
        <v>211</v>
      </c>
      <c r="C2311" s="120" t="s">
        <v>159</v>
      </c>
      <c r="D2311" s="29" t="s">
        <v>160</v>
      </c>
      <c r="E2311" s="53">
        <v>23638.67</v>
      </c>
      <c r="F2311" s="55" t="s">
        <v>161</v>
      </c>
      <c r="G2311" s="61" t="s">
        <v>162</v>
      </c>
    </row>
    <row r="2312" spans="1:7" hidden="1" x14ac:dyDescent="0.3">
      <c r="A2312" s="123">
        <v>45961</v>
      </c>
      <c r="B2312" s="123" t="s">
        <v>211</v>
      </c>
      <c r="C2312" s="120" t="s">
        <v>165</v>
      </c>
      <c r="D2312" s="29" t="s">
        <v>166</v>
      </c>
      <c r="E2312" s="53">
        <v>22451.91</v>
      </c>
      <c r="F2312" s="55" t="s">
        <v>161</v>
      </c>
      <c r="G2312" s="61" t="s">
        <v>162</v>
      </c>
    </row>
    <row r="2313" spans="1:7" hidden="1" x14ac:dyDescent="0.3">
      <c r="A2313" s="123">
        <v>45961</v>
      </c>
      <c r="B2313" s="123" t="s">
        <v>211</v>
      </c>
      <c r="C2313" s="120" t="s">
        <v>167</v>
      </c>
      <c r="D2313" s="29" t="s">
        <v>168</v>
      </c>
      <c r="E2313" s="53">
        <v>14482.07</v>
      </c>
      <c r="F2313" s="55" t="s">
        <v>161</v>
      </c>
      <c r="G2313" s="61" t="s">
        <v>162</v>
      </c>
    </row>
    <row r="2314" spans="1:7" hidden="1" x14ac:dyDescent="0.3">
      <c r="A2314" s="123">
        <v>45961</v>
      </c>
      <c r="B2314" s="123" t="s">
        <v>211</v>
      </c>
      <c r="C2314" s="120" t="s">
        <v>167</v>
      </c>
      <c r="D2314" s="29" t="s">
        <v>168</v>
      </c>
      <c r="E2314" s="53">
        <v>23943.3</v>
      </c>
      <c r="F2314" s="55" t="s">
        <v>161</v>
      </c>
      <c r="G2314" s="61" t="s">
        <v>162</v>
      </c>
    </row>
    <row r="2315" spans="1:7" hidden="1" x14ac:dyDescent="0.3">
      <c r="A2315" s="123">
        <v>45961</v>
      </c>
      <c r="B2315" s="123" t="s">
        <v>211</v>
      </c>
      <c r="C2315" s="120" t="s">
        <v>167</v>
      </c>
      <c r="D2315" s="29" t="s">
        <v>168</v>
      </c>
      <c r="E2315" s="53">
        <v>21852.37</v>
      </c>
      <c r="F2315" s="55" t="s">
        <v>161</v>
      </c>
      <c r="G2315" s="61" t="s">
        <v>162</v>
      </c>
    </row>
    <row r="2316" spans="1:7" hidden="1" x14ac:dyDescent="0.3">
      <c r="A2316" s="123">
        <v>45961</v>
      </c>
      <c r="B2316" s="123" t="s">
        <v>211</v>
      </c>
      <c r="C2316" s="120" t="s">
        <v>167</v>
      </c>
      <c r="D2316" s="29" t="s">
        <v>168</v>
      </c>
      <c r="E2316" s="30">
        <v>4683.53</v>
      </c>
      <c r="F2316" s="55" t="s">
        <v>161</v>
      </c>
      <c r="G2316" s="61" t="s">
        <v>162</v>
      </c>
    </row>
    <row r="2317" spans="1:7" hidden="1" x14ac:dyDescent="0.3">
      <c r="A2317" s="123">
        <v>45961</v>
      </c>
      <c r="B2317" s="123" t="s">
        <v>211</v>
      </c>
      <c r="C2317" s="120" t="s">
        <v>167</v>
      </c>
      <c r="D2317" s="29" t="s">
        <v>168</v>
      </c>
      <c r="E2317" s="53">
        <v>196</v>
      </c>
      <c r="F2317" s="55" t="s">
        <v>161</v>
      </c>
      <c r="G2317" s="61" t="s">
        <v>162</v>
      </c>
    </row>
    <row r="2318" spans="1:7" s="139" customFormat="1" hidden="1" x14ac:dyDescent="0.3">
      <c r="A2318" s="87">
        <v>45940</v>
      </c>
      <c r="B2318" s="146" t="s">
        <v>211</v>
      </c>
      <c r="C2318" s="95" t="s">
        <v>31</v>
      </c>
      <c r="D2318" s="96" t="s">
        <v>609</v>
      </c>
      <c r="E2318" s="89">
        <v>-1000</v>
      </c>
      <c r="F2318" s="70" t="s">
        <v>8</v>
      </c>
      <c r="G2318" s="70" t="s">
        <v>186</v>
      </c>
    </row>
    <row r="2319" spans="1:7" s="139" customFormat="1" hidden="1" x14ac:dyDescent="0.3">
      <c r="A2319" s="100">
        <v>45945</v>
      </c>
      <c r="B2319" s="100" t="s">
        <v>211</v>
      </c>
      <c r="C2319" s="357" t="s">
        <v>71</v>
      </c>
      <c r="D2319" s="14" t="s">
        <v>1026</v>
      </c>
      <c r="E2319" s="8">
        <v>-900</v>
      </c>
      <c r="F2319" s="13" t="s">
        <v>8</v>
      </c>
      <c r="G2319" s="70" t="s">
        <v>1064</v>
      </c>
    </row>
    <row r="2320" spans="1:7" s="139" customFormat="1" hidden="1" x14ac:dyDescent="0.3">
      <c r="A2320" s="78">
        <v>45945</v>
      </c>
      <c r="B2320" s="100" t="s">
        <v>211</v>
      </c>
      <c r="C2320" s="98" t="s">
        <v>6</v>
      </c>
      <c r="D2320" s="14" t="s">
        <v>1559</v>
      </c>
      <c r="E2320" s="8">
        <v>-675.37</v>
      </c>
      <c r="F2320" s="9" t="s">
        <v>8</v>
      </c>
      <c r="G2320" s="9" t="s">
        <v>186</v>
      </c>
    </row>
    <row r="2321" spans="1:7" s="139" customFormat="1" hidden="1" x14ac:dyDescent="0.3">
      <c r="A2321" s="78">
        <v>45945</v>
      </c>
      <c r="B2321" s="100" t="s">
        <v>211</v>
      </c>
      <c r="C2321" s="98" t="s">
        <v>6</v>
      </c>
      <c r="D2321" s="14" t="s">
        <v>1560</v>
      </c>
      <c r="E2321" s="8">
        <v>-200</v>
      </c>
      <c r="F2321" s="9" t="s">
        <v>8</v>
      </c>
      <c r="G2321" s="9" t="s">
        <v>186</v>
      </c>
    </row>
    <row r="2322" spans="1:7" s="139" customFormat="1" hidden="1" x14ac:dyDescent="0.3">
      <c r="A2322" s="78">
        <v>45945</v>
      </c>
      <c r="B2322" s="100" t="s">
        <v>211</v>
      </c>
      <c r="C2322" s="98" t="s">
        <v>6</v>
      </c>
      <c r="D2322" s="14" t="s">
        <v>1561</v>
      </c>
      <c r="E2322" s="8">
        <v>-3000</v>
      </c>
      <c r="F2322" s="9" t="s">
        <v>8</v>
      </c>
      <c r="G2322" s="9" t="s">
        <v>186</v>
      </c>
    </row>
    <row r="2323" spans="1:7" s="139" customFormat="1" hidden="1" x14ac:dyDescent="0.3">
      <c r="A2323" s="74">
        <v>45945</v>
      </c>
      <c r="B2323" s="113" t="s">
        <v>211</v>
      </c>
      <c r="C2323" s="75" t="s">
        <v>6</v>
      </c>
      <c r="D2323" s="14" t="s">
        <v>618</v>
      </c>
      <c r="E2323" s="8">
        <v>-10000</v>
      </c>
      <c r="F2323" s="9" t="s">
        <v>8</v>
      </c>
      <c r="G2323" s="9" t="s">
        <v>186</v>
      </c>
    </row>
    <row r="2324" spans="1:7" s="139" customFormat="1" hidden="1" x14ac:dyDescent="0.3">
      <c r="A2324" s="78">
        <v>45960</v>
      </c>
      <c r="B2324" s="100" t="s">
        <v>211</v>
      </c>
      <c r="C2324" s="14" t="s">
        <v>6</v>
      </c>
      <c r="D2324" s="14" t="s">
        <v>586</v>
      </c>
      <c r="E2324" s="8">
        <v>-3200</v>
      </c>
      <c r="F2324" s="13" t="s">
        <v>8</v>
      </c>
      <c r="G2324" s="9" t="s">
        <v>186</v>
      </c>
    </row>
    <row r="2325" spans="1:7" s="139" customFormat="1" hidden="1" x14ac:dyDescent="0.3">
      <c r="A2325" s="78">
        <v>45960</v>
      </c>
      <c r="B2325" s="100" t="s">
        <v>211</v>
      </c>
      <c r="C2325" s="14" t="s">
        <v>6</v>
      </c>
      <c r="D2325" s="14" t="s">
        <v>187</v>
      </c>
      <c r="E2325" s="8">
        <v>-2000</v>
      </c>
      <c r="F2325" s="13" t="s">
        <v>8</v>
      </c>
      <c r="G2325" s="9" t="s">
        <v>186</v>
      </c>
    </row>
    <row r="2326" spans="1:7" s="139" customFormat="1" hidden="1" x14ac:dyDescent="0.3">
      <c r="A2326" s="78">
        <v>45960</v>
      </c>
      <c r="B2326" s="100" t="s">
        <v>211</v>
      </c>
      <c r="C2326" s="14" t="s">
        <v>6</v>
      </c>
      <c r="D2326" s="14" t="s">
        <v>585</v>
      </c>
      <c r="E2326" s="8">
        <v>-3836.54</v>
      </c>
      <c r="F2326" s="13" t="s">
        <v>8</v>
      </c>
      <c r="G2326" s="9" t="s">
        <v>186</v>
      </c>
    </row>
    <row r="2327" spans="1:7" s="139" customFormat="1" hidden="1" x14ac:dyDescent="0.3">
      <c r="A2327" s="78">
        <v>45960</v>
      </c>
      <c r="B2327" s="100" t="s">
        <v>211</v>
      </c>
      <c r="C2327" s="14" t="s">
        <v>44</v>
      </c>
      <c r="D2327" s="14" t="s">
        <v>189</v>
      </c>
      <c r="E2327" s="8">
        <v>-2500</v>
      </c>
      <c r="F2327" s="13" t="s">
        <v>8</v>
      </c>
      <c r="G2327" s="9" t="s">
        <v>186</v>
      </c>
    </row>
    <row r="2328" spans="1:7" s="139" customFormat="1" hidden="1" x14ac:dyDescent="0.3">
      <c r="A2328" s="78">
        <v>45960</v>
      </c>
      <c r="B2328" s="100" t="s">
        <v>211</v>
      </c>
      <c r="C2328" s="14" t="s">
        <v>33</v>
      </c>
      <c r="D2328" s="14" t="s">
        <v>587</v>
      </c>
      <c r="E2328" s="8">
        <v>-1000</v>
      </c>
      <c r="F2328" s="13" t="s">
        <v>8</v>
      </c>
      <c r="G2328" s="9" t="s">
        <v>186</v>
      </c>
    </row>
    <row r="2329" spans="1:7" s="139" customFormat="1" hidden="1" x14ac:dyDescent="0.3">
      <c r="A2329" s="78">
        <v>45960</v>
      </c>
      <c r="B2329" s="100" t="s">
        <v>211</v>
      </c>
      <c r="C2329" s="14" t="s">
        <v>17</v>
      </c>
      <c r="D2329" s="14" t="s">
        <v>191</v>
      </c>
      <c r="E2329" s="8">
        <v>-1916.67</v>
      </c>
      <c r="F2329" s="13" t="s">
        <v>8</v>
      </c>
      <c r="G2329" s="9" t="s">
        <v>186</v>
      </c>
    </row>
    <row r="2330" spans="1:7" s="139" customFormat="1" hidden="1" x14ac:dyDescent="0.3">
      <c r="A2330" s="74">
        <v>45960</v>
      </c>
      <c r="B2330" s="113" t="s">
        <v>211</v>
      </c>
      <c r="C2330" s="14" t="s">
        <v>17</v>
      </c>
      <c r="D2330" s="14" t="s">
        <v>588</v>
      </c>
      <c r="E2330" s="8">
        <v>-2864.92</v>
      </c>
      <c r="F2330" s="27" t="s">
        <v>8</v>
      </c>
      <c r="G2330" s="91" t="s">
        <v>186</v>
      </c>
    </row>
    <row r="2331" spans="1:7" s="139" customFormat="1" hidden="1" x14ac:dyDescent="0.3">
      <c r="A2331" s="74">
        <v>45960</v>
      </c>
      <c r="B2331" s="113" t="s">
        <v>211</v>
      </c>
      <c r="C2331" s="14" t="s">
        <v>17</v>
      </c>
      <c r="D2331" s="14" t="s">
        <v>1652</v>
      </c>
      <c r="E2331" s="8">
        <v>-2000</v>
      </c>
      <c r="F2331" s="27" t="s">
        <v>8</v>
      </c>
      <c r="G2331" s="91" t="s">
        <v>186</v>
      </c>
    </row>
    <row r="2332" spans="1:7" s="139" customFormat="1" hidden="1" x14ac:dyDescent="0.3">
      <c r="A2332" s="74">
        <v>45989</v>
      </c>
      <c r="B2332" s="113" t="s">
        <v>212</v>
      </c>
      <c r="C2332" s="14" t="s">
        <v>17</v>
      </c>
      <c r="D2332" s="14" t="s">
        <v>1653</v>
      </c>
      <c r="E2332" s="8">
        <v>-2000</v>
      </c>
      <c r="F2332" s="27" t="s">
        <v>8</v>
      </c>
      <c r="G2332" s="91" t="s">
        <v>186</v>
      </c>
    </row>
    <row r="2333" spans="1:7" s="139" customFormat="1" hidden="1" x14ac:dyDescent="0.3">
      <c r="A2333" s="74">
        <v>46020</v>
      </c>
      <c r="B2333" s="113" t="s">
        <v>216</v>
      </c>
      <c r="C2333" s="14" t="s">
        <v>17</v>
      </c>
      <c r="D2333" s="14" t="s">
        <v>1654</v>
      </c>
      <c r="E2333" s="8">
        <v>-2000</v>
      </c>
      <c r="F2333" s="27" t="s">
        <v>8</v>
      </c>
      <c r="G2333" s="91" t="s">
        <v>186</v>
      </c>
    </row>
    <row r="2334" spans="1:7" s="139" customFormat="1" hidden="1" x14ac:dyDescent="0.3">
      <c r="A2334" s="74">
        <v>45960</v>
      </c>
      <c r="B2334" s="113" t="s">
        <v>211</v>
      </c>
      <c r="C2334" s="14" t="s">
        <v>17</v>
      </c>
      <c r="D2334" s="14" t="s">
        <v>1649</v>
      </c>
      <c r="E2334" s="8">
        <v>-3933.34</v>
      </c>
      <c r="F2334" s="27" t="s">
        <v>8</v>
      </c>
      <c r="G2334" s="91" t="s">
        <v>186</v>
      </c>
    </row>
    <row r="2335" spans="1:7" s="139" customFormat="1" hidden="1" x14ac:dyDescent="0.3">
      <c r="A2335" s="74">
        <v>45989</v>
      </c>
      <c r="B2335" s="113" t="s">
        <v>212</v>
      </c>
      <c r="C2335" s="14" t="s">
        <v>17</v>
      </c>
      <c r="D2335" s="14" t="s">
        <v>1650</v>
      </c>
      <c r="E2335" s="8">
        <v>-3933.34</v>
      </c>
      <c r="F2335" s="27" t="s">
        <v>8</v>
      </c>
      <c r="G2335" s="91" t="s">
        <v>186</v>
      </c>
    </row>
    <row r="2336" spans="1:7" s="139" customFormat="1" hidden="1" x14ac:dyDescent="0.3">
      <c r="A2336" s="74">
        <v>46020</v>
      </c>
      <c r="B2336" s="113" t="s">
        <v>216</v>
      </c>
      <c r="C2336" s="14" t="s">
        <v>17</v>
      </c>
      <c r="D2336" s="14" t="s">
        <v>1651</v>
      </c>
      <c r="E2336" s="8">
        <v>-3933.34</v>
      </c>
      <c r="F2336" s="27" t="s">
        <v>8</v>
      </c>
      <c r="G2336" s="91" t="s">
        <v>186</v>
      </c>
    </row>
    <row r="2337" spans="1:7" s="139" customFormat="1" hidden="1" x14ac:dyDescent="0.3">
      <c r="A2337" s="74">
        <v>45960</v>
      </c>
      <c r="B2337" s="113" t="s">
        <v>211</v>
      </c>
      <c r="C2337" s="14" t="s">
        <v>6</v>
      </c>
      <c r="D2337" s="14" t="s">
        <v>1646</v>
      </c>
      <c r="E2337" s="8">
        <v>-3000</v>
      </c>
      <c r="F2337" s="13" t="s">
        <v>8</v>
      </c>
      <c r="G2337" s="9" t="s">
        <v>186</v>
      </c>
    </row>
    <row r="2338" spans="1:7" s="139" customFormat="1" hidden="1" x14ac:dyDescent="0.3">
      <c r="A2338" s="74">
        <v>45989</v>
      </c>
      <c r="B2338" s="113" t="s">
        <v>212</v>
      </c>
      <c r="C2338" s="14" t="s">
        <v>6</v>
      </c>
      <c r="D2338" s="14" t="s">
        <v>1647</v>
      </c>
      <c r="E2338" s="8">
        <v>-3000</v>
      </c>
      <c r="F2338" s="13" t="s">
        <v>8</v>
      </c>
      <c r="G2338" s="9" t="s">
        <v>186</v>
      </c>
    </row>
    <row r="2339" spans="1:7" s="139" customFormat="1" hidden="1" x14ac:dyDescent="0.3">
      <c r="A2339" s="74">
        <v>46020</v>
      </c>
      <c r="B2339" s="113" t="s">
        <v>216</v>
      </c>
      <c r="C2339" s="14" t="s">
        <v>6</v>
      </c>
      <c r="D2339" s="14" t="s">
        <v>1648</v>
      </c>
      <c r="E2339" s="8">
        <v>-3000</v>
      </c>
      <c r="F2339" s="13" t="s">
        <v>8</v>
      </c>
      <c r="G2339" s="9" t="s">
        <v>186</v>
      </c>
    </row>
    <row r="2340" spans="1:7" s="4" customFormat="1" hidden="1" x14ac:dyDescent="0.3">
      <c r="A2340" s="78">
        <v>45960</v>
      </c>
      <c r="B2340" s="100" t="s">
        <v>211</v>
      </c>
      <c r="C2340" s="14" t="s">
        <v>17</v>
      </c>
      <c r="D2340" s="14" t="s">
        <v>389</v>
      </c>
      <c r="E2340" s="8">
        <v>-107.14</v>
      </c>
      <c r="F2340" s="9" t="s">
        <v>8</v>
      </c>
      <c r="G2340" s="9" t="s">
        <v>1279</v>
      </c>
    </row>
    <row r="2341" spans="1:7" s="139" customFormat="1" hidden="1" x14ac:dyDescent="0.3">
      <c r="A2341" s="87">
        <v>45960</v>
      </c>
      <c r="B2341" s="146" t="s">
        <v>211</v>
      </c>
      <c r="C2341" s="96" t="s">
        <v>17</v>
      </c>
      <c r="D2341" s="96" t="s">
        <v>26</v>
      </c>
      <c r="E2341" s="89">
        <v>-2625</v>
      </c>
      <c r="F2341" s="70" t="s">
        <v>8</v>
      </c>
      <c r="G2341" s="70" t="s">
        <v>152</v>
      </c>
    </row>
    <row r="2342" spans="1:7" s="139" customFormat="1" hidden="1" x14ac:dyDescent="0.3">
      <c r="A2342" s="78">
        <v>45960</v>
      </c>
      <c r="B2342" s="100" t="s">
        <v>211</v>
      </c>
      <c r="C2342" s="14" t="s">
        <v>17</v>
      </c>
      <c r="D2342" s="14" t="s">
        <v>193</v>
      </c>
      <c r="E2342" s="8">
        <v>-1400</v>
      </c>
      <c r="F2342" s="13" t="s">
        <v>8</v>
      </c>
      <c r="G2342" s="9" t="s">
        <v>186</v>
      </c>
    </row>
    <row r="2343" spans="1:7" s="139" customFormat="1" hidden="1" x14ac:dyDescent="0.3">
      <c r="A2343" s="78">
        <v>45939</v>
      </c>
      <c r="B2343" s="100" t="s">
        <v>211</v>
      </c>
      <c r="C2343" s="14" t="s">
        <v>44</v>
      </c>
      <c r="D2343" s="14" t="s">
        <v>204</v>
      </c>
      <c r="E2343" s="8">
        <v>-4484.6899999999996</v>
      </c>
      <c r="F2343" s="9" t="s">
        <v>8</v>
      </c>
      <c r="G2343" s="9" t="s">
        <v>227</v>
      </c>
    </row>
    <row r="2344" spans="1:7" s="139" customFormat="1" hidden="1" x14ac:dyDescent="0.3">
      <c r="A2344" s="78">
        <v>45939</v>
      </c>
      <c r="B2344" s="100" t="s">
        <v>211</v>
      </c>
      <c r="C2344" s="14" t="s">
        <v>44</v>
      </c>
      <c r="D2344" s="14" t="s">
        <v>1439</v>
      </c>
      <c r="E2344" s="8">
        <v>-139.53</v>
      </c>
      <c r="F2344" s="9" t="s">
        <v>8</v>
      </c>
      <c r="G2344" s="9" t="s">
        <v>1064</v>
      </c>
    </row>
    <row r="2345" spans="1:7" s="139" customFormat="1" hidden="1" x14ac:dyDescent="0.3">
      <c r="A2345" s="78">
        <v>45939</v>
      </c>
      <c r="B2345" s="100" t="s">
        <v>211</v>
      </c>
      <c r="C2345" s="14" t="s">
        <v>71</v>
      </c>
      <c r="D2345" s="14" t="s">
        <v>205</v>
      </c>
      <c r="E2345" s="8">
        <v>-827.13</v>
      </c>
      <c r="F2345" s="9" t="s">
        <v>8</v>
      </c>
      <c r="G2345" s="9" t="s">
        <v>227</v>
      </c>
    </row>
    <row r="2346" spans="1:7" s="139" customFormat="1" hidden="1" x14ac:dyDescent="0.3">
      <c r="A2346" s="78">
        <v>45939</v>
      </c>
      <c r="B2346" s="100" t="s">
        <v>211</v>
      </c>
      <c r="C2346" s="638" t="s">
        <v>17</v>
      </c>
      <c r="D2346" s="638" t="s">
        <v>385</v>
      </c>
      <c r="E2346" s="639">
        <v>-711.2</v>
      </c>
      <c r="F2346" s="9" t="s">
        <v>8</v>
      </c>
      <c r="G2346" s="640" t="s">
        <v>386</v>
      </c>
    </row>
    <row r="2347" spans="1:7" s="139" customFormat="1" hidden="1" x14ac:dyDescent="0.3">
      <c r="A2347" s="78">
        <v>45939</v>
      </c>
      <c r="B2347" s="100" t="s">
        <v>211</v>
      </c>
      <c r="C2347" s="14" t="s">
        <v>71</v>
      </c>
      <c r="D2347" s="14" t="s">
        <v>202</v>
      </c>
      <c r="E2347" s="8">
        <v>-886.66</v>
      </c>
      <c r="F2347" s="9" t="s">
        <v>8</v>
      </c>
      <c r="G2347" s="9" t="s">
        <v>1064</v>
      </c>
    </row>
    <row r="2348" spans="1:7" s="139" customFormat="1" hidden="1" x14ac:dyDescent="0.3">
      <c r="A2348" s="78">
        <v>45939</v>
      </c>
      <c r="B2348" s="100" t="s">
        <v>211</v>
      </c>
      <c r="C2348" s="14" t="s">
        <v>17</v>
      </c>
      <c r="D2348" s="14" t="s">
        <v>201</v>
      </c>
      <c r="E2348" s="8">
        <v>-372</v>
      </c>
      <c r="F2348" s="9" t="s">
        <v>8</v>
      </c>
      <c r="G2348" s="9" t="s">
        <v>1440</v>
      </c>
    </row>
    <row r="2349" spans="1:7" s="139" customFormat="1" hidden="1" x14ac:dyDescent="0.3">
      <c r="A2349" s="78">
        <v>45939</v>
      </c>
      <c r="B2349" s="100" t="s">
        <v>211</v>
      </c>
      <c r="C2349" s="84" t="s">
        <v>104</v>
      </c>
      <c r="D2349" s="14" t="s">
        <v>604</v>
      </c>
      <c r="E2349" s="8">
        <v>-2000</v>
      </c>
      <c r="F2349" s="9" t="s">
        <v>8</v>
      </c>
      <c r="G2349" s="9" t="s">
        <v>186</v>
      </c>
    </row>
    <row r="2350" spans="1:7" s="139" customFormat="1" hidden="1" x14ac:dyDescent="0.3">
      <c r="A2350" s="78">
        <v>45945</v>
      </c>
      <c r="B2350" s="100" t="s">
        <v>211</v>
      </c>
      <c r="C2350" s="6" t="s">
        <v>104</v>
      </c>
      <c r="D2350" s="17" t="s">
        <v>619</v>
      </c>
      <c r="E2350" s="8">
        <v>-2000</v>
      </c>
      <c r="F2350" s="9" t="s">
        <v>8</v>
      </c>
      <c r="G2350" s="9" t="s">
        <v>186</v>
      </c>
    </row>
    <row r="2351" spans="1:7" s="139" customFormat="1" hidden="1" x14ac:dyDescent="0.3">
      <c r="A2351" s="100">
        <v>45931</v>
      </c>
      <c r="B2351" s="100" t="s">
        <v>211</v>
      </c>
      <c r="C2351" s="14" t="s">
        <v>25</v>
      </c>
      <c r="D2351" s="14" t="s">
        <v>1549</v>
      </c>
      <c r="E2351" s="8">
        <v>-469.2</v>
      </c>
      <c r="F2351" s="13" t="s">
        <v>8</v>
      </c>
      <c r="G2351" s="9" t="s">
        <v>82</v>
      </c>
    </row>
    <row r="2352" spans="1:7" s="139" customFormat="1" hidden="1" x14ac:dyDescent="0.3">
      <c r="A2352" s="100">
        <v>45931</v>
      </c>
      <c r="B2352" s="100" t="s">
        <v>211</v>
      </c>
      <c r="C2352" s="14" t="s">
        <v>25</v>
      </c>
      <c r="D2352" s="14" t="s">
        <v>987</v>
      </c>
      <c r="E2352" s="8">
        <v>-306.8</v>
      </c>
      <c r="F2352" s="13" t="s">
        <v>8</v>
      </c>
      <c r="G2352" s="9" t="s">
        <v>82</v>
      </c>
    </row>
    <row r="2353" spans="1:7" s="139" customFormat="1" hidden="1" x14ac:dyDescent="0.3">
      <c r="A2353" s="100">
        <v>45931</v>
      </c>
      <c r="B2353" s="100" t="s">
        <v>211</v>
      </c>
      <c r="C2353" s="14" t="s">
        <v>25</v>
      </c>
      <c r="D2353" s="14" t="s">
        <v>1179</v>
      </c>
      <c r="E2353" s="8">
        <v>-306.8</v>
      </c>
      <c r="F2353" s="13" t="s">
        <v>8</v>
      </c>
      <c r="G2353" s="9" t="s">
        <v>82</v>
      </c>
    </row>
    <row r="2354" spans="1:7" s="139" customFormat="1" hidden="1" x14ac:dyDescent="0.3">
      <c r="A2354" s="100">
        <v>45931</v>
      </c>
      <c r="B2354" s="100" t="s">
        <v>211</v>
      </c>
      <c r="C2354" s="14" t="s">
        <v>17</v>
      </c>
      <c r="D2354" s="14" t="s">
        <v>1586</v>
      </c>
      <c r="E2354" s="77">
        <v>-62.28</v>
      </c>
      <c r="F2354" s="27" t="s">
        <v>8</v>
      </c>
      <c r="G2354" s="354" t="s">
        <v>386</v>
      </c>
    </row>
    <row r="2355" spans="1:7" s="139" customFormat="1" hidden="1" x14ac:dyDescent="0.3">
      <c r="A2355" s="100">
        <v>45931</v>
      </c>
      <c r="B2355" s="100" t="s">
        <v>211</v>
      </c>
      <c r="C2355" s="14" t="s">
        <v>44</v>
      </c>
      <c r="D2355" s="14" t="s">
        <v>1587</v>
      </c>
      <c r="E2355" s="8">
        <v>-100</v>
      </c>
      <c r="F2355" s="13" t="s">
        <v>8</v>
      </c>
      <c r="G2355" s="9" t="s">
        <v>82</v>
      </c>
    </row>
    <row r="2356" spans="1:7" s="139" customFormat="1" hidden="1" x14ac:dyDescent="0.3">
      <c r="A2356" s="100">
        <v>45931</v>
      </c>
      <c r="B2356" s="100" t="s">
        <v>211</v>
      </c>
      <c r="C2356" s="14" t="s">
        <v>25</v>
      </c>
      <c r="D2356" s="14" t="s">
        <v>1521</v>
      </c>
      <c r="E2356" s="8">
        <v>-116.4</v>
      </c>
      <c r="F2356" s="13" t="s">
        <v>8</v>
      </c>
      <c r="G2356" s="9" t="s">
        <v>82</v>
      </c>
    </row>
    <row r="2357" spans="1:7" s="139" customFormat="1" hidden="1" x14ac:dyDescent="0.3">
      <c r="A2357" s="100">
        <v>45931</v>
      </c>
      <c r="B2357" s="100" t="s">
        <v>211</v>
      </c>
      <c r="C2357" s="14" t="s">
        <v>6</v>
      </c>
      <c r="D2357" s="14" t="s">
        <v>1555</v>
      </c>
      <c r="E2357" s="8">
        <v>-337.84</v>
      </c>
      <c r="F2357" s="13" t="s">
        <v>8</v>
      </c>
      <c r="G2357" s="9" t="s">
        <v>82</v>
      </c>
    </row>
    <row r="2358" spans="1:7" s="139" customFormat="1" hidden="1" x14ac:dyDescent="0.3">
      <c r="A2358" s="100">
        <v>45931</v>
      </c>
      <c r="B2358" s="100" t="s">
        <v>211</v>
      </c>
      <c r="C2358" s="14" t="s">
        <v>31</v>
      </c>
      <c r="D2358" s="14" t="s">
        <v>1550</v>
      </c>
      <c r="E2358" s="8">
        <v>-1263.33</v>
      </c>
      <c r="F2358" s="13" t="s">
        <v>8</v>
      </c>
      <c r="G2358" s="92" t="s">
        <v>75</v>
      </c>
    </row>
    <row r="2359" spans="1:7" s="139" customFormat="1" hidden="1" x14ac:dyDescent="0.3">
      <c r="A2359" s="100">
        <v>45931</v>
      </c>
      <c r="B2359" s="100" t="s">
        <v>211</v>
      </c>
      <c r="C2359" s="14" t="s">
        <v>32</v>
      </c>
      <c r="D2359" s="14" t="s">
        <v>1551</v>
      </c>
      <c r="E2359" s="276">
        <v>-593.25</v>
      </c>
      <c r="F2359" s="13" t="s">
        <v>8</v>
      </c>
      <c r="G2359" s="9" t="s">
        <v>75</v>
      </c>
    </row>
    <row r="2360" spans="1:7" s="139" customFormat="1" hidden="1" x14ac:dyDescent="0.3">
      <c r="A2360" s="78">
        <v>45931</v>
      </c>
      <c r="B2360" s="100" t="s">
        <v>211</v>
      </c>
      <c r="C2360" s="6" t="s">
        <v>17</v>
      </c>
      <c r="D2360" s="14" t="s">
        <v>1609</v>
      </c>
      <c r="E2360" s="8">
        <v>-1848.63</v>
      </c>
      <c r="F2360" s="9" t="s">
        <v>8</v>
      </c>
      <c r="G2360" s="9" t="s">
        <v>186</v>
      </c>
    </row>
    <row r="2361" spans="1:7" s="139" customFormat="1" hidden="1" x14ac:dyDescent="0.3">
      <c r="A2361" s="100">
        <v>45931</v>
      </c>
      <c r="B2361" s="100" t="s">
        <v>211</v>
      </c>
      <c r="C2361" s="14" t="s">
        <v>71</v>
      </c>
      <c r="D2361" s="14" t="s">
        <v>1604</v>
      </c>
      <c r="E2361" s="8">
        <v>-985.45</v>
      </c>
      <c r="F2361" s="9" t="s">
        <v>8</v>
      </c>
      <c r="G2361" s="9" t="s">
        <v>1279</v>
      </c>
    </row>
    <row r="2362" spans="1:7" s="139" customFormat="1" hidden="1" x14ac:dyDescent="0.3">
      <c r="A2362" s="78">
        <v>45931</v>
      </c>
      <c r="B2362" s="100" t="s">
        <v>211</v>
      </c>
      <c r="C2362" s="6" t="s">
        <v>17</v>
      </c>
      <c r="D2362" s="14" t="s">
        <v>597</v>
      </c>
      <c r="E2362" s="8">
        <v>-1848.63</v>
      </c>
      <c r="F2362" s="9" t="s">
        <v>8</v>
      </c>
      <c r="G2362" s="9" t="s">
        <v>186</v>
      </c>
    </row>
    <row r="2363" spans="1:7" s="139" customFormat="1" hidden="1" x14ac:dyDescent="0.3">
      <c r="A2363" s="100">
        <v>45964</v>
      </c>
      <c r="B2363" s="100" t="s">
        <v>212</v>
      </c>
      <c r="C2363" s="15" t="s">
        <v>6</v>
      </c>
      <c r="D2363" s="4" t="s">
        <v>7</v>
      </c>
      <c r="E2363" s="16">
        <v>-650</v>
      </c>
      <c r="F2363" s="13" t="s">
        <v>8</v>
      </c>
      <c r="G2363" s="5" t="s">
        <v>9</v>
      </c>
    </row>
    <row r="2364" spans="1:7" s="139" customFormat="1" hidden="1" x14ac:dyDescent="0.3">
      <c r="A2364" s="100">
        <v>45964</v>
      </c>
      <c r="B2364" s="100" t="s">
        <v>212</v>
      </c>
      <c r="C2364" s="15" t="s">
        <v>6</v>
      </c>
      <c r="D2364" s="4" t="s">
        <v>10</v>
      </c>
      <c r="E2364" s="16">
        <v>-320</v>
      </c>
      <c r="F2364" s="13" t="s">
        <v>8</v>
      </c>
      <c r="G2364" s="5" t="s">
        <v>9</v>
      </c>
    </row>
    <row r="2365" spans="1:7" s="139" customFormat="1" hidden="1" x14ac:dyDescent="0.3">
      <c r="A2365" s="100">
        <v>45964</v>
      </c>
      <c r="B2365" s="100" t="s">
        <v>212</v>
      </c>
      <c r="C2365" s="15" t="s">
        <v>6</v>
      </c>
      <c r="D2365" s="4" t="s">
        <v>11</v>
      </c>
      <c r="E2365" s="16">
        <v>-350</v>
      </c>
      <c r="F2365" s="13" t="s">
        <v>8</v>
      </c>
      <c r="G2365" s="5" t="s">
        <v>9</v>
      </c>
    </row>
    <row r="2366" spans="1:7" s="139" customFormat="1" hidden="1" x14ac:dyDescent="0.3">
      <c r="A2366" s="100">
        <v>45964</v>
      </c>
      <c r="B2366" s="100" t="s">
        <v>212</v>
      </c>
      <c r="C2366" s="12" t="s">
        <v>6</v>
      </c>
      <c r="D2366" s="4" t="s">
        <v>12</v>
      </c>
      <c r="E2366" s="16">
        <v>-201</v>
      </c>
      <c r="F2366" s="13" t="s">
        <v>8</v>
      </c>
      <c r="G2366" s="5" t="s">
        <v>9</v>
      </c>
    </row>
    <row r="2367" spans="1:7" s="139" customFormat="1" hidden="1" x14ac:dyDescent="0.3">
      <c r="A2367" s="100">
        <v>45964</v>
      </c>
      <c r="B2367" s="100" t="s">
        <v>212</v>
      </c>
      <c r="C2367" s="12" t="s">
        <v>13</v>
      </c>
      <c r="D2367" s="4" t="s">
        <v>14</v>
      </c>
      <c r="E2367" s="16">
        <v>-2000</v>
      </c>
      <c r="F2367" s="13" t="s">
        <v>8</v>
      </c>
      <c r="G2367" s="5" t="s">
        <v>15</v>
      </c>
    </row>
    <row r="2368" spans="1:7" s="139" customFormat="1" hidden="1" x14ac:dyDescent="0.3">
      <c r="A2368" s="100">
        <v>45964</v>
      </c>
      <c r="B2368" s="100" t="s">
        <v>212</v>
      </c>
      <c r="C2368" s="12" t="s">
        <v>13</v>
      </c>
      <c r="D2368" s="4" t="s">
        <v>16</v>
      </c>
      <c r="E2368" s="16">
        <v>-5000</v>
      </c>
      <c r="F2368" s="13" t="s">
        <v>8</v>
      </c>
      <c r="G2368" s="5" t="s">
        <v>15</v>
      </c>
    </row>
    <row r="2369" spans="1:7" s="139" customFormat="1" hidden="1" x14ac:dyDescent="0.3">
      <c r="A2369" s="100">
        <v>45968</v>
      </c>
      <c r="B2369" s="100" t="s">
        <v>212</v>
      </c>
      <c r="C2369" s="12" t="s">
        <v>17</v>
      </c>
      <c r="D2369" s="4" t="s">
        <v>18</v>
      </c>
      <c r="E2369" s="10">
        <v>-17235</v>
      </c>
      <c r="F2369" s="13" t="s">
        <v>8</v>
      </c>
      <c r="G2369" s="5" t="s">
        <v>19</v>
      </c>
    </row>
    <row r="2370" spans="1:7" s="139" customFormat="1" hidden="1" x14ac:dyDescent="0.3">
      <c r="A2370" s="100">
        <v>45964</v>
      </c>
      <c r="B2370" s="100" t="s">
        <v>212</v>
      </c>
      <c r="C2370" s="14" t="s">
        <v>6</v>
      </c>
      <c r="D2370" s="14" t="s">
        <v>1656</v>
      </c>
      <c r="E2370" s="8">
        <v>-2000</v>
      </c>
      <c r="F2370" s="13" t="s">
        <v>8</v>
      </c>
      <c r="G2370" s="9" t="s">
        <v>186</v>
      </c>
    </row>
    <row r="2371" spans="1:7" s="139" customFormat="1" hidden="1" x14ac:dyDescent="0.3">
      <c r="A2371" s="100">
        <v>45994</v>
      </c>
      <c r="B2371" s="100" t="s">
        <v>216</v>
      </c>
      <c r="C2371" s="14" t="s">
        <v>6</v>
      </c>
      <c r="D2371" s="14" t="s">
        <v>1657</v>
      </c>
      <c r="E2371" s="8">
        <v>-2000</v>
      </c>
      <c r="F2371" s="13" t="s">
        <v>8</v>
      </c>
      <c r="G2371" s="9" t="s">
        <v>186</v>
      </c>
    </row>
    <row r="2372" spans="1:7" s="139" customFormat="1" hidden="1" x14ac:dyDescent="0.3">
      <c r="A2372" s="100">
        <v>45964</v>
      </c>
      <c r="B2372" s="100" t="s">
        <v>212</v>
      </c>
      <c r="C2372" s="14" t="s">
        <v>44</v>
      </c>
      <c r="D2372" s="14" t="s">
        <v>1659</v>
      </c>
      <c r="E2372" s="8">
        <v>-279</v>
      </c>
      <c r="F2372" s="13" t="s">
        <v>8</v>
      </c>
      <c r="G2372" s="9" t="s">
        <v>29</v>
      </c>
    </row>
    <row r="2373" spans="1:7" s="139" customFormat="1" hidden="1" x14ac:dyDescent="0.3">
      <c r="A2373" s="100">
        <v>45994</v>
      </c>
      <c r="B2373" s="100" t="s">
        <v>216</v>
      </c>
      <c r="C2373" s="14" t="s">
        <v>44</v>
      </c>
      <c r="D2373" s="14" t="s">
        <v>1659</v>
      </c>
      <c r="E2373" s="8">
        <v>-279</v>
      </c>
      <c r="F2373" s="13" t="s">
        <v>8</v>
      </c>
      <c r="G2373" s="9" t="s">
        <v>29</v>
      </c>
    </row>
    <row r="2374" spans="1:7" s="139" customFormat="1" hidden="1" x14ac:dyDescent="0.3">
      <c r="A2374" s="100">
        <v>45964</v>
      </c>
      <c r="B2374" s="100" t="s">
        <v>212</v>
      </c>
      <c r="C2374" s="14" t="s">
        <v>44</v>
      </c>
      <c r="D2374" s="14" t="s">
        <v>1471</v>
      </c>
      <c r="E2374" s="8">
        <v>-1846.33</v>
      </c>
      <c r="F2374" s="13" t="s">
        <v>8</v>
      </c>
      <c r="G2374" s="5" t="s">
        <v>1472</v>
      </c>
    </row>
    <row r="2375" spans="1:7" s="139" customFormat="1" hidden="1" x14ac:dyDescent="0.3">
      <c r="A2375" s="100">
        <v>45994</v>
      </c>
      <c r="B2375" s="100" t="s">
        <v>216</v>
      </c>
      <c r="C2375" s="14" t="s">
        <v>17</v>
      </c>
      <c r="D2375" s="14" t="s">
        <v>1471</v>
      </c>
      <c r="E2375" s="8">
        <v>-1846.33</v>
      </c>
      <c r="F2375" s="13" t="s">
        <v>8</v>
      </c>
      <c r="G2375" s="5" t="s">
        <v>1472</v>
      </c>
    </row>
    <row r="2376" spans="1:7" s="139" customFormat="1" hidden="1" x14ac:dyDescent="0.3">
      <c r="A2376" s="100">
        <v>45964</v>
      </c>
      <c r="B2376" s="100" t="s">
        <v>212</v>
      </c>
      <c r="C2376" s="6" t="s">
        <v>20</v>
      </c>
      <c r="D2376" s="7" t="s">
        <v>21</v>
      </c>
      <c r="E2376" s="16">
        <v>-900</v>
      </c>
      <c r="F2376" s="13" t="s">
        <v>8</v>
      </c>
      <c r="G2376" s="5" t="s">
        <v>22</v>
      </c>
    </row>
    <row r="2377" spans="1:7" s="139" customFormat="1" hidden="1" x14ac:dyDescent="0.3">
      <c r="A2377" s="100">
        <v>45965</v>
      </c>
      <c r="B2377" s="100" t="s">
        <v>212</v>
      </c>
      <c r="C2377" s="15" t="s">
        <v>6</v>
      </c>
      <c r="D2377" s="4" t="s">
        <v>23</v>
      </c>
      <c r="E2377" s="16">
        <v>-3809.98</v>
      </c>
      <c r="F2377" s="13" t="s">
        <v>8</v>
      </c>
      <c r="G2377" s="5" t="s">
        <v>24</v>
      </c>
    </row>
    <row r="2378" spans="1:7" s="139" customFormat="1" hidden="1" x14ac:dyDescent="0.3">
      <c r="A2378" s="100">
        <v>45965</v>
      </c>
      <c r="B2378" s="100" t="s">
        <v>212</v>
      </c>
      <c r="C2378" s="12" t="s">
        <v>6</v>
      </c>
      <c r="D2378" s="4" t="s">
        <v>28</v>
      </c>
      <c r="E2378" s="16">
        <v>-349</v>
      </c>
      <c r="F2378" s="13" t="s">
        <v>8</v>
      </c>
      <c r="G2378" s="5" t="s">
        <v>29</v>
      </c>
    </row>
    <row r="2379" spans="1:7" s="139" customFormat="1" hidden="1" x14ac:dyDescent="0.3">
      <c r="A2379" s="100">
        <v>45965</v>
      </c>
      <c r="B2379" s="100" t="s">
        <v>212</v>
      </c>
      <c r="C2379" s="12" t="s">
        <v>30</v>
      </c>
      <c r="D2379" s="4" t="s">
        <v>28</v>
      </c>
      <c r="E2379" s="16">
        <v>-389</v>
      </c>
      <c r="F2379" s="13" t="s">
        <v>8</v>
      </c>
      <c r="G2379" s="5" t="s">
        <v>29</v>
      </c>
    </row>
    <row r="2380" spans="1:7" s="139" customFormat="1" hidden="1" x14ac:dyDescent="0.3">
      <c r="A2380" s="100">
        <v>45965</v>
      </c>
      <c r="B2380" s="100" t="s">
        <v>212</v>
      </c>
      <c r="C2380" s="12" t="s">
        <v>25</v>
      </c>
      <c r="D2380" s="4" t="s">
        <v>28</v>
      </c>
      <c r="E2380" s="16">
        <v>-349</v>
      </c>
      <c r="F2380" s="13" t="s">
        <v>8</v>
      </c>
      <c r="G2380" s="5" t="s">
        <v>29</v>
      </c>
    </row>
    <row r="2381" spans="1:7" s="139" customFormat="1" hidden="1" x14ac:dyDescent="0.3">
      <c r="A2381" s="100">
        <v>45965</v>
      </c>
      <c r="B2381" s="100" t="s">
        <v>212</v>
      </c>
      <c r="C2381" s="12" t="s">
        <v>31</v>
      </c>
      <c r="D2381" s="4" t="s">
        <v>28</v>
      </c>
      <c r="E2381" s="16">
        <v>-349</v>
      </c>
      <c r="F2381" s="13" t="s">
        <v>8</v>
      </c>
      <c r="G2381" s="5" t="s">
        <v>29</v>
      </c>
    </row>
    <row r="2382" spans="1:7" s="139" customFormat="1" hidden="1" x14ac:dyDescent="0.3">
      <c r="A2382" s="100">
        <v>45967</v>
      </c>
      <c r="B2382" s="100" t="s">
        <v>212</v>
      </c>
      <c r="C2382" s="12" t="s">
        <v>32</v>
      </c>
      <c r="D2382" s="4" t="s">
        <v>28</v>
      </c>
      <c r="E2382" s="16">
        <v>-389</v>
      </c>
      <c r="F2382" s="13" t="s">
        <v>8</v>
      </c>
      <c r="G2382" s="5" t="s">
        <v>29</v>
      </c>
    </row>
    <row r="2383" spans="1:7" s="139" customFormat="1" hidden="1" x14ac:dyDescent="0.3">
      <c r="A2383" s="100">
        <v>45965</v>
      </c>
      <c r="B2383" s="100" t="s">
        <v>212</v>
      </c>
      <c r="C2383" s="12" t="s">
        <v>33</v>
      </c>
      <c r="D2383" s="4" t="s">
        <v>28</v>
      </c>
      <c r="E2383" s="16">
        <v>-389</v>
      </c>
      <c r="F2383" s="13" t="s">
        <v>8</v>
      </c>
      <c r="G2383" s="5" t="s">
        <v>29</v>
      </c>
    </row>
    <row r="2384" spans="1:7" s="139" customFormat="1" hidden="1" x14ac:dyDescent="0.3">
      <c r="A2384" s="100">
        <v>45965</v>
      </c>
      <c r="B2384" s="100" t="s">
        <v>212</v>
      </c>
      <c r="C2384" s="12" t="s">
        <v>34</v>
      </c>
      <c r="D2384" s="4" t="s">
        <v>28</v>
      </c>
      <c r="E2384" s="16">
        <v>-389</v>
      </c>
      <c r="F2384" s="13" t="s">
        <v>8</v>
      </c>
      <c r="G2384" s="5" t="s">
        <v>29</v>
      </c>
    </row>
    <row r="2385" spans="1:7" s="139" customFormat="1" hidden="1" x14ac:dyDescent="0.3">
      <c r="A2385" s="100">
        <v>45966</v>
      </c>
      <c r="B2385" s="100" t="s">
        <v>212</v>
      </c>
      <c r="C2385" s="14" t="s">
        <v>44</v>
      </c>
      <c r="D2385" s="14" t="s">
        <v>204</v>
      </c>
      <c r="E2385" s="8">
        <v>-4057.41</v>
      </c>
      <c r="F2385" s="13" t="s">
        <v>8</v>
      </c>
      <c r="G2385" s="642" t="s">
        <v>227</v>
      </c>
    </row>
    <row r="2386" spans="1:7" s="139" customFormat="1" hidden="1" x14ac:dyDescent="0.3">
      <c r="A2386" s="100">
        <v>45966</v>
      </c>
      <c r="B2386" s="100" t="s">
        <v>212</v>
      </c>
      <c r="C2386" s="14" t="s">
        <v>71</v>
      </c>
      <c r="D2386" s="14" t="s">
        <v>1326</v>
      </c>
      <c r="E2386" s="8">
        <v>-643.75984300000005</v>
      </c>
      <c r="F2386" s="13" t="s">
        <v>8</v>
      </c>
      <c r="G2386" s="642" t="s">
        <v>227</v>
      </c>
    </row>
    <row r="2387" spans="1:7" s="139" customFormat="1" hidden="1" x14ac:dyDescent="0.3">
      <c r="A2387" s="100">
        <v>45966</v>
      </c>
      <c r="B2387" s="100" t="s">
        <v>212</v>
      </c>
      <c r="C2387" s="15" t="s">
        <v>35</v>
      </c>
      <c r="D2387" s="4" t="s">
        <v>36</v>
      </c>
      <c r="E2387" s="16">
        <v>-2000</v>
      </c>
      <c r="F2387" s="13" t="s">
        <v>8</v>
      </c>
      <c r="G2387" s="5" t="s">
        <v>37</v>
      </c>
    </row>
    <row r="2388" spans="1:7" s="139" customFormat="1" hidden="1" x14ac:dyDescent="0.3">
      <c r="A2388" s="100">
        <v>45968</v>
      </c>
      <c r="B2388" s="100" t="s">
        <v>212</v>
      </c>
      <c r="C2388" s="12" t="s">
        <v>6</v>
      </c>
      <c r="D2388" s="4" t="s">
        <v>40</v>
      </c>
      <c r="E2388" s="10">
        <v>-468000</v>
      </c>
      <c r="F2388" s="13" t="s">
        <v>8</v>
      </c>
      <c r="G2388" s="5" t="s">
        <v>41</v>
      </c>
    </row>
    <row r="2389" spans="1:7" s="139" customFormat="1" hidden="1" x14ac:dyDescent="0.3">
      <c r="A2389" s="100">
        <v>45968</v>
      </c>
      <c r="B2389" s="100" t="s">
        <v>212</v>
      </c>
      <c r="C2389" s="287" t="s">
        <v>6</v>
      </c>
      <c r="D2389" s="4" t="s">
        <v>42</v>
      </c>
      <c r="E2389" s="16">
        <v>-500</v>
      </c>
      <c r="F2389" s="13" t="s">
        <v>8</v>
      </c>
      <c r="G2389" s="5" t="s">
        <v>41</v>
      </c>
    </row>
    <row r="2390" spans="1:7" s="139" customFormat="1" hidden="1" x14ac:dyDescent="0.3">
      <c r="A2390" s="100">
        <v>45968</v>
      </c>
      <c r="B2390" s="100" t="s">
        <v>212</v>
      </c>
      <c r="C2390" s="287" t="s">
        <v>6</v>
      </c>
      <c r="D2390" s="4" t="s">
        <v>1664</v>
      </c>
      <c r="E2390" s="16">
        <v>-15000</v>
      </c>
      <c r="F2390" s="13" t="s">
        <v>8</v>
      </c>
      <c r="G2390" s="5" t="s">
        <v>41</v>
      </c>
    </row>
    <row r="2391" spans="1:7" s="139" customFormat="1" hidden="1" x14ac:dyDescent="0.3">
      <c r="A2391" s="100">
        <v>45978</v>
      </c>
      <c r="B2391" s="100" t="s">
        <v>212</v>
      </c>
      <c r="C2391" s="6" t="s">
        <v>44</v>
      </c>
      <c r="D2391" s="7" t="s">
        <v>45</v>
      </c>
      <c r="E2391" s="8">
        <v>-5523.75</v>
      </c>
      <c r="F2391" s="13" t="s">
        <v>8</v>
      </c>
      <c r="G2391" s="9" t="s">
        <v>46</v>
      </c>
    </row>
    <row r="2392" spans="1:7" s="139" customFormat="1" hidden="1" x14ac:dyDescent="0.3">
      <c r="A2392" s="100">
        <v>45968</v>
      </c>
      <c r="B2392" s="100" t="s">
        <v>212</v>
      </c>
      <c r="C2392" s="84" t="s">
        <v>13</v>
      </c>
      <c r="D2392" s="4" t="s">
        <v>47</v>
      </c>
      <c r="E2392" s="16">
        <v>-7000</v>
      </c>
      <c r="F2392" s="13" t="s">
        <v>8</v>
      </c>
      <c r="G2392" s="5" t="s">
        <v>27</v>
      </c>
    </row>
    <row r="2393" spans="1:7" s="139" customFormat="1" hidden="1" x14ac:dyDescent="0.3">
      <c r="A2393" s="100">
        <v>45975</v>
      </c>
      <c r="B2393" s="100" t="s">
        <v>212</v>
      </c>
      <c r="C2393" s="12" t="s">
        <v>17</v>
      </c>
      <c r="D2393" s="12" t="s">
        <v>18</v>
      </c>
      <c r="E2393" s="10">
        <v>-17235</v>
      </c>
      <c r="F2393" s="13" t="s">
        <v>8</v>
      </c>
      <c r="G2393" s="5" t="s">
        <v>19</v>
      </c>
    </row>
    <row r="2394" spans="1:7" s="139" customFormat="1" hidden="1" x14ac:dyDescent="0.3">
      <c r="A2394" s="78">
        <v>45971</v>
      </c>
      <c r="B2394" s="100" t="s">
        <v>212</v>
      </c>
      <c r="C2394" s="6" t="s">
        <v>32</v>
      </c>
      <c r="D2394" s="7" t="s">
        <v>48</v>
      </c>
      <c r="E2394" s="8">
        <v>-700</v>
      </c>
      <c r="F2394" s="13" t="s">
        <v>8</v>
      </c>
      <c r="G2394" s="9" t="s">
        <v>49</v>
      </c>
    </row>
    <row r="2395" spans="1:7" s="139" customFormat="1" hidden="1" x14ac:dyDescent="0.3">
      <c r="A2395" s="100">
        <v>45971</v>
      </c>
      <c r="B2395" s="100" t="s">
        <v>212</v>
      </c>
      <c r="C2395" s="12" t="s">
        <v>13</v>
      </c>
      <c r="D2395" s="4" t="s">
        <v>50</v>
      </c>
      <c r="E2395" s="16">
        <v>-9000</v>
      </c>
      <c r="F2395" s="13" t="s">
        <v>8</v>
      </c>
      <c r="G2395" s="5" t="s">
        <v>51</v>
      </c>
    </row>
    <row r="2396" spans="1:7" s="139" customFormat="1" hidden="1" x14ac:dyDescent="0.3">
      <c r="A2396" s="100">
        <v>45971</v>
      </c>
      <c r="B2396" s="100" t="s">
        <v>212</v>
      </c>
      <c r="C2396" s="12" t="s">
        <v>6</v>
      </c>
      <c r="D2396" s="4" t="s">
        <v>52</v>
      </c>
      <c r="E2396" s="16">
        <v>-290</v>
      </c>
      <c r="F2396" s="13" t="s">
        <v>8</v>
      </c>
      <c r="G2396" s="5" t="s">
        <v>53</v>
      </c>
    </row>
    <row r="2397" spans="1:7" s="139" customFormat="1" hidden="1" x14ac:dyDescent="0.3">
      <c r="A2397" s="100">
        <v>45971</v>
      </c>
      <c r="B2397" s="100" t="s">
        <v>212</v>
      </c>
      <c r="C2397" s="12" t="s">
        <v>13</v>
      </c>
      <c r="D2397" s="4" t="s">
        <v>54</v>
      </c>
      <c r="E2397" s="16">
        <v>-1000</v>
      </c>
      <c r="F2397" s="13" t="s">
        <v>8</v>
      </c>
      <c r="G2397" s="5" t="s">
        <v>55</v>
      </c>
    </row>
    <row r="2398" spans="1:7" s="139" customFormat="1" hidden="1" x14ac:dyDescent="0.3">
      <c r="A2398" s="100">
        <v>45971</v>
      </c>
      <c r="B2398" s="100" t="s">
        <v>212</v>
      </c>
      <c r="C2398" s="12" t="s">
        <v>17</v>
      </c>
      <c r="D2398" s="4" t="s">
        <v>484</v>
      </c>
      <c r="E2398" s="16">
        <v>-10500</v>
      </c>
      <c r="F2398" s="13" t="s">
        <v>8</v>
      </c>
      <c r="G2398" s="5" t="s">
        <v>56</v>
      </c>
    </row>
    <row r="2399" spans="1:7" s="139" customFormat="1" hidden="1" x14ac:dyDescent="0.3">
      <c r="A2399" s="100">
        <v>45971</v>
      </c>
      <c r="B2399" s="100" t="s">
        <v>212</v>
      </c>
      <c r="C2399" s="12" t="s">
        <v>13</v>
      </c>
      <c r="D2399" s="4" t="s">
        <v>57</v>
      </c>
      <c r="E2399" s="16">
        <v>-1000</v>
      </c>
      <c r="F2399" s="13" t="s">
        <v>8</v>
      </c>
      <c r="G2399" s="5" t="s">
        <v>55</v>
      </c>
    </row>
    <row r="2400" spans="1:7" s="139" customFormat="1" hidden="1" x14ac:dyDescent="0.3">
      <c r="A2400" s="100">
        <v>45971</v>
      </c>
      <c r="B2400" s="100" t="s">
        <v>212</v>
      </c>
      <c r="C2400" s="12" t="s">
        <v>31</v>
      </c>
      <c r="D2400" s="12" t="s">
        <v>775</v>
      </c>
      <c r="E2400" s="16">
        <v>-3000</v>
      </c>
      <c r="F2400" s="13" t="s">
        <v>8</v>
      </c>
      <c r="G2400" s="5" t="s">
        <v>58</v>
      </c>
    </row>
    <row r="2401" spans="1:7" s="139" customFormat="1" hidden="1" x14ac:dyDescent="0.3">
      <c r="A2401" s="100">
        <v>45971</v>
      </c>
      <c r="B2401" s="100" t="s">
        <v>212</v>
      </c>
      <c r="C2401" s="12" t="s">
        <v>44</v>
      </c>
      <c r="D2401" s="4" t="s">
        <v>60</v>
      </c>
      <c r="E2401" s="276">
        <v>-6536.85</v>
      </c>
      <c r="F2401" s="5" t="s">
        <v>8</v>
      </c>
      <c r="G2401" s="5" t="s">
        <v>61</v>
      </c>
    </row>
    <row r="2402" spans="1:7" s="139" customFormat="1" hidden="1" x14ac:dyDescent="0.3">
      <c r="A2402" s="100">
        <v>45971</v>
      </c>
      <c r="B2402" s="100" t="s">
        <v>212</v>
      </c>
      <c r="C2402" s="12" t="s">
        <v>6</v>
      </c>
      <c r="D2402" s="4" t="s">
        <v>62</v>
      </c>
      <c r="E2402" s="16">
        <v>-9500</v>
      </c>
      <c r="F2402" s="13" t="s">
        <v>8</v>
      </c>
      <c r="G2402" s="5" t="s">
        <v>63</v>
      </c>
    </row>
    <row r="2403" spans="1:7" s="139" customFormat="1" hidden="1" x14ac:dyDescent="0.3">
      <c r="A2403" s="100">
        <v>45971</v>
      </c>
      <c r="B2403" s="100" t="s">
        <v>212</v>
      </c>
      <c r="C2403" s="15" t="s">
        <v>64</v>
      </c>
      <c r="D2403" s="4" t="s">
        <v>65</v>
      </c>
      <c r="E2403" s="16">
        <v>-432</v>
      </c>
      <c r="F2403" s="13" t="s">
        <v>8</v>
      </c>
      <c r="G2403" s="5" t="s">
        <v>39</v>
      </c>
    </row>
    <row r="2404" spans="1:7" s="139" customFormat="1" hidden="1" x14ac:dyDescent="0.3">
      <c r="A2404" s="100">
        <v>45971</v>
      </c>
      <c r="B2404" s="100" t="s">
        <v>212</v>
      </c>
      <c r="C2404" s="15" t="s">
        <v>66</v>
      </c>
      <c r="D2404" s="4" t="s">
        <v>67</v>
      </c>
      <c r="E2404" s="16">
        <v>-553.25</v>
      </c>
      <c r="F2404" s="13" t="s">
        <v>8</v>
      </c>
      <c r="G2404" s="5" t="s">
        <v>68</v>
      </c>
    </row>
    <row r="2405" spans="1:7" s="139" customFormat="1" hidden="1" x14ac:dyDescent="0.3">
      <c r="A2405" s="100">
        <v>45978</v>
      </c>
      <c r="B2405" s="100" t="s">
        <v>212</v>
      </c>
      <c r="C2405" s="6" t="s">
        <v>71</v>
      </c>
      <c r="D2405" s="7" t="s">
        <v>72</v>
      </c>
      <c r="E2405" s="8">
        <v>-4347.01</v>
      </c>
      <c r="F2405" s="13" t="s">
        <v>8</v>
      </c>
      <c r="G2405" s="9" t="s">
        <v>73</v>
      </c>
    </row>
    <row r="2406" spans="1:7" s="139" customFormat="1" hidden="1" x14ac:dyDescent="0.3">
      <c r="A2406" s="100">
        <v>45978</v>
      </c>
      <c r="B2406" s="100" t="s">
        <v>212</v>
      </c>
      <c r="C2406" s="6" t="s">
        <v>71</v>
      </c>
      <c r="D2406" s="7" t="s">
        <v>72</v>
      </c>
      <c r="E2406" s="8">
        <v>-2173.96</v>
      </c>
      <c r="F2406" s="13" t="s">
        <v>8</v>
      </c>
      <c r="G2406" s="9" t="s">
        <v>73</v>
      </c>
    </row>
    <row r="2407" spans="1:7" s="139" customFormat="1" hidden="1" x14ac:dyDescent="0.3">
      <c r="A2407" s="100">
        <v>45974</v>
      </c>
      <c r="B2407" s="100" t="s">
        <v>212</v>
      </c>
      <c r="C2407" s="6" t="s">
        <v>6</v>
      </c>
      <c r="D2407" s="7" t="s">
        <v>75</v>
      </c>
      <c r="E2407" s="8">
        <v>-35000</v>
      </c>
      <c r="F2407" s="13" t="s">
        <v>8</v>
      </c>
      <c r="G2407" s="9" t="s">
        <v>75</v>
      </c>
    </row>
    <row r="2408" spans="1:7" s="139" customFormat="1" hidden="1" x14ac:dyDescent="0.3">
      <c r="A2408" s="100">
        <v>45978</v>
      </c>
      <c r="B2408" s="100" t="s">
        <v>212</v>
      </c>
      <c r="C2408" s="12" t="s">
        <v>6</v>
      </c>
      <c r="D2408" s="4" t="s">
        <v>77</v>
      </c>
      <c r="E2408" s="16">
        <v>-90000</v>
      </c>
      <c r="F2408" s="5" t="s">
        <v>8</v>
      </c>
      <c r="G2408" s="5" t="s">
        <v>41</v>
      </c>
    </row>
    <row r="2409" spans="1:7" s="139" customFormat="1" hidden="1" x14ac:dyDescent="0.3">
      <c r="A2409" s="100">
        <v>45978</v>
      </c>
      <c r="B2409" s="100" t="s">
        <v>212</v>
      </c>
      <c r="C2409" s="12" t="s">
        <v>6</v>
      </c>
      <c r="D2409" s="4" t="s">
        <v>78</v>
      </c>
      <c r="E2409" s="16">
        <v>-40000</v>
      </c>
      <c r="F2409" s="13" t="s">
        <v>8</v>
      </c>
      <c r="G2409" s="5" t="s">
        <v>78</v>
      </c>
    </row>
    <row r="2410" spans="1:7" s="139" customFormat="1" hidden="1" x14ac:dyDescent="0.3">
      <c r="A2410" s="100">
        <v>45978</v>
      </c>
      <c r="B2410" s="100" t="s">
        <v>212</v>
      </c>
      <c r="C2410" s="12" t="s">
        <v>6</v>
      </c>
      <c r="D2410" s="4" t="s">
        <v>79</v>
      </c>
      <c r="E2410" s="16">
        <v>-90000</v>
      </c>
      <c r="F2410" s="13" t="s">
        <v>8</v>
      </c>
      <c r="G2410" s="5" t="s">
        <v>19</v>
      </c>
    </row>
    <row r="2411" spans="1:7" s="139" customFormat="1" hidden="1" x14ac:dyDescent="0.3">
      <c r="A2411" s="100">
        <v>45978</v>
      </c>
      <c r="B2411" s="100" t="s">
        <v>212</v>
      </c>
      <c r="C2411" s="12" t="s">
        <v>80</v>
      </c>
      <c r="D2411" s="4" t="s">
        <v>81</v>
      </c>
      <c r="E2411" s="16">
        <v>-10000</v>
      </c>
      <c r="F2411" s="13" t="s">
        <v>8</v>
      </c>
      <c r="G2411" s="5" t="s">
        <v>82</v>
      </c>
    </row>
    <row r="2412" spans="1:7" s="139" customFormat="1" hidden="1" x14ac:dyDescent="0.3">
      <c r="A2412" s="100">
        <v>45978</v>
      </c>
      <c r="B2412" s="100" t="s">
        <v>212</v>
      </c>
      <c r="C2412" s="12" t="s">
        <v>17</v>
      </c>
      <c r="D2412" s="4" t="s">
        <v>83</v>
      </c>
      <c r="E2412" s="16">
        <v>-20000</v>
      </c>
      <c r="F2412" s="13" t="s">
        <v>8</v>
      </c>
      <c r="G2412" s="5" t="s">
        <v>58</v>
      </c>
    </row>
    <row r="2413" spans="1:7" s="139" customFormat="1" hidden="1" x14ac:dyDescent="0.3">
      <c r="A2413" s="100">
        <v>45978</v>
      </c>
      <c r="B2413" s="100" t="s">
        <v>212</v>
      </c>
      <c r="C2413" s="6" t="s">
        <v>17</v>
      </c>
      <c r="D2413" s="7" t="s">
        <v>86</v>
      </c>
      <c r="E2413" s="16">
        <v>-145</v>
      </c>
      <c r="F2413" s="5" t="s">
        <v>8</v>
      </c>
      <c r="G2413" s="5" t="s">
        <v>85</v>
      </c>
    </row>
    <row r="2414" spans="1:7" s="139" customFormat="1" hidden="1" x14ac:dyDescent="0.3">
      <c r="A2414" s="100">
        <v>45978</v>
      </c>
      <c r="B2414" s="100" t="s">
        <v>212</v>
      </c>
      <c r="C2414" s="12" t="s">
        <v>13</v>
      </c>
      <c r="D2414" s="4" t="s">
        <v>87</v>
      </c>
      <c r="E2414" s="16">
        <v>-1375</v>
      </c>
      <c r="F2414" s="5" t="s">
        <v>8</v>
      </c>
      <c r="G2414" s="5" t="s">
        <v>41</v>
      </c>
    </row>
    <row r="2415" spans="1:7" s="139" customFormat="1" hidden="1" x14ac:dyDescent="0.3">
      <c r="A2415" s="100">
        <v>45978</v>
      </c>
      <c r="B2415" s="100" t="s">
        <v>212</v>
      </c>
      <c r="C2415" s="12" t="s">
        <v>6</v>
      </c>
      <c r="D2415" s="4" t="s">
        <v>89</v>
      </c>
      <c r="E2415" s="16">
        <v>-6500</v>
      </c>
      <c r="F2415" s="5" t="s">
        <v>8</v>
      </c>
      <c r="G2415" s="5" t="s">
        <v>63</v>
      </c>
    </row>
    <row r="2416" spans="1:7" s="139" customFormat="1" hidden="1" x14ac:dyDescent="0.3">
      <c r="A2416" s="100">
        <v>45978</v>
      </c>
      <c r="B2416" s="100" t="s">
        <v>212</v>
      </c>
      <c r="C2416" s="12" t="s">
        <v>17</v>
      </c>
      <c r="D2416" s="4" t="s">
        <v>90</v>
      </c>
      <c r="E2416" s="16">
        <v>-12000</v>
      </c>
      <c r="F2416" s="13" t="s">
        <v>8</v>
      </c>
      <c r="G2416" s="5" t="s">
        <v>91</v>
      </c>
    </row>
    <row r="2417" spans="1:7" s="139" customFormat="1" hidden="1" x14ac:dyDescent="0.3">
      <c r="A2417" s="100">
        <v>45978</v>
      </c>
      <c r="B2417" s="100" t="s">
        <v>212</v>
      </c>
      <c r="C2417" s="6" t="s">
        <v>31</v>
      </c>
      <c r="D2417" s="104" t="s">
        <v>91</v>
      </c>
      <c r="E2417" s="16">
        <v>-2302.0500000000002</v>
      </c>
      <c r="F2417" s="13" t="s">
        <v>8</v>
      </c>
      <c r="G2417" s="5" t="s">
        <v>91</v>
      </c>
    </row>
    <row r="2418" spans="1:7" s="139" customFormat="1" hidden="1" x14ac:dyDescent="0.3">
      <c r="A2418" s="100">
        <v>45978</v>
      </c>
      <c r="B2418" s="100" t="s">
        <v>212</v>
      </c>
      <c r="C2418" s="15" t="s">
        <v>25</v>
      </c>
      <c r="D2418" s="104" t="s">
        <v>91</v>
      </c>
      <c r="E2418" s="16">
        <v>-1248.99</v>
      </c>
      <c r="F2418" s="13" t="s">
        <v>8</v>
      </c>
      <c r="G2418" s="5" t="s">
        <v>91</v>
      </c>
    </row>
    <row r="2419" spans="1:7" s="139" customFormat="1" hidden="1" x14ac:dyDescent="0.3">
      <c r="A2419" s="100">
        <v>45974</v>
      </c>
      <c r="B2419" s="100" t="s">
        <v>212</v>
      </c>
      <c r="C2419" s="12" t="s">
        <v>6</v>
      </c>
      <c r="D2419" s="4" t="s">
        <v>566</v>
      </c>
      <c r="E2419" s="16">
        <v>-2012.45</v>
      </c>
      <c r="F2419" s="13" t="s">
        <v>8</v>
      </c>
      <c r="G2419" s="9" t="s">
        <v>46</v>
      </c>
    </row>
    <row r="2420" spans="1:7" s="139" customFormat="1" hidden="1" x14ac:dyDescent="0.3">
      <c r="A2420" s="100">
        <v>45978</v>
      </c>
      <c r="B2420" s="100" t="s">
        <v>212</v>
      </c>
      <c r="C2420" s="12" t="s">
        <v>6</v>
      </c>
      <c r="D2420" s="4" t="s">
        <v>92</v>
      </c>
      <c r="E2420" s="16">
        <v>-171.1</v>
      </c>
      <c r="F2420" s="13" t="s">
        <v>8</v>
      </c>
      <c r="G2420" s="5" t="s">
        <v>29</v>
      </c>
    </row>
    <row r="2421" spans="1:7" s="139" customFormat="1" hidden="1" x14ac:dyDescent="0.3">
      <c r="A2421" s="100">
        <v>45978</v>
      </c>
      <c r="B2421" s="100" t="s">
        <v>212</v>
      </c>
      <c r="C2421" s="12" t="s">
        <v>44</v>
      </c>
      <c r="D2421" s="4" t="s">
        <v>92</v>
      </c>
      <c r="E2421" s="16">
        <v>-171.1</v>
      </c>
      <c r="F2421" s="13" t="s">
        <v>8</v>
      </c>
      <c r="G2421" s="5" t="s">
        <v>29</v>
      </c>
    </row>
    <row r="2422" spans="1:7" s="139" customFormat="1" hidden="1" x14ac:dyDescent="0.3">
      <c r="A2422" s="100">
        <v>45978</v>
      </c>
      <c r="B2422" s="100" t="s">
        <v>212</v>
      </c>
      <c r="C2422" s="12" t="s">
        <v>13</v>
      </c>
      <c r="D2422" s="4" t="s">
        <v>92</v>
      </c>
      <c r="E2422" s="16">
        <v>-171.1</v>
      </c>
      <c r="F2422" s="13" t="s">
        <v>8</v>
      </c>
      <c r="G2422" s="5" t="s">
        <v>29</v>
      </c>
    </row>
    <row r="2423" spans="1:7" s="139" customFormat="1" hidden="1" x14ac:dyDescent="0.3">
      <c r="A2423" s="100">
        <v>45978</v>
      </c>
      <c r="B2423" s="100" t="s">
        <v>212</v>
      </c>
      <c r="C2423" s="12" t="s">
        <v>648</v>
      </c>
      <c r="D2423" s="4" t="s">
        <v>92</v>
      </c>
      <c r="E2423" s="16">
        <v>-171.1</v>
      </c>
      <c r="F2423" s="13" t="s">
        <v>8</v>
      </c>
      <c r="G2423" s="5" t="s">
        <v>29</v>
      </c>
    </row>
    <row r="2424" spans="1:7" s="139" customFormat="1" hidden="1" x14ac:dyDescent="0.3">
      <c r="A2424" s="100">
        <v>45978</v>
      </c>
      <c r="B2424" s="100" t="s">
        <v>212</v>
      </c>
      <c r="C2424" s="12" t="s">
        <v>31</v>
      </c>
      <c r="D2424" s="4" t="s">
        <v>92</v>
      </c>
      <c r="E2424" s="16">
        <v>-171.1</v>
      </c>
      <c r="F2424" s="13" t="s">
        <v>8</v>
      </c>
      <c r="G2424" s="5" t="s">
        <v>29</v>
      </c>
    </row>
    <row r="2425" spans="1:7" s="139" customFormat="1" hidden="1" x14ac:dyDescent="0.3">
      <c r="A2425" s="100">
        <v>45978</v>
      </c>
      <c r="B2425" s="100" t="s">
        <v>212</v>
      </c>
      <c r="C2425" s="12" t="s">
        <v>64</v>
      </c>
      <c r="D2425" s="4" t="s">
        <v>92</v>
      </c>
      <c r="E2425" s="16">
        <v>-171.1</v>
      </c>
      <c r="F2425" s="13" t="s">
        <v>8</v>
      </c>
      <c r="G2425" s="5" t="s">
        <v>29</v>
      </c>
    </row>
    <row r="2426" spans="1:7" s="139" customFormat="1" hidden="1" x14ac:dyDescent="0.3">
      <c r="A2426" s="100">
        <v>45978</v>
      </c>
      <c r="B2426" s="100" t="s">
        <v>212</v>
      </c>
      <c r="C2426" s="6" t="s">
        <v>647</v>
      </c>
      <c r="D2426" s="4" t="s">
        <v>92</v>
      </c>
      <c r="E2426" s="16">
        <v>-171.1</v>
      </c>
      <c r="F2426" s="13" t="s">
        <v>8</v>
      </c>
      <c r="G2426" s="5" t="s">
        <v>29</v>
      </c>
    </row>
    <row r="2427" spans="1:7" s="139" customFormat="1" hidden="1" x14ac:dyDescent="0.3">
      <c r="A2427" s="100">
        <v>45978</v>
      </c>
      <c r="B2427" s="100" t="s">
        <v>212</v>
      </c>
      <c r="C2427" s="6" t="s">
        <v>17</v>
      </c>
      <c r="D2427" s="4" t="s">
        <v>92</v>
      </c>
      <c r="E2427" s="16">
        <v>-171.1</v>
      </c>
      <c r="F2427" s="13" t="s">
        <v>8</v>
      </c>
      <c r="G2427" s="5" t="s">
        <v>29</v>
      </c>
    </row>
    <row r="2428" spans="1:7" s="139" customFormat="1" hidden="1" x14ac:dyDescent="0.3">
      <c r="A2428" s="100">
        <v>45978</v>
      </c>
      <c r="B2428" s="100" t="s">
        <v>212</v>
      </c>
      <c r="C2428" s="6" t="s">
        <v>30</v>
      </c>
      <c r="D2428" s="4" t="s">
        <v>92</v>
      </c>
      <c r="E2428" s="16">
        <v>-171.1</v>
      </c>
      <c r="F2428" s="13" t="s">
        <v>8</v>
      </c>
      <c r="G2428" s="5" t="s">
        <v>29</v>
      </c>
    </row>
    <row r="2429" spans="1:7" s="139" customFormat="1" hidden="1" x14ac:dyDescent="0.3">
      <c r="A2429" s="100">
        <v>45978</v>
      </c>
      <c r="B2429" s="100" t="s">
        <v>212</v>
      </c>
      <c r="C2429" s="6" t="s">
        <v>93</v>
      </c>
      <c r="D2429" s="4" t="s">
        <v>92</v>
      </c>
      <c r="E2429" s="16">
        <v>-171.1</v>
      </c>
      <c r="F2429" s="13" t="s">
        <v>8</v>
      </c>
      <c r="G2429" s="5" t="s">
        <v>29</v>
      </c>
    </row>
    <row r="2430" spans="1:7" s="139" customFormat="1" hidden="1" x14ac:dyDescent="0.3">
      <c r="A2430" s="100">
        <v>45978</v>
      </c>
      <c r="B2430" s="100" t="s">
        <v>212</v>
      </c>
      <c r="C2430" s="6" t="s">
        <v>33</v>
      </c>
      <c r="D2430" s="4" t="s">
        <v>92</v>
      </c>
      <c r="E2430" s="16">
        <v>-171.1</v>
      </c>
      <c r="F2430" s="13" t="s">
        <v>8</v>
      </c>
      <c r="G2430" s="5" t="s">
        <v>29</v>
      </c>
    </row>
    <row r="2431" spans="1:7" s="139" customFormat="1" hidden="1" x14ac:dyDescent="0.3">
      <c r="A2431" s="100">
        <v>45978</v>
      </c>
      <c r="B2431" s="100" t="s">
        <v>212</v>
      </c>
      <c r="C2431" s="6" t="s">
        <v>94</v>
      </c>
      <c r="D2431" s="4" t="s">
        <v>92</v>
      </c>
      <c r="E2431" s="16">
        <v>-171.1</v>
      </c>
      <c r="F2431" s="13" t="s">
        <v>8</v>
      </c>
      <c r="G2431" s="5" t="s">
        <v>29</v>
      </c>
    </row>
    <row r="2432" spans="1:7" s="139" customFormat="1" hidden="1" x14ac:dyDescent="0.3">
      <c r="A2432" s="100">
        <v>45978</v>
      </c>
      <c r="B2432" s="100" t="s">
        <v>212</v>
      </c>
      <c r="C2432" s="6" t="s">
        <v>32</v>
      </c>
      <c r="D2432" s="4" t="s">
        <v>92</v>
      </c>
      <c r="E2432" s="16">
        <v>-171.1</v>
      </c>
      <c r="F2432" s="13" t="s">
        <v>8</v>
      </c>
      <c r="G2432" s="5" t="s">
        <v>29</v>
      </c>
    </row>
    <row r="2433" spans="1:7" s="139" customFormat="1" hidden="1" x14ac:dyDescent="0.3">
      <c r="A2433" s="100">
        <v>45978</v>
      </c>
      <c r="B2433" s="100" t="s">
        <v>212</v>
      </c>
      <c r="C2433" s="6" t="s">
        <v>34</v>
      </c>
      <c r="D2433" s="4" t="s">
        <v>92</v>
      </c>
      <c r="E2433" s="16">
        <v>-171.1</v>
      </c>
      <c r="F2433" s="13" t="s">
        <v>8</v>
      </c>
      <c r="G2433" s="5" t="s">
        <v>29</v>
      </c>
    </row>
    <row r="2434" spans="1:7" s="139" customFormat="1" hidden="1" x14ac:dyDescent="0.3">
      <c r="A2434" s="100">
        <v>45978</v>
      </c>
      <c r="B2434" s="100" t="s">
        <v>212</v>
      </c>
      <c r="C2434" s="12" t="s">
        <v>6</v>
      </c>
      <c r="D2434" s="4" t="s">
        <v>1671</v>
      </c>
      <c r="E2434" s="16">
        <v>-8000</v>
      </c>
      <c r="F2434" s="13" t="s">
        <v>8</v>
      </c>
      <c r="G2434" s="5" t="s">
        <v>97</v>
      </c>
    </row>
    <row r="2435" spans="1:7" s="139" customFormat="1" hidden="1" x14ac:dyDescent="0.3">
      <c r="A2435" s="100">
        <v>45978</v>
      </c>
      <c r="B2435" s="100" t="s">
        <v>212</v>
      </c>
      <c r="C2435" s="12" t="s">
        <v>6</v>
      </c>
      <c r="D2435" s="4" t="s">
        <v>98</v>
      </c>
      <c r="E2435" s="16">
        <v>-141.69999999999999</v>
      </c>
      <c r="F2435" s="13" t="s">
        <v>8</v>
      </c>
      <c r="G2435" s="5" t="s">
        <v>99</v>
      </c>
    </row>
    <row r="2436" spans="1:7" s="139" customFormat="1" hidden="1" x14ac:dyDescent="0.3">
      <c r="A2436" s="100">
        <v>45978</v>
      </c>
      <c r="B2436" s="100" t="s">
        <v>212</v>
      </c>
      <c r="C2436" s="12" t="s">
        <v>6</v>
      </c>
      <c r="D2436" s="4" t="s">
        <v>100</v>
      </c>
      <c r="E2436" s="16">
        <v>-141.69999999999999</v>
      </c>
      <c r="F2436" s="13" t="s">
        <v>8</v>
      </c>
      <c r="G2436" s="5" t="s">
        <v>99</v>
      </c>
    </row>
    <row r="2437" spans="1:7" s="139" customFormat="1" hidden="1" x14ac:dyDescent="0.3">
      <c r="A2437" s="100">
        <v>45978</v>
      </c>
      <c r="B2437" s="100" t="s">
        <v>212</v>
      </c>
      <c r="C2437" s="12" t="s">
        <v>6</v>
      </c>
      <c r="D2437" s="4" t="s">
        <v>101</v>
      </c>
      <c r="E2437" s="16">
        <v>-141.69999999999999</v>
      </c>
      <c r="F2437" s="13" t="s">
        <v>8</v>
      </c>
      <c r="G2437" s="5" t="s">
        <v>99</v>
      </c>
    </row>
    <row r="2438" spans="1:7" s="139" customFormat="1" hidden="1" x14ac:dyDescent="0.3">
      <c r="A2438" s="100">
        <v>45978</v>
      </c>
      <c r="B2438" s="100" t="s">
        <v>212</v>
      </c>
      <c r="C2438" s="12" t="s">
        <v>6</v>
      </c>
      <c r="D2438" s="4" t="s">
        <v>102</v>
      </c>
      <c r="E2438" s="16">
        <v>-139.25</v>
      </c>
      <c r="F2438" s="13" t="s">
        <v>8</v>
      </c>
      <c r="G2438" s="5" t="s">
        <v>99</v>
      </c>
    </row>
    <row r="2439" spans="1:7" s="139" customFormat="1" hidden="1" x14ac:dyDescent="0.3">
      <c r="A2439" s="100">
        <v>45978</v>
      </c>
      <c r="B2439" s="100" t="s">
        <v>212</v>
      </c>
      <c r="C2439" s="15" t="s">
        <v>32</v>
      </c>
      <c r="D2439" s="4" t="s">
        <v>103</v>
      </c>
      <c r="E2439" s="16">
        <v>-244.5</v>
      </c>
      <c r="F2439" s="5" t="s">
        <v>8</v>
      </c>
      <c r="G2439" s="5" t="s">
        <v>68</v>
      </c>
    </row>
    <row r="2440" spans="1:7" s="139" customFormat="1" hidden="1" x14ac:dyDescent="0.3">
      <c r="A2440" s="100">
        <v>45978</v>
      </c>
      <c r="B2440" s="100" t="s">
        <v>212</v>
      </c>
      <c r="C2440" s="15" t="s">
        <v>104</v>
      </c>
      <c r="D2440" s="4" t="s">
        <v>103</v>
      </c>
      <c r="E2440" s="16">
        <v>-300</v>
      </c>
      <c r="F2440" s="5" t="s">
        <v>8</v>
      </c>
      <c r="G2440" s="5" t="s">
        <v>68</v>
      </c>
    </row>
    <row r="2441" spans="1:7" s="139" customFormat="1" hidden="1" x14ac:dyDescent="0.3">
      <c r="A2441" s="100">
        <v>45978</v>
      </c>
      <c r="B2441" s="100" t="s">
        <v>212</v>
      </c>
      <c r="C2441" s="15" t="s">
        <v>35</v>
      </c>
      <c r="D2441" s="4" t="s">
        <v>103</v>
      </c>
      <c r="E2441" s="16">
        <v>-300</v>
      </c>
      <c r="F2441" s="5" t="s">
        <v>8</v>
      </c>
      <c r="G2441" s="5" t="s">
        <v>68</v>
      </c>
    </row>
    <row r="2442" spans="1:7" s="139" customFormat="1" hidden="1" x14ac:dyDescent="0.3">
      <c r="A2442" s="100">
        <v>45978</v>
      </c>
      <c r="B2442" s="100" t="s">
        <v>212</v>
      </c>
      <c r="C2442" s="15" t="s">
        <v>105</v>
      </c>
      <c r="D2442" s="4" t="s">
        <v>103</v>
      </c>
      <c r="E2442" s="16">
        <v>-300</v>
      </c>
      <c r="F2442" s="5" t="s">
        <v>8</v>
      </c>
      <c r="G2442" s="5" t="s">
        <v>68</v>
      </c>
    </row>
    <row r="2443" spans="1:7" s="139" customFormat="1" hidden="1" x14ac:dyDescent="0.3">
      <c r="A2443" s="100">
        <v>45978</v>
      </c>
      <c r="B2443" s="100" t="s">
        <v>212</v>
      </c>
      <c r="C2443" s="15" t="s">
        <v>106</v>
      </c>
      <c r="D2443" s="4" t="s">
        <v>103</v>
      </c>
      <c r="E2443" s="16">
        <v>-275</v>
      </c>
      <c r="F2443" s="5" t="s">
        <v>8</v>
      </c>
      <c r="G2443" s="5" t="s">
        <v>68</v>
      </c>
    </row>
    <row r="2444" spans="1:7" s="139" customFormat="1" hidden="1" x14ac:dyDescent="0.3">
      <c r="A2444" s="100">
        <v>45978</v>
      </c>
      <c r="B2444" s="100" t="s">
        <v>212</v>
      </c>
      <c r="C2444" s="15" t="s">
        <v>71</v>
      </c>
      <c r="D2444" s="4" t="s">
        <v>103</v>
      </c>
      <c r="E2444" s="16">
        <v>-300</v>
      </c>
      <c r="F2444" s="5" t="s">
        <v>8</v>
      </c>
      <c r="G2444" s="5" t="s">
        <v>68</v>
      </c>
    </row>
    <row r="2445" spans="1:7" s="139" customFormat="1" hidden="1" x14ac:dyDescent="0.3">
      <c r="A2445" s="100">
        <v>45978</v>
      </c>
      <c r="B2445" s="100" t="s">
        <v>212</v>
      </c>
      <c r="C2445" s="15" t="s">
        <v>107</v>
      </c>
      <c r="D2445" s="4" t="s">
        <v>103</v>
      </c>
      <c r="E2445" s="16">
        <v>-300</v>
      </c>
      <c r="F2445" s="5" t="s">
        <v>8</v>
      </c>
      <c r="G2445" s="5" t="s">
        <v>68</v>
      </c>
    </row>
    <row r="2446" spans="1:7" s="139" customFormat="1" hidden="1" x14ac:dyDescent="0.3">
      <c r="A2446" s="100">
        <v>45978</v>
      </c>
      <c r="B2446" s="100" t="s">
        <v>212</v>
      </c>
      <c r="C2446" s="15" t="s">
        <v>108</v>
      </c>
      <c r="D2446" s="4" t="s">
        <v>103</v>
      </c>
      <c r="E2446" s="16">
        <v>-350</v>
      </c>
      <c r="F2446" s="5" t="s">
        <v>8</v>
      </c>
      <c r="G2446" s="5" t="s">
        <v>68</v>
      </c>
    </row>
    <row r="2447" spans="1:7" s="139" customFormat="1" hidden="1" x14ac:dyDescent="0.3">
      <c r="A2447" s="100">
        <v>45978</v>
      </c>
      <c r="B2447" s="100" t="s">
        <v>212</v>
      </c>
      <c r="C2447" s="15" t="s">
        <v>109</v>
      </c>
      <c r="D2447" s="4" t="s">
        <v>103</v>
      </c>
      <c r="E2447" s="16">
        <v>-373.51</v>
      </c>
      <c r="F2447" s="5" t="s">
        <v>8</v>
      </c>
      <c r="G2447" s="5" t="s">
        <v>68</v>
      </c>
    </row>
    <row r="2448" spans="1:7" s="139" customFormat="1" hidden="1" x14ac:dyDescent="0.3">
      <c r="A2448" s="100">
        <v>45978</v>
      </c>
      <c r="B2448" s="100" t="s">
        <v>212</v>
      </c>
      <c r="C2448" s="6" t="s">
        <v>31</v>
      </c>
      <c r="D2448" s="7" t="s">
        <v>197</v>
      </c>
      <c r="E2448" s="8">
        <v>-3022.31</v>
      </c>
      <c r="F2448" s="13" t="s">
        <v>8</v>
      </c>
      <c r="G2448" s="9" t="s">
        <v>85</v>
      </c>
    </row>
    <row r="2449" spans="1:7" s="139" customFormat="1" hidden="1" x14ac:dyDescent="0.3">
      <c r="A2449" s="100">
        <v>45978</v>
      </c>
      <c r="B2449" s="100" t="s">
        <v>212</v>
      </c>
      <c r="C2449" s="6" t="s">
        <v>6</v>
      </c>
      <c r="D2449" s="7" t="s">
        <v>197</v>
      </c>
      <c r="E2449" s="8">
        <v>-3952.25</v>
      </c>
      <c r="F2449" s="13" t="s">
        <v>8</v>
      </c>
      <c r="G2449" s="9" t="s">
        <v>85</v>
      </c>
    </row>
    <row r="2450" spans="1:7" s="139" customFormat="1" hidden="1" x14ac:dyDescent="0.3">
      <c r="A2450" s="100">
        <v>45978</v>
      </c>
      <c r="B2450" s="100" t="s">
        <v>212</v>
      </c>
      <c r="C2450" s="6" t="s">
        <v>44</v>
      </c>
      <c r="D2450" s="7" t="s">
        <v>197</v>
      </c>
      <c r="E2450" s="8">
        <v>-3409.78</v>
      </c>
      <c r="F2450" s="13" t="s">
        <v>8</v>
      </c>
      <c r="G2450" s="9" t="s">
        <v>85</v>
      </c>
    </row>
    <row r="2451" spans="1:7" s="139" customFormat="1" hidden="1" x14ac:dyDescent="0.3">
      <c r="A2451" s="100">
        <v>45978</v>
      </c>
      <c r="B2451" s="100" t="s">
        <v>212</v>
      </c>
      <c r="C2451" s="6" t="s">
        <v>44</v>
      </c>
      <c r="D2451" s="7" t="s">
        <v>197</v>
      </c>
      <c r="E2451" s="8">
        <v>-852.45</v>
      </c>
      <c r="F2451" s="13" t="s">
        <v>8</v>
      </c>
      <c r="G2451" s="9" t="s">
        <v>85</v>
      </c>
    </row>
    <row r="2452" spans="1:7" s="139" customFormat="1" hidden="1" x14ac:dyDescent="0.3">
      <c r="A2452" s="100">
        <v>45978</v>
      </c>
      <c r="B2452" s="100" t="s">
        <v>212</v>
      </c>
      <c r="C2452" s="6" t="s">
        <v>25</v>
      </c>
      <c r="D2452" s="7" t="s">
        <v>197</v>
      </c>
      <c r="E2452" s="8">
        <v>-2944.81</v>
      </c>
      <c r="F2452" s="13" t="s">
        <v>8</v>
      </c>
      <c r="G2452" s="9" t="s">
        <v>85</v>
      </c>
    </row>
    <row r="2453" spans="1:7" s="139" customFormat="1" hidden="1" x14ac:dyDescent="0.3">
      <c r="A2453" s="100">
        <v>45978</v>
      </c>
      <c r="B2453" s="100" t="s">
        <v>212</v>
      </c>
      <c r="C2453" s="6" t="s">
        <v>33</v>
      </c>
      <c r="D2453" s="7" t="s">
        <v>197</v>
      </c>
      <c r="E2453" s="8">
        <v>-852.45</v>
      </c>
      <c r="F2453" s="13" t="s">
        <v>8</v>
      </c>
      <c r="G2453" s="9" t="s">
        <v>85</v>
      </c>
    </row>
    <row r="2454" spans="1:7" s="139" customFormat="1" hidden="1" x14ac:dyDescent="0.3">
      <c r="A2454" s="100">
        <v>45978</v>
      </c>
      <c r="B2454" s="100" t="s">
        <v>212</v>
      </c>
      <c r="C2454" s="6" t="s">
        <v>104</v>
      </c>
      <c r="D2454" s="7" t="s">
        <v>197</v>
      </c>
      <c r="E2454" s="8">
        <v>-929.94</v>
      </c>
      <c r="F2454" s="13" t="s">
        <v>8</v>
      </c>
      <c r="G2454" s="9" t="s">
        <v>85</v>
      </c>
    </row>
    <row r="2455" spans="1:7" s="139" customFormat="1" hidden="1" x14ac:dyDescent="0.3">
      <c r="A2455" s="100">
        <v>45978</v>
      </c>
      <c r="B2455" s="100" t="s">
        <v>212</v>
      </c>
      <c r="C2455" s="6" t="s">
        <v>32</v>
      </c>
      <c r="D2455" s="7" t="s">
        <v>197</v>
      </c>
      <c r="E2455" s="8">
        <v>-232.49</v>
      </c>
      <c r="F2455" s="13" t="s">
        <v>8</v>
      </c>
      <c r="G2455" s="9" t="s">
        <v>85</v>
      </c>
    </row>
    <row r="2456" spans="1:7" s="139" customFormat="1" hidden="1" x14ac:dyDescent="0.3">
      <c r="A2456" s="100">
        <v>45978</v>
      </c>
      <c r="B2456" s="100" t="s">
        <v>212</v>
      </c>
      <c r="C2456" s="6" t="s">
        <v>71</v>
      </c>
      <c r="D2456" s="7" t="s">
        <v>197</v>
      </c>
      <c r="E2456" s="8">
        <v>-464.97</v>
      </c>
      <c r="F2456" s="13" t="s">
        <v>8</v>
      </c>
      <c r="G2456" s="9" t="s">
        <v>85</v>
      </c>
    </row>
    <row r="2457" spans="1:7" s="139" customFormat="1" hidden="1" x14ac:dyDescent="0.3">
      <c r="A2457" s="100">
        <v>45978</v>
      </c>
      <c r="B2457" s="100" t="s">
        <v>212</v>
      </c>
      <c r="C2457" s="6" t="s">
        <v>17</v>
      </c>
      <c r="D2457" s="7" t="s">
        <v>197</v>
      </c>
      <c r="E2457" s="8">
        <v>-542.47</v>
      </c>
      <c r="F2457" s="13" t="s">
        <v>8</v>
      </c>
      <c r="G2457" s="9" t="s">
        <v>85</v>
      </c>
    </row>
    <row r="2458" spans="1:7" s="139" customFormat="1" hidden="1" x14ac:dyDescent="0.3">
      <c r="A2458" s="100">
        <v>45978</v>
      </c>
      <c r="B2458" s="100" t="s">
        <v>212</v>
      </c>
      <c r="C2458" s="14" t="s">
        <v>44</v>
      </c>
      <c r="D2458" s="14" t="s">
        <v>1674</v>
      </c>
      <c r="E2458" s="8">
        <v>-930.49</v>
      </c>
      <c r="F2458" s="13" t="s">
        <v>8</v>
      </c>
      <c r="G2458" s="9" t="s">
        <v>1658</v>
      </c>
    </row>
    <row r="2459" spans="1:7" s="139" customFormat="1" hidden="1" x14ac:dyDescent="0.3">
      <c r="A2459" s="100">
        <v>45978</v>
      </c>
      <c r="B2459" s="100" t="s">
        <v>212</v>
      </c>
      <c r="C2459" s="12" t="s">
        <v>17</v>
      </c>
      <c r="D2459" s="4" t="s">
        <v>110</v>
      </c>
      <c r="E2459" s="16">
        <v>-3760</v>
      </c>
      <c r="F2459" s="13" t="s">
        <v>8</v>
      </c>
      <c r="G2459" s="5" t="s">
        <v>73</v>
      </c>
    </row>
    <row r="2460" spans="1:7" s="139" customFormat="1" hidden="1" x14ac:dyDescent="0.3">
      <c r="A2460" s="100">
        <v>45978</v>
      </c>
      <c r="B2460" s="100" t="s">
        <v>212</v>
      </c>
      <c r="C2460" s="12" t="s">
        <v>17</v>
      </c>
      <c r="D2460" s="4" t="s">
        <v>110</v>
      </c>
      <c r="E2460" s="16">
        <v>-5800</v>
      </c>
      <c r="F2460" s="13" t="s">
        <v>8</v>
      </c>
      <c r="G2460" s="5" t="s">
        <v>73</v>
      </c>
    </row>
    <row r="2461" spans="1:7" s="139" customFormat="1" hidden="1" x14ac:dyDescent="0.3">
      <c r="A2461" s="100">
        <v>45978</v>
      </c>
      <c r="B2461" s="100" t="s">
        <v>212</v>
      </c>
      <c r="C2461" s="12" t="s">
        <v>13</v>
      </c>
      <c r="D2461" s="4" t="s">
        <v>110</v>
      </c>
      <c r="E2461" s="16">
        <v>-5460</v>
      </c>
      <c r="F2461" s="13" t="s">
        <v>8</v>
      </c>
      <c r="G2461" s="5" t="s">
        <v>73</v>
      </c>
    </row>
    <row r="2462" spans="1:7" s="139" customFormat="1" hidden="1" x14ac:dyDescent="0.3">
      <c r="A2462" s="100">
        <v>45982</v>
      </c>
      <c r="B2462" s="100" t="s">
        <v>212</v>
      </c>
      <c r="C2462" s="12" t="s">
        <v>17</v>
      </c>
      <c r="D2462" s="4" t="s">
        <v>18</v>
      </c>
      <c r="E2462" s="10">
        <v>-17235</v>
      </c>
      <c r="F2462" s="13" t="s">
        <v>8</v>
      </c>
      <c r="G2462" s="5" t="s">
        <v>19</v>
      </c>
    </row>
    <row r="2463" spans="1:7" s="139" customFormat="1" hidden="1" x14ac:dyDescent="0.3">
      <c r="A2463" s="100">
        <v>45978</v>
      </c>
      <c r="B2463" s="100" t="s">
        <v>212</v>
      </c>
      <c r="C2463" s="12" t="s">
        <v>6</v>
      </c>
      <c r="D2463" s="4" t="s">
        <v>689</v>
      </c>
      <c r="E2463" s="16">
        <v>-4500</v>
      </c>
      <c r="F2463" s="13" t="s">
        <v>8</v>
      </c>
      <c r="G2463" s="5" t="s">
        <v>111</v>
      </c>
    </row>
    <row r="2464" spans="1:7" s="139" customFormat="1" hidden="1" x14ac:dyDescent="0.3">
      <c r="A2464" s="100">
        <v>45987</v>
      </c>
      <c r="B2464" s="100" t="s">
        <v>212</v>
      </c>
      <c r="C2464" s="15" t="s">
        <v>6</v>
      </c>
      <c r="D2464" s="4" t="s">
        <v>112</v>
      </c>
      <c r="E2464" s="16">
        <v>-35714.57</v>
      </c>
      <c r="F2464" s="5" t="s">
        <v>8</v>
      </c>
      <c r="G2464" s="9" t="s">
        <v>46</v>
      </c>
    </row>
    <row r="2465" spans="1:7" s="139" customFormat="1" hidden="1" x14ac:dyDescent="0.3">
      <c r="A2465" s="100">
        <v>45978</v>
      </c>
      <c r="B2465" s="100" t="s">
        <v>212</v>
      </c>
      <c r="C2465" s="12" t="s">
        <v>6</v>
      </c>
      <c r="D2465" s="4" t="s">
        <v>113</v>
      </c>
      <c r="E2465" s="16">
        <v>-30</v>
      </c>
      <c r="F2465" s="13" t="s">
        <v>8</v>
      </c>
      <c r="G2465" s="5" t="s">
        <v>51</v>
      </c>
    </row>
    <row r="2466" spans="1:7" s="139" customFormat="1" hidden="1" x14ac:dyDescent="0.3">
      <c r="A2466" s="100">
        <v>45978</v>
      </c>
      <c r="B2466" s="100" t="s">
        <v>212</v>
      </c>
      <c r="C2466" s="12" t="s">
        <v>6</v>
      </c>
      <c r="D2466" s="4" t="s">
        <v>114</v>
      </c>
      <c r="E2466" s="16">
        <v>-10000</v>
      </c>
      <c r="F2466" s="13" t="s">
        <v>8</v>
      </c>
      <c r="G2466" s="5" t="s">
        <v>51</v>
      </c>
    </row>
    <row r="2467" spans="1:7" s="139" customFormat="1" hidden="1" x14ac:dyDescent="0.3">
      <c r="A2467" s="100">
        <v>45978</v>
      </c>
      <c r="B2467" s="100" t="s">
        <v>212</v>
      </c>
      <c r="C2467" s="12" t="s">
        <v>6</v>
      </c>
      <c r="D2467" s="4" t="s">
        <v>115</v>
      </c>
      <c r="E2467" s="16">
        <v>-4500</v>
      </c>
      <c r="F2467" s="13" t="s">
        <v>8</v>
      </c>
      <c r="G2467" s="5" t="s">
        <v>51</v>
      </c>
    </row>
    <row r="2468" spans="1:7" s="139" customFormat="1" hidden="1" x14ac:dyDescent="0.3">
      <c r="A2468" s="100">
        <v>45978</v>
      </c>
      <c r="B2468" s="100" t="s">
        <v>212</v>
      </c>
      <c r="C2468" s="12" t="s">
        <v>17</v>
      </c>
      <c r="D2468" s="4" t="s">
        <v>116</v>
      </c>
      <c r="E2468" s="16">
        <v>-5300</v>
      </c>
      <c r="F2468" s="13" t="s">
        <v>8</v>
      </c>
      <c r="G2468" s="5" t="s">
        <v>53</v>
      </c>
    </row>
    <row r="2469" spans="1:7" s="139" customFormat="1" hidden="1" x14ac:dyDescent="0.3">
      <c r="A2469" s="100">
        <v>45979</v>
      </c>
      <c r="B2469" s="100" t="s">
        <v>212</v>
      </c>
      <c r="C2469" s="14" t="s">
        <v>17</v>
      </c>
      <c r="D2469" s="14" t="s">
        <v>389</v>
      </c>
      <c r="E2469" s="8">
        <v>-9.8528009999999995</v>
      </c>
      <c r="F2469" s="13" t="s">
        <v>8</v>
      </c>
      <c r="G2469" s="5" t="s">
        <v>1279</v>
      </c>
    </row>
    <row r="2470" spans="1:7" s="139" customFormat="1" hidden="1" x14ac:dyDescent="0.3">
      <c r="A2470" s="100">
        <v>45979</v>
      </c>
      <c r="B2470" s="100" t="s">
        <v>212</v>
      </c>
      <c r="C2470" s="14" t="s">
        <v>17</v>
      </c>
      <c r="D2470" s="14" t="s">
        <v>389</v>
      </c>
      <c r="E2470" s="8">
        <v>-55.277199000000003</v>
      </c>
      <c r="F2470" s="13" t="s">
        <v>8</v>
      </c>
      <c r="G2470" s="5" t="s">
        <v>1279</v>
      </c>
    </row>
    <row r="2471" spans="1:7" s="139" customFormat="1" hidden="1" x14ac:dyDescent="0.3">
      <c r="A2471" s="100">
        <v>45979</v>
      </c>
      <c r="B2471" s="100" t="s">
        <v>212</v>
      </c>
      <c r="C2471" s="6" t="s">
        <v>13</v>
      </c>
      <c r="D2471" s="4" t="s">
        <v>117</v>
      </c>
      <c r="E2471" s="16">
        <v>-5996.67</v>
      </c>
      <c r="F2471" s="13" t="s">
        <v>8</v>
      </c>
      <c r="G2471" s="9" t="s">
        <v>46</v>
      </c>
    </row>
    <row r="2472" spans="1:7" s="139" customFormat="1" hidden="1" x14ac:dyDescent="0.3">
      <c r="A2472" s="100">
        <v>45981</v>
      </c>
      <c r="B2472" s="100" t="s">
        <v>212</v>
      </c>
      <c r="C2472" s="12" t="s">
        <v>6</v>
      </c>
      <c r="D2472" s="4" t="s">
        <v>118</v>
      </c>
      <c r="E2472" s="16">
        <v>-16000</v>
      </c>
      <c r="F2472" s="13" t="s">
        <v>8</v>
      </c>
      <c r="G2472" s="5" t="s">
        <v>119</v>
      </c>
    </row>
    <row r="2473" spans="1:7" s="139" customFormat="1" hidden="1" x14ac:dyDescent="0.3">
      <c r="A2473" s="100">
        <v>45981</v>
      </c>
      <c r="B2473" s="100" t="s">
        <v>212</v>
      </c>
      <c r="C2473" s="15" t="s">
        <v>6</v>
      </c>
      <c r="D2473" s="4" t="s">
        <v>120</v>
      </c>
      <c r="E2473" s="16">
        <v>-600</v>
      </c>
      <c r="F2473" s="13" t="s">
        <v>8</v>
      </c>
      <c r="G2473" s="5" t="s">
        <v>19</v>
      </c>
    </row>
    <row r="2474" spans="1:7" s="139" customFormat="1" hidden="1" x14ac:dyDescent="0.3">
      <c r="A2474" s="100">
        <v>45981</v>
      </c>
      <c r="B2474" s="100" t="s">
        <v>212</v>
      </c>
      <c r="C2474" s="12" t="s">
        <v>6</v>
      </c>
      <c r="D2474" s="4" t="s">
        <v>121</v>
      </c>
      <c r="E2474" s="16">
        <v>-1100</v>
      </c>
      <c r="F2474" s="13" t="s">
        <v>8</v>
      </c>
      <c r="G2474" s="5" t="s">
        <v>68</v>
      </c>
    </row>
    <row r="2475" spans="1:7" s="139" customFormat="1" hidden="1" x14ac:dyDescent="0.3">
      <c r="A2475" s="100">
        <v>45981</v>
      </c>
      <c r="B2475" s="100" t="s">
        <v>212</v>
      </c>
      <c r="C2475" s="12" t="s">
        <v>6</v>
      </c>
      <c r="D2475" s="4" t="s">
        <v>122</v>
      </c>
      <c r="E2475" s="16">
        <v>-39.799999999999997</v>
      </c>
      <c r="F2475" s="13" t="s">
        <v>8</v>
      </c>
      <c r="G2475" s="5" t="s">
        <v>68</v>
      </c>
    </row>
    <row r="2476" spans="1:7" s="139" customFormat="1" hidden="1" x14ac:dyDescent="0.3">
      <c r="A2476" s="100">
        <v>45981</v>
      </c>
      <c r="B2476" s="100" t="s">
        <v>212</v>
      </c>
      <c r="C2476" s="12" t="s">
        <v>6</v>
      </c>
      <c r="D2476" s="4" t="s">
        <v>123</v>
      </c>
      <c r="E2476" s="16">
        <v>-20000</v>
      </c>
      <c r="F2476" s="13" t="s">
        <v>8</v>
      </c>
      <c r="G2476" s="105" t="s">
        <v>124</v>
      </c>
    </row>
    <row r="2477" spans="1:7" s="139" customFormat="1" hidden="1" x14ac:dyDescent="0.3">
      <c r="A2477" s="100">
        <v>45981</v>
      </c>
      <c r="B2477" s="100" t="s">
        <v>212</v>
      </c>
      <c r="C2477" s="6" t="s">
        <v>17</v>
      </c>
      <c r="D2477" s="7" t="s">
        <v>125</v>
      </c>
      <c r="E2477" s="16">
        <v>-15000</v>
      </c>
      <c r="F2477" s="13" t="s">
        <v>8</v>
      </c>
      <c r="G2477" s="105" t="s">
        <v>124</v>
      </c>
    </row>
    <row r="2478" spans="1:7" s="139" customFormat="1" hidden="1" x14ac:dyDescent="0.3">
      <c r="A2478" s="100">
        <v>45981</v>
      </c>
      <c r="B2478" s="100" t="s">
        <v>212</v>
      </c>
      <c r="C2478" s="6" t="s">
        <v>17</v>
      </c>
      <c r="D2478" s="7" t="s">
        <v>126</v>
      </c>
      <c r="E2478" s="16">
        <v>-3000</v>
      </c>
      <c r="F2478" s="13" t="s">
        <v>8</v>
      </c>
      <c r="G2478" s="105" t="s">
        <v>124</v>
      </c>
    </row>
    <row r="2479" spans="1:7" s="139" customFormat="1" hidden="1" x14ac:dyDescent="0.3">
      <c r="A2479" s="100">
        <v>45981</v>
      </c>
      <c r="B2479" s="100" t="s">
        <v>212</v>
      </c>
      <c r="C2479" s="12" t="s">
        <v>6</v>
      </c>
      <c r="D2479" s="4" t="s">
        <v>127</v>
      </c>
      <c r="E2479" s="10">
        <v>-55000</v>
      </c>
      <c r="F2479" s="13" t="s">
        <v>8</v>
      </c>
      <c r="G2479" s="105" t="s">
        <v>124</v>
      </c>
    </row>
    <row r="2480" spans="1:7" s="139" customFormat="1" hidden="1" x14ac:dyDescent="0.3">
      <c r="A2480" s="100">
        <v>45981</v>
      </c>
      <c r="B2480" s="100" t="s">
        <v>212</v>
      </c>
      <c r="C2480" s="12" t="s">
        <v>6</v>
      </c>
      <c r="D2480" s="7" t="s">
        <v>128</v>
      </c>
      <c r="E2480" s="16">
        <v>-50000</v>
      </c>
      <c r="F2480" s="13" t="s">
        <v>8</v>
      </c>
      <c r="G2480" s="105" t="s">
        <v>124</v>
      </c>
    </row>
    <row r="2481" spans="1:7" s="139" customFormat="1" hidden="1" x14ac:dyDescent="0.3">
      <c r="A2481" s="100">
        <v>45981</v>
      </c>
      <c r="B2481" s="100" t="s">
        <v>212</v>
      </c>
      <c r="C2481" s="12" t="s">
        <v>6</v>
      </c>
      <c r="D2481" s="4" t="s">
        <v>213</v>
      </c>
      <c r="E2481" s="16">
        <v>-110000</v>
      </c>
      <c r="F2481" s="13" t="s">
        <v>8</v>
      </c>
      <c r="G2481" s="5" t="s">
        <v>27</v>
      </c>
    </row>
    <row r="2482" spans="1:7" s="139" customFormat="1" hidden="1" x14ac:dyDescent="0.3">
      <c r="A2482" s="100">
        <v>45981</v>
      </c>
      <c r="B2482" s="100" t="s">
        <v>212</v>
      </c>
      <c r="C2482" s="12" t="s">
        <v>6</v>
      </c>
      <c r="D2482" s="4" t="s">
        <v>129</v>
      </c>
      <c r="E2482" s="10">
        <v>-41000</v>
      </c>
      <c r="F2482" s="13" t="s">
        <v>8</v>
      </c>
      <c r="G2482" s="5" t="s">
        <v>82</v>
      </c>
    </row>
    <row r="2483" spans="1:7" s="139" customFormat="1" hidden="1" x14ac:dyDescent="0.3">
      <c r="A2483" s="100">
        <v>45981</v>
      </c>
      <c r="B2483" s="100" t="s">
        <v>212</v>
      </c>
      <c r="C2483" s="6" t="s">
        <v>31</v>
      </c>
      <c r="D2483" s="7" t="s">
        <v>197</v>
      </c>
      <c r="E2483" s="8">
        <v>-2324.85</v>
      </c>
      <c r="F2483" s="13" t="s">
        <v>8</v>
      </c>
      <c r="G2483" s="5" t="s">
        <v>85</v>
      </c>
    </row>
    <row r="2484" spans="1:7" s="139" customFormat="1" hidden="1" x14ac:dyDescent="0.3">
      <c r="A2484" s="100">
        <v>45981</v>
      </c>
      <c r="B2484" s="100" t="s">
        <v>212</v>
      </c>
      <c r="C2484" s="6" t="s">
        <v>6</v>
      </c>
      <c r="D2484" s="7" t="s">
        <v>197</v>
      </c>
      <c r="E2484" s="8">
        <v>-2944.81</v>
      </c>
      <c r="F2484" s="13" t="s">
        <v>8</v>
      </c>
      <c r="G2484" s="5" t="s">
        <v>85</v>
      </c>
    </row>
    <row r="2485" spans="1:7" s="139" customFormat="1" hidden="1" x14ac:dyDescent="0.3">
      <c r="A2485" s="100">
        <v>45981</v>
      </c>
      <c r="B2485" s="100" t="s">
        <v>212</v>
      </c>
      <c r="C2485" s="6" t="s">
        <v>44</v>
      </c>
      <c r="D2485" s="7" t="s">
        <v>197</v>
      </c>
      <c r="E2485" s="8">
        <v>-2867.32</v>
      </c>
      <c r="F2485" s="13" t="s">
        <v>8</v>
      </c>
      <c r="G2485" s="5" t="s">
        <v>85</v>
      </c>
    </row>
    <row r="2486" spans="1:7" s="139" customFormat="1" hidden="1" x14ac:dyDescent="0.3">
      <c r="A2486" s="100">
        <v>45981</v>
      </c>
      <c r="B2486" s="100" t="s">
        <v>212</v>
      </c>
      <c r="C2486" s="6" t="s">
        <v>44</v>
      </c>
      <c r="D2486" s="7" t="s">
        <v>197</v>
      </c>
      <c r="E2486" s="8">
        <v>-852.45</v>
      </c>
      <c r="F2486" s="13" t="s">
        <v>8</v>
      </c>
      <c r="G2486" s="5" t="s">
        <v>85</v>
      </c>
    </row>
    <row r="2487" spans="1:7" s="139" customFormat="1" hidden="1" x14ac:dyDescent="0.3">
      <c r="A2487" s="100">
        <v>45981</v>
      </c>
      <c r="B2487" s="100" t="s">
        <v>212</v>
      </c>
      <c r="C2487" s="6" t="s">
        <v>25</v>
      </c>
      <c r="D2487" s="7" t="s">
        <v>197</v>
      </c>
      <c r="E2487" s="8">
        <v>-2789.82</v>
      </c>
      <c r="F2487" s="13" t="s">
        <v>8</v>
      </c>
      <c r="G2487" s="5" t="s">
        <v>85</v>
      </c>
    </row>
    <row r="2488" spans="1:7" s="139" customFormat="1" hidden="1" x14ac:dyDescent="0.3">
      <c r="A2488" s="100">
        <v>45981</v>
      </c>
      <c r="B2488" s="100" t="s">
        <v>212</v>
      </c>
      <c r="C2488" s="6" t="s">
        <v>33</v>
      </c>
      <c r="D2488" s="7" t="s">
        <v>197</v>
      </c>
      <c r="E2488" s="8">
        <v>-852.45</v>
      </c>
      <c r="F2488" s="13" t="s">
        <v>8</v>
      </c>
      <c r="G2488" s="5" t="s">
        <v>85</v>
      </c>
    </row>
    <row r="2489" spans="1:7" s="139" customFormat="1" hidden="1" x14ac:dyDescent="0.3">
      <c r="A2489" s="100">
        <v>45981</v>
      </c>
      <c r="B2489" s="100" t="s">
        <v>212</v>
      </c>
      <c r="C2489" s="6" t="s">
        <v>104</v>
      </c>
      <c r="D2489" s="7" t="s">
        <v>197</v>
      </c>
      <c r="E2489" s="8">
        <v>-619.96</v>
      </c>
      <c r="F2489" s="13" t="s">
        <v>8</v>
      </c>
      <c r="G2489" s="5" t="s">
        <v>85</v>
      </c>
    </row>
    <row r="2490" spans="1:7" s="139" customFormat="1" hidden="1" x14ac:dyDescent="0.3">
      <c r="A2490" s="100">
        <v>45981</v>
      </c>
      <c r="B2490" s="100" t="s">
        <v>212</v>
      </c>
      <c r="C2490" s="6" t="s">
        <v>32</v>
      </c>
      <c r="D2490" s="7" t="s">
        <v>197</v>
      </c>
      <c r="E2490" s="8">
        <v>-154.99</v>
      </c>
      <c r="F2490" s="13" t="s">
        <v>8</v>
      </c>
      <c r="G2490" s="5" t="s">
        <v>85</v>
      </c>
    </row>
    <row r="2491" spans="1:7" s="139" customFormat="1" hidden="1" x14ac:dyDescent="0.3">
      <c r="A2491" s="100">
        <v>45981</v>
      </c>
      <c r="B2491" s="100" t="s">
        <v>212</v>
      </c>
      <c r="C2491" s="6" t="s">
        <v>71</v>
      </c>
      <c r="D2491" s="7" t="s">
        <v>197</v>
      </c>
      <c r="E2491" s="8">
        <v>-852.45</v>
      </c>
      <c r="F2491" s="13" t="s">
        <v>8</v>
      </c>
      <c r="G2491" s="5" t="s">
        <v>85</v>
      </c>
    </row>
    <row r="2492" spans="1:7" s="139" customFormat="1" hidden="1" x14ac:dyDescent="0.3">
      <c r="A2492" s="100">
        <v>45981</v>
      </c>
      <c r="B2492" s="100" t="s">
        <v>212</v>
      </c>
      <c r="C2492" s="6" t="s">
        <v>17</v>
      </c>
      <c r="D2492" s="7" t="s">
        <v>197</v>
      </c>
      <c r="E2492" s="8">
        <v>-77.5</v>
      </c>
      <c r="F2492" s="13" t="s">
        <v>8</v>
      </c>
      <c r="G2492" s="5" t="s">
        <v>85</v>
      </c>
    </row>
    <row r="2493" spans="1:7" s="139" customFormat="1" hidden="1" x14ac:dyDescent="0.3">
      <c r="A2493" s="100">
        <v>45981</v>
      </c>
      <c r="B2493" s="100" t="s">
        <v>212</v>
      </c>
      <c r="C2493" s="14" t="s">
        <v>31</v>
      </c>
      <c r="D2493" s="14" t="s">
        <v>1675</v>
      </c>
      <c r="E2493" s="8">
        <v>-1240</v>
      </c>
      <c r="F2493" s="13" t="s">
        <v>8</v>
      </c>
      <c r="G2493" s="5" t="s">
        <v>186</v>
      </c>
    </row>
    <row r="2494" spans="1:7" s="139" customFormat="1" hidden="1" x14ac:dyDescent="0.3">
      <c r="A2494" s="100">
        <v>46010</v>
      </c>
      <c r="B2494" s="100" t="s">
        <v>216</v>
      </c>
      <c r="C2494" s="14" t="s">
        <v>31</v>
      </c>
      <c r="D2494" s="14" t="s">
        <v>1676</v>
      </c>
      <c r="E2494" s="8">
        <v>-1240</v>
      </c>
      <c r="F2494" s="13" t="s">
        <v>8</v>
      </c>
      <c r="G2494" s="5" t="s">
        <v>186</v>
      </c>
    </row>
    <row r="2495" spans="1:7" s="139" customFormat="1" hidden="1" x14ac:dyDescent="0.3">
      <c r="A2495" s="100">
        <v>45981</v>
      </c>
      <c r="B2495" s="100" t="s">
        <v>212</v>
      </c>
      <c r="C2495" s="12" t="s">
        <v>6</v>
      </c>
      <c r="D2495" s="4" t="s">
        <v>47</v>
      </c>
      <c r="E2495" s="16">
        <v>-8000</v>
      </c>
      <c r="F2495" s="13" t="s">
        <v>8</v>
      </c>
      <c r="G2495" s="5" t="s">
        <v>27</v>
      </c>
    </row>
    <row r="2496" spans="1:7" s="139" customFormat="1" hidden="1" x14ac:dyDescent="0.3">
      <c r="A2496" s="100">
        <v>45981</v>
      </c>
      <c r="B2496" s="100" t="s">
        <v>212</v>
      </c>
      <c r="C2496" s="12" t="s">
        <v>25</v>
      </c>
      <c r="D2496" s="4" t="s">
        <v>130</v>
      </c>
      <c r="E2496" s="16">
        <v>-3005</v>
      </c>
      <c r="F2496" s="13" t="s">
        <v>8</v>
      </c>
      <c r="G2496" s="82" t="s">
        <v>153</v>
      </c>
    </row>
    <row r="2497" spans="1:7" s="139" customFormat="1" hidden="1" x14ac:dyDescent="0.3">
      <c r="A2497" s="78">
        <v>45985</v>
      </c>
      <c r="B2497" s="100" t="s">
        <v>212</v>
      </c>
      <c r="C2497" s="6" t="s">
        <v>17</v>
      </c>
      <c r="D2497" s="4" t="s">
        <v>131</v>
      </c>
      <c r="E2497" s="16">
        <v>-1700</v>
      </c>
      <c r="F2497" s="13" t="s">
        <v>8</v>
      </c>
      <c r="G2497" s="5" t="s">
        <v>132</v>
      </c>
    </row>
    <row r="2498" spans="1:7" s="139" customFormat="1" hidden="1" x14ac:dyDescent="0.3">
      <c r="A2498" s="100">
        <v>45981</v>
      </c>
      <c r="B2498" s="100" t="s">
        <v>212</v>
      </c>
      <c r="C2498" s="12" t="s">
        <v>64</v>
      </c>
      <c r="D2498" s="4" t="s">
        <v>133</v>
      </c>
      <c r="E2498" s="16">
        <v>-8937.32</v>
      </c>
      <c r="F2498" s="13" t="s">
        <v>8</v>
      </c>
      <c r="G2498" s="5" t="s">
        <v>39</v>
      </c>
    </row>
    <row r="2499" spans="1:7" s="139" customFormat="1" hidden="1" x14ac:dyDescent="0.3">
      <c r="A2499" s="100">
        <v>45989</v>
      </c>
      <c r="B2499" s="100" t="s">
        <v>212</v>
      </c>
      <c r="C2499" s="12" t="s">
        <v>17</v>
      </c>
      <c r="D2499" s="4" t="s">
        <v>18</v>
      </c>
      <c r="E2499" s="10">
        <v>-17235</v>
      </c>
      <c r="F2499" s="13" t="s">
        <v>8</v>
      </c>
      <c r="G2499" s="5" t="s">
        <v>19</v>
      </c>
    </row>
    <row r="2500" spans="1:7" s="139" customFormat="1" hidden="1" x14ac:dyDescent="0.3">
      <c r="A2500" s="78">
        <v>45986</v>
      </c>
      <c r="B2500" s="100" t="s">
        <v>212</v>
      </c>
      <c r="C2500" s="12" t="s">
        <v>6</v>
      </c>
      <c r="D2500" s="4" t="s">
        <v>62</v>
      </c>
      <c r="E2500" s="16">
        <v>-9000</v>
      </c>
      <c r="F2500" s="13" t="s">
        <v>8</v>
      </c>
      <c r="G2500" s="5" t="s">
        <v>63</v>
      </c>
    </row>
    <row r="2501" spans="1:7" s="139" customFormat="1" hidden="1" x14ac:dyDescent="0.3">
      <c r="A2501" s="78">
        <v>45986</v>
      </c>
      <c r="B2501" s="100" t="s">
        <v>212</v>
      </c>
      <c r="C2501" s="12" t="s">
        <v>17</v>
      </c>
      <c r="D2501" s="4" t="s">
        <v>134</v>
      </c>
      <c r="E2501" s="16">
        <v>-500</v>
      </c>
      <c r="F2501" s="13" t="s">
        <v>8</v>
      </c>
      <c r="G2501" s="5" t="s">
        <v>68</v>
      </c>
    </row>
    <row r="2502" spans="1:7" s="139" customFormat="1" ht="14.4" hidden="1" customHeight="1" x14ac:dyDescent="0.3">
      <c r="A2502" s="78">
        <v>45986</v>
      </c>
      <c r="B2502" s="100" t="s">
        <v>212</v>
      </c>
      <c r="C2502" s="12" t="s">
        <v>6</v>
      </c>
      <c r="D2502" s="4" t="s">
        <v>135</v>
      </c>
      <c r="E2502" s="16">
        <v>-294.8</v>
      </c>
      <c r="F2502" s="13" t="s">
        <v>8</v>
      </c>
      <c r="G2502" s="5" t="s">
        <v>136</v>
      </c>
    </row>
    <row r="2503" spans="1:7" s="139" customFormat="1" ht="14.4" hidden="1" customHeight="1" x14ac:dyDescent="0.3">
      <c r="A2503" s="78">
        <v>45986</v>
      </c>
      <c r="B2503" s="100" t="s">
        <v>212</v>
      </c>
      <c r="C2503" s="286" t="s">
        <v>17</v>
      </c>
      <c r="D2503" s="286" t="s">
        <v>389</v>
      </c>
      <c r="E2503" s="276">
        <v>-57.259995000000004</v>
      </c>
      <c r="F2503" s="13" t="s">
        <v>8</v>
      </c>
      <c r="G2503" s="5" t="s">
        <v>1279</v>
      </c>
    </row>
    <row r="2504" spans="1:7" s="139" customFormat="1" hidden="1" x14ac:dyDescent="0.3">
      <c r="A2504" s="78">
        <v>45986</v>
      </c>
      <c r="B2504" s="100" t="s">
        <v>212</v>
      </c>
      <c r="C2504" s="12" t="s">
        <v>25</v>
      </c>
      <c r="D2504" s="4" t="s">
        <v>137</v>
      </c>
      <c r="E2504" s="16">
        <v>-1957</v>
      </c>
      <c r="F2504" s="13" t="s">
        <v>8</v>
      </c>
      <c r="G2504" s="82" t="s">
        <v>153</v>
      </c>
    </row>
    <row r="2505" spans="1:7" s="139" customFormat="1" hidden="1" x14ac:dyDescent="0.3">
      <c r="A2505" s="100">
        <v>45975</v>
      </c>
      <c r="B2505" s="100" t="s">
        <v>212</v>
      </c>
      <c r="C2505" s="12" t="s">
        <v>17</v>
      </c>
      <c r="D2505" s="12" t="s">
        <v>140</v>
      </c>
      <c r="E2505" s="16">
        <v>-9980</v>
      </c>
      <c r="F2505" s="13" t="s">
        <v>8</v>
      </c>
      <c r="G2505" s="5" t="s">
        <v>58</v>
      </c>
    </row>
    <row r="2506" spans="1:7" s="139" customFormat="1" hidden="1" x14ac:dyDescent="0.3">
      <c r="A2506" s="78">
        <v>45989</v>
      </c>
      <c r="B2506" s="100" t="s">
        <v>212</v>
      </c>
      <c r="C2506" s="12" t="s">
        <v>13</v>
      </c>
      <c r="D2506" s="4" t="s">
        <v>141</v>
      </c>
      <c r="E2506" s="16">
        <v>-500</v>
      </c>
      <c r="F2506" s="13" t="s">
        <v>8</v>
      </c>
      <c r="G2506" s="5" t="s">
        <v>68</v>
      </c>
    </row>
    <row r="2507" spans="1:7" s="139" customFormat="1" hidden="1" x14ac:dyDescent="0.3">
      <c r="A2507" s="78">
        <v>45989</v>
      </c>
      <c r="B2507" s="100" t="s">
        <v>212</v>
      </c>
      <c r="C2507" s="15" t="s">
        <v>64</v>
      </c>
      <c r="D2507" s="4" t="s">
        <v>95</v>
      </c>
      <c r="E2507" s="16">
        <v>-5000</v>
      </c>
      <c r="F2507" s="5" t="s">
        <v>8</v>
      </c>
      <c r="G2507" s="5" t="s">
        <v>39</v>
      </c>
    </row>
    <row r="2508" spans="1:7" s="139" customFormat="1" hidden="1" x14ac:dyDescent="0.3">
      <c r="A2508" s="78">
        <v>45989</v>
      </c>
      <c r="B2508" s="100" t="s">
        <v>212</v>
      </c>
      <c r="C2508" s="6" t="s">
        <v>17</v>
      </c>
      <c r="D2508" s="7" t="s">
        <v>142</v>
      </c>
      <c r="E2508" s="16">
        <v>-2530.4299999999998</v>
      </c>
      <c r="F2508" s="13" t="s">
        <v>8</v>
      </c>
      <c r="G2508" s="5" t="s">
        <v>68</v>
      </c>
    </row>
    <row r="2509" spans="1:7" s="139" customFormat="1" hidden="1" x14ac:dyDescent="0.3">
      <c r="A2509" s="78">
        <v>45989</v>
      </c>
      <c r="B2509" s="100" t="s">
        <v>212</v>
      </c>
      <c r="C2509" s="6" t="s">
        <v>17</v>
      </c>
      <c r="D2509" s="7" t="s">
        <v>142</v>
      </c>
      <c r="E2509" s="16">
        <v>-1339.5</v>
      </c>
      <c r="F2509" s="13" t="s">
        <v>8</v>
      </c>
      <c r="G2509" s="5" t="s">
        <v>68</v>
      </c>
    </row>
    <row r="2510" spans="1:7" s="139" customFormat="1" hidden="1" x14ac:dyDescent="0.3">
      <c r="A2510" s="100">
        <v>45968</v>
      </c>
      <c r="B2510" s="100" t="s">
        <v>212</v>
      </c>
      <c r="C2510" s="12" t="s">
        <v>80</v>
      </c>
      <c r="D2510" s="4" t="s">
        <v>143</v>
      </c>
      <c r="E2510" s="16">
        <v>-5000</v>
      </c>
      <c r="F2510" s="13" t="s">
        <v>8</v>
      </c>
      <c r="G2510" s="5" t="s">
        <v>82</v>
      </c>
    </row>
    <row r="2511" spans="1:7" s="139" customFormat="1" hidden="1" x14ac:dyDescent="0.3">
      <c r="A2511" s="78">
        <v>45989</v>
      </c>
      <c r="B2511" s="100" t="s">
        <v>212</v>
      </c>
      <c r="C2511" s="12" t="s">
        <v>80</v>
      </c>
      <c r="D2511" s="4" t="s">
        <v>81</v>
      </c>
      <c r="E2511" s="16">
        <v>-15000</v>
      </c>
      <c r="F2511" s="13" t="s">
        <v>8</v>
      </c>
      <c r="G2511" s="5" t="s">
        <v>82</v>
      </c>
    </row>
    <row r="2512" spans="1:7" s="139" customFormat="1" hidden="1" x14ac:dyDescent="0.3">
      <c r="A2512" s="100">
        <v>45982</v>
      </c>
      <c r="B2512" s="100" t="s">
        <v>212</v>
      </c>
      <c r="C2512" s="12" t="s">
        <v>17</v>
      </c>
      <c r="D2512" s="4" t="s">
        <v>140</v>
      </c>
      <c r="E2512" s="16">
        <v>-9980</v>
      </c>
      <c r="F2512" s="13" t="s">
        <v>8</v>
      </c>
      <c r="G2512" s="5" t="s">
        <v>58</v>
      </c>
    </row>
    <row r="2513" spans="1:7" s="139" customFormat="1" hidden="1" x14ac:dyDescent="0.3">
      <c r="A2513" s="78">
        <v>45989</v>
      </c>
      <c r="B2513" s="100" t="s">
        <v>212</v>
      </c>
      <c r="C2513" s="12" t="s">
        <v>17</v>
      </c>
      <c r="D2513" s="4" t="s">
        <v>140</v>
      </c>
      <c r="E2513" s="16">
        <v>-23498.18</v>
      </c>
      <c r="F2513" s="13" t="s">
        <v>8</v>
      </c>
      <c r="G2513" s="5" t="s">
        <v>58</v>
      </c>
    </row>
    <row r="2514" spans="1:7" s="139" customFormat="1" hidden="1" x14ac:dyDescent="0.3">
      <c r="A2514" s="78">
        <v>45989</v>
      </c>
      <c r="B2514" s="100" t="s">
        <v>212</v>
      </c>
      <c r="C2514" s="12" t="s">
        <v>6</v>
      </c>
      <c r="D2514" s="4" t="s">
        <v>144</v>
      </c>
      <c r="E2514" s="16">
        <v>-35000</v>
      </c>
      <c r="F2514" s="13" t="s">
        <v>8</v>
      </c>
      <c r="G2514" s="105" t="s">
        <v>124</v>
      </c>
    </row>
    <row r="2515" spans="1:7" s="139" customFormat="1" hidden="1" x14ac:dyDescent="0.3">
      <c r="A2515" s="78">
        <v>45989</v>
      </c>
      <c r="B2515" s="100" t="s">
        <v>212</v>
      </c>
      <c r="C2515" s="12" t="s">
        <v>6</v>
      </c>
      <c r="D2515" s="4" t="s">
        <v>1677</v>
      </c>
      <c r="E2515" s="16">
        <v>-7000</v>
      </c>
      <c r="F2515" s="13" t="s">
        <v>8</v>
      </c>
      <c r="G2515" s="5" t="s">
        <v>97</v>
      </c>
    </row>
    <row r="2516" spans="1:7" s="139" customFormat="1" hidden="1" x14ac:dyDescent="0.3">
      <c r="A2516" s="78">
        <v>46021</v>
      </c>
      <c r="B2516" s="100" t="s">
        <v>216</v>
      </c>
      <c r="C2516" s="12" t="s">
        <v>17</v>
      </c>
      <c r="D2516" s="7" t="s">
        <v>146</v>
      </c>
      <c r="E2516" s="16">
        <v>-2000</v>
      </c>
      <c r="F2516" s="13" t="s">
        <v>8</v>
      </c>
      <c r="G2516" s="5" t="s">
        <v>147</v>
      </c>
    </row>
    <row r="2517" spans="1:7" s="139" customFormat="1" hidden="1" x14ac:dyDescent="0.3">
      <c r="A2517" s="78">
        <v>45989</v>
      </c>
      <c r="B2517" s="100" t="s">
        <v>212</v>
      </c>
      <c r="C2517" s="12" t="s">
        <v>17</v>
      </c>
      <c r="D2517" s="7" t="s">
        <v>146</v>
      </c>
      <c r="E2517" s="16">
        <v>-2000</v>
      </c>
      <c r="F2517" s="13" t="s">
        <v>8</v>
      </c>
      <c r="G2517" s="5" t="s">
        <v>147</v>
      </c>
    </row>
    <row r="2518" spans="1:7" s="139" customFormat="1" hidden="1" x14ac:dyDescent="0.3">
      <c r="A2518" s="78">
        <v>45989</v>
      </c>
      <c r="B2518" s="100" t="s">
        <v>212</v>
      </c>
      <c r="C2518" s="12" t="s">
        <v>17</v>
      </c>
      <c r="D2518" s="7" t="s">
        <v>148</v>
      </c>
      <c r="E2518" s="16">
        <v>-50</v>
      </c>
      <c r="F2518" s="13" t="s">
        <v>8</v>
      </c>
      <c r="G2518" s="5" t="s">
        <v>147</v>
      </c>
    </row>
    <row r="2519" spans="1:7" s="139" customFormat="1" hidden="1" x14ac:dyDescent="0.3">
      <c r="A2519" s="78">
        <v>45989</v>
      </c>
      <c r="B2519" s="100" t="s">
        <v>212</v>
      </c>
      <c r="C2519" s="287" t="s">
        <v>13</v>
      </c>
      <c r="D2519" s="4" t="s">
        <v>149</v>
      </c>
      <c r="E2519" s="16">
        <v>-800</v>
      </c>
      <c r="F2519" s="13" t="s">
        <v>8</v>
      </c>
      <c r="G2519" s="5" t="s">
        <v>150</v>
      </c>
    </row>
    <row r="2520" spans="1:7" s="139" customFormat="1" hidden="1" x14ac:dyDescent="0.3">
      <c r="A2520" s="78">
        <v>45989</v>
      </c>
      <c r="B2520" s="100" t="s">
        <v>212</v>
      </c>
      <c r="C2520" s="357" t="s">
        <v>17</v>
      </c>
      <c r="D2520" s="14" t="s">
        <v>499</v>
      </c>
      <c r="E2520" s="8">
        <v>-8500</v>
      </c>
      <c r="F2520" s="13" t="s">
        <v>8</v>
      </c>
      <c r="G2520" s="13" t="s">
        <v>152</v>
      </c>
    </row>
    <row r="2521" spans="1:7" s="139" customFormat="1" hidden="1" x14ac:dyDescent="0.3">
      <c r="A2521" s="78">
        <v>45989</v>
      </c>
      <c r="B2521" s="100" t="s">
        <v>212</v>
      </c>
      <c r="C2521" s="287" t="s">
        <v>6</v>
      </c>
      <c r="D2521" s="7" t="s">
        <v>1678</v>
      </c>
      <c r="E2521" s="16">
        <v>-31500</v>
      </c>
      <c r="F2521" s="13" t="s">
        <v>8</v>
      </c>
      <c r="G2521" s="13" t="s">
        <v>152</v>
      </c>
    </row>
    <row r="2522" spans="1:7" s="139" customFormat="1" hidden="1" x14ac:dyDescent="0.3">
      <c r="A2522" s="78">
        <v>45989</v>
      </c>
      <c r="B2522" s="100" t="s">
        <v>212</v>
      </c>
      <c r="C2522" s="287" t="s">
        <v>17</v>
      </c>
      <c r="D2522" s="7" t="s">
        <v>154</v>
      </c>
      <c r="E2522" s="16">
        <v>-7000</v>
      </c>
      <c r="F2522" s="13" t="s">
        <v>8</v>
      </c>
      <c r="G2522" s="105" t="s">
        <v>124</v>
      </c>
    </row>
    <row r="2523" spans="1:7" s="139" customFormat="1" hidden="1" x14ac:dyDescent="0.3">
      <c r="A2523" s="78">
        <v>45989</v>
      </c>
      <c r="B2523" s="100" t="s">
        <v>212</v>
      </c>
      <c r="C2523" s="12" t="s">
        <v>44</v>
      </c>
      <c r="D2523" s="7" t="s">
        <v>155</v>
      </c>
      <c r="E2523" s="16">
        <v>-600</v>
      </c>
      <c r="F2523" s="13" t="s">
        <v>8</v>
      </c>
      <c r="G2523" s="105" t="s">
        <v>124</v>
      </c>
    </row>
    <row r="2524" spans="1:7" s="139" customFormat="1" hidden="1" x14ac:dyDescent="0.3">
      <c r="A2524" s="78">
        <v>45989</v>
      </c>
      <c r="B2524" s="100" t="s">
        <v>212</v>
      </c>
      <c r="C2524" s="12" t="s">
        <v>44</v>
      </c>
      <c r="D2524" s="7" t="s">
        <v>156</v>
      </c>
      <c r="E2524" s="16">
        <v>-4000</v>
      </c>
      <c r="F2524" s="13" t="s">
        <v>8</v>
      </c>
      <c r="G2524" s="105" t="s">
        <v>124</v>
      </c>
    </row>
    <row r="2525" spans="1:7" s="139" customFormat="1" hidden="1" x14ac:dyDescent="0.3">
      <c r="A2525" s="78">
        <v>45989</v>
      </c>
      <c r="B2525" s="100" t="s">
        <v>212</v>
      </c>
      <c r="C2525" s="12" t="s">
        <v>80</v>
      </c>
      <c r="D2525" s="4" t="s">
        <v>157</v>
      </c>
      <c r="E2525" s="16">
        <v>-9000</v>
      </c>
      <c r="F2525" s="13" t="s">
        <v>8</v>
      </c>
      <c r="G2525" s="105" t="s">
        <v>124</v>
      </c>
    </row>
    <row r="2526" spans="1:7" s="139" customFormat="1" hidden="1" x14ac:dyDescent="0.3">
      <c r="A2526" s="78">
        <v>45989</v>
      </c>
      <c r="B2526" s="100" t="s">
        <v>212</v>
      </c>
      <c r="C2526" s="12" t="s">
        <v>44</v>
      </c>
      <c r="D2526" s="4" t="s">
        <v>158</v>
      </c>
      <c r="E2526" s="16">
        <v>-1719.53</v>
      </c>
      <c r="F2526" s="13" t="s">
        <v>8</v>
      </c>
      <c r="G2526" s="13" t="s">
        <v>91</v>
      </c>
    </row>
    <row r="2527" spans="1:7" s="139" customFormat="1" hidden="1" x14ac:dyDescent="0.3">
      <c r="A2527" s="78">
        <v>45989</v>
      </c>
      <c r="B2527" s="100" t="s">
        <v>212</v>
      </c>
      <c r="C2527" s="12" t="s">
        <v>6</v>
      </c>
      <c r="D2527" s="4" t="s">
        <v>158</v>
      </c>
      <c r="E2527" s="16">
        <v>-1392.65</v>
      </c>
      <c r="F2527" s="13" t="s">
        <v>8</v>
      </c>
      <c r="G2527" s="13" t="s">
        <v>91</v>
      </c>
    </row>
    <row r="2528" spans="1:7" s="139" customFormat="1" hidden="1" x14ac:dyDescent="0.3">
      <c r="A2528" s="100">
        <v>45971</v>
      </c>
      <c r="B2528" s="100" t="s">
        <v>212</v>
      </c>
      <c r="C2528" s="14" t="s">
        <v>32</v>
      </c>
      <c r="D2528" s="14" t="s">
        <v>1665</v>
      </c>
      <c r="E2528" s="8">
        <v>-1085.8699999999999</v>
      </c>
      <c r="F2528" s="13" t="s">
        <v>8</v>
      </c>
      <c r="G2528" s="9" t="s">
        <v>75</v>
      </c>
    </row>
    <row r="2529" spans="1:7" s="139" customFormat="1" hidden="1" x14ac:dyDescent="0.3">
      <c r="A2529" s="100">
        <v>45971</v>
      </c>
      <c r="B2529" s="100" t="s">
        <v>212</v>
      </c>
      <c r="C2529" s="14" t="s">
        <v>32</v>
      </c>
      <c r="D2529" s="14" t="s">
        <v>1236</v>
      </c>
      <c r="E2529" s="8">
        <v>-2860.6</v>
      </c>
      <c r="F2529" s="13" t="s">
        <v>8</v>
      </c>
      <c r="G2529" s="9" t="s">
        <v>75</v>
      </c>
    </row>
    <row r="2530" spans="1:7" s="139" customFormat="1" hidden="1" x14ac:dyDescent="0.3">
      <c r="A2530" s="113">
        <v>45971</v>
      </c>
      <c r="B2530" s="113" t="s">
        <v>212</v>
      </c>
      <c r="C2530" s="106" t="s">
        <v>13</v>
      </c>
      <c r="D2530" s="76" t="s">
        <v>214</v>
      </c>
      <c r="E2530" s="77">
        <v>-50000</v>
      </c>
      <c r="F2530" s="27" t="s">
        <v>8</v>
      </c>
      <c r="G2530" s="91" t="s">
        <v>27</v>
      </c>
    </row>
    <row r="2531" spans="1:7" hidden="1" x14ac:dyDescent="0.3">
      <c r="A2531" s="123">
        <v>45972</v>
      </c>
      <c r="B2531" s="123" t="s">
        <v>212</v>
      </c>
      <c r="C2531" s="120" t="s">
        <v>170</v>
      </c>
      <c r="D2531" s="29" t="s">
        <v>172</v>
      </c>
      <c r="E2531" s="121">
        <v>4880.1400000000003</v>
      </c>
      <c r="F2531" s="55" t="s">
        <v>161</v>
      </c>
      <c r="G2531" s="61" t="s">
        <v>162</v>
      </c>
    </row>
    <row r="2532" spans="1:7" hidden="1" x14ac:dyDescent="0.3">
      <c r="A2532" s="123">
        <v>45972</v>
      </c>
      <c r="B2532" s="123" t="s">
        <v>212</v>
      </c>
      <c r="C2532" s="120" t="s">
        <v>167</v>
      </c>
      <c r="D2532" s="29" t="s">
        <v>173</v>
      </c>
      <c r="E2532" s="121">
        <v>603.26</v>
      </c>
      <c r="F2532" s="55" t="s">
        <v>161</v>
      </c>
      <c r="G2532" s="61" t="s">
        <v>162</v>
      </c>
    </row>
    <row r="2533" spans="1:7" hidden="1" x14ac:dyDescent="0.3">
      <c r="A2533" s="123">
        <v>45972</v>
      </c>
      <c r="B2533" s="123" t="s">
        <v>212</v>
      </c>
      <c r="C2533" s="120" t="s">
        <v>167</v>
      </c>
      <c r="D2533" s="29" t="s">
        <v>173</v>
      </c>
      <c r="E2533" s="121">
        <v>1106.1400000000001</v>
      </c>
      <c r="F2533" s="55" t="s">
        <v>161</v>
      </c>
      <c r="G2533" s="61" t="s">
        <v>162</v>
      </c>
    </row>
    <row r="2534" spans="1:7" hidden="1" x14ac:dyDescent="0.3">
      <c r="A2534" s="123">
        <v>45972</v>
      </c>
      <c r="B2534" s="123" t="s">
        <v>212</v>
      </c>
      <c r="C2534" s="120" t="s">
        <v>167</v>
      </c>
      <c r="D2534" s="29" t="s">
        <v>173</v>
      </c>
      <c r="E2534" s="121">
        <v>9631</v>
      </c>
      <c r="F2534" s="55" t="s">
        <v>161</v>
      </c>
      <c r="G2534" s="61" t="s">
        <v>162</v>
      </c>
    </row>
    <row r="2535" spans="1:7" hidden="1" x14ac:dyDescent="0.3">
      <c r="A2535" s="123">
        <v>45972</v>
      </c>
      <c r="B2535" s="123" t="s">
        <v>212</v>
      </c>
      <c r="C2535" s="120" t="s">
        <v>174</v>
      </c>
      <c r="D2535" s="29" t="s">
        <v>175</v>
      </c>
      <c r="E2535" s="58">
        <v>257.81</v>
      </c>
      <c r="F2535" s="55" t="s">
        <v>161</v>
      </c>
      <c r="G2535" s="61" t="s">
        <v>162</v>
      </c>
    </row>
    <row r="2536" spans="1:7" hidden="1" x14ac:dyDescent="0.3">
      <c r="A2536" s="123">
        <v>45972</v>
      </c>
      <c r="B2536" s="123" t="s">
        <v>212</v>
      </c>
      <c r="C2536" s="120" t="s">
        <v>174</v>
      </c>
      <c r="D2536" s="29" t="s">
        <v>176</v>
      </c>
      <c r="E2536" s="121">
        <v>680.03</v>
      </c>
      <c r="F2536" s="55" t="s">
        <v>161</v>
      </c>
      <c r="G2536" s="61" t="s">
        <v>162</v>
      </c>
    </row>
    <row r="2537" spans="1:7" hidden="1" x14ac:dyDescent="0.3">
      <c r="A2537" s="123">
        <v>45952</v>
      </c>
      <c r="B2537" s="123" t="s">
        <v>211</v>
      </c>
      <c r="C2537" s="120" t="s">
        <v>177</v>
      </c>
      <c r="D2537" s="122" t="s">
        <v>178</v>
      </c>
      <c r="E2537" s="121">
        <v>12459.61</v>
      </c>
      <c r="F2537" s="55" t="s">
        <v>161</v>
      </c>
      <c r="G2537" s="61" t="s">
        <v>162</v>
      </c>
    </row>
    <row r="2538" spans="1:7" hidden="1" x14ac:dyDescent="0.3">
      <c r="A2538" s="123">
        <v>45972</v>
      </c>
      <c r="B2538" s="123" t="s">
        <v>212</v>
      </c>
      <c r="C2538" s="120" t="s">
        <v>177</v>
      </c>
      <c r="D2538" s="122" t="s">
        <v>178</v>
      </c>
      <c r="E2538" s="53">
        <v>24988.71</v>
      </c>
      <c r="F2538" s="55" t="s">
        <v>161</v>
      </c>
      <c r="G2538" s="61" t="s">
        <v>162</v>
      </c>
    </row>
    <row r="2539" spans="1:7" hidden="1" x14ac:dyDescent="0.3">
      <c r="A2539" s="123">
        <v>45972</v>
      </c>
      <c r="B2539" s="123" t="s">
        <v>212</v>
      </c>
      <c r="C2539" s="120" t="s">
        <v>177</v>
      </c>
      <c r="D2539" s="122" t="s">
        <v>178</v>
      </c>
      <c r="E2539" s="53">
        <v>16834.330000000002</v>
      </c>
      <c r="F2539" s="55" t="s">
        <v>161</v>
      </c>
      <c r="G2539" s="61" t="s">
        <v>162</v>
      </c>
    </row>
    <row r="2540" spans="1:7" hidden="1" x14ac:dyDescent="0.3">
      <c r="A2540" s="123">
        <v>45972</v>
      </c>
      <c r="B2540" s="123" t="s">
        <v>212</v>
      </c>
      <c r="C2540" s="120" t="s">
        <v>177</v>
      </c>
      <c r="D2540" s="122" t="s">
        <v>178</v>
      </c>
      <c r="E2540" s="53">
        <v>268.13</v>
      </c>
      <c r="F2540" s="55" t="s">
        <v>161</v>
      </c>
      <c r="G2540" s="61" t="s">
        <v>162</v>
      </c>
    </row>
    <row r="2541" spans="1:7" hidden="1" x14ac:dyDescent="0.3">
      <c r="A2541" s="51">
        <v>45982</v>
      </c>
      <c r="B2541" s="123" t="s">
        <v>212</v>
      </c>
      <c r="C2541" s="120" t="s">
        <v>177</v>
      </c>
      <c r="D2541" s="122" t="s">
        <v>178</v>
      </c>
      <c r="E2541" s="53">
        <v>2284.4499999999998</v>
      </c>
      <c r="F2541" s="55" t="s">
        <v>161</v>
      </c>
      <c r="G2541" s="61" t="s">
        <v>162</v>
      </c>
    </row>
    <row r="2542" spans="1:7" hidden="1" x14ac:dyDescent="0.3">
      <c r="A2542" s="100">
        <v>45972</v>
      </c>
      <c r="B2542" s="100" t="s">
        <v>212</v>
      </c>
      <c r="C2542" s="14" t="s">
        <v>17</v>
      </c>
      <c r="D2542" s="14" t="s">
        <v>1666</v>
      </c>
      <c r="E2542" s="8">
        <v>-88.44</v>
      </c>
      <c r="F2542" s="9" t="s">
        <v>8</v>
      </c>
      <c r="G2542" s="9" t="s">
        <v>186</v>
      </c>
    </row>
    <row r="2543" spans="1:7" hidden="1" x14ac:dyDescent="0.3">
      <c r="A2543" s="100">
        <v>45972</v>
      </c>
      <c r="B2543" s="100" t="s">
        <v>212</v>
      </c>
      <c r="C2543" s="14" t="s">
        <v>17</v>
      </c>
      <c r="D2543" s="14" t="s">
        <v>1667</v>
      </c>
      <c r="E2543" s="8">
        <v>-260</v>
      </c>
      <c r="F2543" s="9" t="s">
        <v>8</v>
      </c>
      <c r="G2543" s="9" t="s">
        <v>186</v>
      </c>
    </row>
    <row r="2544" spans="1:7" hidden="1" x14ac:dyDescent="0.3">
      <c r="A2544" s="123">
        <v>45972</v>
      </c>
      <c r="B2544" s="123" t="s">
        <v>212</v>
      </c>
      <c r="C2544" s="120" t="s">
        <v>163</v>
      </c>
      <c r="D2544" s="124" t="s">
        <v>179</v>
      </c>
      <c r="E2544" s="125">
        <v>7850</v>
      </c>
      <c r="F2544" s="126" t="s">
        <v>161</v>
      </c>
      <c r="G2544" s="61" t="s">
        <v>162</v>
      </c>
    </row>
    <row r="2545" spans="1:7" hidden="1" x14ac:dyDescent="0.3">
      <c r="A2545" s="123">
        <v>45965</v>
      </c>
      <c r="B2545" s="123" t="s">
        <v>212</v>
      </c>
      <c r="C2545" s="120" t="s">
        <v>17</v>
      </c>
      <c r="D2545" s="29" t="s">
        <v>180</v>
      </c>
      <c r="E2545" s="121">
        <v>345280</v>
      </c>
      <c r="F2545" s="55" t="s">
        <v>161</v>
      </c>
      <c r="G2545" s="61" t="s">
        <v>162</v>
      </c>
    </row>
    <row r="2546" spans="1:7" hidden="1" x14ac:dyDescent="0.3">
      <c r="A2546" s="123">
        <v>45979</v>
      </c>
      <c r="B2546" s="123" t="s">
        <v>212</v>
      </c>
      <c r="C2546" s="120" t="s">
        <v>181</v>
      </c>
      <c r="D2546" s="29" t="s">
        <v>182</v>
      </c>
      <c r="E2546" s="127">
        <v>17956.39</v>
      </c>
      <c r="F2546" s="55" t="s">
        <v>161</v>
      </c>
      <c r="G2546" s="61" t="s">
        <v>162</v>
      </c>
    </row>
    <row r="2547" spans="1:7" hidden="1" x14ac:dyDescent="0.3">
      <c r="A2547" s="51">
        <v>45979</v>
      </c>
      <c r="B2547" s="123" t="s">
        <v>212</v>
      </c>
      <c r="C2547" s="120" t="s">
        <v>163</v>
      </c>
      <c r="D2547" s="29" t="s">
        <v>183</v>
      </c>
      <c r="E2547" s="53">
        <v>4717.4399999999996</v>
      </c>
      <c r="F2547" s="126" t="s">
        <v>161</v>
      </c>
      <c r="G2547" s="61" t="s">
        <v>162</v>
      </c>
    </row>
    <row r="2548" spans="1:7" hidden="1" x14ac:dyDescent="0.3">
      <c r="A2548" s="51">
        <v>45979</v>
      </c>
      <c r="B2548" s="123" t="s">
        <v>212</v>
      </c>
      <c r="C2548" s="120" t="s">
        <v>163</v>
      </c>
      <c r="D2548" s="29" t="s">
        <v>183</v>
      </c>
      <c r="E2548" s="53">
        <v>9938.39</v>
      </c>
      <c r="F2548" s="126" t="s">
        <v>161</v>
      </c>
      <c r="G2548" s="61" t="s">
        <v>162</v>
      </c>
    </row>
    <row r="2549" spans="1:7" hidden="1" x14ac:dyDescent="0.3">
      <c r="A2549" s="51">
        <v>45979</v>
      </c>
      <c r="B2549" s="123" t="s">
        <v>212</v>
      </c>
      <c r="C2549" s="120" t="s">
        <v>163</v>
      </c>
      <c r="D2549" s="29" t="s">
        <v>183</v>
      </c>
      <c r="E2549" s="53">
        <v>22139.98</v>
      </c>
      <c r="F2549" s="126" t="s">
        <v>161</v>
      </c>
      <c r="G2549" s="61" t="s">
        <v>162</v>
      </c>
    </row>
    <row r="2550" spans="1:7" hidden="1" x14ac:dyDescent="0.3">
      <c r="A2550" s="123">
        <v>45989</v>
      </c>
      <c r="B2550" s="123" t="s">
        <v>212</v>
      </c>
      <c r="C2550" s="120" t="s">
        <v>177</v>
      </c>
      <c r="D2550" s="29" t="s">
        <v>184</v>
      </c>
      <c r="E2550" s="58">
        <v>2373.8200000000002</v>
      </c>
      <c r="F2550" s="55" t="s">
        <v>161</v>
      </c>
      <c r="G2550" s="61" t="s">
        <v>162</v>
      </c>
    </row>
    <row r="2551" spans="1:7" hidden="1" x14ac:dyDescent="0.3">
      <c r="A2551" s="123">
        <v>45989</v>
      </c>
      <c r="B2551" s="147" t="s">
        <v>212</v>
      </c>
      <c r="C2551" s="120" t="s">
        <v>177</v>
      </c>
      <c r="D2551" s="29" t="s">
        <v>184</v>
      </c>
      <c r="E2551" s="58">
        <v>5823.82</v>
      </c>
      <c r="F2551" s="55" t="s">
        <v>161</v>
      </c>
      <c r="G2551" s="61" t="s">
        <v>162</v>
      </c>
    </row>
    <row r="2552" spans="1:7" hidden="1" x14ac:dyDescent="0.3">
      <c r="A2552" s="123">
        <v>45989</v>
      </c>
      <c r="B2552" s="147" t="s">
        <v>212</v>
      </c>
      <c r="C2552" s="120" t="s">
        <v>177</v>
      </c>
      <c r="D2552" s="29" t="s">
        <v>184</v>
      </c>
      <c r="E2552" s="58">
        <v>7526.95</v>
      </c>
      <c r="F2552" s="55" t="s">
        <v>161</v>
      </c>
      <c r="G2552" s="61" t="s">
        <v>162</v>
      </c>
    </row>
    <row r="2553" spans="1:7" hidden="1" x14ac:dyDescent="0.3">
      <c r="A2553" s="123">
        <v>45989</v>
      </c>
      <c r="B2553" s="147" t="s">
        <v>212</v>
      </c>
      <c r="C2553" s="120" t="s">
        <v>177</v>
      </c>
      <c r="D2553" s="29" t="s">
        <v>184</v>
      </c>
      <c r="E2553" s="58">
        <v>25756.63</v>
      </c>
      <c r="F2553" s="55" t="s">
        <v>161</v>
      </c>
      <c r="G2553" s="61" t="s">
        <v>162</v>
      </c>
    </row>
    <row r="2554" spans="1:7" hidden="1" x14ac:dyDescent="0.3">
      <c r="A2554" s="50">
        <v>45989</v>
      </c>
      <c r="B2554" s="147" t="s">
        <v>212</v>
      </c>
      <c r="C2554" s="120" t="s">
        <v>170</v>
      </c>
      <c r="D2554" s="29" t="s">
        <v>185</v>
      </c>
      <c r="E2554" s="128">
        <v>816717.89</v>
      </c>
      <c r="F2554" s="55" t="s">
        <v>161</v>
      </c>
      <c r="G2554" s="61" t="s">
        <v>162</v>
      </c>
    </row>
    <row r="2555" spans="1:7" s="139" customFormat="1" hidden="1" x14ac:dyDescent="0.3">
      <c r="A2555" s="87">
        <v>45985</v>
      </c>
      <c r="B2555" s="146" t="s">
        <v>212</v>
      </c>
      <c r="C2555" s="108" t="s">
        <v>31</v>
      </c>
      <c r="D2555" s="109" t="s">
        <v>578</v>
      </c>
      <c r="E2555" s="101">
        <v>-7000</v>
      </c>
      <c r="F2555" s="110" t="s">
        <v>8</v>
      </c>
      <c r="G2555" s="70" t="s">
        <v>46</v>
      </c>
    </row>
    <row r="2556" spans="1:7" s="139" customFormat="1" hidden="1" x14ac:dyDescent="0.3">
      <c r="A2556" s="87">
        <v>45985</v>
      </c>
      <c r="B2556" s="100" t="s">
        <v>212</v>
      </c>
      <c r="C2556" s="12" t="s">
        <v>25</v>
      </c>
      <c r="D2556" s="4" t="s">
        <v>194</v>
      </c>
      <c r="E2556" s="16">
        <v>-7000</v>
      </c>
      <c r="F2556" s="13" t="s">
        <v>8</v>
      </c>
      <c r="G2556" s="9" t="s">
        <v>46</v>
      </c>
    </row>
    <row r="2557" spans="1:7" s="139" customFormat="1" hidden="1" x14ac:dyDescent="0.3">
      <c r="A2557" s="100">
        <v>45978</v>
      </c>
      <c r="B2557" s="100" t="s">
        <v>212</v>
      </c>
      <c r="C2557" s="12" t="s">
        <v>31</v>
      </c>
      <c r="D2557" s="111" t="s">
        <v>195</v>
      </c>
      <c r="E2557" s="112">
        <v>-630</v>
      </c>
      <c r="F2557" s="13" t="s">
        <v>8</v>
      </c>
      <c r="G2557" s="5" t="s">
        <v>51</v>
      </c>
    </row>
    <row r="2558" spans="1:7" s="139" customFormat="1" hidden="1" x14ac:dyDescent="0.3">
      <c r="A2558" s="100">
        <v>45978</v>
      </c>
      <c r="B2558" s="100" t="s">
        <v>212</v>
      </c>
      <c r="C2558" s="12" t="s">
        <v>6</v>
      </c>
      <c r="D2558" s="111" t="s">
        <v>196</v>
      </c>
      <c r="E2558" s="112">
        <v>-1905.5</v>
      </c>
      <c r="F2558" s="13" t="s">
        <v>8</v>
      </c>
      <c r="G2558" s="5" t="s">
        <v>51</v>
      </c>
    </row>
    <row r="2559" spans="1:7" s="139" customFormat="1" hidden="1" x14ac:dyDescent="0.3">
      <c r="A2559" s="78">
        <v>45989</v>
      </c>
      <c r="B2559" s="100" t="s">
        <v>212</v>
      </c>
      <c r="C2559" s="11" t="s">
        <v>6</v>
      </c>
      <c r="D2559" s="7" t="s">
        <v>215</v>
      </c>
      <c r="E2559" s="8">
        <v>-261861.65</v>
      </c>
      <c r="F2559" s="9" t="s">
        <v>8</v>
      </c>
      <c r="G2559" s="9" t="s">
        <v>225</v>
      </c>
    </row>
    <row r="2560" spans="1:7" s="139" customFormat="1" hidden="1" x14ac:dyDescent="0.3">
      <c r="A2560" s="78">
        <v>45971</v>
      </c>
      <c r="B2560" s="100" t="s">
        <v>212</v>
      </c>
      <c r="C2560" s="6" t="s">
        <v>31</v>
      </c>
      <c r="D2560" s="14" t="s">
        <v>610</v>
      </c>
      <c r="E2560" s="8">
        <v>-1000</v>
      </c>
      <c r="F2560" s="9" t="s">
        <v>8</v>
      </c>
      <c r="G2560" s="9" t="s">
        <v>186</v>
      </c>
    </row>
    <row r="2561" spans="1:7" s="139" customFormat="1" hidden="1" x14ac:dyDescent="0.3">
      <c r="A2561" s="100">
        <v>45975</v>
      </c>
      <c r="B2561" s="100" t="s">
        <v>212</v>
      </c>
      <c r="C2561" s="14" t="s">
        <v>17</v>
      </c>
      <c r="D2561" s="14" t="s">
        <v>1672</v>
      </c>
      <c r="E2561" s="242">
        <v>-1000</v>
      </c>
      <c r="F2561" s="9" t="s">
        <v>8</v>
      </c>
      <c r="G2561" s="9" t="s">
        <v>186</v>
      </c>
    </row>
    <row r="2562" spans="1:7" s="139" customFormat="1" hidden="1" x14ac:dyDescent="0.3">
      <c r="A2562" s="100">
        <v>46007</v>
      </c>
      <c r="B2562" s="100" t="s">
        <v>216</v>
      </c>
      <c r="C2562" s="14" t="s">
        <v>17</v>
      </c>
      <c r="D2562" s="14" t="s">
        <v>1673</v>
      </c>
      <c r="E2562" s="242">
        <v>-1000</v>
      </c>
      <c r="F2562" s="9" t="s">
        <v>8</v>
      </c>
      <c r="G2562" s="9" t="s">
        <v>186</v>
      </c>
    </row>
    <row r="2563" spans="1:7" s="139" customFormat="1" hidden="1" x14ac:dyDescent="0.3">
      <c r="A2563" s="78">
        <v>45975</v>
      </c>
      <c r="B2563" s="100" t="s">
        <v>212</v>
      </c>
      <c r="C2563" s="6" t="s">
        <v>6</v>
      </c>
      <c r="D2563" s="14" t="s">
        <v>1669</v>
      </c>
      <c r="E2563" s="240">
        <v>-10000</v>
      </c>
      <c r="F2563" s="9" t="s">
        <v>8</v>
      </c>
      <c r="G2563" s="9" t="s">
        <v>186</v>
      </c>
    </row>
    <row r="2564" spans="1:7" s="139" customFormat="1" hidden="1" x14ac:dyDescent="0.3">
      <c r="A2564" s="100">
        <v>45968</v>
      </c>
      <c r="B2564" s="100" t="s">
        <v>212</v>
      </c>
      <c r="C2564" s="12" t="s">
        <v>17</v>
      </c>
      <c r="D2564" s="14" t="s">
        <v>389</v>
      </c>
      <c r="E2564" s="8">
        <v>-15.695783</v>
      </c>
      <c r="F2564" s="13" t="s">
        <v>8</v>
      </c>
      <c r="G2564" s="9" t="s">
        <v>1279</v>
      </c>
    </row>
    <row r="2565" spans="1:7" s="139" customFormat="1" hidden="1" x14ac:dyDescent="0.3">
      <c r="A2565" s="100">
        <v>45968</v>
      </c>
      <c r="B2565" s="100" t="s">
        <v>212</v>
      </c>
      <c r="C2565" s="12" t="s">
        <v>17</v>
      </c>
      <c r="D2565" s="14" t="s">
        <v>389</v>
      </c>
      <c r="E2565" s="8">
        <v>-81.644216999999998</v>
      </c>
      <c r="F2565" s="13" t="s">
        <v>8</v>
      </c>
      <c r="G2565" s="9" t="s">
        <v>1279</v>
      </c>
    </row>
    <row r="2566" spans="1:7" s="139" customFormat="1" hidden="1" x14ac:dyDescent="0.3">
      <c r="A2566" s="100">
        <v>45968</v>
      </c>
      <c r="B2566" s="100" t="s">
        <v>212</v>
      </c>
      <c r="C2566" s="12" t="s">
        <v>17</v>
      </c>
      <c r="D2566" s="14" t="s">
        <v>389</v>
      </c>
      <c r="E2566" s="8">
        <v>-97.34</v>
      </c>
      <c r="F2566" s="13" t="s">
        <v>8</v>
      </c>
      <c r="G2566" s="9" t="s">
        <v>1279</v>
      </c>
    </row>
    <row r="2567" spans="1:7" s="139" customFormat="1" hidden="1" x14ac:dyDescent="0.3">
      <c r="A2567" s="100">
        <v>45968</v>
      </c>
      <c r="B2567" s="100" t="s">
        <v>212</v>
      </c>
      <c r="C2567" s="14" t="s">
        <v>71</v>
      </c>
      <c r="D2567" s="14" t="s">
        <v>1662</v>
      </c>
      <c r="E2567" s="8">
        <v>-1000</v>
      </c>
      <c r="F2567" s="9" t="s">
        <v>8</v>
      </c>
      <c r="G2567" s="9" t="s">
        <v>186</v>
      </c>
    </row>
    <row r="2568" spans="1:7" s="139" customFormat="1" hidden="1" x14ac:dyDescent="0.3">
      <c r="A2568" s="100">
        <v>45999</v>
      </c>
      <c r="B2568" s="100" t="s">
        <v>216</v>
      </c>
      <c r="C2568" s="14" t="s">
        <v>71</v>
      </c>
      <c r="D2568" s="14" t="s">
        <v>1663</v>
      </c>
      <c r="E2568" s="8">
        <v>-1000</v>
      </c>
      <c r="F2568" s="9" t="s">
        <v>8</v>
      </c>
      <c r="G2568" s="9" t="s">
        <v>186</v>
      </c>
    </row>
    <row r="2569" spans="1:7" s="139" customFormat="1" hidden="1" x14ac:dyDescent="0.3">
      <c r="A2569" s="100">
        <v>45968</v>
      </c>
      <c r="B2569" s="100" t="s">
        <v>212</v>
      </c>
      <c r="C2569" s="98" t="s">
        <v>17</v>
      </c>
      <c r="D2569" s="14" t="s">
        <v>1660</v>
      </c>
      <c r="E2569" s="8">
        <v>-1000</v>
      </c>
      <c r="F2569" s="9" t="s">
        <v>8</v>
      </c>
      <c r="G2569" s="9" t="s">
        <v>186</v>
      </c>
    </row>
    <row r="2570" spans="1:7" s="139" customFormat="1" hidden="1" x14ac:dyDescent="0.3">
      <c r="A2570" s="100">
        <v>45999</v>
      </c>
      <c r="B2570" s="100" t="s">
        <v>216</v>
      </c>
      <c r="C2570" s="14" t="s">
        <v>17</v>
      </c>
      <c r="D2570" s="14" t="s">
        <v>1661</v>
      </c>
      <c r="E2570" s="8">
        <v>-1000</v>
      </c>
      <c r="F2570" s="9" t="s">
        <v>8</v>
      </c>
      <c r="G2570" s="9" t="s">
        <v>186</v>
      </c>
    </row>
    <row r="2571" spans="1:7" s="139" customFormat="1" hidden="1" x14ac:dyDescent="0.3">
      <c r="A2571" s="78">
        <v>45968</v>
      </c>
      <c r="B2571" s="100" t="s">
        <v>212</v>
      </c>
      <c r="C2571" s="6" t="s">
        <v>104</v>
      </c>
      <c r="D2571" s="14" t="s">
        <v>605</v>
      </c>
      <c r="E2571" s="8">
        <v>-2000</v>
      </c>
      <c r="F2571" s="9" t="s">
        <v>8</v>
      </c>
      <c r="G2571" s="9" t="s">
        <v>186</v>
      </c>
    </row>
    <row r="2572" spans="1:7" s="139" customFormat="1" hidden="1" x14ac:dyDescent="0.3">
      <c r="A2572" s="78">
        <v>45975</v>
      </c>
      <c r="B2572" s="100" t="s">
        <v>212</v>
      </c>
      <c r="C2572" s="6" t="s">
        <v>104</v>
      </c>
      <c r="D2572" s="14" t="s">
        <v>1670</v>
      </c>
      <c r="E2572" s="8">
        <v>-2000</v>
      </c>
      <c r="F2572" s="9" t="s">
        <v>8</v>
      </c>
      <c r="G2572" s="9" t="s">
        <v>186</v>
      </c>
    </row>
    <row r="2573" spans="1:7" s="139" customFormat="1" hidden="1" x14ac:dyDescent="0.3">
      <c r="A2573" s="78">
        <v>45989</v>
      </c>
      <c r="B2573" s="100" t="s">
        <v>212</v>
      </c>
      <c r="C2573" s="14" t="s">
        <v>6</v>
      </c>
      <c r="D2573" s="14" t="s">
        <v>187</v>
      </c>
      <c r="E2573" s="8">
        <v>-2000</v>
      </c>
      <c r="F2573" s="9" t="s">
        <v>8</v>
      </c>
      <c r="G2573" s="9" t="s">
        <v>186</v>
      </c>
    </row>
    <row r="2574" spans="1:7" s="139" customFormat="1" hidden="1" x14ac:dyDescent="0.3">
      <c r="A2574" s="78">
        <v>45989</v>
      </c>
      <c r="B2574" s="100" t="s">
        <v>212</v>
      </c>
      <c r="C2574" s="14" t="s">
        <v>6</v>
      </c>
      <c r="D2574" s="14" t="s">
        <v>585</v>
      </c>
      <c r="E2574" s="8">
        <v>-3836.54</v>
      </c>
      <c r="F2574" s="9" t="s">
        <v>8</v>
      </c>
      <c r="G2574" s="9" t="s">
        <v>186</v>
      </c>
    </row>
    <row r="2575" spans="1:7" s="139" customFormat="1" hidden="1" x14ac:dyDescent="0.3">
      <c r="A2575" s="78">
        <v>45989</v>
      </c>
      <c r="B2575" s="100" t="s">
        <v>212</v>
      </c>
      <c r="C2575" s="14" t="s">
        <v>6</v>
      </c>
      <c r="D2575" s="14" t="s">
        <v>586</v>
      </c>
      <c r="E2575" s="8">
        <v>-3200</v>
      </c>
      <c r="F2575" s="9" t="s">
        <v>8</v>
      </c>
      <c r="G2575" s="9" t="s">
        <v>186</v>
      </c>
    </row>
    <row r="2576" spans="1:7" s="139" customFormat="1" hidden="1" x14ac:dyDescent="0.3">
      <c r="A2576" s="78">
        <v>45989</v>
      </c>
      <c r="B2576" s="100" t="s">
        <v>212</v>
      </c>
      <c r="C2576" s="14" t="s">
        <v>33</v>
      </c>
      <c r="D2576" s="14" t="s">
        <v>587</v>
      </c>
      <c r="E2576" s="8">
        <v>-1000</v>
      </c>
      <c r="F2576" s="9" t="s">
        <v>8</v>
      </c>
      <c r="G2576" s="9" t="s">
        <v>186</v>
      </c>
    </row>
    <row r="2577" spans="1:7" s="139" customFormat="1" hidden="1" x14ac:dyDescent="0.3">
      <c r="A2577" s="78">
        <v>45989</v>
      </c>
      <c r="B2577" s="100" t="s">
        <v>212</v>
      </c>
      <c r="C2577" s="14" t="s">
        <v>17</v>
      </c>
      <c r="D2577" s="14" t="s">
        <v>193</v>
      </c>
      <c r="E2577" s="8">
        <v>-1400</v>
      </c>
      <c r="F2577" s="9" t="s">
        <v>8</v>
      </c>
      <c r="G2577" s="9" t="s">
        <v>186</v>
      </c>
    </row>
    <row r="2578" spans="1:7" s="139" customFormat="1" hidden="1" x14ac:dyDescent="0.3">
      <c r="A2578" s="78">
        <v>45989</v>
      </c>
      <c r="B2578" s="100" t="s">
        <v>212</v>
      </c>
      <c r="C2578" s="14" t="s">
        <v>17</v>
      </c>
      <c r="D2578" s="14" t="s">
        <v>191</v>
      </c>
      <c r="E2578" s="8">
        <v>-1916.67</v>
      </c>
      <c r="F2578" s="9" t="s">
        <v>8</v>
      </c>
      <c r="G2578" s="9" t="s">
        <v>186</v>
      </c>
    </row>
    <row r="2579" spans="1:7" s="139" customFormat="1" hidden="1" x14ac:dyDescent="0.3">
      <c r="A2579" s="78">
        <v>45989</v>
      </c>
      <c r="B2579" s="100" t="s">
        <v>212</v>
      </c>
      <c r="C2579" s="14" t="s">
        <v>17</v>
      </c>
      <c r="D2579" s="14" t="s">
        <v>588</v>
      </c>
      <c r="E2579" s="8">
        <v>-2864.92</v>
      </c>
      <c r="F2579" s="9" t="s">
        <v>8</v>
      </c>
      <c r="G2579" s="9" t="s">
        <v>186</v>
      </c>
    </row>
    <row r="2580" spans="1:7" s="139" customFormat="1" hidden="1" x14ac:dyDescent="0.3">
      <c r="A2580" s="100">
        <v>45992</v>
      </c>
      <c r="B2580" s="100" t="s">
        <v>216</v>
      </c>
      <c r="C2580" s="17" t="s">
        <v>6</v>
      </c>
      <c r="D2580" s="4" t="s">
        <v>7</v>
      </c>
      <c r="E2580" s="16">
        <v>-650</v>
      </c>
      <c r="F2580" s="13" t="s">
        <v>8</v>
      </c>
      <c r="G2580" s="5" t="s">
        <v>9</v>
      </c>
    </row>
    <row r="2581" spans="1:7" s="139" customFormat="1" hidden="1" x14ac:dyDescent="0.3">
      <c r="A2581" s="100">
        <v>45992</v>
      </c>
      <c r="B2581" s="100" t="s">
        <v>216</v>
      </c>
      <c r="C2581" s="17" t="s">
        <v>6</v>
      </c>
      <c r="D2581" s="4" t="s">
        <v>10</v>
      </c>
      <c r="E2581" s="16">
        <v>-320</v>
      </c>
      <c r="F2581" s="13" t="s">
        <v>8</v>
      </c>
      <c r="G2581" s="5" t="s">
        <v>9</v>
      </c>
    </row>
    <row r="2582" spans="1:7" s="139" customFormat="1" hidden="1" x14ac:dyDescent="0.3">
      <c r="A2582" s="100">
        <v>45992</v>
      </c>
      <c r="B2582" s="100" t="s">
        <v>216</v>
      </c>
      <c r="C2582" s="17" t="s">
        <v>6</v>
      </c>
      <c r="D2582" s="4" t="s">
        <v>11</v>
      </c>
      <c r="E2582" s="16">
        <v>-350</v>
      </c>
      <c r="F2582" s="13" t="s">
        <v>8</v>
      </c>
      <c r="G2582" s="5" t="s">
        <v>9</v>
      </c>
    </row>
    <row r="2583" spans="1:7" s="139" customFormat="1" hidden="1" x14ac:dyDescent="0.3">
      <c r="A2583" s="100">
        <v>45992</v>
      </c>
      <c r="B2583" s="100" t="s">
        <v>216</v>
      </c>
      <c r="C2583" s="11" t="s">
        <v>6</v>
      </c>
      <c r="D2583" s="4" t="s">
        <v>12</v>
      </c>
      <c r="E2583" s="16">
        <v>-201</v>
      </c>
      <c r="F2583" s="13" t="s">
        <v>8</v>
      </c>
      <c r="G2583" s="5" t="s">
        <v>9</v>
      </c>
    </row>
    <row r="2584" spans="1:7" s="139" customFormat="1" hidden="1" x14ac:dyDescent="0.3">
      <c r="A2584" s="100">
        <v>45992</v>
      </c>
      <c r="B2584" s="100" t="s">
        <v>216</v>
      </c>
      <c r="C2584" s="11" t="s">
        <v>13</v>
      </c>
      <c r="D2584" s="4" t="s">
        <v>14</v>
      </c>
      <c r="E2584" s="16">
        <v>-2000</v>
      </c>
      <c r="F2584" s="13" t="s">
        <v>8</v>
      </c>
      <c r="G2584" s="5" t="s">
        <v>15</v>
      </c>
    </row>
    <row r="2585" spans="1:7" s="139" customFormat="1" hidden="1" x14ac:dyDescent="0.3">
      <c r="A2585" s="100">
        <v>45992</v>
      </c>
      <c r="B2585" s="100" t="s">
        <v>216</v>
      </c>
      <c r="C2585" s="11" t="s">
        <v>13</v>
      </c>
      <c r="D2585" s="4" t="s">
        <v>16</v>
      </c>
      <c r="E2585" s="16">
        <v>-5000</v>
      </c>
      <c r="F2585" s="13" t="s">
        <v>8</v>
      </c>
      <c r="G2585" s="5" t="s">
        <v>15</v>
      </c>
    </row>
    <row r="2586" spans="1:7" s="139" customFormat="1" hidden="1" x14ac:dyDescent="0.3">
      <c r="A2586" s="113">
        <v>45996</v>
      </c>
      <c r="B2586" s="113" t="s">
        <v>216</v>
      </c>
      <c r="C2586" s="175" t="s">
        <v>17</v>
      </c>
      <c r="D2586" s="107" t="s">
        <v>18</v>
      </c>
      <c r="E2586" s="169">
        <v>-17235</v>
      </c>
      <c r="F2586" s="27" t="s">
        <v>8</v>
      </c>
      <c r="G2586" s="41" t="s">
        <v>19</v>
      </c>
    </row>
    <row r="2587" spans="1:7" s="4" customFormat="1" hidden="1" x14ac:dyDescent="0.3">
      <c r="A2587" s="100">
        <v>45993</v>
      </c>
      <c r="B2587" s="100" t="s">
        <v>216</v>
      </c>
      <c r="C2587" s="14" t="s">
        <v>44</v>
      </c>
      <c r="D2587" s="14" t="s">
        <v>1659</v>
      </c>
      <c r="E2587" s="8">
        <v>-279</v>
      </c>
      <c r="F2587" s="110" t="s">
        <v>8</v>
      </c>
      <c r="G2587" s="5" t="s">
        <v>29</v>
      </c>
    </row>
    <row r="2588" spans="1:7" s="139" customFormat="1" hidden="1" x14ac:dyDescent="0.3">
      <c r="A2588" s="146">
        <v>45993</v>
      </c>
      <c r="B2588" s="146" t="s">
        <v>216</v>
      </c>
      <c r="C2588" s="96" t="s">
        <v>20</v>
      </c>
      <c r="D2588" s="88" t="s">
        <v>21</v>
      </c>
      <c r="E2588" s="101">
        <v>-900</v>
      </c>
      <c r="F2588" s="110" t="s">
        <v>8</v>
      </c>
      <c r="G2588" s="24" t="s">
        <v>22</v>
      </c>
    </row>
    <row r="2589" spans="1:7" s="139" customFormat="1" hidden="1" x14ac:dyDescent="0.3">
      <c r="A2589" s="100">
        <v>45995</v>
      </c>
      <c r="B2589" s="100" t="s">
        <v>216</v>
      </c>
      <c r="C2589" s="17" t="s">
        <v>6</v>
      </c>
      <c r="D2589" s="4" t="s">
        <v>23</v>
      </c>
      <c r="E2589" s="16">
        <v>-3809.98</v>
      </c>
      <c r="F2589" s="13" t="s">
        <v>8</v>
      </c>
      <c r="G2589" s="5" t="s">
        <v>24</v>
      </c>
    </row>
    <row r="2590" spans="1:7" s="139" customFormat="1" hidden="1" x14ac:dyDescent="0.3">
      <c r="A2590" s="100">
        <v>45995</v>
      </c>
      <c r="B2590" s="100" t="s">
        <v>216</v>
      </c>
      <c r="C2590" s="11" t="s">
        <v>6</v>
      </c>
      <c r="D2590" s="4" t="s">
        <v>28</v>
      </c>
      <c r="E2590" s="16">
        <v>-349</v>
      </c>
      <c r="F2590" s="13" t="s">
        <v>8</v>
      </c>
      <c r="G2590" s="5" t="s">
        <v>29</v>
      </c>
    </row>
    <row r="2591" spans="1:7" s="139" customFormat="1" hidden="1" x14ac:dyDescent="0.3">
      <c r="A2591" s="100">
        <v>45995</v>
      </c>
      <c r="B2591" s="100" t="s">
        <v>216</v>
      </c>
      <c r="C2591" s="11" t="s">
        <v>30</v>
      </c>
      <c r="D2591" s="4" t="s">
        <v>28</v>
      </c>
      <c r="E2591" s="16">
        <v>-389</v>
      </c>
      <c r="F2591" s="13" t="s">
        <v>8</v>
      </c>
      <c r="G2591" s="5" t="s">
        <v>29</v>
      </c>
    </row>
    <row r="2592" spans="1:7" s="139" customFormat="1" hidden="1" x14ac:dyDescent="0.3">
      <c r="A2592" s="100">
        <v>45995</v>
      </c>
      <c r="B2592" s="100" t="s">
        <v>216</v>
      </c>
      <c r="C2592" s="11" t="s">
        <v>25</v>
      </c>
      <c r="D2592" s="4" t="s">
        <v>28</v>
      </c>
      <c r="E2592" s="16">
        <v>-349</v>
      </c>
      <c r="F2592" s="13" t="s">
        <v>8</v>
      </c>
      <c r="G2592" s="5" t="s">
        <v>29</v>
      </c>
    </row>
    <row r="2593" spans="1:7" s="139" customFormat="1" hidden="1" x14ac:dyDescent="0.3">
      <c r="A2593" s="100">
        <v>45995</v>
      </c>
      <c r="B2593" s="100" t="s">
        <v>216</v>
      </c>
      <c r="C2593" s="11" t="s">
        <v>31</v>
      </c>
      <c r="D2593" s="4" t="s">
        <v>28</v>
      </c>
      <c r="E2593" s="16">
        <v>-349</v>
      </c>
      <c r="F2593" s="13" t="s">
        <v>8</v>
      </c>
      <c r="G2593" s="5" t="s">
        <v>29</v>
      </c>
    </row>
    <row r="2594" spans="1:7" s="139" customFormat="1" hidden="1" x14ac:dyDescent="0.3">
      <c r="A2594" s="100">
        <v>45995</v>
      </c>
      <c r="B2594" s="100" t="s">
        <v>216</v>
      </c>
      <c r="C2594" s="11" t="s">
        <v>32</v>
      </c>
      <c r="D2594" s="4" t="s">
        <v>28</v>
      </c>
      <c r="E2594" s="16">
        <v>-389</v>
      </c>
      <c r="F2594" s="13" t="s">
        <v>8</v>
      </c>
      <c r="G2594" s="5" t="s">
        <v>29</v>
      </c>
    </row>
    <row r="2595" spans="1:7" s="139" customFormat="1" hidden="1" x14ac:dyDescent="0.3">
      <c r="A2595" s="100">
        <v>45995</v>
      </c>
      <c r="B2595" s="100" t="s">
        <v>216</v>
      </c>
      <c r="C2595" s="11" t="s">
        <v>33</v>
      </c>
      <c r="D2595" s="4" t="s">
        <v>28</v>
      </c>
      <c r="E2595" s="16">
        <v>-389</v>
      </c>
      <c r="F2595" s="13" t="s">
        <v>8</v>
      </c>
      <c r="G2595" s="5" t="s">
        <v>29</v>
      </c>
    </row>
    <row r="2596" spans="1:7" s="139" customFormat="1" hidden="1" x14ac:dyDescent="0.3">
      <c r="A2596" s="100">
        <v>45995</v>
      </c>
      <c r="B2596" s="100" t="s">
        <v>216</v>
      </c>
      <c r="C2596" s="11" t="s">
        <v>34</v>
      </c>
      <c r="D2596" s="4" t="s">
        <v>28</v>
      </c>
      <c r="E2596" s="16">
        <v>-389</v>
      </c>
      <c r="F2596" s="13" t="s">
        <v>8</v>
      </c>
      <c r="G2596" s="5" t="s">
        <v>29</v>
      </c>
    </row>
    <row r="2597" spans="1:7" s="139" customFormat="1" hidden="1" x14ac:dyDescent="0.3">
      <c r="A2597" s="100">
        <v>45996</v>
      </c>
      <c r="B2597" s="100" t="s">
        <v>216</v>
      </c>
      <c r="C2597" s="17" t="s">
        <v>35</v>
      </c>
      <c r="D2597" s="4" t="s">
        <v>36</v>
      </c>
      <c r="E2597" s="16">
        <v>-2000</v>
      </c>
      <c r="F2597" s="13" t="s">
        <v>8</v>
      </c>
      <c r="G2597" s="5" t="s">
        <v>37</v>
      </c>
    </row>
    <row r="2598" spans="1:7" s="139" customFormat="1" hidden="1" x14ac:dyDescent="0.3">
      <c r="A2598" s="100">
        <v>45996</v>
      </c>
      <c r="B2598" s="100" t="s">
        <v>216</v>
      </c>
      <c r="C2598" s="11" t="s">
        <v>6</v>
      </c>
      <c r="D2598" s="4" t="s">
        <v>40</v>
      </c>
      <c r="E2598" s="10">
        <v>-468000</v>
      </c>
      <c r="F2598" s="13" t="s">
        <v>8</v>
      </c>
      <c r="G2598" s="5" t="s">
        <v>41</v>
      </c>
    </row>
    <row r="2599" spans="1:7" s="139" customFormat="1" hidden="1" x14ac:dyDescent="0.3">
      <c r="A2599" s="100">
        <v>45996</v>
      </c>
      <c r="B2599" s="100" t="s">
        <v>216</v>
      </c>
      <c r="C2599" s="11" t="s">
        <v>6</v>
      </c>
      <c r="D2599" s="4" t="s">
        <v>42</v>
      </c>
      <c r="E2599" s="16">
        <v>-500</v>
      </c>
      <c r="F2599" s="13" t="s">
        <v>8</v>
      </c>
      <c r="G2599" s="5" t="s">
        <v>41</v>
      </c>
    </row>
    <row r="2600" spans="1:7" s="139" customFormat="1" hidden="1" x14ac:dyDescent="0.3">
      <c r="A2600" s="100">
        <v>45996</v>
      </c>
      <c r="B2600" s="100" t="s">
        <v>216</v>
      </c>
      <c r="C2600" s="11" t="s">
        <v>6</v>
      </c>
      <c r="D2600" s="4" t="s">
        <v>43</v>
      </c>
      <c r="E2600" s="16">
        <v>-15000</v>
      </c>
      <c r="F2600" s="13" t="s">
        <v>8</v>
      </c>
      <c r="G2600" s="5" t="s">
        <v>41</v>
      </c>
    </row>
    <row r="2601" spans="1:7" s="139" customFormat="1" hidden="1" x14ac:dyDescent="0.3">
      <c r="A2601" s="100">
        <v>46006</v>
      </c>
      <c r="B2601" s="100" t="s">
        <v>216</v>
      </c>
      <c r="C2601" s="14" t="s">
        <v>44</v>
      </c>
      <c r="D2601" s="7" t="s">
        <v>209</v>
      </c>
      <c r="E2601" s="8">
        <v>-5523.75</v>
      </c>
      <c r="F2601" s="13" t="s">
        <v>8</v>
      </c>
      <c r="G2601" s="9" t="s">
        <v>46</v>
      </c>
    </row>
    <row r="2602" spans="1:7" s="139" customFormat="1" hidden="1" x14ac:dyDescent="0.3">
      <c r="A2602" s="100">
        <v>45996</v>
      </c>
      <c r="B2602" s="100" t="s">
        <v>216</v>
      </c>
      <c r="C2602" s="14" t="s">
        <v>17</v>
      </c>
      <c r="D2602" s="7" t="s">
        <v>1035</v>
      </c>
      <c r="E2602" s="8">
        <v>-226.68</v>
      </c>
      <c r="F2602" s="13" t="s">
        <v>8</v>
      </c>
      <c r="G2602" s="9" t="s">
        <v>153</v>
      </c>
    </row>
    <row r="2603" spans="1:7" s="139" customFormat="1" hidden="1" x14ac:dyDescent="0.3">
      <c r="A2603" s="100">
        <v>45996</v>
      </c>
      <c r="B2603" s="100" t="s">
        <v>216</v>
      </c>
      <c r="C2603" s="14" t="s">
        <v>13</v>
      </c>
      <c r="D2603" s="4" t="s">
        <v>47</v>
      </c>
      <c r="E2603" s="16">
        <v>-7000</v>
      </c>
      <c r="F2603" s="13" t="s">
        <v>8</v>
      </c>
      <c r="G2603" s="5" t="s">
        <v>27</v>
      </c>
    </row>
    <row r="2604" spans="1:7" s="139" customFormat="1" hidden="1" x14ac:dyDescent="0.3">
      <c r="A2604" s="100">
        <v>46003</v>
      </c>
      <c r="B2604" s="100" t="s">
        <v>216</v>
      </c>
      <c r="C2604" s="11" t="s">
        <v>17</v>
      </c>
      <c r="D2604" s="4" t="s">
        <v>18</v>
      </c>
      <c r="E2604" s="10">
        <v>-17235</v>
      </c>
      <c r="F2604" s="13" t="s">
        <v>8</v>
      </c>
      <c r="G2604" s="5" t="s">
        <v>19</v>
      </c>
    </row>
    <row r="2605" spans="1:7" s="139" customFormat="1" hidden="1" x14ac:dyDescent="0.3">
      <c r="A2605" s="78">
        <v>46001</v>
      </c>
      <c r="B2605" s="100" t="s">
        <v>216</v>
      </c>
      <c r="C2605" s="14" t="s">
        <v>32</v>
      </c>
      <c r="D2605" s="7" t="s">
        <v>48</v>
      </c>
      <c r="E2605" s="8">
        <v>-700</v>
      </c>
      <c r="F2605" s="13" t="s">
        <v>8</v>
      </c>
      <c r="G2605" s="9" t="s">
        <v>49</v>
      </c>
    </row>
    <row r="2606" spans="1:7" s="139" customFormat="1" hidden="1" x14ac:dyDescent="0.3">
      <c r="A2606" s="100">
        <v>46001</v>
      </c>
      <c r="B2606" s="100" t="s">
        <v>216</v>
      </c>
      <c r="C2606" s="11" t="s">
        <v>13</v>
      </c>
      <c r="D2606" s="4" t="s">
        <v>50</v>
      </c>
      <c r="E2606" s="16">
        <v>-9000</v>
      </c>
      <c r="F2606" s="13" t="s">
        <v>8</v>
      </c>
      <c r="G2606" s="5" t="s">
        <v>51</v>
      </c>
    </row>
    <row r="2607" spans="1:7" s="139" customFormat="1" hidden="1" x14ac:dyDescent="0.3">
      <c r="A2607" s="100">
        <v>46001</v>
      </c>
      <c r="B2607" s="100" t="s">
        <v>216</v>
      </c>
      <c r="C2607" s="11" t="s">
        <v>6</v>
      </c>
      <c r="D2607" s="4" t="s">
        <v>52</v>
      </c>
      <c r="E2607" s="16">
        <v>-290</v>
      </c>
      <c r="F2607" s="13" t="s">
        <v>8</v>
      </c>
      <c r="G2607" s="5" t="s">
        <v>53</v>
      </c>
    </row>
    <row r="2608" spans="1:7" s="139" customFormat="1" hidden="1" x14ac:dyDescent="0.3">
      <c r="A2608" s="100">
        <v>46001</v>
      </c>
      <c r="B2608" s="100" t="s">
        <v>216</v>
      </c>
      <c r="C2608" s="11" t="s">
        <v>13</v>
      </c>
      <c r="D2608" s="4" t="s">
        <v>54</v>
      </c>
      <c r="E2608" s="16">
        <v>-1000</v>
      </c>
      <c r="F2608" s="13" t="s">
        <v>8</v>
      </c>
      <c r="G2608" s="5" t="s">
        <v>55</v>
      </c>
    </row>
    <row r="2609" spans="1:7" s="139" customFormat="1" hidden="1" x14ac:dyDescent="0.3">
      <c r="A2609" s="100">
        <v>46001</v>
      </c>
      <c r="B2609" s="100" t="s">
        <v>216</v>
      </c>
      <c r="C2609" s="11" t="s">
        <v>17</v>
      </c>
      <c r="D2609" s="4" t="s">
        <v>484</v>
      </c>
      <c r="E2609" s="16">
        <v>-10500</v>
      </c>
      <c r="F2609" s="13" t="s">
        <v>8</v>
      </c>
      <c r="G2609" s="5" t="s">
        <v>56</v>
      </c>
    </row>
    <row r="2610" spans="1:7" s="139" customFormat="1" hidden="1" x14ac:dyDescent="0.3">
      <c r="A2610" s="100">
        <v>46001</v>
      </c>
      <c r="B2610" s="100" t="s">
        <v>216</v>
      </c>
      <c r="C2610" s="11" t="s">
        <v>13</v>
      </c>
      <c r="D2610" s="4" t="s">
        <v>57</v>
      </c>
      <c r="E2610" s="16">
        <v>-1000</v>
      </c>
      <c r="F2610" s="13" t="s">
        <v>8</v>
      </c>
      <c r="G2610" s="5" t="s">
        <v>55</v>
      </c>
    </row>
    <row r="2611" spans="1:7" s="139" customFormat="1" hidden="1" x14ac:dyDescent="0.3">
      <c r="A2611" s="100">
        <v>46001</v>
      </c>
      <c r="B2611" s="100" t="s">
        <v>216</v>
      </c>
      <c r="C2611" s="11" t="s">
        <v>31</v>
      </c>
      <c r="D2611" s="12" t="s">
        <v>775</v>
      </c>
      <c r="E2611" s="16">
        <v>-3000</v>
      </c>
      <c r="F2611" s="13" t="s">
        <v>8</v>
      </c>
      <c r="G2611" s="5" t="s">
        <v>58</v>
      </c>
    </row>
    <row r="2612" spans="1:7" s="139" customFormat="1" hidden="1" x14ac:dyDescent="0.3">
      <c r="A2612" s="100">
        <v>46001</v>
      </c>
      <c r="B2612" s="100" t="s">
        <v>216</v>
      </c>
      <c r="C2612" s="11" t="s">
        <v>44</v>
      </c>
      <c r="D2612" s="4" t="s">
        <v>60</v>
      </c>
      <c r="E2612" s="276">
        <v>-6536.85</v>
      </c>
      <c r="F2612" s="5" t="s">
        <v>8</v>
      </c>
      <c r="G2612" s="5" t="s">
        <v>61</v>
      </c>
    </row>
    <row r="2613" spans="1:7" s="139" customFormat="1" hidden="1" x14ac:dyDescent="0.3">
      <c r="A2613" s="100">
        <v>46001</v>
      </c>
      <c r="B2613" s="100" t="s">
        <v>216</v>
      </c>
      <c r="C2613" s="11" t="s">
        <v>6</v>
      </c>
      <c r="D2613" s="4" t="s">
        <v>62</v>
      </c>
      <c r="E2613" s="16">
        <v>-9500</v>
      </c>
      <c r="F2613" s="13" t="s">
        <v>8</v>
      </c>
      <c r="G2613" s="5" t="s">
        <v>63</v>
      </c>
    </row>
    <row r="2614" spans="1:7" s="139" customFormat="1" hidden="1" x14ac:dyDescent="0.3">
      <c r="A2614" s="100">
        <v>46001</v>
      </c>
      <c r="B2614" s="100" t="s">
        <v>216</v>
      </c>
      <c r="C2614" s="17" t="s">
        <v>64</v>
      </c>
      <c r="D2614" s="4" t="s">
        <v>65</v>
      </c>
      <c r="E2614" s="16">
        <v>-432</v>
      </c>
      <c r="F2614" s="13" t="s">
        <v>8</v>
      </c>
      <c r="G2614" s="5" t="s">
        <v>39</v>
      </c>
    </row>
    <row r="2615" spans="1:7" s="139" customFormat="1" hidden="1" x14ac:dyDescent="0.3">
      <c r="A2615" s="100">
        <v>46001</v>
      </c>
      <c r="B2615" s="100" t="s">
        <v>216</v>
      </c>
      <c r="C2615" s="17" t="s">
        <v>66</v>
      </c>
      <c r="D2615" s="4" t="s">
        <v>67</v>
      </c>
      <c r="E2615" s="16">
        <v>-553.25</v>
      </c>
      <c r="F2615" s="13" t="s">
        <v>8</v>
      </c>
      <c r="G2615" s="5" t="s">
        <v>68</v>
      </c>
    </row>
    <row r="2616" spans="1:7" s="139" customFormat="1" hidden="1" x14ac:dyDescent="0.3">
      <c r="A2616" s="100">
        <v>46008</v>
      </c>
      <c r="B2616" s="100" t="s">
        <v>216</v>
      </c>
      <c r="C2616" s="14" t="s">
        <v>71</v>
      </c>
      <c r="D2616" s="7" t="s">
        <v>72</v>
      </c>
      <c r="E2616" s="8">
        <v>-4347.01</v>
      </c>
      <c r="F2616" s="13" t="s">
        <v>8</v>
      </c>
      <c r="G2616" s="9" t="s">
        <v>73</v>
      </c>
    </row>
    <row r="2617" spans="1:7" s="139" customFormat="1" hidden="1" x14ac:dyDescent="0.3">
      <c r="A2617" s="100">
        <v>46008</v>
      </c>
      <c r="B2617" s="100" t="s">
        <v>216</v>
      </c>
      <c r="C2617" s="14" t="s">
        <v>71</v>
      </c>
      <c r="D2617" s="7" t="s">
        <v>72</v>
      </c>
      <c r="E2617" s="8">
        <v>-2173.96</v>
      </c>
      <c r="F2617" s="13" t="s">
        <v>8</v>
      </c>
      <c r="G2617" s="9" t="s">
        <v>73</v>
      </c>
    </row>
    <row r="2618" spans="1:7" s="139" customFormat="1" hidden="1" x14ac:dyDescent="0.3">
      <c r="A2618" s="100">
        <v>46002</v>
      </c>
      <c r="B2618" s="100" t="s">
        <v>216</v>
      </c>
      <c r="C2618" s="14" t="s">
        <v>6</v>
      </c>
      <c r="D2618" s="7" t="s">
        <v>75</v>
      </c>
      <c r="E2618" s="8">
        <v>-40000</v>
      </c>
      <c r="F2618" s="13" t="s">
        <v>8</v>
      </c>
      <c r="G2618" s="9" t="s">
        <v>75</v>
      </c>
    </row>
    <row r="2619" spans="1:7" s="139" customFormat="1" hidden="1" x14ac:dyDescent="0.3">
      <c r="A2619" s="100">
        <v>46006</v>
      </c>
      <c r="B2619" s="100" t="s">
        <v>216</v>
      </c>
      <c r="C2619" s="11" t="s">
        <v>6</v>
      </c>
      <c r="D2619" s="4" t="s">
        <v>77</v>
      </c>
      <c r="E2619" s="16">
        <v>-100000</v>
      </c>
      <c r="F2619" s="5" t="s">
        <v>8</v>
      </c>
      <c r="G2619" s="5" t="s">
        <v>41</v>
      </c>
    </row>
    <row r="2620" spans="1:7" s="139" customFormat="1" hidden="1" x14ac:dyDescent="0.3">
      <c r="A2620" s="100">
        <v>46006</v>
      </c>
      <c r="B2620" s="100" t="s">
        <v>216</v>
      </c>
      <c r="C2620" s="11" t="s">
        <v>6</v>
      </c>
      <c r="D2620" s="4" t="s">
        <v>78</v>
      </c>
      <c r="E2620" s="16">
        <v>-40000</v>
      </c>
      <c r="F2620" s="13" t="s">
        <v>8</v>
      </c>
      <c r="G2620" s="5" t="s">
        <v>78</v>
      </c>
    </row>
    <row r="2621" spans="1:7" s="139" customFormat="1" hidden="1" x14ac:dyDescent="0.3">
      <c r="A2621" s="100">
        <v>46006</v>
      </c>
      <c r="B2621" s="100" t="s">
        <v>216</v>
      </c>
      <c r="C2621" s="11" t="s">
        <v>6</v>
      </c>
      <c r="D2621" s="4" t="s">
        <v>79</v>
      </c>
      <c r="E2621" s="16">
        <v>-90000</v>
      </c>
      <c r="F2621" s="13" t="s">
        <v>8</v>
      </c>
      <c r="G2621" s="5" t="s">
        <v>19</v>
      </c>
    </row>
    <row r="2622" spans="1:7" s="139" customFormat="1" hidden="1" x14ac:dyDescent="0.3">
      <c r="A2622" s="100">
        <v>46006</v>
      </c>
      <c r="B2622" s="100" t="s">
        <v>216</v>
      </c>
      <c r="C2622" s="11" t="s">
        <v>80</v>
      </c>
      <c r="D2622" s="4" t="s">
        <v>81</v>
      </c>
      <c r="E2622" s="16">
        <v>-10000</v>
      </c>
      <c r="F2622" s="13" t="s">
        <v>8</v>
      </c>
      <c r="G2622" s="5" t="s">
        <v>82</v>
      </c>
    </row>
    <row r="2623" spans="1:7" s="139" customFormat="1" hidden="1" x14ac:dyDescent="0.3">
      <c r="A2623" s="100">
        <v>46006</v>
      </c>
      <c r="B2623" s="100" t="s">
        <v>216</v>
      </c>
      <c r="C2623" s="11" t="s">
        <v>17</v>
      </c>
      <c r="D2623" s="4" t="s">
        <v>83</v>
      </c>
      <c r="E2623" s="16">
        <v>-20000</v>
      </c>
      <c r="F2623" s="13" t="s">
        <v>8</v>
      </c>
      <c r="G2623" s="5" t="s">
        <v>58</v>
      </c>
    </row>
    <row r="2624" spans="1:7" s="139" customFormat="1" hidden="1" x14ac:dyDescent="0.3">
      <c r="A2624" s="100">
        <v>46006</v>
      </c>
      <c r="B2624" s="100" t="s">
        <v>216</v>
      </c>
      <c r="C2624" s="11" t="s">
        <v>13</v>
      </c>
      <c r="D2624" s="4" t="s">
        <v>87</v>
      </c>
      <c r="E2624" s="16">
        <v>-1375</v>
      </c>
      <c r="F2624" s="5" t="s">
        <v>8</v>
      </c>
      <c r="G2624" s="5" t="s">
        <v>41</v>
      </c>
    </row>
    <row r="2625" spans="1:7" s="139" customFormat="1" hidden="1" x14ac:dyDescent="0.3">
      <c r="A2625" s="100">
        <v>46006</v>
      </c>
      <c r="B2625" s="100" t="s">
        <v>216</v>
      </c>
      <c r="C2625" s="11" t="s">
        <v>6</v>
      </c>
      <c r="D2625" s="4" t="s">
        <v>89</v>
      </c>
      <c r="E2625" s="16">
        <v>-6500</v>
      </c>
      <c r="F2625" s="5" t="s">
        <v>8</v>
      </c>
      <c r="G2625" s="5" t="s">
        <v>63</v>
      </c>
    </row>
    <row r="2626" spans="1:7" s="139" customFormat="1" hidden="1" x14ac:dyDescent="0.3">
      <c r="A2626" s="100">
        <v>46006</v>
      </c>
      <c r="B2626" s="100" t="s">
        <v>216</v>
      </c>
      <c r="C2626" s="11" t="s">
        <v>17</v>
      </c>
      <c r="D2626" s="4" t="s">
        <v>1623</v>
      </c>
      <c r="E2626" s="16">
        <v>-12000</v>
      </c>
      <c r="F2626" s="13" t="s">
        <v>8</v>
      </c>
      <c r="G2626" s="5" t="s">
        <v>91</v>
      </c>
    </row>
    <row r="2627" spans="1:7" s="139" customFormat="1" hidden="1" x14ac:dyDescent="0.3">
      <c r="A2627" s="100">
        <v>46006</v>
      </c>
      <c r="B2627" s="100" t="s">
        <v>216</v>
      </c>
      <c r="C2627" s="14" t="s">
        <v>31</v>
      </c>
      <c r="D2627" s="104" t="s">
        <v>91</v>
      </c>
      <c r="E2627" s="16">
        <v>-2302.0500000000002</v>
      </c>
      <c r="F2627" s="13" t="s">
        <v>8</v>
      </c>
      <c r="G2627" s="5" t="s">
        <v>91</v>
      </c>
    </row>
    <row r="2628" spans="1:7" s="139" customFormat="1" hidden="1" x14ac:dyDescent="0.3">
      <c r="A2628" s="100">
        <v>46006</v>
      </c>
      <c r="B2628" s="100" t="s">
        <v>216</v>
      </c>
      <c r="C2628" s="17" t="s">
        <v>25</v>
      </c>
      <c r="D2628" s="104" t="s">
        <v>91</v>
      </c>
      <c r="E2628" s="16">
        <v>-1248.99</v>
      </c>
      <c r="F2628" s="13" t="s">
        <v>8</v>
      </c>
      <c r="G2628" s="5" t="s">
        <v>91</v>
      </c>
    </row>
    <row r="2629" spans="1:7" s="139" customFormat="1" hidden="1" x14ac:dyDescent="0.3">
      <c r="A2629" s="100">
        <v>46003</v>
      </c>
      <c r="B2629" s="100" t="s">
        <v>216</v>
      </c>
      <c r="C2629" s="11" t="s">
        <v>6</v>
      </c>
      <c r="D2629" s="4" t="s">
        <v>566</v>
      </c>
      <c r="E2629" s="16">
        <v>-2012.45</v>
      </c>
      <c r="F2629" s="13" t="s">
        <v>8</v>
      </c>
      <c r="G2629" s="9" t="s">
        <v>46</v>
      </c>
    </row>
    <row r="2630" spans="1:7" s="139" customFormat="1" hidden="1" x14ac:dyDescent="0.3">
      <c r="A2630" s="100">
        <v>46006</v>
      </c>
      <c r="B2630" s="100" t="s">
        <v>216</v>
      </c>
      <c r="C2630" s="11" t="s">
        <v>6</v>
      </c>
      <c r="D2630" s="4" t="s">
        <v>92</v>
      </c>
      <c r="E2630" s="16">
        <v>-171.1</v>
      </c>
      <c r="F2630" s="13" t="s">
        <v>8</v>
      </c>
      <c r="G2630" s="5" t="s">
        <v>29</v>
      </c>
    </row>
    <row r="2631" spans="1:7" s="139" customFormat="1" hidden="1" x14ac:dyDescent="0.3">
      <c r="A2631" s="100">
        <v>46006</v>
      </c>
      <c r="B2631" s="100" t="s">
        <v>216</v>
      </c>
      <c r="C2631" s="11" t="s">
        <v>44</v>
      </c>
      <c r="D2631" s="4" t="s">
        <v>92</v>
      </c>
      <c r="E2631" s="16">
        <v>-171.1</v>
      </c>
      <c r="F2631" s="13" t="s">
        <v>8</v>
      </c>
      <c r="G2631" s="5" t="s">
        <v>29</v>
      </c>
    </row>
    <row r="2632" spans="1:7" s="139" customFormat="1" hidden="1" x14ac:dyDescent="0.3">
      <c r="A2632" s="100">
        <v>46006</v>
      </c>
      <c r="B2632" s="100" t="s">
        <v>216</v>
      </c>
      <c r="C2632" s="11" t="s">
        <v>13</v>
      </c>
      <c r="D2632" s="4" t="s">
        <v>92</v>
      </c>
      <c r="E2632" s="16">
        <v>-171.1</v>
      </c>
      <c r="F2632" s="13" t="s">
        <v>8</v>
      </c>
      <c r="G2632" s="5" t="s">
        <v>29</v>
      </c>
    </row>
    <row r="2633" spans="1:7" s="139" customFormat="1" hidden="1" x14ac:dyDescent="0.3">
      <c r="A2633" s="100">
        <v>46006</v>
      </c>
      <c r="B2633" s="100" t="s">
        <v>216</v>
      </c>
      <c r="C2633" s="11" t="s">
        <v>420</v>
      </c>
      <c r="D2633" s="4" t="s">
        <v>92</v>
      </c>
      <c r="E2633" s="16">
        <v>-171.1</v>
      </c>
      <c r="F2633" s="13" t="s">
        <v>8</v>
      </c>
      <c r="G2633" s="5" t="s">
        <v>29</v>
      </c>
    </row>
    <row r="2634" spans="1:7" s="139" customFormat="1" hidden="1" x14ac:dyDescent="0.3">
      <c r="A2634" s="100">
        <v>46006</v>
      </c>
      <c r="B2634" s="100" t="s">
        <v>216</v>
      </c>
      <c r="C2634" s="11" t="s">
        <v>31</v>
      </c>
      <c r="D2634" s="4" t="s">
        <v>92</v>
      </c>
      <c r="E2634" s="16">
        <v>-171.1</v>
      </c>
      <c r="F2634" s="13" t="s">
        <v>8</v>
      </c>
      <c r="G2634" s="5" t="s">
        <v>29</v>
      </c>
    </row>
    <row r="2635" spans="1:7" s="139" customFormat="1" hidden="1" x14ac:dyDescent="0.3">
      <c r="A2635" s="100">
        <v>46006</v>
      </c>
      <c r="B2635" s="100" t="s">
        <v>216</v>
      </c>
      <c r="C2635" s="11" t="s">
        <v>64</v>
      </c>
      <c r="D2635" s="4" t="s">
        <v>92</v>
      </c>
      <c r="E2635" s="16">
        <v>-171.1</v>
      </c>
      <c r="F2635" s="13" t="s">
        <v>8</v>
      </c>
      <c r="G2635" s="5" t="s">
        <v>29</v>
      </c>
    </row>
    <row r="2636" spans="1:7" s="139" customFormat="1" hidden="1" x14ac:dyDescent="0.3">
      <c r="A2636" s="100">
        <v>46006</v>
      </c>
      <c r="B2636" s="100" t="s">
        <v>216</v>
      </c>
      <c r="C2636" s="14" t="s">
        <v>17</v>
      </c>
      <c r="D2636" s="4" t="s">
        <v>92</v>
      </c>
      <c r="E2636" s="16">
        <v>-171.1</v>
      </c>
      <c r="F2636" s="13" t="s">
        <v>8</v>
      </c>
      <c r="G2636" s="5" t="s">
        <v>29</v>
      </c>
    </row>
    <row r="2637" spans="1:7" s="139" customFormat="1" hidden="1" x14ac:dyDescent="0.3">
      <c r="A2637" s="100">
        <v>46006</v>
      </c>
      <c r="B2637" s="100" t="s">
        <v>216</v>
      </c>
      <c r="C2637" s="14" t="s">
        <v>647</v>
      </c>
      <c r="D2637" s="4" t="s">
        <v>92</v>
      </c>
      <c r="E2637" s="16">
        <v>-171.1</v>
      </c>
      <c r="F2637" s="13" t="s">
        <v>8</v>
      </c>
      <c r="G2637" s="5" t="s">
        <v>29</v>
      </c>
    </row>
    <row r="2638" spans="1:7" s="139" customFormat="1" hidden="1" x14ac:dyDescent="0.3">
      <c r="A2638" s="100">
        <v>46006</v>
      </c>
      <c r="B2638" s="100" t="s">
        <v>216</v>
      </c>
      <c r="C2638" s="14" t="s">
        <v>30</v>
      </c>
      <c r="D2638" s="4" t="s">
        <v>92</v>
      </c>
      <c r="E2638" s="16">
        <v>-171.1</v>
      </c>
      <c r="F2638" s="13" t="s">
        <v>8</v>
      </c>
      <c r="G2638" s="5" t="s">
        <v>29</v>
      </c>
    </row>
    <row r="2639" spans="1:7" s="139" customFormat="1" hidden="1" x14ac:dyDescent="0.3">
      <c r="A2639" s="100">
        <v>46006</v>
      </c>
      <c r="B2639" s="100" t="s">
        <v>216</v>
      </c>
      <c r="C2639" s="14" t="s">
        <v>93</v>
      </c>
      <c r="D2639" s="4" t="s">
        <v>92</v>
      </c>
      <c r="E2639" s="16">
        <v>-171.1</v>
      </c>
      <c r="F2639" s="13" t="s">
        <v>8</v>
      </c>
      <c r="G2639" s="5" t="s">
        <v>29</v>
      </c>
    </row>
    <row r="2640" spans="1:7" s="139" customFormat="1" hidden="1" x14ac:dyDescent="0.3">
      <c r="A2640" s="100">
        <v>46006</v>
      </c>
      <c r="B2640" s="100" t="s">
        <v>216</v>
      </c>
      <c r="C2640" s="14" t="s">
        <v>33</v>
      </c>
      <c r="D2640" s="4" t="s">
        <v>92</v>
      </c>
      <c r="E2640" s="16">
        <v>-171.1</v>
      </c>
      <c r="F2640" s="13" t="s">
        <v>8</v>
      </c>
      <c r="G2640" s="5" t="s">
        <v>29</v>
      </c>
    </row>
    <row r="2641" spans="1:7" s="139" customFormat="1" hidden="1" x14ac:dyDescent="0.3">
      <c r="A2641" s="100">
        <v>46006</v>
      </c>
      <c r="B2641" s="100" t="s">
        <v>216</v>
      </c>
      <c r="C2641" s="14" t="s">
        <v>94</v>
      </c>
      <c r="D2641" s="4" t="s">
        <v>92</v>
      </c>
      <c r="E2641" s="16">
        <v>-171.1</v>
      </c>
      <c r="F2641" s="13" t="s">
        <v>8</v>
      </c>
      <c r="G2641" s="5" t="s">
        <v>29</v>
      </c>
    </row>
    <row r="2642" spans="1:7" s="139" customFormat="1" hidden="1" x14ac:dyDescent="0.3">
      <c r="A2642" s="100">
        <v>46006</v>
      </c>
      <c r="B2642" s="100" t="s">
        <v>216</v>
      </c>
      <c r="C2642" s="14" t="s">
        <v>32</v>
      </c>
      <c r="D2642" s="4" t="s">
        <v>92</v>
      </c>
      <c r="E2642" s="16">
        <v>-171.1</v>
      </c>
      <c r="F2642" s="13" t="s">
        <v>8</v>
      </c>
      <c r="G2642" s="5" t="s">
        <v>29</v>
      </c>
    </row>
    <row r="2643" spans="1:7" s="139" customFormat="1" hidden="1" x14ac:dyDescent="0.3">
      <c r="A2643" s="100">
        <v>46006</v>
      </c>
      <c r="B2643" s="100" t="s">
        <v>216</v>
      </c>
      <c r="C2643" s="14" t="s">
        <v>34</v>
      </c>
      <c r="D2643" s="4" t="s">
        <v>92</v>
      </c>
      <c r="E2643" s="16">
        <v>-171.1</v>
      </c>
      <c r="F2643" s="13" t="s">
        <v>8</v>
      </c>
      <c r="G2643" s="5" t="s">
        <v>29</v>
      </c>
    </row>
    <row r="2644" spans="1:7" s="139" customFormat="1" hidden="1" x14ac:dyDescent="0.3">
      <c r="A2644" s="100">
        <v>46006</v>
      </c>
      <c r="B2644" s="100" t="s">
        <v>216</v>
      </c>
      <c r="C2644" s="11" t="s">
        <v>6</v>
      </c>
      <c r="D2644" s="4" t="s">
        <v>1671</v>
      </c>
      <c r="E2644" s="16">
        <v>-8000</v>
      </c>
      <c r="F2644" s="13" t="s">
        <v>8</v>
      </c>
      <c r="G2644" s="5" t="s">
        <v>97</v>
      </c>
    </row>
    <row r="2645" spans="1:7" s="139" customFormat="1" hidden="1" x14ac:dyDescent="0.3">
      <c r="A2645" s="100">
        <v>46008</v>
      </c>
      <c r="B2645" s="100" t="s">
        <v>216</v>
      </c>
      <c r="C2645" s="11" t="s">
        <v>6</v>
      </c>
      <c r="D2645" s="4" t="s">
        <v>98</v>
      </c>
      <c r="E2645" s="16">
        <v>-141.69999999999999</v>
      </c>
      <c r="F2645" s="13" t="s">
        <v>8</v>
      </c>
      <c r="G2645" s="5" t="s">
        <v>99</v>
      </c>
    </row>
    <row r="2646" spans="1:7" s="139" customFormat="1" hidden="1" x14ac:dyDescent="0.3">
      <c r="A2646" s="100">
        <v>46008</v>
      </c>
      <c r="B2646" s="100" t="s">
        <v>216</v>
      </c>
      <c r="C2646" s="11" t="s">
        <v>6</v>
      </c>
      <c r="D2646" s="4" t="s">
        <v>100</v>
      </c>
      <c r="E2646" s="16">
        <v>-141.69999999999999</v>
      </c>
      <c r="F2646" s="13" t="s">
        <v>8</v>
      </c>
      <c r="G2646" s="5" t="s">
        <v>99</v>
      </c>
    </row>
    <row r="2647" spans="1:7" s="139" customFormat="1" hidden="1" x14ac:dyDescent="0.3">
      <c r="A2647" s="100">
        <v>46008</v>
      </c>
      <c r="B2647" s="100" t="s">
        <v>216</v>
      </c>
      <c r="C2647" s="11" t="s">
        <v>6</v>
      </c>
      <c r="D2647" s="4" t="s">
        <v>101</v>
      </c>
      <c r="E2647" s="16">
        <v>-141.69999999999999</v>
      </c>
      <c r="F2647" s="13" t="s">
        <v>8</v>
      </c>
      <c r="G2647" s="5" t="s">
        <v>99</v>
      </c>
    </row>
    <row r="2648" spans="1:7" s="139" customFormat="1" hidden="1" x14ac:dyDescent="0.3">
      <c r="A2648" s="100">
        <v>46008</v>
      </c>
      <c r="B2648" s="100" t="s">
        <v>216</v>
      </c>
      <c r="C2648" s="11" t="s">
        <v>6</v>
      </c>
      <c r="D2648" s="4" t="s">
        <v>102</v>
      </c>
      <c r="E2648" s="16">
        <v>-139.25</v>
      </c>
      <c r="F2648" s="13" t="s">
        <v>8</v>
      </c>
      <c r="G2648" s="5" t="s">
        <v>99</v>
      </c>
    </row>
    <row r="2649" spans="1:7" s="139" customFormat="1" hidden="1" x14ac:dyDescent="0.3">
      <c r="A2649" s="100">
        <v>46006</v>
      </c>
      <c r="B2649" s="100" t="s">
        <v>216</v>
      </c>
      <c r="C2649" s="17" t="s">
        <v>32</v>
      </c>
      <c r="D2649" s="4" t="s">
        <v>103</v>
      </c>
      <c r="E2649" s="16">
        <v>-244.5</v>
      </c>
      <c r="F2649" s="5" t="s">
        <v>8</v>
      </c>
      <c r="G2649" s="5" t="s">
        <v>68</v>
      </c>
    </row>
    <row r="2650" spans="1:7" s="139" customFormat="1" hidden="1" x14ac:dyDescent="0.3">
      <c r="A2650" s="100">
        <v>46006</v>
      </c>
      <c r="B2650" s="100" t="s">
        <v>216</v>
      </c>
      <c r="C2650" s="17" t="s">
        <v>104</v>
      </c>
      <c r="D2650" s="4" t="s">
        <v>103</v>
      </c>
      <c r="E2650" s="16">
        <v>-300</v>
      </c>
      <c r="F2650" s="5" t="s">
        <v>8</v>
      </c>
      <c r="G2650" s="5" t="s">
        <v>68</v>
      </c>
    </row>
    <row r="2651" spans="1:7" s="139" customFormat="1" hidden="1" x14ac:dyDescent="0.3">
      <c r="A2651" s="100">
        <v>46006</v>
      </c>
      <c r="B2651" s="100" t="s">
        <v>216</v>
      </c>
      <c r="C2651" s="17" t="s">
        <v>35</v>
      </c>
      <c r="D2651" s="4" t="s">
        <v>103</v>
      </c>
      <c r="E2651" s="16">
        <v>-300</v>
      </c>
      <c r="F2651" s="5" t="s">
        <v>8</v>
      </c>
      <c r="G2651" s="5" t="s">
        <v>68</v>
      </c>
    </row>
    <row r="2652" spans="1:7" s="139" customFormat="1" hidden="1" x14ac:dyDescent="0.3">
      <c r="A2652" s="100">
        <v>46006</v>
      </c>
      <c r="B2652" s="100" t="s">
        <v>216</v>
      </c>
      <c r="C2652" s="17" t="s">
        <v>105</v>
      </c>
      <c r="D2652" s="4" t="s">
        <v>103</v>
      </c>
      <c r="E2652" s="16">
        <v>-300</v>
      </c>
      <c r="F2652" s="5" t="s">
        <v>8</v>
      </c>
      <c r="G2652" s="5" t="s">
        <v>68</v>
      </c>
    </row>
    <row r="2653" spans="1:7" s="139" customFormat="1" hidden="1" x14ac:dyDescent="0.3">
      <c r="A2653" s="100">
        <v>46006</v>
      </c>
      <c r="B2653" s="100" t="s">
        <v>216</v>
      </c>
      <c r="C2653" s="17" t="s">
        <v>106</v>
      </c>
      <c r="D2653" s="4" t="s">
        <v>103</v>
      </c>
      <c r="E2653" s="16">
        <v>-275</v>
      </c>
      <c r="F2653" s="5" t="s">
        <v>8</v>
      </c>
      <c r="G2653" s="5" t="s">
        <v>68</v>
      </c>
    </row>
    <row r="2654" spans="1:7" s="139" customFormat="1" hidden="1" x14ac:dyDescent="0.3">
      <c r="A2654" s="100">
        <v>46006</v>
      </c>
      <c r="B2654" s="100" t="s">
        <v>216</v>
      </c>
      <c r="C2654" s="17" t="s">
        <v>71</v>
      </c>
      <c r="D2654" s="4" t="s">
        <v>103</v>
      </c>
      <c r="E2654" s="16">
        <v>-300</v>
      </c>
      <c r="F2654" s="5" t="s">
        <v>8</v>
      </c>
      <c r="G2654" s="5" t="s">
        <v>68</v>
      </c>
    </row>
    <row r="2655" spans="1:7" s="139" customFormat="1" hidden="1" x14ac:dyDescent="0.3">
      <c r="A2655" s="100">
        <v>46006</v>
      </c>
      <c r="B2655" s="100" t="s">
        <v>216</v>
      </c>
      <c r="C2655" s="17" t="s">
        <v>107</v>
      </c>
      <c r="D2655" s="4" t="s">
        <v>103</v>
      </c>
      <c r="E2655" s="16">
        <v>-300</v>
      </c>
      <c r="F2655" s="5" t="s">
        <v>8</v>
      </c>
      <c r="G2655" s="5" t="s">
        <v>68</v>
      </c>
    </row>
    <row r="2656" spans="1:7" s="139" customFormat="1" hidden="1" x14ac:dyDescent="0.3">
      <c r="A2656" s="100">
        <v>46006</v>
      </c>
      <c r="B2656" s="100" t="s">
        <v>216</v>
      </c>
      <c r="C2656" s="17" t="s">
        <v>108</v>
      </c>
      <c r="D2656" s="4" t="s">
        <v>103</v>
      </c>
      <c r="E2656" s="16">
        <v>-350</v>
      </c>
      <c r="F2656" s="5" t="s">
        <v>8</v>
      </c>
      <c r="G2656" s="5" t="s">
        <v>68</v>
      </c>
    </row>
    <row r="2657" spans="1:7" s="139" customFormat="1" hidden="1" x14ac:dyDescent="0.3">
      <c r="A2657" s="100">
        <v>46006</v>
      </c>
      <c r="B2657" s="100" t="s">
        <v>216</v>
      </c>
      <c r="C2657" s="17" t="s">
        <v>109</v>
      </c>
      <c r="D2657" s="4" t="s">
        <v>103</v>
      </c>
      <c r="E2657" s="16">
        <v>-373.51</v>
      </c>
      <c r="F2657" s="5" t="s">
        <v>8</v>
      </c>
      <c r="G2657" s="5" t="s">
        <v>68</v>
      </c>
    </row>
    <row r="2658" spans="1:7" s="139" customFormat="1" hidden="1" x14ac:dyDescent="0.3">
      <c r="A2658" s="100">
        <v>46007</v>
      </c>
      <c r="B2658" s="100" t="s">
        <v>216</v>
      </c>
      <c r="C2658" s="14" t="s">
        <v>31</v>
      </c>
      <c r="D2658" s="7" t="s">
        <v>197</v>
      </c>
      <c r="E2658" s="8">
        <v>-3022.31</v>
      </c>
      <c r="F2658" s="13" t="s">
        <v>8</v>
      </c>
      <c r="G2658" s="9" t="s">
        <v>85</v>
      </c>
    </row>
    <row r="2659" spans="1:7" s="139" customFormat="1" hidden="1" x14ac:dyDescent="0.3">
      <c r="A2659" s="100">
        <v>46007</v>
      </c>
      <c r="B2659" s="100" t="s">
        <v>216</v>
      </c>
      <c r="C2659" s="14" t="s">
        <v>6</v>
      </c>
      <c r="D2659" s="7" t="s">
        <v>197</v>
      </c>
      <c r="E2659" s="8">
        <v>-3952.25</v>
      </c>
      <c r="F2659" s="13" t="s">
        <v>8</v>
      </c>
      <c r="G2659" s="9" t="s">
        <v>85</v>
      </c>
    </row>
    <row r="2660" spans="1:7" s="139" customFormat="1" hidden="1" x14ac:dyDescent="0.3">
      <c r="A2660" s="100">
        <v>46007</v>
      </c>
      <c r="B2660" s="100" t="s">
        <v>216</v>
      </c>
      <c r="C2660" s="14" t="s">
        <v>44</v>
      </c>
      <c r="D2660" s="7" t="s">
        <v>197</v>
      </c>
      <c r="E2660" s="8">
        <v>-3409.78</v>
      </c>
      <c r="F2660" s="13" t="s">
        <v>8</v>
      </c>
      <c r="G2660" s="9" t="s">
        <v>85</v>
      </c>
    </row>
    <row r="2661" spans="1:7" s="139" customFormat="1" hidden="1" x14ac:dyDescent="0.3">
      <c r="A2661" s="100">
        <v>46007</v>
      </c>
      <c r="B2661" s="100" t="s">
        <v>216</v>
      </c>
      <c r="C2661" s="14" t="s">
        <v>44</v>
      </c>
      <c r="D2661" s="7" t="s">
        <v>197</v>
      </c>
      <c r="E2661" s="8">
        <v>-852.45</v>
      </c>
      <c r="F2661" s="13" t="s">
        <v>8</v>
      </c>
      <c r="G2661" s="9" t="s">
        <v>85</v>
      </c>
    </row>
    <row r="2662" spans="1:7" s="139" customFormat="1" hidden="1" x14ac:dyDescent="0.3">
      <c r="A2662" s="100">
        <v>46007</v>
      </c>
      <c r="B2662" s="100" t="s">
        <v>216</v>
      </c>
      <c r="C2662" s="14" t="s">
        <v>25</v>
      </c>
      <c r="D2662" s="7" t="s">
        <v>197</v>
      </c>
      <c r="E2662" s="8">
        <v>-2944.81</v>
      </c>
      <c r="F2662" s="13" t="s">
        <v>8</v>
      </c>
      <c r="G2662" s="9" t="s">
        <v>85</v>
      </c>
    </row>
    <row r="2663" spans="1:7" s="139" customFormat="1" hidden="1" x14ac:dyDescent="0.3">
      <c r="A2663" s="100">
        <v>46007</v>
      </c>
      <c r="B2663" s="100" t="s">
        <v>216</v>
      </c>
      <c r="C2663" s="14" t="s">
        <v>33</v>
      </c>
      <c r="D2663" s="7" t="s">
        <v>197</v>
      </c>
      <c r="E2663" s="8">
        <v>-852.45</v>
      </c>
      <c r="F2663" s="13" t="s">
        <v>8</v>
      </c>
      <c r="G2663" s="9" t="s">
        <v>85</v>
      </c>
    </row>
    <row r="2664" spans="1:7" s="139" customFormat="1" hidden="1" x14ac:dyDescent="0.3">
      <c r="A2664" s="100">
        <v>46007</v>
      </c>
      <c r="B2664" s="100" t="s">
        <v>216</v>
      </c>
      <c r="C2664" s="14" t="s">
        <v>104</v>
      </c>
      <c r="D2664" s="7" t="s">
        <v>197</v>
      </c>
      <c r="E2664" s="8">
        <v>-929.94</v>
      </c>
      <c r="F2664" s="13" t="s">
        <v>8</v>
      </c>
      <c r="G2664" s="9" t="s">
        <v>85</v>
      </c>
    </row>
    <row r="2665" spans="1:7" s="139" customFormat="1" hidden="1" x14ac:dyDescent="0.3">
      <c r="A2665" s="100">
        <v>46007</v>
      </c>
      <c r="B2665" s="100" t="s">
        <v>216</v>
      </c>
      <c r="C2665" s="14" t="s">
        <v>32</v>
      </c>
      <c r="D2665" s="7" t="s">
        <v>197</v>
      </c>
      <c r="E2665" s="8">
        <v>-232.49</v>
      </c>
      <c r="F2665" s="13" t="s">
        <v>8</v>
      </c>
      <c r="G2665" s="9" t="s">
        <v>85</v>
      </c>
    </row>
    <row r="2666" spans="1:7" s="139" customFormat="1" hidden="1" x14ac:dyDescent="0.3">
      <c r="A2666" s="100">
        <v>46007</v>
      </c>
      <c r="B2666" s="100" t="s">
        <v>216</v>
      </c>
      <c r="C2666" s="14" t="s">
        <v>71</v>
      </c>
      <c r="D2666" s="7" t="s">
        <v>197</v>
      </c>
      <c r="E2666" s="8">
        <v>-464.97</v>
      </c>
      <c r="F2666" s="13" t="s">
        <v>8</v>
      </c>
      <c r="G2666" s="9" t="s">
        <v>85</v>
      </c>
    </row>
    <row r="2667" spans="1:7" s="139" customFormat="1" hidden="1" x14ac:dyDescent="0.3">
      <c r="A2667" s="100">
        <v>46007</v>
      </c>
      <c r="B2667" s="100" t="s">
        <v>216</v>
      </c>
      <c r="C2667" s="14" t="s">
        <v>17</v>
      </c>
      <c r="D2667" s="7" t="s">
        <v>197</v>
      </c>
      <c r="E2667" s="8">
        <v>-542.47</v>
      </c>
      <c r="F2667" s="13" t="s">
        <v>8</v>
      </c>
      <c r="G2667" s="9" t="s">
        <v>85</v>
      </c>
    </row>
    <row r="2668" spans="1:7" s="139" customFormat="1" hidden="1" x14ac:dyDescent="0.3">
      <c r="A2668" s="100">
        <v>46008</v>
      </c>
      <c r="B2668" s="100" t="s">
        <v>216</v>
      </c>
      <c r="C2668" s="11" t="s">
        <v>17</v>
      </c>
      <c r="D2668" s="4" t="s">
        <v>110</v>
      </c>
      <c r="E2668" s="16">
        <v>-3760</v>
      </c>
      <c r="F2668" s="13" t="s">
        <v>8</v>
      </c>
      <c r="G2668" s="5" t="s">
        <v>73</v>
      </c>
    </row>
    <row r="2669" spans="1:7" s="139" customFormat="1" hidden="1" x14ac:dyDescent="0.3">
      <c r="A2669" s="100">
        <v>46008</v>
      </c>
      <c r="B2669" s="100" t="s">
        <v>216</v>
      </c>
      <c r="C2669" s="11" t="s">
        <v>17</v>
      </c>
      <c r="D2669" s="4" t="s">
        <v>110</v>
      </c>
      <c r="E2669" s="16">
        <v>-5800</v>
      </c>
      <c r="F2669" s="13" t="s">
        <v>8</v>
      </c>
      <c r="G2669" s="5" t="s">
        <v>73</v>
      </c>
    </row>
    <row r="2670" spans="1:7" s="139" customFormat="1" hidden="1" x14ac:dyDescent="0.3">
      <c r="A2670" s="100">
        <v>46008</v>
      </c>
      <c r="B2670" s="100" t="s">
        <v>216</v>
      </c>
      <c r="C2670" s="11" t="s">
        <v>13</v>
      </c>
      <c r="D2670" s="4" t="s">
        <v>110</v>
      </c>
      <c r="E2670" s="16">
        <v>-5460</v>
      </c>
      <c r="F2670" s="13" t="s">
        <v>8</v>
      </c>
      <c r="G2670" s="5" t="s">
        <v>73</v>
      </c>
    </row>
    <row r="2671" spans="1:7" s="139" customFormat="1" hidden="1" x14ac:dyDescent="0.3">
      <c r="A2671" s="100">
        <v>46010</v>
      </c>
      <c r="B2671" s="100" t="s">
        <v>216</v>
      </c>
      <c r="C2671" s="11" t="s">
        <v>17</v>
      </c>
      <c r="D2671" s="4" t="s">
        <v>18</v>
      </c>
      <c r="E2671" s="10">
        <v>-17235</v>
      </c>
      <c r="F2671" s="13" t="s">
        <v>8</v>
      </c>
      <c r="G2671" s="5" t="s">
        <v>19</v>
      </c>
    </row>
    <row r="2672" spans="1:7" s="139" customFormat="1" hidden="1" x14ac:dyDescent="0.3">
      <c r="A2672" s="100">
        <v>46008</v>
      </c>
      <c r="B2672" s="100" t="s">
        <v>216</v>
      </c>
      <c r="C2672" s="14" t="s">
        <v>17</v>
      </c>
      <c r="D2672" s="14" t="s">
        <v>389</v>
      </c>
      <c r="E2672" s="8">
        <v>-55.285685999999998</v>
      </c>
      <c r="F2672" s="13" t="s">
        <v>8</v>
      </c>
      <c r="G2672" s="5" t="s">
        <v>1279</v>
      </c>
    </row>
    <row r="2673" spans="1:7" s="139" customFormat="1" hidden="1" x14ac:dyDescent="0.3">
      <c r="A2673" s="100">
        <v>46008</v>
      </c>
      <c r="B2673" s="100" t="s">
        <v>216</v>
      </c>
      <c r="C2673" s="14" t="s">
        <v>17</v>
      </c>
      <c r="D2673" s="14" t="s">
        <v>389</v>
      </c>
      <c r="E2673" s="8">
        <v>-9.8543140000000005</v>
      </c>
      <c r="F2673" s="13" t="s">
        <v>8</v>
      </c>
      <c r="G2673" s="5" t="s">
        <v>1279</v>
      </c>
    </row>
    <row r="2674" spans="1:7" s="139" customFormat="1" hidden="1" x14ac:dyDescent="0.3">
      <c r="A2674" s="100">
        <v>46008</v>
      </c>
      <c r="B2674" s="100" t="s">
        <v>216</v>
      </c>
      <c r="C2674" s="11" t="s">
        <v>6</v>
      </c>
      <c r="D2674" s="4" t="s">
        <v>1680</v>
      </c>
      <c r="E2674" s="16">
        <v>-4500</v>
      </c>
      <c r="F2674" s="13" t="s">
        <v>8</v>
      </c>
      <c r="G2674" s="5" t="s">
        <v>111</v>
      </c>
    </row>
    <row r="2675" spans="1:7" s="139" customFormat="1" hidden="1" x14ac:dyDescent="0.3">
      <c r="A2675" s="100">
        <v>46017</v>
      </c>
      <c r="B2675" s="100" t="s">
        <v>216</v>
      </c>
      <c r="C2675" s="17" t="s">
        <v>6</v>
      </c>
      <c r="D2675" s="4" t="s">
        <v>112</v>
      </c>
      <c r="E2675" s="16">
        <v>-35714.57</v>
      </c>
      <c r="F2675" s="5" t="s">
        <v>8</v>
      </c>
      <c r="G2675" s="9" t="s">
        <v>46</v>
      </c>
    </row>
    <row r="2676" spans="1:7" s="139" customFormat="1" hidden="1" x14ac:dyDescent="0.3">
      <c r="A2676" s="100">
        <v>46008</v>
      </c>
      <c r="B2676" s="100" t="s">
        <v>216</v>
      </c>
      <c r="C2676" s="11" t="s">
        <v>6</v>
      </c>
      <c r="D2676" s="4" t="s">
        <v>113</v>
      </c>
      <c r="E2676" s="16">
        <v>-30</v>
      </c>
      <c r="F2676" s="13" t="s">
        <v>8</v>
      </c>
      <c r="G2676" s="5" t="s">
        <v>51</v>
      </c>
    </row>
    <row r="2677" spans="1:7" s="139" customFormat="1" hidden="1" x14ac:dyDescent="0.3">
      <c r="A2677" s="100">
        <v>46008</v>
      </c>
      <c r="B2677" s="100" t="s">
        <v>216</v>
      </c>
      <c r="C2677" s="11" t="s">
        <v>6</v>
      </c>
      <c r="D2677" s="4" t="s">
        <v>114</v>
      </c>
      <c r="E2677" s="16">
        <v>-10000</v>
      </c>
      <c r="F2677" s="13" t="s">
        <v>8</v>
      </c>
      <c r="G2677" s="5" t="s">
        <v>51</v>
      </c>
    </row>
    <row r="2678" spans="1:7" s="139" customFormat="1" hidden="1" x14ac:dyDescent="0.3">
      <c r="A2678" s="100">
        <v>46008</v>
      </c>
      <c r="B2678" s="100" t="s">
        <v>216</v>
      </c>
      <c r="C2678" s="11" t="s">
        <v>6</v>
      </c>
      <c r="D2678" s="4" t="s">
        <v>115</v>
      </c>
      <c r="E2678" s="16">
        <v>-4500</v>
      </c>
      <c r="F2678" s="13" t="s">
        <v>8</v>
      </c>
      <c r="G2678" s="5" t="s">
        <v>51</v>
      </c>
    </row>
    <row r="2679" spans="1:7" s="139" customFormat="1" hidden="1" x14ac:dyDescent="0.3">
      <c r="A2679" s="100">
        <v>46008</v>
      </c>
      <c r="B2679" s="100" t="s">
        <v>216</v>
      </c>
      <c r="C2679" s="11" t="s">
        <v>17</v>
      </c>
      <c r="D2679" s="4" t="s">
        <v>116</v>
      </c>
      <c r="E2679" s="16">
        <v>-5300</v>
      </c>
      <c r="F2679" s="13" t="s">
        <v>8</v>
      </c>
      <c r="G2679" s="5" t="s">
        <v>53</v>
      </c>
    </row>
    <row r="2680" spans="1:7" s="139" customFormat="1" hidden="1" x14ac:dyDescent="0.3">
      <c r="A2680" s="100">
        <v>46009</v>
      </c>
      <c r="B2680" s="100" t="s">
        <v>216</v>
      </c>
      <c r="C2680" s="14" t="s">
        <v>13</v>
      </c>
      <c r="D2680" s="4" t="s">
        <v>117</v>
      </c>
      <c r="E2680" s="16">
        <v>-5996.67</v>
      </c>
      <c r="F2680" s="13" t="s">
        <v>8</v>
      </c>
      <c r="G2680" s="9" t="s">
        <v>46</v>
      </c>
    </row>
    <row r="2681" spans="1:7" s="139" customFormat="1" hidden="1" x14ac:dyDescent="0.3">
      <c r="A2681" s="100">
        <v>46013</v>
      </c>
      <c r="B2681" s="100" t="s">
        <v>216</v>
      </c>
      <c r="C2681" s="11" t="s">
        <v>6</v>
      </c>
      <c r="D2681" s="4" t="s">
        <v>118</v>
      </c>
      <c r="E2681" s="16">
        <v>-16000</v>
      </c>
      <c r="F2681" s="13" t="s">
        <v>8</v>
      </c>
      <c r="G2681" s="5" t="s">
        <v>119</v>
      </c>
    </row>
    <row r="2682" spans="1:7" s="139" customFormat="1" hidden="1" x14ac:dyDescent="0.3">
      <c r="A2682" s="100">
        <v>46013</v>
      </c>
      <c r="B2682" s="100" t="s">
        <v>216</v>
      </c>
      <c r="C2682" s="17" t="s">
        <v>6</v>
      </c>
      <c r="D2682" s="4" t="s">
        <v>120</v>
      </c>
      <c r="E2682" s="16">
        <v>-600</v>
      </c>
      <c r="F2682" s="13" t="s">
        <v>8</v>
      </c>
      <c r="G2682" s="5" t="s">
        <v>19</v>
      </c>
    </row>
    <row r="2683" spans="1:7" s="139" customFormat="1" hidden="1" x14ac:dyDescent="0.3">
      <c r="A2683" s="100">
        <v>46013</v>
      </c>
      <c r="B2683" s="100" t="s">
        <v>216</v>
      </c>
      <c r="C2683" s="11" t="s">
        <v>6</v>
      </c>
      <c r="D2683" s="4" t="s">
        <v>121</v>
      </c>
      <c r="E2683" s="16">
        <v>-1100</v>
      </c>
      <c r="F2683" s="13" t="s">
        <v>8</v>
      </c>
      <c r="G2683" s="5" t="s">
        <v>68</v>
      </c>
    </row>
    <row r="2684" spans="1:7" s="139" customFormat="1" hidden="1" x14ac:dyDescent="0.3">
      <c r="A2684" s="100">
        <v>46013</v>
      </c>
      <c r="B2684" s="100" t="s">
        <v>216</v>
      </c>
      <c r="C2684" s="11" t="s">
        <v>6</v>
      </c>
      <c r="D2684" s="4" t="s">
        <v>122</v>
      </c>
      <c r="E2684" s="16">
        <v>-39.799999999999997</v>
      </c>
      <c r="F2684" s="13" t="s">
        <v>8</v>
      </c>
      <c r="G2684" s="5" t="s">
        <v>68</v>
      </c>
    </row>
    <row r="2685" spans="1:7" s="139" customFormat="1" hidden="1" x14ac:dyDescent="0.3">
      <c r="A2685" s="100">
        <v>46010</v>
      </c>
      <c r="B2685" s="100" t="s">
        <v>216</v>
      </c>
      <c r="C2685" s="11" t="s">
        <v>6</v>
      </c>
      <c r="D2685" s="4" t="s">
        <v>123</v>
      </c>
      <c r="E2685" s="16">
        <v>-20000</v>
      </c>
      <c r="F2685" s="13" t="s">
        <v>8</v>
      </c>
      <c r="G2685" s="105" t="s">
        <v>124</v>
      </c>
    </row>
    <row r="2686" spans="1:7" s="139" customFormat="1" hidden="1" x14ac:dyDescent="0.3">
      <c r="A2686" s="100">
        <v>46010</v>
      </c>
      <c r="B2686" s="100" t="s">
        <v>216</v>
      </c>
      <c r="C2686" s="14" t="s">
        <v>17</v>
      </c>
      <c r="D2686" s="7" t="s">
        <v>125</v>
      </c>
      <c r="E2686" s="16">
        <v>-15000</v>
      </c>
      <c r="F2686" s="13" t="s">
        <v>8</v>
      </c>
      <c r="G2686" s="105" t="s">
        <v>124</v>
      </c>
    </row>
    <row r="2687" spans="1:7" s="139" customFormat="1" hidden="1" x14ac:dyDescent="0.3">
      <c r="A2687" s="100">
        <v>46010</v>
      </c>
      <c r="B2687" s="100" t="s">
        <v>216</v>
      </c>
      <c r="C2687" s="14" t="s">
        <v>17</v>
      </c>
      <c r="D2687" s="7" t="s">
        <v>126</v>
      </c>
      <c r="E2687" s="16">
        <v>-3000</v>
      </c>
      <c r="F2687" s="13" t="s">
        <v>8</v>
      </c>
      <c r="G2687" s="105" t="s">
        <v>124</v>
      </c>
    </row>
    <row r="2688" spans="1:7" s="139" customFormat="1" hidden="1" x14ac:dyDescent="0.3">
      <c r="A2688" s="100">
        <v>46010</v>
      </c>
      <c r="B2688" s="100" t="s">
        <v>216</v>
      </c>
      <c r="C2688" s="11" t="s">
        <v>6</v>
      </c>
      <c r="D2688" s="4" t="s">
        <v>127</v>
      </c>
      <c r="E2688" s="10">
        <v>-55000</v>
      </c>
      <c r="F2688" s="13" t="s">
        <v>8</v>
      </c>
      <c r="G2688" s="105" t="s">
        <v>124</v>
      </c>
    </row>
    <row r="2689" spans="1:7" s="139" customFormat="1" hidden="1" x14ac:dyDescent="0.3">
      <c r="A2689" s="100">
        <v>46010</v>
      </c>
      <c r="B2689" s="100" t="s">
        <v>216</v>
      </c>
      <c r="C2689" s="11" t="s">
        <v>6</v>
      </c>
      <c r="D2689" s="7" t="s">
        <v>128</v>
      </c>
      <c r="E2689" s="16">
        <v>-50000</v>
      </c>
      <c r="F2689" s="13" t="s">
        <v>8</v>
      </c>
      <c r="G2689" s="105" t="s">
        <v>124</v>
      </c>
    </row>
    <row r="2690" spans="1:7" s="139" customFormat="1" hidden="1" x14ac:dyDescent="0.3">
      <c r="A2690" s="100">
        <v>46013</v>
      </c>
      <c r="B2690" s="100" t="s">
        <v>216</v>
      </c>
      <c r="C2690" s="11" t="s">
        <v>6</v>
      </c>
      <c r="D2690" s="4" t="s">
        <v>213</v>
      </c>
      <c r="E2690" s="16">
        <v>-110000</v>
      </c>
      <c r="F2690" s="13" t="s">
        <v>8</v>
      </c>
      <c r="G2690" s="5" t="s">
        <v>27</v>
      </c>
    </row>
    <row r="2691" spans="1:7" s="139" customFormat="1" hidden="1" x14ac:dyDescent="0.3">
      <c r="A2691" s="100">
        <v>46010</v>
      </c>
      <c r="B2691" s="100" t="s">
        <v>216</v>
      </c>
      <c r="C2691" s="11" t="s">
        <v>6</v>
      </c>
      <c r="D2691" s="4" t="s">
        <v>129</v>
      </c>
      <c r="E2691" s="10">
        <v>-41000</v>
      </c>
      <c r="F2691" s="13" t="s">
        <v>8</v>
      </c>
      <c r="G2691" s="5" t="s">
        <v>82</v>
      </c>
    </row>
    <row r="2692" spans="1:7" s="139" customFormat="1" hidden="1" x14ac:dyDescent="0.3">
      <c r="A2692" s="100">
        <v>46013</v>
      </c>
      <c r="B2692" s="100" t="s">
        <v>216</v>
      </c>
      <c r="C2692" s="14" t="s">
        <v>31</v>
      </c>
      <c r="D2692" s="7" t="s">
        <v>197</v>
      </c>
      <c r="E2692" s="8">
        <v>-2324.85</v>
      </c>
      <c r="F2692" s="13" t="s">
        <v>8</v>
      </c>
      <c r="G2692" s="5" t="s">
        <v>85</v>
      </c>
    </row>
    <row r="2693" spans="1:7" s="139" customFormat="1" hidden="1" x14ac:dyDescent="0.3">
      <c r="A2693" s="100">
        <v>46013</v>
      </c>
      <c r="B2693" s="100" t="s">
        <v>216</v>
      </c>
      <c r="C2693" s="14" t="s">
        <v>6</v>
      </c>
      <c r="D2693" s="7" t="s">
        <v>197</v>
      </c>
      <c r="E2693" s="8">
        <v>-2944.81</v>
      </c>
      <c r="F2693" s="13" t="s">
        <v>8</v>
      </c>
      <c r="G2693" s="5" t="s">
        <v>85</v>
      </c>
    </row>
    <row r="2694" spans="1:7" s="139" customFormat="1" hidden="1" x14ac:dyDescent="0.3">
      <c r="A2694" s="100">
        <v>46013</v>
      </c>
      <c r="B2694" s="100" t="s">
        <v>216</v>
      </c>
      <c r="C2694" s="14" t="s">
        <v>44</v>
      </c>
      <c r="D2694" s="7" t="s">
        <v>197</v>
      </c>
      <c r="E2694" s="8">
        <v>-2867.32</v>
      </c>
      <c r="F2694" s="13" t="s">
        <v>8</v>
      </c>
      <c r="G2694" s="5" t="s">
        <v>85</v>
      </c>
    </row>
    <row r="2695" spans="1:7" s="139" customFormat="1" hidden="1" x14ac:dyDescent="0.3">
      <c r="A2695" s="100">
        <v>46013</v>
      </c>
      <c r="B2695" s="100" t="s">
        <v>216</v>
      </c>
      <c r="C2695" s="14" t="s">
        <v>44</v>
      </c>
      <c r="D2695" s="7" t="s">
        <v>197</v>
      </c>
      <c r="E2695" s="8">
        <v>-852.45</v>
      </c>
      <c r="F2695" s="13" t="s">
        <v>8</v>
      </c>
      <c r="G2695" s="5" t="s">
        <v>85</v>
      </c>
    </row>
    <row r="2696" spans="1:7" s="139" customFormat="1" hidden="1" x14ac:dyDescent="0.3">
      <c r="A2696" s="100">
        <v>46013</v>
      </c>
      <c r="B2696" s="100" t="s">
        <v>216</v>
      </c>
      <c r="C2696" s="14" t="s">
        <v>25</v>
      </c>
      <c r="D2696" s="7" t="s">
        <v>197</v>
      </c>
      <c r="E2696" s="8">
        <v>-2789.82</v>
      </c>
      <c r="F2696" s="13" t="s">
        <v>8</v>
      </c>
      <c r="G2696" s="5" t="s">
        <v>85</v>
      </c>
    </row>
    <row r="2697" spans="1:7" s="139" customFormat="1" hidden="1" x14ac:dyDescent="0.3">
      <c r="A2697" s="100">
        <v>46013</v>
      </c>
      <c r="B2697" s="100" t="s">
        <v>216</v>
      </c>
      <c r="C2697" s="14" t="s">
        <v>33</v>
      </c>
      <c r="D2697" s="7" t="s">
        <v>197</v>
      </c>
      <c r="E2697" s="8">
        <v>-852.45</v>
      </c>
      <c r="F2697" s="13" t="s">
        <v>8</v>
      </c>
      <c r="G2697" s="5" t="s">
        <v>85</v>
      </c>
    </row>
    <row r="2698" spans="1:7" s="139" customFormat="1" hidden="1" x14ac:dyDescent="0.3">
      <c r="A2698" s="100">
        <v>46013</v>
      </c>
      <c r="B2698" s="100" t="s">
        <v>216</v>
      </c>
      <c r="C2698" s="14" t="s">
        <v>104</v>
      </c>
      <c r="D2698" s="7" t="s">
        <v>197</v>
      </c>
      <c r="E2698" s="8">
        <v>-619.96</v>
      </c>
      <c r="F2698" s="13" t="s">
        <v>8</v>
      </c>
      <c r="G2698" s="5" t="s">
        <v>85</v>
      </c>
    </row>
    <row r="2699" spans="1:7" s="139" customFormat="1" hidden="1" x14ac:dyDescent="0.3">
      <c r="A2699" s="100">
        <v>46013</v>
      </c>
      <c r="B2699" s="100" t="s">
        <v>216</v>
      </c>
      <c r="C2699" s="14" t="s">
        <v>32</v>
      </c>
      <c r="D2699" s="7" t="s">
        <v>197</v>
      </c>
      <c r="E2699" s="8">
        <v>-154.99</v>
      </c>
      <c r="F2699" s="13" t="s">
        <v>8</v>
      </c>
      <c r="G2699" s="5" t="s">
        <v>85</v>
      </c>
    </row>
    <row r="2700" spans="1:7" s="139" customFormat="1" hidden="1" x14ac:dyDescent="0.3">
      <c r="A2700" s="100">
        <v>46013</v>
      </c>
      <c r="B2700" s="100" t="s">
        <v>216</v>
      </c>
      <c r="C2700" s="14" t="s">
        <v>71</v>
      </c>
      <c r="D2700" s="7" t="s">
        <v>197</v>
      </c>
      <c r="E2700" s="8">
        <v>-852.45</v>
      </c>
      <c r="F2700" s="13" t="s">
        <v>8</v>
      </c>
      <c r="G2700" s="5" t="s">
        <v>85</v>
      </c>
    </row>
    <row r="2701" spans="1:7" s="139" customFormat="1" hidden="1" x14ac:dyDescent="0.3">
      <c r="A2701" s="100">
        <v>46013</v>
      </c>
      <c r="B2701" s="100" t="s">
        <v>216</v>
      </c>
      <c r="C2701" s="14" t="s">
        <v>17</v>
      </c>
      <c r="D2701" s="7" t="s">
        <v>197</v>
      </c>
      <c r="E2701" s="8">
        <v>-77.5</v>
      </c>
      <c r="F2701" s="13" t="s">
        <v>8</v>
      </c>
      <c r="G2701" s="5" t="s">
        <v>85</v>
      </c>
    </row>
    <row r="2702" spans="1:7" s="139" customFormat="1" hidden="1" x14ac:dyDescent="0.3">
      <c r="A2702" s="100">
        <v>46013</v>
      </c>
      <c r="B2702" s="100" t="s">
        <v>216</v>
      </c>
      <c r="C2702" s="11" t="s">
        <v>6</v>
      </c>
      <c r="D2702" s="4" t="s">
        <v>47</v>
      </c>
      <c r="E2702" s="16">
        <v>-8000</v>
      </c>
      <c r="F2702" s="13" t="s">
        <v>8</v>
      </c>
      <c r="G2702" s="5" t="s">
        <v>27</v>
      </c>
    </row>
    <row r="2703" spans="1:7" s="139" customFormat="1" hidden="1" x14ac:dyDescent="0.3">
      <c r="A2703" s="100">
        <v>46013</v>
      </c>
      <c r="B2703" s="100" t="s">
        <v>216</v>
      </c>
      <c r="C2703" s="11" t="s">
        <v>25</v>
      </c>
      <c r="D2703" s="4" t="s">
        <v>130</v>
      </c>
      <c r="E2703" s="16">
        <v>-2756.99</v>
      </c>
      <c r="F2703" s="13" t="s">
        <v>8</v>
      </c>
      <c r="G2703" s="82" t="s">
        <v>153</v>
      </c>
    </row>
    <row r="2704" spans="1:7" s="139" customFormat="1" hidden="1" x14ac:dyDescent="0.3">
      <c r="A2704" s="78">
        <v>46013</v>
      </c>
      <c r="B2704" s="100" t="s">
        <v>216</v>
      </c>
      <c r="C2704" s="14" t="s">
        <v>17</v>
      </c>
      <c r="D2704" s="4" t="s">
        <v>131</v>
      </c>
      <c r="E2704" s="16">
        <v>-1700</v>
      </c>
      <c r="F2704" s="13" t="s">
        <v>8</v>
      </c>
      <c r="G2704" s="5" t="s">
        <v>132</v>
      </c>
    </row>
    <row r="2705" spans="1:7" s="139" customFormat="1" hidden="1" x14ac:dyDescent="0.3">
      <c r="A2705" s="100">
        <v>46010</v>
      </c>
      <c r="B2705" s="100" t="s">
        <v>216</v>
      </c>
      <c r="C2705" s="11" t="s">
        <v>64</v>
      </c>
      <c r="D2705" s="4" t="s">
        <v>133</v>
      </c>
      <c r="E2705" s="16">
        <v>-8937.32</v>
      </c>
      <c r="F2705" s="13" t="s">
        <v>8</v>
      </c>
      <c r="G2705" s="5" t="s">
        <v>39</v>
      </c>
    </row>
    <row r="2706" spans="1:7" s="139" customFormat="1" hidden="1" x14ac:dyDescent="0.3">
      <c r="A2706" s="100">
        <v>46017</v>
      </c>
      <c r="B2706" s="100" t="s">
        <v>216</v>
      </c>
      <c r="C2706" s="11" t="s">
        <v>17</v>
      </c>
      <c r="D2706" s="4" t="s">
        <v>18</v>
      </c>
      <c r="E2706" s="10">
        <v>-17235</v>
      </c>
      <c r="F2706" s="13" t="s">
        <v>8</v>
      </c>
      <c r="G2706" s="5" t="s">
        <v>19</v>
      </c>
    </row>
    <row r="2707" spans="1:7" s="139" customFormat="1" hidden="1" x14ac:dyDescent="0.3">
      <c r="A2707" s="78">
        <v>46017</v>
      </c>
      <c r="B2707" s="100" t="s">
        <v>216</v>
      </c>
      <c r="C2707" s="11" t="s">
        <v>6</v>
      </c>
      <c r="D2707" s="4" t="s">
        <v>62</v>
      </c>
      <c r="E2707" s="16">
        <v>-9000</v>
      </c>
      <c r="F2707" s="13" t="s">
        <v>8</v>
      </c>
      <c r="G2707" s="5" t="s">
        <v>63</v>
      </c>
    </row>
    <row r="2708" spans="1:7" s="139" customFormat="1" hidden="1" x14ac:dyDescent="0.3">
      <c r="A2708" s="78">
        <v>46017</v>
      </c>
      <c r="B2708" s="100" t="s">
        <v>216</v>
      </c>
      <c r="C2708" s="11" t="s">
        <v>17</v>
      </c>
      <c r="D2708" s="4" t="s">
        <v>134</v>
      </c>
      <c r="E2708" s="16">
        <v>-500</v>
      </c>
      <c r="F2708" s="13" t="s">
        <v>8</v>
      </c>
      <c r="G2708" s="5" t="s">
        <v>68</v>
      </c>
    </row>
    <row r="2709" spans="1:7" s="139" customFormat="1" hidden="1" x14ac:dyDescent="0.3">
      <c r="A2709" s="78">
        <v>46017</v>
      </c>
      <c r="B2709" s="100" t="s">
        <v>216</v>
      </c>
      <c r="C2709" s="11" t="s">
        <v>6</v>
      </c>
      <c r="D2709" s="4" t="s">
        <v>135</v>
      </c>
      <c r="E2709" s="16">
        <v>-294.8</v>
      </c>
      <c r="F2709" s="13" t="s">
        <v>8</v>
      </c>
      <c r="G2709" s="5" t="s">
        <v>136</v>
      </c>
    </row>
    <row r="2710" spans="1:7" s="139" customFormat="1" hidden="1" x14ac:dyDescent="0.3">
      <c r="A2710" s="78">
        <v>46017</v>
      </c>
      <c r="B2710" s="100" t="s">
        <v>216</v>
      </c>
      <c r="C2710" s="11" t="s">
        <v>25</v>
      </c>
      <c r="D2710" s="4" t="s">
        <v>137</v>
      </c>
      <c r="E2710" s="16">
        <v>-1812.64</v>
      </c>
      <c r="F2710" s="13" t="s">
        <v>8</v>
      </c>
      <c r="G2710" s="82" t="s">
        <v>153</v>
      </c>
    </row>
    <row r="2711" spans="1:7" s="139" customFormat="1" hidden="1" x14ac:dyDescent="0.3">
      <c r="A2711" s="100">
        <v>46010</v>
      </c>
      <c r="B2711" s="100" t="s">
        <v>216</v>
      </c>
      <c r="C2711" s="11" t="s">
        <v>6</v>
      </c>
      <c r="D2711" s="7" t="s">
        <v>215</v>
      </c>
      <c r="E2711" s="8">
        <v>-217558.83</v>
      </c>
      <c r="F2711" s="13" t="s">
        <v>8</v>
      </c>
      <c r="G2711" s="9" t="s">
        <v>225</v>
      </c>
    </row>
    <row r="2712" spans="1:7" s="139" customFormat="1" hidden="1" x14ac:dyDescent="0.3">
      <c r="A2712" s="100">
        <v>46010</v>
      </c>
      <c r="B2712" s="100" t="s">
        <v>216</v>
      </c>
      <c r="C2712" s="11" t="s">
        <v>17</v>
      </c>
      <c r="D2712" s="4" t="s">
        <v>140</v>
      </c>
      <c r="E2712" s="16">
        <v>-9980</v>
      </c>
      <c r="F2712" s="13" t="s">
        <v>8</v>
      </c>
      <c r="G2712" s="5" t="s">
        <v>58</v>
      </c>
    </row>
    <row r="2713" spans="1:7" s="139" customFormat="1" hidden="1" x14ac:dyDescent="0.3">
      <c r="A2713" s="78">
        <v>46020</v>
      </c>
      <c r="B2713" s="100" t="s">
        <v>216</v>
      </c>
      <c r="C2713" s="11" t="s">
        <v>13</v>
      </c>
      <c r="D2713" s="4" t="s">
        <v>141</v>
      </c>
      <c r="E2713" s="16">
        <v>-500</v>
      </c>
      <c r="F2713" s="13" t="s">
        <v>8</v>
      </c>
      <c r="G2713" s="5" t="s">
        <v>68</v>
      </c>
    </row>
    <row r="2714" spans="1:7" s="139" customFormat="1" hidden="1" x14ac:dyDescent="0.3">
      <c r="A2714" s="78">
        <v>46021</v>
      </c>
      <c r="B2714" s="100" t="s">
        <v>216</v>
      </c>
      <c r="C2714" s="14" t="s">
        <v>17</v>
      </c>
      <c r="D2714" s="7" t="s">
        <v>142</v>
      </c>
      <c r="E2714" s="16">
        <v>-2530.4299999999998</v>
      </c>
      <c r="F2714" s="13" t="s">
        <v>8</v>
      </c>
      <c r="G2714" s="5" t="s">
        <v>68</v>
      </c>
    </row>
    <row r="2715" spans="1:7" s="139" customFormat="1" hidden="1" x14ac:dyDescent="0.3">
      <c r="A2715" s="78">
        <v>46021</v>
      </c>
      <c r="B2715" s="100" t="s">
        <v>216</v>
      </c>
      <c r="C2715" s="14" t="s">
        <v>17</v>
      </c>
      <c r="D2715" s="7" t="s">
        <v>142</v>
      </c>
      <c r="E2715" s="16">
        <v>-1339.5</v>
      </c>
      <c r="F2715" s="13" t="s">
        <v>8</v>
      </c>
      <c r="G2715" s="5" t="s">
        <v>68</v>
      </c>
    </row>
    <row r="2716" spans="1:7" s="139" customFormat="1" hidden="1" x14ac:dyDescent="0.3">
      <c r="A2716" s="100">
        <v>45996</v>
      </c>
      <c r="B2716" s="100" t="s">
        <v>216</v>
      </c>
      <c r="C2716" s="11" t="s">
        <v>80</v>
      </c>
      <c r="D2716" s="4" t="s">
        <v>143</v>
      </c>
      <c r="E2716" s="16">
        <v>-5000</v>
      </c>
      <c r="F2716" s="13" t="s">
        <v>8</v>
      </c>
      <c r="G2716" s="5" t="s">
        <v>82</v>
      </c>
    </row>
    <row r="2717" spans="1:7" s="139" customFormat="1" hidden="1" x14ac:dyDescent="0.3">
      <c r="A2717" s="78">
        <v>46021</v>
      </c>
      <c r="B2717" s="100" t="s">
        <v>216</v>
      </c>
      <c r="C2717" s="11" t="s">
        <v>80</v>
      </c>
      <c r="D2717" s="4" t="s">
        <v>81</v>
      </c>
      <c r="E2717" s="16">
        <v>-15000</v>
      </c>
      <c r="F2717" s="13" t="s">
        <v>8</v>
      </c>
      <c r="G2717" s="5" t="s">
        <v>82</v>
      </c>
    </row>
    <row r="2718" spans="1:7" s="139" customFormat="1" hidden="1" x14ac:dyDescent="0.3">
      <c r="A2718" s="100">
        <v>46017</v>
      </c>
      <c r="B2718" s="100" t="s">
        <v>216</v>
      </c>
      <c r="C2718" s="11" t="s">
        <v>17</v>
      </c>
      <c r="D2718" s="4" t="s">
        <v>140</v>
      </c>
      <c r="E2718" s="16">
        <v>-9980</v>
      </c>
      <c r="F2718" s="13" t="s">
        <v>8</v>
      </c>
      <c r="G2718" s="5" t="s">
        <v>58</v>
      </c>
    </row>
    <row r="2719" spans="1:7" s="139" customFormat="1" hidden="1" x14ac:dyDescent="0.3">
      <c r="A2719" s="78">
        <v>46021</v>
      </c>
      <c r="B2719" s="100" t="s">
        <v>216</v>
      </c>
      <c r="C2719" s="11" t="s">
        <v>17</v>
      </c>
      <c r="D2719" s="4" t="s">
        <v>140</v>
      </c>
      <c r="E2719" s="16">
        <v>-23498.18</v>
      </c>
      <c r="F2719" s="13" t="s">
        <v>8</v>
      </c>
      <c r="G2719" s="5" t="s">
        <v>58</v>
      </c>
    </row>
    <row r="2720" spans="1:7" s="139" customFormat="1" hidden="1" x14ac:dyDescent="0.3">
      <c r="A2720" s="78">
        <v>46021</v>
      </c>
      <c r="B2720" s="100" t="s">
        <v>216</v>
      </c>
      <c r="C2720" s="11" t="s">
        <v>6</v>
      </c>
      <c r="D2720" s="4" t="s">
        <v>144</v>
      </c>
      <c r="E2720" s="16">
        <v>-35000</v>
      </c>
      <c r="F2720" s="13" t="s">
        <v>8</v>
      </c>
      <c r="G2720" s="105" t="s">
        <v>124</v>
      </c>
    </row>
    <row r="2721" spans="1:7" s="139" customFormat="1" hidden="1" x14ac:dyDescent="0.3">
      <c r="A2721" s="78">
        <v>46021</v>
      </c>
      <c r="B2721" s="100" t="s">
        <v>216</v>
      </c>
      <c r="C2721" s="11" t="s">
        <v>6</v>
      </c>
      <c r="D2721" s="4" t="s">
        <v>1683</v>
      </c>
      <c r="E2721" s="16">
        <v>-7000</v>
      </c>
      <c r="F2721" s="13" t="s">
        <v>8</v>
      </c>
      <c r="G2721" s="5" t="s">
        <v>97</v>
      </c>
    </row>
    <row r="2722" spans="1:7" s="139" customFormat="1" hidden="1" x14ac:dyDescent="0.3">
      <c r="A2722" s="78">
        <v>46021</v>
      </c>
      <c r="B2722" s="100" t="s">
        <v>216</v>
      </c>
      <c r="C2722" s="11" t="s">
        <v>17</v>
      </c>
      <c r="D2722" s="7" t="s">
        <v>148</v>
      </c>
      <c r="E2722" s="16">
        <v>-50</v>
      </c>
      <c r="F2722" s="13" t="s">
        <v>8</v>
      </c>
      <c r="G2722" s="5" t="s">
        <v>147</v>
      </c>
    </row>
    <row r="2723" spans="1:7" s="139" customFormat="1" hidden="1" x14ac:dyDescent="0.3">
      <c r="A2723" s="78">
        <v>46021</v>
      </c>
      <c r="B2723" s="100" t="s">
        <v>216</v>
      </c>
      <c r="C2723" s="11" t="s">
        <v>13</v>
      </c>
      <c r="D2723" s="4" t="s">
        <v>149</v>
      </c>
      <c r="E2723" s="16">
        <v>-800</v>
      </c>
      <c r="F2723" s="13" t="s">
        <v>8</v>
      </c>
      <c r="G2723" s="5" t="s">
        <v>150</v>
      </c>
    </row>
    <row r="2724" spans="1:7" s="139" customFormat="1" hidden="1" x14ac:dyDescent="0.3">
      <c r="A2724" s="78">
        <v>46021</v>
      </c>
      <c r="B2724" s="100" t="s">
        <v>216</v>
      </c>
      <c r="C2724" s="11" t="s">
        <v>17</v>
      </c>
      <c r="D2724" s="7" t="s">
        <v>154</v>
      </c>
      <c r="E2724" s="16">
        <v>-7000</v>
      </c>
      <c r="F2724" s="13" t="s">
        <v>8</v>
      </c>
      <c r="G2724" s="105" t="s">
        <v>124</v>
      </c>
    </row>
    <row r="2725" spans="1:7" s="139" customFormat="1" hidden="1" x14ac:dyDescent="0.3">
      <c r="A2725" s="78">
        <v>46021</v>
      </c>
      <c r="B2725" s="100" t="s">
        <v>216</v>
      </c>
      <c r="C2725" s="11" t="s">
        <v>44</v>
      </c>
      <c r="D2725" s="7" t="s">
        <v>155</v>
      </c>
      <c r="E2725" s="16">
        <v>-600</v>
      </c>
      <c r="F2725" s="13" t="s">
        <v>8</v>
      </c>
      <c r="G2725" s="105" t="s">
        <v>124</v>
      </c>
    </row>
    <row r="2726" spans="1:7" s="139" customFormat="1" hidden="1" x14ac:dyDescent="0.3">
      <c r="A2726" s="78">
        <v>46021</v>
      </c>
      <c r="B2726" s="100" t="s">
        <v>216</v>
      </c>
      <c r="C2726" s="11" t="s">
        <v>80</v>
      </c>
      <c r="D2726" s="7" t="s">
        <v>1682</v>
      </c>
      <c r="E2726" s="16">
        <v>-6000</v>
      </c>
      <c r="F2726" s="13" t="s">
        <v>8</v>
      </c>
      <c r="G2726" s="105" t="s">
        <v>124</v>
      </c>
    </row>
    <row r="2727" spans="1:7" s="139" customFormat="1" hidden="1" x14ac:dyDescent="0.3">
      <c r="A2727" s="78">
        <v>46021</v>
      </c>
      <c r="B2727" s="100" t="s">
        <v>216</v>
      </c>
      <c r="C2727" s="12" t="s">
        <v>44</v>
      </c>
      <c r="D2727" s="4" t="s">
        <v>158</v>
      </c>
      <c r="E2727" s="16">
        <v>-1719.53</v>
      </c>
      <c r="F2727" s="13" t="s">
        <v>8</v>
      </c>
      <c r="G2727" s="13" t="s">
        <v>91</v>
      </c>
    </row>
    <row r="2728" spans="1:7" s="139" customFormat="1" hidden="1" x14ac:dyDescent="0.3">
      <c r="A2728" s="74">
        <v>46021</v>
      </c>
      <c r="B2728" s="113" t="s">
        <v>216</v>
      </c>
      <c r="C2728" s="106" t="s">
        <v>6</v>
      </c>
      <c r="D2728" s="107" t="s">
        <v>158</v>
      </c>
      <c r="E2728" s="145">
        <v>-1392.65</v>
      </c>
      <c r="F2728" s="27" t="s">
        <v>8</v>
      </c>
      <c r="G2728" s="27" t="s">
        <v>91</v>
      </c>
    </row>
    <row r="2729" spans="1:7" hidden="1" x14ac:dyDescent="0.3">
      <c r="A2729" s="123">
        <v>45993</v>
      </c>
      <c r="B2729" s="147" t="s">
        <v>216</v>
      </c>
      <c r="C2729" s="57" t="s">
        <v>159</v>
      </c>
      <c r="D2729" s="29" t="s">
        <v>160</v>
      </c>
      <c r="E2729" s="53">
        <v>23638.67</v>
      </c>
      <c r="F2729" s="55" t="s">
        <v>161</v>
      </c>
      <c r="G2729" s="61" t="s">
        <v>162</v>
      </c>
    </row>
    <row r="2730" spans="1:7" hidden="1" x14ac:dyDescent="0.3">
      <c r="A2730" s="123">
        <v>45993</v>
      </c>
      <c r="B2730" s="147" t="s">
        <v>216</v>
      </c>
      <c r="C2730" s="57" t="s">
        <v>163</v>
      </c>
      <c r="D2730" s="29" t="s">
        <v>164</v>
      </c>
      <c r="E2730" s="53">
        <v>799.2</v>
      </c>
      <c r="F2730" s="55" t="s">
        <v>161</v>
      </c>
      <c r="G2730" s="61" t="s">
        <v>162</v>
      </c>
    </row>
    <row r="2731" spans="1:7" hidden="1" x14ac:dyDescent="0.3">
      <c r="A2731" s="123">
        <v>45993</v>
      </c>
      <c r="B2731" s="147" t="s">
        <v>216</v>
      </c>
      <c r="C2731" s="57" t="s">
        <v>163</v>
      </c>
      <c r="D2731" s="29" t="s">
        <v>164</v>
      </c>
      <c r="E2731" s="53">
        <v>18532.8</v>
      </c>
      <c r="F2731" s="55" t="s">
        <v>161</v>
      </c>
      <c r="G2731" s="61" t="s">
        <v>162</v>
      </c>
    </row>
    <row r="2732" spans="1:7" hidden="1" x14ac:dyDescent="0.3">
      <c r="A2732" s="123">
        <v>45993</v>
      </c>
      <c r="B2732" s="147" t="s">
        <v>216</v>
      </c>
      <c r="C2732" s="57" t="s">
        <v>165</v>
      </c>
      <c r="D2732" s="29" t="s">
        <v>166</v>
      </c>
      <c r="E2732" s="53">
        <v>22451.91</v>
      </c>
      <c r="F2732" s="55" t="s">
        <v>161</v>
      </c>
      <c r="G2732" s="61" t="s">
        <v>162</v>
      </c>
    </row>
    <row r="2733" spans="1:7" hidden="1" x14ac:dyDescent="0.3">
      <c r="A2733" s="123">
        <v>45993</v>
      </c>
      <c r="B2733" s="147" t="s">
        <v>216</v>
      </c>
      <c r="C2733" s="57" t="s">
        <v>167</v>
      </c>
      <c r="D2733" s="29" t="s">
        <v>168</v>
      </c>
      <c r="E2733" s="53">
        <v>14482.07</v>
      </c>
      <c r="F2733" s="55" t="s">
        <v>161</v>
      </c>
      <c r="G2733" s="61" t="s">
        <v>162</v>
      </c>
    </row>
    <row r="2734" spans="1:7" hidden="1" x14ac:dyDescent="0.3">
      <c r="A2734" s="123">
        <v>45993</v>
      </c>
      <c r="B2734" s="147" t="s">
        <v>216</v>
      </c>
      <c r="C2734" s="57" t="s">
        <v>167</v>
      </c>
      <c r="D2734" s="29" t="s">
        <v>168</v>
      </c>
      <c r="E2734" s="53">
        <v>23943.3</v>
      </c>
      <c r="F2734" s="55" t="s">
        <v>161</v>
      </c>
      <c r="G2734" s="61" t="s">
        <v>162</v>
      </c>
    </row>
    <row r="2735" spans="1:7" hidden="1" x14ac:dyDescent="0.3">
      <c r="A2735" s="123">
        <v>45993</v>
      </c>
      <c r="B2735" s="147" t="s">
        <v>216</v>
      </c>
      <c r="C2735" s="57" t="s">
        <v>167</v>
      </c>
      <c r="D2735" s="29" t="s">
        <v>168</v>
      </c>
      <c r="E2735" s="53">
        <v>21852.37</v>
      </c>
      <c r="F2735" s="55" t="s">
        <v>161</v>
      </c>
      <c r="G2735" s="61" t="s">
        <v>162</v>
      </c>
    </row>
    <row r="2736" spans="1:7" hidden="1" x14ac:dyDescent="0.3">
      <c r="A2736" s="123">
        <v>45993</v>
      </c>
      <c r="B2736" s="147" t="s">
        <v>216</v>
      </c>
      <c r="C2736" s="57" t="s">
        <v>167</v>
      </c>
      <c r="D2736" s="29" t="s">
        <v>168</v>
      </c>
      <c r="E2736" s="30">
        <v>4683.53</v>
      </c>
      <c r="F2736" s="55" t="s">
        <v>161</v>
      </c>
      <c r="G2736" s="61" t="s">
        <v>162</v>
      </c>
    </row>
    <row r="2737" spans="1:7" hidden="1" x14ac:dyDescent="0.3">
      <c r="A2737" s="123">
        <v>45993</v>
      </c>
      <c r="B2737" s="147" t="s">
        <v>216</v>
      </c>
      <c r="C2737" s="57" t="s">
        <v>167</v>
      </c>
      <c r="D2737" s="29" t="s">
        <v>168</v>
      </c>
      <c r="E2737" s="53">
        <v>196</v>
      </c>
      <c r="F2737" s="55" t="s">
        <v>161</v>
      </c>
      <c r="G2737" s="61" t="s">
        <v>162</v>
      </c>
    </row>
    <row r="2738" spans="1:7" s="139" customFormat="1" hidden="1" x14ac:dyDescent="0.3">
      <c r="A2738" s="188">
        <v>46001</v>
      </c>
      <c r="B2738" s="188" t="s">
        <v>216</v>
      </c>
      <c r="C2738" s="199" t="s">
        <v>13</v>
      </c>
      <c r="D2738" s="193" t="s">
        <v>210</v>
      </c>
      <c r="E2738" s="190">
        <v>-50000</v>
      </c>
      <c r="F2738" s="80" t="s">
        <v>8</v>
      </c>
      <c r="G2738" s="191" t="s">
        <v>27</v>
      </c>
    </row>
    <row r="2739" spans="1:7" hidden="1" x14ac:dyDescent="0.3">
      <c r="A2739" s="123">
        <v>46002</v>
      </c>
      <c r="B2739" s="147" t="s">
        <v>216</v>
      </c>
      <c r="C2739" s="57" t="s">
        <v>170</v>
      </c>
      <c r="D2739" s="29" t="s">
        <v>172</v>
      </c>
      <c r="E2739" s="121">
        <v>4880.1400000000003</v>
      </c>
      <c r="F2739" s="55" t="s">
        <v>161</v>
      </c>
      <c r="G2739" s="61" t="s">
        <v>162</v>
      </c>
    </row>
    <row r="2740" spans="1:7" hidden="1" x14ac:dyDescent="0.3">
      <c r="A2740" s="123">
        <v>46002</v>
      </c>
      <c r="B2740" s="147" t="s">
        <v>216</v>
      </c>
      <c r="C2740" s="57" t="s">
        <v>167</v>
      </c>
      <c r="D2740" s="29" t="s">
        <v>173</v>
      </c>
      <c r="E2740" s="121">
        <v>603.26</v>
      </c>
      <c r="F2740" s="55" t="s">
        <v>161</v>
      </c>
      <c r="G2740" s="61" t="s">
        <v>162</v>
      </c>
    </row>
    <row r="2741" spans="1:7" hidden="1" x14ac:dyDescent="0.3">
      <c r="A2741" s="123">
        <v>46002</v>
      </c>
      <c r="B2741" s="147" t="s">
        <v>216</v>
      </c>
      <c r="C2741" s="57" t="s">
        <v>167</v>
      </c>
      <c r="D2741" s="29" t="s">
        <v>173</v>
      </c>
      <c r="E2741" s="121">
        <v>1106.1400000000001</v>
      </c>
      <c r="F2741" s="55" t="s">
        <v>161</v>
      </c>
      <c r="G2741" s="61" t="s">
        <v>162</v>
      </c>
    </row>
    <row r="2742" spans="1:7" hidden="1" x14ac:dyDescent="0.3">
      <c r="A2742" s="123">
        <v>46002</v>
      </c>
      <c r="B2742" s="147" t="s">
        <v>216</v>
      </c>
      <c r="C2742" s="57" t="s">
        <v>167</v>
      </c>
      <c r="D2742" s="29" t="s">
        <v>173</v>
      </c>
      <c r="E2742" s="121">
        <v>9631</v>
      </c>
      <c r="F2742" s="55" t="s">
        <v>161</v>
      </c>
      <c r="G2742" s="61" t="s">
        <v>162</v>
      </c>
    </row>
    <row r="2743" spans="1:7" hidden="1" x14ac:dyDescent="0.3">
      <c r="A2743" s="123">
        <v>46002</v>
      </c>
      <c r="B2743" s="147" t="s">
        <v>216</v>
      </c>
      <c r="C2743" s="57" t="s">
        <v>174</v>
      </c>
      <c r="D2743" s="29" t="s">
        <v>175</v>
      </c>
      <c r="E2743" s="58">
        <v>257.81</v>
      </c>
      <c r="F2743" s="55" t="s">
        <v>161</v>
      </c>
      <c r="G2743" s="61" t="s">
        <v>162</v>
      </c>
    </row>
    <row r="2744" spans="1:7" hidden="1" x14ac:dyDescent="0.3">
      <c r="A2744" s="123">
        <v>46002</v>
      </c>
      <c r="B2744" s="147" t="s">
        <v>216</v>
      </c>
      <c r="C2744" s="57" t="s">
        <v>174</v>
      </c>
      <c r="D2744" s="29" t="s">
        <v>176</v>
      </c>
      <c r="E2744" s="121">
        <v>680.03</v>
      </c>
      <c r="F2744" s="55" t="s">
        <v>161</v>
      </c>
      <c r="G2744" s="61" t="s">
        <v>162</v>
      </c>
    </row>
    <row r="2745" spans="1:7" hidden="1" x14ac:dyDescent="0.3">
      <c r="A2745" s="51">
        <v>45982</v>
      </c>
      <c r="B2745" s="123" t="s">
        <v>212</v>
      </c>
      <c r="C2745" s="120" t="s">
        <v>177</v>
      </c>
      <c r="D2745" s="122" t="s">
        <v>178</v>
      </c>
      <c r="E2745" s="121">
        <v>12459.61</v>
      </c>
      <c r="F2745" s="55" t="s">
        <v>161</v>
      </c>
      <c r="G2745" s="61" t="s">
        <v>162</v>
      </c>
    </row>
    <row r="2746" spans="1:7" hidden="1" x14ac:dyDescent="0.3">
      <c r="A2746" s="123">
        <v>46002</v>
      </c>
      <c r="B2746" s="147" t="s">
        <v>216</v>
      </c>
      <c r="C2746" s="57" t="s">
        <v>177</v>
      </c>
      <c r="D2746" s="122" t="s">
        <v>178</v>
      </c>
      <c r="E2746" s="53">
        <v>24988.71</v>
      </c>
      <c r="F2746" s="55" t="s">
        <v>161</v>
      </c>
      <c r="G2746" s="61" t="s">
        <v>162</v>
      </c>
    </row>
    <row r="2747" spans="1:7" hidden="1" x14ac:dyDescent="0.3">
      <c r="A2747" s="123">
        <v>46002</v>
      </c>
      <c r="B2747" s="147" t="s">
        <v>216</v>
      </c>
      <c r="C2747" s="57" t="s">
        <v>177</v>
      </c>
      <c r="D2747" s="122" t="s">
        <v>178</v>
      </c>
      <c r="E2747" s="121">
        <v>12459.61</v>
      </c>
      <c r="F2747" s="55" t="s">
        <v>161</v>
      </c>
      <c r="G2747" s="61" t="s">
        <v>162</v>
      </c>
    </row>
    <row r="2748" spans="1:7" hidden="1" x14ac:dyDescent="0.3">
      <c r="A2748" s="123">
        <v>46002</v>
      </c>
      <c r="B2748" s="147" t="s">
        <v>216</v>
      </c>
      <c r="C2748" s="57" t="s">
        <v>177</v>
      </c>
      <c r="D2748" s="122" t="s">
        <v>178</v>
      </c>
      <c r="E2748" s="53">
        <v>16834.330000000002</v>
      </c>
      <c r="F2748" s="55" t="s">
        <v>161</v>
      </c>
      <c r="G2748" s="61" t="s">
        <v>162</v>
      </c>
    </row>
    <row r="2749" spans="1:7" hidden="1" x14ac:dyDescent="0.3">
      <c r="A2749" s="123">
        <v>46002</v>
      </c>
      <c r="B2749" s="147" t="s">
        <v>216</v>
      </c>
      <c r="C2749" s="57" t="s">
        <v>177</v>
      </c>
      <c r="D2749" s="122" t="s">
        <v>178</v>
      </c>
      <c r="E2749" s="53">
        <v>268.13</v>
      </c>
      <c r="F2749" s="55" t="s">
        <v>161</v>
      </c>
      <c r="G2749" s="61" t="s">
        <v>162</v>
      </c>
    </row>
    <row r="2750" spans="1:7" hidden="1" x14ac:dyDescent="0.3">
      <c r="A2750" s="123">
        <v>46014</v>
      </c>
      <c r="B2750" s="147" t="s">
        <v>216</v>
      </c>
      <c r="C2750" s="57" t="s">
        <v>177</v>
      </c>
      <c r="D2750" s="122" t="s">
        <v>178</v>
      </c>
      <c r="E2750" s="53">
        <v>2284.4499999999998</v>
      </c>
      <c r="F2750" s="55" t="s">
        <v>161</v>
      </c>
      <c r="G2750" s="61" t="s">
        <v>162</v>
      </c>
    </row>
    <row r="2751" spans="1:7" hidden="1" x14ac:dyDescent="0.3">
      <c r="A2751" s="123">
        <v>46002</v>
      </c>
      <c r="B2751" s="147" t="s">
        <v>216</v>
      </c>
      <c r="C2751" s="57" t="s">
        <v>163</v>
      </c>
      <c r="D2751" s="124" t="s">
        <v>179</v>
      </c>
      <c r="E2751" s="125">
        <v>7850</v>
      </c>
      <c r="F2751" s="126" t="s">
        <v>161</v>
      </c>
      <c r="G2751" s="61" t="s">
        <v>162</v>
      </c>
    </row>
    <row r="2752" spans="1:7" hidden="1" x14ac:dyDescent="0.3">
      <c r="A2752" s="123">
        <v>45995</v>
      </c>
      <c r="B2752" s="147" t="s">
        <v>216</v>
      </c>
      <c r="C2752" s="57" t="s">
        <v>17</v>
      </c>
      <c r="D2752" s="29" t="s">
        <v>180</v>
      </c>
      <c r="E2752" s="121">
        <v>345280</v>
      </c>
      <c r="F2752" s="55" t="s">
        <v>161</v>
      </c>
      <c r="G2752" s="61" t="s">
        <v>162</v>
      </c>
    </row>
    <row r="2753" spans="1:7" hidden="1" x14ac:dyDescent="0.3">
      <c r="A2753" s="123">
        <v>46007</v>
      </c>
      <c r="B2753" s="147" t="s">
        <v>216</v>
      </c>
      <c r="C2753" s="57" t="s">
        <v>181</v>
      </c>
      <c r="D2753" s="29" t="s">
        <v>182</v>
      </c>
      <c r="E2753" s="127">
        <v>17956.39</v>
      </c>
      <c r="F2753" s="55" t="s">
        <v>161</v>
      </c>
      <c r="G2753" s="61" t="s">
        <v>162</v>
      </c>
    </row>
    <row r="2754" spans="1:7" hidden="1" x14ac:dyDescent="0.3">
      <c r="A2754" s="123">
        <v>46009</v>
      </c>
      <c r="B2754" s="147" t="s">
        <v>216</v>
      </c>
      <c r="C2754" s="57" t="s">
        <v>163</v>
      </c>
      <c r="D2754" s="29" t="s">
        <v>183</v>
      </c>
      <c r="E2754" s="53">
        <v>4717.4399999999996</v>
      </c>
      <c r="F2754" s="126" t="s">
        <v>161</v>
      </c>
      <c r="G2754" s="61" t="s">
        <v>162</v>
      </c>
    </row>
    <row r="2755" spans="1:7" hidden="1" x14ac:dyDescent="0.3">
      <c r="A2755" s="123">
        <v>46009</v>
      </c>
      <c r="B2755" s="147" t="s">
        <v>216</v>
      </c>
      <c r="C2755" s="57" t="s">
        <v>163</v>
      </c>
      <c r="D2755" s="29" t="s">
        <v>183</v>
      </c>
      <c r="E2755" s="53">
        <v>9938.39</v>
      </c>
      <c r="F2755" s="126" t="s">
        <v>161</v>
      </c>
      <c r="G2755" s="61" t="s">
        <v>162</v>
      </c>
    </row>
    <row r="2756" spans="1:7" hidden="1" x14ac:dyDescent="0.3">
      <c r="A2756" s="123">
        <v>46009</v>
      </c>
      <c r="B2756" s="147" t="s">
        <v>216</v>
      </c>
      <c r="C2756" s="57" t="s">
        <v>163</v>
      </c>
      <c r="D2756" s="29" t="s">
        <v>183</v>
      </c>
      <c r="E2756" s="53">
        <v>22139.98</v>
      </c>
      <c r="F2756" s="126" t="s">
        <v>161</v>
      </c>
      <c r="G2756" s="61" t="s">
        <v>162</v>
      </c>
    </row>
    <row r="2757" spans="1:7" hidden="1" x14ac:dyDescent="0.3">
      <c r="A2757" s="50">
        <v>46020</v>
      </c>
      <c r="B2757" s="147" t="s">
        <v>216</v>
      </c>
      <c r="C2757" s="57" t="s">
        <v>177</v>
      </c>
      <c r="D2757" s="29" t="s">
        <v>184</v>
      </c>
      <c r="E2757" s="58">
        <v>2373.8200000000002</v>
      </c>
      <c r="F2757" s="55" t="s">
        <v>161</v>
      </c>
      <c r="G2757" s="61" t="s">
        <v>162</v>
      </c>
    </row>
    <row r="2758" spans="1:7" hidden="1" x14ac:dyDescent="0.3">
      <c r="A2758" s="50">
        <v>46020</v>
      </c>
      <c r="B2758" s="147" t="s">
        <v>216</v>
      </c>
      <c r="C2758" s="57" t="s">
        <v>177</v>
      </c>
      <c r="D2758" s="29" t="s">
        <v>184</v>
      </c>
      <c r="E2758" s="58">
        <v>5823.82</v>
      </c>
      <c r="F2758" s="55" t="s">
        <v>161</v>
      </c>
      <c r="G2758" s="61" t="s">
        <v>162</v>
      </c>
    </row>
    <row r="2759" spans="1:7" hidden="1" x14ac:dyDescent="0.3">
      <c r="A2759" s="50">
        <v>46020</v>
      </c>
      <c r="B2759" s="147" t="s">
        <v>216</v>
      </c>
      <c r="C2759" s="57" t="s">
        <v>177</v>
      </c>
      <c r="D2759" s="29" t="s">
        <v>184</v>
      </c>
      <c r="E2759" s="58">
        <v>7526.95</v>
      </c>
      <c r="F2759" s="55" t="s">
        <v>161</v>
      </c>
      <c r="G2759" s="61" t="s">
        <v>162</v>
      </c>
    </row>
    <row r="2760" spans="1:7" hidden="1" x14ac:dyDescent="0.3">
      <c r="A2760" s="50">
        <v>46020</v>
      </c>
      <c r="B2760" s="147" t="s">
        <v>216</v>
      </c>
      <c r="C2760" s="57" t="s">
        <v>177</v>
      </c>
      <c r="D2760" s="29" t="s">
        <v>184</v>
      </c>
      <c r="E2760" s="58">
        <v>25756.63</v>
      </c>
      <c r="F2760" s="55" t="s">
        <v>161</v>
      </c>
      <c r="G2760" s="61" t="s">
        <v>162</v>
      </c>
    </row>
    <row r="2761" spans="1:7" hidden="1" x14ac:dyDescent="0.3">
      <c r="A2761" s="50">
        <v>46021</v>
      </c>
      <c r="B2761" s="147" t="s">
        <v>216</v>
      </c>
      <c r="C2761" s="57" t="s">
        <v>170</v>
      </c>
      <c r="D2761" s="29" t="s">
        <v>185</v>
      </c>
      <c r="E2761" s="128">
        <v>816717.89</v>
      </c>
      <c r="F2761" s="55" t="s">
        <v>161</v>
      </c>
      <c r="G2761" s="61" t="s">
        <v>162</v>
      </c>
    </row>
    <row r="2762" spans="1:7" s="139" customFormat="1" hidden="1" x14ac:dyDescent="0.3">
      <c r="A2762" s="87">
        <v>46014</v>
      </c>
      <c r="B2762" s="146" t="s">
        <v>216</v>
      </c>
      <c r="C2762" s="623" t="s">
        <v>31</v>
      </c>
      <c r="D2762" s="4" t="s">
        <v>578</v>
      </c>
      <c r="E2762" s="16">
        <v>-7000</v>
      </c>
      <c r="F2762" s="110" t="s">
        <v>8</v>
      </c>
      <c r="G2762" s="70" t="s">
        <v>46</v>
      </c>
    </row>
    <row r="2763" spans="1:7" s="139" customFormat="1" hidden="1" x14ac:dyDescent="0.3">
      <c r="A2763" s="87">
        <v>46014</v>
      </c>
      <c r="B2763" s="146" t="s">
        <v>216</v>
      </c>
      <c r="C2763" s="357" t="s">
        <v>17</v>
      </c>
      <c r="D2763" s="14" t="s">
        <v>389</v>
      </c>
      <c r="E2763" s="8">
        <v>-57.280009999999997</v>
      </c>
      <c r="F2763" s="110" t="s">
        <v>8</v>
      </c>
      <c r="G2763" s="70" t="s">
        <v>1279</v>
      </c>
    </row>
    <row r="2764" spans="1:7" s="139" customFormat="1" hidden="1" x14ac:dyDescent="0.3">
      <c r="A2764" s="87">
        <v>46014</v>
      </c>
      <c r="B2764" s="100" t="s">
        <v>216</v>
      </c>
      <c r="C2764" s="12" t="s">
        <v>25</v>
      </c>
      <c r="D2764" s="4" t="s">
        <v>194</v>
      </c>
      <c r="E2764" s="16">
        <v>-7000</v>
      </c>
      <c r="F2764" s="13" t="s">
        <v>8</v>
      </c>
      <c r="G2764" s="9" t="s">
        <v>46</v>
      </c>
    </row>
    <row r="2765" spans="1:7" s="139" customFormat="1" hidden="1" x14ac:dyDescent="0.3">
      <c r="A2765" s="100">
        <v>46008</v>
      </c>
      <c r="B2765" s="100" t="s">
        <v>216</v>
      </c>
      <c r="C2765" s="11" t="s">
        <v>31</v>
      </c>
      <c r="D2765" s="111" t="s">
        <v>195</v>
      </c>
      <c r="E2765" s="112">
        <v>-630</v>
      </c>
      <c r="F2765" s="13" t="s">
        <v>8</v>
      </c>
      <c r="G2765" s="5" t="s">
        <v>51</v>
      </c>
    </row>
    <row r="2766" spans="1:7" s="139" customFormat="1" hidden="1" x14ac:dyDescent="0.3">
      <c r="A2766" s="78">
        <v>46001</v>
      </c>
      <c r="B2766" s="100" t="s">
        <v>216</v>
      </c>
      <c r="C2766" s="14" t="s">
        <v>31</v>
      </c>
      <c r="D2766" s="14" t="s">
        <v>611</v>
      </c>
      <c r="E2766" s="8">
        <v>-1000</v>
      </c>
      <c r="F2766" s="9" t="s">
        <v>8</v>
      </c>
      <c r="G2766" s="9" t="s">
        <v>186</v>
      </c>
    </row>
    <row r="2767" spans="1:7" s="139" customFormat="1" hidden="1" x14ac:dyDescent="0.3">
      <c r="A2767" s="100">
        <v>46006</v>
      </c>
      <c r="B2767" s="100" t="s">
        <v>216</v>
      </c>
      <c r="C2767" s="14" t="s">
        <v>44</v>
      </c>
      <c r="D2767" s="14" t="s">
        <v>1679</v>
      </c>
      <c r="E2767" s="8">
        <v>-930.49</v>
      </c>
      <c r="F2767" s="5" t="s">
        <v>8</v>
      </c>
      <c r="G2767" s="9" t="s">
        <v>1658</v>
      </c>
    </row>
    <row r="2768" spans="1:7" s="139" customFormat="1" hidden="1" x14ac:dyDescent="0.3">
      <c r="A2768" s="78">
        <v>46006</v>
      </c>
      <c r="B2768" s="100" t="s">
        <v>216</v>
      </c>
      <c r="C2768" s="14" t="s">
        <v>104</v>
      </c>
      <c r="D2768" s="14" t="s">
        <v>190</v>
      </c>
      <c r="E2768" s="8">
        <v>-2000</v>
      </c>
      <c r="F2768" s="9" t="s">
        <v>8</v>
      </c>
      <c r="G2768" s="9" t="s">
        <v>186</v>
      </c>
    </row>
    <row r="2769" spans="1:8" s="139" customFormat="1" hidden="1" x14ac:dyDescent="0.3">
      <c r="A2769" s="78">
        <v>46000</v>
      </c>
      <c r="B2769" s="100" t="s">
        <v>216</v>
      </c>
      <c r="C2769" s="14" t="s">
        <v>104</v>
      </c>
      <c r="D2769" s="14" t="s">
        <v>606</v>
      </c>
      <c r="E2769" s="8">
        <v>-2000</v>
      </c>
      <c r="F2769" s="9" t="s">
        <v>8</v>
      </c>
      <c r="G2769" s="9" t="s">
        <v>186</v>
      </c>
    </row>
    <row r="2770" spans="1:8" s="139" customFormat="1" hidden="1" x14ac:dyDescent="0.3">
      <c r="A2770" s="78">
        <v>46021</v>
      </c>
      <c r="B2770" s="100" t="s">
        <v>216</v>
      </c>
      <c r="C2770" s="14" t="s">
        <v>6</v>
      </c>
      <c r="D2770" s="14" t="s">
        <v>586</v>
      </c>
      <c r="E2770" s="8">
        <v>-3200</v>
      </c>
      <c r="F2770" s="9" t="s">
        <v>8</v>
      </c>
      <c r="G2770" s="9" t="s">
        <v>186</v>
      </c>
    </row>
    <row r="2771" spans="1:8" s="139" customFormat="1" hidden="1" x14ac:dyDescent="0.3">
      <c r="A2771" s="78">
        <v>46021</v>
      </c>
      <c r="B2771" s="100" t="s">
        <v>216</v>
      </c>
      <c r="C2771" s="14" t="s">
        <v>6</v>
      </c>
      <c r="D2771" s="14" t="s">
        <v>187</v>
      </c>
      <c r="E2771" s="8">
        <v>-2000</v>
      </c>
      <c r="F2771" s="9" t="s">
        <v>8</v>
      </c>
      <c r="G2771" s="9" t="s">
        <v>186</v>
      </c>
    </row>
    <row r="2772" spans="1:8" s="139" customFormat="1" hidden="1" x14ac:dyDescent="0.3">
      <c r="A2772" s="78">
        <v>46021</v>
      </c>
      <c r="B2772" s="100" t="s">
        <v>216</v>
      </c>
      <c r="C2772" s="14" t="s">
        <v>6</v>
      </c>
      <c r="D2772" s="14" t="s">
        <v>585</v>
      </c>
      <c r="E2772" s="8">
        <v>-3836.54</v>
      </c>
      <c r="F2772" s="9" t="s">
        <v>8</v>
      </c>
      <c r="G2772" s="9" t="s">
        <v>186</v>
      </c>
    </row>
    <row r="2773" spans="1:8" s="139" customFormat="1" hidden="1" x14ac:dyDescent="0.3">
      <c r="A2773" s="78">
        <v>46021</v>
      </c>
      <c r="B2773" s="100" t="s">
        <v>216</v>
      </c>
      <c r="C2773" s="14" t="s">
        <v>33</v>
      </c>
      <c r="D2773" s="14" t="s">
        <v>587</v>
      </c>
      <c r="E2773" s="8">
        <v>-1000</v>
      </c>
      <c r="F2773" s="9" t="s">
        <v>8</v>
      </c>
      <c r="G2773" s="9" t="s">
        <v>186</v>
      </c>
    </row>
    <row r="2774" spans="1:8" s="139" customFormat="1" hidden="1" x14ac:dyDescent="0.3">
      <c r="A2774" s="78">
        <v>46021</v>
      </c>
      <c r="B2774" s="100" t="s">
        <v>216</v>
      </c>
      <c r="C2774" s="14" t="s">
        <v>17</v>
      </c>
      <c r="D2774" s="14" t="s">
        <v>193</v>
      </c>
      <c r="E2774" s="8">
        <v>-1400</v>
      </c>
      <c r="F2774" s="9" t="s">
        <v>8</v>
      </c>
      <c r="G2774" s="9" t="s">
        <v>186</v>
      </c>
    </row>
    <row r="2775" spans="1:8" s="139" customFormat="1" hidden="1" x14ac:dyDescent="0.3">
      <c r="A2775" s="78">
        <v>46021</v>
      </c>
      <c r="B2775" s="100" t="s">
        <v>216</v>
      </c>
      <c r="C2775" s="14" t="s">
        <v>17</v>
      </c>
      <c r="D2775" s="14" t="s">
        <v>191</v>
      </c>
      <c r="E2775" s="8">
        <v>-1916.67</v>
      </c>
      <c r="F2775" s="9" t="s">
        <v>8</v>
      </c>
      <c r="G2775" s="9" t="s">
        <v>186</v>
      </c>
    </row>
    <row r="2776" spans="1:8" s="139" customFormat="1" hidden="1" x14ac:dyDescent="0.3">
      <c r="A2776" s="78">
        <v>46021</v>
      </c>
      <c r="B2776" s="100" t="s">
        <v>216</v>
      </c>
      <c r="C2776" s="14" t="s">
        <v>17</v>
      </c>
      <c r="D2776" s="14" t="s">
        <v>588</v>
      </c>
      <c r="E2776" s="8">
        <v>-2864.92</v>
      </c>
      <c r="F2776" s="9" t="s">
        <v>8</v>
      </c>
      <c r="G2776" s="9" t="s">
        <v>186</v>
      </c>
    </row>
    <row r="2777" spans="1:8" s="139" customFormat="1" hidden="1" x14ac:dyDescent="0.3">
      <c r="A2777" s="100">
        <v>46021</v>
      </c>
      <c r="B2777" s="100" t="s">
        <v>216</v>
      </c>
      <c r="C2777" s="14" t="s">
        <v>25</v>
      </c>
      <c r="D2777" s="7" t="s">
        <v>217</v>
      </c>
      <c r="E2777" s="8">
        <v>-10000</v>
      </c>
      <c r="F2777" s="9" t="s">
        <v>8</v>
      </c>
      <c r="G2777" s="9" t="s">
        <v>27</v>
      </c>
    </row>
    <row r="2778" spans="1:8" s="139" customFormat="1" hidden="1" x14ac:dyDescent="0.3">
      <c r="A2778" s="100">
        <v>46015</v>
      </c>
      <c r="B2778" s="100" t="s">
        <v>216</v>
      </c>
      <c r="C2778" s="14" t="s">
        <v>25</v>
      </c>
      <c r="D2778" s="7" t="s">
        <v>218</v>
      </c>
      <c r="E2778" s="8">
        <v>-10000</v>
      </c>
      <c r="F2778" s="9" t="s">
        <v>8</v>
      </c>
      <c r="G2778" s="9" t="s">
        <v>27</v>
      </c>
    </row>
    <row r="2779" spans="1:8" x14ac:dyDescent="0.3">
      <c r="E2779" s="400"/>
      <c r="H2779" s="139"/>
    </row>
    <row r="2784" spans="1:8" x14ac:dyDescent="0.3">
      <c r="E2784" s="641"/>
    </row>
  </sheetData>
  <autoFilter ref="A1:M2778" xr:uid="{C28B4B40-E8E1-46B0-BB6B-C562BE7750C0}">
    <filterColumn colId="0">
      <filters>
        <dateGroupItem year="2025" month="7" dateTimeGrouping="month"/>
        <dateGroupItem year="2025" month="8" dateTimeGrouping="month"/>
        <dateGroupItem year="2025" month="9" dateTimeGrouping="month"/>
      </filters>
    </filterColumn>
  </autoFilter>
  <conditionalFormatting sqref="E150">
    <cfRule type="colorScale" priority="743">
      <colorScale>
        <cfvo type="min"/>
        <cfvo type="max"/>
        <color rgb="FFF8696B"/>
        <color rgb="FFFCFCFF"/>
      </colorScale>
    </cfRule>
  </conditionalFormatting>
  <conditionalFormatting sqref="E302">
    <cfRule type="colorScale" priority="744">
      <colorScale>
        <cfvo type="min"/>
        <cfvo type="max"/>
        <color rgb="FFF8696B"/>
        <color rgb="FFFCFCFF"/>
      </colorScale>
    </cfRule>
  </conditionalFormatting>
  <conditionalFormatting sqref="E691">
    <cfRule type="colorScale" priority="4241">
      <colorScale>
        <cfvo type="min"/>
        <cfvo type="max"/>
        <color rgb="FFF8696B"/>
        <color rgb="FFFCFCFF"/>
      </colorScale>
    </cfRule>
  </conditionalFormatting>
  <conditionalFormatting sqref="E1050">
    <cfRule type="colorScale" priority="715">
      <colorScale>
        <cfvo type="min"/>
        <cfvo type="max"/>
        <color rgb="FFF8696B"/>
        <color rgb="FFFCFCFF"/>
      </colorScale>
    </cfRule>
  </conditionalFormatting>
  <conditionalFormatting sqref="E1540">
    <cfRule type="colorScale" priority="687">
      <colorScale>
        <cfvo type="min"/>
        <cfvo type="max"/>
        <color rgb="FFF8696B"/>
        <color rgb="FFFCFCFF"/>
      </colorScale>
    </cfRule>
  </conditionalFormatting>
  <conditionalFormatting sqref="E1724">
    <cfRule type="colorScale" priority="688">
      <colorScale>
        <cfvo type="min"/>
        <cfvo type="max"/>
        <color rgb="FFF8696B"/>
        <color rgb="FFFCFCFF"/>
      </colorScale>
    </cfRule>
  </conditionalFormatting>
  <conditionalFormatting sqref="E2013">
    <cfRule type="colorScale" priority="447">
      <colorScale>
        <cfvo type="min"/>
        <cfvo type="max"/>
        <color rgb="FFF8696B"/>
        <color rgb="FFFCFCFF"/>
      </colorScale>
    </cfRule>
  </conditionalFormatting>
  <conditionalFormatting sqref="E2124">
    <cfRule type="colorScale" priority="655">
      <colorScale>
        <cfvo type="min"/>
        <cfvo type="max"/>
        <color rgb="FFF8696B"/>
        <color rgb="FFFCFCFF"/>
      </colorScale>
    </cfRule>
  </conditionalFormatting>
  <conditionalFormatting sqref="E2186">
    <cfRule type="colorScale" priority="656">
      <colorScale>
        <cfvo type="min"/>
        <cfvo type="max"/>
        <color rgb="FFF8696B"/>
        <color rgb="FFFCFCFF"/>
      </colorScale>
    </cfRule>
  </conditionalFormatting>
  <conditionalFormatting sqref="E2464">
    <cfRule type="colorScale" priority="630">
      <colorScale>
        <cfvo type="min"/>
        <cfvo type="max"/>
        <color rgb="FFF8696B"/>
        <color rgb="FFFCFCFF"/>
      </colorScale>
    </cfRule>
  </conditionalFormatting>
  <conditionalFormatting sqref="E2526">
    <cfRule type="colorScale" priority="631">
      <colorScale>
        <cfvo type="min"/>
        <cfvo type="max"/>
        <color rgb="FFF8696B"/>
        <color rgb="FFFCFCFF"/>
      </colorScale>
    </cfRule>
  </conditionalFormatting>
  <conditionalFormatting sqref="E2675">
    <cfRule type="colorScale" priority="603">
      <colorScale>
        <cfvo type="min"/>
        <cfvo type="max"/>
        <color rgb="FFF8696B"/>
        <color rgb="FFFCFCFF"/>
      </colorScale>
    </cfRule>
  </conditionalFormatting>
  <conditionalFormatting sqref="E2727">
    <cfRule type="colorScale" priority="604">
      <colorScale>
        <cfvo type="min"/>
        <cfvo type="max"/>
        <color rgb="FFF8696B"/>
        <color rgb="FFFCFCFF"/>
      </colorScale>
    </cfRule>
  </conditionalFormatting>
  <conditionalFormatting sqref="F2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{FE8A89BE-24BF-4798-984E-1465E4A3689D}</x14:id>
        </ext>
      </extLst>
    </cfRule>
  </conditionalFormatting>
  <conditionalFormatting sqref="F30">
    <cfRule type="colorScale" priority="763">
      <colorScale>
        <cfvo type="min"/>
        <cfvo type="max"/>
        <color rgb="FFF8696B"/>
        <color rgb="FFFCFCFF"/>
      </colorScale>
    </cfRule>
  </conditionalFormatting>
  <conditionalFormatting sqref="F52">
    <cfRule type="colorScale" priority="761">
      <colorScale>
        <cfvo type="min"/>
        <cfvo type="max"/>
        <color rgb="FFF8696B"/>
        <color rgb="FFFCFCFF"/>
      </colorScale>
    </cfRule>
  </conditionalFormatting>
  <conditionalFormatting sqref="F88">
    <cfRule type="colorScale" priority="756">
      <colorScale>
        <cfvo type="min"/>
        <cfvo type="max"/>
        <color rgb="FFF8696B"/>
        <color rgb="FFFCFCFF"/>
      </colorScale>
    </cfRule>
  </conditionalFormatting>
  <conditionalFormatting sqref="F93:F102">
    <cfRule type="colorScale" priority="527">
      <colorScale>
        <cfvo type="min"/>
        <cfvo type="max"/>
        <color rgb="FFF8696B"/>
        <color rgb="FFFCFCFF"/>
      </colorScale>
    </cfRule>
  </conditionalFormatting>
  <conditionalFormatting sqref="F103">
    <cfRule type="colorScale" priority="528">
      <colorScale>
        <cfvo type="min"/>
        <cfvo type="max"/>
        <color rgb="FFF8696B"/>
        <color rgb="FFFCFCFF"/>
      </colorScale>
    </cfRule>
  </conditionalFormatting>
  <conditionalFormatting sqref="F285">
    <cfRule type="colorScale" priority="4205">
      <colorScale>
        <cfvo type="min"/>
        <cfvo type="max"/>
        <color rgb="FFF8696B"/>
        <color rgb="FFFCFCFF"/>
      </colorScale>
    </cfRule>
  </conditionalFormatting>
  <conditionalFormatting sqref="F286">
    <cfRule type="colorScale" priority="580">
      <colorScale>
        <cfvo type="min"/>
        <cfvo type="max"/>
        <color rgb="FFF8696B"/>
        <color rgb="FFFCFCFF"/>
      </colorScale>
    </cfRule>
  </conditionalFormatting>
  <conditionalFormatting sqref="F287">
    <cfRule type="colorScale" priority="754">
      <colorScale>
        <cfvo type="min"/>
        <cfvo type="max"/>
        <color rgb="FFF8696B"/>
        <color rgb="FFFCFCFF"/>
      </colorScale>
    </cfRule>
  </conditionalFormatting>
  <conditionalFormatting sqref="F288:F289 F293:F296">
    <cfRule type="colorScale" priority="4084">
      <colorScale>
        <cfvo type="min"/>
        <cfvo type="max"/>
        <color rgb="FFF8696B"/>
        <color rgb="FFFCFCFF"/>
      </colorScale>
    </cfRule>
  </conditionalFormatting>
  <conditionalFormatting sqref="F290:F292">
    <cfRule type="colorScale" priority="371">
      <colorScale>
        <cfvo type="min"/>
        <cfvo type="max"/>
        <color rgb="FFF8696B"/>
        <color rgb="FFFCFCFF"/>
      </colorScale>
    </cfRule>
  </conditionalFormatting>
  <conditionalFormatting sqref="F297">
    <cfRule type="colorScale" priority="392">
      <colorScale>
        <cfvo type="min"/>
        <cfvo type="max"/>
        <color rgb="FFF8696B"/>
        <color rgb="FFFCFCFF"/>
      </colorScale>
    </cfRule>
  </conditionalFormatting>
  <conditionalFormatting sqref="F298">
    <cfRule type="colorScale" priority="391">
      <colorScale>
        <cfvo type="min"/>
        <cfvo type="max"/>
        <color rgb="FFF8696B"/>
        <color rgb="FFFCFCFF"/>
      </colorScale>
    </cfRule>
  </conditionalFormatting>
  <conditionalFormatting sqref="F299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300">
    <cfRule type="colorScale" priority="389">
      <colorScale>
        <cfvo type="min"/>
        <cfvo type="max"/>
        <color rgb="FFF8696B"/>
        <color rgb="FFFCFCFF"/>
      </colorScale>
    </cfRule>
  </conditionalFormatting>
  <conditionalFormatting sqref="F301">
    <cfRule type="colorScale" priority="388">
      <colorScale>
        <cfvo type="min"/>
        <cfvo type="max"/>
        <color rgb="FFF8696B"/>
        <color rgb="FFFCFCFF"/>
      </colorScale>
    </cfRule>
  </conditionalFormatting>
  <conditionalFormatting sqref="F318:F319">
    <cfRule type="colorScale" priority="769">
      <colorScale>
        <cfvo type="min"/>
        <cfvo type="max"/>
        <color rgb="FFF8696B"/>
        <color rgb="FFFCFCFF"/>
      </colorScale>
    </cfRule>
  </conditionalFormatting>
  <conditionalFormatting sqref="F344">
    <cfRule type="colorScale" priority="5200">
      <colorScale>
        <cfvo type="min"/>
        <cfvo type="max"/>
        <color rgb="FFF8696B"/>
        <color rgb="FFFCFCFF"/>
      </colorScale>
    </cfRule>
  </conditionalFormatting>
  <conditionalFormatting sqref="F350">
    <cfRule type="colorScale" priority="518">
      <colorScale>
        <cfvo type="min"/>
        <cfvo type="max"/>
        <color rgb="FFF8696B"/>
        <color rgb="FFFCFCFF"/>
      </colorScale>
    </cfRule>
  </conditionalFormatting>
  <conditionalFormatting sqref="F436">
    <cfRule type="colorScale" priority="351">
      <colorScale>
        <cfvo type="min"/>
        <cfvo type="max"/>
        <color rgb="FFF8696B"/>
        <color rgb="FFFCFCFF"/>
      </colorScale>
    </cfRule>
  </conditionalFormatting>
  <conditionalFormatting sqref="F437">
    <cfRule type="colorScale" priority="349">
      <colorScale>
        <cfvo type="min"/>
        <cfvo type="max"/>
        <color rgb="FFF8696B"/>
        <color rgb="FFFCFCFF"/>
      </colorScale>
    </cfRule>
  </conditionalFormatting>
  <conditionalFormatting sqref="F523">
    <cfRule type="colorScale" priority="230">
      <colorScale>
        <cfvo type="min"/>
        <cfvo type="max"/>
        <color rgb="FFF8696B"/>
        <color rgb="FFFCFCFF"/>
      </colorScale>
    </cfRule>
  </conditionalFormatting>
  <conditionalFormatting sqref="F525">
    <cfRule type="colorScale" priority="212">
      <colorScale>
        <cfvo type="min"/>
        <cfvo type="max"/>
        <color rgb="FFF8696B"/>
        <color rgb="FFFCFCFF"/>
      </colorScale>
    </cfRule>
  </conditionalFormatting>
  <conditionalFormatting sqref="F566">
    <cfRule type="colorScale" priority="529">
      <colorScale>
        <cfvo type="min"/>
        <cfvo type="max"/>
        <color rgb="FFF8696B"/>
        <color rgb="FFFCFCFF"/>
      </colorScale>
    </cfRule>
  </conditionalFormatting>
  <conditionalFormatting sqref="F567">
    <cfRule type="colorScale" priority="517">
      <colorScale>
        <cfvo type="min"/>
        <cfvo type="max"/>
        <color rgb="FFF8696B"/>
        <color rgb="FFFCFCFF"/>
      </colorScale>
    </cfRule>
  </conditionalFormatting>
  <conditionalFormatting sqref="F588:F594">
    <cfRule type="colorScale" priority="510">
      <colorScale>
        <cfvo type="min"/>
        <cfvo type="max"/>
        <color rgb="FFF8696B"/>
        <color rgb="FFFCFCFF"/>
      </colorScale>
    </cfRule>
  </conditionalFormatting>
  <conditionalFormatting sqref="F595:F596">
    <cfRule type="colorScale" priority="2156">
      <colorScale>
        <cfvo type="min"/>
        <cfvo type="max"/>
        <color rgb="FFF8696B"/>
        <color rgb="FFFCFCFF"/>
      </colorScale>
    </cfRule>
  </conditionalFormatting>
  <conditionalFormatting sqref="F597:F607">
    <cfRule type="colorScale" priority="8735">
      <colorScale>
        <cfvo type="min"/>
        <cfvo type="max"/>
        <color rgb="FFF8696B"/>
        <color rgb="FFFCFCFF"/>
      </colorScale>
    </cfRule>
  </conditionalFormatting>
  <conditionalFormatting sqref="F623:F625">
    <cfRule type="colorScale" priority="539">
      <colorScale>
        <cfvo type="min"/>
        <cfvo type="max"/>
        <color rgb="FFF8696B"/>
        <color rgb="FFFCFCFF"/>
      </colorScale>
    </cfRule>
  </conditionalFormatting>
  <conditionalFormatting sqref="F626:F627">
    <cfRule type="colorScale" priority="538">
      <colorScale>
        <cfvo type="min"/>
        <cfvo type="max"/>
        <color rgb="FFF8696B"/>
        <color rgb="FFFCFCFF"/>
      </colorScale>
    </cfRule>
  </conditionalFormatting>
  <conditionalFormatting sqref="F628:F632">
    <cfRule type="colorScale" priority="4499">
      <colorScale>
        <cfvo type="min"/>
        <cfvo type="max"/>
        <color rgb="FFF8696B"/>
        <color rgb="FFFCFCFF"/>
      </colorScale>
    </cfRule>
  </conditionalFormatting>
  <conditionalFormatting sqref="F633:F634">
    <cfRule type="colorScale" priority="2296">
      <colorScale>
        <cfvo type="min"/>
        <cfvo type="max"/>
        <color rgb="FFF8696B"/>
        <color rgb="FFFCFCFF"/>
      </colorScale>
    </cfRule>
  </conditionalFormatting>
  <conditionalFormatting sqref="F635">
    <cfRule type="colorScale" priority="506">
      <colorScale>
        <cfvo type="min"/>
        <cfvo type="max"/>
        <color rgb="FFF8696B"/>
        <color rgb="FFFCFCFF"/>
      </colorScale>
    </cfRule>
  </conditionalFormatting>
  <conditionalFormatting sqref="F636:F637">
    <cfRule type="colorScale" priority="534">
      <colorScale>
        <cfvo type="min"/>
        <cfvo type="max"/>
        <color rgb="FFF8696B"/>
        <color rgb="FFFCFCFF"/>
      </colorScale>
    </cfRule>
  </conditionalFormatting>
  <conditionalFormatting sqref="F638:F641">
    <cfRule type="colorScale" priority="2648">
      <colorScale>
        <cfvo type="min"/>
        <cfvo type="max"/>
        <color rgb="FFF8696B"/>
        <color rgb="FFFCFCFF"/>
      </colorScale>
    </cfRule>
  </conditionalFormatting>
  <conditionalFormatting sqref="F682:F684">
    <cfRule type="colorScale" priority="497">
      <colorScale>
        <cfvo type="min"/>
        <cfvo type="max"/>
        <color rgb="FFF8696B"/>
        <color rgb="FFFCFCFF"/>
      </colorScale>
    </cfRule>
  </conditionalFormatting>
  <conditionalFormatting sqref="F685:F695 F642:F681 F568:F587 F302:F317 F345:F349 F89:F92 F31:F51 F53:F87 F320:F343 F616:F622 F1:F29 F351:F435 F438:F522 F104:F284 F524 F526:F565">
    <cfRule type="colorScale" priority="4242">
      <colorScale>
        <cfvo type="min"/>
        <cfvo type="max"/>
        <color rgb="FFF8696B"/>
        <color rgb="FFFCFCFF"/>
      </colorScale>
    </cfRule>
  </conditionalFormatting>
  <conditionalFormatting sqref="F689:F694">
    <cfRule type="colorScale" priority="4257">
      <colorScale>
        <cfvo type="min"/>
        <cfvo type="max"/>
        <color rgb="FFF8696B"/>
        <color rgb="FFFCFCFF"/>
      </colorScale>
    </cfRule>
  </conditionalFormatting>
  <conditionalFormatting sqref="F696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{C1F8308C-0279-4772-981F-4378BFA14BCF}</x14:id>
        </ext>
      </extLst>
    </cfRule>
  </conditionalFormatting>
  <conditionalFormatting sqref="F733">
    <cfRule type="colorScale" priority="729">
      <colorScale>
        <cfvo type="min"/>
        <cfvo type="max"/>
        <color rgb="FFF8696B"/>
        <color rgb="FFFCFCFF"/>
      </colorScale>
    </cfRule>
  </conditionalFormatting>
  <conditionalFormatting sqref="F759:F765">
    <cfRule type="colorScale" priority="7890">
      <colorScale>
        <cfvo type="min"/>
        <cfvo type="max"/>
        <color rgb="FFF8696B"/>
        <color rgb="FFFCFCFF"/>
      </colorScale>
    </cfRule>
  </conditionalFormatting>
  <conditionalFormatting sqref="F766:F787">
    <cfRule type="colorScale" priority="7980">
      <colorScale>
        <cfvo type="min"/>
        <cfvo type="max"/>
        <color rgb="FFF8696B"/>
        <color rgb="FFFCFCFF"/>
      </colorScale>
    </cfRule>
  </conditionalFormatting>
  <conditionalFormatting sqref="F788:F796">
    <cfRule type="colorScale" priority="5757">
      <colorScale>
        <cfvo type="min"/>
        <cfvo type="max"/>
        <color rgb="FFF8696B"/>
        <color rgb="FFFCFCFF"/>
      </colorScale>
    </cfRule>
  </conditionalFormatting>
  <conditionalFormatting sqref="F797">
    <cfRule type="colorScale" priority="245">
      <colorScale>
        <cfvo type="min"/>
        <cfvo type="max"/>
        <color rgb="FFF8696B"/>
        <color rgb="FFFCFCFF"/>
      </colorScale>
    </cfRule>
  </conditionalFormatting>
  <conditionalFormatting sqref="F829">
    <cfRule type="colorScale" priority="722">
      <colorScale>
        <cfvo type="min"/>
        <cfvo type="max"/>
        <color rgb="FFF8696B"/>
        <color rgb="FFFCFCFF"/>
      </colorScale>
    </cfRule>
  </conditionalFormatting>
  <conditionalFormatting sqref="F851">
    <cfRule type="colorScale" priority="395">
      <colorScale>
        <cfvo type="min"/>
        <cfvo type="max"/>
        <color rgb="FFF8696B"/>
        <color rgb="FFFCFCFF"/>
      </colorScale>
    </cfRule>
  </conditionalFormatting>
  <conditionalFormatting sqref="F870:F878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887">
    <cfRule type="colorScale" priority="278">
      <colorScale>
        <cfvo type="min"/>
        <cfvo type="max"/>
        <color rgb="FFF8696B"/>
        <color rgb="FFFCFCFF"/>
      </colorScale>
    </cfRule>
  </conditionalFormatting>
  <conditionalFormatting sqref="F888">
    <cfRule type="colorScale" priority="192">
      <colorScale>
        <cfvo type="min"/>
        <cfvo type="max"/>
        <color rgb="FFF8696B"/>
        <color rgb="FFFCFCFF"/>
      </colorScale>
    </cfRule>
  </conditionalFormatting>
  <conditionalFormatting sqref="F902:F904">
    <cfRule type="colorScale" priority="357">
      <colorScale>
        <cfvo type="min"/>
        <cfvo type="max"/>
        <color rgb="FFF8696B"/>
        <color rgb="FFFCFCFF"/>
      </colorScale>
    </cfRule>
  </conditionalFormatting>
  <conditionalFormatting sqref="F955">
    <cfRule type="colorScale" priority="254">
      <colorScale>
        <cfvo type="min"/>
        <cfvo type="max"/>
        <color rgb="FFF8696B"/>
        <color rgb="FFFCFCFF"/>
      </colorScale>
    </cfRule>
  </conditionalFormatting>
  <conditionalFormatting sqref="F956">
    <cfRule type="colorScale" priority="255">
      <colorScale>
        <cfvo type="min"/>
        <cfvo type="max"/>
        <color rgb="FFF8696B"/>
        <color rgb="FFFCFCFF"/>
      </colorScale>
    </cfRule>
  </conditionalFormatting>
  <conditionalFormatting sqref="F957">
    <cfRule type="colorScale" priority="336">
      <colorScale>
        <cfvo type="min"/>
        <cfvo type="max"/>
        <color rgb="FFF8696B"/>
        <color rgb="FFFCFCFF"/>
      </colorScale>
    </cfRule>
  </conditionalFormatting>
  <conditionalFormatting sqref="F958:F959">
    <cfRule type="colorScale" priority="413">
      <colorScale>
        <cfvo type="min"/>
        <cfvo type="max"/>
        <color rgb="FFF8696B"/>
        <color rgb="FFFCFCFF"/>
      </colorScale>
    </cfRule>
  </conditionalFormatting>
  <conditionalFormatting sqref="F960">
    <cfRule type="colorScale" priority="165">
      <colorScale>
        <cfvo type="min"/>
        <cfvo type="max"/>
        <color rgb="FFF8696B"/>
        <color rgb="FFFCFCFF"/>
      </colorScale>
    </cfRule>
  </conditionalFormatting>
  <conditionalFormatting sqref="F961">
    <cfRule type="colorScale" priority="411">
      <colorScale>
        <cfvo type="min"/>
        <cfvo type="max"/>
        <color rgb="FFF8696B"/>
        <color rgb="FFFCFCFF"/>
      </colorScale>
    </cfRule>
  </conditionalFormatting>
  <conditionalFormatting sqref="F962">
    <cfRule type="colorScale" priority="48">
      <colorScale>
        <cfvo type="min"/>
        <cfvo type="max"/>
        <color rgb="FFF8696B"/>
        <color rgb="FFFCFCFF"/>
      </colorScale>
    </cfRule>
  </conditionalFormatting>
  <conditionalFormatting sqref="F963">
    <cfRule type="colorScale" priority="409">
      <colorScale>
        <cfvo type="min"/>
        <cfvo type="max"/>
        <color rgb="FFF8696B"/>
        <color rgb="FFFCFCFF"/>
      </colorScale>
    </cfRule>
  </conditionalFormatting>
  <conditionalFormatting sqref="F964">
    <cfRule type="colorScale" priority="407">
      <colorScale>
        <cfvo type="min"/>
        <cfvo type="max"/>
        <color rgb="FFF8696B"/>
        <color rgb="FFFCFCFF"/>
      </colorScale>
    </cfRule>
  </conditionalFormatting>
  <conditionalFormatting sqref="F965">
    <cfRule type="colorScale" priority="220">
      <colorScale>
        <cfvo type="min"/>
        <cfvo type="max"/>
        <color rgb="FFF8696B"/>
        <color rgb="FFFCFCFF"/>
      </colorScale>
    </cfRule>
  </conditionalFormatting>
  <conditionalFormatting sqref="F966">
    <cfRule type="colorScale" priority="219">
      <colorScale>
        <cfvo type="min"/>
        <cfvo type="max"/>
        <color rgb="FFF8696B"/>
        <color rgb="FFFCFCFF"/>
      </colorScale>
    </cfRule>
  </conditionalFormatting>
  <conditionalFormatting sqref="F967">
    <cfRule type="colorScale" priority="218">
      <colorScale>
        <cfvo type="min"/>
        <cfvo type="max"/>
        <color rgb="FFF8696B"/>
        <color rgb="FFFCFCFF"/>
      </colorScale>
    </cfRule>
  </conditionalFormatting>
  <conditionalFormatting sqref="F968">
    <cfRule type="colorScale" priority="217">
      <colorScale>
        <cfvo type="min"/>
        <cfvo type="max"/>
        <color rgb="FFF8696B"/>
        <color rgb="FFFCFCFF"/>
      </colorScale>
    </cfRule>
  </conditionalFormatting>
  <conditionalFormatting sqref="F971">
    <cfRule type="colorScale" priority="250">
      <colorScale>
        <cfvo type="min"/>
        <cfvo type="max"/>
        <color rgb="FFF8696B"/>
        <color rgb="FFFCFCFF"/>
      </colorScale>
    </cfRule>
  </conditionalFormatting>
  <conditionalFormatting sqref="F972">
    <cfRule type="colorScale" priority="249">
      <colorScale>
        <cfvo type="min"/>
        <cfvo type="max"/>
        <color rgb="FFF8696B"/>
        <color rgb="FFFCFCFF"/>
      </colorScale>
    </cfRule>
  </conditionalFormatting>
  <conditionalFormatting sqref="F1026:F1042">
    <cfRule type="colorScale" priority="196">
      <colorScale>
        <cfvo type="min"/>
        <cfvo type="max"/>
        <color rgb="FFF8696B"/>
        <color rgb="FFFCFCFF"/>
      </colorScale>
    </cfRule>
  </conditionalFormatting>
  <conditionalFormatting sqref="F1043">
    <cfRule type="colorScale" priority="8812">
      <colorScale>
        <cfvo type="min"/>
        <cfvo type="max"/>
        <color rgb="FFF8696B"/>
        <color rgb="FFFCFCFF"/>
      </colorScale>
    </cfRule>
  </conditionalFormatting>
  <conditionalFormatting sqref="F1044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045">
    <cfRule type="colorScale" priority="387">
      <colorScale>
        <cfvo type="min"/>
        <cfvo type="max"/>
        <color rgb="FFF8696B"/>
        <color rgb="FFFCFCFF"/>
      </colorScale>
    </cfRule>
  </conditionalFormatting>
  <conditionalFormatting sqref="F1046">
    <cfRule type="colorScale" priority="386">
      <colorScale>
        <cfvo type="min"/>
        <cfvo type="max"/>
        <color rgb="FFF8696B"/>
        <color rgb="FFFCFCFF"/>
      </colorScale>
    </cfRule>
  </conditionalFormatting>
  <conditionalFormatting sqref="F1047">
    <cfRule type="colorScale" priority="384">
      <colorScale>
        <cfvo type="min"/>
        <cfvo type="max"/>
        <color rgb="FFF8696B"/>
        <color rgb="FFFCFCFF"/>
      </colorScale>
    </cfRule>
  </conditionalFormatting>
  <conditionalFormatting sqref="F1048:F1049">
    <cfRule type="colorScale" priority="383">
      <colorScale>
        <cfvo type="min"/>
        <cfvo type="max"/>
        <color rgb="FFF8696B"/>
        <color rgb="FFFCFCFF"/>
      </colorScale>
    </cfRule>
  </conditionalFormatting>
  <conditionalFormatting sqref="F1052:F1060">
    <cfRule type="colorScale" priority="267">
      <colorScale>
        <cfvo type="min"/>
        <cfvo type="max"/>
        <color rgb="FFF8696B"/>
        <color rgb="FFFCFCFF"/>
      </colorScale>
    </cfRule>
  </conditionalFormatting>
  <conditionalFormatting sqref="F1061">
    <cfRule type="colorScale" priority="2837">
      <colorScale>
        <cfvo type="min"/>
        <cfvo type="max"/>
        <color rgb="FFF8696B"/>
        <color rgb="FFFCFCFF"/>
      </colorScale>
    </cfRule>
  </conditionalFormatting>
  <conditionalFormatting sqref="F1062:F1073">
    <cfRule type="colorScale" priority="3215">
      <colorScale>
        <cfvo type="min"/>
        <cfvo type="max"/>
        <color rgb="FFF8696B"/>
        <color rgb="FFFCFCFF"/>
      </colorScale>
    </cfRule>
  </conditionalFormatting>
  <conditionalFormatting sqref="F1074">
    <cfRule type="colorScale" priority="7361">
      <colorScale>
        <cfvo type="min"/>
        <cfvo type="max"/>
        <color rgb="FFF8696B"/>
        <color rgb="FFFCFCFF"/>
      </colorScale>
    </cfRule>
  </conditionalFormatting>
  <conditionalFormatting sqref="F1075">
    <cfRule type="colorScale" priority="462">
      <colorScale>
        <cfvo type="min"/>
        <cfvo type="max"/>
        <color rgb="FFF8696B"/>
        <color rgb="FFFCFCFF"/>
      </colorScale>
    </cfRule>
  </conditionalFormatting>
  <conditionalFormatting sqref="F1076">
    <cfRule type="colorScale" priority="461">
      <colorScale>
        <cfvo type="min"/>
        <cfvo type="max"/>
        <color rgb="FFF8696B"/>
        <color rgb="FFFCFCFF"/>
      </colorScale>
    </cfRule>
  </conditionalFormatting>
  <conditionalFormatting sqref="F1091">
    <cfRule type="colorScale" priority="452">
      <colorScale>
        <cfvo type="min"/>
        <cfvo type="max"/>
        <color rgb="FFF8696B"/>
        <color rgb="FFFCFCFF"/>
      </colorScale>
    </cfRule>
  </conditionalFormatting>
  <conditionalFormatting sqref="F1092">
    <cfRule type="colorScale" priority="451">
      <colorScale>
        <cfvo type="min"/>
        <cfvo type="max"/>
        <color rgb="FFF8696B"/>
        <color rgb="FFFCFCFF"/>
      </colorScale>
    </cfRule>
  </conditionalFormatting>
  <conditionalFormatting sqref="F1093">
    <cfRule type="colorScale" priority="450">
      <colorScale>
        <cfvo type="min"/>
        <cfvo type="max"/>
        <color rgb="FFF8696B"/>
        <color rgb="FFFCFCFF"/>
      </colorScale>
    </cfRule>
  </conditionalFormatting>
  <conditionalFormatting sqref="F1094">
    <cfRule type="colorScale" priority="449">
      <colorScale>
        <cfvo type="min"/>
        <cfvo type="max"/>
        <color rgb="FFF8696B"/>
        <color rgb="FFFCFCFF"/>
      </colorScale>
    </cfRule>
  </conditionalFormatting>
  <conditionalFormatting sqref="F1095:F1097">
    <cfRule type="colorScale" priority="717">
      <colorScale>
        <cfvo type="min"/>
        <cfvo type="max"/>
        <color rgb="FFF8696B"/>
        <color rgb="FFFCFCFF"/>
      </colorScale>
    </cfRule>
  </conditionalFormatting>
  <conditionalFormatting sqref="F1163 F1098 F734 F1050:F1051 F830:F850 F1111 F696:F732 G1056 F737:F758 F1077:F1090 F1121 F1114 F798:F828 F852:F869 F905:F954 F969:F970 F1145:F1150 F879:F886 F1191:F1211 F1165:F1189 F1125:F1141 F889:F901 F973:F1025">
    <cfRule type="colorScale" priority="6285">
      <colorScale>
        <cfvo type="min"/>
        <cfvo type="max"/>
        <color rgb="FFF8696B"/>
        <color rgb="FFFCFCFF"/>
      </colorScale>
    </cfRule>
  </conditionalFormatting>
  <conditionalFormatting sqref="F1099">
    <cfRule type="colorScale" priority="276">
      <colorScale>
        <cfvo type="min"/>
        <cfvo type="max"/>
        <color rgb="FFF8696B"/>
        <color rgb="FFFCFCFF"/>
      </colorScale>
    </cfRule>
  </conditionalFormatting>
  <conditionalFormatting sqref="F1100:F1110">
    <cfRule type="colorScale" priority="6916">
      <colorScale>
        <cfvo type="min"/>
        <cfvo type="max"/>
        <color rgb="FFF8696B"/>
        <color rgb="FFFCFCFF"/>
      </colorScale>
    </cfRule>
  </conditionalFormatting>
  <conditionalFormatting sqref="F1112">
    <cfRule type="colorScale" priority="248">
      <colorScale>
        <cfvo type="min"/>
        <cfvo type="max"/>
        <color rgb="FFF8696B"/>
        <color rgb="FFFCFCFF"/>
      </colorScale>
    </cfRule>
  </conditionalFormatting>
  <conditionalFormatting sqref="F1113">
    <cfRule type="colorScale" priority="247">
      <colorScale>
        <cfvo type="min"/>
        <cfvo type="max"/>
        <color rgb="FFF8696B"/>
        <color rgb="FFFCFCFF"/>
      </colorScale>
    </cfRule>
  </conditionalFormatting>
  <conditionalFormatting sqref="F1115:F1117">
    <cfRule type="colorScale" priority="3289">
      <colorScale>
        <cfvo type="min"/>
        <cfvo type="max"/>
        <color rgb="FFF8696B"/>
        <color rgb="FFFCFCFF"/>
      </colorScale>
    </cfRule>
  </conditionalFormatting>
  <conditionalFormatting sqref="F1118">
    <cfRule type="colorScale" priority="457">
      <colorScale>
        <cfvo type="min"/>
        <cfvo type="max"/>
        <color rgb="FFF8696B"/>
        <color rgb="FFFCFCFF"/>
      </colorScale>
    </cfRule>
  </conditionalFormatting>
  <conditionalFormatting sqref="F1119">
    <cfRule type="colorScale" priority="456">
      <colorScale>
        <cfvo type="min"/>
        <cfvo type="max"/>
        <color rgb="FFF8696B"/>
        <color rgb="FFFCFCFF"/>
      </colorScale>
    </cfRule>
  </conditionalFormatting>
  <conditionalFormatting sqref="F1120">
    <cfRule type="colorScale" priority="455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123">
    <cfRule type="colorScale" priority="251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142:F1143">
    <cfRule type="colorScale" priority="398">
      <colorScale>
        <cfvo type="min"/>
        <cfvo type="max"/>
        <color rgb="FFF8696B"/>
        <color rgb="FFFCFCFF"/>
      </colorScale>
    </cfRule>
  </conditionalFormatting>
  <conditionalFormatting sqref="F1144">
    <cfRule type="colorScale" priority="397">
      <colorScale>
        <cfvo type="min"/>
        <cfvo type="max"/>
        <color rgb="FFF8696B"/>
        <color rgb="FFFCFCFF"/>
      </colorScale>
    </cfRule>
  </conditionalFormatting>
  <conditionalFormatting sqref="F1151">
    <cfRule type="colorScale" priority="201">
      <colorScale>
        <cfvo type="min"/>
        <cfvo type="max"/>
        <color rgb="FFF8696B"/>
        <color rgb="FFFCFCFF"/>
      </colorScale>
    </cfRule>
  </conditionalFormatting>
  <conditionalFormatting sqref="F1152:F1162">
    <cfRule type="colorScale" priority="6474">
      <colorScale>
        <cfvo type="min"/>
        <cfvo type="max"/>
        <color rgb="FFF8696B"/>
        <color rgb="FFFCFCFF"/>
      </colorScale>
    </cfRule>
  </conditionalFormatting>
  <conditionalFormatting sqref="F1164">
    <cfRule type="colorScale" priority="195">
      <colorScale>
        <cfvo type="min"/>
        <cfvo type="max"/>
        <color rgb="FFF8696B"/>
        <color rgb="FFFCFCFF"/>
      </colorScale>
    </cfRule>
  </conditionalFormatting>
  <conditionalFormatting sqref="F1190">
    <cfRule type="colorScale" priority="211">
      <colorScale>
        <cfvo type="min"/>
        <cfvo type="max"/>
        <color rgb="FFF8696B"/>
        <color rgb="FFFCFCFF"/>
      </colorScale>
    </cfRule>
  </conditionalFormatting>
  <conditionalFormatting sqref="F1221:F1231">
    <cfRule type="colorScale" priority="5333">
      <colorScale>
        <cfvo type="min"/>
        <cfvo type="max"/>
        <color rgb="FFF8696B"/>
        <color rgb="FFFCFCFF"/>
      </colorScale>
    </cfRule>
  </conditionalFormatting>
  <conditionalFormatting sqref="F1235:F1242">
    <cfRule type="colorScale" priority="272">
      <colorScale>
        <cfvo type="min"/>
        <cfvo type="max"/>
        <color rgb="FFF8696B"/>
        <color rgb="FFFCFCFF"/>
      </colorScale>
    </cfRule>
  </conditionalFormatting>
  <conditionalFormatting sqref="F1247:F1248">
    <cfRule type="colorScale" priority="6652">
      <colorScale>
        <cfvo type="min"/>
        <cfvo type="max"/>
        <color rgb="FFF8696B"/>
        <color rgb="FFFCFCFF"/>
      </colorScale>
    </cfRule>
  </conditionalFormatting>
  <conditionalFormatting sqref="F1249:F1264">
    <cfRule type="colorScale" priority="6586">
      <colorScale>
        <cfvo type="min"/>
        <cfvo type="max"/>
        <color rgb="FFF8696B"/>
        <color rgb="FFFCFCFF"/>
      </colorScale>
    </cfRule>
  </conditionalFormatting>
  <conditionalFormatting sqref="F1277">
    <cfRule type="colorScale" priority="269">
      <colorScale>
        <cfvo type="min"/>
        <cfvo type="max"/>
        <color rgb="FFF8696B"/>
        <color rgb="FFFCFCFF"/>
      </colorScale>
    </cfRule>
  </conditionalFormatting>
  <conditionalFormatting sqref="F1281:F1297">
    <cfRule type="colorScale" priority="4787">
      <colorScale>
        <cfvo type="min"/>
        <cfvo type="max"/>
        <color rgb="FFF8696B"/>
        <color rgb="FFFCFCFF"/>
      </colorScale>
    </cfRule>
  </conditionalFormatting>
  <conditionalFormatting sqref="F1311">
    <cfRule type="colorScale" priority="232">
      <colorScale>
        <cfvo type="min"/>
        <cfvo type="max"/>
        <color rgb="FFF8696B"/>
        <color rgb="FFFCFCFF"/>
      </colorScale>
    </cfRule>
  </conditionalFormatting>
  <conditionalFormatting sqref="F1312:F1322">
    <cfRule type="colorScale" priority="233">
      <colorScale>
        <cfvo type="min"/>
        <cfvo type="max"/>
        <color rgb="FFF8696B"/>
        <color rgb="FFFCFCFF"/>
      </colorScale>
    </cfRule>
  </conditionalFormatting>
  <conditionalFormatting sqref="F1334:F1339">
    <cfRule type="colorScale" priority="258">
      <colorScale>
        <cfvo type="min"/>
        <cfvo type="max"/>
        <color rgb="FFF8696B"/>
        <color rgb="FFFCFCFF"/>
      </colorScale>
    </cfRule>
  </conditionalFormatting>
  <conditionalFormatting sqref="F1340:F1349 F1353 F1368 F1323:F1333 F1355:F1357">
    <cfRule type="colorScale" priority="6695">
      <colorScale>
        <cfvo type="min"/>
        <cfvo type="max"/>
        <color rgb="FFF8696B"/>
        <color rgb="FFFCFCFF"/>
      </colorScale>
    </cfRule>
  </conditionalFormatting>
  <conditionalFormatting sqref="F1350:F1352">
    <cfRule type="colorScale" priority="262">
      <colorScale>
        <cfvo type="min"/>
        <cfvo type="max"/>
        <color rgb="FFF8696B"/>
        <color rgb="FFFCFCFF"/>
      </colorScale>
    </cfRule>
  </conditionalFormatting>
  <conditionalFormatting sqref="F1354">
    <cfRule type="colorScale" priority="228">
      <colorScale>
        <cfvo type="min"/>
        <cfvo type="max"/>
        <color rgb="FFF8696B"/>
        <color rgb="FFFCFCFF"/>
      </colorScale>
    </cfRule>
  </conditionalFormatting>
  <conditionalFormatting sqref="F1358:F1361">
    <cfRule type="colorScale" priority="340">
      <colorScale>
        <cfvo type="min"/>
        <cfvo type="max"/>
        <color rgb="FFF8696B"/>
        <color rgb="FFFCFCFF"/>
      </colorScale>
    </cfRule>
  </conditionalFormatting>
  <conditionalFormatting sqref="F1367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369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{844516D9-C012-4345-99E1-0E3C6DD3ED20}</x14:id>
        </ext>
      </extLst>
    </cfRule>
  </conditionalFormatting>
  <conditionalFormatting sqref="F1409">
    <cfRule type="colorScale" priority="7417">
      <colorScale>
        <cfvo type="min"/>
        <cfvo type="max"/>
        <color rgb="FFF8696B"/>
        <color rgb="FFFCFCFF"/>
      </colorScale>
    </cfRule>
  </conditionalFormatting>
  <conditionalFormatting sqref="F1421">
    <cfRule type="colorScale" priority="702">
      <colorScale>
        <cfvo type="min"/>
        <cfvo type="max"/>
        <color rgb="FFF8696B"/>
        <color rgb="FFFCFCFF"/>
      </colorScale>
    </cfRule>
  </conditionalFormatting>
  <conditionalFormatting sqref="F1422">
    <cfRule type="colorScale" priority="234">
      <colorScale>
        <cfvo type="min"/>
        <cfvo type="max"/>
        <color rgb="FFF8696B"/>
        <color rgb="FFFCFCFF"/>
      </colorScale>
    </cfRule>
  </conditionalFormatting>
  <conditionalFormatting sqref="F1457:F1461">
    <cfRule type="colorScale" priority="7994">
      <colorScale>
        <cfvo type="min"/>
        <cfvo type="max"/>
        <color rgb="FFF8696B"/>
        <color rgb="FFFCFCFF"/>
      </colorScale>
    </cfRule>
  </conditionalFormatting>
  <conditionalFormatting sqref="F1496">
    <cfRule type="colorScale" priority="144">
      <colorScale>
        <cfvo type="min"/>
        <cfvo type="max"/>
        <color rgb="FFF8696B"/>
        <color rgb="FFFCFCFF"/>
      </colorScale>
    </cfRule>
  </conditionalFormatting>
  <conditionalFormatting sqref="F1497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1498">
    <cfRule type="colorScale" priority="140">
      <colorScale>
        <cfvo type="min"/>
        <cfvo type="max"/>
        <color rgb="FFF8696B"/>
        <color rgb="FFFCFCFF"/>
      </colorScale>
    </cfRule>
  </conditionalFormatting>
  <conditionalFormatting sqref="F1499">
    <cfRule type="colorScale" priority="138">
      <colorScale>
        <cfvo type="min"/>
        <cfvo type="max"/>
        <color rgb="FFF8696B"/>
        <color rgb="FFFCFCFF"/>
      </colorScale>
    </cfRule>
  </conditionalFormatting>
  <conditionalFormatting sqref="F1500:F1503">
    <cfRule type="colorScale" priority="7592">
      <colorScale>
        <cfvo type="min"/>
        <cfvo type="max"/>
        <color rgb="FFF8696B"/>
        <color rgb="FFFCFCFF"/>
      </colorScale>
    </cfRule>
  </conditionalFormatting>
  <conditionalFormatting sqref="F1617">
    <cfRule type="colorScale" priority="363">
      <colorScale>
        <cfvo type="min"/>
        <cfvo type="max"/>
        <color rgb="FFF8696B"/>
        <color rgb="FFFCFCFF"/>
      </colorScale>
    </cfRule>
  </conditionalFormatting>
  <conditionalFormatting sqref="F1618">
    <cfRule type="colorScale" priority="365">
      <colorScale>
        <cfvo type="min"/>
        <cfvo type="max"/>
        <color rgb="FFF8696B"/>
        <color rgb="FFFCFCFF"/>
      </colorScale>
    </cfRule>
  </conditionalFormatting>
  <conditionalFormatting sqref="F1619:F1623 F1625:F1626">
    <cfRule type="colorScale" priority="4206">
      <colorScale>
        <cfvo type="min"/>
        <cfvo type="max"/>
        <color rgb="FFF8696B"/>
        <color rgb="FFFCFCFF"/>
      </colorScale>
    </cfRule>
  </conditionalFormatting>
  <conditionalFormatting sqref="F1624">
    <cfRule type="colorScale" priority="328">
      <colorScale>
        <cfvo type="min"/>
        <cfvo type="max"/>
        <color rgb="FFF8696B"/>
        <color rgb="FFFCFCFF"/>
      </colorScale>
    </cfRule>
  </conditionalFormatting>
  <conditionalFormatting sqref="F1627">
    <cfRule type="colorScale" priority="474">
      <colorScale>
        <cfvo type="min"/>
        <cfvo type="max"/>
        <color rgb="FFF8696B"/>
        <color rgb="FFFCFCFF"/>
      </colorScale>
    </cfRule>
  </conditionalFormatting>
  <conditionalFormatting sqref="F1628">
    <cfRule type="colorScale" priority="471">
      <colorScale>
        <cfvo type="min"/>
        <cfvo type="max"/>
        <color rgb="FFF8696B"/>
        <color rgb="FFFCFCFF"/>
      </colorScale>
    </cfRule>
  </conditionalFormatting>
  <conditionalFormatting sqref="F1633">
    <cfRule type="colorScale" priority="8614">
      <colorScale>
        <cfvo type="min"/>
        <cfvo type="max"/>
        <color rgb="FFF8696B"/>
        <color rgb="FFFCFCFF"/>
      </colorScale>
    </cfRule>
  </conditionalFormatting>
  <conditionalFormatting sqref="F1640">
    <cfRule type="colorScale" priority="66">
      <colorScale>
        <cfvo type="min"/>
        <cfvo type="max"/>
        <color rgb="FFF8696B"/>
        <color rgb="FFFCFCFF"/>
      </colorScale>
    </cfRule>
  </conditionalFormatting>
  <conditionalFormatting sqref="F1699:F1720">
    <cfRule type="colorScale" priority="8777">
      <colorScale>
        <cfvo type="min"/>
        <cfvo type="max"/>
        <color rgb="FFF8696B"/>
        <color rgb="FFFCFCFF"/>
      </colorScale>
    </cfRule>
  </conditionalFormatting>
  <conditionalFormatting sqref="F1721:F1722">
    <cfRule type="colorScale" priority="8083">
      <colorScale>
        <cfvo type="min"/>
        <cfvo type="max"/>
        <color rgb="FFF8696B"/>
        <color rgb="FFFCFCFF"/>
      </colorScale>
    </cfRule>
  </conditionalFormatting>
  <conditionalFormatting sqref="F1723">
    <cfRule type="colorScale" priority="692">
      <colorScale>
        <cfvo type="min"/>
        <cfvo type="max"/>
        <color rgb="FFF8696B"/>
        <color rgb="FFFCFCFF"/>
      </colorScale>
    </cfRule>
  </conditionalFormatting>
  <conditionalFormatting sqref="F1740:F1742">
    <cfRule type="colorScale" priority="706">
      <colorScale>
        <cfvo type="min"/>
        <cfvo type="max"/>
        <color rgb="FFF8696B"/>
        <color rgb="FFFCFCFF"/>
      </colorScale>
    </cfRule>
  </conditionalFormatting>
  <conditionalFormatting sqref="F1743">
    <cfRule type="colorScale" priority="7460">
      <colorScale>
        <cfvo type="min"/>
        <cfvo type="max"/>
        <color rgb="FFF8696B"/>
        <color rgb="FFFCFCFF"/>
      </colorScale>
    </cfRule>
  </conditionalFormatting>
  <conditionalFormatting sqref="F1747">
    <cfRule type="colorScale" priority="148">
      <colorScale>
        <cfvo type="min"/>
        <cfvo type="max"/>
        <color rgb="FFF8696B"/>
        <color rgb="FFFCFCFF"/>
      </colorScale>
    </cfRule>
  </conditionalFormatting>
  <conditionalFormatting sqref="F1757">
    <cfRule type="colorScale" priority="690">
      <colorScale>
        <cfvo type="min"/>
        <cfvo type="max"/>
        <color rgb="FFF8696B"/>
        <color rgb="FFFCFCFF"/>
      </colorScale>
    </cfRule>
  </conditionalFormatting>
  <conditionalFormatting sqref="F1759">
    <cfRule type="colorScale" priority="75">
      <colorScale>
        <cfvo type="min"/>
        <cfvo type="max"/>
        <color rgb="FFF8696B"/>
        <color rgb="FFFCFCFF"/>
      </colorScale>
    </cfRule>
  </conditionalFormatting>
  <conditionalFormatting sqref="F1760:F1772">
    <cfRule type="colorScale" priority="8611">
      <colorScale>
        <cfvo type="min"/>
        <cfvo type="max"/>
        <color rgb="FFF8696B"/>
        <color rgb="FFFCFCFF"/>
      </colorScale>
    </cfRule>
  </conditionalFormatting>
  <conditionalFormatting sqref="F1773:F1777 F1410:F1420 F1758 F1369:F1408 F1744:F1746 F1748:F1756 F1724:F1739 F1462:F1495 F1629:F1632 F1504:F1616 F1634:F1639 F1782:F1833 F1857:F1883 F1423:F1456 F1641:F1698">
    <cfRule type="colorScale" priority="8173">
      <colorScale>
        <cfvo type="min"/>
        <cfvo type="max"/>
        <color rgb="FFF8696B"/>
        <color rgb="FFFCFCFF"/>
      </colorScale>
    </cfRule>
  </conditionalFormatting>
  <conditionalFormatting sqref="F1778:F1781">
    <cfRule type="colorScale" priority="3298">
      <colorScale>
        <cfvo type="min"/>
        <cfvo type="max"/>
        <color rgb="FFF8696B"/>
        <color rgb="FFFCFCFF"/>
      </colorScale>
    </cfRule>
  </conditionalFormatting>
  <conditionalFormatting sqref="F1834">
    <cfRule type="colorScale" priority="128">
      <colorScale>
        <cfvo type="min"/>
        <cfvo type="max"/>
        <color rgb="FFF8696B"/>
        <color rgb="FFFCFCFF"/>
      </colorScale>
    </cfRule>
  </conditionalFormatting>
  <conditionalFormatting sqref="F1835">
    <cfRule type="colorScale" priority="127">
      <colorScale>
        <cfvo type="min"/>
        <cfvo type="max"/>
        <color rgb="FFF8696B"/>
        <color rgb="FFFCFCFF"/>
      </colorScale>
    </cfRule>
  </conditionalFormatting>
  <conditionalFormatting sqref="F1836">
    <cfRule type="colorScale" priority="126">
      <colorScale>
        <cfvo type="min"/>
        <cfvo type="max"/>
        <color rgb="FFF8696B"/>
        <color rgb="FFFCFCFF"/>
      </colorScale>
    </cfRule>
  </conditionalFormatting>
  <conditionalFormatting sqref="F1837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124">
      <colorScale>
        <cfvo type="min"/>
        <cfvo type="max"/>
        <color rgb="FFF8696B"/>
        <color rgb="FFFCFCFF"/>
      </colorScale>
    </cfRule>
  </conditionalFormatting>
  <conditionalFormatting sqref="F1839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1840">
    <cfRule type="colorScale" priority="123">
      <colorScale>
        <cfvo type="min"/>
        <cfvo type="max"/>
        <color rgb="FFF8696B"/>
        <color rgb="FFFCFCFF"/>
      </colorScale>
    </cfRule>
  </conditionalFormatting>
  <conditionalFormatting sqref="F1841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842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843:F1845">
    <cfRule type="colorScale" priority="118">
      <colorScale>
        <cfvo type="min"/>
        <cfvo type="max"/>
        <color rgb="FFF8696B"/>
        <color rgb="FFFCFCFF"/>
      </colorScale>
    </cfRule>
  </conditionalFormatting>
  <conditionalFormatting sqref="F1846:F1847">
    <cfRule type="colorScale" priority="8039">
      <colorScale>
        <cfvo type="min"/>
        <cfvo type="max"/>
        <color rgb="FFF8696B"/>
        <color rgb="FFFCFCFF"/>
      </colorScale>
    </cfRule>
  </conditionalFormatting>
  <conditionalFormatting sqref="F1848">
    <cfRule type="colorScale" priority="90">
      <colorScale>
        <cfvo type="min"/>
        <cfvo type="max"/>
        <color rgb="FFF8696B"/>
        <color rgb="FFFCFCFF"/>
      </colorScale>
    </cfRule>
  </conditionalFormatting>
  <conditionalFormatting sqref="F1849">
    <cfRule type="colorScale" priority="88">
      <colorScale>
        <cfvo type="min"/>
        <cfvo type="max"/>
        <color rgb="FFF8696B"/>
        <color rgb="FFFCFCFF"/>
      </colorScale>
    </cfRule>
  </conditionalFormatting>
  <conditionalFormatting sqref="F1850">
    <cfRule type="colorScale" priority="87">
      <colorScale>
        <cfvo type="min"/>
        <cfvo type="max"/>
        <color rgb="FFF8696B"/>
        <color rgb="FFFCFCFF"/>
      </colorScale>
    </cfRule>
  </conditionalFormatting>
  <conditionalFormatting sqref="F1851">
    <cfRule type="colorScale" priority="86">
      <colorScale>
        <cfvo type="min"/>
        <cfvo type="max"/>
        <color rgb="FFF8696B"/>
        <color rgb="FFFCFCFF"/>
      </colorScale>
    </cfRule>
  </conditionalFormatting>
  <conditionalFormatting sqref="F1852">
    <cfRule type="colorScale" priority="85">
      <colorScale>
        <cfvo type="min"/>
        <cfvo type="max"/>
        <color rgb="FFF8696B"/>
        <color rgb="FFFCFCFF"/>
      </colorScale>
    </cfRule>
  </conditionalFormatting>
  <conditionalFormatting sqref="F1853">
    <cfRule type="colorScale" priority="84">
      <colorScale>
        <cfvo type="min"/>
        <cfvo type="max"/>
        <color rgb="FFF8696B"/>
        <color rgb="FFFCFCFF"/>
      </colorScale>
    </cfRule>
  </conditionalFormatting>
  <conditionalFormatting sqref="F1854">
    <cfRule type="colorScale" priority="83">
      <colorScale>
        <cfvo type="min"/>
        <cfvo type="max"/>
        <color rgb="FFF8696B"/>
        <color rgb="FFFCFCFF"/>
      </colorScale>
    </cfRule>
  </conditionalFormatting>
  <conditionalFormatting sqref="F1855">
    <cfRule type="colorScale" priority="82">
      <colorScale>
        <cfvo type="min"/>
        <cfvo type="max"/>
        <color rgb="FFF8696B"/>
        <color rgb="FFFCFCFF"/>
      </colorScale>
    </cfRule>
  </conditionalFormatting>
  <conditionalFormatting sqref="F1856">
    <cfRule type="colorScale" priority="81">
      <colorScale>
        <cfvo type="min"/>
        <cfvo type="max"/>
        <color rgb="FFF8696B"/>
        <color rgb="FFFCFCFF"/>
      </colorScale>
    </cfRule>
  </conditionalFormatting>
  <conditionalFormatting sqref="F1884:F1885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1887">
    <cfRule type="colorScale" priority="168">
      <colorScale>
        <cfvo type="min"/>
        <cfvo type="max"/>
        <color rgb="FFF8696B"/>
        <color rgb="FFFCFCFF"/>
      </colorScale>
    </cfRule>
  </conditionalFormatting>
  <conditionalFormatting sqref="F1910:F1911 F1913 F1938:F1940">
    <cfRule type="colorScale" priority="477">
      <colorScale>
        <cfvo type="min"/>
        <cfvo type="max"/>
        <color rgb="FFF8696B"/>
        <color rgb="FFFCFCFF"/>
      </colorScale>
    </cfRule>
  </conditionalFormatting>
  <conditionalFormatting sqref="F1912">
    <cfRule type="colorScale" priority="237">
      <colorScale>
        <cfvo type="min"/>
        <cfvo type="max"/>
        <color rgb="FFF8696B"/>
        <color rgb="FFFCFCFF"/>
      </colorScale>
    </cfRule>
  </conditionalFormatting>
  <conditionalFormatting sqref="F1914:F1937">
    <cfRule type="colorScale" priority="189">
      <colorScale>
        <cfvo type="min"/>
        <cfvo type="max"/>
        <color rgb="FFF8696B"/>
        <color rgb="FFFCFCFF"/>
      </colorScale>
    </cfRule>
  </conditionalFormatting>
  <conditionalFormatting sqref="F1949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{51FAC81D-0FFF-4285-B9FB-DECA4367BA70}</x14:id>
        </ext>
      </extLst>
    </cfRule>
  </conditionalFormatting>
  <conditionalFormatting sqref="F1951">
    <cfRule type="colorScale" priority="61">
      <colorScale>
        <cfvo type="min"/>
        <cfvo type="max"/>
        <color rgb="FFF8696B"/>
        <color rgb="FFFCFCFF"/>
      </colorScale>
    </cfRule>
  </conditionalFormatting>
  <conditionalFormatting sqref="F1952">
    <cfRule type="colorScale" priority="108">
      <colorScale>
        <cfvo type="min"/>
        <cfvo type="max"/>
        <color rgb="FFF8696B"/>
        <color rgb="FFFCFCFF"/>
      </colorScale>
    </cfRule>
  </conditionalFormatting>
  <conditionalFormatting sqref="F1954">
    <cfRule type="colorScale" priority="59">
      <colorScale>
        <cfvo type="min"/>
        <cfvo type="max"/>
        <color rgb="FFF8696B"/>
        <color rgb="FFFCFCFF"/>
      </colorScale>
    </cfRule>
  </conditionalFormatting>
  <conditionalFormatting sqref="F1955:F1959 F1953">
    <cfRule type="colorScale" priority="8778">
      <colorScale>
        <cfvo type="min"/>
        <cfvo type="max"/>
        <color rgb="FFF8696B"/>
        <color rgb="FFFCFCFF"/>
      </colorScale>
    </cfRule>
  </conditionalFormatting>
  <conditionalFormatting sqref="F1965:F1975">
    <cfRule type="colorScale" priority="178">
      <colorScale>
        <cfvo type="min"/>
        <cfvo type="max"/>
        <color rgb="FFF8696B"/>
        <color rgb="FFFCFCFF"/>
      </colorScale>
    </cfRule>
  </conditionalFormatting>
  <conditionalFormatting sqref="F1986">
    <cfRule type="colorScale" priority="44">
      <colorScale>
        <cfvo type="min"/>
        <cfvo type="max"/>
        <color rgb="FFF8696B"/>
        <color rgb="FFFCFCFF"/>
      </colorScale>
    </cfRule>
  </conditionalFormatting>
  <conditionalFormatting sqref="F1987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988">
    <cfRule type="colorScale" priority="40">
      <colorScale>
        <cfvo type="min"/>
        <cfvo type="max"/>
        <color rgb="FFF8696B"/>
        <color rgb="FFFCFCFF"/>
      </colorScale>
    </cfRule>
  </conditionalFormatting>
  <conditionalFormatting sqref="F1989">
    <cfRule type="colorScale" priority="38">
      <colorScale>
        <cfvo type="min"/>
        <cfvo type="max"/>
        <color rgb="FFF8696B"/>
        <color rgb="FFFCFCFF"/>
      </colorScale>
    </cfRule>
  </conditionalFormatting>
  <conditionalFormatting sqref="F1990">
    <cfRule type="colorScale" priority="36">
      <colorScale>
        <cfvo type="min"/>
        <cfvo type="max"/>
        <color rgb="FFF8696B"/>
        <color rgb="FFFCFCFF"/>
      </colorScale>
    </cfRule>
  </conditionalFormatting>
  <conditionalFormatting sqref="F1991">
    <cfRule type="colorScale" priority="34">
      <colorScale>
        <cfvo type="min"/>
        <cfvo type="max"/>
        <color rgb="FFF8696B"/>
        <color rgb="FFFCFCFF"/>
      </colorScale>
    </cfRule>
  </conditionalFormatting>
  <conditionalFormatting sqref="F1992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93">
    <cfRule type="colorScale" priority="30">
      <colorScale>
        <cfvo type="min"/>
        <cfvo type="max"/>
        <color rgb="FFF8696B"/>
        <color rgb="FFFCFCFF"/>
      </colorScale>
    </cfRule>
  </conditionalFormatting>
  <conditionalFormatting sqref="F1994">
    <cfRule type="colorScale" priority="28">
      <colorScale>
        <cfvo type="min"/>
        <cfvo type="max"/>
        <color rgb="FFF8696B"/>
        <color rgb="FFFCFCFF"/>
      </colorScale>
    </cfRule>
  </conditionalFormatting>
  <conditionalFormatting sqref="F1995:F2012 F1985">
    <cfRule type="colorScale" priority="8757">
      <colorScale>
        <cfvo type="min"/>
        <cfvo type="max"/>
        <color rgb="FFF8696B"/>
        <color rgb="FFFCFCFF"/>
      </colorScale>
    </cfRule>
  </conditionalFormatting>
  <conditionalFormatting sqref="F2013">
    <cfRule type="colorScale" priority="446">
      <colorScale>
        <cfvo type="min"/>
        <cfvo type="max"/>
        <color rgb="FFF8696B"/>
        <color rgb="FFFCFCFF"/>
      </colorScale>
    </cfRule>
  </conditionalFormatting>
  <conditionalFormatting sqref="F2016">
    <cfRule type="colorScale" priority="23">
      <colorScale>
        <cfvo type="min"/>
        <cfvo type="max"/>
        <color rgb="FFF8696B"/>
        <color rgb="FFFCFCFF"/>
      </colorScale>
    </cfRule>
  </conditionalFormatting>
  <conditionalFormatting sqref="F2017">
    <cfRule type="colorScale" priority="22">
      <colorScale>
        <cfvo type="min"/>
        <cfvo type="max"/>
        <color rgb="FFF8696B"/>
        <color rgb="FFFCFCFF"/>
      </colorScale>
    </cfRule>
  </conditionalFormatting>
  <conditionalFormatting sqref="F2018">
    <cfRule type="colorScale" priority="673">
      <colorScale>
        <cfvo type="min"/>
        <cfvo type="max"/>
        <color rgb="FFF8696B"/>
        <color rgb="FFFCFCFF"/>
      </colorScale>
    </cfRule>
  </conditionalFormatting>
  <conditionalFormatting sqref="F2038:F2039">
    <cfRule type="colorScale" priority="669">
      <colorScale>
        <cfvo type="min"/>
        <cfvo type="max"/>
        <color rgb="FFF8696B"/>
        <color rgb="FFFCFCFF"/>
      </colorScale>
    </cfRule>
  </conditionalFormatting>
  <conditionalFormatting sqref="F2040">
    <cfRule type="colorScale" priority="684">
      <colorScale>
        <cfvo type="min"/>
        <cfvo type="max"/>
        <color rgb="FFF8696B"/>
        <color rgb="FFFCFCFF"/>
      </colorScale>
    </cfRule>
  </conditionalFormatting>
  <conditionalFormatting sqref="F2041">
    <cfRule type="colorScale" priority="660">
      <colorScale>
        <cfvo type="min"/>
        <cfvo type="max"/>
        <color rgb="FFF8696B"/>
        <color rgb="FFFCFCFF"/>
      </colorScale>
    </cfRule>
  </conditionalFormatting>
  <conditionalFormatting sqref="F2049">
    <cfRule type="colorScale" priority="666">
      <colorScale>
        <cfvo type="min"/>
        <cfvo type="max"/>
        <color rgb="FFF8696B"/>
        <color rgb="FFFCFCFF"/>
      </colorScale>
    </cfRule>
  </conditionalFormatting>
  <conditionalFormatting sqref="F2179">
    <cfRule type="colorScale" priority="681">
      <colorScale>
        <cfvo type="min"/>
        <cfvo type="max"/>
        <color rgb="FFF8696B"/>
        <color rgb="FFFCFCFF"/>
      </colorScale>
    </cfRule>
  </conditionalFormatting>
  <conditionalFormatting sqref="F2180">
    <cfRule type="colorScale" priority="665">
      <colorScale>
        <cfvo type="min"/>
        <cfvo type="max"/>
        <color rgb="FFF8696B"/>
        <color rgb="FFFCFCFF"/>
      </colorScale>
    </cfRule>
  </conditionalFormatting>
  <conditionalFormatting sqref="F2181">
    <cfRule type="colorScale" priority="460">
      <colorScale>
        <cfvo type="min"/>
        <cfvo type="max"/>
        <color rgb="FFF8696B"/>
        <color rgb="FFFCFCFF"/>
      </colorScale>
    </cfRule>
  </conditionalFormatting>
  <conditionalFormatting sqref="F2182:F2184">
    <cfRule type="colorScale" priority="664">
      <colorScale>
        <cfvo type="min"/>
        <cfvo type="max"/>
        <color rgb="FFF8696B"/>
        <color rgb="FFFCFCFF"/>
      </colorScale>
    </cfRule>
  </conditionalFormatting>
  <conditionalFormatting sqref="F2185">
    <cfRule type="colorScale" priority="663">
      <colorScale>
        <cfvo type="min"/>
        <cfvo type="max"/>
        <color rgb="FFF8696B"/>
        <color rgb="FFFCFCFF"/>
      </colorScale>
    </cfRule>
  </conditionalFormatting>
  <conditionalFormatting sqref="F2186:F2195 F2224:F2230 F1949:F1950 F2014:F2015 F1976:F1984 F1960:F1964 F2200:F2208 F2215:F2221 F2197 F2042:F2048 F2235:F2246 F2259:F2317 F2019:F2037 F2050:F2105 F2116:F2178">
    <cfRule type="colorScale" priority="8813">
      <colorScale>
        <cfvo type="min"/>
        <cfvo type="max"/>
        <color rgb="FFF8696B"/>
        <color rgb="FFFCFCFF"/>
      </colorScale>
    </cfRule>
  </conditionalFormatting>
  <conditionalFormatting sqref="F2196">
    <cfRule type="colorScale" priority="49">
      <colorScale>
        <cfvo type="min"/>
        <cfvo type="max"/>
        <color rgb="FFF8696B"/>
        <color rgb="FFFCFCFF"/>
      </colorScale>
    </cfRule>
  </conditionalFormatting>
  <conditionalFormatting sqref="F2198">
    <cfRule type="colorScale" priority="677">
      <colorScale>
        <cfvo type="min"/>
        <cfvo type="max"/>
        <color rgb="FFF8696B"/>
        <color rgb="FFFCFCFF"/>
      </colorScale>
    </cfRule>
  </conditionalFormatting>
  <conditionalFormatting sqref="F2199">
    <cfRule type="colorScale" priority="661">
      <colorScale>
        <cfvo type="min"/>
        <cfvo type="max"/>
        <color rgb="FFF8696B"/>
        <color rgb="FFFCFCFF"/>
      </colorScale>
    </cfRule>
  </conditionalFormatting>
  <conditionalFormatting sqref="F2209">
    <cfRule type="colorScale" priority="50">
      <colorScale>
        <cfvo type="min"/>
        <cfvo type="max"/>
        <color rgb="FFF8696B"/>
        <color rgb="FFFCFCFF"/>
      </colorScale>
    </cfRule>
  </conditionalFormatting>
  <conditionalFormatting sqref="F2210:F2214">
    <cfRule type="colorScale" priority="51">
      <colorScale>
        <cfvo type="min"/>
        <cfvo type="max"/>
        <color rgb="FFF8696B"/>
        <color rgb="FFFCFCFF"/>
      </colorScale>
    </cfRule>
  </conditionalFormatting>
  <conditionalFormatting sqref="F2222">
    <cfRule type="colorScale" priority="658">
      <colorScale>
        <cfvo type="min"/>
        <cfvo type="max"/>
        <color rgb="FFF8696B"/>
        <color rgb="FFFCFCFF"/>
      </colorScale>
    </cfRule>
  </conditionalFormatting>
  <conditionalFormatting sqref="F2223">
    <cfRule type="colorScale" priority="466">
      <colorScale>
        <cfvo type="min"/>
        <cfvo type="max"/>
        <color rgb="FFF8696B"/>
        <color rgb="FFFCFCFF"/>
      </colorScale>
    </cfRule>
  </conditionalFormatting>
  <conditionalFormatting sqref="F2231:F2234">
    <cfRule type="colorScale" priority="657">
      <colorScale>
        <cfvo type="min"/>
        <cfvo type="max"/>
        <color rgb="FFF8696B"/>
        <color rgb="FFFCFCFF"/>
      </colorScale>
    </cfRule>
  </conditionalFormatting>
  <conditionalFormatting sqref="F2247:F2250">
    <cfRule type="colorScale" priority="102">
      <colorScale>
        <cfvo type="min"/>
        <cfvo type="max"/>
        <color rgb="FFF8696B"/>
        <color rgb="FFFCFCFF"/>
      </colorScale>
    </cfRule>
  </conditionalFormatting>
  <conditionalFormatting sqref="F2251:F2258">
    <cfRule type="colorScale" priority="58">
      <colorScale>
        <cfvo type="min"/>
        <cfvo type="max"/>
        <color rgb="FFF8696B"/>
        <color rgb="FFFCFCFF"/>
      </colorScale>
    </cfRule>
  </conditionalFormatting>
  <conditionalFormatting sqref="F2319">
    <cfRule type="colorScale" priority="15">
      <colorScale>
        <cfvo type="min"/>
        <cfvo type="max"/>
        <color rgb="FFF8696B"/>
        <color rgb="FFFCFCFF"/>
      </colorScale>
    </cfRule>
  </conditionalFormatting>
  <conditionalFormatting sqref="F2324:F2342">
    <cfRule type="colorScale" priority="8738">
      <colorScale>
        <cfvo type="min"/>
        <cfvo type="max"/>
        <color rgb="FFF8696B"/>
        <color rgb="FFFCFCFF"/>
      </colorScale>
    </cfRule>
  </conditionalFormatting>
  <conditionalFormatting sqref="F2351:F2359">
    <cfRule type="colorScale" priority="8811">
      <colorScale>
        <cfvo type="min"/>
        <cfvo type="max"/>
        <color rgb="FFF8696B"/>
        <color rgb="FFFCFCFF"/>
      </colorScale>
    </cfRule>
  </conditionalFormatting>
  <conditionalFormatting sqref="F2363">
    <cfRule type="dataBar" priority="6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{3EC5F668-CC6F-42FE-9F2C-D1DCED2C2C82}</x14:id>
        </ext>
      </extLst>
    </cfRule>
  </conditionalFormatting>
  <conditionalFormatting sqref="F2391">
    <cfRule type="colorScale" priority="643">
      <colorScale>
        <cfvo type="min"/>
        <cfvo type="max"/>
        <color rgb="FFF8696B"/>
        <color rgb="FFFCFCFF"/>
      </colorScale>
    </cfRule>
  </conditionalFormatting>
  <conditionalFormatting sqref="F2405:F2406">
    <cfRule type="colorScale" priority="639">
      <colorScale>
        <cfvo type="min"/>
        <cfvo type="max"/>
        <color rgb="FFF8696B"/>
        <color rgb="FFFCFCFF"/>
      </colorScale>
    </cfRule>
  </conditionalFormatting>
  <conditionalFormatting sqref="F2407">
    <cfRule type="colorScale" priority="8909">
      <colorScale>
        <cfvo type="min"/>
        <cfvo type="max"/>
        <color rgb="FFF8696B"/>
        <color rgb="FFFCFCFF"/>
      </colorScale>
    </cfRule>
  </conditionalFormatting>
  <conditionalFormatting sqref="F2516">
    <cfRule type="colorScale" priority="12">
      <colorScale>
        <cfvo type="min"/>
        <cfvo type="max"/>
        <color rgb="FFF8696B"/>
        <color rgb="FFFCFCFF"/>
      </colorScale>
    </cfRule>
  </conditionalFormatting>
  <conditionalFormatting sqref="F2520:F2521">
    <cfRule type="colorScale" priority="651">
      <colorScale>
        <cfvo type="min"/>
        <cfvo type="max"/>
        <color rgb="FFF8696B"/>
        <color rgb="FFFCFCFF"/>
      </colorScale>
    </cfRule>
  </conditionalFormatting>
  <conditionalFormatting sqref="F2522:F2524">
    <cfRule type="colorScale" priority="635">
      <colorScale>
        <cfvo type="min"/>
        <cfvo type="max"/>
        <color rgb="FFF8696B"/>
        <color rgb="FFFCFCFF"/>
      </colorScale>
    </cfRule>
  </conditionalFormatting>
  <conditionalFormatting sqref="F2525">
    <cfRule type="colorScale" priority="634">
      <colorScale>
        <cfvo type="min"/>
        <cfvo type="max"/>
        <color rgb="FFF8696B"/>
        <color rgb="FFFCFCFF"/>
      </colorScale>
    </cfRule>
  </conditionalFormatting>
  <conditionalFormatting sqref="F2528:F2529">
    <cfRule type="colorScale" priority="4">
      <colorScale>
        <cfvo type="min"/>
        <cfvo type="max"/>
        <color rgb="FFF8696B"/>
        <color rgb="FFFCFCFF"/>
      </colorScale>
    </cfRule>
  </conditionalFormatting>
  <conditionalFormatting sqref="F2530">
    <cfRule type="colorScale" priority="3406">
      <colorScale>
        <cfvo type="min"/>
        <cfvo type="max"/>
        <color rgb="FFF8696B"/>
        <color rgb="FFFCFCFF"/>
      </colorScale>
    </cfRule>
  </conditionalFormatting>
  <conditionalFormatting sqref="F2537">
    <cfRule type="colorScale" priority="459">
      <colorScale>
        <cfvo type="min"/>
        <cfvo type="max"/>
        <color rgb="FFF8696B"/>
        <color rgb="FFFCFCFF"/>
      </colorScale>
    </cfRule>
  </conditionalFormatting>
  <conditionalFormatting sqref="F2544">
    <cfRule type="colorScale" priority="633">
      <colorScale>
        <cfvo type="min"/>
        <cfvo type="max"/>
        <color rgb="FFF8696B"/>
        <color rgb="FFFCFCFF"/>
      </colorScale>
    </cfRule>
  </conditionalFormatting>
  <conditionalFormatting sqref="F2547:F2549">
    <cfRule type="colorScale" priority="3306">
      <colorScale>
        <cfvo type="min"/>
        <cfvo type="max"/>
        <color rgb="FFF8696B"/>
        <color rgb="FFFCFCFF"/>
      </colorScale>
    </cfRule>
  </conditionalFormatting>
  <conditionalFormatting sqref="F2550:F2559 F2545:F2546 F2531:F2536 F2392:F2404 F2526:F2527 F2517:F2519 F2363:F2390 F2538:F2543 F2408:F2515">
    <cfRule type="colorScale" priority="653">
      <colorScale>
        <cfvo type="min"/>
        <cfvo type="max"/>
        <color rgb="FFF8696B"/>
        <color rgb="FFFCFCFF"/>
      </colorScale>
    </cfRule>
  </conditionalFormatting>
  <conditionalFormatting sqref="F2564">
    <cfRule type="colorScale" priority="8">
      <colorScale>
        <cfvo type="min"/>
        <cfvo type="max"/>
        <color rgb="FFF8696B"/>
        <color rgb="FFFCFCFF"/>
      </colorScale>
    </cfRule>
  </conditionalFormatting>
  <conditionalFormatting sqref="F2565">
    <cfRule type="colorScale" priority="7">
      <colorScale>
        <cfvo type="min"/>
        <cfvo type="max"/>
        <color rgb="FFF8696B"/>
        <color rgb="FFFCFCFF"/>
      </colorScale>
    </cfRule>
  </conditionalFormatting>
  <conditionalFormatting sqref="F2566">
    <cfRule type="colorScale" priority="6">
      <colorScale>
        <cfvo type="min"/>
        <cfvo type="max"/>
        <color rgb="FFF8696B"/>
        <color rgb="FFFCFCFF"/>
      </colorScale>
    </cfRule>
  </conditionalFormatting>
  <conditionalFormatting sqref="F2580">
    <cfRule type="dataBar" priority="6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{A59574DB-C0B9-4504-B66C-E23DF6323C62}</x14:id>
        </ext>
      </extLst>
    </cfRule>
  </conditionalFormatting>
  <conditionalFormatting sqref="F2601:F2602">
    <cfRule type="colorScale" priority="617">
      <colorScale>
        <cfvo type="min"/>
        <cfvo type="max"/>
        <color rgb="FFF8696B"/>
        <color rgb="FFFCFCFF"/>
      </colorScale>
    </cfRule>
  </conditionalFormatting>
  <conditionalFormatting sqref="F2616:F2617">
    <cfRule type="colorScale" priority="613">
      <colorScale>
        <cfvo type="min"/>
        <cfvo type="max"/>
        <color rgb="FFF8696B"/>
        <color rgb="FFFCFCFF"/>
      </colorScale>
    </cfRule>
  </conditionalFormatting>
  <conditionalFormatting sqref="F2618">
    <cfRule type="colorScale" priority="8928">
      <colorScale>
        <cfvo type="min"/>
        <cfvo type="max"/>
        <color rgb="FFF8696B"/>
        <color rgb="FFFCFCFF"/>
      </colorScale>
    </cfRule>
  </conditionalFormatting>
  <conditionalFormatting sqref="F2724:F2725">
    <cfRule type="colorScale" priority="8939">
      <colorScale>
        <cfvo type="min"/>
        <cfvo type="max"/>
        <color rgb="FFF8696B"/>
        <color rgb="FFFCFCFF"/>
      </colorScale>
    </cfRule>
  </conditionalFormatting>
  <conditionalFormatting sqref="F2726">
    <cfRule type="colorScale" priority="608">
      <colorScale>
        <cfvo type="min"/>
        <cfvo type="max"/>
        <color rgb="FFF8696B"/>
        <color rgb="FFFCFCFF"/>
      </colorScale>
    </cfRule>
  </conditionalFormatting>
  <conditionalFormatting sqref="F2738">
    <cfRule type="colorScale" priority="621">
      <colorScale>
        <cfvo type="min"/>
        <cfvo type="max"/>
        <color rgb="FFF8696B"/>
        <color rgb="FFFCFCFF"/>
      </colorScale>
    </cfRule>
  </conditionalFormatting>
  <conditionalFormatting sqref="F2745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2751">
    <cfRule type="colorScale" priority="606">
      <colorScale>
        <cfvo type="min"/>
        <cfvo type="max"/>
        <color rgb="FFF8696B"/>
        <color rgb="FFFCFCFF"/>
      </colorScale>
    </cfRule>
  </conditionalFormatting>
  <conditionalFormatting sqref="F2752:F2753 F2603:F2615 F2727:F2737 F2739:F2744 F2746:F2750 F2580:F2600 F2619:F2723 F2757:F2765">
    <cfRule type="colorScale" priority="8938">
      <colorScale>
        <cfvo type="min"/>
        <cfvo type="max"/>
        <color rgb="FFF8696B"/>
        <color rgb="FFFCFCFF"/>
      </colorScale>
    </cfRule>
  </conditionalFormatting>
  <conditionalFormatting sqref="F2754:F2756">
    <cfRule type="colorScale" priority="3314">
      <colorScale>
        <cfvo type="min"/>
        <cfvo type="max"/>
        <color rgb="FFF8696B"/>
        <color rgb="FFFCFCFF"/>
      </colorScale>
    </cfRule>
  </conditionalFormatting>
  <conditionalFormatting sqref="F2767">
    <cfRule type="colorScale" priority="1">
      <colorScale>
        <cfvo type="min"/>
        <cfvo type="max"/>
        <color rgb="FFF8696B"/>
        <color rgb="FFFCFCFF"/>
      </colorScale>
    </cfRule>
  </conditionalFormatting>
  <conditionalFormatting sqref="F2777:F2778">
    <cfRule type="colorScale" priority="600">
      <colorScale>
        <cfvo type="min"/>
        <cfvo type="max"/>
        <color rgb="FFF8696B"/>
        <color rgb="FFFCFCFF"/>
      </colorScale>
    </cfRule>
  </conditionalFormatting>
  <conditionalFormatting sqref="F608:G614 F615">
    <cfRule type="colorScale" priority="511">
      <colorScale>
        <cfvo type="min"/>
        <cfvo type="max"/>
        <color rgb="FFF8696B"/>
        <color rgb="FFFCFCFF"/>
      </colorScale>
    </cfRule>
  </conditionalFormatting>
  <conditionalFormatting sqref="G12">
    <cfRule type="colorScale" priority="1943">
      <colorScale>
        <cfvo type="min"/>
        <cfvo type="max"/>
        <color rgb="FFF8696B"/>
        <color rgb="FFFCFCFF"/>
      </colorScale>
    </cfRule>
  </conditionalFormatting>
  <conditionalFormatting sqref="G13">
    <cfRule type="colorScale" priority="576">
      <colorScale>
        <cfvo type="min"/>
        <cfvo type="max"/>
        <color rgb="FFF8696B"/>
        <color rgb="FFFCFCFF"/>
      </colorScale>
    </cfRule>
  </conditionalFormatting>
  <conditionalFormatting sqref="G14">
    <cfRule type="colorScale" priority="1161">
      <colorScale>
        <cfvo type="min"/>
        <cfvo type="max"/>
        <color rgb="FFF8696B"/>
        <color rgb="FFFCFCFF"/>
      </colorScale>
    </cfRule>
  </conditionalFormatting>
  <conditionalFormatting sqref="G15:G17">
    <cfRule type="colorScale" priority="559">
      <colorScale>
        <cfvo type="min"/>
        <cfvo type="max"/>
        <color rgb="FFF8696B"/>
        <color rgb="FFFCFCFF"/>
      </colorScale>
    </cfRule>
  </conditionalFormatting>
  <conditionalFormatting sqref="G30">
    <cfRule type="colorScale" priority="764">
      <colorScale>
        <cfvo type="min"/>
        <cfvo type="max"/>
        <color rgb="FFF8696B"/>
        <color rgb="FFFCFCFF"/>
      </colorScale>
    </cfRule>
  </conditionalFormatting>
  <conditionalFormatting sqref="G52">
    <cfRule type="colorScale" priority="760">
      <colorScale>
        <cfvo type="min"/>
        <cfvo type="max"/>
        <color rgb="FFF8696B"/>
        <color rgb="FFFCFCFF"/>
      </colorScale>
    </cfRule>
  </conditionalFormatting>
  <conditionalFormatting sqref="G59:G65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93:G102">
    <cfRule type="colorScale" priority="526">
      <colorScale>
        <cfvo type="min"/>
        <cfvo type="max"/>
        <color rgb="FFF8696B"/>
        <color rgb="FFFCFCFF"/>
      </colorScale>
    </cfRule>
  </conditionalFormatting>
  <conditionalFormatting sqref="G191:G193 G195:G202">
    <cfRule type="colorScale" priority="547">
      <colorScale>
        <cfvo type="min"/>
        <cfvo type="max"/>
        <color rgb="FFF8696B"/>
        <color rgb="FFFCFCFF"/>
      </colorScale>
    </cfRule>
  </conditionalFormatting>
  <conditionalFormatting sqref="G194">
    <cfRule type="colorScale" priority="401">
      <colorScale>
        <cfvo type="min"/>
        <cfvo type="max"/>
        <color rgb="FFF8696B"/>
        <color rgb="FFFCFCFF"/>
      </colorScale>
    </cfRule>
  </conditionalFormatting>
  <conditionalFormatting sqref="G204:G208">
    <cfRule type="colorScale" priority="3462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222:G224">
    <cfRule type="colorScale" priority="400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232">
    <cfRule type="colorScale" priority="404">
      <colorScale>
        <cfvo type="min"/>
        <cfvo type="max"/>
        <color rgb="FFF8696B"/>
        <color rgb="FFFCFCFF"/>
      </colorScale>
    </cfRule>
  </conditionalFormatting>
  <conditionalFormatting sqref="G233:G235">
    <cfRule type="colorScale" priority="421">
      <colorScale>
        <cfvo type="min"/>
        <cfvo type="max"/>
        <color rgb="FFF8696B"/>
        <color rgb="FFFCFCFF"/>
      </colorScale>
    </cfRule>
  </conditionalFormatting>
  <conditionalFormatting sqref="G237">
    <cfRule type="colorScale" priority="491">
      <colorScale>
        <cfvo type="min"/>
        <cfvo type="max"/>
        <color rgb="FFF8696B"/>
        <color rgb="FFFCFCFF"/>
      </colorScale>
    </cfRule>
  </conditionalFormatting>
  <conditionalFormatting sqref="G241:G242">
    <cfRule type="colorScale" priority="334">
      <colorScale>
        <cfvo type="min"/>
        <cfvo type="max"/>
        <color rgb="FFF8696B"/>
        <color rgb="FFFCFCFF"/>
      </colorScale>
    </cfRule>
  </conditionalFormatting>
  <conditionalFormatting sqref="G247">
    <cfRule type="colorScale" priority="295">
      <colorScale>
        <cfvo type="min"/>
        <cfvo type="max"/>
        <color rgb="FFF8696B"/>
        <color rgb="FFFCFCFF"/>
      </colorScale>
    </cfRule>
  </conditionalFormatting>
  <conditionalFormatting sqref="G248:G261">
    <cfRule type="colorScale" priority="360">
      <colorScale>
        <cfvo type="min"/>
        <cfvo type="max"/>
        <color rgb="FFF8696B"/>
        <color rgb="FFFCFCFF"/>
      </colorScale>
    </cfRule>
  </conditionalFormatting>
  <conditionalFormatting sqref="G262">
    <cfRule type="colorScale" priority="310">
      <colorScale>
        <cfvo type="min"/>
        <cfvo type="max"/>
        <color rgb="FFF8696B"/>
        <color rgb="FFFCFCFF"/>
      </colorScale>
    </cfRule>
  </conditionalFormatting>
  <conditionalFormatting sqref="G263:G265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266">
    <cfRule type="colorScale" priority="5638">
      <colorScale>
        <cfvo type="min"/>
        <cfvo type="max"/>
        <color rgb="FFF8696B"/>
        <color rgb="FFFCFCFF"/>
      </colorScale>
    </cfRule>
  </conditionalFormatting>
  <conditionalFormatting sqref="G267">
    <cfRule type="colorScale" priority="356">
      <colorScale>
        <cfvo type="min"/>
        <cfvo type="max"/>
        <color rgb="FFF8696B"/>
        <color rgb="FFFCFCFF"/>
      </colorScale>
    </cfRule>
  </conditionalFormatting>
  <conditionalFormatting sqref="G268">
    <cfRule type="colorScale" priority="355">
      <colorScale>
        <cfvo type="min"/>
        <cfvo type="max"/>
        <color rgb="FFF8696B"/>
        <color rgb="FFFCFCFF"/>
      </colorScale>
    </cfRule>
  </conditionalFormatting>
  <conditionalFormatting sqref="G269:G271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272">
    <cfRule type="colorScale" priority="362">
      <colorScale>
        <cfvo type="min"/>
        <cfvo type="max"/>
        <color rgb="FFF8696B"/>
        <color rgb="FFFCFCFF"/>
      </colorScale>
    </cfRule>
  </conditionalFormatting>
  <conditionalFormatting sqref="G273:G278">
    <cfRule type="colorScale" priority="418">
      <colorScale>
        <cfvo type="min"/>
        <cfvo type="max"/>
        <color rgb="FFF8696B"/>
        <color rgb="FFFCFCFF"/>
      </colorScale>
    </cfRule>
  </conditionalFormatting>
  <conditionalFormatting sqref="G285:G286">
    <cfRule type="colorScale" priority="581">
      <colorScale>
        <cfvo type="min"/>
        <cfvo type="max"/>
        <color rgb="FFF8696B"/>
        <color rgb="FFFCFCFF"/>
      </colorScale>
    </cfRule>
  </conditionalFormatting>
  <conditionalFormatting sqref="G290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291:G292">
    <cfRule type="colorScale" priority="372">
      <colorScale>
        <cfvo type="min"/>
        <cfvo type="max"/>
        <color rgb="FFF8696B"/>
        <color rgb="FFFCFCFF"/>
      </colorScale>
    </cfRule>
  </conditionalFormatting>
  <conditionalFormatting sqref="G318">
    <cfRule type="colorScale" priority="762">
      <colorScale>
        <cfvo type="min"/>
        <cfvo type="max"/>
        <color rgb="FFF8696B"/>
        <color rgb="FFFCFCFF"/>
      </colorScale>
    </cfRule>
  </conditionalFormatting>
  <conditionalFormatting sqref="G319">
    <cfRule type="colorScale" priority="587">
      <colorScale>
        <cfvo type="min"/>
        <cfvo type="max"/>
        <color rgb="FFF8696B"/>
        <color rgb="FFFCFCFF"/>
      </colorScale>
    </cfRule>
  </conditionalFormatting>
  <conditionalFormatting sqref="G350">
    <cfRule type="colorScale" priority="519">
      <colorScale>
        <cfvo type="min"/>
        <cfvo type="max"/>
        <color rgb="FFF8696B"/>
        <color rgb="FFFCFCFF"/>
      </colorScale>
    </cfRule>
  </conditionalFormatting>
  <conditionalFormatting sqref="G354">
    <cfRule type="colorScale" priority="4370">
      <colorScale>
        <cfvo type="min"/>
        <cfvo type="max"/>
        <color rgb="FFF8696B"/>
        <color rgb="FFFCFCFF"/>
      </colorScale>
    </cfRule>
  </conditionalFormatting>
  <conditionalFormatting sqref="G355:G366">
    <cfRule type="colorScale" priority="4675">
      <colorScale>
        <cfvo type="min"/>
        <cfvo type="max"/>
        <color rgb="FFF8696B"/>
        <color rgb="FFFCFCFF"/>
      </colorScale>
    </cfRule>
  </conditionalFormatting>
  <conditionalFormatting sqref="G367">
    <cfRule type="colorScale" priority="325">
      <colorScale>
        <cfvo type="min"/>
        <cfvo type="max"/>
        <color rgb="FFF8696B"/>
        <color rgb="FFFCFCFF"/>
      </colorScale>
    </cfRule>
  </conditionalFormatting>
  <conditionalFormatting sqref="G368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369:G370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382:G387">
    <cfRule type="colorScale" priority="2206">
      <colorScale>
        <cfvo type="min"/>
        <cfvo type="max"/>
        <color rgb="FFF8696B"/>
        <color rgb="FFFCFCFF"/>
      </colorScale>
    </cfRule>
  </conditionalFormatting>
  <conditionalFormatting sqref="G388:G391">
    <cfRule type="colorScale" priority="513">
      <colorScale>
        <cfvo type="min"/>
        <cfvo type="max"/>
        <color rgb="FFF8696B"/>
        <color rgb="FFFCFCFF"/>
      </colorScale>
    </cfRule>
  </conditionalFormatting>
  <conditionalFormatting sqref="G392:G395 G351:G353 G371:G372 G400:G404 G407:G423">
    <cfRule type="colorScale" priority="4204">
      <colorScale>
        <cfvo type="min"/>
        <cfvo type="max"/>
        <color rgb="FFF8696B"/>
        <color rgb="FFFCFCFF"/>
      </colorScale>
    </cfRule>
  </conditionalFormatting>
  <conditionalFormatting sqref="G396">
    <cfRule type="colorScale" priority="570">
      <colorScale>
        <cfvo type="min"/>
        <cfvo type="max"/>
        <color rgb="FFF8696B"/>
        <color rgb="FFFCFCFF"/>
      </colorScale>
    </cfRule>
  </conditionalFormatting>
  <conditionalFormatting sqref="G399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405">
    <cfRule type="colorScale" priority="572">
      <colorScale>
        <cfvo type="min"/>
        <cfvo type="max"/>
        <color rgb="FFF8696B"/>
        <color rgb="FFFCFCFF"/>
      </colorScale>
    </cfRule>
  </conditionalFormatting>
  <conditionalFormatting sqref="G424">
    <cfRule type="colorScale" priority="375">
      <colorScale>
        <cfvo type="min"/>
        <cfvo type="max"/>
        <color rgb="FFF8696B"/>
        <color rgb="FFFCFCFF"/>
      </colorScale>
    </cfRule>
  </conditionalFormatting>
  <conditionalFormatting sqref="G425:G426">
    <cfRule type="colorScale" priority="374">
      <colorScale>
        <cfvo type="min"/>
        <cfvo type="max"/>
        <color rgb="FFF8696B"/>
        <color rgb="FFFCFCFF"/>
      </colorScale>
    </cfRule>
  </conditionalFormatting>
  <conditionalFormatting sqref="G427:G435">
    <cfRule type="colorScale" priority="373">
      <colorScale>
        <cfvo type="min"/>
        <cfvo type="max"/>
        <color rgb="FFF8696B"/>
        <color rgb="FFFCFCFF"/>
      </colorScale>
    </cfRule>
  </conditionalFormatting>
  <conditionalFormatting sqref="G436">
    <cfRule type="colorScale" priority="352">
      <colorScale>
        <cfvo type="min"/>
        <cfvo type="max"/>
        <color rgb="FFF8696B"/>
        <color rgb="FFFCFCFF"/>
      </colorScale>
    </cfRule>
  </conditionalFormatting>
  <conditionalFormatting sqref="G437">
    <cfRule type="colorScale" priority="350">
      <colorScale>
        <cfvo type="min"/>
        <cfvo type="max"/>
        <color rgb="FFF8696B"/>
        <color rgb="FFFCFCFF"/>
      </colorScale>
    </cfRule>
  </conditionalFormatting>
  <conditionalFormatting sqref="G438:G443">
    <cfRule type="colorScale" priority="3520">
      <colorScale>
        <cfvo type="min"/>
        <cfvo type="max"/>
        <color rgb="FFF8696B"/>
        <color rgb="FFFCFCFF"/>
      </colorScale>
    </cfRule>
  </conditionalFormatting>
  <conditionalFormatting sqref="G444:G445">
    <cfRule type="colorScale" priority="424">
      <colorScale>
        <cfvo type="min"/>
        <cfvo type="max"/>
        <color rgb="FFF8696B"/>
        <color rgb="FFFCFCFF"/>
      </colorScale>
    </cfRule>
  </conditionalFormatting>
  <conditionalFormatting sqref="G446:G451">
    <cfRule type="colorScale" priority="3782">
      <colorScale>
        <cfvo type="min"/>
        <cfvo type="max"/>
        <color rgb="FFF8696B"/>
        <color rgb="FFFCFCFF"/>
      </colorScale>
    </cfRule>
  </conditionalFormatting>
  <conditionalFormatting sqref="G452">
    <cfRule type="colorScale" priority="309">
      <colorScale>
        <cfvo type="min"/>
        <cfvo type="max"/>
        <color rgb="FFF8696B"/>
        <color rgb="FFFCFCFF"/>
      </colorScale>
    </cfRule>
  </conditionalFormatting>
  <conditionalFormatting sqref="G453">
    <cfRule type="colorScale" priority="308">
      <colorScale>
        <cfvo type="min"/>
        <cfvo type="max"/>
        <color rgb="FFF8696B"/>
        <color rgb="FFFCFCFF"/>
      </colorScale>
    </cfRule>
  </conditionalFormatting>
  <conditionalFormatting sqref="G454">
    <cfRule type="colorScale" priority="307">
      <colorScale>
        <cfvo type="min"/>
        <cfvo type="max"/>
        <color rgb="FFF8696B"/>
        <color rgb="FFFCFCFF"/>
      </colorScale>
    </cfRule>
  </conditionalFormatting>
  <conditionalFormatting sqref="G455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456">
    <cfRule type="colorScale" priority="305">
      <colorScale>
        <cfvo type="min"/>
        <cfvo type="max"/>
        <color rgb="FFF8696B"/>
        <color rgb="FFFCFCFF"/>
      </colorScale>
    </cfRule>
  </conditionalFormatting>
  <conditionalFormatting sqref="G457">
    <cfRule type="colorScale" priority="304">
      <colorScale>
        <cfvo type="min"/>
        <cfvo type="max"/>
        <color rgb="FFF8696B"/>
        <color rgb="FFFCFCFF"/>
      </colorScale>
    </cfRule>
  </conditionalFormatting>
  <conditionalFormatting sqref="G458">
    <cfRule type="colorScale" priority="303">
      <colorScale>
        <cfvo type="min"/>
        <cfvo type="max"/>
        <color rgb="FFF8696B"/>
        <color rgb="FFFCFCFF"/>
      </colorScale>
    </cfRule>
  </conditionalFormatting>
  <conditionalFormatting sqref="G459">
    <cfRule type="colorScale" priority="302">
      <colorScale>
        <cfvo type="min"/>
        <cfvo type="max"/>
        <color rgb="FFF8696B"/>
        <color rgb="FFFCFCFF"/>
      </colorScale>
    </cfRule>
  </conditionalFormatting>
  <conditionalFormatting sqref="G460">
    <cfRule type="colorScale" priority="301">
      <colorScale>
        <cfvo type="min"/>
        <cfvo type="max"/>
        <color rgb="FFF8696B"/>
        <color rgb="FFFCFCFF"/>
      </colorScale>
    </cfRule>
  </conditionalFormatting>
  <conditionalFormatting sqref="G461">
    <cfRule type="colorScale" priority="4610">
      <colorScale>
        <cfvo type="min"/>
        <cfvo type="max"/>
        <color rgb="FFF8696B"/>
        <color rgb="FFFCFCFF"/>
      </colorScale>
    </cfRule>
  </conditionalFormatting>
  <conditionalFormatting sqref="G462">
    <cfRule type="colorScale" priority="299">
      <colorScale>
        <cfvo type="min"/>
        <cfvo type="max"/>
        <color rgb="FFF8696B"/>
        <color rgb="FFFCFCFF"/>
      </colorScale>
    </cfRule>
  </conditionalFormatting>
  <conditionalFormatting sqref="G463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464">
    <cfRule type="colorScale" priority="297">
      <colorScale>
        <cfvo type="min"/>
        <cfvo type="max"/>
        <color rgb="FFF8696B"/>
        <color rgb="FFFCFCFF"/>
      </colorScale>
    </cfRule>
  </conditionalFormatting>
  <conditionalFormatting sqref="G465:G468">
    <cfRule type="colorScale" priority="4786">
      <colorScale>
        <cfvo type="min"/>
        <cfvo type="max"/>
        <color rgb="FFF8696B"/>
        <color rgb="FFFCFCFF"/>
      </colorScale>
    </cfRule>
  </conditionalFormatting>
  <conditionalFormatting sqref="G469:G470 G473:G478">
    <cfRule type="colorScale" priority="2729">
      <colorScale>
        <cfvo type="min"/>
        <cfvo type="max"/>
        <color rgb="FFF8696B"/>
        <color rgb="FFFCFCFF"/>
      </colorScale>
    </cfRule>
  </conditionalFormatting>
  <conditionalFormatting sqref="G471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472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481">
    <cfRule type="colorScale" priority="549">
      <colorScale>
        <cfvo type="min"/>
        <cfvo type="max"/>
        <color rgb="FFF8696B"/>
        <color rgb="FFFCFCFF"/>
      </colorScale>
    </cfRule>
  </conditionalFormatting>
  <conditionalFormatting sqref="G482">
    <cfRule type="colorScale" priority="442">
      <colorScale>
        <cfvo type="min"/>
        <cfvo type="max"/>
        <color rgb="FFF8696B"/>
        <color rgb="FFFCFCFF"/>
      </colorScale>
    </cfRule>
  </conditionalFormatting>
  <conditionalFormatting sqref="G483">
    <cfRule type="colorScale" priority="568">
      <colorScale>
        <cfvo type="min"/>
        <cfvo type="max"/>
        <color rgb="FFF8696B"/>
        <color rgb="FFFCFCFF"/>
      </colorScale>
    </cfRule>
  </conditionalFormatting>
  <conditionalFormatting sqref="G485:G489">
    <cfRule type="colorScale" priority="4144">
      <colorScale>
        <cfvo type="min"/>
        <cfvo type="max"/>
        <color rgb="FFF8696B"/>
        <color rgb="FFFCFCFF"/>
      </colorScale>
    </cfRule>
  </conditionalFormatting>
  <conditionalFormatting sqref="G490:G497">
    <cfRule type="colorScale" priority="402">
      <colorScale>
        <cfvo type="min"/>
        <cfvo type="max"/>
        <color rgb="FFF8696B"/>
        <color rgb="FFFCFCFF"/>
      </colorScale>
    </cfRule>
  </conditionalFormatting>
  <conditionalFormatting sqref="G519:G521 G526:G530">
    <cfRule type="colorScale" priority="6811">
      <colorScale>
        <cfvo type="min"/>
        <cfvo type="max"/>
        <color rgb="FFF8696B"/>
        <color rgb="FFFCFCFF"/>
      </colorScale>
    </cfRule>
  </conditionalFormatting>
  <conditionalFormatting sqref="G522">
    <cfRule type="colorScale" priority="441">
      <colorScale>
        <cfvo type="min"/>
        <cfvo type="max"/>
        <color rgb="FFF8696B"/>
        <color rgb="FFFCFCFF"/>
      </colorScale>
    </cfRule>
  </conditionalFormatting>
  <conditionalFormatting sqref="G531">
    <cfRule type="colorScale" priority="741">
      <colorScale>
        <cfvo type="min"/>
        <cfvo type="max"/>
        <color rgb="FFF8696B"/>
        <color rgb="FFFCFCFF"/>
      </colorScale>
    </cfRule>
  </conditionalFormatting>
  <conditionalFormatting sqref="G532:G534">
    <cfRule type="colorScale" priority="2348">
      <colorScale>
        <cfvo type="min"/>
        <cfvo type="max"/>
        <color rgb="FFF8696B"/>
        <color rgb="FFFCFCFF"/>
      </colorScale>
    </cfRule>
  </conditionalFormatting>
  <conditionalFormatting sqref="G535:G539">
    <cfRule type="colorScale" priority="495">
      <colorScale>
        <cfvo type="min"/>
        <cfvo type="max"/>
        <color rgb="FFF8696B"/>
        <color rgb="FFFCFCFF"/>
      </colorScale>
    </cfRule>
  </conditionalFormatting>
  <conditionalFormatting sqref="G550:G554">
    <cfRule type="colorScale" priority="509">
      <colorScale>
        <cfvo type="min"/>
        <cfvo type="max"/>
        <color rgb="FFF8696B"/>
        <color rgb="FFFCFCFF"/>
      </colorScale>
    </cfRule>
  </conditionalFormatting>
  <conditionalFormatting sqref="G555">
    <cfRule type="colorScale" priority="508">
      <colorScale>
        <cfvo type="min"/>
        <cfvo type="max"/>
        <color rgb="FFF8696B"/>
        <color rgb="FFFCFCFF"/>
      </colorScale>
    </cfRule>
  </conditionalFormatting>
  <conditionalFormatting sqref="G558:G563">
    <cfRule type="colorScale" priority="558">
      <colorScale>
        <cfvo type="min"/>
        <cfvo type="max"/>
        <color rgb="FFF8696B"/>
        <color rgb="FFFCFCFF"/>
      </colorScale>
    </cfRule>
  </conditionalFormatting>
  <conditionalFormatting sqref="G564:G565">
    <cfRule type="colorScale" priority="557">
      <colorScale>
        <cfvo type="min"/>
        <cfvo type="max"/>
        <color rgb="FFF8696B"/>
        <color rgb="FFFCFCFF"/>
      </colorScale>
    </cfRule>
  </conditionalFormatting>
  <conditionalFormatting sqref="G566">
    <cfRule type="colorScale" priority="440">
      <colorScale>
        <cfvo type="min"/>
        <cfvo type="max"/>
        <color rgb="FFF8696B"/>
        <color rgb="FFFCFCFF"/>
      </colorScale>
    </cfRule>
  </conditionalFormatting>
  <conditionalFormatting sqref="G567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568:G571">
    <cfRule type="colorScale" priority="515">
      <colorScale>
        <cfvo type="min"/>
        <cfvo type="max"/>
        <color rgb="FFF8696B"/>
        <color rgb="FFFCFCFF"/>
      </colorScale>
    </cfRule>
  </conditionalFormatting>
  <conditionalFormatting sqref="G572">
    <cfRule type="colorScale" priority="514">
      <colorScale>
        <cfvo type="min"/>
        <cfvo type="max"/>
        <color rgb="FFF8696B"/>
        <color rgb="FFFCFCFF"/>
      </colorScale>
    </cfRule>
  </conditionalFormatting>
  <conditionalFormatting sqref="G573 G577">
    <cfRule type="colorScale" priority="740">
      <colorScale>
        <cfvo type="min"/>
        <cfvo type="max"/>
        <color rgb="FFF8696B"/>
        <color rgb="FFFCFCFF"/>
      </colorScale>
    </cfRule>
  </conditionalFormatting>
  <conditionalFormatting sqref="G574">
    <cfRule type="colorScale" priority="577">
      <colorScale>
        <cfvo type="min"/>
        <cfvo type="max"/>
        <color rgb="FFF8696B"/>
        <color rgb="FFFCFCFF"/>
      </colorScale>
    </cfRule>
  </conditionalFormatting>
  <conditionalFormatting sqref="G575">
    <cfRule type="colorScale" priority="524">
      <colorScale>
        <cfvo type="min"/>
        <cfvo type="max"/>
        <color rgb="FFF8696B"/>
        <color rgb="FFFCFCFF"/>
      </colorScale>
    </cfRule>
  </conditionalFormatting>
  <conditionalFormatting sqref="G576">
    <cfRule type="colorScale" priority="523">
      <colorScale>
        <cfvo type="min"/>
        <cfvo type="max"/>
        <color rgb="FFF8696B"/>
        <color rgb="FFFCFCFF"/>
      </colorScale>
    </cfRule>
  </conditionalFormatting>
  <conditionalFormatting sqref="G578:G579 G681 G10 G406 G670:G671 G584:G587 G616:G617 G540:G549 G556:G557 G620 G397:G398">
    <cfRule type="colorScale" priority="579">
      <colorScale>
        <cfvo type="min"/>
        <cfvo type="max"/>
        <color rgb="FFF8696B"/>
        <color rgb="FFFCFCFF"/>
      </colorScale>
    </cfRule>
  </conditionalFormatting>
  <conditionalFormatting sqref="G580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581:G582">
    <cfRule type="colorScale" priority="553">
      <colorScale>
        <cfvo type="min"/>
        <cfvo type="max"/>
        <color rgb="FFF8696B"/>
        <color rgb="FFFCFCFF"/>
      </colorScale>
    </cfRule>
  </conditionalFormatting>
  <conditionalFormatting sqref="G583">
    <cfRule type="colorScale" priority="573">
      <colorScale>
        <cfvo type="min"/>
        <cfvo type="max"/>
        <color rgb="FFF8696B"/>
        <color rgb="FFFCFCFF"/>
      </colorScale>
    </cfRule>
  </conditionalFormatting>
  <conditionalFormatting sqref="G618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621">
    <cfRule type="colorScale" priority="1492">
      <colorScale>
        <cfvo type="min"/>
        <cfvo type="max"/>
        <color rgb="FFF8696B"/>
        <color rgb="FFFCFCFF"/>
      </colorScale>
    </cfRule>
  </conditionalFormatting>
  <conditionalFormatting sqref="G633">
    <cfRule type="colorScale" priority="2297">
      <colorScale>
        <cfvo type="min"/>
        <cfvo type="max"/>
        <color rgb="FFF8696B"/>
        <color rgb="FFFCFCFF"/>
      </colorScale>
    </cfRule>
  </conditionalFormatting>
  <conditionalFormatting sqref="G634">
    <cfRule type="colorScale" priority="429">
      <colorScale>
        <cfvo type="min"/>
        <cfvo type="max"/>
        <color rgb="FFF8696B"/>
        <color rgb="FFFCFCFF"/>
      </colorScale>
    </cfRule>
  </conditionalFormatting>
  <conditionalFormatting sqref="G635">
    <cfRule type="colorScale" priority="507">
      <colorScale>
        <cfvo type="min"/>
        <cfvo type="max"/>
        <color rgb="FFF8696B"/>
        <color rgb="FFFCFCFF"/>
      </colorScale>
    </cfRule>
  </conditionalFormatting>
  <conditionalFormatting sqref="G636:G637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639:G640">
    <cfRule type="colorScale" priority="503">
      <colorScale>
        <cfvo type="min"/>
        <cfvo type="max"/>
        <color rgb="FFF8696B"/>
        <color rgb="FFFCFCFF"/>
      </colorScale>
    </cfRule>
  </conditionalFormatting>
  <conditionalFormatting sqref="G641:G650">
    <cfRule type="colorScale" priority="2555">
      <colorScale>
        <cfvo type="min"/>
        <cfvo type="max"/>
        <color rgb="FFF8696B"/>
        <color rgb="FFFCFCFF"/>
      </colorScale>
    </cfRule>
  </conditionalFormatting>
  <conditionalFormatting sqref="G651:G653">
    <cfRule type="colorScale" priority="585">
      <colorScale>
        <cfvo type="min"/>
        <cfvo type="max"/>
        <color rgb="FFF8696B"/>
        <color rgb="FFFCFCFF"/>
      </colorScale>
    </cfRule>
  </conditionalFormatting>
  <conditionalFormatting sqref="G654">
    <cfRule type="colorScale" priority="590">
      <colorScale>
        <cfvo type="min"/>
        <cfvo type="max"/>
        <color rgb="FFF8696B"/>
        <color rgb="FFFCFCFF"/>
      </colorScale>
    </cfRule>
  </conditionalFormatting>
  <conditionalFormatting sqref="G655">
    <cfRule type="colorScale" priority="574">
      <colorScale>
        <cfvo type="min"/>
        <cfvo type="max"/>
        <color rgb="FFF8696B"/>
        <color rgb="FFFCFCFF"/>
      </colorScale>
    </cfRule>
  </conditionalFormatting>
  <conditionalFormatting sqref="G656:G657">
    <cfRule type="colorScale" priority="1333">
      <colorScale>
        <cfvo type="min"/>
        <cfvo type="max"/>
        <color rgb="FFF8696B"/>
        <color rgb="FFFCFCFF"/>
      </colorScale>
    </cfRule>
  </conditionalFormatting>
  <conditionalFormatting sqref="G658:G663">
    <cfRule type="colorScale" priority="556">
      <colorScale>
        <cfvo type="min"/>
        <cfvo type="max"/>
        <color rgb="FFF8696B"/>
        <color rgb="FFFCFCFF"/>
      </colorScale>
    </cfRule>
  </conditionalFormatting>
  <conditionalFormatting sqref="G664">
    <cfRule type="colorScale" priority="521">
      <colorScale>
        <cfvo type="min"/>
        <cfvo type="max"/>
        <color rgb="FFF8696B"/>
        <color rgb="FFFCFCFF"/>
      </colorScale>
    </cfRule>
  </conditionalFormatting>
  <conditionalFormatting sqref="G666">
    <cfRule type="colorScale" priority="555">
      <colorScale>
        <cfvo type="min"/>
        <cfvo type="max"/>
        <color rgb="FFF8696B"/>
        <color rgb="FFFCFCFF"/>
      </colorScale>
    </cfRule>
  </conditionalFormatting>
  <conditionalFormatting sqref="G667">
    <cfRule type="colorScale" priority="5720">
      <colorScale>
        <cfvo type="min"/>
        <cfvo type="max"/>
        <color rgb="FFF8696B"/>
        <color rgb="FFFCFCFF"/>
      </colorScale>
    </cfRule>
  </conditionalFormatting>
  <conditionalFormatting sqref="G668:G669">
    <cfRule type="colorScale" priority="520">
      <colorScale>
        <cfvo type="min"/>
        <cfvo type="max"/>
        <color rgb="FFF8696B"/>
        <color rgb="FFFCFCFF"/>
      </colorScale>
    </cfRule>
  </conditionalFormatting>
  <conditionalFormatting sqref="G672:G675">
    <cfRule type="colorScale" priority="564">
      <colorScale>
        <cfvo type="min"/>
        <cfvo type="max"/>
        <color rgb="FFF8696B"/>
        <color rgb="FFFCFCFF"/>
      </colorScale>
    </cfRule>
  </conditionalFormatting>
  <conditionalFormatting sqref="G676:G679">
    <cfRule type="colorScale" priority="1213">
      <colorScale>
        <cfvo type="min"/>
        <cfvo type="max"/>
        <color rgb="FFF8696B"/>
        <color rgb="FFFCFCFF"/>
      </colorScale>
    </cfRule>
  </conditionalFormatting>
  <conditionalFormatting sqref="G680">
    <cfRule type="colorScale" priority="562">
      <colorScale>
        <cfvo type="min"/>
        <cfvo type="max"/>
        <color rgb="FFF8696B"/>
        <color rgb="FFFCFCFF"/>
      </colorScale>
    </cfRule>
  </conditionalFormatting>
  <conditionalFormatting sqref="G682:G684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686:G688 G691">
    <cfRule type="colorScale" priority="4304">
      <colorScale>
        <cfvo type="min"/>
        <cfvo type="max"/>
        <color rgb="FFF8696B"/>
        <color rgb="FFFCFCFF"/>
      </colorScale>
    </cfRule>
  </conditionalFormatting>
  <conditionalFormatting sqref="G689">
    <cfRule type="colorScale" priority="2433">
      <colorScale>
        <cfvo type="min"/>
        <cfvo type="max"/>
        <color rgb="FFF8696B"/>
        <color rgb="FFFCFCFF"/>
      </colorScale>
    </cfRule>
  </conditionalFormatting>
  <conditionalFormatting sqref="G690">
    <cfRule type="colorScale" priority="311">
      <colorScale>
        <cfvo type="min"/>
        <cfvo type="max"/>
        <color rgb="FFF8696B"/>
        <color rgb="FFFCFCFF"/>
      </colorScale>
    </cfRule>
    <cfRule type="colorScale" priority="312">
      <colorScale>
        <cfvo type="min"/>
        <cfvo type="max"/>
        <color rgb="FFF8696B"/>
        <color rgb="FFFCFCFF"/>
      </colorScale>
    </cfRule>
  </conditionalFormatting>
  <conditionalFormatting sqref="G692:G694">
    <cfRule type="colorScale" priority="345">
      <colorScale>
        <cfvo type="min"/>
        <cfvo type="max"/>
        <color rgb="FFF8696B"/>
        <color rgb="FFFCFCFF"/>
      </colorScale>
    </cfRule>
    <cfRule type="colorScale" priority="346">
      <colorScale>
        <cfvo type="min"/>
        <cfvo type="max"/>
        <color rgb="FFF8696B"/>
        <color rgb="FFFCFCFF"/>
      </colorScale>
    </cfRule>
  </conditionalFormatting>
  <conditionalFormatting sqref="G695">
    <cfRule type="colorScale" priority="436">
      <colorScale>
        <cfvo type="min"/>
        <cfvo type="max"/>
        <color rgb="FFF8696B"/>
        <color rgb="FFFCFCFF"/>
      </colorScale>
    </cfRule>
  </conditionalFormatting>
  <conditionalFormatting sqref="G702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705:G706 G701">
    <cfRule type="colorScale" priority="490">
      <colorScale>
        <cfvo type="min"/>
        <cfvo type="max"/>
        <color rgb="FFF8696B"/>
        <color rgb="FFFCFCFF"/>
      </colorScale>
    </cfRule>
  </conditionalFormatting>
  <conditionalFormatting sqref="G708:G710">
    <cfRule type="colorScale" priority="4904">
      <colorScale>
        <cfvo type="min"/>
        <cfvo type="max"/>
        <color rgb="FFF8696B"/>
        <color rgb="FFFCFCFF"/>
      </colorScale>
    </cfRule>
  </conditionalFormatting>
  <conditionalFormatting sqref="G711:G714">
    <cfRule type="colorScale" priority="292">
      <colorScale>
        <cfvo type="min"/>
        <cfvo type="max"/>
        <color rgb="FFF8696B"/>
        <color rgb="FFFCFCFF"/>
      </colorScale>
    </cfRule>
  </conditionalFormatting>
  <conditionalFormatting sqref="G720">
    <cfRule type="colorScale" priority="488">
      <colorScale>
        <cfvo type="min"/>
        <cfvo type="max"/>
        <color rgb="FFF8696B"/>
        <color rgb="FFFCFCFF"/>
      </colorScale>
    </cfRule>
  </conditionalFormatting>
  <conditionalFormatting sqref="G721">
    <cfRule type="colorScale" priority="5044">
      <colorScale>
        <cfvo type="min"/>
        <cfvo type="max"/>
        <color rgb="FFF8696B"/>
        <color rgb="FFFCFCFF"/>
      </colorScale>
    </cfRule>
  </conditionalFormatting>
  <conditionalFormatting sqref="G731">
    <cfRule type="colorScale" priority="287">
      <colorScale>
        <cfvo type="min"/>
        <cfvo type="max"/>
        <color rgb="FFF8696B"/>
        <color rgb="FFFCFCFF"/>
      </colorScale>
    </cfRule>
  </conditionalFormatting>
  <conditionalFormatting sqref="G735:G736">
    <cfRule type="colorScale" priority="487">
      <colorScale>
        <cfvo type="min"/>
        <cfvo type="max"/>
        <color rgb="FFF8696B"/>
        <color rgb="FFFCFCFF"/>
      </colorScale>
    </cfRule>
  </conditionalFormatting>
  <conditionalFormatting sqref="G738">
    <cfRule type="colorScale" priority="734">
      <colorScale>
        <cfvo type="min"/>
        <cfvo type="max"/>
        <color rgb="FFF8696B"/>
        <color rgb="FFFCFCFF"/>
      </colorScale>
    </cfRule>
  </conditionalFormatting>
  <conditionalFormatting sqref="G759:G760">
    <cfRule type="colorScale" priority="7892">
      <colorScale>
        <cfvo type="min"/>
        <cfvo type="max"/>
        <color rgb="FFF8696B"/>
        <color rgb="FFFCFCFF"/>
      </colorScale>
    </cfRule>
  </conditionalFormatting>
  <conditionalFormatting sqref="G761:G765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766:G772 G777:G787">
    <cfRule type="colorScale" priority="6173">
      <colorScale>
        <cfvo type="min"/>
        <cfvo type="max"/>
        <color rgb="FFF8696B"/>
        <color rgb="FFFCFCFF"/>
      </colorScale>
    </cfRule>
  </conditionalFormatting>
  <conditionalFormatting sqref="G773:G774">
    <cfRule type="colorScale" priority="5388">
      <colorScale>
        <cfvo type="min"/>
        <cfvo type="max"/>
        <color rgb="FFF8696B"/>
        <color rgb="FFFCFCFF"/>
      </colorScale>
    </cfRule>
  </conditionalFormatting>
  <conditionalFormatting sqref="G775:G776">
    <cfRule type="colorScale" priority="285">
      <colorScale>
        <cfvo type="min"/>
        <cfvo type="max"/>
        <color rgb="FFF8696B"/>
        <color rgb="FFFCFCFF"/>
      </colorScale>
    </cfRule>
  </conditionalFormatting>
  <conditionalFormatting sqref="G788">
    <cfRule type="colorScale" priority="359">
      <colorScale>
        <cfvo type="min"/>
        <cfvo type="max"/>
        <color rgb="FFF8696B"/>
        <color rgb="FFFCFCFF"/>
      </colorScale>
    </cfRule>
  </conditionalFormatting>
  <conditionalFormatting sqref="G790:G793">
    <cfRule type="colorScale" priority="260">
      <colorScale>
        <cfvo type="min"/>
        <cfvo type="max"/>
        <color rgb="FFF8696B"/>
        <color rgb="FFFCFCFF"/>
      </colorScale>
    </cfRule>
  </conditionalFormatting>
  <conditionalFormatting sqref="G794:G795">
    <cfRule type="colorScale" priority="5477">
      <colorScale>
        <cfvo type="min"/>
        <cfvo type="max"/>
        <color rgb="FFF8696B"/>
        <color rgb="FFFCFCFF"/>
      </colorScale>
    </cfRule>
  </conditionalFormatting>
  <conditionalFormatting sqref="G789 G796">
    <cfRule type="colorScale" priority="5816">
      <colorScale>
        <cfvo type="min"/>
        <cfvo type="max"/>
        <color rgb="FFF8696B"/>
        <color rgb="FFFCFCFF"/>
      </colorScale>
    </cfRule>
  </conditionalFormatting>
  <conditionalFormatting sqref="G812:G825">
    <cfRule type="colorScale" priority="246">
      <colorScale>
        <cfvo type="min"/>
        <cfvo type="max"/>
        <color rgb="FFF8696B"/>
        <color rgb="FFFCFCFF"/>
      </colorScale>
    </cfRule>
  </conditionalFormatting>
  <conditionalFormatting sqref="G851:G852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879:G880">
    <cfRule type="colorScale" priority="277">
      <colorScale>
        <cfvo type="min"/>
        <cfvo type="max"/>
        <color rgb="FFF8696B"/>
        <color rgb="FFFCFCFF"/>
      </colorScale>
    </cfRule>
  </conditionalFormatting>
  <conditionalFormatting sqref="G882:G886">
    <cfRule type="colorScale" priority="6915">
      <colorScale>
        <cfvo type="min"/>
        <cfvo type="max"/>
        <color rgb="FFF8696B"/>
        <color rgb="FFFCFCFF"/>
      </colorScale>
    </cfRule>
  </conditionalFormatting>
  <conditionalFormatting sqref="G887">
    <cfRule type="colorScale" priority="279">
      <colorScale>
        <cfvo type="min"/>
        <cfvo type="max"/>
        <color rgb="FFF8696B"/>
        <color rgb="FFFCFCFF"/>
      </colorScale>
    </cfRule>
  </conditionalFormatting>
  <conditionalFormatting sqref="G888">
    <cfRule type="colorScale" priority="191">
      <colorScale>
        <cfvo type="min"/>
        <cfvo type="max"/>
        <color rgb="FFF8696B"/>
        <color rgb="FFFCFCFF"/>
      </colorScale>
    </cfRule>
  </conditionalFormatting>
  <conditionalFormatting sqref="G889:G898">
    <cfRule type="colorScale" priority="5875">
      <colorScale>
        <cfvo type="min"/>
        <cfvo type="max"/>
        <color rgb="FFF8696B"/>
        <color rgb="FFFCFCFF"/>
      </colorScale>
    </cfRule>
  </conditionalFormatting>
  <conditionalFormatting sqref="G901:G902">
    <cfRule type="colorScale" priority="434">
      <colorScale>
        <cfvo type="min"/>
        <cfvo type="max"/>
        <color rgb="FFF8696B"/>
        <color rgb="FFFCFCFF"/>
      </colorScale>
    </cfRule>
  </conditionalFormatting>
  <conditionalFormatting sqref="G904">
    <cfRule type="colorScale" priority="281">
      <colorScale>
        <cfvo type="min"/>
        <cfvo type="max"/>
        <color rgb="FFF8696B"/>
        <color rgb="FFFCFCFF"/>
      </colorScale>
    </cfRule>
  </conditionalFormatting>
  <conditionalFormatting sqref="G956">
    <cfRule type="colorScale" priority="257">
      <colorScale>
        <cfvo type="min"/>
        <cfvo type="max"/>
        <color rgb="FFF8696B"/>
        <color rgb="FFFCFCFF"/>
      </colorScale>
    </cfRule>
  </conditionalFormatting>
  <conditionalFormatting sqref="G957">
    <cfRule type="colorScale" priority="337">
      <colorScale>
        <cfvo type="min"/>
        <cfvo type="max"/>
        <color rgb="FFF8696B"/>
        <color rgb="FFFCFCFF"/>
      </colorScale>
    </cfRule>
  </conditionalFormatting>
  <conditionalFormatting sqref="G958:G959">
    <cfRule type="colorScale" priority="414">
      <colorScale>
        <cfvo type="min"/>
        <cfvo type="max"/>
        <color rgb="FFF8696B"/>
        <color rgb="FFFCFCFF"/>
      </colorScale>
    </cfRule>
  </conditionalFormatting>
  <conditionalFormatting sqref="G960">
    <cfRule type="colorScale" priority="164">
      <colorScale>
        <cfvo type="min"/>
        <cfvo type="max"/>
        <color rgb="FFF8696B"/>
        <color rgb="FFFCFCFF"/>
      </colorScale>
    </cfRule>
  </conditionalFormatting>
  <conditionalFormatting sqref="G961:G962">
    <cfRule type="colorScale" priority="412">
      <colorScale>
        <cfvo type="min"/>
        <cfvo type="max"/>
        <color rgb="FFF8696B"/>
        <color rgb="FFFCFCFF"/>
      </colorScale>
    </cfRule>
  </conditionalFormatting>
  <conditionalFormatting sqref="G963">
    <cfRule type="colorScale" priority="410">
      <colorScale>
        <cfvo type="min"/>
        <cfvo type="max"/>
        <color rgb="FFF8696B"/>
        <color rgb="FFFCFCFF"/>
      </colorScale>
    </cfRule>
  </conditionalFormatting>
  <conditionalFormatting sqref="G964">
    <cfRule type="colorScale" priority="408">
      <colorScale>
        <cfvo type="min"/>
        <cfvo type="max"/>
        <color rgb="FFF8696B"/>
        <color rgb="FFFCFCFF"/>
      </colorScale>
    </cfRule>
  </conditionalFormatting>
  <conditionalFormatting sqref="G974:G976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977">
    <cfRule type="colorScale" priority="239">
      <colorScale>
        <cfvo type="min"/>
        <cfvo type="max"/>
        <color rgb="FFF8696B"/>
        <color rgb="FFFCFCFF"/>
      </colorScale>
    </cfRule>
  </conditionalFormatting>
  <conditionalFormatting sqref="G978:G980">
    <cfRule type="colorScale" priority="238">
      <colorScale>
        <cfvo type="min"/>
        <cfvo type="max"/>
        <color rgb="FFF8696B"/>
        <color rgb="FFFCFCFF"/>
      </colorScale>
    </cfRule>
  </conditionalFormatting>
  <conditionalFormatting sqref="G986:G988">
    <cfRule type="colorScale" priority="313">
      <colorScale>
        <cfvo type="min"/>
        <cfvo type="max"/>
        <color rgb="FFF8696B"/>
        <color rgb="FFFCFCFF"/>
      </colorScale>
    </cfRule>
  </conditionalFormatting>
  <conditionalFormatting sqref="G990">
    <cfRule type="colorScale" priority="6131">
      <colorScale>
        <cfvo type="min"/>
        <cfvo type="max"/>
        <color rgb="FFF8696B"/>
        <color rgb="FFFCFCFF"/>
      </colorScale>
    </cfRule>
  </conditionalFormatting>
  <conditionalFormatting sqref="G991:G992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999:G1001">
    <cfRule type="colorScale" priority="290">
      <colorScale>
        <cfvo type="min"/>
        <cfvo type="max"/>
        <color rgb="FFF8696B"/>
        <color rgb="FFFCFCFF"/>
      </colorScale>
    </cfRule>
  </conditionalFormatting>
  <conditionalFormatting sqref="G1002">
    <cfRule type="colorScale" priority="291">
      <colorScale>
        <cfvo type="min"/>
        <cfvo type="max"/>
        <color rgb="FFF8696B"/>
        <color rgb="FFFCFCFF"/>
      </colorScale>
    </cfRule>
  </conditionalFormatting>
  <conditionalFormatting sqref="G1052:G1055">
    <cfRule type="colorScale" priority="268">
      <colorScale>
        <cfvo type="min"/>
        <cfvo type="max"/>
        <color rgb="FFF8696B"/>
        <color rgb="FFFCFCFF"/>
      </colorScale>
    </cfRule>
  </conditionalFormatting>
  <conditionalFormatting sqref="G1057:G1058">
    <cfRule type="colorScale" priority="266">
      <colorScale>
        <cfvo type="min"/>
        <cfvo type="max"/>
        <color rgb="FFF8696B"/>
        <color rgb="FFFCFCFF"/>
      </colorScale>
    </cfRule>
  </conditionalFormatting>
  <conditionalFormatting sqref="G1059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1060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1061">
    <cfRule type="colorScale" priority="2875">
      <colorScale>
        <cfvo type="min"/>
        <cfvo type="max"/>
        <color rgb="FFF8696B"/>
        <color rgb="FFFCFCFF"/>
      </colorScale>
    </cfRule>
  </conditionalFormatting>
  <conditionalFormatting sqref="G1099">
    <cfRule type="colorScale" priority="275">
      <colorScale>
        <cfvo type="min"/>
        <cfvo type="max"/>
        <color rgb="FFF8696B"/>
        <color rgb="FFFCFCFF"/>
      </colorScale>
    </cfRule>
  </conditionalFormatting>
  <conditionalFormatting sqref="G1100">
    <cfRule type="colorScale" priority="273">
      <colorScale>
        <cfvo type="min"/>
        <cfvo type="max"/>
        <color rgb="FFF8696B"/>
        <color rgb="FFFCFCFF"/>
      </colorScale>
    </cfRule>
  </conditionalFormatting>
  <conditionalFormatting sqref="G1101:G1105">
    <cfRule type="colorScale" priority="6651">
      <colorScale>
        <cfvo type="min"/>
        <cfvo type="max"/>
        <color rgb="FFF8696B"/>
        <color rgb="FFFCFCFF"/>
      </colorScale>
    </cfRule>
  </conditionalFormatting>
  <conditionalFormatting sqref="G1107:G1108">
    <cfRule type="colorScale" priority="6982">
      <colorScale>
        <cfvo type="min"/>
        <cfvo type="max"/>
        <color rgb="FFF8696B"/>
        <color rgb="FFFCFCFF"/>
      </colorScale>
    </cfRule>
  </conditionalFormatting>
  <conditionalFormatting sqref="G1106 G1109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110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111">
    <cfRule type="colorScale" priority="335">
      <colorScale>
        <cfvo type="min"/>
        <cfvo type="max"/>
        <color rgb="FFF8696B"/>
        <color rgb="FFFCFCFF"/>
      </colorScale>
    </cfRule>
  </conditionalFormatting>
  <conditionalFormatting sqref="G1140:G1141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1142:G1144">
    <cfRule type="colorScale" priority="399">
      <colorScale>
        <cfvo type="min"/>
        <cfvo type="max"/>
        <color rgb="FFF8696B"/>
        <color rgb="FFFCFCFF"/>
      </colorScale>
    </cfRule>
  </conditionalFormatting>
  <conditionalFormatting sqref="G1145">
    <cfRule type="colorScale" priority="467">
      <colorScale>
        <cfvo type="min"/>
        <cfvo type="max"/>
        <color rgb="FFF8696B"/>
        <color rgb="FFFCFCFF"/>
      </colorScale>
    </cfRule>
  </conditionalFormatting>
  <conditionalFormatting sqref="G1151">
    <cfRule type="colorScale" priority="202">
      <colorScale>
        <cfvo type="min"/>
        <cfvo type="max"/>
        <color rgb="FFF8696B"/>
        <color rgb="FFFCFCFF"/>
      </colorScale>
    </cfRule>
  </conditionalFormatting>
  <conditionalFormatting sqref="G1152:G1154">
    <cfRule type="colorScale" priority="6473">
      <colorScale>
        <cfvo type="min"/>
        <cfvo type="max"/>
        <color rgb="FFF8696B"/>
        <color rgb="FFFCFCFF"/>
      </colorScale>
    </cfRule>
  </conditionalFormatting>
  <conditionalFormatting sqref="G1155:G1162">
    <cfRule type="colorScale" priority="200">
      <colorScale>
        <cfvo type="min"/>
        <cfvo type="max"/>
        <color rgb="FFF8696B"/>
        <color rgb="FFFCFCFF"/>
      </colorScale>
    </cfRule>
  </conditionalFormatting>
  <conditionalFormatting sqref="G1164">
    <cfRule type="colorScale" priority="194">
      <colorScale>
        <cfvo type="min"/>
        <cfvo type="max"/>
        <color rgb="FFF8696B"/>
        <color rgb="FFFCFCFF"/>
      </colorScale>
    </cfRule>
  </conditionalFormatting>
  <conditionalFormatting sqref="G1165:G1166 G1201">
    <cfRule type="colorScale" priority="406">
      <colorScale>
        <cfvo type="min"/>
        <cfvo type="max"/>
        <color rgb="FFF8696B"/>
        <color rgb="FFFCFCFF"/>
      </colorScale>
    </cfRule>
  </conditionalFormatting>
  <conditionalFormatting sqref="G1167">
    <cfRule type="colorScale" priority="241">
      <colorScale>
        <cfvo type="min"/>
        <cfvo type="max"/>
        <color rgb="FFF8696B"/>
        <color rgb="FFFCFCFF"/>
      </colorScale>
    </cfRule>
  </conditionalFormatting>
  <conditionalFormatting sqref="G1169:G1170">
    <cfRule type="colorScale" priority="222">
      <colorScale>
        <cfvo type="min"/>
        <cfvo type="max"/>
        <color rgb="FFF8696B"/>
        <color rgb="FFFCFCFF"/>
      </colorScale>
    </cfRule>
  </conditionalFormatting>
  <conditionalFormatting sqref="G1171:G1179 G1168">
    <cfRule type="colorScale" priority="6091">
      <colorScale>
        <cfvo type="min"/>
        <cfvo type="max"/>
        <color rgb="FFF8696B"/>
        <color rgb="FFFCFCFF"/>
      </colorScale>
    </cfRule>
  </conditionalFormatting>
  <conditionalFormatting sqref="G1180:G1181 G1186:G1189">
    <cfRule type="colorScale" priority="6251">
      <colorScale>
        <cfvo type="min"/>
        <cfvo type="max"/>
        <color rgb="FFF8696B"/>
        <color rgb="FFFCFCFF"/>
      </colorScale>
    </cfRule>
  </conditionalFormatting>
  <conditionalFormatting sqref="G1182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1183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184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185">
    <cfRule type="colorScale" priority="213">
      <colorScale>
        <cfvo type="min"/>
        <cfvo type="max"/>
        <color rgb="FFF8696B"/>
        <color rgb="FFFCFCFF"/>
      </colorScale>
    </cfRule>
  </conditionalFormatting>
  <conditionalFormatting sqref="G1191">
    <cfRule type="colorScale" priority="6378">
      <colorScale>
        <cfvo type="min"/>
        <cfvo type="max"/>
        <color rgb="FFF8696B"/>
        <color rgb="FFFCFCFF"/>
      </colorScale>
    </cfRule>
  </conditionalFormatting>
  <conditionalFormatting sqref="G1192:G1193">
    <cfRule type="colorScale" priority="209">
      <colorScale>
        <cfvo type="min"/>
        <cfvo type="max"/>
        <color rgb="FFF8696B"/>
        <color rgb="FFFCFCFF"/>
      </colorScale>
    </cfRule>
  </conditionalFormatting>
  <conditionalFormatting sqref="G1194:G1200">
    <cfRule type="colorScale" priority="208">
      <colorScale>
        <cfvo type="min"/>
        <cfvo type="max"/>
        <color rgb="FFF8696B"/>
        <color rgb="FFFCFCFF"/>
      </colorScale>
    </cfRule>
  </conditionalFormatting>
  <conditionalFormatting sqref="G1204:G1209">
    <cfRule type="colorScale" priority="358">
      <colorScale>
        <cfvo type="min"/>
        <cfvo type="max"/>
        <color rgb="FFF8696B"/>
        <color rgb="FFFCFCFF"/>
      </colorScale>
    </cfRule>
  </conditionalFormatting>
  <conditionalFormatting sqref="G1210:G1211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1223:G1224">
    <cfRule type="colorScale" priority="271">
      <colorScale>
        <cfvo type="min"/>
        <cfvo type="max"/>
        <color rgb="FFF8696B"/>
        <color rgb="FFFCFCFF"/>
      </colorScale>
    </cfRule>
  </conditionalFormatting>
  <conditionalFormatting sqref="G1225:G1231">
    <cfRule type="colorScale" priority="270">
      <colorScale>
        <cfvo type="min"/>
        <cfvo type="max"/>
        <color rgb="FFF8696B"/>
        <color rgb="FFFCFCFF"/>
      </colorScale>
    </cfRule>
  </conditionalFormatting>
  <conditionalFormatting sqref="G1234">
    <cfRule type="colorScale" priority="5081">
      <colorScale>
        <cfvo type="min"/>
        <cfvo type="max"/>
        <color rgb="FFF8696B"/>
        <color rgb="FFFCFCFF"/>
      </colorScale>
    </cfRule>
  </conditionalFormatting>
  <conditionalFormatting sqref="G1248">
    <cfRule type="colorScale" priority="6693">
      <colorScale>
        <cfvo type="min"/>
        <cfvo type="max"/>
        <color rgb="FFF8696B"/>
        <color rgb="FFFCFCFF"/>
      </colorScale>
    </cfRule>
  </conditionalFormatting>
  <conditionalFormatting sqref="G1249:G1264">
    <cfRule type="colorScale" priority="6587">
      <colorScale>
        <cfvo type="min"/>
        <cfvo type="max"/>
        <color rgb="FFF8696B"/>
        <color rgb="FFFCFCFF"/>
      </colorScale>
    </cfRule>
  </conditionalFormatting>
  <conditionalFormatting sqref="G1285:G1297">
    <cfRule type="colorScale" priority="293">
      <colorScale>
        <cfvo type="min"/>
        <cfvo type="max"/>
        <color rgb="FFF8696B"/>
        <color rgb="FFFCFCFF"/>
      </colorScale>
    </cfRule>
  </conditionalFormatting>
  <conditionalFormatting sqref="G1334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1335:G1337">
    <cfRule type="colorScale" priority="244">
      <colorScale>
        <cfvo type="min"/>
        <cfvo type="max"/>
        <color rgb="FFF8696B"/>
        <color rgb="FFFCFCFF"/>
      </colorScale>
    </cfRule>
  </conditionalFormatting>
  <conditionalFormatting sqref="G1338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1339">
    <cfRule type="colorScale" priority="243">
      <colorScale>
        <cfvo type="min"/>
        <cfvo type="max"/>
        <color rgb="FFF8696B"/>
        <color rgb="FFFCFCFF"/>
      </colorScale>
    </cfRule>
  </conditionalFormatting>
  <conditionalFormatting sqref="G1350:G1352">
    <cfRule type="colorScale" priority="263">
      <colorScale>
        <cfvo type="min"/>
        <cfvo type="max"/>
        <color rgb="FFF8696B"/>
        <color rgb="FFFCFCFF"/>
      </colorScale>
    </cfRule>
  </conditionalFormatting>
  <conditionalFormatting sqref="G1354">
    <cfRule type="colorScale" priority="229">
      <colorScale>
        <cfvo type="min"/>
        <cfvo type="max"/>
        <color rgb="FFF8696B"/>
        <color rgb="FFFCFCFF"/>
      </colorScale>
    </cfRule>
  </conditionalFormatting>
  <conditionalFormatting sqref="G1355:G1357 G1353">
    <cfRule type="colorScale" priority="578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341">
      <colorScale>
        <cfvo type="min"/>
        <cfvo type="max"/>
        <color rgb="FFF8696B"/>
        <color rgb="FFFCFCFF"/>
      </colorScale>
    </cfRule>
  </conditionalFormatting>
  <conditionalFormatting sqref="G1359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1360:G1365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1368">
    <cfRule type="colorScale" priority="6735">
      <colorScale>
        <cfvo type="min"/>
        <cfvo type="max"/>
        <color rgb="FFF8696B"/>
        <color rgb="FFFCFCFF"/>
      </colorScale>
    </cfRule>
  </conditionalFormatting>
  <conditionalFormatting sqref="G1380:G1381">
    <cfRule type="colorScale" priority="188">
      <colorScale>
        <cfvo type="min"/>
        <cfvo type="max"/>
        <color rgb="FFF8696B"/>
        <color rgb="FFFCFCFF"/>
      </colorScale>
    </cfRule>
  </conditionalFormatting>
  <conditionalFormatting sqref="G1384:G1386">
    <cfRule type="colorScale" priority="7211">
      <colorScale>
        <cfvo type="min"/>
        <cfvo type="max"/>
        <color rgb="FFF8696B"/>
        <color rgb="FFFCFCFF"/>
      </colorScale>
    </cfRule>
  </conditionalFormatting>
  <conditionalFormatting sqref="G1387:G1391">
    <cfRule type="colorScale" priority="7022">
      <colorScale>
        <cfvo type="min"/>
        <cfvo type="max"/>
        <color rgb="FFF8696B"/>
        <color rgb="FFFCFCFF"/>
      </colorScale>
    </cfRule>
  </conditionalFormatting>
  <conditionalFormatting sqref="G1392">
    <cfRule type="colorScale" priority="185">
      <colorScale>
        <cfvo type="min"/>
        <cfvo type="max"/>
        <color rgb="FFF8696B"/>
        <color rgb="FFFCFCFF"/>
      </colorScale>
    </cfRule>
  </conditionalFormatting>
  <conditionalFormatting sqref="G1393">
    <cfRule type="colorScale" priority="7062">
      <colorScale>
        <cfvo type="min"/>
        <cfvo type="max"/>
        <color rgb="FFF8696B"/>
        <color rgb="FFFCFCFF"/>
      </colorScale>
    </cfRule>
  </conditionalFormatting>
  <conditionalFormatting sqref="G1394:G1396">
    <cfRule type="colorScale" priority="8218">
      <colorScale>
        <cfvo type="min"/>
        <cfvo type="max"/>
        <color rgb="FFF8696B"/>
        <color rgb="FFFCFCFF"/>
      </colorScale>
    </cfRule>
  </conditionalFormatting>
  <conditionalFormatting sqref="G1401:G1404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1406">
    <cfRule type="colorScale" priority="331">
      <colorScale>
        <cfvo type="min"/>
        <cfvo type="max"/>
        <color rgb="FFF8696B"/>
        <color rgb="FFFCFCFF"/>
      </colorScale>
    </cfRule>
  </conditionalFormatting>
  <conditionalFormatting sqref="G1409">
    <cfRule type="colorScale" priority="7459">
      <colorScale>
        <cfvo type="min"/>
        <cfvo type="max"/>
        <color rgb="FFF8696B"/>
        <color rgb="FFFCFCFF"/>
      </colorScale>
    </cfRule>
  </conditionalFormatting>
  <conditionalFormatting sqref="G1413:G1414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1427">
    <cfRule type="colorScale" priority="7251">
      <colorScale>
        <cfvo type="min"/>
        <cfvo type="max"/>
        <color rgb="FFF8696B"/>
        <color rgb="FFFCFCFF"/>
      </colorScale>
    </cfRule>
  </conditionalFormatting>
  <conditionalFormatting sqref="G1441:G1442">
    <cfRule type="colorScale" priority="152">
      <colorScale>
        <cfvo type="min"/>
        <cfvo type="max"/>
        <color rgb="FFF8696B"/>
        <color rgb="FFFCFCFF"/>
      </colorScale>
    </cfRule>
  </conditionalFormatting>
  <conditionalFormatting sqref="G1443">
    <cfRule type="colorScale" priority="150">
      <colorScale>
        <cfvo type="min"/>
        <cfvo type="max"/>
        <color rgb="FFF8696B"/>
        <color rgb="FFFCFCFF"/>
      </colorScale>
    </cfRule>
  </conditionalFormatting>
  <conditionalFormatting sqref="G1452:G1456">
    <cfRule type="colorScale" priority="7781">
      <colorScale>
        <cfvo type="min"/>
        <cfvo type="max"/>
        <color rgb="FFF8696B"/>
        <color rgb="FFFCFCFF"/>
      </colorScale>
    </cfRule>
  </conditionalFormatting>
  <conditionalFormatting sqref="G1458:G1459">
    <cfRule type="colorScale" priority="330">
      <colorScale>
        <cfvo type="min"/>
        <cfvo type="max"/>
        <color rgb="FFF8696B"/>
        <color rgb="FFFCFCFF"/>
      </colorScale>
    </cfRule>
  </conditionalFormatting>
  <conditionalFormatting sqref="G1460:G1461 G1457">
    <cfRule type="colorScale" priority="8025">
      <colorScale>
        <cfvo type="min"/>
        <cfvo type="max"/>
        <color rgb="FFF8696B"/>
        <color rgb="FFFCFCFF"/>
      </colorScale>
    </cfRule>
  </conditionalFormatting>
  <conditionalFormatting sqref="G1467:G1475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476:G1484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485">
    <cfRule type="colorScale" priority="136">
      <colorScale>
        <cfvo type="min"/>
        <cfvo type="max"/>
        <color rgb="FFF8696B"/>
        <color rgb="FFFCFCFF"/>
      </colorScale>
    </cfRule>
  </conditionalFormatting>
  <conditionalFormatting sqref="G1486">
    <cfRule type="colorScale" priority="134">
      <colorScale>
        <cfvo type="min"/>
        <cfvo type="max"/>
        <color rgb="FFF8696B"/>
        <color rgb="FFFCFCFF"/>
      </colorScale>
    </cfRule>
  </conditionalFormatting>
  <conditionalFormatting sqref="G1487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496">
    <cfRule type="colorScale" priority="145">
      <colorScale>
        <cfvo type="min"/>
        <cfvo type="max"/>
        <color rgb="FFF8696B"/>
        <color rgb="FFFCFCFF"/>
      </colorScale>
    </cfRule>
  </conditionalFormatting>
  <conditionalFormatting sqref="G1497">
    <cfRule type="colorScale" priority="143">
      <colorScale>
        <cfvo type="min"/>
        <cfvo type="max"/>
        <color rgb="FFF8696B"/>
        <color rgb="FFFCFCFF"/>
      </colorScale>
    </cfRule>
  </conditionalFormatting>
  <conditionalFormatting sqref="G1498">
    <cfRule type="colorScale" priority="141">
      <colorScale>
        <cfvo type="min"/>
        <cfvo type="max"/>
        <color rgb="FFF8696B"/>
        <color rgb="FFFCFCFF"/>
      </colorScale>
    </cfRule>
  </conditionalFormatting>
  <conditionalFormatting sqref="G1499">
    <cfRule type="colorScale" priority="139">
      <colorScale>
        <cfvo type="min"/>
        <cfvo type="max"/>
        <color rgb="FFF8696B"/>
        <color rgb="FFFCFCFF"/>
      </colorScale>
    </cfRule>
  </conditionalFormatting>
  <conditionalFormatting sqref="G1500:G1503">
    <cfRule type="colorScale" priority="7621">
      <colorScale>
        <cfvo type="min"/>
        <cfvo type="max"/>
        <color rgb="FFF8696B"/>
        <color rgb="FFFCFCFF"/>
      </colorScale>
    </cfRule>
  </conditionalFormatting>
  <conditionalFormatting sqref="G1534">
    <cfRule type="colorScale" priority="430">
      <colorScale>
        <cfvo type="min"/>
        <cfvo type="max"/>
        <color rgb="FFF8696B"/>
        <color rgb="FFFCFCFF"/>
      </colorScale>
    </cfRule>
  </conditionalFormatting>
  <conditionalFormatting sqref="G1535:G1544">
    <cfRule type="colorScale" priority="2465">
      <colorScale>
        <cfvo type="min"/>
        <cfvo type="max"/>
        <color rgb="FFF8696B"/>
        <color rgb="FFFCFCFF"/>
      </colorScale>
    </cfRule>
  </conditionalFormatting>
  <conditionalFormatting sqref="G1545:G1559">
    <cfRule type="colorScale" priority="7936">
      <colorScale>
        <cfvo type="min"/>
        <cfvo type="max"/>
        <color rgb="FFF8696B"/>
        <color rgb="FFFCFCFF"/>
      </colorScale>
    </cfRule>
  </conditionalFormatting>
  <conditionalFormatting sqref="G1599:G1606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617">
    <cfRule type="colorScale" priority="364">
      <colorScale>
        <cfvo type="min"/>
        <cfvo type="max"/>
        <color rgb="FFF8696B"/>
        <color rgb="FFFCFCFF"/>
      </colorScale>
    </cfRule>
  </conditionalFormatting>
  <conditionalFormatting sqref="G1618">
    <cfRule type="colorScale" priority="366">
      <colorScale>
        <cfvo type="min"/>
        <cfvo type="max"/>
        <color rgb="FFF8696B"/>
        <color rgb="FFFCFCFF"/>
      </colorScale>
    </cfRule>
  </conditionalFormatting>
  <conditionalFormatting sqref="G1619">
    <cfRule type="colorScale" priority="4240">
      <colorScale>
        <cfvo type="min"/>
        <cfvo type="max"/>
        <color rgb="FFF8696B"/>
        <color rgb="FFFCFCFF"/>
      </colorScale>
    </cfRule>
  </conditionalFormatting>
  <conditionalFormatting sqref="G1620:G1622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1624">
    <cfRule type="colorScale" priority="327">
      <colorScale>
        <cfvo type="min"/>
        <cfvo type="max"/>
        <color rgb="FFF8696B"/>
        <color rgb="FFFCFCFF"/>
      </colorScale>
    </cfRule>
  </conditionalFormatting>
  <conditionalFormatting sqref="G1625:G1626 G1623">
    <cfRule type="colorScale" priority="347">
      <colorScale>
        <cfvo type="min"/>
        <cfvo type="max"/>
        <color rgb="FFF8696B"/>
        <color rgb="FFFCFCFF"/>
      </colorScale>
    </cfRule>
  </conditionalFormatting>
  <conditionalFormatting sqref="G1627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1628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1632">
    <cfRule type="colorScale" priority="78">
      <colorScale>
        <cfvo type="min"/>
        <cfvo type="max"/>
        <color rgb="FFF8696B"/>
        <color rgb="FFFCFCFF"/>
      </colorScale>
    </cfRule>
  </conditionalFormatting>
  <conditionalFormatting sqref="G1633">
    <cfRule type="colorScale" priority="8657">
      <colorScale>
        <cfvo type="min"/>
        <cfvo type="max"/>
        <color rgb="FFF8696B"/>
        <color rgb="FFFCFCFF"/>
      </colorScale>
    </cfRule>
  </conditionalFormatting>
  <conditionalFormatting sqref="G1634:G1639 G1641:G1646">
    <cfRule type="colorScale" priority="8734">
      <colorScale>
        <cfvo type="min"/>
        <cfvo type="max"/>
        <color rgb="FFF8696B"/>
        <color rgb="FFFCFCFF"/>
      </colorScale>
    </cfRule>
  </conditionalFormatting>
  <conditionalFormatting sqref="G1640">
    <cfRule type="colorScale" priority="67">
      <colorScale>
        <cfvo type="min"/>
        <cfvo type="max"/>
        <color rgb="FFF8696B"/>
        <color rgb="FFFCFCFF"/>
      </colorScale>
    </cfRule>
  </conditionalFormatting>
  <conditionalFormatting sqref="G1648">
    <cfRule type="colorScale" priority="472">
      <colorScale>
        <cfvo type="min"/>
        <cfvo type="max"/>
        <color rgb="FFF8696B"/>
        <color rgb="FFFCFCFF"/>
      </colorScale>
    </cfRule>
  </conditionalFormatting>
  <conditionalFormatting sqref="G1674:G1677">
    <cfRule type="colorScale" priority="183">
      <colorScale>
        <cfvo type="min"/>
        <cfvo type="max"/>
        <color rgb="FFF8696B"/>
        <color rgb="FFFCFCFF"/>
      </colorScale>
    </cfRule>
  </conditionalFormatting>
  <conditionalFormatting sqref="G1678">
    <cfRule type="colorScale" priority="175">
      <colorScale>
        <cfvo type="min"/>
        <cfvo type="max"/>
        <color rgb="FFF8696B"/>
        <color rgb="FFFCFCFF"/>
      </colorScale>
    </cfRule>
  </conditionalFormatting>
  <conditionalFormatting sqref="G1681:G1683">
    <cfRule type="colorScale" priority="68">
      <colorScale>
        <cfvo type="min"/>
        <cfvo type="max"/>
        <color rgb="FFF8696B"/>
        <color rgb="FFFCFCFF"/>
      </colorScale>
    </cfRule>
  </conditionalFormatting>
  <conditionalFormatting sqref="G1684:G1687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688">
    <cfRule type="colorScale" priority="72">
      <colorScale>
        <cfvo type="min"/>
        <cfvo type="max"/>
        <color rgb="FFF8696B"/>
        <color rgb="FFFCFCFF"/>
      </colorScale>
    </cfRule>
  </conditionalFormatting>
  <conditionalFormatting sqref="G1700">
    <cfRule type="colorScale" priority="153">
      <colorScale>
        <cfvo type="min"/>
        <cfvo type="max"/>
        <color rgb="FFF8696B"/>
        <color rgb="FFFCFCFF"/>
      </colorScale>
    </cfRule>
  </conditionalFormatting>
  <conditionalFormatting sqref="G1701:G1705">
    <cfRule type="colorScale" priority="8172">
      <colorScale>
        <cfvo type="min"/>
        <cfvo type="max"/>
        <color rgb="FFF8696B"/>
        <color rgb="FFFCFCFF"/>
      </colorScale>
    </cfRule>
  </conditionalFormatting>
  <conditionalFormatting sqref="G1740:G1742">
    <cfRule type="colorScale" priority="701">
      <colorScale>
        <cfvo type="min"/>
        <cfvo type="max"/>
        <color rgb="FFF8696B"/>
        <color rgb="FFFCFCFF"/>
      </colorScale>
    </cfRule>
  </conditionalFormatting>
  <conditionalFormatting sqref="G1772">
    <cfRule type="colorScale" priority="161">
      <colorScale>
        <cfvo type="min"/>
        <cfvo type="max"/>
        <color rgb="FFF8696B"/>
        <color rgb="FFFCFCFF"/>
      </colorScale>
    </cfRule>
  </conditionalFormatting>
  <conditionalFormatting sqref="G1773">
    <cfRule type="colorScale" priority="691">
      <colorScale>
        <cfvo type="min"/>
        <cfvo type="max"/>
        <color rgb="FFF8696B"/>
        <color rgb="FFFCFCFF"/>
      </colorScale>
    </cfRule>
  </conditionalFormatting>
  <conditionalFormatting sqref="G1774:G1775">
    <cfRule type="colorScale" priority="333">
      <colorScale>
        <cfvo type="min"/>
        <cfvo type="max"/>
        <color rgb="FFF8696B"/>
        <color rgb="FFFCFCFF"/>
      </colorScale>
    </cfRule>
  </conditionalFormatting>
  <conditionalFormatting sqref="G1795:G1797">
    <cfRule type="colorScale" priority="8458">
      <colorScale>
        <cfvo type="min"/>
        <cfvo type="max"/>
        <color rgb="FFF8696B"/>
        <color rgb="FFFCFCFF"/>
      </colorScale>
    </cfRule>
  </conditionalFormatting>
  <conditionalFormatting sqref="G1798:G1823">
    <cfRule type="colorScale" priority="8534">
      <colorScale>
        <cfvo type="min"/>
        <cfvo type="max"/>
        <color rgb="FFF8696B"/>
        <color rgb="FFFCFCFF"/>
      </colorScale>
    </cfRule>
  </conditionalFormatting>
  <conditionalFormatting sqref="G1828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830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1831">
    <cfRule type="colorScale" priority="8127">
      <colorScale>
        <cfvo type="min"/>
        <cfvo type="max"/>
        <color rgb="FFF8696B"/>
        <color rgb="FFFCFCFF"/>
      </colorScale>
    </cfRule>
  </conditionalFormatting>
  <conditionalFormatting sqref="G1832:G1833">
    <cfRule type="colorScale" priority="114">
      <colorScale>
        <cfvo type="min"/>
        <cfvo type="max"/>
        <color rgb="FFF8696B"/>
        <color rgb="FFFCFCFF"/>
      </colorScale>
    </cfRule>
  </conditionalFormatting>
  <conditionalFormatting sqref="G1846:G1847">
    <cfRule type="colorScale" priority="8069">
      <colorScale>
        <cfvo type="min"/>
        <cfvo type="max"/>
        <color rgb="FFF8696B"/>
        <color rgb="FFFCFCFF"/>
      </colorScale>
    </cfRule>
  </conditionalFormatting>
  <conditionalFormatting sqref="G1858:G1859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1860:G1861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1865">
    <cfRule type="colorScale" priority="131">
      <colorScale>
        <cfvo type="min"/>
        <cfvo type="max"/>
        <color rgb="FFF8696B"/>
        <color rgb="FFFCFCFF"/>
      </colorScale>
    </cfRule>
  </conditionalFormatting>
  <conditionalFormatting sqref="G1866">
    <cfRule type="colorScale" priority="149">
      <colorScale>
        <cfvo type="min"/>
        <cfvo type="max"/>
        <color rgb="FFF8696B"/>
        <color rgb="FFFCFCFF"/>
      </colorScale>
    </cfRule>
  </conditionalFormatting>
  <conditionalFormatting sqref="G1867:G1868">
    <cfRule type="colorScale" priority="64">
      <colorScale>
        <cfvo type="min"/>
        <cfvo type="max"/>
        <color rgb="FFF8696B"/>
        <color rgb="FFFCFCFF"/>
      </colorScale>
    </cfRule>
  </conditionalFormatting>
  <conditionalFormatting sqref="G1879:G1883">
    <cfRule type="colorScale" priority="7503">
      <colorScale>
        <cfvo type="min"/>
        <cfvo type="max"/>
        <color rgb="FFF8696B"/>
        <color rgb="FFFCFCFF"/>
      </colorScale>
    </cfRule>
  </conditionalFormatting>
  <conditionalFormatting sqref="G1914:G1937">
    <cfRule type="colorScale" priority="190">
      <colorScale>
        <cfvo type="min"/>
        <cfvo type="max"/>
        <color rgb="FFF8696B"/>
        <color rgb="FFFCFCFF"/>
      </colorScale>
    </cfRule>
  </conditionalFormatting>
  <conditionalFormatting sqref="G1952">
    <cfRule type="colorScale" priority="106">
      <colorScale>
        <cfvo type="min"/>
        <cfvo type="max"/>
        <color rgb="FFF8696B"/>
        <color rgb="FFFCFCFF"/>
      </colorScale>
    </cfRule>
  </conditionalFormatting>
  <conditionalFormatting sqref="G1954">
    <cfRule type="colorScale" priority="60">
      <colorScale>
        <cfvo type="min"/>
        <cfvo type="max"/>
        <color rgb="FFF8696B"/>
        <color rgb="FFFCFCFF"/>
      </colorScale>
    </cfRule>
  </conditionalFormatting>
  <conditionalFormatting sqref="G1953 G1955">
    <cfRule type="colorScale" priority="8810">
      <colorScale>
        <cfvo type="min"/>
        <cfvo type="max"/>
        <color rgb="FFF8696B"/>
        <color rgb="FFFCFCFF"/>
      </colorScale>
    </cfRule>
  </conditionalFormatting>
  <conditionalFormatting sqref="G1956:G1959">
    <cfRule type="colorScale" priority="25">
      <colorScale>
        <cfvo type="min"/>
        <cfvo type="max"/>
        <color rgb="FFF8696B"/>
        <color rgb="FFFCFCFF"/>
      </colorScale>
    </cfRule>
  </conditionalFormatting>
  <conditionalFormatting sqref="G1967">
    <cfRule type="colorScale" priority="94">
      <colorScale>
        <cfvo type="min"/>
        <cfvo type="max"/>
        <color rgb="FFF8696B"/>
        <color rgb="FFFCFCFF"/>
      </colorScale>
    </cfRule>
  </conditionalFormatting>
  <conditionalFormatting sqref="G1968">
    <cfRule type="colorScale" priority="93">
      <colorScale>
        <cfvo type="min"/>
        <cfvo type="max"/>
        <color rgb="FFF8696B"/>
        <color rgb="FFFCFCFF"/>
      </colorScale>
    </cfRule>
  </conditionalFormatting>
  <conditionalFormatting sqref="G1969">
    <cfRule type="colorScale" priority="92">
      <colorScale>
        <cfvo type="min"/>
        <cfvo type="max"/>
        <color rgb="FFF8696B"/>
        <color rgb="FFFCFCFF"/>
      </colorScale>
    </cfRule>
  </conditionalFormatting>
  <conditionalFormatting sqref="G1970:G1971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1966 G1972 G1974:G1975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1973">
    <cfRule type="colorScale" priority="91">
      <colorScale>
        <cfvo type="min"/>
        <cfvo type="max"/>
        <color rgb="FFF8696B"/>
        <color rgb="FFFCFCFF"/>
      </colorScale>
    </cfRule>
  </conditionalFormatting>
  <conditionalFormatting sqref="G1976">
    <cfRule type="colorScale" priority="8756">
      <colorScale>
        <cfvo type="min"/>
        <cfvo type="max"/>
        <color rgb="FFF8696B"/>
        <color rgb="FFFCFCFF"/>
      </colorScale>
    </cfRule>
  </conditionalFormatting>
  <conditionalFormatting sqref="G1986">
    <cfRule type="colorScale" priority="43">
      <colorScale>
        <cfvo type="min"/>
        <cfvo type="max"/>
        <color rgb="FFF8696B"/>
        <color rgb="FFFCFCFF"/>
      </colorScale>
    </cfRule>
  </conditionalFormatting>
  <conditionalFormatting sqref="G1987">
    <cfRule type="colorScale" priority="41">
      <colorScale>
        <cfvo type="min"/>
        <cfvo type="max"/>
        <color rgb="FFF8696B"/>
        <color rgb="FFFCFCFF"/>
      </colorScale>
    </cfRule>
  </conditionalFormatting>
  <conditionalFormatting sqref="G1988">
    <cfRule type="colorScale" priority="39">
      <colorScale>
        <cfvo type="min"/>
        <cfvo type="max"/>
        <color rgb="FFF8696B"/>
        <color rgb="FFFCFCFF"/>
      </colorScale>
    </cfRule>
  </conditionalFormatting>
  <conditionalFormatting sqref="G1989">
    <cfRule type="colorScale" priority="37">
      <colorScale>
        <cfvo type="min"/>
        <cfvo type="max"/>
        <color rgb="FFF8696B"/>
        <color rgb="FFFCFCFF"/>
      </colorScale>
    </cfRule>
  </conditionalFormatting>
  <conditionalFormatting sqref="G1990">
    <cfRule type="colorScale" priority="35">
      <colorScale>
        <cfvo type="min"/>
        <cfvo type="max"/>
        <color rgb="FFF8696B"/>
        <color rgb="FFFCFCFF"/>
      </colorScale>
    </cfRule>
  </conditionalFormatting>
  <conditionalFormatting sqref="G1991">
    <cfRule type="colorScale" priority="33">
      <colorScale>
        <cfvo type="min"/>
        <cfvo type="max"/>
        <color rgb="FFF8696B"/>
        <color rgb="FFFCFCFF"/>
      </colorScale>
    </cfRule>
  </conditionalFormatting>
  <conditionalFormatting sqref="G1992">
    <cfRule type="colorScale" priority="31">
      <colorScale>
        <cfvo type="min"/>
        <cfvo type="max"/>
        <color rgb="FFF8696B"/>
        <color rgb="FFFCFCFF"/>
      </colorScale>
    </cfRule>
  </conditionalFormatting>
  <conditionalFormatting sqref="G1993">
    <cfRule type="colorScale" priority="29">
      <colorScale>
        <cfvo type="min"/>
        <cfvo type="max"/>
        <color rgb="FFF8696B"/>
        <color rgb="FFFCFCFF"/>
      </colorScale>
    </cfRule>
  </conditionalFormatting>
  <conditionalFormatting sqref="G1994">
    <cfRule type="colorScale" priority="27">
      <colorScale>
        <cfvo type="min"/>
        <cfvo type="max"/>
        <color rgb="FFF8696B"/>
        <color rgb="FFFCFCFF"/>
      </colorScale>
    </cfRule>
  </conditionalFormatting>
  <conditionalFormatting sqref="G1995:G1998 G1985">
    <cfRule type="colorScale" priority="8775">
      <colorScale>
        <cfvo type="min"/>
        <cfvo type="max"/>
        <color rgb="FFF8696B"/>
        <color rgb="FFFCFCFF"/>
      </colorScale>
    </cfRule>
  </conditionalFormatting>
  <conditionalFormatting sqref="G1999">
    <cfRule type="colorScale" priority="65">
      <colorScale>
        <cfvo type="min"/>
        <cfvo type="max"/>
        <color rgb="FFF8696B"/>
        <color rgb="FFFCFCFF"/>
      </colorScale>
    </cfRule>
  </conditionalFormatting>
  <conditionalFormatting sqref="G2007:G2011">
    <cfRule type="colorScale" priority="69">
      <colorScale>
        <cfvo type="min"/>
        <cfvo type="max"/>
        <color rgb="FFF8696B"/>
        <color rgb="FFFCFCFF"/>
      </colorScale>
    </cfRule>
  </conditionalFormatting>
  <conditionalFormatting sqref="G2018">
    <cfRule type="colorScale" priority="674">
      <colorScale>
        <cfvo type="min"/>
        <cfvo type="max"/>
        <color rgb="FFF8696B"/>
        <color rgb="FFFCFCFF"/>
      </colorScale>
    </cfRule>
  </conditionalFormatting>
  <conditionalFormatting sqref="G2021">
    <cfRule type="colorScale" priority="679">
      <colorScale>
        <cfvo type="min"/>
        <cfvo type="max"/>
        <color rgb="FFF8696B"/>
        <color rgb="FFFCFCFF"/>
      </colorScale>
    </cfRule>
  </conditionalFormatting>
  <conditionalFormatting sqref="G2031:G2036">
    <cfRule type="colorScale" priority="47">
      <colorScale>
        <cfvo type="min"/>
        <cfvo type="max"/>
        <color rgb="FFF8696B"/>
        <color rgb="FFFCFCFF"/>
      </colorScale>
    </cfRule>
  </conditionalFormatting>
  <conditionalFormatting sqref="G2039">
    <cfRule type="colorScale" priority="668">
      <colorScale>
        <cfvo type="min"/>
        <cfvo type="max"/>
        <color rgb="FFF8696B"/>
        <color rgb="FFFCFCFF"/>
      </colorScale>
    </cfRule>
  </conditionalFormatting>
  <conditionalFormatting sqref="G2083:G2090">
    <cfRule type="colorScale" priority="8908">
      <colorScale>
        <cfvo type="min"/>
        <cfvo type="max"/>
        <color rgb="FFF8696B"/>
        <color rgb="FFFCFCFF"/>
      </colorScale>
    </cfRule>
  </conditionalFormatting>
  <conditionalFormatting sqref="G2091:G2102">
    <cfRule type="colorScale" priority="14">
      <colorScale>
        <cfvo type="min"/>
        <cfvo type="max"/>
        <color rgb="FFF8696B"/>
        <color rgb="FFFCFCFF"/>
      </colorScale>
    </cfRule>
  </conditionalFormatting>
  <conditionalFormatting sqref="G2106:G2108">
    <cfRule type="colorScale" priority="13">
      <colorScale>
        <cfvo type="min"/>
        <cfvo type="max"/>
        <color rgb="FFF8696B"/>
        <color rgb="FFFCFCFF"/>
      </colorScale>
    </cfRule>
  </conditionalFormatting>
  <conditionalFormatting sqref="G2130:G2131">
    <cfRule type="colorScale" priority="129">
      <colorScale>
        <cfvo type="min"/>
        <cfvo type="max"/>
        <color rgb="FFF8696B"/>
        <color rgb="FFFCFCFF"/>
      </colorScale>
    </cfRule>
  </conditionalFormatting>
  <conditionalFormatting sqref="G2132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2133:G2135">
    <cfRule type="colorScale" priority="179">
      <colorScale>
        <cfvo type="min"/>
        <cfvo type="max"/>
        <color rgb="FFF8696B"/>
        <color rgb="FFFCFCFF"/>
      </colorScale>
    </cfRule>
  </conditionalFormatting>
  <conditionalFormatting sqref="G2151:G2152">
    <cfRule type="colorScale" priority="52">
      <colorScale>
        <cfvo type="min"/>
        <cfvo type="max"/>
        <color rgb="FFF8696B"/>
        <color rgb="FFFCFCFF"/>
      </colorScale>
    </cfRule>
  </conditionalFormatting>
  <conditionalFormatting sqref="G2169">
    <cfRule type="colorScale" priority="678">
      <colorScale>
        <cfvo type="min"/>
        <cfvo type="max"/>
        <color rgb="FFF8696B"/>
        <color rgb="FFFCFCFF"/>
      </colorScale>
    </cfRule>
  </conditionalFormatting>
  <conditionalFormatting sqref="G2180">
    <cfRule type="colorScale" priority="329">
      <colorScale>
        <cfvo type="min"/>
        <cfvo type="max"/>
        <color rgb="FFF8696B"/>
        <color rgb="FFFCFCFF"/>
      </colorScale>
    </cfRule>
  </conditionalFormatting>
  <conditionalFormatting sqref="G2199">
    <cfRule type="colorScale" priority="662">
      <colorScale>
        <cfvo type="min"/>
        <cfvo type="max"/>
        <color rgb="FFF8696B"/>
        <color rgb="FFFCFCFF"/>
      </colorScale>
    </cfRule>
  </conditionalFormatting>
  <conditionalFormatting sqref="G2208:G2214">
    <cfRule type="colorScale" priority="676">
      <colorScale>
        <cfvo type="min"/>
        <cfvo type="max"/>
        <color rgb="FFF8696B"/>
        <color rgb="FFFCFCFF"/>
      </colorScale>
    </cfRule>
  </conditionalFormatting>
  <conditionalFormatting sqref="G2227:G2228">
    <cfRule type="colorScale" priority="659">
      <colorScale>
        <cfvo type="min"/>
        <cfvo type="max"/>
        <color rgb="FFF8696B"/>
        <color rgb="FFFCFCFF"/>
      </colorScale>
    </cfRule>
  </conditionalFormatting>
  <conditionalFormatting sqref="G2243">
    <cfRule type="colorScale" priority="77">
      <colorScale>
        <cfvo type="min"/>
        <cfvo type="max"/>
        <color rgb="FFF8696B"/>
        <color rgb="FFFCFCFF"/>
      </colorScale>
    </cfRule>
  </conditionalFormatting>
  <conditionalFormatting sqref="G2244:G2246 G2288 G2259:G2261 G2297:G2299 G2291">
    <cfRule type="colorScale" priority="682">
      <colorScale>
        <cfvo type="min"/>
        <cfvo type="max"/>
        <color rgb="FFF8696B"/>
        <color rgb="FFFCFCFF"/>
      </colorScale>
    </cfRule>
  </conditionalFormatting>
  <conditionalFormatting sqref="G2247:G2250 G2252:G2255">
    <cfRule type="colorScale" priority="103">
      <colorScale>
        <cfvo type="min"/>
        <cfvo type="max"/>
        <color rgb="FFF8696B"/>
        <color rgb="FFFCFCFF"/>
      </colorScale>
    </cfRule>
  </conditionalFormatting>
  <conditionalFormatting sqref="G2251">
    <cfRule type="colorScale" priority="57">
      <colorScale>
        <cfvo type="min"/>
        <cfvo type="max"/>
        <color rgb="FFF8696B"/>
        <color rgb="FFFCFCFF"/>
      </colorScale>
    </cfRule>
  </conditionalFormatting>
  <conditionalFormatting sqref="G2256">
    <cfRule type="colorScale" priority="19">
      <colorScale>
        <cfvo type="min"/>
        <cfvo type="max"/>
        <color rgb="FFF8696B"/>
        <color rgb="FFFCFCFF"/>
      </colorScale>
    </cfRule>
  </conditionalFormatting>
  <conditionalFormatting sqref="G2257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258">
    <cfRule type="colorScale" priority="56">
      <colorScale>
        <cfvo type="min"/>
        <cfvo type="max"/>
        <color rgb="FFF8696B"/>
        <color rgb="FFFCFCFF"/>
      </colorScale>
    </cfRule>
  </conditionalFormatting>
  <conditionalFormatting sqref="G2268:G2269">
    <cfRule type="colorScale" priority="105">
      <colorScale>
        <cfvo type="min"/>
        <cfvo type="max"/>
        <color rgb="FFF8696B"/>
        <color rgb="FFFCFCFF"/>
      </colorScale>
    </cfRule>
  </conditionalFormatting>
  <conditionalFormatting sqref="G2270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2277">
    <cfRule type="colorScale" priority="8876">
      <colorScale>
        <cfvo type="min"/>
        <cfvo type="max"/>
        <color rgb="FFF8696B"/>
        <color rgb="FFFCFCFF"/>
      </colorScale>
    </cfRule>
  </conditionalFormatting>
  <conditionalFormatting sqref="G2278:G2287">
    <cfRule type="colorScale" priority="20">
      <colorScale>
        <cfvo type="min"/>
        <cfvo type="max"/>
        <color rgb="FFF8696B"/>
        <color rgb="FFFCFCFF"/>
      </colorScale>
    </cfRule>
  </conditionalFormatting>
  <conditionalFormatting sqref="G2289">
    <cfRule type="colorScale" priority="54">
      <colorScale>
        <cfvo type="min"/>
        <cfvo type="max"/>
        <color rgb="FFF8696B"/>
        <color rgb="FFFCFCFF"/>
      </colorScale>
    </cfRule>
  </conditionalFormatting>
  <conditionalFormatting sqref="G2290">
    <cfRule type="colorScale" priority="53">
      <colorScale>
        <cfvo type="min"/>
        <cfvo type="max"/>
        <color rgb="FFF8696B"/>
        <color rgb="FFFCFCFF"/>
      </colorScale>
    </cfRule>
  </conditionalFormatting>
  <conditionalFormatting sqref="G2292">
    <cfRule type="colorScale" priority="99">
      <colorScale>
        <cfvo type="min"/>
        <cfvo type="max"/>
        <color rgb="FFF8696B"/>
        <color rgb="FFFCFCFF"/>
      </colorScale>
    </cfRule>
  </conditionalFormatting>
  <conditionalFormatting sqref="G2293">
    <cfRule type="colorScale" priority="98">
      <colorScale>
        <cfvo type="min"/>
        <cfvo type="max"/>
        <color rgb="FFF8696B"/>
        <color rgb="FFFCFCFF"/>
      </colorScale>
    </cfRule>
  </conditionalFormatting>
  <conditionalFormatting sqref="G2294">
    <cfRule type="colorScale" priority="18">
      <colorScale>
        <cfvo type="min"/>
        <cfvo type="max"/>
        <color rgb="FFF8696B"/>
        <color rgb="FFFCFCFF"/>
      </colorScale>
    </cfRule>
  </conditionalFormatting>
  <conditionalFormatting sqref="G2295">
    <cfRule type="colorScale" priority="17">
      <colorScale>
        <cfvo type="min"/>
        <cfvo type="max"/>
        <color rgb="FFF8696B"/>
        <color rgb="FFFCFCFF"/>
      </colorScale>
    </cfRule>
  </conditionalFormatting>
  <conditionalFormatting sqref="G2296">
    <cfRule type="colorScale" priority="16">
      <colorScale>
        <cfvo type="min"/>
        <cfvo type="max"/>
        <color rgb="FFF8696B"/>
        <color rgb="FFFCFCFF"/>
      </colorScale>
    </cfRule>
  </conditionalFormatting>
  <conditionalFormatting sqref="G2300:G2301">
    <cfRule type="colorScale" priority="55">
      <colorScale>
        <cfvo type="min"/>
        <cfvo type="max"/>
        <color rgb="FFF8696B"/>
        <color rgb="FFFCFCFF"/>
      </colorScale>
    </cfRule>
  </conditionalFormatting>
  <conditionalFormatting sqref="G2304">
    <cfRule type="colorScale" priority="46">
      <colorScale>
        <cfvo type="min"/>
        <cfvo type="max"/>
        <color rgb="FFF8696B"/>
        <color rgb="FFFCFCFF"/>
      </colorScale>
    </cfRule>
  </conditionalFormatting>
  <conditionalFormatting sqref="G2307">
    <cfRule type="colorScale" priority="468">
      <colorScale>
        <cfvo type="min"/>
        <cfvo type="max"/>
        <color rgb="FFF8696B"/>
        <color rgb="FFFCFCFF"/>
      </colorScale>
    </cfRule>
  </conditionalFormatting>
  <conditionalFormatting sqref="G2343:G2345 G2347:G2348">
    <cfRule type="colorScale" priority="7979">
      <colorScale>
        <cfvo type="min"/>
        <cfvo type="max"/>
        <color rgb="FFF8696B"/>
        <color rgb="FFFCFCFF"/>
      </colorScale>
    </cfRule>
  </conditionalFormatting>
  <conditionalFormatting sqref="G2354">
    <cfRule type="colorScale" priority="26">
      <colorScale>
        <cfvo type="min"/>
        <cfvo type="max"/>
        <color rgb="FFF8696B"/>
        <color rgb="FFFCFCFF"/>
      </colorScale>
    </cfRule>
  </conditionalFormatting>
  <conditionalFormatting sqref="G2370:G2371">
    <cfRule type="colorScale" priority="11">
      <colorScale>
        <cfvo type="min"/>
        <cfvo type="max"/>
        <color rgb="FFF8696B"/>
        <color rgb="FFFCFCFF"/>
      </colorScale>
    </cfRule>
  </conditionalFormatting>
  <conditionalFormatting sqref="G2372:G2373">
    <cfRule type="colorScale" priority="10">
      <colorScale>
        <cfvo type="min"/>
        <cfvo type="max"/>
        <color rgb="FFF8696B"/>
        <color rgb="FFFCFCFF"/>
      </colorScale>
    </cfRule>
  </conditionalFormatting>
  <conditionalFormatting sqref="G2385:G2386">
    <cfRule type="colorScale" priority="9">
      <colorScale>
        <cfvo type="min"/>
        <cfvo type="max"/>
        <color rgb="FFF8696B"/>
        <color rgb="FFFCFCFF"/>
      </colorScale>
    </cfRule>
  </conditionalFormatting>
  <conditionalFormatting sqref="G2394">
    <cfRule type="colorScale" priority="648">
      <colorScale>
        <cfvo type="min"/>
        <cfvo type="max"/>
        <color rgb="FFF8696B"/>
        <color rgb="FFFCFCFF"/>
      </colorScale>
    </cfRule>
  </conditionalFormatting>
  <conditionalFormatting sqref="G2405">
    <cfRule type="colorScale" priority="637">
      <colorScale>
        <cfvo type="min"/>
        <cfvo type="max"/>
        <color rgb="FFF8696B"/>
        <color rgb="FFFCFCFF"/>
      </colorScale>
    </cfRule>
  </conditionalFormatting>
  <conditionalFormatting sqref="G2406">
    <cfRule type="colorScale" priority="638">
      <colorScale>
        <cfvo type="min"/>
        <cfvo type="max"/>
        <color rgb="FFF8696B"/>
        <color rgb="FFFCFCFF"/>
      </colorScale>
    </cfRule>
  </conditionalFormatting>
  <conditionalFormatting sqref="G2407">
    <cfRule type="colorScale" priority="8927">
      <colorScale>
        <cfvo type="min"/>
        <cfvo type="max"/>
        <color rgb="FFF8696B"/>
        <color rgb="FFFCFCFF"/>
      </colorScale>
    </cfRule>
  </conditionalFormatting>
  <conditionalFormatting sqref="G2458">
    <cfRule type="colorScale" priority="2">
      <colorScale>
        <cfvo type="min"/>
        <cfvo type="max"/>
        <color rgb="FFF8696B"/>
        <color rgb="FFFCFCFF"/>
      </colorScale>
    </cfRule>
  </conditionalFormatting>
  <conditionalFormatting sqref="G2528:G2529">
    <cfRule type="colorScale" priority="5">
      <colorScale>
        <cfvo type="min"/>
        <cfvo type="max"/>
        <color rgb="FFF8696B"/>
        <color rgb="FFFCFCFF"/>
      </colorScale>
    </cfRule>
  </conditionalFormatting>
  <conditionalFormatting sqref="G2530">
    <cfRule type="colorScale" priority="642">
      <colorScale>
        <cfvo type="min"/>
        <cfvo type="max"/>
        <color rgb="FFF8696B"/>
        <color rgb="FFFCFCFF"/>
      </colorScale>
    </cfRule>
  </conditionalFormatting>
  <conditionalFormatting sqref="G2542:G2543">
    <cfRule type="colorScale" priority="3">
      <colorScale>
        <cfvo type="min"/>
        <cfvo type="max"/>
        <color rgb="FFF8696B"/>
        <color rgb="FFFCFCFF"/>
      </colorScale>
    </cfRule>
  </conditionalFormatting>
  <conditionalFormatting sqref="G2559">
    <cfRule type="colorScale" priority="628">
      <colorScale>
        <cfvo type="min"/>
        <cfvo type="max"/>
        <color rgb="FFF8696B"/>
        <color rgb="FFFCFCFF"/>
      </colorScale>
    </cfRule>
  </conditionalFormatting>
  <conditionalFormatting sqref="G2605">
    <cfRule type="colorScale" priority="622">
      <colorScale>
        <cfvo type="min"/>
        <cfvo type="max"/>
        <color rgb="FFF8696B"/>
        <color rgb="FFFCFCFF"/>
      </colorScale>
    </cfRule>
  </conditionalFormatting>
  <conditionalFormatting sqref="G2616">
    <cfRule type="colorScale" priority="611">
      <colorScale>
        <cfvo type="min"/>
        <cfvo type="max"/>
        <color rgb="FFF8696B"/>
        <color rgb="FFFCFCFF"/>
      </colorScale>
    </cfRule>
  </conditionalFormatting>
  <conditionalFormatting sqref="G2617">
    <cfRule type="colorScale" priority="612">
      <colorScale>
        <cfvo type="min"/>
        <cfvo type="max"/>
        <color rgb="FFF8696B"/>
        <color rgb="FFFCFCFF"/>
      </colorScale>
    </cfRule>
  </conditionalFormatting>
  <conditionalFormatting sqref="G2618">
    <cfRule type="colorScale" priority="8937">
      <colorScale>
        <cfvo type="min"/>
        <cfvo type="max"/>
        <color rgb="FFF8696B"/>
        <color rgb="FFFCFCFF"/>
      </colorScale>
    </cfRule>
  </conditionalFormatting>
  <conditionalFormatting sqref="G2711">
    <cfRule type="colorScale" priority="598">
      <colorScale>
        <cfvo type="min"/>
        <cfvo type="max"/>
        <color rgb="FFF8696B"/>
        <color rgb="FFFCFCFF"/>
      </colorScale>
    </cfRule>
  </conditionalFormatting>
  <conditionalFormatting sqref="G2738">
    <cfRule type="colorScale" priority="616">
      <colorScale>
        <cfvo type="min"/>
        <cfvo type="max"/>
        <color rgb="FFF8696B"/>
        <color rgb="FFFCFCFF"/>
      </colorScale>
    </cfRule>
  </conditionalFormatting>
  <conditionalFormatting sqref="G2762:G2764 G2680 G2555:G2556 G2675 G2629 G2601:G2602 G2471 G2215 G2464 G2419 G2391 G2024:G2025 G2194 G2073 G1560 G1504 G1421:G1424 G905 G881 G834 G733 G162:G163 G104 G150 G2013:G2014 G1146:G1150 G1824:G1827 G1829">
    <cfRule type="colorScale" priority="592">
      <colorScale>
        <cfvo type="min"/>
        <cfvo type="max"/>
        <color rgb="FFF8696B"/>
        <color rgb="FFFCFCFF"/>
      </colorScale>
    </cfRule>
  </conditionalFormatting>
  <conditionalFormatting sqref="G2777:G2778">
    <cfRule type="colorScale" priority="599">
      <colorScale>
        <cfvo type="min"/>
        <cfvo type="max"/>
        <color rgb="FFF8696B"/>
        <color rgb="FFFCFCFF"/>
      </colorScale>
    </cfRule>
  </conditionalFormatting>
  <conditionalFormatting sqref="H654:H669">
    <cfRule type="colorScale" priority="5756">
      <colorScale>
        <cfvo type="min"/>
        <cfvo type="max"/>
        <color rgb="FFF8696B"/>
        <color rgb="FFFCFCFF"/>
      </colorScale>
    </cfRule>
  </conditionalFormatting>
  <conditionalFormatting sqref="H737:H748 H733">
    <cfRule type="colorScale" priority="4985">
      <colorScale>
        <cfvo type="min"/>
        <cfvo type="max"/>
        <color rgb="FFF8696B"/>
        <color rgb="FFFCFCFF"/>
      </colorScale>
    </cfRule>
  </conditionalFormatting>
  <conditionalFormatting sqref="H786:H788 H755:H784">
    <cfRule type="colorScale" priority="6210">
      <colorScale>
        <cfvo type="min"/>
        <cfvo type="max"/>
        <color rgb="FFF8696B"/>
        <color rgb="FFFCFCFF"/>
      </colorScale>
    </cfRule>
  </conditionalFormatting>
  <conditionalFormatting sqref="H882">
    <cfRule type="colorScale" priority="38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A89BE-24BF-4798-984E-1465E4A36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C1F8308C-0279-4772-981F-4378BFA14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F696</xm:sqref>
        </x14:conditionalFormatting>
        <x14:conditionalFormatting xmlns:xm="http://schemas.microsoft.com/office/excel/2006/main">
          <x14:cfRule type="dataBar" id="{844516D9-C012-4345-99E1-0E3C6DD3E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F1369</xm:sqref>
        </x14:conditionalFormatting>
        <x14:conditionalFormatting xmlns:xm="http://schemas.microsoft.com/office/excel/2006/main">
          <x14:cfRule type="dataBar" id="{51FAC81D-0FFF-4285-B9FB-DECA4367BA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F1949</xm:sqref>
        </x14:conditionalFormatting>
        <x14:conditionalFormatting xmlns:xm="http://schemas.microsoft.com/office/excel/2006/main">
          <x14:cfRule type="dataBar" id="{3EC5F668-CC6F-42FE-9F2C-D1DCED2C2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F2363</xm:sqref>
        </x14:conditionalFormatting>
        <x14:conditionalFormatting xmlns:xm="http://schemas.microsoft.com/office/excel/2006/main">
          <x14:cfRule type="dataBar" id="{A59574DB-C0B9-4504-B66C-E23DF6323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F2580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</vt:i4>
      </vt:variant>
    </vt:vector>
  </HeadingPairs>
  <TitlesOfParts>
    <vt:vector size="20" baseType="lpstr">
      <vt:lpstr>PLANEJAMENTO- OFC</vt:lpstr>
      <vt:lpstr>BASE</vt:lpstr>
      <vt:lpstr>ajustes </vt:lpstr>
      <vt:lpstr>pagamento 23.10</vt:lpstr>
      <vt:lpstr>22 A 29.10</vt:lpstr>
      <vt:lpstr>DDA </vt:lpstr>
      <vt:lpstr>TR</vt:lpstr>
      <vt:lpstr>RP</vt:lpstr>
      <vt:lpstr>DDA VENCIDO</vt:lpstr>
      <vt:lpstr>Planilha1</vt:lpstr>
      <vt:lpstr>RESCISÃO</vt:lpstr>
      <vt:lpstr>BN JUROS</vt:lpstr>
      <vt:lpstr>Planilha3</vt:lpstr>
      <vt:lpstr>Planilha4</vt:lpstr>
      <vt:lpstr>Planilha5</vt:lpstr>
      <vt:lpstr>Planilha2</vt:lpstr>
      <vt:lpstr>APORTE VITOR PROGRAMAÇÃO </vt:lpstr>
      <vt:lpstr>PLANEJAMENTO1</vt:lpstr>
      <vt:lpstr>COPIA 1 JULHO  DEZ</vt:lpstr>
      <vt:lpstr>'pagamento 23.10'!Area_de_impressao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2025-10-23T21:31:52Z</cp:lastPrinted>
  <dcterms:created xsi:type="dcterms:W3CDTF">2025-06-05T00:43:13Z</dcterms:created>
  <dcterms:modified xsi:type="dcterms:W3CDTF">2025-11-04T16:41:10Z</dcterms:modified>
</cp:coreProperties>
</file>