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Nova pasta\"/>
    </mc:Choice>
  </mc:AlternateContent>
  <xr:revisionPtr revIDLastSave="0" documentId="13_ncr:1_{2EFB3087-F75D-40CE-91FD-C48A22C2E9ED}" xr6:coauthVersionLast="47" xr6:coauthVersionMax="47" xr10:uidLastSave="{00000000-0000-0000-0000-000000000000}"/>
  <bookViews>
    <workbookView xWindow="-108" yWindow="-108" windowWidth="23256" windowHeight="12456" xr2:uid="{B44F2CD2-6C31-4D10-9123-2A5A1191E7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8" i="1"/>
  <c r="C4" i="1"/>
</calcChain>
</file>

<file path=xl/sharedStrings.xml><?xml version="1.0" encoding="utf-8"?>
<sst xmlns="http://schemas.openxmlformats.org/spreadsheetml/2006/main" count="28" uniqueCount="25">
  <si>
    <t>DATA</t>
  </si>
  <si>
    <t>EMPRESA</t>
  </si>
  <si>
    <t>BANCO</t>
  </si>
  <si>
    <t>DESCRIÇÃO</t>
  </si>
  <si>
    <t>VALOR</t>
  </si>
  <si>
    <t>TIPO</t>
  </si>
  <si>
    <t>CENTRO DE CUSTO</t>
  </si>
  <si>
    <t>VITOR DUARTE ND</t>
  </si>
  <si>
    <t>BRADESCO</t>
  </si>
  <si>
    <t>PAGTO ELETRON  COBRANCA VITOR-VITOR SOLICITOU ESSE PAGAMENTO E ACORDO QUE DEVOLVIA O VALOR NO DIA 21/08</t>
  </si>
  <si>
    <t>DESPESAS</t>
  </si>
  <si>
    <t>VITOR</t>
  </si>
  <si>
    <t>HSERV CLEAN</t>
  </si>
  <si>
    <t>OMIE CASH</t>
  </si>
  <si>
    <t xml:space="preserve">VITOR AUGUSTO DUARTE- VALOR FEITO PARA O VITOR PAGAR O OTAVIO DA SUA CONTA PESSOAL , POREM NÃO CONSEGUIU DEVIDO AO VALOR , E REALIZAMOS O PAGAMENTO DA NOSSA CONTA, SENDO ASSIM O VITOR PRECISA DEVOLVER </t>
  </si>
  <si>
    <t>Realizamos a transferencia para o vitor pagar o Otavio pois não havia dinheiro na ND, transferimos para ele  porem ele não conseguiu pagar devido ao limite de pagamento  sendo assim realizamos o boleto na oficial mesmo, e ficou dele devolver, como não tinha limite ele devolveu 9k no mesmo dia e o restante iria transferir no dia seguinte</t>
  </si>
  <si>
    <t>Vitor devolveu pois não conseguiu pagar o Otavio</t>
  </si>
  <si>
    <t>Vitor devolveu mais uma parte do valor , falta R$ 2.565,28</t>
  </si>
  <si>
    <t>Caponus Administradora de consorcios</t>
  </si>
  <si>
    <t>vitor devolveu 9k dia 05/09/2025 referente ao boleto acima</t>
  </si>
  <si>
    <t>Entrda da devolução Vitor referente ao boleto do dia 19/10</t>
  </si>
  <si>
    <t>Vitor solicitou que realizasse o pagamento desse boeteo , e informou que devolveria dia 21/08</t>
  </si>
  <si>
    <t>falta devolver</t>
  </si>
  <si>
    <t>Transferencia Vitor Augusto Duarte</t>
  </si>
  <si>
    <t xml:space="preserve"> Devolução Vitor 15/08 Hserv clean fitbank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</si>
</sst>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44" fontId="1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44" fontId="0" fillId="0" borderId="0" xfId="0" applyNumberFormat="1"/>
    <xf numFmtId="0" fontId="0" fillId="0" borderId="1" xfId="0" applyBorder="1"/>
    <xf numFmtId="44" fontId="0" fillId="0" borderId="1" xfId="0" applyNumberFormat="1" applyBorder="1"/>
    <xf numFmtId="14" fontId="0" fillId="0" borderId="1" xfId="0" applyNumberFormat="1" applyBorder="1"/>
    <xf numFmtId="44" fontId="2" fillId="0" borderId="1" xfId="0" applyNumberFormat="1" applyFont="1" applyBorder="1"/>
    <xf numFmtId="44" fontId="3" fillId="0" borderId="1" xfId="0" applyNumberFormat="1" applyFont="1" applyBorder="1"/>
    <xf numFmtId="16" fontId="0" fillId="0" borderId="1" xfId="0" applyNumberFormat="1" applyBorder="1"/>
    <xf numFmtId="44" fontId="0" fillId="2" borderId="1" xfId="0" applyNumberFormat="1" applyFill="1" applyBorder="1"/>
    <xf numFmtId="44" fontId="3" fillId="3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0E07D-4C01-440D-8331-AFCC34C1DD60}" name="Tabela1" displayName="Tabela1" ref="B16:H18" totalsRowShown="0">
  <autoFilter ref="B16:H18" xr:uid="{E620E07D-4C01-440D-8331-AFCC34C1DD60}"/>
  <tableColumns count="7">
    <tableColumn id="1" xr3:uid="{215AD8E5-5EC7-42CF-91B3-8E67F06E282F}" name="DATA" dataDxfId="0"/>
    <tableColumn id="2" xr3:uid="{B9D76C26-3B85-4BC6-B1D7-1C975DECB025}" name="EMPRESA"/>
    <tableColumn id="3" xr3:uid="{C4EA5BBC-35AF-46CB-923D-944753AB1903}" name="BANCO"/>
    <tableColumn id="4" xr3:uid="{52ECAFC7-7E36-4618-BD92-A163E7A59E27}" name="DESCRIÇÃO"/>
    <tableColumn id="5" xr3:uid="{38661705-462B-473F-A92D-7821D725843E}" name="VALOR"/>
    <tableColumn id="6" xr3:uid="{2EEA7F39-8A26-4390-A64A-B3D41F0FC24D}" name="TIPO"/>
    <tableColumn id="7" xr3:uid="{83637919-3DE5-4B39-9432-F8988D0D45E9}" name="CENTRO DE CU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5DEC-2524-42B2-BFA1-0195309FF107}">
  <dimension ref="A1:H18"/>
  <sheetViews>
    <sheetView showGridLines="0" tabSelected="1" workbookViewId="0">
      <selection sqref="A1:L14"/>
    </sheetView>
  </sheetViews>
  <sheetFormatPr defaultRowHeight="14.4" x14ac:dyDescent="0.3"/>
  <cols>
    <col min="1" max="1" width="11.88671875" bestFit="1" customWidth="1"/>
    <col min="2" max="2" width="50.33203125" bestFit="1" customWidth="1"/>
    <col min="3" max="3" width="16.44140625" style="4" bestFit="1" customWidth="1"/>
    <col min="4" max="4" width="10.33203125" bestFit="1" customWidth="1"/>
    <col min="5" max="5" width="206.6640625" customWidth="1"/>
  </cols>
  <sheetData>
    <row r="1" spans="1:8" ht="16.2" customHeight="1" x14ac:dyDescent="0.3">
      <c r="A1" s="7">
        <v>45884</v>
      </c>
      <c r="B1" s="1" t="s">
        <v>23</v>
      </c>
      <c r="C1" s="2">
        <v>20565.28</v>
      </c>
      <c r="D1" t="s">
        <v>15</v>
      </c>
    </row>
    <row r="2" spans="1:8" x14ac:dyDescent="0.3">
      <c r="A2" s="7">
        <v>45884</v>
      </c>
      <c r="B2" s="5" t="s">
        <v>24</v>
      </c>
      <c r="C2" s="6">
        <v>9000</v>
      </c>
      <c r="D2" t="s">
        <v>16</v>
      </c>
    </row>
    <row r="3" spans="1:8" x14ac:dyDescent="0.3">
      <c r="A3" s="7">
        <v>45887</v>
      </c>
      <c r="B3" s="5" t="s">
        <v>24</v>
      </c>
      <c r="C3" s="6">
        <v>9000</v>
      </c>
      <c r="D3" t="s">
        <v>17</v>
      </c>
    </row>
    <row r="4" spans="1:8" x14ac:dyDescent="0.3">
      <c r="A4" s="3"/>
      <c r="B4" s="4"/>
      <c r="C4" s="9">
        <f>C1-C2-C3</f>
        <v>2565.2799999999988</v>
      </c>
    </row>
    <row r="5" spans="1:8" x14ac:dyDescent="0.3">
      <c r="A5" s="3"/>
      <c r="B5" s="4"/>
    </row>
    <row r="6" spans="1:8" x14ac:dyDescent="0.3">
      <c r="A6" s="10">
        <v>45888</v>
      </c>
      <c r="B6" s="5" t="s">
        <v>18</v>
      </c>
      <c r="C6" s="11">
        <v>36835.56</v>
      </c>
      <c r="D6" t="s">
        <v>21</v>
      </c>
    </row>
    <row r="7" spans="1:8" x14ac:dyDescent="0.3">
      <c r="A7" s="10">
        <v>45905</v>
      </c>
      <c r="B7" s="5" t="s">
        <v>20</v>
      </c>
      <c r="C7" s="6">
        <v>9000</v>
      </c>
      <c r="D7" t="s">
        <v>19</v>
      </c>
    </row>
    <row r="8" spans="1:8" x14ac:dyDescent="0.3">
      <c r="C8" s="8">
        <f>C6-C7</f>
        <v>27835.559999999998</v>
      </c>
    </row>
    <row r="9" spans="1:8" x14ac:dyDescent="0.3">
      <c r="C9"/>
    </row>
    <row r="11" spans="1:8" x14ac:dyDescent="0.3">
      <c r="C11" s="12">
        <f>C8+C4</f>
        <v>30400.839999999997</v>
      </c>
      <c r="D11" s="13" t="s">
        <v>22</v>
      </c>
    </row>
    <row r="16" spans="1:8" x14ac:dyDescent="0.3"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</row>
    <row r="17" spans="2:8" x14ac:dyDescent="0.3">
      <c r="B17" s="3">
        <v>45888</v>
      </c>
      <c r="C17" t="s">
        <v>7</v>
      </c>
      <c r="D17" t="s">
        <v>8</v>
      </c>
      <c r="E17" t="s">
        <v>9</v>
      </c>
      <c r="F17">
        <v>36835.56</v>
      </c>
      <c r="G17" t="s">
        <v>10</v>
      </c>
      <c r="H17" t="s">
        <v>11</v>
      </c>
    </row>
    <row r="18" spans="2:8" x14ac:dyDescent="0.3">
      <c r="B18" s="3">
        <v>45884</v>
      </c>
      <c r="C18" t="s">
        <v>12</v>
      </c>
      <c r="D18" t="s">
        <v>13</v>
      </c>
      <c r="E18" t="s">
        <v>14</v>
      </c>
      <c r="F18">
        <v>20565.28</v>
      </c>
      <c r="G18" t="s">
        <v>10</v>
      </c>
      <c r="H18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2025-09-18T17:44:58Z</dcterms:created>
  <dcterms:modified xsi:type="dcterms:W3CDTF">2025-10-31T15:55:13Z</dcterms:modified>
</cp:coreProperties>
</file>