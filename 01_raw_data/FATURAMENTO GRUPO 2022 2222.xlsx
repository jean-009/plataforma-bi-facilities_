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mela.greice.HSERV\Desktop\"/>
    </mc:Choice>
  </mc:AlternateContent>
  <bookViews>
    <workbookView xWindow="-120" yWindow="0" windowWidth="2280" windowHeight="0" tabRatio="521" activeTab="1"/>
  </bookViews>
  <sheets>
    <sheet name="FAT ANT" sheetId="1" r:id="rId1"/>
    <sheet name="FAT NOVO" sheetId="4" r:id="rId2"/>
    <sheet name="Plan2" sheetId="16" state="hidden" r:id="rId3"/>
    <sheet name="Plan1" sheetId="15" state="hidden" r:id="rId4"/>
    <sheet name="SOFISA" sheetId="18" r:id="rId5"/>
    <sheet name="Plan3" sheetId="7" state="hidden" r:id="rId6"/>
  </sheets>
  <definedNames>
    <definedName name="_xlnm._FilterDatabase" localSheetId="0" hidden="1">'FAT ANT'!$A$1:$Q$903</definedName>
    <definedName name="_xlnm._FilterDatabase" localSheetId="1" hidden="1">'FAT NOVO'!$A$1:$Q$1325</definedName>
    <definedName name="_xlnm._FilterDatabase" localSheetId="2" hidden="1">Plan2!$A$1:$P$39</definedName>
    <definedName name="_xlnm.Print_Area" localSheetId="0">'FAT ANT'!$A$1:$N$835</definedName>
    <definedName name="_xlnm.Print_Area" localSheetId="1">'FAT NOVO'!$B$1:$P$1316</definedName>
  </definedNames>
  <calcPr calcId="152511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25" i="4" l="1"/>
  <c r="L1324" i="4"/>
  <c r="L1323" i="4"/>
  <c r="L1322" i="4"/>
  <c r="L1321" i="4"/>
  <c r="L1320" i="4"/>
  <c r="L1319" i="4"/>
  <c r="L1318" i="4"/>
  <c r="L1312" i="4"/>
  <c r="O1324" i="4"/>
  <c r="O1322" i="4"/>
  <c r="O1320" i="4"/>
  <c r="O1318" i="4"/>
  <c r="M24" i="18" l="1"/>
  <c r="M23" i="18"/>
  <c r="M22" i="18"/>
  <c r="M21" i="18"/>
  <c r="O1315" i="4" l="1"/>
  <c r="O1314" i="4"/>
  <c r="O1313" i="4"/>
  <c r="O1312" i="4"/>
  <c r="O1311" i="4"/>
  <c r="L993" i="4" l="1"/>
  <c r="L992" i="4"/>
  <c r="O706" i="4" l="1"/>
  <c r="L706" i="4"/>
  <c r="M1262" i="4" l="1"/>
  <c r="M1261" i="4"/>
  <c r="M1260" i="4"/>
  <c r="M1259" i="4"/>
  <c r="M1258" i="4"/>
  <c r="M1257" i="4"/>
  <c r="M1256" i="4"/>
  <c r="M1255" i="4"/>
  <c r="M1254" i="4"/>
  <c r="M1253" i="4"/>
  <c r="M1252" i="4"/>
  <c r="M1251" i="4"/>
  <c r="M1222" i="4"/>
  <c r="M776" i="4"/>
  <c r="M775" i="4"/>
  <c r="M774" i="4"/>
  <c r="M773" i="4"/>
  <c r="M772" i="4"/>
  <c r="M771" i="4"/>
  <c r="M770" i="4"/>
  <c r="M766" i="4"/>
  <c r="M765" i="4"/>
  <c r="M764" i="4"/>
  <c r="M763" i="4"/>
  <c r="M762" i="4"/>
  <c r="M761" i="4"/>
  <c r="M760" i="4"/>
  <c r="M759" i="4"/>
  <c r="M758" i="4"/>
  <c r="M757" i="4"/>
  <c r="M749" i="4"/>
  <c r="M748" i="4"/>
  <c r="M747" i="4"/>
  <c r="M746" i="4"/>
  <c r="M745" i="4"/>
  <c r="M744" i="4"/>
  <c r="M74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22" i="4"/>
  <c r="L776" i="4"/>
  <c r="L775" i="4"/>
  <c r="L774" i="4"/>
  <c r="L773" i="4"/>
  <c r="L772" i="4"/>
  <c r="L771" i="4"/>
  <c r="L770" i="4"/>
  <c r="L766" i="4"/>
  <c r="L765" i="4"/>
  <c r="L764" i="4"/>
  <c r="L763" i="4"/>
  <c r="L762" i="4"/>
  <c r="L761" i="4"/>
  <c r="L760" i="4"/>
  <c r="L759" i="4"/>
  <c r="L758" i="4"/>
  <c r="L757" i="4"/>
  <c r="L749" i="4"/>
  <c r="L748" i="4"/>
  <c r="L747" i="4"/>
  <c r="L746" i="4"/>
  <c r="L745" i="4"/>
  <c r="L744" i="4"/>
  <c r="L743" i="4"/>
  <c r="M742" i="4"/>
  <c r="L742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21" i="4"/>
  <c r="M702" i="4"/>
  <c r="M701" i="4"/>
  <c r="M700" i="4"/>
  <c r="M699" i="4"/>
  <c r="M698" i="4"/>
  <c r="M697" i="4"/>
  <c r="M696" i="4"/>
  <c r="M691" i="4"/>
  <c r="M690" i="4"/>
  <c r="M689" i="4"/>
  <c r="M688" i="4"/>
  <c r="M687" i="4"/>
  <c r="M686" i="4"/>
  <c r="M685" i="4"/>
  <c r="M684" i="4"/>
  <c r="M683" i="4"/>
  <c r="M682" i="4"/>
  <c r="M672" i="4"/>
  <c r="M671" i="4"/>
  <c r="M670" i="4"/>
  <c r="M669" i="4"/>
  <c r="M668" i="4"/>
  <c r="M667" i="4"/>
  <c r="M666" i="4"/>
  <c r="M665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21" i="4"/>
  <c r="L702" i="4"/>
  <c r="L701" i="4"/>
  <c r="L700" i="4"/>
  <c r="L699" i="4"/>
  <c r="L698" i="4"/>
  <c r="L697" i="4"/>
  <c r="L696" i="4"/>
  <c r="L691" i="4"/>
  <c r="L690" i="4"/>
  <c r="L689" i="4"/>
  <c r="L688" i="4"/>
  <c r="L687" i="4"/>
  <c r="L686" i="4"/>
  <c r="L685" i="4"/>
  <c r="L684" i="4"/>
  <c r="L683" i="4"/>
  <c r="L682" i="4"/>
  <c r="L672" i="4"/>
  <c r="L671" i="4"/>
  <c r="L670" i="4"/>
  <c r="L669" i="4"/>
  <c r="L668" i="4"/>
  <c r="L667" i="4"/>
  <c r="L666" i="4"/>
  <c r="L665" i="4"/>
  <c r="L1180" i="4" l="1"/>
  <c r="O1179" i="4" l="1"/>
  <c r="L1238" i="4" l="1"/>
  <c r="O1238" i="4" s="1"/>
  <c r="L1237" i="4"/>
  <c r="O1237" i="4" s="1"/>
  <c r="L1236" i="4"/>
  <c r="O1236" i="4" s="1"/>
  <c r="L1235" i="4"/>
  <c r="O1235" i="4" s="1"/>
  <c r="L1234" i="4"/>
  <c r="O1234" i="4" s="1"/>
  <c r="L1233" i="4"/>
  <c r="O1233" i="4" s="1"/>
  <c r="L1232" i="4"/>
  <c r="O1232" i="4" s="1"/>
  <c r="L1231" i="4"/>
  <c r="O1231" i="4" s="1"/>
  <c r="L1230" i="4"/>
  <c r="O1230" i="4" s="1"/>
  <c r="L1229" i="4"/>
  <c r="O1229" i="4" s="1"/>
  <c r="L1228" i="4"/>
  <c r="O1228" i="4" s="1"/>
  <c r="L1227" i="4"/>
  <c r="O1227" i="4" s="1"/>
  <c r="M1226" i="4"/>
  <c r="L1226" i="4"/>
  <c r="M1225" i="4"/>
  <c r="L1225" i="4"/>
  <c r="M1224" i="4"/>
  <c r="L1224" i="4"/>
  <c r="M1223" i="4"/>
  <c r="L1223" i="4"/>
  <c r="M38" i="16"/>
  <c r="M37" i="16"/>
  <c r="M36" i="16"/>
  <c r="M34" i="16"/>
  <c r="M32" i="16"/>
  <c r="M30" i="16"/>
  <c r="M27" i="16"/>
  <c r="M24" i="16"/>
  <c r="M22" i="16"/>
  <c r="M20" i="16"/>
  <c r="M17" i="16"/>
  <c r="M14" i="16"/>
  <c r="M11" i="16"/>
  <c r="M8" i="16"/>
  <c r="M7" i="16"/>
  <c r="M5" i="16"/>
  <c r="M4" i="16"/>
  <c r="L38" i="16"/>
  <c r="L37" i="16"/>
  <c r="L36" i="16"/>
  <c r="L34" i="16"/>
  <c r="L32" i="16"/>
  <c r="L30" i="16"/>
  <c r="L27" i="16"/>
  <c r="L24" i="16"/>
  <c r="L22" i="16"/>
  <c r="L20" i="16"/>
  <c r="L17" i="16"/>
  <c r="L14" i="16"/>
  <c r="L11" i="16"/>
  <c r="L8" i="16"/>
  <c r="L7" i="16"/>
  <c r="L5" i="16"/>
  <c r="L4" i="16"/>
  <c r="L2" i="16"/>
  <c r="M2" i="16"/>
  <c r="O667" i="4" l="1"/>
  <c r="O688" i="4"/>
  <c r="O1221" i="4"/>
  <c r="O670" i="4"/>
  <c r="O691" i="4"/>
  <c r="O666" i="4"/>
  <c r="O684" i="4"/>
  <c r="O701" i="4"/>
  <c r="O669" i="4"/>
  <c r="O671" i="4"/>
  <c r="O697" i="4"/>
  <c r="O685" i="4"/>
  <c r="O702" i="4"/>
  <c r="O700" i="4"/>
  <c r="O683" i="4"/>
  <c r="O672" i="4"/>
  <c r="O699" i="4"/>
  <c r="O690" i="4"/>
  <c r="O598" i="4"/>
  <c r="L598" i="4"/>
  <c r="K580" i="4"/>
  <c r="L1154" i="4" l="1"/>
  <c r="O1154" i="4" s="1"/>
  <c r="L1214" i="4" l="1"/>
  <c r="O1142" i="4" l="1"/>
  <c r="O1110" i="4"/>
  <c r="O521" i="4"/>
  <c r="O516" i="4"/>
  <c r="O513" i="4"/>
  <c r="O471" i="4"/>
  <c r="O434" i="4"/>
  <c r="O433" i="4"/>
  <c r="L559" i="4" l="1"/>
  <c r="O559" i="4" s="1"/>
  <c r="L558" i="4"/>
  <c r="O558" i="4" s="1"/>
  <c r="L1220" i="4"/>
  <c r="O1220" i="4" s="1"/>
  <c r="L1219" i="4"/>
  <c r="O1219" i="4" s="1"/>
  <c r="L1218" i="4"/>
  <c r="O1218" i="4" s="1"/>
  <c r="L1217" i="4"/>
  <c r="O1217" i="4" s="1"/>
  <c r="L1216" i="4"/>
  <c r="O1216" i="4" s="1"/>
  <c r="L1215" i="4"/>
  <c r="O1215" i="4" s="1"/>
  <c r="L608" i="4"/>
  <c r="O608" i="4" s="1"/>
  <c r="L518" i="4"/>
  <c r="O518" i="4" l="1"/>
  <c r="O1212" i="4"/>
  <c r="L676" i="4" l="1"/>
  <c r="L1203" i="4"/>
  <c r="L1208" i="4"/>
  <c r="L1211" i="4"/>
  <c r="L537" i="4"/>
  <c r="L754" i="4"/>
  <c r="L917" i="4"/>
  <c r="L1007" i="4"/>
  <c r="E19" i="7" l="1"/>
  <c r="E15" i="7"/>
  <c r="E16" i="7"/>
  <c r="E17" i="7"/>
  <c r="E18" i="7"/>
  <c r="E14" i="7"/>
  <c r="D15" i="7"/>
  <c r="C15" i="7"/>
  <c r="D14" i="7"/>
  <c r="C14" i="7"/>
  <c r="D18" i="7"/>
  <c r="C18" i="7"/>
  <c r="D17" i="7"/>
  <c r="C17" i="7"/>
  <c r="D16" i="7"/>
  <c r="C16" i="7"/>
  <c r="L453" i="4" l="1"/>
  <c r="L346" i="4"/>
  <c r="O297" i="4" l="1"/>
  <c r="L443" i="4" l="1"/>
  <c r="N339" i="4" l="1"/>
  <c r="L457" i="4" l="1"/>
  <c r="L456" i="4"/>
  <c r="L358" i="4"/>
  <c r="L357" i="4"/>
  <c r="N457" i="4"/>
  <c r="N456" i="4"/>
  <c r="N358" i="4"/>
  <c r="N357" i="4"/>
  <c r="O358" i="4" l="1"/>
  <c r="O357" i="4"/>
  <c r="O456" i="4"/>
  <c r="O457" i="4"/>
  <c r="N275" i="4"/>
  <c r="O275" i="4" s="1"/>
  <c r="N274" i="4"/>
  <c r="O274" i="4" s="1"/>
  <c r="N271" i="4"/>
  <c r="O271" i="4" s="1"/>
  <c r="N238" i="4"/>
  <c r="O238" i="4" s="1"/>
  <c r="N319" i="4"/>
  <c r="O319" i="4" s="1"/>
  <c r="N255" i="4"/>
  <c r="O255" i="4" s="1"/>
  <c r="N247" i="4"/>
  <c r="O247" i="4" s="1"/>
  <c r="N237" i="4"/>
  <c r="M318" i="4"/>
  <c r="L1053" i="4"/>
  <c r="N1053" i="4" s="1"/>
  <c r="L969" i="4"/>
  <c r="N969" i="4" s="1"/>
  <c r="L887" i="4"/>
  <c r="N887" i="4" s="1"/>
  <c r="L806" i="4"/>
  <c r="L723" i="4"/>
  <c r="N723" i="4" s="1"/>
  <c r="L645" i="4"/>
  <c r="N645" i="4" s="1"/>
  <c r="O645" i="4" s="1"/>
  <c r="L556" i="4"/>
  <c r="N556" i="4" s="1"/>
  <c r="L467" i="4"/>
  <c r="N467" i="4" s="1"/>
  <c r="L361" i="4"/>
  <c r="N361" i="4" s="1"/>
  <c r="L1052" i="4"/>
  <c r="N1052" i="4" s="1"/>
  <c r="O1052" i="4" s="1"/>
  <c r="L968" i="4"/>
  <c r="N968" i="4" s="1"/>
  <c r="O968" i="4" s="1"/>
  <c r="L886" i="4"/>
  <c r="L805" i="4"/>
  <c r="L722" i="4"/>
  <c r="O722" i="4" s="1"/>
  <c r="L644" i="4"/>
  <c r="N644" i="4" s="1"/>
  <c r="O644" i="4" s="1"/>
  <c r="L555" i="4"/>
  <c r="L466" i="4"/>
  <c r="L360" i="4"/>
  <c r="N360" i="4" s="1"/>
  <c r="O360" i="4" s="1"/>
  <c r="N1199" i="4"/>
  <c r="O1199" i="4" s="1"/>
  <c r="N1195" i="4"/>
  <c r="O1195" i="4" s="1"/>
  <c r="N1191" i="4"/>
  <c r="O1191" i="4" s="1"/>
  <c r="N1187" i="4"/>
  <c r="O1187" i="4" s="1"/>
  <c r="N1183" i="4"/>
  <c r="O1183" i="4" s="1"/>
  <c r="N1178" i="4"/>
  <c r="O1178" i="4" s="1"/>
  <c r="N1157" i="4"/>
  <c r="O1157" i="4" s="1"/>
  <c r="N1146" i="4"/>
  <c r="O1146" i="4" s="1"/>
  <c r="N1166" i="4"/>
  <c r="O1166" i="4" s="1"/>
  <c r="N353" i="4"/>
  <c r="O353" i="4" s="1"/>
  <c r="N1099" i="4"/>
  <c r="N538" i="4"/>
  <c r="N1080" i="4"/>
  <c r="N1047" i="4"/>
  <c r="N1025" i="4"/>
  <c r="N1083" i="4"/>
  <c r="N1003" i="4"/>
  <c r="N955" i="4"/>
  <c r="N933" i="4"/>
  <c r="N1206" i="4"/>
  <c r="N914" i="4"/>
  <c r="N881" i="4"/>
  <c r="N769" i="4"/>
  <c r="N444" i="4"/>
  <c r="N750" i="4"/>
  <c r="N717" i="4"/>
  <c r="N694" i="4"/>
  <c r="N677" i="4"/>
  <c r="N673" i="4"/>
  <c r="N639" i="4"/>
  <c r="N840" i="4"/>
  <c r="N534" i="4"/>
  <c r="N530" i="4"/>
  <c r="N1143" i="4"/>
  <c r="N918" i="4"/>
  <c r="N440" i="4"/>
  <c r="N436" i="4"/>
  <c r="N453" i="4"/>
  <c r="N415" i="4"/>
  <c r="N394" i="4"/>
  <c r="N391" i="4"/>
  <c r="N346" i="4"/>
  <c r="N317" i="4"/>
  <c r="N294" i="4"/>
  <c r="N291" i="4"/>
  <c r="N251" i="4"/>
  <c r="N244" i="4"/>
  <c r="O244" i="4" s="1"/>
  <c r="N539" i="4"/>
  <c r="N1081" i="4"/>
  <c r="N1050" i="4"/>
  <c r="N1049" i="4"/>
  <c r="N1048" i="4"/>
  <c r="N1034" i="4"/>
  <c r="N1084" i="4"/>
  <c r="N1004" i="4"/>
  <c r="N958" i="4"/>
  <c r="N957" i="4"/>
  <c r="N956" i="4"/>
  <c r="N942" i="4"/>
  <c r="N1207" i="4"/>
  <c r="N915" i="4"/>
  <c r="N884" i="4"/>
  <c r="N883" i="4"/>
  <c r="N882" i="4"/>
  <c r="N868" i="4"/>
  <c r="N445" i="4"/>
  <c r="N751" i="4"/>
  <c r="N720" i="4"/>
  <c r="N719" i="4"/>
  <c r="N718" i="4"/>
  <c r="N704" i="4"/>
  <c r="N753" i="4"/>
  <c r="N674" i="4"/>
  <c r="N642" i="4"/>
  <c r="N641" i="4"/>
  <c r="N640" i="4"/>
  <c r="N627" i="4"/>
  <c r="N841" i="4"/>
  <c r="N535" i="4"/>
  <c r="N533" i="4"/>
  <c r="N532" i="4"/>
  <c r="N531" i="4"/>
  <c r="N527" i="4"/>
  <c r="N1006" i="4"/>
  <c r="N441" i="4"/>
  <c r="N439" i="4"/>
  <c r="N438" i="4"/>
  <c r="N437" i="4"/>
  <c r="N455" i="4"/>
  <c r="N454" i="4"/>
  <c r="N431" i="4"/>
  <c r="N395" i="4"/>
  <c r="N392" i="4"/>
  <c r="N356" i="4"/>
  <c r="N355" i="4"/>
  <c r="N354" i="4"/>
  <c r="N348" i="4"/>
  <c r="N347" i="4"/>
  <c r="N337" i="4"/>
  <c r="N295" i="4"/>
  <c r="N292" i="4"/>
  <c r="N254" i="4"/>
  <c r="N253" i="4"/>
  <c r="N252" i="4"/>
  <c r="N246" i="4"/>
  <c r="N245" i="4"/>
  <c r="N235" i="4"/>
  <c r="O235" i="4" s="1"/>
  <c r="N2" i="4"/>
  <c r="O467" i="4" l="1"/>
  <c r="O887" i="4"/>
  <c r="O969" i="4"/>
  <c r="O361" i="4"/>
  <c r="O1053" i="4"/>
  <c r="O556" i="4"/>
  <c r="O723" i="4"/>
  <c r="N466" i="4"/>
  <c r="O466" i="4" s="1"/>
  <c r="N555" i="4"/>
  <c r="O555" i="4" s="1"/>
  <c r="N805" i="4"/>
  <c r="O805" i="4" s="1"/>
  <c r="N886" i="4"/>
  <c r="O886" i="4" s="1"/>
  <c r="L978" i="4"/>
  <c r="L977" i="4"/>
  <c r="L1061" i="4"/>
  <c r="L980" i="4"/>
  <c r="L895" i="4"/>
  <c r="L815" i="4"/>
  <c r="L731" i="4"/>
  <c r="L654" i="4"/>
  <c r="L1156" i="4"/>
  <c r="L1145" i="4"/>
  <c r="L370" i="4"/>
  <c r="L269" i="4"/>
  <c r="O269" i="4" s="1"/>
  <c r="L1121" i="4" l="1"/>
  <c r="O1121" i="4" s="1"/>
  <c r="M564" i="4"/>
  <c r="L564" i="4"/>
  <c r="M601" i="4"/>
  <c r="L601" i="4"/>
  <c r="M597" i="4"/>
  <c r="L597" i="4"/>
  <c r="M593" i="4"/>
  <c r="L593" i="4"/>
  <c r="M595" i="4"/>
  <c r="L595" i="4"/>
  <c r="M570" i="4"/>
  <c r="L570" i="4"/>
  <c r="M577" i="4"/>
  <c r="L577" i="4"/>
  <c r="M587" i="4"/>
  <c r="L587" i="4"/>
  <c r="M579" i="4"/>
  <c r="L579" i="4"/>
  <c r="M567" i="4"/>
  <c r="L567" i="4"/>
  <c r="M590" i="4"/>
  <c r="L590" i="4"/>
  <c r="M583" i="4"/>
  <c r="L583" i="4"/>
  <c r="M474" i="4"/>
  <c r="L474" i="4"/>
  <c r="M510" i="4"/>
  <c r="L510" i="4"/>
  <c r="M507" i="4"/>
  <c r="L507" i="4"/>
  <c r="M502" i="4"/>
  <c r="L502" i="4"/>
  <c r="M504" i="4"/>
  <c r="L504" i="4"/>
  <c r="M480" i="4"/>
  <c r="L480" i="4"/>
  <c r="M487" i="4"/>
  <c r="L487" i="4"/>
  <c r="M496" i="4"/>
  <c r="L496" i="4"/>
  <c r="M489" i="4"/>
  <c r="L489" i="4"/>
  <c r="M477" i="4"/>
  <c r="L477" i="4"/>
  <c r="M499" i="4"/>
  <c r="L499" i="4"/>
  <c r="M492" i="4"/>
  <c r="L492" i="4"/>
  <c r="M1134" i="4"/>
  <c r="L1134" i="4"/>
  <c r="M1133" i="4"/>
  <c r="L1133" i="4"/>
  <c r="M1132" i="4"/>
  <c r="L1132" i="4"/>
  <c r="M1131" i="4"/>
  <c r="L1131" i="4"/>
  <c r="M1130" i="4"/>
  <c r="L1130" i="4"/>
  <c r="M1129" i="4"/>
  <c r="L1129" i="4"/>
  <c r="M1128" i="4"/>
  <c r="L1128" i="4"/>
  <c r="M1127" i="4"/>
  <c r="L1127" i="4"/>
  <c r="M1126" i="4"/>
  <c r="L1126" i="4"/>
  <c r="M1125" i="4"/>
  <c r="L1125" i="4"/>
  <c r="M1124" i="4"/>
  <c r="L1124" i="4"/>
  <c r="M1123" i="4"/>
  <c r="L1123" i="4"/>
  <c r="M333" i="4"/>
  <c r="M331" i="4"/>
  <c r="M328" i="4"/>
  <c r="M325" i="4"/>
  <c r="M322" i="4"/>
  <c r="M311" i="4"/>
  <c r="M305" i="4"/>
  <c r="M304" i="4"/>
  <c r="M302" i="4"/>
  <c r="M300" i="4"/>
  <c r="M287" i="4"/>
  <c r="L333" i="4"/>
  <c r="L331" i="4"/>
  <c r="L328" i="4"/>
  <c r="L325" i="4"/>
  <c r="L322" i="4"/>
  <c r="L311" i="4"/>
  <c r="L305" i="4"/>
  <c r="L304" i="4"/>
  <c r="L302" i="4"/>
  <c r="L300" i="4"/>
  <c r="L287" i="4"/>
  <c r="M283" i="4"/>
  <c r="L283" i="4"/>
  <c r="L1122" i="4"/>
  <c r="O160" i="4"/>
  <c r="O268" i="4"/>
  <c r="L1119" i="4"/>
  <c r="N1119" i="4" s="1"/>
  <c r="O1119" i="4" s="1"/>
  <c r="L1118" i="4"/>
  <c r="N1118" i="4" s="1"/>
  <c r="L1120" i="4"/>
  <c r="N1120" i="4" s="1"/>
  <c r="O1120" i="4" s="1"/>
  <c r="N1122" i="4" l="1"/>
  <c r="O1122" i="4" s="1"/>
  <c r="O1118" i="4"/>
  <c r="O504" i="4"/>
  <c r="O474" i="4"/>
  <c r="O579" i="4"/>
  <c r="O595" i="4"/>
  <c r="O564" i="4"/>
  <c r="O283" i="4"/>
  <c r="O1127" i="4"/>
  <c r="O496" i="4"/>
  <c r="O583" i="4"/>
  <c r="O587" i="4"/>
  <c r="O311" i="4"/>
  <c r="O1125" i="4"/>
  <c r="O1129" i="4"/>
  <c r="O1133" i="4"/>
  <c r="O477" i="4"/>
  <c r="O567" i="4"/>
  <c r="O570" i="4"/>
  <c r="O601" i="4"/>
  <c r="O304" i="4"/>
  <c r="O305" i="4"/>
  <c r="O1128" i="4"/>
  <c r="O487" i="4"/>
  <c r="O507" i="4"/>
  <c r="O577" i="4"/>
  <c r="O300" i="4"/>
  <c r="O331" i="4"/>
  <c r="O302" i="4"/>
  <c r="O333" i="4"/>
  <c r="O1132" i="4"/>
  <c r="O322" i="4"/>
  <c r="O480" i="4"/>
  <c r="O325" i="4"/>
  <c r="O287" i="4"/>
  <c r="O328" i="4"/>
  <c r="O489" i="4"/>
  <c r="O1130" i="4"/>
  <c r="O1134" i="4"/>
  <c r="O510" i="4"/>
  <c r="O590" i="4"/>
  <c r="O593" i="4"/>
  <c r="O1131" i="4"/>
  <c r="O492" i="4"/>
  <c r="O597" i="4"/>
  <c r="O1124" i="4"/>
  <c r="O499" i="4"/>
  <c r="O502" i="4"/>
  <c r="O1126" i="4"/>
  <c r="O1123" i="4"/>
  <c r="L1172" i="4"/>
  <c r="L1213" i="4"/>
  <c r="L380" i="4"/>
  <c r="O380" i="4" s="1"/>
  <c r="L279" i="4"/>
  <c r="M430" i="4"/>
  <c r="O430" i="4" s="1"/>
  <c r="M505" i="4"/>
  <c r="O505" i="4" s="1"/>
  <c r="M416" i="4" l="1"/>
  <c r="O416" i="4" s="1"/>
  <c r="L89" i="4"/>
  <c r="L417" i="4"/>
  <c r="M417" i="4"/>
  <c r="M89" i="4"/>
  <c r="L280" i="4"/>
  <c r="O417" i="4" l="1"/>
  <c r="O89" i="4"/>
  <c r="L1069" i="4"/>
  <c r="N1069" i="4" s="1"/>
  <c r="L989" i="4"/>
  <c r="N989" i="4" s="1"/>
  <c r="L903" i="4"/>
  <c r="N903" i="4" s="1"/>
  <c r="L824" i="4"/>
  <c r="N824" i="4" s="1"/>
  <c r="L739" i="4"/>
  <c r="N739" i="4" s="1"/>
  <c r="L662" i="4"/>
  <c r="N662" i="4" s="1"/>
  <c r="L1205" i="4"/>
  <c r="N1205" i="4" s="1"/>
  <c r="L1204" i="4"/>
  <c r="N1204" i="4" s="1"/>
  <c r="L379" i="4"/>
  <c r="N379" i="4" s="1"/>
  <c r="L278" i="4"/>
  <c r="N278" i="4" s="1"/>
  <c r="L258" i="4" l="1"/>
  <c r="N258" i="4" s="1"/>
  <c r="O258" i="4" s="1"/>
  <c r="L1057" i="4" l="1"/>
  <c r="L973" i="4"/>
  <c r="L891" i="4"/>
  <c r="L810" i="4"/>
  <c r="L727" i="4"/>
  <c r="L649" i="4"/>
  <c r="L613" i="4"/>
  <c r="L524" i="4"/>
  <c r="L365" i="4"/>
  <c r="L264" i="4"/>
  <c r="L1059" i="4"/>
  <c r="L1056" i="4"/>
  <c r="L975" i="4"/>
  <c r="L972" i="4"/>
  <c r="L893" i="4"/>
  <c r="L890" i="4"/>
  <c r="L812" i="4"/>
  <c r="L809" i="4"/>
  <c r="L729" i="4"/>
  <c r="L726" i="4"/>
  <c r="L651" i="4"/>
  <c r="L648" i="4"/>
  <c r="L695" i="4"/>
  <c r="L612" i="4"/>
  <c r="L526" i="4"/>
  <c r="L523" i="4"/>
  <c r="L367" i="4"/>
  <c r="L364" i="4"/>
  <c r="L266" i="4"/>
  <c r="L263" i="4"/>
  <c r="L1060" i="4"/>
  <c r="L976" i="4"/>
  <c r="L894" i="4"/>
  <c r="L813" i="4"/>
  <c r="L730" i="4"/>
  <c r="L652" i="4"/>
  <c r="L1111" i="4"/>
  <c r="L604" i="4"/>
  <c r="L368" i="4"/>
  <c r="L267" i="4"/>
  <c r="L1058" i="4"/>
  <c r="L1055" i="4"/>
  <c r="L974" i="4"/>
  <c r="L971" i="4"/>
  <c r="L892" i="4"/>
  <c r="L889" i="4"/>
  <c r="L811" i="4"/>
  <c r="L808" i="4"/>
  <c r="L728" i="4"/>
  <c r="L725" i="4"/>
  <c r="L650" i="4"/>
  <c r="L647" i="4"/>
  <c r="L614" i="4"/>
  <c r="L611" i="4"/>
  <c r="L525" i="4"/>
  <c r="L522" i="4"/>
  <c r="L366" i="4"/>
  <c r="L363" i="4"/>
  <c r="L265" i="4"/>
  <c r="L262" i="4"/>
  <c r="N262" i="4" s="1"/>
  <c r="O262" i="4" s="1"/>
  <c r="N265" i="4" l="1"/>
  <c r="O265" i="4" s="1"/>
  <c r="O1117" i="4"/>
  <c r="L1117" i="4"/>
  <c r="O1116" i="4"/>
  <c r="L1116" i="4"/>
  <c r="O1115" i="4"/>
  <c r="L1115" i="4"/>
  <c r="O1114" i="4"/>
  <c r="L1114" i="4"/>
  <c r="O1113" i="4"/>
  <c r="L1113" i="4"/>
  <c r="O1112" i="4"/>
  <c r="L1112" i="4"/>
  <c r="O1147" i="4"/>
  <c r="L1147" i="4"/>
  <c r="O1135" i="4"/>
  <c r="L1135" i="4"/>
  <c r="O1109" i="4"/>
  <c r="L1109" i="4"/>
  <c r="O1108" i="4"/>
  <c r="L1108" i="4"/>
  <c r="L260" i="4" l="1"/>
  <c r="L259" i="4"/>
  <c r="N259" i="4" s="1"/>
  <c r="O259" i="4" l="1"/>
  <c r="N260" i="4"/>
  <c r="O260" i="4" s="1"/>
  <c r="L162" i="4"/>
  <c r="O162" i="4" s="1"/>
  <c r="L164" i="4"/>
  <c r="O164" i="4" s="1"/>
  <c r="L163" i="4"/>
  <c r="O163" i="4" s="1"/>
  <c r="M222" i="4" l="1"/>
  <c r="L222" i="4"/>
  <c r="O205" i="4"/>
  <c r="L199" i="4"/>
  <c r="O174" i="4"/>
  <c r="L81" i="4"/>
  <c r="O81" i="4" s="1"/>
  <c r="O222" i="4" l="1"/>
  <c r="O55" i="4"/>
  <c r="O187" i="4"/>
  <c r="L187" i="4"/>
  <c r="L115" i="4"/>
  <c r="L318" i="4" s="1"/>
  <c r="O318" i="4" s="1"/>
  <c r="M115" i="4"/>
  <c r="L169" i="4" l="1"/>
  <c r="N169" i="4" s="1"/>
  <c r="L170" i="4"/>
  <c r="N170" i="4" s="1"/>
  <c r="L171" i="4"/>
  <c r="N171" i="4" s="1"/>
  <c r="L172" i="4"/>
  <c r="N172" i="4" s="1"/>
  <c r="L173" i="4"/>
  <c r="N173" i="4" s="1"/>
  <c r="L168" i="4"/>
  <c r="N168" i="4" s="1"/>
  <c r="M92" i="4"/>
  <c r="O92" i="4" s="1"/>
  <c r="M91" i="4"/>
  <c r="O91" i="4" s="1"/>
  <c r="M90" i="4"/>
  <c r="O90" i="4" s="1"/>
  <c r="M519" i="4"/>
  <c r="O519" i="4" s="1"/>
  <c r="M609" i="4"/>
  <c r="O609" i="4" s="1"/>
  <c r="M88" i="4"/>
  <c r="O88" i="4" s="1"/>
  <c r="M87" i="4"/>
  <c r="O87" i="4" s="1"/>
  <c r="M86" i="4"/>
  <c r="O86" i="4" s="1"/>
  <c r="M85" i="4"/>
  <c r="O85" i="4" s="1"/>
  <c r="M84" i="4"/>
  <c r="O84" i="4" s="1"/>
  <c r="M83" i="4"/>
  <c r="O83" i="4" s="1"/>
  <c r="M93" i="4"/>
  <c r="O93" i="4" s="1"/>
  <c r="L80" i="4"/>
  <c r="M37" i="4"/>
  <c r="L37" i="4"/>
  <c r="N80" i="4" l="1"/>
  <c r="O80" i="4" s="1"/>
  <c r="L867" i="4"/>
  <c r="O867" i="4" s="1"/>
  <c r="M866" i="4"/>
  <c r="L866" i="4"/>
  <c r="M865" i="4"/>
  <c r="L865" i="4"/>
  <c r="M864" i="4"/>
  <c r="L864" i="4"/>
  <c r="M863" i="4"/>
  <c r="L863" i="4"/>
  <c r="M862" i="4"/>
  <c r="L862" i="4"/>
  <c r="M861" i="4"/>
  <c r="L861" i="4"/>
  <c r="M860" i="4"/>
  <c r="L860" i="4"/>
  <c r="L859" i="4"/>
  <c r="N859" i="4" s="1"/>
  <c r="M858" i="4"/>
  <c r="L858" i="4"/>
  <c r="M857" i="4"/>
  <c r="L857" i="4"/>
  <c r="M856" i="4"/>
  <c r="L856" i="4"/>
  <c r="M855" i="4"/>
  <c r="L855" i="4"/>
  <c r="M854" i="4"/>
  <c r="L854" i="4"/>
  <c r="M853" i="4"/>
  <c r="L853" i="4"/>
  <c r="M852" i="4"/>
  <c r="L852" i="4"/>
  <c r="M851" i="4"/>
  <c r="L851" i="4"/>
  <c r="M850" i="4"/>
  <c r="L850" i="4"/>
  <c r="M849" i="4"/>
  <c r="L849" i="4"/>
  <c r="M848" i="4"/>
  <c r="L848" i="4"/>
  <c r="M847" i="4"/>
  <c r="L847" i="4"/>
  <c r="L846" i="4"/>
  <c r="L844" i="4"/>
  <c r="L843" i="4"/>
  <c r="M842" i="4"/>
  <c r="L842" i="4"/>
  <c r="L1210" i="4"/>
  <c r="N1210" i="4" s="1"/>
  <c r="L1209" i="4"/>
  <c r="N1209" i="4" s="1"/>
  <c r="L839" i="4"/>
  <c r="L838" i="4"/>
  <c r="N838" i="4" s="1"/>
  <c r="L837" i="4"/>
  <c r="N837" i="4" s="1"/>
  <c r="M836" i="4"/>
  <c r="L836" i="4"/>
  <c r="M835" i="4"/>
  <c r="L835" i="4"/>
  <c r="M834" i="4"/>
  <c r="L834" i="4"/>
  <c r="M833" i="4"/>
  <c r="L833" i="4"/>
  <c r="M832" i="4"/>
  <c r="L832" i="4"/>
  <c r="M831" i="4"/>
  <c r="L831" i="4"/>
  <c r="M830" i="4"/>
  <c r="L830" i="4"/>
  <c r="M829" i="4"/>
  <c r="L829" i="4"/>
  <c r="L828" i="4"/>
  <c r="L826" i="4"/>
  <c r="O826" i="4" s="1"/>
  <c r="L825" i="4"/>
  <c r="O825" i="4" s="1"/>
  <c r="O824" i="4"/>
  <c r="L823" i="4"/>
  <c r="L822" i="4"/>
  <c r="O822" i="4" s="1"/>
  <c r="O821" i="4"/>
  <c r="L821" i="4"/>
  <c r="L820" i="4"/>
  <c r="O820" i="4" s="1"/>
  <c r="L819" i="4"/>
  <c r="L818" i="4"/>
  <c r="O818" i="4" s="1"/>
  <c r="L817" i="4"/>
  <c r="O817" i="4" s="1"/>
  <c r="L816" i="4"/>
  <c r="O816" i="4" s="1"/>
  <c r="O815" i="4"/>
  <c r="L814" i="4"/>
  <c r="L807" i="4"/>
  <c r="O804" i="4"/>
  <c r="L804" i="4"/>
  <c r="O803" i="4"/>
  <c r="O802" i="4"/>
  <c r="O801" i="4"/>
  <c r="O800" i="4"/>
  <c r="O799" i="4"/>
  <c r="O798" i="4"/>
  <c r="O797" i="4"/>
  <c r="O796" i="4"/>
  <c r="L795" i="4"/>
  <c r="O795" i="4" s="1"/>
  <c r="L794" i="4"/>
  <c r="L793" i="4"/>
  <c r="N793" i="4" s="1"/>
  <c r="L792" i="4"/>
  <c r="N792" i="4" s="1"/>
  <c r="L791" i="4"/>
  <c r="N791" i="4" s="1"/>
  <c r="L790" i="4"/>
  <c r="L789" i="4"/>
  <c r="O789" i="4" s="1"/>
  <c r="L788" i="4"/>
  <c r="O788" i="4" s="1"/>
  <c r="L787" i="4"/>
  <c r="O787" i="4" s="1"/>
  <c r="L786" i="4"/>
  <c r="L785" i="4"/>
  <c r="L784" i="4"/>
  <c r="O784" i="4" s="1"/>
  <c r="L783" i="4"/>
  <c r="O783" i="4" s="1"/>
  <c r="L782" i="4"/>
  <c r="O782" i="4" s="1"/>
  <c r="L781" i="4"/>
  <c r="O781" i="4" s="1"/>
  <c r="L780" i="4"/>
  <c r="O780" i="4" s="1"/>
  <c r="L779" i="4"/>
  <c r="O779" i="4" s="1"/>
  <c r="L778" i="4"/>
  <c r="N778" i="4" s="1"/>
  <c r="L234" i="4"/>
  <c r="O234" i="4" s="1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L225" i="4"/>
  <c r="O225" i="4" s="1"/>
  <c r="L224" i="4"/>
  <c r="O224" i="4" s="1"/>
  <c r="L223" i="4"/>
  <c r="O223" i="4" s="1"/>
  <c r="L221" i="4"/>
  <c r="N221" i="4" s="1"/>
  <c r="O221" i="4" s="1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L206" i="4"/>
  <c r="L204" i="4"/>
  <c r="O204" i="4" s="1"/>
  <c r="L203" i="4"/>
  <c r="M202" i="4"/>
  <c r="L202" i="4"/>
  <c r="L201" i="4"/>
  <c r="L200" i="4"/>
  <c r="N200" i="4" s="1"/>
  <c r="L198" i="4"/>
  <c r="L197" i="4"/>
  <c r="N197" i="4" s="1"/>
  <c r="L196" i="4"/>
  <c r="N196" i="4" s="1"/>
  <c r="O196" i="4" s="1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L186" i="4"/>
  <c r="L185" i="4"/>
  <c r="O185" i="4" s="1"/>
  <c r="L184" i="4"/>
  <c r="O184" i="4" s="1"/>
  <c r="L183" i="4"/>
  <c r="N183" i="4" s="1"/>
  <c r="O183" i="4" s="1"/>
  <c r="L182" i="4"/>
  <c r="L181" i="4"/>
  <c r="O181" i="4" s="1"/>
  <c r="O180" i="4"/>
  <c r="L180" i="4"/>
  <c r="L179" i="4"/>
  <c r="O179" i="4" s="1"/>
  <c r="L178" i="4"/>
  <c r="L177" i="4"/>
  <c r="O177" i="4" s="1"/>
  <c r="L176" i="4"/>
  <c r="O176" i="4" s="1"/>
  <c r="L175" i="4"/>
  <c r="O175" i="4" s="1"/>
  <c r="L167" i="4"/>
  <c r="L166" i="4"/>
  <c r="L165" i="4"/>
  <c r="O161" i="4"/>
  <c r="L161" i="4"/>
  <c r="O159" i="4"/>
  <c r="O158" i="4"/>
  <c r="O157" i="4"/>
  <c r="O156" i="4"/>
  <c r="O155" i="4"/>
  <c r="O154" i="4"/>
  <c r="O153" i="4"/>
  <c r="L152" i="4"/>
  <c r="N152" i="4" s="1"/>
  <c r="O152" i="4" s="1"/>
  <c r="L151" i="4"/>
  <c r="L150" i="4"/>
  <c r="O150" i="4" s="1"/>
  <c r="L149" i="4"/>
  <c r="O149" i="4" s="1"/>
  <c r="L148" i="4"/>
  <c r="O148" i="4" s="1"/>
  <c r="L147" i="4"/>
  <c r="N147" i="4" s="1"/>
  <c r="O147" i="4" s="1"/>
  <c r="L146" i="4"/>
  <c r="N146" i="4" s="1"/>
  <c r="L145" i="4"/>
  <c r="L144" i="4"/>
  <c r="N144" i="4" s="1"/>
  <c r="L143" i="4"/>
  <c r="L142" i="4"/>
  <c r="O142" i="4" s="1"/>
  <c r="L141" i="4"/>
  <c r="O141" i="4" s="1"/>
  <c r="L140" i="4"/>
  <c r="O140" i="4" s="1"/>
  <c r="L139" i="4"/>
  <c r="N139" i="4" s="1"/>
  <c r="L138" i="4"/>
  <c r="L137" i="4"/>
  <c r="N137" i="4" s="1"/>
  <c r="L136" i="4"/>
  <c r="L135" i="4"/>
  <c r="L134" i="4"/>
  <c r="O134" i="4" s="1"/>
  <c r="L133" i="4"/>
  <c r="O133" i="4" s="1"/>
  <c r="L132" i="4"/>
  <c r="O132" i="4" s="1"/>
  <c r="L131" i="4"/>
  <c r="O131" i="4" s="1"/>
  <c r="L130" i="4"/>
  <c r="O130" i="4" s="1"/>
  <c r="L129" i="4"/>
  <c r="O129" i="4" s="1"/>
  <c r="L128" i="4"/>
  <c r="O29" i="4"/>
  <c r="O30" i="4"/>
  <c r="O31" i="4"/>
  <c r="O32" i="4"/>
  <c r="O33" i="4"/>
  <c r="O34" i="4"/>
  <c r="O35" i="4"/>
  <c r="O36" i="4"/>
  <c r="O28" i="4"/>
  <c r="N794" i="4" l="1"/>
  <c r="O794" i="4" s="1"/>
  <c r="N806" i="4"/>
  <c r="O806" i="4" s="1"/>
  <c r="O859" i="4"/>
  <c r="O837" i="4"/>
  <c r="O188" i="4"/>
  <c r="O864" i="4"/>
  <c r="O861" i="4"/>
  <c r="O863" i="4"/>
  <c r="O847" i="4"/>
  <c r="O849" i="4"/>
  <c r="O851" i="4"/>
  <c r="O853" i="4"/>
  <c r="O855" i="4"/>
  <c r="O809" i="4"/>
  <c r="O811" i="4"/>
  <c r="O813" i="4"/>
  <c r="O857" i="4"/>
  <c r="O810" i="4"/>
  <c r="O860" i="4"/>
  <c r="O854" i="4"/>
  <c r="O856" i="4"/>
  <c r="O808" i="4"/>
  <c r="O834" i="4"/>
  <c r="O836" i="4"/>
  <c r="O865" i="4"/>
  <c r="O829" i="4"/>
  <c r="O831" i="4"/>
  <c r="O833" i="4"/>
  <c r="O835" i="4"/>
  <c r="O852" i="4"/>
  <c r="O812" i="4"/>
  <c r="O842" i="4"/>
  <c r="O862" i="4"/>
  <c r="O791" i="4"/>
  <c r="O793" i="4"/>
  <c r="O830" i="4"/>
  <c r="O832" i="4"/>
  <c r="O838" i="4"/>
  <c r="O1209" i="4"/>
  <c r="O848" i="4"/>
  <c r="O850" i="4"/>
  <c r="O858" i="4"/>
  <c r="O866" i="4"/>
  <c r="O778" i="4"/>
  <c r="O792" i="4"/>
  <c r="O1210" i="4"/>
  <c r="O213" i="4"/>
  <c r="O170" i="4"/>
  <c r="O172" i="4"/>
  <c r="O192" i="4"/>
  <c r="O207" i="4"/>
  <c r="O202" i="4"/>
  <c r="O217" i="4"/>
  <c r="O169" i="4"/>
  <c r="O189" i="4"/>
  <c r="O191" i="4"/>
  <c r="O210" i="4"/>
  <c r="O226" i="4"/>
  <c r="O209" i="4"/>
  <c r="O168" i="4"/>
  <c r="O173" i="4"/>
  <c r="O193" i="4"/>
  <c r="O195" i="4"/>
  <c r="O219" i="4"/>
  <c r="O227" i="4"/>
  <c r="O229" i="4"/>
  <c r="O231" i="4"/>
  <c r="O233" i="4"/>
  <c r="O208" i="4"/>
  <c r="O214" i="4"/>
  <c r="O212" i="4"/>
  <c r="O139" i="4"/>
  <c r="N166" i="4"/>
  <c r="O166" i="4" s="1"/>
  <c r="O190" i="4"/>
  <c r="O211" i="4"/>
  <c r="O216" i="4"/>
  <c r="O218" i="4"/>
  <c r="O220" i="4"/>
  <c r="O144" i="4"/>
  <c r="O197" i="4"/>
  <c r="N151" i="4"/>
  <c r="O151" i="4" s="1"/>
  <c r="O137" i="4"/>
  <c r="O146" i="4"/>
  <c r="O171" i="4"/>
  <c r="O194" i="4"/>
  <c r="O200" i="4"/>
  <c r="O215" i="4"/>
  <c r="O228" i="4"/>
  <c r="O230" i="4"/>
  <c r="O232" i="4"/>
  <c r="N128" i="4"/>
  <c r="O128" i="4" s="1"/>
  <c r="N138" i="4"/>
  <c r="O138" i="4" s="1"/>
  <c r="N145" i="4"/>
  <c r="O145" i="4" s="1"/>
  <c r="O165" i="4"/>
  <c r="N201" i="4"/>
  <c r="O201" i="4" s="1"/>
  <c r="L36" i="4"/>
  <c r="M94" i="4"/>
  <c r="L94" i="4"/>
  <c r="L127" i="4"/>
  <c r="L99" i="4"/>
  <c r="L98" i="4"/>
  <c r="L97" i="4"/>
  <c r="L96" i="4"/>
  <c r="L95" i="4"/>
  <c r="L82" i="4"/>
  <c r="L79" i="4"/>
  <c r="L78" i="4"/>
  <c r="L77" i="4"/>
  <c r="L76" i="4"/>
  <c r="L63" i="4"/>
  <c r="L62" i="4"/>
  <c r="L56" i="4"/>
  <c r="L54" i="4"/>
  <c r="L27" i="4"/>
  <c r="L25" i="4"/>
  <c r="L21" i="4"/>
  <c r="L20" i="4"/>
  <c r="L19" i="4"/>
  <c r="L18" i="4"/>
  <c r="L118" i="4"/>
  <c r="L117" i="4"/>
  <c r="L116" i="4"/>
  <c r="L114" i="4"/>
  <c r="L17" i="4"/>
  <c r="L16" i="4"/>
  <c r="L15" i="4"/>
  <c r="L14" i="4"/>
  <c r="L13" i="4"/>
  <c r="L12" i="4"/>
  <c r="L11" i="4"/>
  <c r="L67" i="4"/>
  <c r="L66" i="4"/>
  <c r="L65" i="4"/>
  <c r="L64" i="4"/>
  <c r="L24" i="4"/>
  <c r="L10" i="4"/>
  <c r="L9" i="4"/>
  <c r="L8" i="4"/>
  <c r="L7" i="4"/>
  <c r="L6" i="4"/>
  <c r="L5" i="4"/>
  <c r="L4" i="4"/>
  <c r="L40" i="4"/>
  <c r="L39" i="4"/>
  <c r="L38" i="4"/>
  <c r="L23" i="4"/>
  <c r="L26" i="4"/>
  <c r="L22" i="4"/>
  <c r="L3" i="4"/>
  <c r="L2" i="4"/>
  <c r="O2" i="4" s="1"/>
  <c r="L61" i="4"/>
  <c r="L60" i="4"/>
  <c r="L59" i="4"/>
  <c r="L58" i="4"/>
  <c r="L57" i="4"/>
  <c r="O61" i="4"/>
  <c r="O899" i="1"/>
  <c r="Q899" i="1" s="1"/>
  <c r="O898" i="1"/>
  <c r="P898" i="1" s="1"/>
  <c r="O897" i="1"/>
  <c r="P897" i="1" s="1"/>
  <c r="O896" i="1"/>
  <c r="Q896" i="1" s="1"/>
  <c r="O895" i="1"/>
  <c r="Q895" i="1" s="1"/>
  <c r="O894" i="1"/>
  <c r="P894" i="1" s="1"/>
  <c r="O893" i="1"/>
  <c r="P893" i="1" s="1"/>
  <c r="O892" i="1"/>
  <c r="Q892" i="1" s="1"/>
  <c r="O882" i="1"/>
  <c r="Q882" i="1" s="1"/>
  <c r="O881" i="1"/>
  <c r="P881" i="1" s="1"/>
  <c r="O880" i="1"/>
  <c r="P880" i="1" s="1"/>
  <c r="O879" i="1"/>
  <c r="Q879" i="1" s="1"/>
  <c r="O878" i="1"/>
  <c r="Q878" i="1" s="1"/>
  <c r="O877" i="1"/>
  <c r="P877" i="1" s="1"/>
  <c r="O876" i="1"/>
  <c r="P876" i="1" s="1"/>
  <c r="O875" i="1"/>
  <c r="Q875" i="1" s="1"/>
  <c r="O861" i="1"/>
  <c r="Q861" i="1" s="1"/>
  <c r="O860" i="1"/>
  <c r="P860" i="1" s="1"/>
  <c r="O859" i="1"/>
  <c r="P859" i="1" s="1"/>
  <c r="O858" i="1"/>
  <c r="Q858" i="1" s="1"/>
  <c r="O857" i="1"/>
  <c r="Q857" i="1" s="1"/>
  <c r="O856" i="1"/>
  <c r="P856" i="1" s="1"/>
  <c r="O855" i="1"/>
  <c r="P855" i="1" s="1"/>
  <c r="O854" i="1"/>
  <c r="Q854" i="1" s="1"/>
  <c r="O589" i="1"/>
  <c r="Q589" i="1" s="1"/>
  <c r="O588" i="1"/>
  <c r="P588" i="1" s="1"/>
  <c r="P895" i="1" l="1"/>
  <c r="P589" i="1"/>
  <c r="P899" i="1"/>
  <c r="P857" i="1"/>
  <c r="P861" i="1"/>
  <c r="P882" i="1"/>
  <c r="Q876" i="1"/>
  <c r="Q880" i="1"/>
  <c r="P878" i="1"/>
  <c r="Q855" i="1"/>
  <c r="Q893" i="1"/>
  <c r="Q859" i="1"/>
  <c r="Q897" i="1"/>
  <c r="P854" i="1"/>
  <c r="P858" i="1"/>
  <c r="P875" i="1"/>
  <c r="P879" i="1"/>
  <c r="P892" i="1"/>
  <c r="P896" i="1"/>
  <c r="Q588" i="1"/>
  <c r="Q856" i="1"/>
  <c r="Q860" i="1"/>
  <c r="Q877" i="1"/>
  <c r="Q881" i="1"/>
  <c r="Q894" i="1"/>
  <c r="Q898" i="1"/>
  <c r="L43" i="4"/>
  <c r="M43" i="4"/>
  <c r="N11" i="4"/>
  <c r="N13" i="4"/>
  <c r="N18" i="4"/>
  <c r="N20" i="4"/>
  <c r="N21" i="4"/>
  <c r="N25" i="4"/>
  <c r="N26" i="4"/>
  <c r="N38" i="4"/>
  <c r="N39" i="4"/>
  <c r="L41" i="4"/>
  <c r="L42" i="4"/>
  <c r="L44" i="4"/>
  <c r="L45" i="4"/>
  <c r="L46" i="4"/>
  <c r="L68" i="4"/>
  <c r="L69" i="4"/>
  <c r="L70" i="4"/>
  <c r="L71" i="4"/>
  <c r="L72" i="4"/>
  <c r="L73" i="4"/>
  <c r="L74" i="4"/>
  <c r="L75" i="4"/>
  <c r="N77" i="4"/>
  <c r="N82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N114" i="4"/>
  <c r="L119" i="4"/>
  <c r="L120" i="4"/>
  <c r="L121" i="4"/>
  <c r="L122" i="4"/>
  <c r="L123" i="4"/>
  <c r="L124" i="4"/>
  <c r="L125" i="4"/>
  <c r="L126" i="4"/>
  <c r="M41" i="4"/>
  <c r="M42" i="4"/>
  <c r="M44" i="4"/>
  <c r="M45" i="4"/>
  <c r="M46" i="4"/>
  <c r="M68" i="4"/>
  <c r="M69" i="4"/>
  <c r="M70" i="4"/>
  <c r="M71" i="4"/>
  <c r="M72" i="4"/>
  <c r="M73" i="4"/>
  <c r="M74" i="4"/>
  <c r="M75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9" i="4"/>
  <c r="M120" i="4"/>
  <c r="M121" i="4"/>
  <c r="M122" i="4"/>
  <c r="M123" i="4"/>
  <c r="M124" i="4"/>
  <c r="M125" i="4"/>
  <c r="M126" i="4"/>
  <c r="M588" i="1"/>
  <c r="M589" i="1"/>
  <c r="M903" i="1"/>
  <c r="M902" i="1"/>
  <c r="M901" i="1"/>
  <c r="M900" i="1"/>
  <c r="M575" i="1"/>
  <c r="M576" i="1"/>
  <c r="O43" i="4" l="1"/>
  <c r="O102" i="4"/>
  <c r="O101" i="4"/>
  <c r="O16" i="4"/>
  <c r="O94" i="4"/>
  <c r="O75" i="4"/>
  <c r="O8" i="4"/>
  <c r="O46" i="4"/>
  <c r="O66" i="4"/>
  <c r="O6" i="4"/>
  <c r="O44" i="4"/>
  <c r="O71" i="4"/>
  <c r="O60" i="4"/>
  <c r="N79" i="4"/>
  <c r="N76" i="4"/>
  <c r="O108" i="4"/>
  <c r="O112" i="4"/>
  <c r="O120" i="4"/>
  <c r="O124" i="4"/>
  <c r="N19" i="4"/>
  <c r="O23" i="4"/>
  <c r="N27" i="4"/>
  <c r="O27" i="4" s="1"/>
  <c r="N64" i="4"/>
  <c r="O64" i="4" s="1"/>
  <c r="O104" i="4"/>
  <c r="O110" i="4"/>
  <c r="O118" i="4"/>
  <c r="O106" i="4"/>
  <c r="O73" i="4"/>
  <c r="O116" i="4"/>
  <c r="O126" i="4"/>
  <c r="N12" i="4"/>
  <c r="O12" i="4" s="1"/>
  <c r="O21" i="4"/>
  <c r="O25" i="4"/>
  <c r="O38" i="4"/>
  <c r="O114" i="4"/>
  <c r="O122" i="4"/>
  <c r="O5" i="4"/>
  <c r="O15" i="4"/>
  <c r="O24" i="4"/>
  <c r="O42" i="4"/>
  <c r="O58" i="4"/>
  <c r="O70" i="4"/>
  <c r="O105" i="4"/>
  <c r="O113" i="4"/>
  <c r="O121" i="4"/>
  <c r="O11" i="4"/>
  <c r="O20" i="4"/>
  <c r="O37" i="4"/>
  <c r="O65" i="4"/>
  <c r="O74" i="4"/>
  <c r="O97" i="4"/>
  <c r="O109" i="4"/>
  <c r="O117" i="4"/>
  <c r="O125" i="4"/>
  <c r="O4" i="4"/>
  <c r="O14" i="4"/>
  <c r="O41" i="4"/>
  <c r="O57" i="4"/>
  <c r="O69" i="4"/>
  <c r="O77" i="4"/>
  <c r="O13" i="4"/>
  <c r="O39" i="4"/>
  <c r="O56" i="4"/>
  <c r="O103" i="4"/>
  <c r="O111" i="4"/>
  <c r="O119" i="4"/>
  <c r="O127" i="4"/>
  <c r="O18" i="4"/>
  <c r="O26" i="4"/>
  <c r="O62" i="4"/>
  <c r="O82" i="4"/>
  <c r="O107" i="4"/>
  <c r="O115" i="4"/>
  <c r="O123" i="4"/>
  <c r="M542" i="1"/>
  <c r="M541" i="1"/>
  <c r="M540" i="1"/>
  <c r="M539" i="1"/>
  <c r="M538" i="1"/>
  <c r="M591" i="1"/>
  <c r="M593" i="1"/>
  <c r="L2" i="1"/>
  <c r="M2" i="1" s="1"/>
  <c r="L3" i="1"/>
  <c r="M3" i="1" s="1"/>
  <c r="L4" i="1"/>
  <c r="M4" i="1" s="1"/>
  <c r="L5" i="1"/>
  <c r="M5" i="1" s="1"/>
  <c r="L6" i="1"/>
  <c r="M6" i="1" s="1"/>
  <c r="L7" i="1"/>
  <c r="M7" i="1"/>
  <c r="L8" i="1"/>
  <c r="M8" i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8" i="1"/>
  <c r="M28" i="1" s="1"/>
  <c r="L29" i="1"/>
  <c r="M29" i="1" s="1"/>
  <c r="L30" i="1"/>
  <c r="M30" i="1"/>
  <c r="L31" i="1"/>
  <c r="M31" i="1" s="1"/>
  <c r="L32" i="1"/>
  <c r="M32" i="1" s="1"/>
  <c r="L33" i="1"/>
  <c r="M33" i="1" s="1"/>
  <c r="M34" i="1"/>
  <c r="M35" i="1"/>
  <c r="M36" i="1"/>
  <c r="M37" i="1"/>
  <c r="M38" i="1"/>
  <c r="L39" i="1"/>
  <c r="M39" i="1" s="1"/>
  <c r="L40" i="1"/>
  <c r="M40" i="1" s="1"/>
  <c r="M41" i="1"/>
  <c r="M42" i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M50" i="1"/>
  <c r="L51" i="1"/>
  <c r="M51" i="1" s="1"/>
  <c r="M52" i="1"/>
  <c r="M53" i="1"/>
  <c r="M54" i="1"/>
  <c r="M55" i="1"/>
  <c r="M56" i="1"/>
  <c r="M57" i="1"/>
  <c r="M58" i="1"/>
  <c r="M59" i="1"/>
  <c r="L60" i="1"/>
  <c r="M60" i="1" s="1"/>
  <c r="L61" i="1"/>
  <c r="M61" i="1" s="1"/>
  <c r="L62" i="1"/>
  <c r="M62" i="1" s="1"/>
  <c r="L63" i="1"/>
  <c r="M63" i="1" s="1"/>
  <c r="L64" i="1"/>
  <c r="M64" i="1" s="1"/>
  <c r="M65" i="1"/>
  <c r="L66" i="1"/>
  <c r="M66" i="1" s="1"/>
  <c r="L67" i="1"/>
  <c r="M67" i="1" s="1"/>
  <c r="L68" i="1"/>
  <c r="M68" i="1" s="1"/>
  <c r="M69" i="1"/>
  <c r="M70" i="1"/>
  <c r="L71" i="1"/>
  <c r="M71" i="1" s="1"/>
  <c r="L72" i="1"/>
  <c r="M72" i="1" s="1"/>
  <c r="L73" i="1"/>
  <c r="M73" i="1" s="1"/>
  <c r="L74" i="1"/>
  <c r="M74" i="1" s="1"/>
  <c r="M75" i="1"/>
  <c r="M76" i="1"/>
  <c r="M77" i="1"/>
  <c r="M78" i="1"/>
  <c r="M79" i="1"/>
  <c r="M80" i="1"/>
  <c r="M81" i="1"/>
  <c r="M82" i="1"/>
  <c r="M83" i="1"/>
  <c r="M84" i="1"/>
  <c r="L85" i="1"/>
  <c r="M85" i="1" s="1"/>
  <c r="L86" i="1"/>
  <c r="L87" i="1"/>
  <c r="M87" i="1" s="1"/>
  <c r="L88" i="1"/>
  <c r="M88" i="1" s="1"/>
  <c r="L89" i="1"/>
  <c r="M89" i="1" s="1"/>
  <c r="M90" i="1"/>
  <c r="M91" i="1"/>
  <c r="M92" i="1"/>
  <c r="M93" i="1"/>
  <c r="M94" i="1"/>
  <c r="M95" i="1"/>
  <c r="M96" i="1"/>
  <c r="M97" i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/>
  <c r="L104" i="1"/>
  <c r="M104" i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3" i="1"/>
  <c r="M123" i="1" s="1"/>
  <c r="L124" i="1"/>
  <c r="M124" i="1" s="1"/>
  <c r="L125" i="1"/>
  <c r="M125" i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M132" i="1"/>
  <c r="M133" i="1"/>
  <c r="M134" i="1"/>
  <c r="M135" i="1"/>
  <c r="M136" i="1"/>
  <c r="L137" i="1"/>
  <c r="M137" i="1" s="1"/>
  <c r="L138" i="1"/>
  <c r="M138" i="1" s="1"/>
  <c r="M139" i="1"/>
  <c r="M140" i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M148" i="1"/>
  <c r="L149" i="1"/>
  <c r="M149" i="1" s="1"/>
  <c r="M150" i="1"/>
  <c r="M151" i="1"/>
  <c r="M152" i="1"/>
  <c r="M153" i="1"/>
  <c r="M154" i="1"/>
  <c r="M155" i="1"/>
  <c r="M156" i="1"/>
  <c r="M157" i="1"/>
  <c r="L158" i="1"/>
  <c r="M158" i="1" s="1"/>
  <c r="L159" i="1"/>
  <c r="M159" i="1" s="1"/>
  <c r="L160" i="1"/>
  <c r="M160" i="1" s="1"/>
  <c r="M161" i="1"/>
  <c r="L162" i="1"/>
  <c r="M162" i="1" s="1"/>
  <c r="L163" i="1"/>
  <c r="M163" i="1" s="1"/>
  <c r="M164" i="1"/>
  <c r="L165" i="1"/>
  <c r="M165" i="1" s="1"/>
  <c r="L166" i="1"/>
  <c r="M166" i="1" s="1"/>
  <c r="L167" i="1"/>
  <c r="M167" i="1" s="1"/>
  <c r="M168" i="1"/>
  <c r="M169" i="1"/>
  <c r="L170" i="1"/>
  <c r="M170" i="1" s="1"/>
  <c r="M171" i="1"/>
  <c r="L172" i="1"/>
  <c r="M172" i="1" s="1"/>
  <c r="L173" i="1"/>
  <c r="M173" i="1" s="1"/>
  <c r="L174" i="1"/>
  <c r="M174" i="1" s="1"/>
  <c r="L175" i="1"/>
  <c r="M175" i="1" s="1"/>
  <c r="M176" i="1"/>
  <c r="M177" i="1"/>
  <c r="M178" i="1"/>
  <c r="M179" i="1"/>
  <c r="M180" i="1"/>
  <c r="M181" i="1"/>
  <c r="M182" i="1"/>
  <c r="M183" i="1"/>
  <c r="L184" i="1"/>
  <c r="M184" i="1" s="1"/>
  <c r="M185" i="1"/>
  <c r="M186" i="1"/>
  <c r="L187" i="1"/>
  <c r="M187" i="1" s="1"/>
  <c r="L188" i="1"/>
  <c r="M188" i="1" s="1"/>
  <c r="M189" i="1"/>
  <c r="L190" i="1"/>
  <c r="M190" i="1" s="1"/>
  <c r="L191" i="1"/>
  <c r="M191" i="1" s="1"/>
  <c r="L192" i="1"/>
  <c r="M192" i="1" s="1"/>
  <c r="M193" i="1"/>
  <c r="M194" i="1"/>
  <c r="M195" i="1"/>
  <c r="M196" i="1"/>
  <c r="M197" i="1"/>
  <c r="M198" i="1"/>
  <c r="M199" i="1"/>
  <c r="M200" i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/>
  <c r="L207" i="1"/>
  <c r="M207" i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6" i="1"/>
  <c r="M226" i="1" s="1"/>
  <c r="L227" i="1"/>
  <c r="M227" i="1" s="1"/>
  <c r="L228" i="1"/>
  <c r="M228" i="1"/>
  <c r="M229" i="1"/>
  <c r="M230" i="1"/>
  <c r="M231" i="1"/>
  <c r="M232" i="1"/>
  <c r="M233" i="1"/>
  <c r="L234" i="1"/>
  <c r="M234" i="1" s="1"/>
  <c r="L235" i="1"/>
  <c r="M235" i="1" s="1"/>
  <c r="M236" i="1"/>
  <c r="M237" i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M245" i="1"/>
  <c r="M246" i="1"/>
  <c r="M247" i="1"/>
  <c r="L248" i="1"/>
  <c r="M248" i="1" s="1"/>
  <c r="M249" i="1"/>
  <c r="M250" i="1"/>
  <c r="M251" i="1"/>
  <c r="M252" i="1"/>
  <c r="M253" i="1"/>
  <c r="M254" i="1"/>
  <c r="M255" i="1"/>
  <c r="M256" i="1"/>
  <c r="L257" i="1"/>
  <c r="M257" i="1" s="1"/>
  <c r="L258" i="1"/>
  <c r="M258" i="1" s="1"/>
  <c r="L259" i="1"/>
  <c r="M259" i="1" s="1"/>
  <c r="M260" i="1"/>
  <c r="L261" i="1"/>
  <c r="M261" i="1" s="1"/>
  <c r="M262" i="1"/>
  <c r="L263" i="1"/>
  <c r="M263" i="1" s="1"/>
  <c r="M264" i="1"/>
  <c r="L265" i="1"/>
  <c r="M265" i="1" s="1"/>
  <c r="M266" i="1"/>
  <c r="M267" i="1"/>
  <c r="M268" i="1"/>
  <c r="M269" i="1"/>
  <c r="M270" i="1"/>
  <c r="M271" i="1"/>
  <c r="M272" i="1"/>
  <c r="L273" i="1"/>
  <c r="M273" i="1" s="1"/>
  <c r="M274" i="1"/>
  <c r="M275" i="1"/>
  <c r="M276" i="1"/>
  <c r="L277" i="1"/>
  <c r="M277" i="1" s="1"/>
  <c r="L278" i="1"/>
  <c r="M278" i="1" s="1"/>
  <c r="L279" i="1"/>
  <c r="M279" i="1" s="1"/>
  <c r="L280" i="1"/>
  <c r="M280" i="1" s="1"/>
  <c r="M281" i="1"/>
  <c r="M282" i="1"/>
  <c r="M283" i="1"/>
  <c r="M284" i="1"/>
  <c r="M285" i="1"/>
  <c r="M286" i="1"/>
  <c r="M287" i="1"/>
  <c r="M288" i="1"/>
  <c r="M289" i="1"/>
  <c r="M290" i="1"/>
  <c r="M291" i="1"/>
  <c r="M292" i="1"/>
  <c r="L293" i="1"/>
  <c r="M293" i="1" s="1"/>
  <c r="L294" i="1"/>
  <c r="L295" i="1"/>
  <c r="M295" i="1" s="1"/>
  <c r="L296" i="1"/>
  <c r="M296" i="1" s="1"/>
  <c r="L297" i="1"/>
  <c r="M297" i="1" s="1"/>
  <c r="M298" i="1"/>
  <c r="M299" i="1"/>
  <c r="M300" i="1"/>
  <c r="M301" i="1"/>
  <c r="M302" i="1"/>
  <c r="M303" i="1"/>
  <c r="M304" i="1"/>
  <c r="M305" i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/>
  <c r="L312" i="1"/>
  <c r="M312" i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1" i="1"/>
  <c r="M331" i="1" s="1"/>
  <c r="L332" i="1"/>
  <c r="M332" i="1" s="1"/>
  <c r="L333" i="1"/>
  <c r="M333" i="1"/>
  <c r="M334" i="1"/>
  <c r="M335" i="1"/>
  <c r="M336" i="1"/>
  <c r="M337" i="1"/>
  <c r="M338" i="1"/>
  <c r="L339" i="1"/>
  <c r="M339" i="1" s="1"/>
  <c r="L340" i="1"/>
  <c r="M340" i="1" s="1"/>
  <c r="M341" i="1"/>
  <c r="M342" i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M350" i="1"/>
  <c r="M351" i="1"/>
  <c r="L352" i="1"/>
  <c r="M352" i="1" s="1"/>
  <c r="M353" i="1"/>
  <c r="M354" i="1"/>
  <c r="M355" i="1"/>
  <c r="M356" i="1"/>
  <c r="M357" i="1"/>
  <c r="M358" i="1"/>
  <c r="M359" i="1"/>
  <c r="M360" i="1"/>
  <c r="L361" i="1"/>
  <c r="M361" i="1" s="1"/>
  <c r="L362" i="1"/>
  <c r="M362" i="1" s="1"/>
  <c r="L363" i="1"/>
  <c r="M363" i="1" s="1"/>
  <c r="M364" i="1"/>
  <c r="M365" i="1"/>
  <c r="L366" i="1"/>
  <c r="M366" i="1" s="1"/>
  <c r="L367" i="1"/>
  <c r="M367" i="1" s="1"/>
  <c r="M368" i="1"/>
  <c r="L369" i="1"/>
  <c r="M369" i="1" s="1"/>
  <c r="L370" i="1"/>
  <c r="M370" i="1" s="1"/>
  <c r="M371" i="1"/>
  <c r="M372" i="1"/>
  <c r="M373" i="1"/>
  <c r="L374" i="1"/>
  <c r="M374" i="1" s="1"/>
  <c r="L375" i="1"/>
  <c r="M375" i="1" s="1"/>
  <c r="L376" i="1"/>
  <c r="M376" i="1" s="1"/>
  <c r="L377" i="1"/>
  <c r="M377" i="1" s="1"/>
  <c r="M378" i="1"/>
  <c r="M379" i="1"/>
  <c r="M380" i="1"/>
  <c r="M381" i="1"/>
  <c r="M382" i="1"/>
  <c r="M383" i="1"/>
  <c r="M384" i="1"/>
  <c r="M385" i="1"/>
  <c r="M386" i="1"/>
  <c r="M387" i="1"/>
  <c r="L388" i="1"/>
  <c r="M388" i="1" s="1"/>
  <c r="L389" i="1"/>
  <c r="L390" i="1"/>
  <c r="M390" i="1" s="1"/>
  <c r="L391" i="1"/>
  <c r="M391" i="1" s="1"/>
  <c r="L392" i="1"/>
  <c r="M392" i="1" s="1"/>
  <c r="M393" i="1"/>
  <c r="M394" i="1"/>
  <c r="M395" i="1"/>
  <c r="M396" i="1"/>
  <c r="M397" i="1"/>
  <c r="M398" i="1"/>
  <c r="M399" i="1"/>
  <c r="M400" i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/>
  <c r="L407" i="1"/>
  <c r="M407" i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6" i="1"/>
  <c r="M426" i="1" s="1"/>
  <c r="L427" i="1"/>
  <c r="M427" i="1" s="1"/>
  <c r="L428" i="1"/>
  <c r="M428" i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M435" i="1"/>
  <c r="M436" i="1"/>
  <c r="M437" i="1"/>
  <c r="M438" i="1"/>
  <c r="M439" i="1"/>
  <c r="L440" i="1"/>
  <c r="M440" i="1" s="1"/>
  <c r="L441" i="1"/>
  <c r="M441" i="1" s="1"/>
  <c r="M442" i="1"/>
  <c r="M443" i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M451" i="1"/>
  <c r="M452" i="1"/>
  <c r="L453" i="1"/>
  <c r="M453" i="1" s="1"/>
  <c r="M454" i="1"/>
  <c r="M455" i="1"/>
  <c r="M456" i="1"/>
  <c r="M457" i="1"/>
  <c r="M458" i="1"/>
  <c r="M459" i="1"/>
  <c r="M460" i="1"/>
  <c r="M461" i="1"/>
  <c r="L462" i="1"/>
  <c r="M462" i="1" s="1"/>
  <c r="L463" i="1"/>
  <c r="M463" i="1" s="1"/>
  <c r="L464" i="1"/>
  <c r="M464" i="1" s="1"/>
  <c r="M465" i="1"/>
  <c r="M466" i="1"/>
  <c r="L467" i="1"/>
  <c r="M467" i="1" s="1"/>
  <c r="L468" i="1"/>
  <c r="M468" i="1" s="1"/>
  <c r="M469" i="1"/>
  <c r="L470" i="1"/>
  <c r="M470" i="1" s="1"/>
  <c r="L471" i="1"/>
  <c r="M471" i="1" s="1"/>
  <c r="M472" i="1"/>
  <c r="M473" i="1"/>
  <c r="L474" i="1"/>
  <c r="M474" i="1" s="1"/>
  <c r="M475" i="1"/>
  <c r="L476" i="1"/>
  <c r="M476" i="1" s="1"/>
  <c r="L477" i="1"/>
  <c r="M477" i="1" s="1"/>
  <c r="L478" i="1"/>
  <c r="M478" i="1" s="1"/>
  <c r="L479" i="1"/>
  <c r="M479" i="1" s="1"/>
  <c r="M480" i="1"/>
  <c r="M481" i="1"/>
  <c r="M482" i="1"/>
  <c r="M483" i="1"/>
  <c r="M484" i="1"/>
  <c r="M485" i="1"/>
  <c r="M486" i="1"/>
  <c r="M487" i="1"/>
  <c r="L488" i="1"/>
  <c r="M488" i="1" s="1"/>
  <c r="M489" i="1"/>
  <c r="M490" i="1"/>
  <c r="L491" i="1"/>
  <c r="M491" i="1" s="1"/>
  <c r="L492" i="1"/>
  <c r="M492" i="1" s="1"/>
  <c r="L493" i="1"/>
  <c r="L494" i="1"/>
  <c r="M494" i="1" s="1"/>
  <c r="L495" i="1"/>
  <c r="M495" i="1" s="1"/>
  <c r="L496" i="1"/>
  <c r="M496" i="1" s="1"/>
  <c r="M497" i="1"/>
  <c r="M498" i="1"/>
  <c r="M499" i="1"/>
  <c r="M500" i="1"/>
  <c r="M501" i="1"/>
  <c r="M502" i="1"/>
  <c r="M503" i="1"/>
  <c r="M504" i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/>
  <c r="L511" i="1"/>
  <c r="M511" i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30" i="1"/>
  <c r="M530" i="1" s="1"/>
  <c r="L531" i="1"/>
  <c r="M531" i="1" s="1"/>
  <c r="L532" i="1"/>
  <c r="M532" i="1"/>
  <c r="M533" i="1"/>
  <c r="M534" i="1"/>
  <c r="M535" i="1"/>
  <c r="M536" i="1"/>
  <c r="M537" i="1"/>
  <c r="L543" i="1"/>
  <c r="M543" i="1" s="1"/>
  <c r="L544" i="1"/>
  <c r="M544" i="1" s="1"/>
  <c r="M545" i="1"/>
  <c r="M546" i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M554" i="1"/>
  <c r="M555" i="1"/>
  <c r="L556" i="1"/>
  <c r="M556" i="1" s="1"/>
  <c r="M557" i="1"/>
  <c r="M558" i="1"/>
  <c r="M559" i="1"/>
  <c r="M560" i="1"/>
  <c r="M561" i="1"/>
  <c r="M562" i="1"/>
  <c r="M563" i="1"/>
  <c r="M564" i="1"/>
  <c r="L565" i="1"/>
  <c r="M565" i="1" s="1"/>
  <c r="L566" i="1"/>
  <c r="M566" i="1" s="1"/>
  <c r="L567" i="1"/>
  <c r="M567" i="1" s="1"/>
  <c r="M568" i="1"/>
  <c r="L569" i="1"/>
  <c r="M569" i="1" s="1"/>
  <c r="M570" i="1"/>
  <c r="L571" i="1"/>
  <c r="M571" i="1" s="1"/>
  <c r="M572" i="1"/>
  <c r="L573" i="1"/>
  <c r="M573" i="1" s="1"/>
  <c r="L574" i="1"/>
  <c r="M574" i="1" s="1"/>
  <c r="M577" i="1"/>
  <c r="L578" i="1"/>
  <c r="M578" i="1" s="1"/>
  <c r="L579" i="1"/>
  <c r="M579" i="1" s="1"/>
  <c r="L580" i="1"/>
  <c r="M580" i="1" s="1"/>
  <c r="L581" i="1"/>
  <c r="M581" i="1" s="1"/>
  <c r="M582" i="1"/>
  <c r="M583" i="1"/>
  <c r="M584" i="1"/>
  <c r="M585" i="1"/>
  <c r="M586" i="1"/>
  <c r="M587" i="1"/>
  <c r="M590" i="1"/>
  <c r="M592" i="1"/>
  <c r="M595" i="1"/>
  <c r="M596" i="1"/>
  <c r="M597" i="1"/>
  <c r="M598" i="1"/>
  <c r="L599" i="1"/>
  <c r="M599" i="1" s="1"/>
  <c r="L600" i="1"/>
  <c r="L601" i="1"/>
  <c r="M601" i="1" s="1"/>
  <c r="L602" i="1"/>
  <c r="M602" i="1" s="1"/>
  <c r="L603" i="1"/>
  <c r="M603" i="1" s="1"/>
  <c r="M604" i="1"/>
  <c r="M605" i="1"/>
  <c r="M606" i="1"/>
  <c r="M607" i="1"/>
  <c r="M608" i="1"/>
  <c r="M609" i="1"/>
  <c r="M610" i="1"/>
  <c r="M611" i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/>
  <c r="L618" i="1"/>
  <c r="M618" i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7" i="1"/>
  <c r="M637" i="1" s="1"/>
  <c r="L638" i="1"/>
  <c r="M638" i="1" s="1"/>
  <c r="L639" i="1"/>
  <c r="M639" i="1"/>
  <c r="M640" i="1"/>
  <c r="M641" i="1"/>
  <c r="M642" i="1"/>
  <c r="M643" i="1"/>
  <c r="M644" i="1"/>
  <c r="L645" i="1"/>
  <c r="M645" i="1" s="1"/>
  <c r="L646" i="1"/>
  <c r="M646" i="1" s="1"/>
  <c r="M647" i="1"/>
  <c r="M648" i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M656" i="1"/>
  <c r="M657" i="1"/>
  <c r="L658" i="1"/>
  <c r="M658" i="1" s="1"/>
  <c r="M659" i="1"/>
  <c r="M660" i="1"/>
  <c r="M661" i="1"/>
  <c r="M662" i="1"/>
  <c r="M663" i="1"/>
  <c r="M664" i="1"/>
  <c r="M665" i="1"/>
  <c r="M666" i="1"/>
  <c r="L667" i="1"/>
  <c r="M667" i="1" s="1"/>
  <c r="L668" i="1"/>
  <c r="M668" i="1" s="1"/>
  <c r="L669" i="1"/>
  <c r="M669" i="1" s="1"/>
  <c r="M670" i="1"/>
  <c r="L671" i="1"/>
  <c r="M671" i="1" s="1"/>
  <c r="M672" i="1"/>
  <c r="L673" i="1"/>
  <c r="M673" i="1" s="1"/>
  <c r="M674" i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M681" i="1"/>
  <c r="M682" i="1"/>
  <c r="M683" i="1"/>
  <c r="M684" i="1"/>
  <c r="M685" i="1"/>
  <c r="M686" i="1"/>
  <c r="M687" i="1"/>
  <c r="M688" i="1"/>
  <c r="M689" i="1"/>
  <c r="M690" i="1"/>
  <c r="L691" i="1"/>
  <c r="M691" i="1" s="1"/>
  <c r="L692" i="1"/>
  <c r="L693" i="1"/>
  <c r="M693" i="1" s="1"/>
  <c r="L694" i="1"/>
  <c r="M694" i="1" s="1"/>
  <c r="L695" i="1"/>
  <c r="M695" i="1" s="1"/>
  <c r="M696" i="1"/>
  <c r="M697" i="1"/>
  <c r="M698" i="1"/>
  <c r="M699" i="1"/>
  <c r="M700" i="1"/>
  <c r="M701" i="1"/>
  <c r="M702" i="1"/>
  <c r="M703" i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/>
  <c r="L710" i="1"/>
  <c r="M710" i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9" i="1"/>
  <c r="M729" i="1" s="1"/>
  <c r="L730" i="1"/>
  <c r="M730" i="1" s="1"/>
  <c r="L731" i="1"/>
  <c r="M731" i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M738" i="1"/>
  <c r="M739" i="1"/>
  <c r="M740" i="1"/>
  <c r="M741" i="1"/>
  <c r="M742" i="1"/>
  <c r="L743" i="1"/>
  <c r="M743" i="1" s="1"/>
  <c r="L744" i="1"/>
  <c r="M744" i="1" s="1"/>
  <c r="M745" i="1"/>
  <c r="M746" i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M754" i="1"/>
  <c r="M755" i="1"/>
  <c r="L756" i="1"/>
  <c r="M756" i="1" s="1"/>
  <c r="M757" i="1"/>
  <c r="M758" i="1"/>
  <c r="M759" i="1"/>
  <c r="M760" i="1"/>
  <c r="M761" i="1"/>
  <c r="M762" i="1"/>
  <c r="M763" i="1"/>
  <c r="M764" i="1"/>
  <c r="L765" i="1"/>
  <c r="M765" i="1" s="1"/>
  <c r="L766" i="1"/>
  <c r="M766" i="1" s="1"/>
  <c r="L767" i="1"/>
  <c r="M767" i="1" s="1"/>
  <c r="M768" i="1"/>
  <c r="L769" i="1"/>
  <c r="M769" i="1" s="1"/>
  <c r="M770" i="1"/>
  <c r="L771" i="1"/>
  <c r="M771" i="1" s="1"/>
  <c r="M772" i="1"/>
  <c r="L773" i="1"/>
  <c r="M773" i="1" s="1"/>
  <c r="L774" i="1"/>
  <c r="M774" i="1" s="1"/>
  <c r="M775" i="1"/>
  <c r="M776" i="1"/>
  <c r="L777" i="1"/>
  <c r="M777" i="1" s="1"/>
  <c r="M778" i="1"/>
  <c r="L779" i="1"/>
  <c r="M779" i="1" s="1"/>
  <c r="L780" i="1"/>
  <c r="M780" i="1" s="1"/>
  <c r="L781" i="1"/>
  <c r="M781" i="1" s="1"/>
  <c r="L782" i="1"/>
  <c r="M782" i="1" s="1"/>
  <c r="M783" i="1"/>
  <c r="M784" i="1"/>
  <c r="M785" i="1"/>
  <c r="M786" i="1"/>
  <c r="M787" i="1"/>
  <c r="M788" i="1"/>
  <c r="M789" i="1"/>
  <c r="M790" i="1"/>
  <c r="L791" i="1"/>
  <c r="M791" i="1" s="1"/>
  <c r="M792" i="1"/>
  <c r="M793" i="1"/>
  <c r="L794" i="1"/>
  <c r="M794" i="1" s="1"/>
  <c r="L795" i="1"/>
  <c r="M795" i="1" s="1"/>
  <c r="L796" i="1"/>
  <c r="L797" i="1"/>
  <c r="M797" i="1" s="1"/>
  <c r="L798" i="1"/>
  <c r="M798" i="1" s="1"/>
  <c r="L799" i="1"/>
  <c r="M799" i="1" s="1"/>
  <c r="M800" i="1"/>
  <c r="M801" i="1"/>
  <c r="M802" i="1"/>
  <c r="M803" i="1"/>
  <c r="M804" i="1"/>
  <c r="M805" i="1"/>
  <c r="M806" i="1"/>
  <c r="M807" i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/>
  <c r="L814" i="1"/>
  <c r="M814" i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3" i="1"/>
  <c r="M833" i="1" s="1"/>
  <c r="L834" i="1"/>
  <c r="M834" i="1" s="1"/>
  <c r="L835" i="1"/>
  <c r="M835" i="1"/>
  <c r="M836" i="1"/>
  <c r="M837" i="1"/>
  <c r="M838" i="1"/>
  <c r="M839" i="1"/>
  <c r="M840" i="1"/>
  <c r="L841" i="1"/>
  <c r="M841" i="1" s="1"/>
  <c r="M842" i="1"/>
  <c r="M843" i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M851" i="1"/>
  <c r="M852" i="1"/>
  <c r="L853" i="1"/>
  <c r="M853" i="1" s="1"/>
  <c r="M854" i="1"/>
  <c r="M855" i="1"/>
  <c r="M856" i="1"/>
  <c r="M857" i="1"/>
  <c r="M858" i="1"/>
  <c r="M859" i="1"/>
  <c r="M860" i="1"/>
  <c r="M861" i="1"/>
  <c r="L862" i="1"/>
  <c r="M862" i="1" s="1"/>
  <c r="L863" i="1"/>
  <c r="M863" i="1" s="1"/>
  <c r="M864" i="1"/>
  <c r="L865" i="1"/>
  <c r="M865" i="1" s="1"/>
  <c r="M866" i="1"/>
  <c r="L868" i="1"/>
  <c r="M868" i="1" s="1"/>
  <c r="M869" i="1"/>
  <c r="L870" i="1"/>
  <c r="M870" i="1" s="1"/>
  <c r="L871" i="1"/>
  <c r="M871" i="1" s="1"/>
  <c r="M872" i="1"/>
  <c r="L873" i="1"/>
  <c r="M873" i="1" s="1"/>
  <c r="L874" i="1"/>
  <c r="M874" i="1" s="1"/>
  <c r="L875" i="1"/>
  <c r="M875" i="1" s="1"/>
  <c r="L876" i="1"/>
  <c r="M876" i="1" s="1"/>
  <c r="M877" i="1"/>
  <c r="M878" i="1"/>
  <c r="M879" i="1"/>
  <c r="M880" i="1"/>
  <c r="M881" i="1"/>
  <c r="M882" i="1"/>
  <c r="M883" i="1"/>
  <c r="M884" i="1"/>
  <c r="M885" i="1"/>
  <c r="M886" i="1"/>
  <c r="L887" i="1"/>
  <c r="M887" i="1" s="1"/>
  <c r="L888" i="1"/>
  <c r="L889" i="1"/>
  <c r="M889" i="1" s="1"/>
  <c r="L890" i="1"/>
  <c r="M890" i="1" s="1"/>
  <c r="L891" i="1"/>
  <c r="M891" i="1" s="1"/>
  <c r="M892" i="1"/>
  <c r="M893" i="1"/>
  <c r="M894" i="1"/>
  <c r="M895" i="1"/>
  <c r="M896" i="1"/>
  <c r="M897" i="1"/>
  <c r="M898" i="1"/>
  <c r="M899" i="1"/>
  <c r="O72" i="4" l="1"/>
  <c r="O3" i="4"/>
  <c r="O45" i="4"/>
  <c r="O68" i="4"/>
  <c r="O79" i="4"/>
  <c r="O76" i="4"/>
  <c r="O19" i="4"/>
  <c r="O7" i="4"/>
  <c r="O100" i="4"/>
  <c r="O22" i="4"/>
</calcChain>
</file>

<file path=xl/comments1.xml><?xml version="1.0" encoding="utf-8"?>
<comments xmlns="http://schemas.openxmlformats.org/spreadsheetml/2006/main">
  <authors>
    <author>Financeiro 2</author>
  </authors>
  <commentList>
    <comment ref="Q86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189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R$ 1174,83+7710,60
</t>
        </r>
      </text>
    </comment>
    <comment ref="Q294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389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493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600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692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796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  <comment ref="Q888" authorId="0" shapeId="0">
      <text>
        <r>
          <rPr>
            <b/>
            <sz val="9"/>
            <color indexed="81"/>
            <rFont val="Segoe UI"/>
            <family val="2"/>
          </rPr>
          <t>Financeiro 2:</t>
        </r>
        <r>
          <rPr>
            <sz val="9"/>
            <color indexed="81"/>
            <rFont val="Segoe UI"/>
            <family val="2"/>
          </rPr>
          <t xml:space="preserve">
DESCONTO PROGAMA CONTROLE DE ACESSO R$ 1174,83</t>
        </r>
      </text>
    </comment>
  </commentList>
</comments>
</file>

<file path=xl/sharedStrings.xml><?xml version="1.0" encoding="utf-8"?>
<sst xmlns="http://schemas.openxmlformats.org/spreadsheetml/2006/main" count="20324" uniqueCount="191">
  <si>
    <t>HSERV CABREUVA</t>
  </si>
  <si>
    <t>CLIENTE</t>
  </si>
  <si>
    <t>VALOR BRUTO</t>
  </si>
  <si>
    <t>VALOR LIQUIDO</t>
  </si>
  <si>
    <t>VENCIMENTO</t>
  </si>
  <si>
    <t>17.05</t>
  </si>
  <si>
    <t>COND. NEW PARQUE TENIS - 54.689.419/0001-21</t>
  </si>
  <si>
    <t>CONTROLE DE ACESSO</t>
  </si>
  <si>
    <t>COND. PLENO NOVO ENGORDADOURO - 21.613.528/0001-06</t>
  </si>
  <si>
    <t>LIMPEZA</t>
  </si>
  <si>
    <t>LOC</t>
  </si>
  <si>
    <t>11.02</t>
  </si>
  <si>
    <t>COND. RESIDENCIAL JAMILE- 18.958.402/0001-69</t>
  </si>
  <si>
    <t>7.10</t>
  </si>
  <si>
    <t>COND. TARSILA DO AMERAL III - 33.863.932/0001-17</t>
  </si>
  <si>
    <t>ZELADOR</t>
  </si>
  <si>
    <t>COND. BELL `ART - 35.986.523/0001-33</t>
  </si>
  <si>
    <t xml:space="preserve">COND. SPAZIO JOANESBURGO - 17.746.253/0001-01 </t>
  </si>
  <si>
    <t>COND PALAZZO VENEZA -  25.039.346/0001-24)</t>
  </si>
  <si>
    <t>VENCEDOR - 50.947.761/0017-90</t>
  </si>
  <si>
    <t>FISCAL DE LOJA</t>
  </si>
  <si>
    <t>VENCEDOR - 50.947.761/0006-38</t>
  </si>
  <si>
    <t>17.04</t>
  </si>
  <si>
    <t>JEMP MONTAGENS E DESMONTAGENS - 21.484.320/0001-34</t>
  </si>
  <si>
    <t>FLAMBOIÃ ALIMENTOS - 61.252.540/0001-57</t>
  </si>
  <si>
    <t>HSERV CLEAN</t>
  </si>
  <si>
    <t>PLASTY COMERCIAL DE PLASTICOS (BELLOCOPO) - 14.143.398/0001-20</t>
  </si>
  <si>
    <t>PLASTY COMERCIAL DE PLASTICOS (ISOFORMA) - 14.143.398/0001-20</t>
  </si>
  <si>
    <t xml:space="preserve">REITER BRASIL SOLUÇÕES DE PINTUA LTDA - 14.254.385/0001-28 </t>
  </si>
  <si>
    <t>TTB IND. E COM. DE PRODUTOS METÁLICOS LTDA - 59.108.837/0002-82</t>
  </si>
  <si>
    <t>MONITORAMENTO</t>
  </si>
  <si>
    <t>INTERBRILHO HIGIENE E LIMPEZA LTDA-10.440.534/0001-92</t>
  </si>
  <si>
    <t>RICARO IMP. ATACADISTA - 07.808.640/0001-71</t>
  </si>
  <si>
    <t>VTR VETTOR EQUIPAMENTOS INDUSTRIAIS - 02.825.612/0001-49</t>
  </si>
  <si>
    <t>IRMÃOS BOA - FRANCISCO MORATO - LOJA 10 (50.948.371/0011-40)</t>
  </si>
  <si>
    <t>IRMÃOS BOA - CABREUVA - LOJA 05 (50.948.371/0006-82)</t>
  </si>
  <si>
    <t>IRMÃOS BOA - VARZEA PAULISTA - LOJA 08 (50.948.371/0009-25)</t>
  </si>
  <si>
    <t>IRMÃOS BOA -LIBERDADE - LOJA 11 (50.948.371/0012-20)</t>
  </si>
  <si>
    <t>IRMÃOS BOA - CD - LOJA 07 (50.948.371/0008-44)</t>
  </si>
  <si>
    <t>MIPAL INDUSTRIA EVAPORADORES -61.098.869/0001-05</t>
  </si>
  <si>
    <t>DEPOSITO SANTA CATARINA LTDA -45.908.530/0001-70</t>
  </si>
  <si>
    <t>GIFEL ENGENHARIA DE INCENDIO E COM LTDA</t>
  </si>
  <si>
    <t>MARIA DE FATIMA -365.468.107.78</t>
  </si>
  <si>
    <t>COOPERATIVA DE CREDITO COOPLIVRE - 49389307/0007-00</t>
  </si>
  <si>
    <t>PROSIS PRIME - 00.028.887/0001-26</t>
  </si>
  <si>
    <t>IRMÃOS BOA - SOROCABA - LOJA 12 (50.948.371/0013-01)</t>
  </si>
  <si>
    <t>IRMÃOS BOA - DOM OLIVIO - LOJA 15 (50.948.371/0016-54)</t>
  </si>
  <si>
    <t>IRMÃOS BOA - CENTENARIO - LOJA 06 (50.948.371/0007-63)</t>
  </si>
  <si>
    <t>IRMÃOS BOA - VILA RAMI - LOJA 09 (50.948.371/0010-69)</t>
  </si>
  <si>
    <t>KALIMERA HORTIFRUIT - LOJA RETIRO - 09.563.342/0001-94</t>
  </si>
  <si>
    <t>KALIMERA HORTIFRUIT - LOJA JAPY - 09.563.342/0001-56</t>
  </si>
  <si>
    <t>TECNIPLAS EQUIPAMENTOS EM COMPOSITOS EIRELI - 13.275.220/0001-70</t>
  </si>
  <si>
    <t>AAL JARDIM DO RIBEIRÃO I 03.132.423/0001-53</t>
  </si>
  <si>
    <t>COND RESIDENCIAL JATAI - 19.064.429/0001-70</t>
  </si>
  <si>
    <t>IRMÃOS BOA - CENTRO - LOJA 13 (50.948.371/0014-92)</t>
  </si>
  <si>
    <t>IRMÃOS BOA - VILA ARENS - LOJA 14 (50.948.371/0015-73)</t>
  </si>
  <si>
    <t>IRMÃOS BOA -IMIGRANTES - LOJA 03 (50.948.371/0004-10)</t>
  </si>
  <si>
    <t>IRMÃOS BOA -MATRIZ/HORTOLANDIA - LOJA 01 (50.948.371/0001-78)</t>
  </si>
  <si>
    <t>IRMÃOS BOA  - PQ BRASILIA/ANHANGUERA - LOJA 02 (50.948.371/0002-59)</t>
  </si>
  <si>
    <t>SANTA ROSA ATACADISTA (IRMÃOS BOA)</t>
  </si>
  <si>
    <t>HSERV PARK</t>
  </si>
  <si>
    <t>VITOR DUARTE</t>
  </si>
  <si>
    <t>HSERV SEGLIMP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</si>
  <si>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</si>
  <si>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</si>
  <si>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</si>
  <si>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</si>
  <si>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</si>
  <si>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</si>
  <si>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</si>
  <si>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</si>
  <si>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</si>
  <si>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SPA RECANTO LTDA - 01.014.961/0001-18</t>
  </si>
  <si>
    <t>PROPINTEC PINTURAS TECN LTDA - 03.770.562/0001-02</t>
  </si>
  <si>
    <t>AUTO POSTO CITY CABREUVA LTDA - 02.110.034/0001-64</t>
  </si>
  <si>
    <t>AUTO POSTO MINI CITY CABREUVA LTDA - 02.378.666/0001-03</t>
  </si>
  <si>
    <t>GK KORDOUTIS SUPERMERCADOS LTDA - 03.164.252/0001-44</t>
  </si>
  <si>
    <t>PEKA KORDOUTIS SUPERMERCADO LTDA - 10.875.738/0001-56</t>
  </si>
  <si>
    <t>TRIMESTRAL</t>
  </si>
  <si>
    <t>MENSAL</t>
  </si>
  <si>
    <t>EMPRESA</t>
  </si>
  <si>
    <t>TIPO</t>
  </si>
  <si>
    <t>MÊS</t>
  </si>
  <si>
    <t>CABREUVA</t>
  </si>
  <si>
    <t>ITUPEVA</t>
  </si>
  <si>
    <t>JUNDIAI</t>
  </si>
  <si>
    <t>CAJAMAR</t>
  </si>
  <si>
    <t>FRANCISCO MORATO</t>
  </si>
  <si>
    <t>CAMPO LIMPO</t>
  </si>
  <si>
    <t>VARZEA PAULISTA</t>
  </si>
  <si>
    <t>AMLR PORTAL DA CONCORDIA - 20.305.847/0001-91</t>
  </si>
  <si>
    <t>SOROCABA</t>
  </si>
  <si>
    <t>LANTERY INDUSTRIA E COMERCIO LTDA - 02.513.332/0001-03</t>
  </si>
  <si>
    <t>IRMÃOS BOA - MAXI SHOPPING - LOJA 04 (50.948.371/0005-00)</t>
  </si>
  <si>
    <t>COND. DOCE VIDA (15.701.512/0001-52)</t>
  </si>
  <si>
    <t>DESCONTOS</t>
  </si>
  <si>
    <t>LOCAÇAO</t>
  </si>
  <si>
    <t>RONDISTA</t>
  </si>
  <si>
    <t>SEGURANÇA</t>
  </si>
  <si>
    <t>ASG</t>
  </si>
  <si>
    <t>CODIGO</t>
  </si>
  <si>
    <t>DATA DE EMISSÃO</t>
  </si>
  <si>
    <t>CIDADE</t>
  </si>
  <si>
    <t>CONDOMINIO</t>
  </si>
  <si>
    <t>SETOR</t>
  </si>
  <si>
    <t>MERCADO</t>
  </si>
  <si>
    <t>BANCO</t>
  </si>
  <si>
    <t>COMERCIO</t>
  </si>
  <si>
    <t>PESSOA FISICA</t>
  </si>
  <si>
    <t>SPA</t>
  </si>
  <si>
    <t>POSTO</t>
  </si>
  <si>
    <t>OK</t>
  </si>
  <si>
    <t>STATUS</t>
  </si>
  <si>
    <t>JARDINAGEM</t>
  </si>
  <si>
    <t>EXPORADICO</t>
  </si>
  <si>
    <t>HIGIENIZAÇÃO</t>
  </si>
  <si>
    <t>CASAS</t>
  </si>
  <si>
    <t>LIBERCON ENGENHARIA LTDA - 04.787.989/0001-86</t>
  </si>
  <si>
    <t>N.L.P.S.P.E EMPREENDIMENTOS S.A - 33.679.741/0001-08</t>
  </si>
  <si>
    <t>COND. CONQUISTA AGAPEAMA (41.413.807/0001-33)</t>
  </si>
  <si>
    <t>VTR TUBOS  INDUSTRIA E COMERCIO - 18.868.550/0001-02</t>
  </si>
  <si>
    <t>VTR TUBOS  INDUSTRIA E COMERCIO - 15.868.550/0001-02</t>
  </si>
  <si>
    <t>14.06</t>
  </si>
  <si>
    <t>INSTALAÇÃO</t>
  </si>
  <si>
    <t>14.01</t>
  </si>
  <si>
    <t xml:space="preserve"> </t>
  </si>
  <si>
    <t>ok</t>
  </si>
  <si>
    <t>SOFISA</t>
  </si>
  <si>
    <t xml:space="preserve">                                  </t>
  </si>
  <si>
    <t>IRMÃOS BOA - ELOY - LOJA 17 (50.948.371.0018-16)</t>
  </si>
  <si>
    <t>ESPORADICA</t>
  </si>
  <si>
    <t>LIMPEZA PÓS OBRA</t>
  </si>
  <si>
    <t>IRMÃOS BOA - CAMPO LIMPO 16  (50.948.371/0017-35)</t>
  </si>
  <si>
    <t>DBG 17 EMPREENDIMENTOS IMOBILIARIOS</t>
  </si>
  <si>
    <t>CAMPINAS</t>
  </si>
  <si>
    <t>GFS PARTICIPAÇÕES S/A (MONTECHFILM) - 12.488.420/0001-48</t>
  </si>
  <si>
    <t>NFS-e</t>
  </si>
  <si>
    <t>ND</t>
  </si>
  <si>
    <t>SERVIÇO</t>
  </si>
  <si>
    <t>COND. TARSILA DO AMARAL III - 33.863.932/0001-17</t>
  </si>
  <si>
    <t>JANEIRO</t>
  </si>
  <si>
    <t>LIMPEZA NOTURNA</t>
  </si>
  <si>
    <t>REAJUSTE</t>
  </si>
  <si>
    <t>NF 60%</t>
  </si>
  <si>
    <t>ND 40%</t>
  </si>
  <si>
    <t>CONTROLE DE ACESSO N.</t>
  </si>
  <si>
    <t>DODS COMERCIO E DITRIBUIÇÃO  - 38.409.742/0001-23</t>
  </si>
  <si>
    <t xml:space="preserve">TRIMESTRAL  </t>
  </si>
  <si>
    <t>PRONPITEC PINTURAS TECN LTDA - 03.770.562/0001-02</t>
  </si>
  <si>
    <t>AUTO POSTO  CITY CABREÚVA LTDA - 02.110.034/0001-64</t>
  </si>
  <si>
    <t>AUTO POSTO MINI CITY CABREÚVA LTDA - 02.378.666/0001-03</t>
  </si>
  <si>
    <t>GK KOROUTIS SUPERMERCADO LTDA - 03.164.252/0001/44</t>
  </si>
  <si>
    <t>PEKA KORDOUTIS SUPERCADO LTDA - 10.875.738/0001-56</t>
  </si>
  <si>
    <t>FEVEREIRO</t>
  </si>
  <si>
    <t>MARÇO</t>
  </si>
  <si>
    <t>QUEBEC CATÁLAGOS DE CORES LTDA  - 27.458.085/0001-02</t>
  </si>
  <si>
    <t>Sofisa</t>
  </si>
  <si>
    <t>ESPORADICO</t>
  </si>
  <si>
    <t>PETROPERFIL</t>
  </si>
  <si>
    <t xml:space="preserve">VENCEDOR -48.124.457/0001-34 </t>
  </si>
  <si>
    <t>CAIEIRAS</t>
  </si>
  <si>
    <t>SP</t>
  </si>
  <si>
    <t>VENCEDOR - 10.475.241/0001-40</t>
  </si>
  <si>
    <t>VENCEDOR - 09.084.346/0001-71 (Loja 201-209-213)</t>
  </si>
  <si>
    <t>VENCEDOR -  50.947.761/0006-38</t>
  </si>
  <si>
    <t>AUXILIAR ADMINISTRATIVO</t>
  </si>
  <si>
    <t xml:space="preserve">VENCEDOR SUP. RIVIEIRA-48.124.457/0001-34 (LOJAS 50-53) </t>
  </si>
  <si>
    <t>VENCEDOR IRMAOS RUSSI -  50.947.761/0016-00 (Loja 201-209-213)</t>
  </si>
  <si>
    <t>VENCEDOR SUP. CAIEIRAS - 10.475.241/0001-40 (LOJA 55)</t>
  </si>
  <si>
    <t>ASSOCIAÇÃO DOS PROPRIETARIOS DO RES. VILLAGIO AZZURE</t>
  </si>
  <si>
    <t>CONTROLE DE ACESSO/ RONDA</t>
  </si>
  <si>
    <t>ANEXO III</t>
  </si>
  <si>
    <t>ANEXO IV</t>
  </si>
  <si>
    <t>Rótulos de Linha</t>
  </si>
  <si>
    <t>Total Geral</t>
  </si>
  <si>
    <t>Rótulos de Coluna</t>
  </si>
  <si>
    <t>HENRIQUE JEAN</t>
  </si>
  <si>
    <t>Soma de NFS-e</t>
  </si>
  <si>
    <t>ELADIO BARRETO</t>
  </si>
  <si>
    <t>SIMPLES NACIONAL</t>
  </si>
  <si>
    <t>COND. PLENO NOVO ENGORDADOURO - 21.613.528/0001-07</t>
  </si>
  <si>
    <t>FROMM SISTEMAS DE EMBALAGENS LTDA - 08.252.681/0001-97</t>
  </si>
  <si>
    <t>EMPILHADEIRA</t>
  </si>
  <si>
    <t>07.10</t>
  </si>
  <si>
    <t>IRMÃOS BOA - CD - LOJA 07 (50.948.371/0008-44) EX SANTA ROSA</t>
  </si>
  <si>
    <t>IRMÃOS BOA - VARZEA PAULISTA - LOJA 08 (50.948.371/0019-05)CD ITUPEVA</t>
  </si>
  <si>
    <t>IRMÃOS BOA - VARZEA PAULISTA - LOJA 18  (50.948.371/0019-05)CD ITUPEVA</t>
  </si>
  <si>
    <t>EMUSA DO BRASIL INDUSTRIA E COMERCIO LTDA (19.953.965/0003-99)</t>
  </si>
  <si>
    <t>KYN COMERCIO VAREJISTA(VENCEDOR) -  50.947.761/0016-00 (Loja 201-209-213)</t>
  </si>
  <si>
    <t>POLIPRIME INDÚSTRIA DE ARTIGOS EM PLÁTICOS EIRELLI.</t>
  </si>
  <si>
    <t>DIADEMA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</si>
</sst>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medium">
        <color theme="3" tint="-0.499984740745262"/>
      </left>
      <right style="thick">
        <color theme="3" tint="-0.499984740745262"/>
      </right>
      <top style="medium">
        <color theme="3" tint="-0.499984740745262"/>
      </top>
      <bottom style="thick">
        <color theme="3" tint="-0.499984740745262"/>
      </bottom>
      <diagonal/>
    </border>
    <border>
      <left style="medium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/>
      <bottom style="double">
        <color theme="3" tint="-0.499984740745262"/>
      </bottom>
      <diagonal/>
    </border>
    <border>
      <left/>
      <right style="double">
        <color theme="3" tint="-0.499984740745262"/>
      </right>
      <top/>
      <bottom style="double">
        <color theme="3" tint="-0.499984740745262"/>
      </bottom>
      <diagonal/>
    </border>
    <border>
      <left/>
      <right style="double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  <border>
      <left style="thick">
        <color theme="3" tint="-0.499984740745262"/>
      </left>
      <right style="medium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double">
        <color theme="3" tint="-0.499984740745262"/>
      </left>
      <right style="medium">
        <color theme="3" tint="-0.499984740745262"/>
      </right>
      <top/>
      <bottom style="double">
        <color theme="3" tint="-0.499984740745262"/>
      </bottom>
      <diagonal/>
    </border>
    <border>
      <left style="double">
        <color theme="3" tint="-0.499984740745262"/>
      </left>
      <right style="medium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  <border>
      <left style="medium">
        <color theme="3" tint="-0.499984740745262"/>
      </left>
      <right style="thick">
        <color theme="3" tint="-0.499984740745262"/>
      </right>
      <top style="thick">
        <color theme="3" tint="-0.499984740745262"/>
      </top>
      <bottom style="medium">
        <color theme="3" tint="-0.499984740745262"/>
      </bottom>
      <diagonal/>
    </border>
    <border>
      <left/>
      <right style="double">
        <color theme="3" tint="-0.499984740745262"/>
      </right>
      <top style="double">
        <color theme="3" tint="-0.499984740745262"/>
      </top>
      <bottom style="medium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 style="double">
        <color theme="3" tint="-0.499984740745262"/>
      </top>
      <bottom style="medium">
        <color theme="3" tint="-0.499984740745262"/>
      </bottom>
      <diagonal/>
    </border>
    <border>
      <left style="double">
        <color theme="3" tint="-0.499984740745262"/>
      </left>
      <right style="medium">
        <color theme="3" tint="-0.499984740745262"/>
      </right>
      <top style="double">
        <color theme="3" tint="-0.499984740745262"/>
      </top>
      <bottom style="medium">
        <color theme="3" tint="-0.499984740745262"/>
      </bottom>
      <diagonal/>
    </border>
    <border>
      <left/>
      <right style="double">
        <color theme="3" tint="-0.499984740745262"/>
      </right>
      <top style="medium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 style="medium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double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 style="double">
        <color theme="3" tint="-0.499984740745262"/>
      </left>
      <right/>
      <top style="double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/>
      <top style="double">
        <color theme="3" tint="-0.499984740745262"/>
      </top>
      <bottom style="medium">
        <color theme="3" tint="-0.49998474074526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44" fontId="1" fillId="0" borderId="0" applyFont="0" applyFill="0" applyBorder="0" applyAlignment="0" applyProtection="0"/>
  </cellStyleXfs>
  <cellXfs count="15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17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4" fontId="2" fillId="0" borderId="5" xfId="0" applyNumberFormat="1" applyFont="1" applyBorder="1"/>
    <xf numFmtId="0" fontId="2" fillId="3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44" fontId="2" fillId="3" borderId="5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17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44" fontId="2" fillId="0" borderId="6" xfId="0" applyNumberFormat="1" applyFont="1" applyBorder="1"/>
    <xf numFmtId="44" fontId="2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4" xfId="0" applyFont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44" fontId="2" fillId="0" borderId="14" xfId="0" applyNumberFormat="1" applyFont="1" applyBorder="1"/>
    <xf numFmtId="0" fontId="2" fillId="0" borderId="15" xfId="0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7" xfId="0" applyFont="1" applyBorder="1" applyAlignment="1">
      <alignment horizontal="center" vertical="center"/>
    </xf>
    <xf numFmtId="17" fontId="2" fillId="0" borderId="17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44" fontId="2" fillId="0" borderId="17" xfId="0" applyNumberFormat="1" applyFont="1" applyBorder="1"/>
    <xf numFmtId="0" fontId="2" fillId="0" borderId="18" xfId="0" applyFont="1" applyBorder="1" applyAlignment="1">
      <alignment horizontal="center"/>
    </xf>
    <xf numFmtId="0" fontId="2" fillId="0" borderId="0" xfId="0" applyFont="1"/>
    <xf numFmtId="8" fontId="2" fillId="0" borderId="5" xfId="0" applyNumberFormat="1" applyFont="1" applyBorder="1"/>
    <xf numFmtId="0" fontId="2" fillId="4" borderId="5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4" borderId="19" xfId="1" applyFont="1" applyFill="1" applyBorder="1" applyAlignment="1">
      <alignment horizontal="center" vertical="center"/>
    </xf>
    <xf numFmtId="44" fontId="0" fillId="0" borderId="19" xfId="0" applyNumberFormat="1" applyFont="1" applyBorder="1"/>
    <xf numFmtId="0" fontId="2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 wrapText="1"/>
    </xf>
    <xf numFmtId="44" fontId="7" fillId="5" borderId="2" xfId="0" applyNumberFormat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5" xfId="0" applyFont="1" applyFill="1" applyBorder="1"/>
    <xf numFmtId="0" fontId="2" fillId="0" borderId="5" xfId="0" applyFont="1" applyFill="1" applyBorder="1" applyAlignment="1">
      <alignment horizontal="center" vertical="center"/>
    </xf>
    <xf numFmtId="17" fontId="2" fillId="0" borderId="5" xfId="0" applyNumberFormat="1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44" fontId="2" fillId="0" borderId="5" xfId="0" applyNumberFormat="1" applyFont="1" applyFill="1" applyBorder="1"/>
    <xf numFmtId="0" fontId="2" fillId="0" borderId="11" xfId="0" applyFont="1" applyFill="1" applyBorder="1" applyAlignment="1">
      <alignment horizontal="center"/>
    </xf>
    <xf numFmtId="44" fontId="8" fillId="0" borderId="5" xfId="0" applyNumberFormat="1" applyFont="1" applyBorder="1"/>
    <xf numFmtId="0" fontId="2" fillId="6" borderId="5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5" xfId="0" applyFont="1" applyFill="1" applyBorder="1"/>
    <xf numFmtId="0" fontId="2" fillId="8" borderId="5" xfId="0" applyFont="1" applyFill="1" applyBorder="1" applyAlignment="1">
      <alignment horizontal="center" vertical="center"/>
    </xf>
    <xf numFmtId="17" fontId="2" fillId="8" borderId="5" xfId="0" applyNumberFormat="1" applyFont="1" applyFill="1" applyBorder="1" applyAlignment="1">
      <alignment horizontal="center" vertical="center"/>
    </xf>
    <xf numFmtId="164" fontId="2" fillId="8" borderId="5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44" fontId="2" fillId="8" borderId="5" xfId="0" applyNumberFormat="1" applyFont="1" applyFill="1" applyBorder="1"/>
    <xf numFmtId="0" fontId="2" fillId="8" borderId="1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Fill="1"/>
    <xf numFmtId="0" fontId="0" fillId="7" borderId="0" xfId="0" applyFont="1" applyFill="1"/>
    <xf numFmtId="0" fontId="0" fillId="8" borderId="0" xfId="0" applyFont="1" applyFill="1"/>
    <xf numFmtId="0" fontId="8" fillId="0" borderId="5" xfId="0" applyFont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5" xfId="0" applyFont="1" applyBorder="1" applyAlignment="1">
      <alignment horizontal="center" vertical="center"/>
    </xf>
    <xf numFmtId="17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44" fontId="9" fillId="0" borderId="5" xfId="0" applyNumberFormat="1" applyFont="1" applyBorder="1"/>
    <xf numFmtId="44" fontId="10" fillId="0" borderId="5" xfId="0" applyNumberFormat="1" applyFont="1" applyBorder="1"/>
    <xf numFmtId="0" fontId="10" fillId="0" borderId="11" xfId="0" applyFont="1" applyBorder="1" applyAlignment="1">
      <alignment horizontal="center"/>
    </xf>
    <xf numFmtId="0" fontId="11" fillId="0" borderId="0" xfId="0" applyFont="1"/>
    <xf numFmtId="0" fontId="12" fillId="5" borderId="4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10" fontId="0" fillId="0" borderId="0" xfId="0" applyNumberFormat="1"/>
    <xf numFmtId="44" fontId="2" fillId="0" borderId="0" xfId="0" applyNumberFormat="1" applyFont="1"/>
    <xf numFmtId="0" fontId="14" fillId="0" borderId="0" xfId="0" applyFont="1"/>
    <xf numFmtId="0" fontId="2" fillId="0" borderId="16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left" vertical="center" wrapText="1"/>
    </xf>
    <xf numFmtId="44" fontId="15" fillId="5" borderId="2" xfId="0" applyNumberFormat="1" applyFont="1" applyFill="1" applyBorder="1" applyAlignment="1">
      <alignment horizontal="center" vertical="center"/>
    </xf>
    <xf numFmtId="0" fontId="15" fillId="5" borderId="9" xfId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5" xfId="0" applyFont="1" applyBorder="1"/>
    <xf numFmtId="0" fontId="15" fillId="0" borderId="5" xfId="0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44" fontId="15" fillId="0" borderId="5" xfId="0" applyNumberFormat="1" applyFont="1" applyBorder="1"/>
    <xf numFmtId="0" fontId="15" fillId="0" borderId="11" xfId="0" applyFont="1" applyBorder="1" applyAlignment="1">
      <alignment horizontal="center"/>
    </xf>
    <xf numFmtId="44" fontId="9" fillId="0" borderId="5" xfId="0" applyNumberFormat="1" applyFont="1" applyFill="1" applyBorder="1"/>
    <xf numFmtId="0" fontId="16" fillId="5" borderId="4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44" fontId="17" fillId="0" borderId="5" xfId="0" applyNumberFormat="1" applyFont="1" applyBorder="1"/>
    <xf numFmtId="44" fontId="16" fillId="0" borderId="5" xfId="0" applyNumberFormat="1" applyFont="1" applyBorder="1"/>
    <xf numFmtId="44" fontId="15" fillId="0" borderId="5" xfId="0" applyNumberFormat="1" applyFont="1" applyFill="1" applyBorder="1"/>
    <xf numFmtId="0" fontId="15" fillId="7" borderId="5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5" xfId="0" applyFont="1" applyFill="1" applyBorder="1"/>
    <xf numFmtId="0" fontId="15" fillId="0" borderId="5" xfId="0" applyFont="1" applyFill="1" applyBorder="1" applyAlignment="1">
      <alignment horizontal="center" vertical="center"/>
    </xf>
    <xf numFmtId="17" fontId="15" fillId="0" borderId="5" xfId="0" applyNumberFormat="1" applyFont="1" applyFill="1" applyBorder="1" applyAlignment="1">
      <alignment horizontal="center" vertical="center"/>
    </xf>
    <xf numFmtId="164" fontId="15" fillId="0" borderId="5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44" fontId="16" fillId="0" borderId="5" xfId="0" applyNumberFormat="1" applyFont="1" applyFill="1" applyBorder="1"/>
    <xf numFmtId="0" fontId="15" fillId="0" borderId="11" xfId="0" applyFont="1" applyFill="1" applyBorder="1" applyAlignment="1">
      <alignment horizontal="center"/>
    </xf>
    <xf numFmtId="44" fontId="15" fillId="8" borderId="5" xfId="0" applyNumberFormat="1" applyFont="1" applyFill="1" applyBorder="1"/>
    <xf numFmtId="0" fontId="16" fillId="5" borderId="2" xfId="0" applyFont="1" applyFill="1" applyBorder="1" applyAlignment="1">
      <alignment horizontal="center" vertical="center" wrapText="1"/>
    </xf>
    <xf numFmtId="44" fontId="17" fillId="0" borderId="5" xfId="0" applyNumberFormat="1" applyFont="1" applyFill="1" applyBorder="1"/>
    <xf numFmtId="0" fontId="17" fillId="0" borderId="5" xfId="0" applyFont="1" applyBorder="1" applyAlignment="1">
      <alignment horizontal="left" vertical="center"/>
    </xf>
    <xf numFmtId="44" fontId="8" fillId="7" borderId="5" xfId="0" applyNumberFormat="1" applyFont="1" applyFill="1" applyBorder="1"/>
    <xf numFmtId="44" fontId="8" fillId="0" borderId="5" xfId="0" applyNumberFormat="1" applyFont="1" applyFill="1" applyBorder="1"/>
    <xf numFmtId="0" fontId="18" fillId="0" borderId="0" xfId="0" applyFont="1"/>
    <xf numFmtId="0" fontId="15" fillId="3" borderId="5" xfId="0" applyFont="1" applyFill="1" applyBorder="1" applyAlignment="1">
      <alignment horizontal="left" vertical="center"/>
    </xf>
    <xf numFmtId="164" fontId="15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Moeda" xfId="2" builtinId="4"/>
    <cellStyle name="Normal" xfId="0" builtinId="0"/>
    <cellStyle name="Nota" xfId="1" builtinId="10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C9FBE3"/>
      <color rgb="FFCCFFCC"/>
      <color rgb="FFA1F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mela greice" refreshedDate="44678.589171064814" createdVersion="5" refreshedVersion="5" minRefreshableVersion="3" recordCount="114">
  <cacheSource type="worksheet">
    <worksheetSource ref="A1:E1" sheet="Plan2"/>
  </cacheSource>
  <cacheFields count="15">
    <cacheField name="CODIGO" numFmtId="0">
      <sharedItems count="2">
        <s v="ANEXO IV"/>
        <s v="ANEXO III"/>
      </sharedItems>
    </cacheField>
    <cacheField name="EMPRESA" numFmtId="0">
      <sharedItems count="7">
        <s v="VITOR DUARTE"/>
        <s v="HSERV CABREUVA"/>
        <s v="HSERV CLEAN"/>
        <s v="HENRIQUE JEAN"/>
        <s v="ELADIO BARRETO"/>
        <s v="HSERV PARK" u="1"/>
        <s v="HSERV SEGLIMP" u="1"/>
      </sharedItems>
    </cacheField>
    <cacheField name="TIPO" numFmtId="0">
      <sharedItems/>
    </cacheField>
    <cacheField name="MÊS" numFmtId="17">
      <sharedItems/>
    </cacheField>
    <cacheField name="DATA DE EMISSÃO" numFmtId="164">
      <sharedItems containsSemiMixedTypes="0" containsString="0" containsNumber="1" containsInteger="1" minValue="1" maxValue="25"/>
    </cacheField>
    <cacheField name="CLIENTE" numFmtId="0">
      <sharedItems/>
    </cacheField>
    <cacheField name="CIDADE" numFmtId="0">
      <sharedItems/>
    </cacheField>
    <cacheField name="SERVIÇO" numFmtId="0">
      <sharedItems/>
    </cacheField>
    <cacheField name="SETOR" numFmtId="0">
      <sharedItems/>
    </cacheField>
    <cacheField name="VALOR BRUTO" numFmtId="44">
      <sharedItems containsSemiMixedTypes="0" containsString="0" containsNumber="1" minValue="130" maxValue="80218.94"/>
    </cacheField>
    <cacheField name="NFS-e" numFmtId="44">
      <sharedItems containsSemiMixedTypes="0" containsString="0" containsNumber="1" minValue="130" maxValue="61929.65"/>
    </cacheField>
    <cacheField name="ND" numFmtId="44">
      <sharedItems containsSemiMixedTypes="0" containsString="0" containsNumber="1" minValue="0" maxValue="32087.576000000001"/>
    </cacheField>
    <cacheField name="DESCONTOS" numFmtId="44">
      <sharedItems containsBlank="1" containsMixedTypes="1" containsNumber="1" minValue="0" maxValue="8670.1510000000017"/>
    </cacheField>
    <cacheField name="VALOR LIQUIDO" numFmtId="44">
      <sharedItems containsString="0" containsBlank="1" containsNumber="1" minValue="130" maxValue="75598.33"/>
    </cacheField>
    <cacheField name="VENCIMENTO" numFmtId="0">
      <sharedItems containsString="0" containsBlank="1" containsNumber="1" containsInteger="1" minValue="7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">
  <r>
    <x v="0"/>
    <x v="0"/>
    <s v="MENSAL"/>
    <s v="ABRIL"/>
    <n v="20"/>
    <s v="MIPAL INDUSTRIA EVAPORADORES -61.098.869/0001-05"/>
    <s v="CABREUVA"/>
    <s v="LOCAÇAO"/>
    <s v="EMPRESA"/>
    <n v="130"/>
    <n v="130"/>
    <n v="130"/>
    <n v="0"/>
    <n v="130"/>
    <n v="17"/>
  </r>
  <r>
    <x v="0"/>
    <x v="1"/>
    <s v="TRIMESTRAL  "/>
    <s v="ABRIL"/>
    <n v="20"/>
    <s v="LANTERY INDUSTRIA E COMERCIO LTDA - 02.513.332/0001-03"/>
    <s v="CABREUVA"/>
    <s v="MONITORAMENTO"/>
    <s v="EMPRESA"/>
    <n v="690"/>
    <n v="690"/>
    <n v="0"/>
    <n v="34.5"/>
    <n v="655.5"/>
    <n v="7"/>
  </r>
  <r>
    <x v="1"/>
    <x v="2"/>
    <s v="MENSAL"/>
    <s v="ABRIL"/>
    <n v="25"/>
    <s v="ASSOCIAÇÃO DOS PROPRIETARIOS DO RES. VILLAGIO AZZURE"/>
    <s v="ITUPEVA"/>
    <s v="CONTROLE DE ACESSO/ RONDA"/>
    <s v="CONDOMINIO"/>
    <n v="43144"/>
    <n v="43144"/>
    <n v="0"/>
    <m/>
    <m/>
    <m/>
  </r>
  <r>
    <x v="0"/>
    <x v="0"/>
    <s v="MENSAL"/>
    <s v="ABRIL"/>
    <n v="20"/>
    <s v="AMLR PORTAL DA CONCORDIA - 20.305.847/0001-91"/>
    <s v="CABREUVA"/>
    <s v="LIMPEZA"/>
    <s v="CONDOMINIO"/>
    <n v="4536.0249999999996"/>
    <n v="4536.0249999999996"/>
    <n v="0"/>
    <n v="725.76400000000001"/>
    <n v="3810.2609999999995"/>
    <n v="10"/>
  </r>
  <r>
    <x v="1"/>
    <x v="2"/>
    <s v="MENSAL"/>
    <s v="ABRIL"/>
    <n v="25"/>
    <s v="GFS PARTICIPAÇÕES S/A (MONTECHFILM) - 12.488.420/0001-48"/>
    <s v="CABREUVA"/>
    <s v="CONTROLE DE ACESSO"/>
    <s v="EMPRESA"/>
    <n v="17695.12745"/>
    <n v="17695.12745"/>
    <n v="0"/>
    <n v="0"/>
    <n v="17695.12745"/>
    <n v="18"/>
  </r>
  <r>
    <x v="1"/>
    <x v="1"/>
    <s v="MENSAL"/>
    <s v="ABRIL"/>
    <n v="8"/>
    <s v="COND. NEW PARQUE TENIS - 54.689.419/0001-21"/>
    <s v="JUNDIAI"/>
    <s v="CONTROLE DE ACESSO"/>
    <s v="CONDOMINIO"/>
    <n v="41245.995459655351"/>
    <n v="41245.995459655351"/>
    <n v="0"/>
    <e v="#REF!"/>
    <n v="39379.660823471851"/>
    <n v="10"/>
  </r>
  <r>
    <x v="1"/>
    <x v="1"/>
    <s v="MENSAL"/>
    <s v="ABRIL"/>
    <n v="8"/>
    <s v="COND. PLENO NOVO ENGORDADOURO - 21.613.528/0001-06"/>
    <s v="JUNDIAI"/>
    <s v="CONTROLE DE ACESSO"/>
    <s v="CONDOMINIO"/>
    <n v="19327.518303502504"/>
    <n v="19327.518303502504"/>
    <n v="0"/>
    <n v="874.54833952500019"/>
    <n v="18452.969963977503"/>
    <n v="10"/>
  </r>
  <r>
    <x v="1"/>
    <x v="1"/>
    <s v="MENSAL"/>
    <s v="ABRIL"/>
    <n v="8"/>
    <s v="COND. PLENO NOVO ENGORDADOURO - 21.613.528/0001-06"/>
    <s v="JUNDIAI"/>
    <s v="RONDISTA"/>
    <s v="CONDOMINIO"/>
    <n v="19327.518303502504"/>
    <n v="19327.518303502504"/>
    <n v="0"/>
    <n v="874.54833952500019"/>
    <n v="18452.969963977503"/>
    <n v="10"/>
  </r>
  <r>
    <x v="1"/>
    <x v="1"/>
    <s v="MENSAL"/>
    <s v="ABRIL"/>
    <n v="8"/>
    <s v="COND. PLENO NOVO ENGORDADOURO - 21.613.528/0001-06"/>
    <s v="JUNDIAI"/>
    <s v="LIMPEZA"/>
    <s v="CONDOMINIO"/>
    <n v="16926.608031693751"/>
    <n v="16926.608031693751"/>
    <n v="0"/>
    <n v="765.90986568750009"/>
    <n v="16160.698166006252"/>
    <n v="10"/>
  </r>
  <r>
    <x v="1"/>
    <x v="1"/>
    <s v="MENSAL"/>
    <s v="ABRIL"/>
    <n v="8"/>
    <s v="COND. PLENO NOVO ENGORDADOURO - 21.613.528/0001-06"/>
    <s v="JUNDIAI"/>
    <s v="ZELADOR"/>
    <s v="CONDOMINIO"/>
    <n v="14433.306181368749"/>
    <n v="14433.306181368749"/>
    <n v="0"/>
    <n v="653.09077743750004"/>
    <n v="13780.215403931248"/>
    <n v="10"/>
  </r>
  <r>
    <x v="0"/>
    <x v="1"/>
    <s v="MENSAL"/>
    <s v="ABRIL"/>
    <n v="8"/>
    <s v="COND. PLENO NOVO ENGORDADOURO - 21.613.528/0001-06"/>
    <s v="JUNDIAI"/>
    <s v="LOCAÇAO"/>
    <s v="CONDOMINIO"/>
    <n v="2000"/>
    <n v="2000"/>
    <n v="0"/>
    <n v="0"/>
    <n v="2000"/>
    <n v="10"/>
  </r>
  <r>
    <x v="0"/>
    <x v="1"/>
    <s v="MENSAL"/>
    <s v="ABRIL"/>
    <n v="8"/>
    <s v="COND. PLENO NOVO ENGORDADOURO - 21.613.528/0001-06"/>
    <s v="JUNDIAI"/>
    <s v="LOCAÇAO"/>
    <s v="CONDOMINIO"/>
    <n v="200"/>
    <n v="200"/>
    <n v="0"/>
    <n v="0"/>
    <n v="200"/>
    <n v="10"/>
  </r>
  <r>
    <x v="0"/>
    <x v="1"/>
    <s v="MENSAL"/>
    <s v="ABRIL"/>
    <n v="14"/>
    <s v="COND. RESIDENCIAL JAMILE- 18.958.402/0001-69"/>
    <s v="JUNDIAI"/>
    <s v="CONTROLE DE ACESSO"/>
    <s v="CONDOMINIO"/>
    <n v="18236.509999999998"/>
    <n v="18236.509999999998"/>
    <n v="0"/>
    <n v="2553.1114000000002"/>
    <n v="16485.7"/>
    <n v="15"/>
  </r>
  <r>
    <x v="0"/>
    <x v="1"/>
    <s v="MENSAL"/>
    <s v="ABRIL"/>
    <n v="14"/>
    <s v="COND. RESIDENCIAL JAMILE- 18.958.402/0001-69"/>
    <s v="JUNDIAI"/>
    <s v="LIMPEZA"/>
    <s v="CONDOMINIO"/>
    <n v="4121.2527595112251"/>
    <n v="4121.2527595112251"/>
    <n v="0"/>
    <n v="659.40044152179598"/>
    <n v="3461.8523179894291"/>
    <n v="15"/>
  </r>
  <r>
    <x v="0"/>
    <x v="1"/>
    <s v="MENSAL"/>
    <s v="ABRIL"/>
    <n v="14"/>
    <s v="COND. RESIDENCIAL JAMILE- 18.958.402/0001-69"/>
    <s v="JUNDIAI"/>
    <s v="ASG"/>
    <s v="CONDOMINIO"/>
    <n v="4879.6817792930997"/>
    <n v="4879.6817792930997"/>
    <n v="0"/>
    <n v="780.74908468689591"/>
    <n v="4098.9326946062038"/>
    <n v="15"/>
  </r>
  <r>
    <x v="1"/>
    <x v="1"/>
    <s v="MENSAL"/>
    <s v="ABRIL"/>
    <n v="14"/>
    <s v="COND. TARSILA DO AMARAL III - 33.863.932/0001-17"/>
    <s v="ITUPEVA"/>
    <s v="CONTROLE DE ACESSO"/>
    <s v="CONDOMINIO"/>
    <n v="16311.633340859998"/>
    <n v="16311.633340859998"/>
    <n v="0"/>
    <n v="738.08295659999999"/>
    <n v="15985.4"/>
    <n v="15"/>
  </r>
  <r>
    <x v="1"/>
    <x v="1"/>
    <s v="MENSAL"/>
    <s v="ABRIL"/>
    <n v="14"/>
    <s v="COND. TARSILA DO AMARAL III - 33.863.932/0001-17"/>
    <s v="ITUPEVA"/>
    <s v="LIMPEZA"/>
    <s v="CONDOMINIO"/>
    <n v="4158.1260499999999"/>
    <n v="4158.1260499999999"/>
    <n v="0"/>
    <n v="188.15050000000002"/>
    <n v="3969.9755499999997"/>
    <n v="15"/>
  </r>
  <r>
    <x v="1"/>
    <x v="1"/>
    <s v="MENSAL"/>
    <s v="ABRIL"/>
    <n v="14"/>
    <s v="COND. TARSILA DO AMARAL III - 33.863.932/0001-17"/>
    <s v="ITUPEVA"/>
    <s v="ZELADOR"/>
    <s v="CONDOMINIO"/>
    <n v="5282.5230083924998"/>
    <n v="5282.5230083924998"/>
    <n v="0"/>
    <n v="239.02819042500002"/>
    <n v="5043.4948179675002"/>
    <n v="15"/>
  </r>
  <r>
    <x v="0"/>
    <x v="1"/>
    <s v="MENSAL"/>
    <s v="ABRIL"/>
    <n v="14"/>
    <s v="COND. TARSILA DO AMARAL III - 33.863.932/0001-17"/>
    <s v="ITUPEVA"/>
    <s v="LOCAÇAO"/>
    <s v="CONDOMINIO"/>
    <n v="500"/>
    <n v="500"/>
    <n v="0"/>
    <n v="0"/>
    <n v="500"/>
    <n v="15"/>
  </r>
  <r>
    <x v="0"/>
    <x v="1"/>
    <s v="MENSAL"/>
    <s v="ABRIL"/>
    <n v="20"/>
    <s v="COND. BELL `ART - 35.986.523/0001-33"/>
    <s v="JUNDIAI"/>
    <s v="CONTROLE DE ACESSO"/>
    <s v="CONDOMINIO"/>
    <n v="17144.075000000001"/>
    <n v="17144.075000000001"/>
    <n v="0"/>
    <n v="2400.1705000000002"/>
    <n v="14743.904500000001"/>
    <n v="15"/>
  </r>
  <r>
    <x v="0"/>
    <x v="1"/>
    <s v="MENSAL"/>
    <s v="ABRIL"/>
    <n v="20"/>
    <s v="COND. BELL `ART - 35.986.523/0001-33"/>
    <s v="JUNDIAI"/>
    <s v="JARDINAGEM"/>
    <s v="CONDOMINIO"/>
    <n v="1657.5"/>
    <n v="1657.5"/>
    <n v="0"/>
    <n v="265.2"/>
    <n v="1392.3"/>
    <n v="15"/>
  </r>
  <r>
    <x v="0"/>
    <x v="1"/>
    <s v="MENSAL"/>
    <s v="ABRIL"/>
    <n v="20"/>
    <s v="COND. BELL `ART - 35.986.523/0001-33"/>
    <s v="JUNDIAI"/>
    <s v="LIMPEZA"/>
    <s v="CONDOMINIO"/>
    <n v="8265.4"/>
    <n v="8265.4"/>
    <n v="0"/>
    <n v="1322.4639999999999"/>
    <n v="6942.9359999999997"/>
    <n v="15"/>
  </r>
  <r>
    <x v="0"/>
    <x v="1"/>
    <s v="MENSAL"/>
    <s v="ABRIL"/>
    <n v="20"/>
    <s v="COND. BELL `ART - 35.986.523/0001-33"/>
    <s v="JUNDIAI"/>
    <s v="ZELADOR"/>
    <s v="CONDOMINIO"/>
    <n v="7542.73"/>
    <n v="7542.73"/>
    <n v="0"/>
    <n v="1206.8368"/>
    <n v="6335.8931999999995"/>
    <n v="15"/>
  </r>
  <r>
    <x v="1"/>
    <x v="1"/>
    <s v="MENSAL"/>
    <s v="ABRIL"/>
    <n v="5"/>
    <s v="COND. SPAZIO JOANESBURGO - 17.746.253/0001-01 "/>
    <s v="JUNDIAI"/>
    <s v="CONTROLE DE ACESSO"/>
    <s v="CONDOMINIO"/>
    <n v="17315.25"/>
    <n v="17315.25"/>
    <n v="0"/>
    <n v="346.30500000000001"/>
    <n v="16968.945"/>
    <n v="10"/>
  </r>
  <r>
    <x v="1"/>
    <x v="1"/>
    <s v="MENSAL"/>
    <s v="ABRIL"/>
    <n v="5"/>
    <s v="COND. SPAZIO JOANESBURGO - 17.746.253/0001-01 "/>
    <s v="JUNDIAI"/>
    <s v="ZELADOR"/>
    <s v="CONDOMINIO"/>
    <n v="4515.3853266453743"/>
    <n v="4515.3853266453743"/>
    <n v="0"/>
    <n v="90.307706532907488"/>
    <n v="4425.0776201124672"/>
    <n v="10"/>
  </r>
  <r>
    <x v="1"/>
    <x v="1"/>
    <s v="MENSAL"/>
    <s v="ABRIL"/>
    <n v="10"/>
    <s v="COND PALAZZO VENEZA -  25.039.346/0001-24)"/>
    <s v="JUNDIAI"/>
    <s v="LIMPEZA"/>
    <s v="CONDOMINIO"/>
    <n v="4589.40895335"/>
    <n v="4589.40895335"/>
    <n v="0"/>
    <n v="207.66556350000002"/>
    <n v="4381.7433898500003"/>
    <n v="10"/>
  </r>
  <r>
    <x v="0"/>
    <x v="1"/>
    <s v="MENSAL"/>
    <s v="ABRIL"/>
    <n v="22"/>
    <s v="FLAMBOIÃ ALIMENTOS - 61.252.540/0001-57"/>
    <s v="CABREUVA"/>
    <s v="CONTROLE DE ACESSO"/>
    <s v="EMPRESA"/>
    <n v="61581.4"/>
    <n v="61581.4"/>
    <n v="0"/>
    <n v="8621.3960000000006"/>
    <n v="52960.004000000001"/>
    <n v="12"/>
  </r>
  <r>
    <x v="0"/>
    <x v="1"/>
    <s v="MENSAL"/>
    <s v="ABRIL"/>
    <n v="22"/>
    <s v="FLAMBOIÃ ALIMENTOS - 61.252.540/0001-57"/>
    <s v="CABREUVA"/>
    <s v="LIMPEZA"/>
    <s v="EMPRESA"/>
    <n v="12949"/>
    <n v="12949"/>
    <n v="0"/>
    <n v="2071.84"/>
    <n v="10877.16"/>
    <n v="12"/>
  </r>
  <r>
    <x v="0"/>
    <x v="1"/>
    <s v="MENSAL"/>
    <s v="ABRIL"/>
    <n v="22"/>
    <s v="FLAMBOIÃ ALIMENTOS - 61.252.540/0001-57"/>
    <s v="CABREUVA"/>
    <s v="LOCAÇAO"/>
    <s v="EMPRESA"/>
    <n v="1500"/>
    <n v="1500"/>
    <n v="0"/>
    <n v="0"/>
    <n v="1500"/>
    <n v="12"/>
  </r>
  <r>
    <x v="1"/>
    <x v="2"/>
    <s v="MENSAL"/>
    <s v="ABRIL"/>
    <n v="5"/>
    <s v="PLASTY COMERCIAL DE PLASTICOS (BELLOCOPO) - 14.143.398/0001-20"/>
    <s v="CABREUVA"/>
    <s v="CONTROLE DE ACESSO"/>
    <s v="EMPRESA"/>
    <n v="21868.658146266753"/>
    <n v="21868.658146266753"/>
    <n v="0"/>
    <n v="0"/>
    <n v="20775"/>
    <n v="28"/>
  </r>
  <r>
    <x v="1"/>
    <x v="2"/>
    <s v="MENSAL"/>
    <s v="ABRIL"/>
    <n v="5"/>
    <s v="PLASTY COMERCIAL DE PLASTICOS (BELLOCOPO) - 14.143.398/0001-20"/>
    <s v="CABREUVA"/>
    <s v="LIMPEZA"/>
    <s v="EMPRESA"/>
    <n v="4791.7362231179995"/>
    <n v="4791.7362231179995"/>
    <n v="0"/>
    <n v="0"/>
    <n v="4552.1499999999996"/>
    <n v="28"/>
  </r>
  <r>
    <x v="1"/>
    <x v="2"/>
    <s v="MENSAL"/>
    <s v="ABRIL"/>
    <n v="5"/>
    <s v="PLASTY COMERCIAL DE PLASTICOS (ISOFORMA) - 14.143.398/0001-20"/>
    <s v="CABREUVA"/>
    <s v="LIMPEZA NOTURNA"/>
    <s v="EMPRESA"/>
    <n v="6193.06"/>
    <n v="6193.06"/>
    <n v="0"/>
    <n v="0"/>
    <n v="5883.41"/>
    <n v="28"/>
  </r>
  <r>
    <x v="1"/>
    <x v="2"/>
    <s v="MENSAL"/>
    <s v="ABRIL"/>
    <n v="5"/>
    <s v="PLASTY COMERCIAL DE PLASTICOS (ISOFORMA) - 14.143.398/0001-20"/>
    <s v="CABREUVA"/>
    <s v="CONTROLE DE ACESSO"/>
    <s v="EMPRESA"/>
    <n v="21868.658146266745"/>
    <n v="21868.658146266745"/>
    <n v="0"/>
    <n v="0"/>
    <n v="20775"/>
    <n v="28"/>
  </r>
  <r>
    <x v="1"/>
    <x v="2"/>
    <s v="MENSAL"/>
    <s v="ABRIL"/>
    <n v="5"/>
    <s v="PLASTY COMERCIAL DE PLASTICOS (ISOFORMA) - 14.143.398/0001-20"/>
    <s v="CABREUVA"/>
    <s v="LIMPEZA"/>
    <s v="EMPRESA"/>
    <n v="4791.7362231179995"/>
    <n v="4791.7362231179995"/>
    <n v="0"/>
    <n v="0"/>
    <n v="4552.1499999999996"/>
    <n v="28"/>
  </r>
  <r>
    <x v="1"/>
    <x v="2"/>
    <s v="MENSAL"/>
    <s v="ABRIL"/>
    <n v="5"/>
    <s v="PLASTY COMERCIAL DE PLASTICOS (ISOFORMA) - 14.143.398/0001-20"/>
    <s v="CABREUVA"/>
    <s v="JARDINAGEM"/>
    <s v="EMPRESA"/>
    <n v="2015.0660041200001"/>
    <n v="2015.0660041200001"/>
    <n v="0"/>
    <n v="0"/>
    <n v="1914"/>
    <n v="28"/>
  </r>
  <r>
    <x v="0"/>
    <x v="2"/>
    <s v="MENSAL"/>
    <s v="ABRIL"/>
    <n v="20"/>
    <s v="TTB IND. E COM. DE PRODUTOS METÁLICOS LTDA - 59.108.837/0002-82"/>
    <s v="CABREUVA"/>
    <s v="MONITORAMENTO"/>
    <s v="EMPRESA"/>
    <n v="530"/>
    <n v="530"/>
    <n v="0"/>
    <n v="25"/>
    <n v="475"/>
    <n v="10"/>
  </r>
  <r>
    <x v="1"/>
    <x v="2"/>
    <s v="MENSAL"/>
    <s v="ABRIL"/>
    <n v="20"/>
    <s v="TTB IND. E COM. DE PRODUTOS METÁLICOS LTDA - 59.108.837/0002-82"/>
    <s v="CABREUVA"/>
    <s v="LIMPEZA"/>
    <s v="EMPRESA"/>
    <n v="8124.51"/>
    <n v="8124.51"/>
    <n v="0"/>
    <n v="0"/>
    <n v="2240.7039719999998"/>
    <n v="10"/>
  </r>
  <r>
    <x v="1"/>
    <x v="2"/>
    <s v="MENSAL"/>
    <s v="ABRIL"/>
    <n v="20"/>
    <s v="INTERBRILHO HIGIENE E LIMPEZA LTDA-10.440.534/0001-92"/>
    <s v="CABREUVA"/>
    <s v="CONTROLE DE ACESSO"/>
    <s v="EMPRESA"/>
    <n v="19669"/>
    <n v="19669"/>
    <n v="0"/>
    <n v="0"/>
    <n v="19669"/>
    <n v="30"/>
  </r>
  <r>
    <x v="1"/>
    <x v="2"/>
    <s v="MENSAL"/>
    <s v="ABRIL"/>
    <n v="20"/>
    <s v="RICARO IMP. ATACADISTA - 07.808.640/0001-71"/>
    <s v="CABREUVA"/>
    <s v="CONTROLE DE ACESSO"/>
    <s v="EMPRESA"/>
    <n v="21216.65"/>
    <n v="21216.65"/>
    <n v="0"/>
    <n v="1008.00076721625"/>
    <n v="20208.649232783751"/>
    <n v="10"/>
  </r>
  <r>
    <x v="1"/>
    <x v="2"/>
    <s v="MENSAL"/>
    <s v="ABRIL"/>
    <n v="20"/>
    <s v="RICARO IMP. ATACADISTA - 07.808.640/0001-71"/>
    <s v="CABREUVA"/>
    <s v="RONDISTA"/>
    <s v="EMPRESA"/>
    <n v="10578.83"/>
    <n v="10578.83"/>
    <n v="0"/>
    <n v="502.66571759999999"/>
    <n v="10076.164282399999"/>
    <n v="10"/>
  </r>
  <r>
    <x v="0"/>
    <x v="2"/>
    <s v="MENSAL"/>
    <s v="ABRIL"/>
    <n v="20"/>
    <s v="RICARO IMP. ATACADISTA - 07.808.640/0001-71"/>
    <s v="CABREUVA"/>
    <s v="MONITORAMENTO"/>
    <s v="EMPRESA"/>
    <n v="230"/>
    <n v="230"/>
    <n v="0"/>
    <n v="10"/>
    <n v="190"/>
    <n v="10"/>
  </r>
  <r>
    <x v="1"/>
    <x v="2"/>
    <s v="MENSAL"/>
    <s v="ABRIL"/>
    <n v="20"/>
    <s v="DODS COMERCIO E DITRIBUIÇÃO  - 38.409.742/0001-23"/>
    <s v="CABREUVA"/>
    <s v="CONTROLE DE ACESSO N."/>
    <s v="EMPRESA"/>
    <n v="10637.82"/>
    <n v="10637.82"/>
    <n v="0"/>
    <n v="505.32979499999999"/>
    <n v="10132.490205"/>
    <n v="10"/>
  </r>
  <r>
    <x v="1"/>
    <x v="2"/>
    <s v="MENSAL"/>
    <s v="ABRIL"/>
    <n v="20"/>
    <s v="DODS COMERCIO E DITRIBUIÇÃO  - 38.409.742/0001-23"/>
    <s v="CABREUVA"/>
    <s v="CONTROLE DE ACESSO"/>
    <s v="EMPRESA"/>
    <n v="10048.870000000001"/>
    <n v="10048.870000000001"/>
    <n v="0"/>
    <n v="481.34"/>
    <n v="9567.5300000000007"/>
    <n v="10"/>
  </r>
  <r>
    <x v="1"/>
    <x v="2"/>
    <s v="MENSAL"/>
    <s v="ABRIL"/>
    <n v="20"/>
    <s v="RICARO IMP. ATACADISTA - 07.808.640/0001-71"/>
    <s v="CABREUVA"/>
    <s v="SEGURANÇA"/>
    <s v="EMPRESA"/>
    <n v="14293.174999999999"/>
    <n v="14293.174999999999"/>
    <n v="0"/>
    <n v="646.75"/>
    <n v="13646.424999999999"/>
    <n v="10"/>
  </r>
  <r>
    <x v="0"/>
    <x v="2"/>
    <s v="MENSAL"/>
    <s v="ABRIL"/>
    <n v="20"/>
    <s v="RICARO IMP. ATACADISTA - 07.808.640/0001-71"/>
    <s v="CABREUVA"/>
    <s v="LOCAÇAO"/>
    <s v="EMPRESA"/>
    <n v="2000"/>
    <n v="2000"/>
    <n v="0"/>
    <n v="0"/>
    <n v="2000"/>
    <n v="10"/>
  </r>
  <r>
    <x v="0"/>
    <x v="2"/>
    <s v="MENSAL"/>
    <s v="ABRIL"/>
    <n v="15"/>
    <s v="VTR VETTOR EQUIPAMENTOS INDUSTRIAIS - 02.825.612/0001-49"/>
    <s v="CABREUVA"/>
    <s v="CONTROLE DE ACESSO"/>
    <s v="EMPRESA"/>
    <n v="22528.080000000002"/>
    <n v="22528.080000000002"/>
    <n v="0"/>
    <n v="3153.9312000000004"/>
    <n v="19914"/>
    <n v="30"/>
  </r>
  <r>
    <x v="1"/>
    <x v="2"/>
    <s v="MENSAL"/>
    <s v="ABRIL"/>
    <n v="15"/>
    <s v="VTR TUBOS  INDUSTRIA E COMERCIO - 18.868.550/0001-02"/>
    <s v="CABREUVA"/>
    <s v="LIMPEZA"/>
    <s v="EMPRESA"/>
    <n v="4285.72"/>
    <n v="4285.72"/>
    <n v="0"/>
    <n v="0"/>
    <n v="4285.72"/>
    <n v="30"/>
  </r>
  <r>
    <x v="1"/>
    <x v="2"/>
    <s v="MENSAL"/>
    <s v="ABRIL"/>
    <n v="15"/>
    <s v="VTR VETTOR EQUIPAMENTOS INDUSTRIAIS - 02.825.612/0001-49"/>
    <s v="CABREUVA"/>
    <s v="LIMPEZA"/>
    <s v="EMPRESA"/>
    <n v="8571.4500000000007"/>
    <n v="8571.4500000000007"/>
    <n v="0"/>
    <n v="0"/>
    <n v="8573.4076999999997"/>
    <n v="30"/>
  </r>
  <r>
    <x v="0"/>
    <x v="2"/>
    <s v="MENSAL"/>
    <s v="ABRIL"/>
    <n v="15"/>
    <s v="VTR VETTOR EQUIPAMENTOS INDUSTRIAIS - 02.825.612/0001-49"/>
    <s v="CABREUVA"/>
    <s v="MONITORAMENTO"/>
    <s v="EMPRESA"/>
    <n v="200"/>
    <n v="200"/>
    <n v="0"/>
    <n v="10"/>
    <n v="190"/>
    <n v="30"/>
  </r>
  <r>
    <x v="1"/>
    <x v="3"/>
    <s v="MENSAL"/>
    <s v="ABRIL"/>
    <n v="1"/>
    <s v="IRMÃOS BOA - FRANCISCO MORATO - LOJA 10 (50.948.371/0011-40)"/>
    <s v="FRANCISCO MORATO"/>
    <s v="FISCAL DE LOJA"/>
    <s v="MERCADO"/>
    <n v="40851.191603430001"/>
    <n v="24510.714962057998"/>
    <n v="16340.476641372001"/>
    <n v="0"/>
    <n v="40851.191603430001"/>
    <n v="30"/>
  </r>
  <r>
    <x v="1"/>
    <x v="3"/>
    <s v="MENSAL"/>
    <s v="ABRIL"/>
    <n v="1"/>
    <s v="IRMÃOS BOA - FRANCISCO MORATO - LOJA 10 (50.948.371/0011-40)"/>
    <s v="FRANCISCO MORATO"/>
    <s v="LIMPEZA"/>
    <s v="MERCADO"/>
    <n v="33354.561456449999"/>
    <n v="20012.736873869999"/>
    <n v="13341.82458258"/>
    <n v="0"/>
    <n v="33354.561456449999"/>
    <n v="30"/>
  </r>
  <r>
    <x v="1"/>
    <x v="3"/>
    <s v="MENSAL"/>
    <s v="ABRIL"/>
    <n v="1"/>
    <s v="IRMÃOS BOA - CABREUVA - LOJA 05 (50.948.371/0006-82)"/>
    <s v="CABREUVA"/>
    <s v="LIMPEZA"/>
    <s v="MERCADO"/>
    <n v="23847.740911214998"/>
    <n v="14308.644546728998"/>
    <n v="9539.0963644860003"/>
    <n v="0"/>
    <n v="23847.740911214998"/>
    <n v="30"/>
  </r>
  <r>
    <x v="1"/>
    <x v="3"/>
    <s v="MENSAL"/>
    <s v="ABRIL"/>
    <n v="1"/>
    <s v="IRMÃOS BOA - VARZEA PAULISTA - LOJA 08 (50.948.371/0009-25)"/>
    <s v="VARZEA PAULISTA"/>
    <s v="FISCAL DE LOJA"/>
    <s v="MERCADO"/>
    <n v="40851.191603430001"/>
    <n v="24510.714962057998"/>
    <n v="16340.476641372001"/>
    <n v="0"/>
    <n v="40851.191603430001"/>
    <n v="30"/>
  </r>
  <r>
    <x v="1"/>
    <x v="3"/>
    <s v="MENSAL"/>
    <s v="ABRIL"/>
    <n v="1"/>
    <s v="IRMÃOS BOA - VARZEA PAULISTA - LOJA 08 (50.948.371/0009-25)"/>
    <s v="VARZEA PAULISTA"/>
    <s v="LIMPEZA"/>
    <s v="MERCADO"/>
    <n v="33354.561456449999"/>
    <n v="20012.736873869999"/>
    <n v="13341.82458258"/>
    <n v="0"/>
    <n v="33354.561456449999"/>
    <n v="30"/>
  </r>
  <r>
    <x v="1"/>
    <x v="3"/>
    <s v="MENSAL"/>
    <s v="ABRIL"/>
    <n v="1"/>
    <s v="IRMÃOS BOA -LIBERDADE - LOJA 11 (50.948.371/0012-20)"/>
    <s v="JUNDIAI"/>
    <s v="LIMPEZA"/>
    <s v="MERCADO"/>
    <n v="14308.64685198"/>
    <n v="8585.1881111879993"/>
    <n v="5723.4587407920008"/>
    <n v="0"/>
    <n v="14308.64685198"/>
    <n v="30"/>
  </r>
  <r>
    <x v="1"/>
    <x v="3"/>
    <s v="MENSAL"/>
    <s v="ABRIL"/>
    <n v="1"/>
    <s v="IRMÃOS BOA - MAXI SHOPPING - LOJA 04 (50.948.371/0005-00)"/>
    <s v="JUNDIAI"/>
    <s v="LIMPEZA"/>
    <s v="MERCADO"/>
    <n v="19078.18811847"/>
    <n v="11446.912871081999"/>
    <n v="7631.275247388"/>
    <n v="0"/>
    <n v="19078.18811847"/>
    <n v="30"/>
  </r>
  <r>
    <x v="1"/>
    <x v="3"/>
    <s v="MENSAL"/>
    <s v="ABRIL"/>
    <n v="1"/>
    <s v="IRMÃOS BOA - CD - LOJA 07 (50.948.371/0008-44)"/>
    <s v="JUNDIAI"/>
    <s v="LIMPEZA"/>
    <s v="MERCADO"/>
    <n v="9539.0940592349998"/>
    <n v="5723.4564355409993"/>
    <n v="3815.637623694"/>
    <n v="0"/>
    <n v="9539.0940592349998"/>
    <n v="30"/>
  </r>
  <r>
    <x v="0"/>
    <x v="3"/>
    <s v="MENSAL"/>
    <s v="ABRIL"/>
    <n v="20"/>
    <s v="COND. CONQUISTA AGAPEAMA (41.413.807/0001-33)"/>
    <s v="JUNDIAI"/>
    <s v="CONTROLE DE ACESSO"/>
    <s v="CONDOMINIO"/>
    <n v="19006"/>
    <n v="19006"/>
    <n v="0"/>
    <n v="2660.84"/>
    <n v="15965.04"/>
    <n v="20"/>
  </r>
  <r>
    <x v="0"/>
    <x v="3"/>
    <s v="MENSAL"/>
    <s v="ABRIL"/>
    <n v="20"/>
    <s v="COND. CONQUISTA AGAPEAMA (41.413.807/0001-33)"/>
    <s v="JUNDIAI"/>
    <s v="LIMPEZA"/>
    <s v="CONDOMINIO"/>
    <n v="8619"/>
    <n v="8619"/>
    <n v="0"/>
    <n v="1379.04"/>
    <n v="7239.96"/>
    <n v="20"/>
  </r>
  <r>
    <x v="0"/>
    <x v="3"/>
    <s v="MENSAL"/>
    <s v="ABRIL"/>
    <n v="20"/>
    <s v="COND. CONQUISTA AGAPEAMA (41.413.807/0001-33)"/>
    <s v="JUNDIAI"/>
    <s v="LOCAÇAO"/>
    <s v="CONDOMINIO"/>
    <n v="1785.7"/>
    <n v="1785.7"/>
    <n v="0"/>
    <n v="0"/>
    <n v="1785.7"/>
    <n v="20"/>
  </r>
  <r>
    <x v="0"/>
    <x v="3"/>
    <s v="MENSAL"/>
    <s v="ABRIL"/>
    <n v="20"/>
    <s v="COND. DOCE VIDA (15.701.512/0001-52)"/>
    <s v="CAJAMAR"/>
    <s v="CONTROLE DE ACESSO"/>
    <s v="CONDOMINIO"/>
    <n v="27367.535"/>
    <n v="27367.535"/>
    <n v="0"/>
    <n v="3831.4549000000002"/>
    <n v="22988.7294"/>
    <n v="20"/>
  </r>
  <r>
    <x v="0"/>
    <x v="3"/>
    <s v="MENSAL"/>
    <s v="ABRIL"/>
    <n v="20"/>
    <s v="COND. DOCE VIDA (15.701.512/0001-52)"/>
    <s v="CAJAMAR"/>
    <s v="LIMPEZA"/>
    <s v="CONDOMINIO"/>
    <n v="17100.98"/>
    <n v="17100.98"/>
    <n v="0"/>
    <n v="2736.1568000000002"/>
    <n v="14364.823199999999"/>
    <n v="20"/>
  </r>
  <r>
    <x v="1"/>
    <x v="0"/>
    <s v="MENSAL"/>
    <s v="ABRIL"/>
    <n v="20"/>
    <s v="MIPAL INDUSTRIA EVAPORADORES -61.098.869/0001-05"/>
    <s v="CABREUVA"/>
    <s v="CONTROLE DE ACESSO"/>
    <s v="EMPRESA"/>
    <n v="20673.5597797423"/>
    <n v="12404.13586784538"/>
    <n v="8269.4239118969199"/>
    <n v="0"/>
    <n v="20673.5597797423"/>
    <n v="17"/>
  </r>
  <r>
    <x v="0"/>
    <x v="0"/>
    <s v="MENSAL"/>
    <s v="ABRIL"/>
    <n v="20"/>
    <s v="DEPOSITO SANTA CATARINA LTDA -45.908.530/0001-70"/>
    <s v="CABREUVA"/>
    <s v="MONITORAMENTO"/>
    <s v="COMERCIO"/>
    <n v="230"/>
    <n v="230"/>
    <n v="0"/>
    <n v="10"/>
    <n v="190"/>
    <n v="10"/>
  </r>
  <r>
    <x v="0"/>
    <x v="0"/>
    <s v="MENSAL"/>
    <s v="ABRIL"/>
    <n v="20"/>
    <s v="GIFEL ENGENHARIA DE INCENDIO E COM LTDA"/>
    <s v="CABREUVA"/>
    <s v="MONITORAMENTO"/>
    <s v="EMPRESA"/>
    <n v="630"/>
    <n v="630"/>
    <n v="0"/>
    <n v="30"/>
    <n v="570"/>
    <n v="25"/>
  </r>
  <r>
    <x v="1"/>
    <x v="0"/>
    <s v="MENSAL"/>
    <s v="ABRIL"/>
    <n v="20"/>
    <s v="LANTERY INDUSTRIA E COMERCIO LTDA - 02.513.332/0001-03"/>
    <s v="CABREUVA"/>
    <s v="LIMPEZA"/>
    <s v="EMPRESA"/>
    <n v="5071.55"/>
    <n v="5071.55"/>
    <n v="0"/>
    <n v="0"/>
    <n v="5071.55"/>
    <n v="15"/>
  </r>
  <r>
    <x v="0"/>
    <x v="0"/>
    <s v="MENSAL"/>
    <s v="ABRIL"/>
    <n v="20"/>
    <s v="COOPERATIVA DE CREDITO COOPLIVRE - 49389307/0007-00"/>
    <s v="CABREUVA"/>
    <s v="MONITORAMENTO"/>
    <s v="BANCO"/>
    <n v="230"/>
    <n v="230"/>
    <n v="0"/>
    <n v="10"/>
    <n v="190"/>
    <n v="15"/>
  </r>
  <r>
    <x v="1"/>
    <x v="0"/>
    <s v="MENSAL"/>
    <s v="ABRIL"/>
    <n v="1"/>
    <s v="IRMÃOS BOA - SOROCABA - LOJA 12 (50.948.371/0013-01)"/>
    <s v="SOROCABA"/>
    <s v="FISCAL DE LOJA"/>
    <s v="MERCADO"/>
    <n v="40617.404573265005"/>
    <n v="24370.442743959004"/>
    <n v="16246.961829306003"/>
    <n v="1837.8916096500002"/>
    <n v="38779.512963615001"/>
    <n v="30"/>
  </r>
  <r>
    <x v="1"/>
    <x v="0"/>
    <s v="MENSAL"/>
    <s v="ABRIL"/>
    <n v="1"/>
    <s v="IRMÃOS BOA - CAMPO LIMPO 16  (50.948.371/0017-35)"/>
    <s v="CAMPO LIMPO"/>
    <s v="LIMPEZA"/>
    <s v="MERCADO"/>
    <n v="33386.834650000004"/>
    <n v="20032.10079"/>
    <n v="13354.733860000002"/>
    <n v="0"/>
    <n v="33386.834650000004"/>
    <n v="30"/>
  </r>
  <r>
    <x v="1"/>
    <x v="0"/>
    <s v="MENSAL"/>
    <s v="ABRIL"/>
    <n v="1"/>
    <s v="IRMÃOS BOA - ELOY - LOJA 17 (50.948.371.0018-16)"/>
    <s v="JUNDIAI"/>
    <s v="LIMPEZA"/>
    <s v="MERCADO"/>
    <n v="28617.27895"/>
    <n v="17170.36737"/>
    <n v="11446.91158"/>
    <n v="0"/>
    <n v="28617.27895"/>
    <n v="30"/>
  </r>
  <r>
    <x v="1"/>
    <x v="0"/>
    <s v="MENSAL"/>
    <s v="ABRIL"/>
    <n v="1"/>
    <s v="IRMÃOS BOA - SOROCABA - LOJA 12 (50.948.371/0013-01)"/>
    <s v="SOROCABA"/>
    <s v="LIMPEZA"/>
    <s v="MERCADO"/>
    <n v="28617.282177705001"/>
    <n v="17170.369306623001"/>
    <n v="11446.912871082"/>
    <n v="1294.8996460500002"/>
    <n v="27322.382531654999"/>
    <n v="30"/>
  </r>
  <r>
    <x v="1"/>
    <x v="0"/>
    <s v="MENSAL"/>
    <s v="ABRIL"/>
    <n v="1"/>
    <s v="IRMÃOS BOA - DOM OLIVIO - LOJA 15 (50.948.371/0016-54)"/>
    <s v="JUNDIAI"/>
    <s v="FISCAL DE LOJA"/>
    <s v="MERCADO"/>
    <n v="58492.355406029994"/>
    <n v="35095.413243617993"/>
    <n v="23396.942162412"/>
    <n v="0"/>
    <n v="58492.355406029994"/>
    <n v="30"/>
  </r>
  <r>
    <x v="1"/>
    <x v="0"/>
    <s v="MENSAL"/>
    <s v="ABRIL"/>
    <n v="1"/>
    <s v="IRMÃOS BOA - DOM OLIVIO - LOJA 15 (50.948.371/0016-54)"/>
    <s v="JUNDIAI"/>
    <s v="SEGURANÇA"/>
    <s v="MERCADO"/>
    <n v="3457.8765000000003"/>
    <n v="2074.7258999999999"/>
    <n v="1383.1506000000002"/>
    <n v="0"/>
    <n v="3457.8765000000003"/>
    <n v="30"/>
  </r>
  <r>
    <x v="1"/>
    <x v="0"/>
    <s v="MENSAL"/>
    <s v="ABRIL"/>
    <n v="1"/>
    <s v="IRMÃOS BOA - DOM OLIVIO - LOJA 15 (50.948.371/0016-54)"/>
    <s v="JUNDIAI"/>
    <s v="LIMPEZA"/>
    <s v="MERCADO"/>
    <n v="42925.929029685009"/>
    <n v="25755.557417811004"/>
    <n v="17170.371611874005"/>
    <n v="0"/>
    <n v="42925.929029685009"/>
    <n v="30"/>
  </r>
  <r>
    <x v="1"/>
    <x v="0"/>
    <s v="MENSAL"/>
    <s v="ABRIL"/>
    <n v="1"/>
    <s v="IRMÃOS BOA - DOM OLIVIO - LOJA 15 (50.948.371/0016-54)"/>
    <s v="JUNDIAI"/>
    <s v="RONDISTA"/>
    <s v="MERCADO"/>
    <n v="7072"/>
    <n v="4243.2"/>
    <n v="2828.8"/>
    <n v="0"/>
    <n v="7072"/>
    <n v="30"/>
  </r>
  <r>
    <x v="1"/>
    <x v="0"/>
    <s v="MENSAL"/>
    <s v="ABRIL"/>
    <n v="1"/>
    <s v="IRMÃOS BOA - CENTENARIO - LOJA 06 (50.948.371/0007-63)"/>
    <s v="JUNDIAI"/>
    <s v="LIMPEZA"/>
    <s v="MERCADO"/>
    <n v="33354.561456449999"/>
    <n v="20012.736873869999"/>
    <n v="13341.82458258"/>
    <n v="0"/>
    <n v="33354.561456449999"/>
    <n v="30"/>
  </r>
  <r>
    <x v="1"/>
    <x v="0"/>
    <s v="MENSAL"/>
    <s v="ABRIL"/>
    <n v="1"/>
    <s v="IRMÃOS BOA - VILA RAMI - LOJA 09 (50.948.371/0010-69)"/>
    <s v="JUNDIAI"/>
    <s v="LIMPEZA"/>
    <s v="MERCADO"/>
    <n v="23880.014425214998"/>
    <n v="14328.008655128999"/>
    <n v="9552.0057700859998"/>
    <n v="0"/>
    <n v="23880.014425214998"/>
    <n v="30"/>
  </r>
  <r>
    <x v="1"/>
    <x v="4"/>
    <s v="MENSAL"/>
    <s v="ABRIL"/>
    <n v="10"/>
    <s v="KALIMERA HORTIFRUIT - LOJA RETIRO - 09.563.342/0001-94"/>
    <s v="JUNDIAI"/>
    <s v="LIMPEZA"/>
    <s v="MERCADO"/>
    <n v="19227"/>
    <n v="11536.199999999999"/>
    <n v="7690.8"/>
    <n v="0"/>
    <n v="19227"/>
    <n v="10"/>
  </r>
  <r>
    <x v="1"/>
    <x v="4"/>
    <s v="MENSAL"/>
    <s v="ABRIL"/>
    <n v="10"/>
    <s v="KALIMERA HORTIFRUIT - LOJA RETIRO - 09.563.342/0001-94"/>
    <s v="JUNDIAI"/>
    <s v="SEGURANÇA"/>
    <s v="MERCADO"/>
    <n v="5336.6560650000001"/>
    <n v="3201.9936389999998"/>
    <n v="2134.6624260000003"/>
    <n v="0"/>
    <n v="5336.6560650000001"/>
    <n v="10"/>
  </r>
  <r>
    <x v="1"/>
    <x v="4"/>
    <s v="MENSAL"/>
    <s v="ABRIL"/>
    <n v="10"/>
    <s v="KALIMERA HORTIFRUIT - LOJA JAPY - 09.563.342/0001-56"/>
    <s v="JUNDIAI"/>
    <s v="LIMPEZA"/>
    <s v="MERCADO"/>
    <n v="19227"/>
    <n v="11536.199999999999"/>
    <n v="7690.8"/>
    <n v="0"/>
    <n v="19227"/>
    <n v="10"/>
  </r>
  <r>
    <x v="1"/>
    <x v="4"/>
    <s v="MENSAL"/>
    <s v="ABRIL"/>
    <n v="10"/>
    <s v="KALIMERA HORTIFRUIT - LOJA JAPY - 09.563.342/0001-56"/>
    <s v="JUNDIAI"/>
    <s v="SEGURANÇA"/>
    <s v="MERCADO"/>
    <n v="5336.6560650000001"/>
    <n v="3201.9936389999998"/>
    <n v="2134.6624260000003"/>
    <n v="0"/>
    <n v="5336.6560650000001"/>
    <n v="10"/>
  </r>
  <r>
    <x v="0"/>
    <x v="4"/>
    <s v="MENSAL"/>
    <s v="ABRIL"/>
    <n v="16"/>
    <s v="TECNIPLAS EQUIPAMENTOS EM COMPOSITOS EIRELI - 13.275.220/0001-70"/>
    <s v="CABREUVA"/>
    <s v="CONTROLE DE ACESSO"/>
    <s v="EMPRESA"/>
    <n v="21132.94766324625"/>
    <n v="21132.94766324625"/>
    <n v="0"/>
    <n v="2958.6126728544755"/>
    <n v="18174.34"/>
    <n v="30"/>
  </r>
  <r>
    <x v="0"/>
    <x v="4"/>
    <s v="MENSAL"/>
    <s v="ABRIL"/>
    <n v="16"/>
    <s v="AAL JARDIM DO RIBEIRÃO I 03.132.423/0001-53"/>
    <s v="ITUPEVA"/>
    <s v="CONTROLE DE ACESSO"/>
    <s v="CONDOMINIO"/>
    <n v="80218.94"/>
    <n v="48131.364000000001"/>
    <n v="32087.576000000001"/>
    <n v="4620.6099999999997"/>
    <n v="75598.33"/>
    <n v="15"/>
  </r>
  <r>
    <x v="1"/>
    <x v="4"/>
    <s v="MENSAL"/>
    <s v="ABRIL"/>
    <n v="14"/>
    <s v="COND RESIDENCIAL JATAI - 19.064.429/0001-70"/>
    <s v="JUNDIAI"/>
    <s v="CONTROLE DE ACESSO"/>
    <s v="CONDOMINIO"/>
    <n v="19238.4722205"/>
    <n v="19238.4722205"/>
    <n v="0"/>
    <n v="870.51910499999997"/>
    <n v="18367.9531155"/>
    <n v="15"/>
  </r>
  <r>
    <x v="1"/>
    <x v="4"/>
    <s v="MENSAL"/>
    <s v="ABRIL"/>
    <n v="14"/>
    <s v="COND RESIDENCIAL JATAI - 19.064.429/0001-70"/>
    <s v="JUNDIAI"/>
    <s v="ZELADOR"/>
    <s v="CONDOMINIO"/>
    <n v="4982.8000364999998"/>
    <n v="4982.8000364999998"/>
    <n v="0"/>
    <n v="225.46606499999999"/>
    <n v="4757.3339715000002"/>
    <n v="15"/>
  </r>
  <r>
    <x v="1"/>
    <x v="4"/>
    <s v="MENSAL"/>
    <s v="ABRIL"/>
    <n v="14"/>
    <s v="COND RESIDENCIAL JATAI - 19.064.429/0001-70"/>
    <s v="JUNDIAI"/>
    <s v="LIMPEZA"/>
    <s v="CONDOMINIO"/>
    <n v="8036.1049860000003"/>
    <n v="8036.1049860000003"/>
    <n v="0"/>
    <n v="363.62466000000001"/>
    <n v="7672.4803259999999"/>
    <n v="15"/>
  </r>
  <r>
    <x v="1"/>
    <x v="4"/>
    <s v="MENSAL"/>
    <s v="ABRIL"/>
    <n v="1"/>
    <s v="IRMÃOS BOA - CENTRO - LOJA 13 (50.948.371/0014-92)"/>
    <s v="JUNDIAI"/>
    <s v="FISCAL DE LOJA"/>
    <s v="MERCADO"/>
    <n v="40617.404573265005"/>
    <n v="24370.442743959004"/>
    <n v="16246.961829306003"/>
    <n v="0"/>
    <n v="40617.404573265005"/>
    <n v="30"/>
  </r>
  <r>
    <x v="1"/>
    <x v="4"/>
    <s v="MENSAL"/>
    <s v="ABRIL"/>
    <n v="1"/>
    <s v="IRMÃOS BOA - CENTRO - LOJA 13 (50.948.371/0014-92)"/>
    <s v="JUNDIAI"/>
    <s v="LIMPEZA"/>
    <s v="MERCADO"/>
    <n v="33354.561456449999"/>
    <n v="20012.736873869999"/>
    <n v="13341.82458258"/>
    <n v="0"/>
    <n v="33354.561456449999"/>
    <n v="30"/>
  </r>
  <r>
    <x v="1"/>
    <x v="4"/>
    <s v="MENSAL"/>
    <s v="ABRIL"/>
    <n v="1"/>
    <s v="IRMÃOS BOA - VILA ARENS - LOJA 14 (50.948.371/0015-73)"/>
    <s v="JUNDIAI"/>
    <s v="FISCAL DE LOJA"/>
    <s v="MERCADO"/>
    <n v="34814.822702400001"/>
    <n v="20888.893621439998"/>
    <n v="13925.929080960001"/>
    <n v="0"/>
    <n v="34814.822702400001"/>
    <n v="30"/>
  </r>
  <r>
    <x v="1"/>
    <x v="4"/>
    <s v="MENSAL"/>
    <s v="ABRIL"/>
    <n v="1"/>
    <s v="IRMÃOS BOA - VILA ARENS - LOJA 14 (50.948.371/0015-73)"/>
    <s v="JUNDIAI"/>
    <s v="LIMPEZA"/>
    <s v="MERCADO"/>
    <n v="23847.740911214998"/>
    <n v="14308.644546728998"/>
    <n v="9539.0963644860003"/>
    <n v="0"/>
    <n v="23847.740911214998"/>
    <n v="30"/>
  </r>
  <r>
    <x v="1"/>
    <x v="4"/>
    <s v="MENSAL"/>
    <s v="ABRIL"/>
    <n v="1"/>
    <s v="IRMÃOS BOA -IMIGRANTES - LOJA 03 (50.948.371/0004-10)"/>
    <s v="JUNDIAI"/>
    <s v="LIMPEZA"/>
    <s v="MERCADO"/>
    <n v="33386.83497045"/>
    <n v="20032.10098227"/>
    <n v="13354.73398818"/>
    <n v="0"/>
    <n v="33386.83497045"/>
    <n v="30"/>
  </r>
  <r>
    <x v="1"/>
    <x v="4"/>
    <s v="MENSAL"/>
    <s v="ABRIL"/>
    <n v="1"/>
    <s v="IRMÃOS BOA -MATRIZ/HORTOLANDIA - LOJA 01 (50.948.371/0001-78)"/>
    <s v="JUNDIAI"/>
    <s v="LIMPEZA"/>
    <s v="MERCADO"/>
    <n v="33354.561456449999"/>
    <n v="20012.736873869999"/>
    <n v="13341.82458258"/>
    <n v="0"/>
    <n v="33354.561456449999"/>
    <n v="30"/>
  </r>
  <r>
    <x v="1"/>
    <x v="4"/>
    <s v="MENSAL"/>
    <s v="ABRIL"/>
    <n v="1"/>
    <s v="IRMÃOS BOA  - PQ BRASILIA/ANHANGUERA - LOJA 02 (50.948.371/0002-59)"/>
    <s v="JUNDIAI"/>
    <s v="LIMPEZA"/>
    <s v="MERCADO"/>
    <n v="19078.18811847"/>
    <n v="11446.912871081999"/>
    <n v="7631.275247388"/>
    <n v="0"/>
    <n v="19078.18811847"/>
    <n v="30"/>
  </r>
  <r>
    <x v="1"/>
    <x v="4"/>
    <s v="MENSAL"/>
    <s v="ABRIL"/>
    <n v="1"/>
    <s v="SANTA ROSA ATACADISTA (IRMÃOS BOA)"/>
    <s v="JUNDIAI"/>
    <s v="LIMPEZA"/>
    <s v="MERCADO"/>
    <n v="4769.5527927450003"/>
    <n v="2861.731675647"/>
    <n v="1907.8211170980003"/>
    <n v="0"/>
    <n v="4769.5527927450003"/>
    <n v="30"/>
  </r>
  <r>
    <x v="1"/>
    <x v="0"/>
    <s v="MENSAL"/>
    <s v="ABRIL"/>
    <n v="20"/>
    <s v="LANTERY INDUSTRIA E COMERCIO LTDA - 02.513.332/0001-03"/>
    <s v="CABREUVA"/>
    <s v="CONTROLE DE ACESSO"/>
    <s v="EMPRESA"/>
    <n v="19890"/>
    <n v="19890"/>
    <n v="0"/>
    <n v="0"/>
    <n v="19890"/>
    <n v="15"/>
  </r>
  <r>
    <x v="1"/>
    <x v="2"/>
    <s v="MENSAL"/>
    <s v="ABRIL"/>
    <n v="16"/>
    <s v="AAL JARDIM DO RIBEIRÃO I 03.132.423/0001-53"/>
    <s v="ITUPEVA"/>
    <s v="AUXILIAR ADMINISTRATIVO"/>
    <s v="CONDOMINIO"/>
    <n v="4250"/>
    <n v="2550"/>
    <n v="1700"/>
    <n v="0"/>
    <n v="4250"/>
    <n v="15"/>
  </r>
  <r>
    <x v="1"/>
    <x v="3"/>
    <s v="MENSAL"/>
    <s v="ABRIL"/>
    <n v="5"/>
    <s v="QUEBEC CATÁLAGOS DE CORES LTDA  - 27.458.085/0001-02"/>
    <s v="CABREUVA"/>
    <s v="CONTROLE DE ACESSO"/>
    <s v="EMPRESA"/>
    <n v="17715"/>
    <n v="17715"/>
    <n v="0"/>
    <n v="0"/>
    <n v="17715"/>
    <n v="30"/>
  </r>
  <r>
    <x v="1"/>
    <x v="3"/>
    <s v="MENSAL"/>
    <s v="ABRIL"/>
    <n v="1"/>
    <s v="IRMÃOS BOA - FRANCISCO MORATO - LOJA 10 (50.948.371/0011-40)"/>
    <s v="FRANCISCO MORATO"/>
    <s v="JARDINAGEM"/>
    <s v="MERCADO"/>
    <n v="875"/>
    <n v="525"/>
    <n v="350"/>
    <n v="0"/>
    <n v="875"/>
    <n v="30"/>
  </r>
  <r>
    <x v="1"/>
    <x v="3"/>
    <s v="MENSAL"/>
    <s v="ABRIL"/>
    <n v="1"/>
    <s v="IRMÃOS BOA - VARZEA PAULISTA - LOJA 08 (50.948.371/0009-25)"/>
    <s v="VARZEA PAULISTA"/>
    <s v="JARDINAGEM"/>
    <s v="MERCADO"/>
    <n v="875"/>
    <n v="525"/>
    <n v="350"/>
    <n v="0"/>
    <n v="875"/>
    <n v="30"/>
  </r>
  <r>
    <x v="1"/>
    <x v="0"/>
    <s v="MENSAL"/>
    <s v="ABRIL"/>
    <n v="1"/>
    <s v="IRMÃOS BOA - CAMPO LIMPO 16  (50.948.371/0017-35)"/>
    <s v="CAMPO LIMPO"/>
    <s v="JARDINAGEM"/>
    <s v="MERCADO"/>
    <n v="875"/>
    <n v="525"/>
    <n v="350"/>
    <n v="0"/>
    <n v="875"/>
    <n v="30"/>
  </r>
  <r>
    <x v="1"/>
    <x v="0"/>
    <s v="MENSAL"/>
    <s v="ABRIL"/>
    <n v="1"/>
    <s v="IRMÃOS BOA - ELOY - LOJA 17 (50.948.371.0018-16)"/>
    <s v="JUNDIAI"/>
    <s v="JARDINAGEM"/>
    <s v="MERCADO"/>
    <n v="875"/>
    <n v="525"/>
    <n v="350"/>
    <n v="0"/>
    <n v="875"/>
    <n v="30"/>
  </r>
  <r>
    <x v="1"/>
    <x v="0"/>
    <s v="MENSAL"/>
    <s v="ABRIL"/>
    <n v="1"/>
    <s v="IRMÃOS BOA - SOROCABA - LOJA 12 (50.948.371/0013-01)"/>
    <s v="SOROCABA"/>
    <s v="JARDINAGEM"/>
    <s v="MERCADO"/>
    <n v="875"/>
    <n v="525"/>
    <n v="350"/>
    <n v="0"/>
    <n v="875"/>
    <n v="30"/>
  </r>
  <r>
    <x v="1"/>
    <x v="0"/>
    <s v="MENSAL"/>
    <s v="ABRIL"/>
    <n v="1"/>
    <s v="IRMÃOS BOA - DOM OLIVIO - LOJA 15 (50.948.371/0016-54)"/>
    <s v="JUNDIAI"/>
    <s v="JARDINAGEM"/>
    <s v="MERCADO"/>
    <n v="875"/>
    <n v="525"/>
    <n v="350"/>
    <n v="0"/>
    <n v="875"/>
    <n v="30"/>
  </r>
  <r>
    <x v="1"/>
    <x v="0"/>
    <s v="MENSAL"/>
    <s v="ABRIL"/>
    <n v="1"/>
    <s v="IRMÃOS BOA - CENTENARIO - LOJA 06 (50.948.371/0007-63)"/>
    <s v="JUNDIAI"/>
    <s v="JARDINAGEM"/>
    <s v="MERCADO"/>
    <n v="875"/>
    <n v="525"/>
    <n v="350"/>
    <n v="0"/>
    <n v="875"/>
    <n v="30"/>
  </r>
  <r>
    <x v="1"/>
    <x v="0"/>
    <s v="MENSAL"/>
    <s v="ABRIL"/>
    <n v="1"/>
    <s v="IRMÃOS BOA - VILA RAMI - LOJA 09 (50.948.371/0010-69)"/>
    <s v="JUNDIAI"/>
    <s v="JARDINAGEM"/>
    <s v="MERCADO"/>
    <n v="875"/>
    <n v="525"/>
    <n v="350"/>
    <n v="0"/>
    <n v="875"/>
    <n v="30"/>
  </r>
  <r>
    <x v="1"/>
    <x v="4"/>
    <s v="MENSAL"/>
    <s v="ABRIL"/>
    <n v="1"/>
    <s v="IRMÃOS BOA - VILA ARENS - LOJA 14 (50.948.371/0015-73)"/>
    <s v="JUNDIAI"/>
    <s v="JARDINAGEM"/>
    <s v="MERCADO"/>
    <n v="875"/>
    <n v="525"/>
    <n v="350"/>
    <n v="0"/>
    <n v="875"/>
    <n v="30"/>
  </r>
  <r>
    <x v="1"/>
    <x v="4"/>
    <s v="MENSAL"/>
    <s v="ABRIL"/>
    <n v="1"/>
    <s v="IRMÃOS BOA -IMIGRANTES - LOJA 03 (50.948.371/0004-10)"/>
    <s v="JUNDIAI"/>
    <s v="JARDINAGEM"/>
    <s v="MERCADO"/>
    <n v="875"/>
    <n v="525"/>
    <n v="350"/>
    <n v="0"/>
    <n v="875"/>
    <n v="30"/>
  </r>
  <r>
    <x v="1"/>
    <x v="4"/>
    <s v="MENSAL"/>
    <s v="ABRIL"/>
    <n v="1"/>
    <s v="IRMÃOS BOA -MATRIZ/HORTOLANDIA - LOJA 01 (50.948.371/0001-78)"/>
    <s v="JUNDIAI"/>
    <s v="JARDINAGEM"/>
    <s v="MERCADO"/>
    <n v="875"/>
    <n v="525"/>
    <n v="350"/>
    <n v="0"/>
    <n v="875"/>
    <n v="30"/>
  </r>
  <r>
    <x v="1"/>
    <x v="4"/>
    <s v="MENSAL"/>
    <s v="ABRIL"/>
    <n v="1"/>
    <s v="IRMÃOS BOA  - PQ BRASILIA/ANHANGUERA - LOJA 02 (50.948.371/0002-59)"/>
    <s v="JUNDIAI"/>
    <s v="JARDINAGEM"/>
    <s v="MERCADO"/>
    <n v="875"/>
    <n v="525"/>
    <n v="350"/>
    <n v="0"/>
    <n v="875"/>
    <n v="30"/>
  </r>
  <r>
    <x v="0"/>
    <x v="1"/>
    <s v="MENSAL"/>
    <s v="ABRIL"/>
    <n v="5"/>
    <s v="VENCEDOR - 50.947.761/0006-38"/>
    <s v="JUNDIAI"/>
    <s v="LIMPEZA"/>
    <s v="MERCADO"/>
    <n v="35159.32"/>
    <n v="35159.32"/>
    <n v="0"/>
    <n v="5625.4912000000004"/>
    <n v="29533.828799999999"/>
    <n v="10"/>
  </r>
  <r>
    <x v="0"/>
    <x v="1"/>
    <s v="MENSAL"/>
    <s v="ABRIL"/>
    <n v="20"/>
    <s v="VENCEDOR IRMAOS RUSSI -  50.947.761/0016-00 (Loja 201-209-213)"/>
    <s v="JUNDIAI"/>
    <s v="FISCAL DE LOJA"/>
    <s v="MERCADO"/>
    <n v="61929.65"/>
    <n v="61929.65"/>
    <n v="0"/>
    <n v="8670.1510000000017"/>
    <n v="53259.498999999996"/>
    <n v="10"/>
  </r>
  <r>
    <x v="0"/>
    <x v="1"/>
    <s v="MENSAL"/>
    <s v="ABRIL"/>
    <n v="20"/>
    <s v="VENCEDOR SUP. RIVIEIRA-48.124.457/0001-34 (LOJAS 50-53) "/>
    <s v="SP"/>
    <s v="FISCAL DE LOJA"/>
    <s v="MERCADO"/>
    <n v="16750.439999999999"/>
    <n v="16750.439999999999"/>
    <n v="0"/>
    <n v="2345.0616"/>
    <n v="14405.378399999998"/>
    <n v="10"/>
  </r>
  <r>
    <x v="0"/>
    <x v="1"/>
    <s v="MENSAL"/>
    <s v="ABRIL"/>
    <n v="20"/>
    <s v="VENCEDOR SUP. CAIEIRAS - 10.475.241/0001-40 (LOJA 55)"/>
    <s v="CAIEIRAS"/>
    <s v="FISCAL DE LOJA"/>
    <s v="MERCADO"/>
    <n v="11166.96"/>
    <n v="11166.96"/>
    <n v="0"/>
    <n v="1563.3743999999999"/>
    <n v="9603.5855999999985"/>
    <n v="10"/>
  </r>
  <r>
    <x v="0"/>
    <x v="3"/>
    <s v="MENSAL"/>
    <s v="ABRIL"/>
    <n v="20"/>
    <s v="COND. DOCE VIDA (15.701.512/0001-52)"/>
    <s v="CAJAMAR"/>
    <s v="ZELADOR"/>
    <s v="CONDOMINIO"/>
    <n v="7270.9"/>
    <n v="7270.9"/>
    <n v="0"/>
    <n v="0"/>
    <n v="1785.7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4:E11" firstHeaderRow="1" firstDataRow="2" firstDataCol="1"/>
  <pivotFields count="15">
    <pivotField axis="axisCol" showAll="0">
      <items count="3">
        <item x="1"/>
        <item x="0"/>
        <item t="default"/>
      </items>
    </pivotField>
    <pivotField axis="axisRow" showAll="0">
      <items count="8">
        <item x="1"/>
        <item x="2"/>
        <item m="1" x="5"/>
        <item m="1" x="6"/>
        <item x="0"/>
        <item x="3"/>
        <item x="4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44" showAll="0"/>
    <pivotField dataField="1" numFmtId="44" showAll="0"/>
    <pivotField numFmtId="4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oma de NFS-e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904"/>
  <sheetViews>
    <sheetView zoomScaleNormal="100" workbookViewId="0">
      <pane xSplit="2" topLeftCell="C1" activePane="topRight" state="frozen"/>
      <selection pane="topRight" activeCell="C21" sqref="C21"/>
    </sheetView>
  </sheetViews>
  <sheetFormatPr defaultRowHeight="15" x14ac:dyDescent="0.25"/>
  <cols>
    <col min="1" max="1" width="7.7109375" style="2" customWidth="1"/>
    <col min="2" max="2" width="12.85546875" style="2" bestFit="1" customWidth="1"/>
    <col min="3" max="3" width="17" bestFit="1" customWidth="1"/>
    <col min="4" max="4" width="12.5703125" style="2" customWidth="1"/>
    <col min="5" max="5" width="11.7109375" style="2" customWidth="1"/>
    <col min="6" max="6" width="17.7109375" style="1" bestFit="1" customWidth="1"/>
    <col min="7" max="7" width="68.140625" style="3" bestFit="1" customWidth="1"/>
    <col min="8" max="8" width="20" style="2" bestFit="1" customWidth="1"/>
    <col min="9" max="9" width="20.7109375" style="3" bestFit="1" customWidth="1"/>
    <col min="10" max="10" width="14" style="3" bestFit="1" customWidth="1"/>
    <col min="11" max="11" width="13.28515625" customWidth="1"/>
    <col min="12" max="12" width="13.28515625" bestFit="1" customWidth="1"/>
    <col min="13" max="13" width="15.140625" customWidth="1"/>
    <col min="14" max="14" width="13.28515625" bestFit="1" customWidth="1"/>
    <col min="15" max="15" width="14.28515625" bestFit="1" customWidth="1"/>
    <col min="16" max="17" width="12.140625" bestFit="1" customWidth="1"/>
  </cols>
  <sheetData>
    <row r="1" spans="1:17" ht="27" customHeight="1" thickTop="1" thickBot="1" x14ac:dyDescent="0.3">
      <c r="A1" s="26" t="s">
        <v>112</v>
      </c>
      <c r="B1" s="5" t="s">
        <v>100</v>
      </c>
      <c r="C1" s="5" t="s">
        <v>80</v>
      </c>
      <c r="D1" s="5" t="s">
        <v>81</v>
      </c>
      <c r="E1" s="5" t="s">
        <v>82</v>
      </c>
      <c r="F1" s="5" t="s">
        <v>101</v>
      </c>
      <c r="G1" s="6" t="s">
        <v>1</v>
      </c>
      <c r="H1" s="6" t="s">
        <v>102</v>
      </c>
      <c r="I1" s="50" t="s">
        <v>138</v>
      </c>
      <c r="J1" s="6" t="s">
        <v>104</v>
      </c>
      <c r="K1" s="5" t="s">
        <v>2</v>
      </c>
      <c r="L1" s="23" t="s">
        <v>95</v>
      </c>
      <c r="M1" s="6" t="s">
        <v>3</v>
      </c>
      <c r="N1" s="53" t="s">
        <v>4</v>
      </c>
      <c r="O1" s="56" t="s">
        <v>142</v>
      </c>
      <c r="P1" s="56" t="s">
        <v>143</v>
      </c>
      <c r="Q1" s="56" t="s">
        <v>144</v>
      </c>
    </row>
    <row r="2" spans="1:17" ht="16.5" thickTop="1" thickBot="1" x14ac:dyDescent="0.3">
      <c r="A2" s="27" t="s">
        <v>111</v>
      </c>
      <c r="B2" s="24" t="s">
        <v>5</v>
      </c>
      <c r="C2" s="18" t="s">
        <v>0</v>
      </c>
      <c r="D2" s="17" t="s">
        <v>79</v>
      </c>
      <c r="E2" s="19" t="s">
        <v>63</v>
      </c>
      <c r="F2" s="20">
        <v>10</v>
      </c>
      <c r="G2" s="21" t="s">
        <v>6</v>
      </c>
      <c r="H2" s="17" t="s">
        <v>85</v>
      </c>
      <c r="I2" s="21" t="s">
        <v>7</v>
      </c>
      <c r="J2" s="21" t="s">
        <v>103</v>
      </c>
      <c r="K2" s="22">
        <v>37326.692723669999</v>
      </c>
      <c r="L2" s="22">
        <f>K2*5%</f>
        <v>1866.3346361835002</v>
      </c>
      <c r="M2" s="22">
        <f>K2-L2</f>
        <v>35460.3580874865</v>
      </c>
      <c r="N2" s="28">
        <v>10</v>
      </c>
    </row>
    <row r="3" spans="1:17" ht="16.5" thickTop="1" thickBot="1" x14ac:dyDescent="0.3">
      <c r="A3" s="27" t="s">
        <v>111</v>
      </c>
      <c r="B3" s="25" t="s">
        <v>5</v>
      </c>
      <c r="C3" s="8" t="s">
        <v>0</v>
      </c>
      <c r="D3" s="7" t="s">
        <v>79</v>
      </c>
      <c r="E3" s="9" t="s">
        <v>63</v>
      </c>
      <c r="F3" s="10">
        <v>10</v>
      </c>
      <c r="G3" s="11" t="s">
        <v>8</v>
      </c>
      <c r="H3" s="7" t="s">
        <v>85</v>
      </c>
      <c r="I3" s="11" t="s">
        <v>7</v>
      </c>
      <c r="J3" s="11" t="s">
        <v>103</v>
      </c>
      <c r="K3" s="12">
        <v>17490.966790500002</v>
      </c>
      <c r="L3" s="12">
        <f>K3*5%</f>
        <v>874.54833952500019</v>
      </c>
      <c r="M3" s="12">
        <f>K3-L3</f>
        <v>16616.418450975001</v>
      </c>
      <c r="N3" s="29">
        <v>10</v>
      </c>
    </row>
    <row r="4" spans="1:17" ht="16.5" thickTop="1" thickBot="1" x14ac:dyDescent="0.3">
      <c r="A4" s="27" t="s">
        <v>111</v>
      </c>
      <c r="B4" s="25" t="s">
        <v>5</v>
      </c>
      <c r="C4" s="8" t="s">
        <v>0</v>
      </c>
      <c r="D4" s="7" t="s">
        <v>79</v>
      </c>
      <c r="E4" s="9" t="s">
        <v>63</v>
      </c>
      <c r="F4" s="10">
        <v>10</v>
      </c>
      <c r="G4" s="11" t="s">
        <v>8</v>
      </c>
      <c r="H4" s="7" t="s">
        <v>85</v>
      </c>
      <c r="I4" s="11" t="s">
        <v>97</v>
      </c>
      <c r="J4" s="11" t="s">
        <v>103</v>
      </c>
      <c r="K4" s="12">
        <v>17490.966790500002</v>
      </c>
      <c r="L4" s="12">
        <f>K4*5%</f>
        <v>874.54833952500019</v>
      </c>
      <c r="M4" s="12">
        <f>K4-L4</f>
        <v>16616.418450975001</v>
      </c>
      <c r="N4" s="29">
        <v>10</v>
      </c>
    </row>
    <row r="5" spans="1:17" ht="16.5" thickTop="1" thickBot="1" x14ac:dyDescent="0.3">
      <c r="A5" s="27" t="s">
        <v>111</v>
      </c>
      <c r="B5" s="25" t="s">
        <v>5</v>
      </c>
      <c r="C5" s="8" t="s">
        <v>0</v>
      </c>
      <c r="D5" s="7" t="s">
        <v>79</v>
      </c>
      <c r="E5" s="9" t="s">
        <v>63</v>
      </c>
      <c r="F5" s="10">
        <v>10</v>
      </c>
      <c r="G5" s="11" t="s">
        <v>8</v>
      </c>
      <c r="H5" s="7" t="s">
        <v>85</v>
      </c>
      <c r="I5" s="11" t="s">
        <v>9</v>
      </c>
      <c r="J5" s="11" t="s">
        <v>103</v>
      </c>
      <c r="K5" s="12">
        <v>15318.197313750001</v>
      </c>
      <c r="L5" s="12">
        <f>K5*5%</f>
        <v>765.90986568750009</v>
      </c>
      <c r="M5" s="12">
        <f>K5-L5</f>
        <v>14552.287448062501</v>
      </c>
      <c r="N5" s="29">
        <v>10</v>
      </c>
    </row>
    <row r="6" spans="1:17" ht="16.5" thickTop="1" thickBot="1" x14ac:dyDescent="0.3">
      <c r="A6" s="27" t="s">
        <v>111</v>
      </c>
      <c r="B6" s="25" t="s">
        <v>5</v>
      </c>
      <c r="C6" s="8" t="s">
        <v>0</v>
      </c>
      <c r="D6" s="7" t="s">
        <v>79</v>
      </c>
      <c r="E6" s="9" t="s">
        <v>63</v>
      </c>
      <c r="F6" s="10">
        <v>10</v>
      </c>
      <c r="G6" s="11" t="s">
        <v>8</v>
      </c>
      <c r="H6" s="7" t="s">
        <v>85</v>
      </c>
      <c r="I6" s="11" t="s">
        <v>15</v>
      </c>
      <c r="J6" s="11" t="s">
        <v>103</v>
      </c>
      <c r="K6" s="12">
        <v>13061.815548749999</v>
      </c>
      <c r="L6" s="12">
        <f>K6*5%</f>
        <v>653.09077743750004</v>
      </c>
      <c r="M6" s="12">
        <f>K6-L6</f>
        <v>12408.7247713125</v>
      </c>
      <c r="N6" s="29">
        <v>10</v>
      </c>
    </row>
    <row r="7" spans="1:17" ht="16.5" thickTop="1" thickBot="1" x14ac:dyDescent="0.3">
      <c r="A7" s="27" t="s">
        <v>111</v>
      </c>
      <c r="B7" s="25" t="s">
        <v>10</v>
      </c>
      <c r="C7" s="8" t="s">
        <v>0</v>
      </c>
      <c r="D7" s="7" t="s">
        <v>79</v>
      </c>
      <c r="E7" s="9" t="s">
        <v>63</v>
      </c>
      <c r="F7" s="10">
        <v>10</v>
      </c>
      <c r="G7" s="11" t="s">
        <v>8</v>
      </c>
      <c r="H7" s="7" t="s">
        <v>85</v>
      </c>
      <c r="I7" s="11" t="s">
        <v>96</v>
      </c>
      <c r="J7" s="11" t="s">
        <v>103</v>
      </c>
      <c r="K7" s="12">
        <v>2000</v>
      </c>
      <c r="L7" s="12">
        <f>0</f>
        <v>0</v>
      </c>
      <c r="M7" s="12">
        <f>K7</f>
        <v>2000</v>
      </c>
      <c r="N7" s="29">
        <v>10</v>
      </c>
    </row>
    <row r="8" spans="1:17" ht="16.5" thickTop="1" thickBot="1" x14ac:dyDescent="0.3">
      <c r="A8" s="27" t="s">
        <v>111</v>
      </c>
      <c r="B8" s="25" t="s">
        <v>10</v>
      </c>
      <c r="C8" s="8" t="s">
        <v>0</v>
      </c>
      <c r="D8" s="7" t="s">
        <v>79</v>
      </c>
      <c r="E8" s="9" t="s">
        <v>63</v>
      </c>
      <c r="F8" s="10">
        <v>10</v>
      </c>
      <c r="G8" s="11" t="s">
        <v>8</v>
      </c>
      <c r="H8" s="7" t="s">
        <v>85</v>
      </c>
      <c r="I8" s="11" t="s">
        <v>96</v>
      </c>
      <c r="J8" s="11" t="s">
        <v>103</v>
      </c>
      <c r="K8" s="12">
        <v>200</v>
      </c>
      <c r="L8" s="12">
        <f>0</f>
        <v>0</v>
      </c>
      <c r="M8" s="12">
        <f>K8</f>
        <v>200</v>
      </c>
      <c r="N8" s="29">
        <v>10</v>
      </c>
    </row>
    <row r="9" spans="1:17" ht="16.5" thickTop="1" thickBot="1" x14ac:dyDescent="0.3">
      <c r="A9" s="27" t="s">
        <v>111</v>
      </c>
      <c r="B9" s="25" t="s">
        <v>11</v>
      </c>
      <c r="C9" s="8" t="s">
        <v>0</v>
      </c>
      <c r="D9" s="7" t="s">
        <v>79</v>
      </c>
      <c r="E9" s="9" t="s">
        <v>63</v>
      </c>
      <c r="F9" s="10">
        <v>16</v>
      </c>
      <c r="G9" s="11" t="s">
        <v>12</v>
      </c>
      <c r="H9" s="7" t="s">
        <v>85</v>
      </c>
      <c r="I9" s="11" t="s">
        <v>7</v>
      </c>
      <c r="J9" s="11" t="s">
        <v>103</v>
      </c>
      <c r="K9" s="12">
        <v>17013.380378354999</v>
      </c>
      <c r="L9" s="12">
        <f>K9*16%</f>
        <v>2722.1408605368001</v>
      </c>
      <c r="M9" s="12">
        <f t="shared" ref="M9:M29" si="0">K9-L9</f>
        <v>14291.2395178182</v>
      </c>
      <c r="N9" s="29">
        <v>15</v>
      </c>
    </row>
    <row r="10" spans="1:17" ht="16.5" thickTop="1" thickBot="1" x14ac:dyDescent="0.3">
      <c r="A10" s="27" t="s">
        <v>111</v>
      </c>
      <c r="B10" s="25" t="s">
        <v>13</v>
      </c>
      <c r="C10" s="8" t="s">
        <v>0</v>
      </c>
      <c r="D10" s="7" t="s">
        <v>79</v>
      </c>
      <c r="E10" s="9" t="s">
        <v>63</v>
      </c>
      <c r="F10" s="10">
        <v>16</v>
      </c>
      <c r="G10" s="11" t="s">
        <v>12</v>
      </c>
      <c r="H10" s="7" t="s">
        <v>85</v>
      </c>
      <c r="I10" s="11" t="s">
        <v>9</v>
      </c>
      <c r="J10" s="11" t="s">
        <v>103</v>
      </c>
      <c r="K10" s="12">
        <v>3729.6405063450002</v>
      </c>
      <c r="L10" s="12">
        <f>K10*16%</f>
        <v>596.74248101520004</v>
      </c>
      <c r="M10" s="12">
        <f t="shared" si="0"/>
        <v>3132.8980253298</v>
      </c>
      <c r="N10" s="29">
        <v>15</v>
      </c>
    </row>
    <row r="11" spans="1:17" ht="16.5" thickTop="1" thickBot="1" x14ac:dyDescent="0.3">
      <c r="A11" s="27" t="s">
        <v>111</v>
      </c>
      <c r="B11" s="25" t="s">
        <v>13</v>
      </c>
      <c r="C11" s="8" t="s">
        <v>0</v>
      </c>
      <c r="D11" s="7" t="s">
        <v>79</v>
      </c>
      <c r="E11" s="9" t="s">
        <v>63</v>
      </c>
      <c r="F11" s="10">
        <v>16</v>
      </c>
      <c r="G11" s="11" t="s">
        <v>12</v>
      </c>
      <c r="H11" s="7" t="s">
        <v>85</v>
      </c>
      <c r="I11" s="11" t="s">
        <v>99</v>
      </c>
      <c r="J11" s="11" t="s">
        <v>103</v>
      </c>
      <c r="K11" s="12">
        <v>4416.0016102200007</v>
      </c>
      <c r="L11" s="12">
        <f>K11*16%</f>
        <v>706.56025763520017</v>
      </c>
      <c r="M11" s="12">
        <f t="shared" si="0"/>
        <v>3709.4413525848004</v>
      </c>
      <c r="N11" s="29">
        <v>15</v>
      </c>
    </row>
    <row r="12" spans="1:17" ht="16.5" thickTop="1" thickBot="1" x14ac:dyDescent="0.3">
      <c r="A12" s="27" t="s">
        <v>111</v>
      </c>
      <c r="B12" s="25" t="s">
        <v>5</v>
      </c>
      <c r="C12" s="8" t="s">
        <v>0</v>
      </c>
      <c r="D12" s="7" t="s">
        <v>79</v>
      </c>
      <c r="E12" s="9" t="s">
        <v>63</v>
      </c>
      <c r="F12" s="10">
        <v>16</v>
      </c>
      <c r="G12" s="11" t="s">
        <v>14</v>
      </c>
      <c r="H12" s="7" t="s">
        <v>84</v>
      </c>
      <c r="I12" s="11" t="s">
        <v>7</v>
      </c>
      <c r="J12" s="11" t="s">
        <v>103</v>
      </c>
      <c r="K12" s="12">
        <v>14761.659131999999</v>
      </c>
      <c r="L12" s="12">
        <f>K12*5%</f>
        <v>738.08295659999999</v>
      </c>
      <c r="M12" s="12">
        <f t="shared" si="0"/>
        <v>14023.5761754</v>
      </c>
      <c r="N12" s="29">
        <v>15</v>
      </c>
    </row>
    <row r="13" spans="1:17" ht="16.5" thickTop="1" thickBot="1" x14ac:dyDescent="0.3">
      <c r="A13" s="27" t="s">
        <v>111</v>
      </c>
      <c r="B13" s="25" t="s">
        <v>5</v>
      </c>
      <c r="C13" s="8" t="s">
        <v>0</v>
      </c>
      <c r="D13" s="7" t="s">
        <v>79</v>
      </c>
      <c r="E13" s="9" t="s">
        <v>63</v>
      </c>
      <c r="F13" s="10">
        <v>16</v>
      </c>
      <c r="G13" s="11" t="s">
        <v>14</v>
      </c>
      <c r="H13" s="7" t="s">
        <v>84</v>
      </c>
      <c r="I13" s="11" t="s">
        <v>9</v>
      </c>
      <c r="J13" s="11" t="s">
        <v>103</v>
      </c>
      <c r="K13" s="12">
        <v>7526.0082240000002</v>
      </c>
      <c r="L13" s="12">
        <f>K13*5%</f>
        <v>376.30041120000004</v>
      </c>
      <c r="M13" s="12">
        <f t="shared" si="0"/>
        <v>7149.7078128000003</v>
      </c>
      <c r="N13" s="29">
        <v>15</v>
      </c>
    </row>
    <row r="14" spans="1:17" ht="16.5" thickTop="1" thickBot="1" x14ac:dyDescent="0.3">
      <c r="A14" s="27" t="s">
        <v>111</v>
      </c>
      <c r="B14" s="25" t="s">
        <v>5</v>
      </c>
      <c r="C14" s="8" t="s">
        <v>0</v>
      </c>
      <c r="D14" s="7" t="s">
        <v>79</v>
      </c>
      <c r="E14" s="9" t="s">
        <v>63</v>
      </c>
      <c r="F14" s="10">
        <v>16</v>
      </c>
      <c r="G14" s="11" t="s">
        <v>14</v>
      </c>
      <c r="H14" s="7" t="s">
        <v>84</v>
      </c>
      <c r="I14" s="11" t="s">
        <v>15</v>
      </c>
      <c r="J14" s="11" t="s">
        <v>103</v>
      </c>
      <c r="K14" s="12">
        <v>4780.5638085000001</v>
      </c>
      <c r="L14" s="12">
        <f>K14*5%</f>
        <v>239.02819042500002</v>
      </c>
      <c r="M14" s="12">
        <f t="shared" si="0"/>
        <v>4541.5356180750005</v>
      </c>
      <c r="N14" s="29">
        <v>15</v>
      </c>
    </row>
    <row r="15" spans="1:17" ht="16.5" thickTop="1" thickBot="1" x14ac:dyDescent="0.3">
      <c r="A15" s="27" t="s">
        <v>111</v>
      </c>
      <c r="B15" s="25" t="s">
        <v>10</v>
      </c>
      <c r="C15" s="8" t="s">
        <v>0</v>
      </c>
      <c r="D15" s="7" t="s">
        <v>79</v>
      </c>
      <c r="E15" s="9" t="s">
        <v>63</v>
      </c>
      <c r="F15" s="10">
        <v>16</v>
      </c>
      <c r="G15" s="11" t="s">
        <v>14</v>
      </c>
      <c r="H15" s="7" t="s">
        <v>84</v>
      </c>
      <c r="I15" s="11" t="s">
        <v>96</v>
      </c>
      <c r="J15" s="11" t="s">
        <v>103</v>
      </c>
      <c r="K15" s="12">
        <v>500</v>
      </c>
      <c r="L15" s="12">
        <f>0</f>
        <v>0</v>
      </c>
      <c r="M15" s="12">
        <f t="shared" si="0"/>
        <v>500</v>
      </c>
      <c r="N15" s="29">
        <v>15</v>
      </c>
    </row>
    <row r="16" spans="1:17" ht="16.5" thickTop="1" thickBot="1" x14ac:dyDescent="0.3">
      <c r="A16" s="27" t="s">
        <v>111</v>
      </c>
      <c r="B16" s="25" t="s">
        <v>11</v>
      </c>
      <c r="C16" s="8" t="s">
        <v>0</v>
      </c>
      <c r="D16" s="7" t="s">
        <v>79</v>
      </c>
      <c r="E16" s="9" t="s">
        <v>63</v>
      </c>
      <c r="F16" s="10">
        <v>20</v>
      </c>
      <c r="G16" s="11" t="s">
        <v>16</v>
      </c>
      <c r="H16" s="7" t="s">
        <v>85</v>
      </c>
      <c r="I16" s="11" t="s">
        <v>7</v>
      </c>
      <c r="J16" s="11" t="s">
        <v>103</v>
      </c>
      <c r="K16" s="12">
        <v>15515</v>
      </c>
      <c r="L16" s="12">
        <f>K16*16%</f>
        <v>2482.4</v>
      </c>
      <c r="M16" s="12">
        <f t="shared" si="0"/>
        <v>13032.6</v>
      </c>
      <c r="N16" s="29">
        <v>15</v>
      </c>
    </row>
    <row r="17" spans="1:14" ht="16.5" thickTop="1" thickBot="1" x14ac:dyDescent="0.3">
      <c r="A17" s="27" t="s">
        <v>111</v>
      </c>
      <c r="B17" s="25" t="s">
        <v>13</v>
      </c>
      <c r="C17" s="8" t="s">
        <v>0</v>
      </c>
      <c r="D17" s="7" t="s">
        <v>79</v>
      </c>
      <c r="E17" s="9" t="s">
        <v>63</v>
      </c>
      <c r="F17" s="10">
        <v>20</v>
      </c>
      <c r="G17" s="11" t="s">
        <v>16</v>
      </c>
      <c r="H17" s="7" t="s">
        <v>85</v>
      </c>
      <c r="I17" s="11" t="s">
        <v>113</v>
      </c>
      <c r="J17" s="11" t="s">
        <v>103</v>
      </c>
      <c r="K17" s="12">
        <v>1500</v>
      </c>
      <c r="L17" s="12">
        <f>K17*16%</f>
        <v>240</v>
      </c>
      <c r="M17" s="12">
        <f>K17-L17</f>
        <v>1260</v>
      </c>
      <c r="N17" s="29">
        <v>15</v>
      </c>
    </row>
    <row r="18" spans="1:14" ht="16.5" thickTop="1" thickBot="1" x14ac:dyDescent="0.3">
      <c r="A18" s="27" t="s">
        <v>111</v>
      </c>
      <c r="B18" s="25" t="s">
        <v>13</v>
      </c>
      <c r="C18" s="8" t="s">
        <v>0</v>
      </c>
      <c r="D18" s="7" t="s">
        <v>114</v>
      </c>
      <c r="E18" s="9" t="s">
        <v>63</v>
      </c>
      <c r="F18" s="10">
        <v>20</v>
      </c>
      <c r="G18" s="11" t="s">
        <v>16</v>
      </c>
      <c r="H18" s="7" t="s">
        <v>85</v>
      </c>
      <c r="I18" s="11" t="s">
        <v>113</v>
      </c>
      <c r="J18" s="11" t="s">
        <v>103</v>
      </c>
      <c r="K18" s="12">
        <v>750</v>
      </c>
      <c r="L18" s="12">
        <f>K18*16%</f>
        <v>120</v>
      </c>
      <c r="M18" s="12">
        <f>K18-L18</f>
        <v>630</v>
      </c>
      <c r="N18" s="29">
        <v>15</v>
      </c>
    </row>
    <row r="19" spans="1:14" ht="16.5" thickTop="1" thickBot="1" x14ac:dyDescent="0.3">
      <c r="A19" s="27" t="s">
        <v>111</v>
      </c>
      <c r="B19" s="25" t="s">
        <v>13</v>
      </c>
      <c r="C19" s="8" t="s">
        <v>0</v>
      </c>
      <c r="D19" s="7" t="s">
        <v>79</v>
      </c>
      <c r="E19" s="9" t="s">
        <v>63</v>
      </c>
      <c r="F19" s="10">
        <v>20</v>
      </c>
      <c r="G19" s="11" t="s">
        <v>16</v>
      </c>
      <c r="H19" s="7" t="s">
        <v>85</v>
      </c>
      <c r="I19" s="11" t="s">
        <v>9</v>
      </c>
      <c r="J19" s="11" t="s">
        <v>103</v>
      </c>
      <c r="K19" s="12">
        <v>7480</v>
      </c>
      <c r="L19" s="12">
        <f>K19*16%</f>
        <v>1196.8</v>
      </c>
      <c r="M19" s="12">
        <f t="shared" si="0"/>
        <v>6283.2</v>
      </c>
      <c r="N19" s="29">
        <v>15</v>
      </c>
    </row>
    <row r="20" spans="1:14" ht="16.5" thickTop="1" thickBot="1" x14ac:dyDescent="0.3">
      <c r="A20" s="27" t="s">
        <v>111</v>
      </c>
      <c r="B20" s="25" t="s">
        <v>13</v>
      </c>
      <c r="C20" s="8" t="s">
        <v>0</v>
      </c>
      <c r="D20" s="7" t="s">
        <v>79</v>
      </c>
      <c r="E20" s="9" t="s">
        <v>63</v>
      </c>
      <c r="F20" s="10">
        <v>20</v>
      </c>
      <c r="G20" s="11" t="s">
        <v>16</v>
      </c>
      <c r="H20" s="7" t="s">
        <v>85</v>
      </c>
      <c r="I20" s="11" t="s">
        <v>15</v>
      </c>
      <c r="J20" s="11" t="s">
        <v>103</v>
      </c>
      <c r="K20" s="12">
        <v>4091.16</v>
      </c>
      <c r="L20" s="12">
        <f>K20*16%</f>
        <v>654.5856</v>
      </c>
      <c r="M20" s="12">
        <f t="shared" si="0"/>
        <v>3436.5744</v>
      </c>
      <c r="N20" s="29">
        <v>15</v>
      </c>
    </row>
    <row r="21" spans="1:14" ht="16.5" thickTop="1" thickBot="1" x14ac:dyDescent="0.3">
      <c r="A21" s="27" t="s">
        <v>111</v>
      </c>
      <c r="B21" s="25" t="s">
        <v>5</v>
      </c>
      <c r="C21" s="8" t="s">
        <v>0</v>
      </c>
      <c r="D21" s="7" t="s">
        <v>79</v>
      </c>
      <c r="E21" s="9" t="s">
        <v>63</v>
      </c>
      <c r="F21" s="10">
        <v>5</v>
      </c>
      <c r="G21" s="11" t="s">
        <v>17</v>
      </c>
      <c r="H21" s="7" t="s">
        <v>85</v>
      </c>
      <c r="I21" s="11" t="s">
        <v>7</v>
      </c>
      <c r="J21" s="11" t="s">
        <v>103</v>
      </c>
      <c r="K21" s="12">
        <v>16574.890605929999</v>
      </c>
      <c r="L21" s="12">
        <f>K21*5%</f>
        <v>828.74453029649999</v>
      </c>
      <c r="M21" s="12">
        <f t="shared" si="0"/>
        <v>15746.146075633498</v>
      </c>
      <c r="N21" s="29">
        <v>10</v>
      </c>
    </row>
    <row r="22" spans="1:14" ht="16.5" thickTop="1" thickBot="1" x14ac:dyDescent="0.3">
      <c r="A22" s="27" t="s">
        <v>111</v>
      </c>
      <c r="B22" s="25" t="s">
        <v>5</v>
      </c>
      <c r="C22" s="8" t="s">
        <v>0</v>
      </c>
      <c r="D22" s="7" t="s">
        <v>79</v>
      </c>
      <c r="E22" s="9" t="s">
        <v>63</v>
      </c>
      <c r="F22" s="10">
        <v>5</v>
      </c>
      <c r="G22" s="11" t="s">
        <v>17</v>
      </c>
      <c r="H22" s="7" t="s">
        <v>85</v>
      </c>
      <c r="I22" s="11" t="s">
        <v>15</v>
      </c>
      <c r="J22" s="11" t="s">
        <v>103</v>
      </c>
      <c r="K22" s="12">
        <v>4086.3215625749995</v>
      </c>
      <c r="L22" s="12">
        <f>K22*5%</f>
        <v>204.31607812874998</v>
      </c>
      <c r="M22" s="12">
        <f t="shared" si="0"/>
        <v>3882.0054844462493</v>
      </c>
      <c r="N22" s="29">
        <v>10</v>
      </c>
    </row>
    <row r="23" spans="1:14" ht="16.5" thickTop="1" thickBot="1" x14ac:dyDescent="0.3">
      <c r="A23" s="27" t="s">
        <v>111</v>
      </c>
      <c r="B23" s="25" t="s">
        <v>5</v>
      </c>
      <c r="C23" s="8" t="s">
        <v>0</v>
      </c>
      <c r="D23" s="7" t="s">
        <v>79</v>
      </c>
      <c r="E23" s="9" t="s">
        <v>63</v>
      </c>
      <c r="F23" s="10">
        <v>1</v>
      </c>
      <c r="G23" s="11" t="s">
        <v>18</v>
      </c>
      <c r="H23" s="7" t="s">
        <v>85</v>
      </c>
      <c r="I23" s="11" t="s">
        <v>9</v>
      </c>
      <c r="J23" s="11" t="s">
        <v>103</v>
      </c>
      <c r="K23" s="12">
        <v>4153.3112700000001</v>
      </c>
      <c r="L23" s="12">
        <f>K23*5%</f>
        <v>207.66556350000002</v>
      </c>
      <c r="M23" s="12">
        <f t="shared" si="0"/>
        <v>3945.6457065</v>
      </c>
      <c r="N23" s="29">
        <v>10</v>
      </c>
    </row>
    <row r="24" spans="1:14" ht="16.5" thickTop="1" thickBot="1" x14ac:dyDescent="0.3">
      <c r="A24" s="27" t="s">
        <v>111</v>
      </c>
      <c r="B24" s="25" t="s">
        <v>11</v>
      </c>
      <c r="C24" s="8" t="s">
        <v>0</v>
      </c>
      <c r="D24" s="7" t="s">
        <v>79</v>
      </c>
      <c r="E24" s="9" t="s">
        <v>63</v>
      </c>
      <c r="F24" s="10">
        <v>20</v>
      </c>
      <c r="G24" s="11" t="s">
        <v>19</v>
      </c>
      <c r="H24" s="7" t="s">
        <v>88</v>
      </c>
      <c r="I24" s="11" t="s">
        <v>20</v>
      </c>
      <c r="J24" s="11" t="s">
        <v>105</v>
      </c>
      <c r="K24" s="12">
        <v>10635.19</v>
      </c>
      <c r="L24" s="12">
        <f>K24*16%</f>
        <v>1701.6304</v>
      </c>
      <c r="M24" s="12">
        <f t="shared" si="0"/>
        <v>8933.5596000000005</v>
      </c>
      <c r="N24" s="29">
        <v>15</v>
      </c>
    </row>
    <row r="25" spans="1:14" ht="16.5" thickTop="1" thickBot="1" x14ac:dyDescent="0.3">
      <c r="A25" s="27" t="s">
        <v>111</v>
      </c>
      <c r="B25" s="25" t="s">
        <v>13</v>
      </c>
      <c r="C25" s="8" t="s">
        <v>0</v>
      </c>
      <c r="D25" s="7" t="s">
        <v>79</v>
      </c>
      <c r="E25" s="9" t="s">
        <v>63</v>
      </c>
      <c r="F25" s="10">
        <v>5</v>
      </c>
      <c r="G25" s="11" t="s">
        <v>21</v>
      </c>
      <c r="H25" s="7" t="s">
        <v>85</v>
      </c>
      <c r="I25" s="11" t="s">
        <v>9</v>
      </c>
      <c r="J25" s="11" t="s">
        <v>105</v>
      </c>
      <c r="K25" s="12">
        <v>32256.26</v>
      </c>
      <c r="L25" s="12">
        <f>K25*16%</f>
        <v>5161.0015999999996</v>
      </c>
      <c r="M25" s="12">
        <f t="shared" si="0"/>
        <v>27095.258399999999</v>
      </c>
      <c r="N25" s="29">
        <v>10</v>
      </c>
    </row>
    <row r="26" spans="1:14" ht="16.5" thickTop="1" thickBot="1" x14ac:dyDescent="0.3">
      <c r="A26" s="27" t="s">
        <v>111</v>
      </c>
      <c r="B26" s="25" t="s">
        <v>11</v>
      </c>
      <c r="C26" s="8" t="s">
        <v>0</v>
      </c>
      <c r="D26" s="7" t="s">
        <v>79</v>
      </c>
      <c r="E26" s="9" t="s">
        <v>63</v>
      </c>
      <c r="F26" s="10">
        <v>20</v>
      </c>
      <c r="G26" s="11" t="s">
        <v>21</v>
      </c>
      <c r="H26" s="7" t="s">
        <v>85</v>
      </c>
      <c r="I26" s="11" t="s">
        <v>20</v>
      </c>
      <c r="J26" s="11" t="s">
        <v>105</v>
      </c>
      <c r="K26" s="12">
        <v>37709</v>
      </c>
      <c r="L26" s="12">
        <f>K26*16%</f>
        <v>6033.4400000000005</v>
      </c>
      <c r="M26" s="12">
        <f t="shared" si="0"/>
        <v>31675.559999999998</v>
      </c>
      <c r="N26" s="29">
        <v>10</v>
      </c>
    </row>
    <row r="27" spans="1:14" ht="15.75" customHeight="1" thickTop="1" thickBot="1" x14ac:dyDescent="0.3">
      <c r="A27" s="27" t="s">
        <v>111</v>
      </c>
      <c r="B27" s="25" t="s">
        <v>22</v>
      </c>
      <c r="C27" s="8" t="s">
        <v>0</v>
      </c>
      <c r="D27" s="7" t="s">
        <v>79</v>
      </c>
      <c r="E27" s="9" t="s">
        <v>63</v>
      </c>
      <c r="F27" s="10">
        <v>20</v>
      </c>
      <c r="G27" s="11" t="s">
        <v>23</v>
      </c>
      <c r="H27" s="7" t="s">
        <v>83</v>
      </c>
      <c r="I27" s="11" t="s">
        <v>7</v>
      </c>
      <c r="J27" s="11" t="s">
        <v>80</v>
      </c>
      <c r="K27" s="12">
        <v>5000</v>
      </c>
      <c r="L27" s="12">
        <v>0</v>
      </c>
      <c r="M27" s="12">
        <v>10000</v>
      </c>
      <c r="N27" s="29">
        <v>15</v>
      </c>
    </row>
    <row r="28" spans="1:14" ht="15.75" customHeight="1" thickTop="1" thickBot="1" x14ac:dyDescent="0.3">
      <c r="A28" s="27" t="s">
        <v>111</v>
      </c>
      <c r="B28" s="25" t="s">
        <v>11</v>
      </c>
      <c r="C28" s="8" t="s">
        <v>0</v>
      </c>
      <c r="D28" s="7" t="s">
        <v>79</v>
      </c>
      <c r="E28" s="9" t="s">
        <v>63</v>
      </c>
      <c r="F28" s="10">
        <v>20</v>
      </c>
      <c r="G28" s="11" t="s">
        <v>24</v>
      </c>
      <c r="H28" s="7" t="s">
        <v>83</v>
      </c>
      <c r="I28" s="11" t="s">
        <v>7</v>
      </c>
      <c r="J28" s="11" t="s">
        <v>80</v>
      </c>
      <c r="K28" s="12">
        <v>61581.403376595001</v>
      </c>
      <c r="L28" s="12">
        <f>K28*16%</f>
        <v>9853.0245402552009</v>
      </c>
      <c r="M28" s="12">
        <f t="shared" si="0"/>
        <v>51728.378836339798</v>
      </c>
      <c r="N28" s="29">
        <v>23</v>
      </c>
    </row>
    <row r="29" spans="1:14" ht="16.5" thickTop="1" thickBot="1" x14ac:dyDescent="0.3">
      <c r="A29" s="27" t="s">
        <v>111</v>
      </c>
      <c r="B29" s="25" t="s">
        <v>13</v>
      </c>
      <c r="C29" s="8" t="s">
        <v>0</v>
      </c>
      <c r="D29" s="7" t="s">
        <v>79</v>
      </c>
      <c r="E29" s="9" t="s">
        <v>63</v>
      </c>
      <c r="F29" s="10">
        <v>20</v>
      </c>
      <c r="G29" s="11" t="s">
        <v>24</v>
      </c>
      <c r="H29" s="7" t="s">
        <v>83</v>
      </c>
      <c r="I29" s="11" t="s">
        <v>9</v>
      </c>
      <c r="J29" s="11" t="s">
        <v>80</v>
      </c>
      <c r="K29" s="12">
        <v>12948.9964605</v>
      </c>
      <c r="L29" s="12">
        <f>K29*16%</f>
        <v>2071.8394336800002</v>
      </c>
      <c r="M29" s="12">
        <f t="shared" si="0"/>
        <v>10877.157026820001</v>
      </c>
      <c r="N29" s="29">
        <v>23</v>
      </c>
    </row>
    <row r="30" spans="1:14" ht="16.5" thickTop="1" thickBot="1" x14ac:dyDescent="0.3">
      <c r="A30" s="27" t="s">
        <v>111</v>
      </c>
      <c r="B30" s="25" t="s">
        <v>10</v>
      </c>
      <c r="C30" s="8" t="s">
        <v>0</v>
      </c>
      <c r="D30" s="7" t="s">
        <v>79</v>
      </c>
      <c r="E30" s="9" t="s">
        <v>63</v>
      </c>
      <c r="F30" s="10">
        <v>20</v>
      </c>
      <c r="G30" s="11" t="s">
        <v>24</v>
      </c>
      <c r="H30" s="7" t="s">
        <v>83</v>
      </c>
      <c r="I30" s="11" t="s">
        <v>96</v>
      </c>
      <c r="J30" s="11" t="s">
        <v>80</v>
      </c>
      <c r="K30" s="12">
        <v>1500</v>
      </c>
      <c r="L30" s="12">
        <f>0</f>
        <v>0</v>
      </c>
      <c r="M30" s="12">
        <f>K30</f>
        <v>1500</v>
      </c>
      <c r="N30" s="29">
        <v>23</v>
      </c>
    </row>
    <row r="31" spans="1:14" ht="16.5" thickTop="1" thickBot="1" x14ac:dyDescent="0.3">
      <c r="A31" s="27" t="s">
        <v>111</v>
      </c>
      <c r="B31" s="25" t="s">
        <v>5</v>
      </c>
      <c r="C31" s="8" t="s">
        <v>0</v>
      </c>
      <c r="D31" s="7" t="s">
        <v>114</v>
      </c>
      <c r="E31" s="9" t="s">
        <v>63</v>
      </c>
      <c r="F31" s="10">
        <v>20</v>
      </c>
      <c r="G31" s="11" t="s">
        <v>117</v>
      </c>
      <c r="H31" s="7" t="s">
        <v>83</v>
      </c>
      <c r="I31" s="11" t="s">
        <v>115</v>
      </c>
      <c r="J31" s="11" t="s">
        <v>116</v>
      </c>
      <c r="K31" s="12">
        <v>13450</v>
      </c>
      <c r="L31" s="12">
        <f>K31*10%</f>
        <v>1345</v>
      </c>
      <c r="M31" s="12">
        <f>K31-L31</f>
        <v>12105</v>
      </c>
      <c r="N31" s="29">
        <v>5</v>
      </c>
    </row>
    <row r="32" spans="1:14" ht="16.5" thickTop="1" thickBot="1" x14ac:dyDescent="0.3">
      <c r="A32" s="27" t="s">
        <v>111</v>
      </c>
      <c r="B32" s="25" t="s">
        <v>5</v>
      </c>
      <c r="C32" s="8" t="s">
        <v>0</v>
      </c>
      <c r="D32" s="7" t="s">
        <v>114</v>
      </c>
      <c r="E32" s="9" t="s">
        <v>63</v>
      </c>
      <c r="F32" s="10">
        <v>20</v>
      </c>
      <c r="G32" s="11" t="s">
        <v>117</v>
      </c>
      <c r="H32" s="7" t="s">
        <v>83</v>
      </c>
      <c r="I32" s="11" t="s">
        <v>115</v>
      </c>
      <c r="J32" s="11" t="s">
        <v>116</v>
      </c>
      <c r="K32" s="12">
        <v>13108.5</v>
      </c>
      <c r="L32" s="12">
        <f>K32*5%</f>
        <v>655.42500000000007</v>
      </c>
      <c r="M32" s="12">
        <f>K32-L32</f>
        <v>12453.075000000001</v>
      </c>
      <c r="N32" s="29">
        <v>7</v>
      </c>
    </row>
    <row r="33" spans="1:14" ht="16.5" thickTop="1" thickBot="1" x14ac:dyDescent="0.3">
      <c r="A33" s="27" t="s">
        <v>111</v>
      </c>
      <c r="B33" s="25" t="s">
        <v>5</v>
      </c>
      <c r="C33" s="8" t="s">
        <v>0</v>
      </c>
      <c r="D33" s="7" t="s">
        <v>114</v>
      </c>
      <c r="E33" s="9" t="s">
        <v>63</v>
      </c>
      <c r="F33" s="10">
        <v>20</v>
      </c>
      <c r="G33" s="11" t="s">
        <v>118</v>
      </c>
      <c r="H33" s="7" t="s">
        <v>83</v>
      </c>
      <c r="I33" s="11" t="s">
        <v>115</v>
      </c>
      <c r="J33" s="11" t="s">
        <v>116</v>
      </c>
      <c r="K33" s="12">
        <v>17478</v>
      </c>
      <c r="L33" s="12">
        <f>K33*5%</f>
        <v>873.90000000000009</v>
      </c>
      <c r="M33" s="12">
        <f>K33-L33</f>
        <v>16604.099999999999</v>
      </c>
      <c r="N33" s="29">
        <v>7</v>
      </c>
    </row>
    <row r="34" spans="1:14" ht="16.5" thickTop="1" thickBot="1" x14ac:dyDescent="0.3">
      <c r="A34" s="27" t="s">
        <v>111</v>
      </c>
      <c r="B34" s="25" t="s">
        <v>22</v>
      </c>
      <c r="C34" s="8" t="s">
        <v>25</v>
      </c>
      <c r="D34" s="7" t="s">
        <v>79</v>
      </c>
      <c r="E34" s="9" t="s">
        <v>63</v>
      </c>
      <c r="F34" s="10">
        <v>5</v>
      </c>
      <c r="G34" s="11" t="s">
        <v>26</v>
      </c>
      <c r="H34" s="7" t="s">
        <v>83</v>
      </c>
      <c r="I34" s="11" t="s">
        <v>7</v>
      </c>
      <c r="J34" s="11" t="s">
        <v>80</v>
      </c>
      <c r="K34" s="12">
        <v>19790.640856350001</v>
      </c>
      <c r="L34" s="12">
        <v>0</v>
      </c>
      <c r="M34" s="12">
        <f t="shared" ref="M34:M51" si="1">K34-L34</f>
        <v>19790.640856350001</v>
      </c>
      <c r="N34" s="29">
        <v>29</v>
      </c>
    </row>
    <row r="35" spans="1:14" ht="16.5" thickTop="1" thickBot="1" x14ac:dyDescent="0.3">
      <c r="A35" s="27" t="s">
        <v>111</v>
      </c>
      <c r="B35" s="25" t="s">
        <v>22</v>
      </c>
      <c r="C35" s="8" t="s">
        <v>25</v>
      </c>
      <c r="D35" s="7" t="s">
        <v>79</v>
      </c>
      <c r="E35" s="9" t="s">
        <v>63</v>
      </c>
      <c r="F35" s="10">
        <v>5</v>
      </c>
      <c r="G35" s="11" t="s">
        <v>26</v>
      </c>
      <c r="H35" s="7" t="s">
        <v>83</v>
      </c>
      <c r="I35" s="11" t="s">
        <v>9</v>
      </c>
      <c r="J35" s="11" t="s">
        <v>80</v>
      </c>
      <c r="K35" s="12">
        <v>4336.4128715999996</v>
      </c>
      <c r="L35" s="12">
        <v>0</v>
      </c>
      <c r="M35" s="12">
        <f t="shared" si="1"/>
        <v>4336.4128715999996</v>
      </c>
      <c r="N35" s="29">
        <v>29</v>
      </c>
    </row>
    <row r="36" spans="1:14" ht="16.5" thickTop="1" thickBot="1" x14ac:dyDescent="0.3">
      <c r="A36" s="27" t="s">
        <v>111</v>
      </c>
      <c r="B36" s="25" t="s">
        <v>22</v>
      </c>
      <c r="C36" s="8" t="s">
        <v>25</v>
      </c>
      <c r="D36" s="7" t="s">
        <v>79</v>
      </c>
      <c r="E36" s="9" t="s">
        <v>63</v>
      </c>
      <c r="F36" s="10">
        <v>5</v>
      </c>
      <c r="G36" s="11" t="s">
        <v>27</v>
      </c>
      <c r="H36" s="7" t="s">
        <v>83</v>
      </c>
      <c r="I36" s="11" t="s">
        <v>7</v>
      </c>
      <c r="J36" s="11" t="s">
        <v>80</v>
      </c>
      <c r="K36" s="12">
        <v>19790.640856349997</v>
      </c>
      <c r="L36" s="12">
        <v>0</v>
      </c>
      <c r="M36" s="12">
        <f t="shared" si="1"/>
        <v>19790.640856349997</v>
      </c>
      <c r="N36" s="29">
        <v>29</v>
      </c>
    </row>
    <row r="37" spans="1:14" ht="16.5" thickTop="1" thickBot="1" x14ac:dyDescent="0.3">
      <c r="A37" s="27" t="s">
        <v>111</v>
      </c>
      <c r="B37" s="25" t="s">
        <v>22</v>
      </c>
      <c r="C37" s="8" t="s">
        <v>25</v>
      </c>
      <c r="D37" s="7" t="s">
        <v>79</v>
      </c>
      <c r="E37" s="9" t="s">
        <v>63</v>
      </c>
      <c r="F37" s="10">
        <v>5</v>
      </c>
      <c r="G37" s="11" t="s">
        <v>27</v>
      </c>
      <c r="H37" s="7" t="s">
        <v>83</v>
      </c>
      <c r="I37" s="11" t="s">
        <v>9</v>
      </c>
      <c r="J37" s="11" t="s">
        <v>80</v>
      </c>
      <c r="K37" s="12">
        <v>4336.4128715999996</v>
      </c>
      <c r="L37" s="12">
        <v>0</v>
      </c>
      <c r="M37" s="12">
        <f t="shared" si="1"/>
        <v>4336.4128715999996</v>
      </c>
      <c r="N37" s="29">
        <v>29</v>
      </c>
    </row>
    <row r="38" spans="1:14" ht="16.5" thickTop="1" thickBot="1" x14ac:dyDescent="0.3">
      <c r="A38" s="27" t="s">
        <v>111</v>
      </c>
      <c r="B38" s="25" t="s">
        <v>22</v>
      </c>
      <c r="C38" s="8" t="s">
        <v>25</v>
      </c>
      <c r="D38" s="7" t="s">
        <v>79</v>
      </c>
      <c r="E38" s="9" t="s">
        <v>63</v>
      </c>
      <c r="F38" s="10">
        <v>5</v>
      </c>
      <c r="G38" s="11" t="s">
        <v>27</v>
      </c>
      <c r="H38" s="7" t="s">
        <v>83</v>
      </c>
      <c r="I38" s="11" t="s">
        <v>113</v>
      </c>
      <c r="J38" s="11" t="s">
        <v>80</v>
      </c>
      <c r="K38" s="12">
        <v>1823.589144</v>
      </c>
      <c r="L38" s="12">
        <v>0</v>
      </c>
      <c r="M38" s="12">
        <f t="shared" si="1"/>
        <v>1823.589144</v>
      </c>
      <c r="N38" s="29">
        <v>29</v>
      </c>
    </row>
    <row r="39" spans="1:14" ht="16.5" thickTop="1" thickBot="1" x14ac:dyDescent="0.3">
      <c r="A39" s="27" t="s">
        <v>111</v>
      </c>
      <c r="B39" s="25" t="s">
        <v>13</v>
      </c>
      <c r="C39" s="8" t="s">
        <v>25</v>
      </c>
      <c r="D39" s="7" t="s">
        <v>79</v>
      </c>
      <c r="E39" s="9" t="s">
        <v>63</v>
      </c>
      <c r="F39" s="10">
        <v>20</v>
      </c>
      <c r="G39" s="11" t="s">
        <v>28</v>
      </c>
      <c r="H39" s="7" t="s">
        <v>84</v>
      </c>
      <c r="I39" s="11" t="s">
        <v>9</v>
      </c>
      <c r="J39" s="11" t="s">
        <v>80</v>
      </c>
      <c r="K39" s="12">
        <v>4035.7539000000002</v>
      </c>
      <c r="L39" s="12">
        <f>K39*16%</f>
        <v>645.72062400000004</v>
      </c>
      <c r="M39" s="12">
        <f t="shared" si="1"/>
        <v>3390.0332760000001</v>
      </c>
      <c r="N39" s="29">
        <v>10</v>
      </c>
    </row>
    <row r="40" spans="1:14" ht="16.5" thickTop="1" thickBot="1" x14ac:dyDescent="0.3">
      <c r="A40" s="27" t="s">
        <v>111</v>
      </c>
      <c r="B40" s="25" t="s">
        <v>11</v>
      </c>
      <c r="C40" s="8" t="s">
        <v>25</v>
      </c>
      <c r="D40" s="7" t="s">
        <v>79</v>
      </c>
      <c r="E40" s="9" t="s">
        <v>63</v>
      </c>
      <c r="F40" s="10">
        <v>20</v>
      </c>
      <c r="G40" s="11" t="s">
        <v>29</v>
      </c>
      <c r="H40" s="7" t="s">
        <v>83</v>
      </c>
      <c r="I40" s="11" t="s">
        <v>30</v>
      </c>
      <c r="J40" s="11" t="s">
        <v>80</v>
      </c>
      <c r="K40" s="12">
        <v>500</v>
      </c>
      <c r="L40" s="12">
        <f>K40*5%</f>
        <v>25</v>
      </c>
      <c r="M40" s="12">
        <f t="shared" si="1"/>
        <v>475</v>
      </c>
      <c r="N40" s="29">
        <v>10</v>
      </c>
    </row>
    <row r="41" spans="1:14" ht="16.5" thickTop="1" thickBot="1" x14ac:dyDescent="0.3">
      <c r="A41" s="27" t="s">
        <v>111</v>
      </c>
      <c r="B41" s="25" t="s">
        <v>22</v>
      </c>
      <c r="C41" s="8" t="s">
        <v>25</v>
      </c>
      <c r="D41" s="7" t="s">
        <v>79</v>
      </c>
      <c r="E41" s="9" t="s">
        <v>63</v>
      </c>
      <c r="F41" s="10">
        <v>20</v>
      </c>
      <c r="G41" s="11" t="s">
        <v>29</v>
      </c>
      <c r="H41" s="7" t="s">
        <v>83</v>
      </c>
      <c r="I41" s="11" t="s">
        <v>9</v>
      </c>
      <c r="J41" s="11" t="s">
        <v>80</v>
      </c>
      <c r="K41" s="12">
        <v>3379.6440000000002</v>
      </c>
      <c r="L41" s="12">
        <v>0</v>
      </c>
      <c r="M41" s="12">
        <f t="shared" si="1"/>
        <v>3379.6440000000002</v>
      </c>
      <c r="N41" s="29">
        <v>10</v>
      </c>
    </row>
    <row r="42" spans="1:14" ht="16.5" thickTop="1" thickBot="1" x14ac:dyDescent="0.3">
      <c r="A42" s="27" t="s">
        <v>111</v>
      </c>
      <c r="B42" s="25" t="s">
        <v>22</v>
      </c>
      <c r="C42" s="8" t="s">
        <v>25</v>
      </c>
      <c r="D42" s="7" t="s">
        <v>79</v>
      </c>
      <c r="E42" s="9" t="s">
        <v>63</v>
      </c>
      <c r="F42" s="10">
        <v>25</v>
      </c>
      <c r="G42" s="13" t="s">
        <v>31</v>
      </c>
      <c r="H42" s="7" t="s">
        <v>83</v>
      </c>
      <c r="I42" s="11" t="s">
        <v>7</v>
      </c>
      <c r="J42" s="11" t="s">
        <v>80</v>
      </c>
      <c r="K42" s="12">
        <v>19148.213038275004</v>
      </c>
      <c r="L42" s="12">
        <v>0</v>
      </c>
      <c r="M42" s="12">
        <f t="shared" si="1"/>
        <v>19148.213038275004</v>
      </c>
      <c r="N42" s="29">
        <v>30</v>
      </c>
    </row>
    <row r="43" spans="1:14" ht="16.5" thickTop="1" thickBot="1" x14ac:dyDescent="0.3">
      <c r="A43" s="27" t="s">
        <v>111</v>
      </c>
      <c r="B43" s="25" t="s">
        <v>5</v>
      </c>
      <c r="C43" s="8" t="s">
        <v>25</v>
      </c>
      <c r="D43" s="7" t="s">
        <v>79</v>
      </c>
      <c r="E43" s="9" t="s">
        <v>63</v>
      </c>
      <c r="F43" s="10">
        <v>20</v>
      </c>
      <c r="G43" s="11" t="s">
        <v>32</v>
      </c>
      <c r="H43" s="7" t="s">
        <v>83</v>
      </c>
      <c r="I43" s="11" t="s">
        <v>7</v>
      </c>
      <c r="J43" s="11" t="s">
        <v>80</v>
      </c>
      <c r="K43" s="12">
        <v>20160.015344324998</v>
      </c>
      <c r="L43" s="12">
        <f>K43*5%</f>
        <v>1008.00076721625</v>
      </c>
      <c r="M43" s="12">
        <f t="shared" si="1"/>
        <v>19152.014577108748</v>
      </c>
      <c r="N43" s="29">
        <v>10</v>
      </c>
    </row>
    <row r="44" spans="1:14" ht="16.5" thickTop="1" thickBot="1" x14ac:dyDescent="0.3">
      <c r="A44" s="27" t="s">
        <v>111</v>
      </c>
      <c r="B44" s="25" t="s">
        <v>5</v>
      </c>
      <c r="C44" s="8" t="s">
        <v>25</v>
      </c>
      <c r="D44" s="7" t="s">
        <v>79</v>
      </c>
      <c r="E44" s="9" t="s">
        <v>63</v>
      </c>
      <c r="F44" s="10">
        <v>20</v>
      </c>
      <c r="G44" s="11" t="s">
        <v>32</v>
      </c>
      <c r="H44" s="7" t="s">
        <v>83</v>
      </c>
      <c r="I44" s="11" t="s">
        <v>97</v>
      </c>
      <c r="J44" s="11" t="s">
        <v>80</v>
      </c>
      <c r="K44" s="12">
        <v>10053.314351999999</v>
      </c>
      <c r="L44" s="12">
        <f>K44*5%</f>
        <v>502.66571759999999</v>
      </c>
      <c r="M44" s="12">
        <f t="shared" si="1"/>
        <v>9550.6486343999986</v>
      </c>
      <c r="N44" s="29">
        <v>10</v>
      </c>
    </row>
    <row r="45" spans="1:14" ht="16.5" thickTop="1" thickBot="1" x14ac:dyDescent="0.3">
      <c r="A45" s="27" t="s">
        <v>111</v>
      </c>
      <c r="B45" s="25" t="s">
        <v>11</v>
      </c>
      <c r="C45" s="8" t="s">
        <v>25</v>
      </c>
      <c r="D45" s="7" t="s">
        <v>79</v>
      </c>
      <c r="E45" s="9" t="s">
        <v>63</v>
      </c>
      <c r="F45" s="10">
        <v>20</v>
      </c>
      <c r="G45" s="11" t="s">
        <v>32</v>
      </c>
      <c r="H45" s="7" t="s">
        <v>83</v>
      </c>
      <c r="I45" s="11" t="s">
        <v>30</v>
      </c>
      <c r="J45" s="11" t="s">
        <v>80</v>
      </c>
      <c r="K45" s="12">
        <v>200</v>
      </c>
      <c r="L45" s="12">
        <f>K45*5%</f>
        <v>10</v>
      </c>
      <c r="M45" s="12">
        <f t="shared" si="1"/>
        <v>190</v>
      </c>
      <c r="N45" s="29">
        <v>10</v>
      </c>
    </row>
    <row r="46" spans="1:14" ht="16.5" thickTop="1" thickBot="1" x14ac:dyDescent="0.3">
      <c r="A46" s="27" t="s">
        <v>111</v>
      </c>
      <c r="B46" s="25" t="s">
        <v>5</v>
      </c>
      <c r="C46" s="8" t="s">
        <v>25</v>
      </c>
      <c r="D46" s="7" t="s">
        <v>79</v>
      </c>
      <c r="E46" s="9" t="s">
        <v>63</v>
      </c>
      <c r="F46" s="10">
        <v>20</v>
      </c>
      <c r="G46" s="11" t="s">
        <v>32</v>
      </c>
      <c r="H46" s="7" t="s">
        <v>83</v>
      </c>
      <c r="I46" s="11" t="s">
        <v>7</v>
      </c>
      <c r="J46" s="11" t="s">
        <v>80</v>
      </c>
      <c r="K46" s="12">
        <v>10106.5959</v>
      </c>
      <c r="L46" s="12">
        <f>K46*5%</f>
        <v>505.32979500000005</v>
      </c>
      <c r="M46" s="12">
        <f t="shared" si="1"/>
        <v>9601.2661050000006</v>
      </c>
      <c r="N46" s="29">
        <v>10</v>
      </c>
    </row>
    <row r="47" spans="1:14" ht="16.5" thickTop="1" thickBot="1" x14ac:dyDescent="0.3">
      <c r="A47" s="27" t="s">
        <v>111</v>
      </c>
      <c r="B47" s="25" t="s">
        <v>5</v>
      </c>
      <c r="C47" s="8" t="s">
        <v>25</v>
      </c>
      <c r="D47" s="7" t="s">
        <v>79</v>
      </c>
      <c r="E47" s="9" t="s">
        <v>63</v>
      </c>
      <c r="F47" s="10">
        <v>20</v>
      </c>
      <c r="G47" s="11" t="s">
        <v>32</v>
      </c>
      <c r="H47" s="7" t="s">
        <v>83</v>
      </c>
      <c r="I47" s="11" t="s">
        <v>98</v>
      </c>
      <c r="J47" s="11" t="s">
        <v>80</v>
      </c>
      <c r="K47" s="12">
        <v>7329.83</v>
      </c>
      <c r="L47" s="12">
        <f>K47*5%</f>
        <v>366.49150000000003</v>
      </c>
      <c r="M47" s="12">
        <f>K47-L47</f>
        <v>6963.3384999999998</v>
      </c>
      <c r="N47" s="29">
        <v>10</v>
      </c>
    </row>
    <row r="48" spans="1:14" ht="16.5" thickTop="1" thickBot="1" x14ac:dyDescent="0.3">
      <c r="A48" s="27" t="s">
        <v>111</v>
      </c>
      <c r="B48" s="25" t="s">
        <v>10</v>
      </c>
      <c r="C48" s="8" t="s">
        <v>25</v>
      </c>
      <c r="D48" s="7" t="s">
        <v>79</v>
      </c>
      <c r="E48" s="9" t="s">
        <v>63</v>
      </c>
      <c r="F48" s="10">
        <v>20</v>
      </c>
      <c r="G48" s="11" t="s">
        <v>32</v>
      </c>
      <c r="H48" s="7" t="s">
        <v>83</v>
      </c>
      <c r="I48" s="11" t="s">
        <v>96</v>
      </c>
      <c r="J48" s="11" t="s">
        <v>80</v>
      </c>
      <c r="K48" s="12">
        <v>2000</v>
      </c>
      <c r="L48" s="12">
        <f>0</f>
        <v>0</v>
      </c>
      <c r="M48" s="12">
        <f t="shared" si="1"/>
        <v>2000</v>
      </c>
      <c r="N48" s="29">
        <v>10</v>
      </c>
    </row>
    <row r="49" spans="1:14" ht="16.5" thickTop="1" thickBot="1" x14ac:dyDescent="0.3">
      <c r="A49" s="27" t="s">
        <v>111</v>
      </c>
      <c r="B49" s="25" t="s">
        <v>11</v>
      </c>
      <c r="C49" s="8" t="s">
        <v>25</v>
      </c>
      <c r="D49" s="7" t="s">
        <v>79</v>
      </c>
      <c r="E49" s="9" t="s">
        <v>63</v>
      </c>
      <c r="F49" s="10">
        <v>15</v>
      </c>
      <c r="G49" s="11" t="s">
        <v>33</v>
      </c>
      <c r="H49" s="7" t="s">
        <v>83</v>
      </c>
      <c r="I49" s="11" t="s">
        <v>7</v>
      </c>
      <c r="J49" s="11" t="s">
        <v>80</v>
      </c>
      <c r="K49" s="12">
        <v>20389.18</v>
      </c>
      <c r="L49" s="12">
        <f>K49*16%</f>
        <v>3262.2688000000003</v>
      </c>
      <c r="M49" s="12">
        <f t="shared" si="1"/>
        <v>17126.911199999999</v>
      </c>
      <c r="N49" s="29">
        <v>30</v>
      </c>
    </row>
    <row r="50" spans="1:14" ht="16.5" thickTop="1" thickBot="1" x14ac:dyDescent="0.3">
      <c r="A50" s="27" t="s">
        <v>111</v>
      </c>
      <c r="B50" s="25" t="s">
        <v>22</v>
      </c>
      <c r="C50" s="8" t="s">
        <v>25</v>
      </c>
      <c r="D50" s="7" t="s">
        <v>79</v>
      </c>
      <c r="E50" s="9" t="s">
        <v>63</v>
      </c>
      <c r="F50" s="10">
        <v>15</v>
      </c>
      <c r="G50" s="11" t="s">
        <v>33</v>
      </c>
      <c r="H50" s="7" t="s">
        <v>83</v>
      </c>
      <c r="I50" s="11" t="s">
        <v>9</v>
      </c>
      <c r="J50" s="11" t="s">
        <v>80</v>
      </c>
      <c r="K50" s="12">
        <v>7758.74</v>
      </c>
      <c r="L50" s="12">
        <v>0</v>
      </c>
      <c r="M50" s="12">
        <f t="shared" si="1"/>
        <v>7758.74</v>
      </c>
      <c r="N50" s="29">
        <v>30</v>
      </c>
    </row>
    <row r="51" spans="1:14" ht="16.5" thickTop="1" thickBot="1" x14ac:dyDescent="0.3">
      <c r="A51" s="27" t="s">
        <v>111</v>
      </c>
      <c r="B51" s="25" t="s">
        <v>11</v>
      </c>
      <c r="C51" s="8" t="s">
        <v>25</v>
      </c>
      <c r="D51" s="7" t="s">
        <v>79</v>
      </c>
      <c r="E51" s="9" t="s">
        <v>63</v>
      </c>
      <c r="F51" s="10">
        <v>15</v>
      </c>
      <c r="G51" s="11" t="s">
        <v>33</v>
      </c>
      <c r="H51" s="7" t="s">
        <v>83</v>
      </c>
      <c r="I51" s="11" t="s">
        <v>30</v>
      </c>
      <c r="J51" s="11" t="s">
        <v>80</v>
      </c>
      <c r="K51" s="12">
        <v>200</v>
      </c>
      <c r="L51" s="12">
        <f>K51*5%</f>
        <v>10</v>
      </c>
      <c r="M51" s="12">
        <f t="shared" si="1"/>
        <v>190</v>
      </c>
      <c r="N51" s="29">
        <v>30</v>
      </c>
    </row>
    <row r="52" spans="1:14" ht="16.5" thickTop="1" thickBot="1" x14ac:dyDescent="0.3">
      <c r="A52" s="27" t="s">
        <v>111</v>
      </c>
      <c r="B52" s="25" t="s">
        <v>22</v>
      </c>
      <c r="C52" s="8" t="s">
        <v>60</v>
      </c>
      <c r="D52" s="7" t="s">
        <v>79</v>
      </c>
      <c r="E52" s="9" t="s">
        <v>63</v>
      </c>
      <c r="F52" s="10">
        <v>1</v>
      </c>
      <c r="G52" s="11" t="s">
        <v>34</v>
      </c>
      <c r="H52" s="7" t="s">
        <v>87</v>
      </c>
      <c r="I52" s="11" t="s">
        <v>20</v>
      </c>
      <c r="J52" s="11" t="s">
        <v>105</v>
      </c>
      <c r="K52" s="12">
        <v>36969.404166</v>
      </c>
      <c r="L52" s="12">
        <v>0</v>
      </c>
      <c r="M52" s="12">
        <f t="shared" ref="M52:M64" si="2">K52-L52</f>
        <v>36969.404166</v>
      </c>
      <c r="N52" s="29">
        <v>30</v>
      </c>
    </row>
    <row r="53" spans="1:14" ht="16.5" thickTop="1" thickBot="1" x14ac:dyDescent="0.3">
      <c r="A53" s="27" t="s">
        <v>111</v>
      </c>
      <c r="B53" s="25" t="s">
        <v>22</v>
      </c>
      <c r="C53" s="8" t="s">
        <v>60</v>
      </c>
      <c r="D53" s="7" t="s">
        <v>79</v>
      </c>
      <c r="E53" s="9" t="s">
        <v>63</v>
      </c>
      <c r="F53" s="10">
        <v>1</v>
      </c>
      <c r="G53" s="11" t="s">
        <v>34</v>
      </c>
      <c r="H53" s="7" t="s">
        <v>87</v>
      </c>
      <c r="I53" s="11" t="s">
        <v>9</v>
      </c>
      <c r="J53" s="11" t="s">
        <v>105</v>
      </c>
      <c r="K53" s="12">
        <v>30185.123490000002</v>
      </c>
      <c r="L53" s="12">
        <v>0</v>
      </c>
      <c r="M53" s="12">
        <f t="shared" si="2"/>
        <v>30185.123490000002</v>
      </c>
      <c r="N53" s="29">
        <v>30</v>
      </c>
    </row>
    <row r="54" spans="1:14" ht="16.5" thickTop="1" thickBot="1" x14ac:dyDescent="0.3">
      <c r="A54" s="27" t="s">
        <v>111</v>
      </c>
      <c r="B54" s="25" t="s">
        <v>22</v>
      </c>
      <c r="C54" s="8" t="s">
        <v>60</v>
      </c>
      <c r="D54" s="7" t="s">
        <v>79</v>
      </c>
      <c r="E54" s="9" t="s">
        <v>63</v>
      </c>
      <c r="F54" s="10">
        <v>1</v>
      </c>
      <c r="G54" s="11" t="s">
        <v>35</v>
      </c>
      <c r="H54" s="7" t="s">
        <v>83</v>
      </c>
      <c r="I54" s="11" t="s">
        <v>9</v>
      </c>
      <c r="J54" s="11" t="s">
        <v>105</v>
      </c>
      <c r="K54" s="12">
        <v>21581.665982999999</v>
      </c>
      <c r="L54" s="12">
        <v>0</v>
      </c>
      <c r="M54" s="12">
        <f t="shared" si="2"/>
        <v>21581.665982999999</v>
      </c>
      <c r="N54" s="29">
        <v>30</v>
      </c>
    </row>
    <row r="55" spans="1:14" ht="16.5" thickTop="1" thickBot="1" x14ac:dyDescent="0.3">
      <c r="A55" s="27" t="s">
        <v>111</v>
      </c>
      <c r="B55" s="25" t="s">
        <v>22</v>
      </c>
      <c r="C55" s="8" t="s">
        <v>60</v>
      </c>
      <c r="D55" s="7" t="s">
        <v>79</v>
      </c>
      <c r="E55" s="9" t="s">
        <v>63</v>
      </c>
      <c r="F55" s="10">
        <v>1</v>
      </c>
      <c r="G55" s="11" t="s">
        <v>36</v>
      </c>
      <c r="H55" s="7" t="s">
        <v>89</v>
      </c>
      <c r="I55" s="11" t="s">
        <v>20</v>
      </c>
      <c r="J55" s="11" t="s">
        <v>105</v>
      </c>
      <c r="K55" s="12">
        <v>36969.404166</v>
      </c>
      <c r="L55" s="12">
        <v>0</v>
      </c>
      <c r="M55" s="12">
        <f t="shared" si="2"/>
        <v>36969.404166</v>
      </c>
      <c r="N55" s="29">
        <v>30</v>
      </c>
    </row>
    <row r="56" spans="1:14" ht="16.5" thickTop="1" thickBot="1" x14ac:dyDescent="0.3">
      <c r="A56" s="27" t="s">
        <v>111</v>
      </c>
      <c r="B56" s="25" t="s">
        <v>22</v>
      </c>
      <c r="C56" s="8" t="s">
        <v>60</v>
      </c>
      <c r="D56" s="7" t="s">
        <v>79</v>
      </c>
      <c r="E56" s="9" t="s">
        <v>63</v>
      </c>
      <c r="F56" s="10">
        <v>1</v>
      </c>
      <c r="G56" s="11" t="s">
        <v>36</v>
      </c>
      <c r="H56" s="7" t="s">
        <v>89</v>
      </c>
      <c r="I56" s="11" t="s">
        <v>9</v>
      </c>
      <c r="J56" s="11" t="s">
        <v>105</v>
      </c>
      <c r="K56" s="12">
        <v>30185.123490000002</v>
      </c>
      <c r="L56" s="12">
        <v>0</v>
      </c>
      <c r="M56" s="12">
        <f t="shared" si="2"/>
        <v>30185.123490000002</v>
      </c>
      <c r="N56" s="29">
        <v>30</v>
      </c>
    </row>
    <row r="57" spans="1:14" ht="16.5" thickTop="1" thickBot="1" x14ac:dyDescent="0.3">
      <c r="A57" s="27" t="s">
        <v>111</v>
      </c>
      <c r="B57" s="25" t="s">
        <v>22</v>
      </c>
      <c r="C57" s="8" t="s">
        <v>60</v>
      </c>
      <c r="D57" s="7" t="s">
        <v>79</v>
      </c>
      <c r="E57" s="9" t="s">
        <v>63</v>
      </c>
      <c r="F57" s="10">
        <v>1</v>
      </c>
      <c r="G57" s="11" t="s">
        <v>37</v>
      </c>
      <c r="H57" s="7" t="s">
        <v>85</v>
      </c>
      <c r="I57" s="11" t="s">
        <v>9</v>
      </c>
      <c r="J57" s="11" t="s">
        <v>105</v>
      </c>
      <c r="K57" s="12">
        <v>12949.001676</v>
      </c>
      <c r="L57" s="12">
        <v>0</v>
      </c>
      <c r="M57" s="12">
        <f t="shared" si="2"/>
        <v>12949.001676</v>
      </c>
      <c r="N57" s="29">
        <v>30</v>
      </c>
    </row>
    <row r="58" spans="1:14" ht="16.5" thickTop="1" thickBot="1" x14ac:dyDescent="0.3">
      <c r="A58" s="27" t="s">
        <v>111</v>
      </c>
      <c r="B58" s="25" t="s">
        <v>22</v>
      </c>
      <c r="C58" s="8" t="s">
        <v>60</v>
      </c>
      <c r="D58" s="7" t="s">
        <v>79</v>
      </c>
      <c r="E58" s="9" t="s">
        <v>63</v>
      </c>
      <c r="F58" s="10">
        <v>1</v>
      </c>
      <c r="G58" s="11" t="s">
        <v>93</v>
      </c>
      <c r="H58" s="7" t="s">
        <v>85</v>
      </c>
      <c r="I58" s="11" t="s">
        <v>9</v>
      </c>
      <c r="J58" s="11" t="s">
        <v>105</v>
      </c>
      <c r="K58" s="12">
        <v>17265.328613999998</v>
      </c>
      <c r="L58" s="12">
        <v>0</v>
      </c>
      <c r="M58" s="12">
        <f t="shared" si="2"/>
        <v>17265.328613999998</v>
      </c>
      <c r="N58" s="29">
        <v>30</v>
      </c>
    </row>
    <row r="59" spans="1:14" ht="16.5" thickTop="1" thickBot="1" x14ac:dyDescent="0.3">
      <c r="A59" s="27" t="s">
        <v>111</v>
      </c>
      <c r="B59" s="25" t="s">
        <v>22</v>
      </c>
      <c r="C59" s="8" t="s">
        <v>60</v>
      </c>
      <c r="D59" s="7" t="s">
        <v>79</v>
      </c>
      <c r="E59" s="9" t="s">
        <v>63</v>
      </c>
      <c r="F59" s="10">
        <v>1</v>
      </c>
      <c r="G59" s="11" t="s">
        <v>38</v>
      </c>
      <c r="H59" s="7" t="s">
        <v>85</v>
      </c>
      <c r="I59" s="11" t="s">
        <v>9</v>
      </c>
      <c r="J59" s="11" t="s">
        <v>105</v>
      </c>
      <c r="K59" s="12">
        <v>8632.6643069999991</v>
      </c>
      <c r="L59" s="12">
        <v>0</v>
      </c>
      <c r="M59" s="12">
        <f t="shared" si="2"/>
        <v>8632.6643069999991</v>
      </c>
      <c r="N59" s="29">
        <v>30</v>
      </c>
    </row>
    <row r="60" spans="1:14" ht="16.5" thickTop="1" thickBot="1" x14ac:dyDescent="0.3">
      <c r="A60" s="27" t="s">
        <v>111</v>
      </c>
      <c r="B60" s="25" t="s">
        <v>11</v>
      </c>
      <c r="C60" s="8" t="s">
        <v>60</v>
      </c>
      <c r="D60" s="7" t="s">
        <v>79</v>
      </c>
      <c r="E60" s="9" t="s">
        <v>63</v>
      </c>
      <c r="F60" s="10">
        <v>20</v>
      </c>
      <c r="G60" s="11" t="s">
        <v>119</v>
      </c>
      <c r="H60" s="7" t="s">
        <v>85</v>
      </c>
      <c r="I60" s="11" t="s">
        <v>7</v>
      </c>
      <c r="J60" s="11" t="s">
        <v>103</v>
      </c>
      <c r="K60" s="12">
        <v>4013.33</v>
      </c>
      <c r="L60" s="12">
        <f>K60*16%</f>
        <v>642.13279999999997</v>
      </c>
      <c r="M60" s="12">
        <f>K60-L60</f>
        <v>3371.1972000000001</v>
      </c>
      <c r="N60" s="29">
        <v>20</v>
      </c>
    </row>
    <row r="61" spans="1:14" ht="16.5" thickTop="1" thickBot="1" x14ac:dyDescent="0.3">
      <c r="A61" s="27" t="s">
        <v>111</v>
      </c>
      <c r="B61" s="25" t="s">
        <v>13</v>
      </c>
      <c r="C61" s="8" t="s">
        <v>60</v>
      </c>
      <c r="D61" s="7" t="s">
        <v>79</v>
      </c>
      <c r="E61" s="9" t="s">
        <v>63</v>
      </c>
      <c r="F61" s="10">
        <v>20</v>
      </c>
      <c r="G61" s="11" t="s">
        <v>119</v>
      </c>
      <c r="H61" s="7" t="s">
        <v>85</v>
      </c>
      <c r="I61" s="11" t="s">
        <v>9</v>
      </c>
      <c r="J61" s="11" t="s">
        <v>103</v>
      </c>
      <c r="K61" s="12">
        <v>1820</v>
      </c>
      <c r="L61" s="12">
        <f>K61*16%</f>
        <v>291.2</v>
      </c>
      <c r="M61" s="12">
        <f>K61-L61</f>
        <v>1528.8</v>
      </c>
      <c r="N61" s="29">
        <v>20</v>
      </c>
    </row>
    <row r="62" spans="1:14" ht="16.5" thickTop="1" thickBot="1" x14ac:dyDescent="0.3">
      <c r="A62" s="27" t="s">
        <v>111</v>
      </c>
      <c r="B62" s="25" t="s">
        <v>13</v>
      </c>
      <c r="C62" s="8" t="s">
        <v>60</v>
      </c>
      <c r="D62" s="7" t="s">
        <v>79</v>
      </c>
      <c r="E62" s="9" t="s">
        <v>63</v>
      </c>
      <c r="F62" s="10">
        <v>20</v>
      </c>
      <c r="G62" s="11" t="s">
        <v>119</v>
      </c>
      <c r="H62" s="7" t="s">
        <v>85</v>
      </c>
      <c r="I62" s="11" t="s">
        <v>15</v>
      </c>
      <c r="J62" s="11" t="s">
        <v>103</v>
      </c>
      <c r="K62" s="12">
        <v>1071</v>
      </c>
      <c r="L62" s="12">
        <f>K62*16%</f>
        <v>171.36</v>
      </c>
      <c r="M62" s="12">
        <f>K62-L62</f>
        <v>899.64</v>
      </c>
      <c r="N62" s="29">
        <v>20</v>
      </c>
    </row>
    <row r="63" spans="1:14" ht="16.5" thickTop="1" thickBot="1" x14ac:dyDescent="0.3">
      <c r="A63" s="27" t="s">
        <v>111</v>
      </c>
      <c r="B63" s="25" t="s">
        <v>11</v>
      </c>
      <c r="C63" s="8" t="s">
        <v>60</v>
      </c>
      <c r="D63" s="7" t="s">
        <v>79</v>
      </c>
      <c r="E63" s="9" t="s">
        <v>63</v>
      </c>
      <c r="F63" s="10">
        <v>20</v>
      </c>
      <c r="G63" s="11" t="s">
        <v>94</v>
      </c>
      <c r="H63" s="7" t="s">
        <v>86</v>
      </c>
      <c r="I63" s="11" t="s">
        <v>7</v>
      </c>
      <c r="J63" s="11" t="s">
        <v>103</v>
      </c>
      <c r="K63" s="12">
        <v>24767</v>
      </c>
      <c r="L63" s="12">
        <f>K63*16%</f>
        <v>3962.7200000000003</v>
      </c>
      <c r="M63" s="12">
        <f>K63-L63</f>
        <v>20804.28</v>
      </c>
      <c r="N63" s="29">
        <v>20</v>
      </c>
    </row>
    <row r="64" spans="1:14" ht="16.5" thickTop="1" thickBot="1" x14ac:dyDescent="0.3">
      <c r="A64" s="27" t="s">
        <v>111</v>
      </c>
      <c r="B64" s="25" t="s">
        <v>13</v>
      </c>
      <c r="C64" s="8" t="s">
        <v>60</v>
      </c>
      <c r="D64" s="7" t="s">
        <v>79</v>
      </c>
      <c r="E64" s="9" t="s">
        <v>63</v>
      </c>
      <c r="F64" s="10">
        <v>20</v>
      </c>
      <c r="G64" s="11" t="s">
        <v>94</v>
      </c>
      <c r="H64" s="7" t="s">
        <v>86</v>
      </c>
      <c r="I64" s="11" t="s">
        <v>9</v>
      </c>
      <c r="J64" s="11" t="s">
        <v>103</v>
      </c>
      <c r="K64" s="12">
        <v>15476</v>
      </c>
      <c r="L64" s="12">
        <f>K64*16%</f>
        <v>2476.16</v>
      </c>
      <c r="M64" s="12">
        <f t="shared" si="2"/>
        <v>12999.84</v>
      </c>
      <c r="N64" s="29">
        <v>20</v>
      </c>
    </row>
    <row r="65" spans="1:14" ht="16.5" thickTop="1" thickBot="1" x14ac:dyDescent="0.3">
      <c r="A65" s="27" t="s">
        <v>111</v>
      </c>
      <c r="B65" s="25" t="s">
        <v>22</v>
      </c>
      <c r="C65" s="8" t="s">
        <v>61</v>
      </c>
      <c r="D65" s="7" t="s">
        <v>79</v>
      </c>
      <c r="E65" s="9" t="s">
        <v>63</v>
      </c>
      <c r="F65" s="10">
        <v>20</v>
      </c>
      <c r="G65" s="13" t="s">
        <v>39</v>
      </c>
      <c r="H65" s="7" t="s">
        <v>83</v>
      </c>
      <c r="I65" s="11" t="s">
        <v>7</v>
      </c>
      <c r="J65" s="11" t="s">
        <v>80</v>
      </c>
      <c r="K65" s="12">
        <v>18709.103873069998</v>
      </c>
      <c r="L65" s="12">
        <v>0</v>
      </c>
      <c r="M65" s="12">
        <f t="shared" ref="M65:M80" si="3">K65-L65</f>
        <v>18709.103873069998</v>
      </c>
      <c r="N65" s="29">
        <v>17</v>
      </c>
    </row>
    <row r="66" spans="1:14" ht="15.75" customHeight="1" thickTop="1" thickBot="1" x14ac:dyDescent="0.3">
      <c r="A66" s="27" t="s">
        <v>111</v>
      </c>
      <c r="B66" s="25" t="s">
        <v>11</v>
      </c>
      <c r="C66" s="8" t="s">
        <v>61</v>
      </c>
      <c r="D66" s="7" t="s">
        <v>79</v>
      </c>
      <c r="E66" s="9" t="s">
        <v>63</v>
      </c>
      <c r="F66" s="10">
        <v>20</v>
      </c>
      <c r="G66" s="13" t="s">
        <v>40</v>
      </c>
      <c r="H66" s="7" t="s">
        <v>83</v>
      </c>
      <c r="I66" s="14" t="s">
        <v>30</v>
      </c>
      <c r="J66" s="14" t="s">
        <v>107</v>
      </c>
      <c r="K66" s="12">
        <v>200</v>
      </c>
      <c r="L66" s="12">
        <f>K66*5%</f>
        <v>10</v>
      </c>
      <c r="M66" s="12">
        <f t="shared" si="3"/>
        <v>190</v>
      </c>
      <c r="N66" s="29">
        <v>10</v>
      </c>
    </row>
    <row r="67" spans="1:14" ht="15.75" customHeight="1" thickTop="1" thickBot="1" x14ac:dyDescent="0.3">
      <c r="A67" s="27" t="s">
        <v>111</v>
      </c>
      <c r="B67" s="25" t="s">
        <v>13</v>
      </c>
      <c r="C67" s="8" t="s">
        <v>61</v>
      </c>
      <c r="D67" s="7" t="s">
        <v>79</v>
      </c>
      <c r="E67" s="9" t="s">
        <v>63</v>
      </c>
      <c r="F67" s="10">
        <v>20</v>
      </c>
      <c r="G67" s="13" t="s">
        <v>90</v>
      </c>
      <c r="H67" s="15" t="s">
        <v>83</v>
      </c>
      <c r="I67" s="14" t="s">
        <v>9</v>
      </c>
      <c r="J67" s="11" t="s">
        <v>103</v>
      </c>
      <c r="K67" s="12">
        <v>5336.5</v>
      </c>
      <c r="L67" s="12">
        <f>K67*16%</f>
        <v>853.84</v>
      </c>
      <c r="M67" s="12">
        <f t="shared" si="3"/>
        <v>4482.66</v>
      </c>
      <c r="N67" s="29">
        <v>10</v>
      </c>
    </row>
    <row r="68" spans="1:14" ht="15.75" customHeight="1" thickTop="1" thickBot="1" x14ac:dyDescent="0.3">
      <c r="A68" s="27" t="s">
        <v>111</v>
      </c>
      <c r="B68" s="25" t="s">
        <v>11</v>
      </c>
      <c r="C68" s="8" t="s">
        <v>61</v>
      </c>
      <c r="D68" s="7" t="s">
        <v>79</v>
      </c>
      <c r="E68" s="9" t="s">
        <v>63</v>
      </c>
      <c r="F68" s="10">
        <v>20</v>
      </c>
      <c r="G68" s="13" t="s">
        <v>41</v>
      </c>
      <c r="H68" s="7" t="s">
        <v>83</v>
      </c>
      <c r="I68" s="14" t="s">
        <v>30</v>
      </c>
      <c r="J68" s="11" t="s">
        <v>80</v>
      </c>
      <c r="K68" s="12">
        <v>600</v>
      </c>
      <c r="L68" s="12">
        <f>K68*5%</f>
        <v>30</v>
      </c>
      <c r="M68" s="12">
        <f t="shared" si="3"/>
        <v>570</v>
      </c>
      <c r="N68" s="29">
        <v>25</v>
      </c>
    </row>
    <row r="69" spans="1:14" ht="16.5" thickTop="1" thickBot="1" x14ac:dyDescent="0.3">
      <c r="A69" s="27" t="s">
        <v>111</v>
      </c>
      <c r="B69" s="25" t="s">
        <v>22</v>
      </c>
      <c r="C69" s="8" t="s">
        <v>61</v>
      </c>
      <c r="D69" s="7" t="s">
        <v>79</v>
      </c>
      <c r="E69" s="9" t="s">
        <v>63</v>
      </c>
      <c r="F69" s="10">
        <v>20</v>
      </c>
      <c r="G69" s="13" t="s">
        <v>92</v>
      </c>
      <c r="H69" s="7" t="s">
        <v>83</v>
      </c>
      <c r="I69" s="11" t="s">
        <v>9</v>
      </c>
      <c r="J69" s="11" t="s">
        <v>80</v>
      </c>
      <c r="K69" s="12">
        <v>11254.95</v>
      </c>
      <c r="L69" s="12">
        <v>0</v>
      </c>
      <c r="M69" s="12">
        <f t="shared" si="3"/>
        <v>11254.95</v>
      </c>
      <c r="N69" s="29">
        <v>15</v>
      </c>
    </row>
    <row r="70" spans="1:14" ht="16.5" thickTop="1" thickBot="1" x14ac:dyDescent="0.3">
      <c r="A70" s="27" t="s">
        <v>111</v>
      </c>
      <c r="B70" s="25" t="s">
        <v>22</v>
      </c>
      <c r="C70" s="8" t="s">
        <v>61</v>
      </c>
      <c r="D70" s="7" t="s">
        <v>79</v>
      </c>
      <c r="E70" s="9" t="s">
        <v>63</v>
      </c>
      <c r="F70" s="10">
        <v>20</v>
      </c>
      <c r="G70" s="13" t="s">
        <v>42</v>
      </c>
      <c r="H70" s="7" t="s">
        <v>83</v>
      </c>
      <c r="I70" s="11" t="s">
        <v>9</v>
      </c>
      <c r="J70" s="11" t="s">
        <v>108</v>
      </c>
      <c r="K70" s="12">
        <v>820.63201302000004</v>
      </c>
      <c r="L70" s="12">
        <v>0</v>
      </c>
      <c r="M70" s="12">
        <f t="shared" si="3"/>
        <v>820.63201302000004</v>
      </c>
      <c r="N70" s="29">
        <v>9</v>
      </c>
    </row>
    <row r="71" spans="1:14" ht="15.75" customHeight="1" thickTop="1" thickBot="1" x14ac:dyDescent="0.3">
      <c r="A71" s="27" t="s">
        <v>111</v>
      </c>
      <c r="B71" s="25" t="s">
        <v>11</v>
      </c>
      <c r="C71" s="8" t="s">
        <v>61</v>
      </c>
      <c r="D71" s="7" t="s">
        <v>79</v>
      </c>
      <c r="E71" s="9" t="s">
        <v>63</v>
      </c>
      <c r="F71" s="10">
        <v>20</v>
      </c>
      <c r="G71" s="13" t="s">
        <v>43</v>
      </c>
      <c r="H71" s="7" t="s">
        <v>83</v>
      </c>
      <c r="I71" s="14" t="s">
        <v>30</v>
      </c>
      <c r="J71" s="14" t="s">
        <v>106</v>
      </c>
      <c r="K71" s="12">
        <v>200</v>
      </c>
      <c r="L71" s="12">
        <f>K71*5%</f>
        <v>10</v>
      </c>
      <c r="M71" s="12">
        <f t="shared" si="3"/>
        <v>190</v>
      </c>
      <c r="N71" s="29">
        <v>15</v>
      </c>
    </row>
    <row r="72" spans="1:14" ht="15.75" customHeight="1" thickTop="1" thickBot="1" x14ac:dyDescent="0.3">
      <c r="A72" s="27" t="s">
        <v>111</v>
      </c>
      <c r="B72" s="25" t="s">
        <v>11</v>
      </c>
      <c r="C72" s="8" t="s">
        <v>61</v>
      </c>
      <c r="D72" s="7" t="s">
        <v>79</v>
      </c>
      <c r="E72" s="9" t="s">
        <v>63</v>
      </c>
      <c r="F72" s="10">
        <v>20</v>
      </c>
      <c r="G72" s="13" t="s">
        <v>44</v>
      </c>
      <c r="H72" s="15" t="s">
        <v>85</v>
      </c>
      <c r="I72" s="14" t="s">
        <v>30</v>
      </c>
      <c r="J72" s="11" t="s">
        <v>80</v>
      </c>
      <c r="K72" s="12">
        <v>200</v>
      </c>
      <c r="L72" s="12">
        <f>K72*5%</f>
        <v>10</v>
      </c>
      <c r="M72" s="12">
        <f t="shared" si="3"/>
        <v>190</v>
      </c>
      <c r="N72" s="29">
        <v>16</v>
      </c>
    </row>
    <row r="73" spans="1:14" ht="16.5" thickTop="1" thickBot="1" x14ac:dyDescent="0.3">
      <c r="A73" s="27" t="s">
        <v>111</v>
      </c>
      <c r="B73" s="25" t="s">
        <v>5</v>
      </c>
      <c r="C73" s="8" t="s">
        <v>61</v>
      </c>
      <c r="D73" s="7" t="s">
        <v>79</v>
      </c>
      <c r="E73" s="9" t="s">
        <v>63</v>
      </c>
      <c r="F73" s="10">
        <v>1</v>
      </c>
      <c r="G73" s="11" t="s">
        <v>45</v>
      </c>
      <c r="H73" s="7" t="s">
        <v>91</v>
      </c>
      <c r="I73" s="11" t="s">
        <v>20</v>
      </c>
      <c r="J73" s="11" t="s">
        <v>105</v>
      </c>
      <c r="K73" s="16">
        <v>36757.832193000002</v>
      </c>
      <c r="L73" s="12">
        <f>K73*5%</f>
        <v>1837.8916096500002</v>
      </c>
      <c r="M73" s="12">
        <f t="shared" si="3"/>
        <v>34919.940583349999</v>
      </c>
      <c r="N73" s="29">
        <v>30</v>
      </c>
    </row>
    <row r="74" spans="1:14" ht="16.5" thickTop="1" thickBot="1" x14ac:dyDescent="0.3">
      <c r="A74" s="27" t="s">
        <v>111</v>
      </c>
      <c r="B74" s="25" t="s">
        <v>5</v>
      </c>
      <c r="C74" s="8" t="s">
        <v>61</v>
      </c>
      <c r="D74" s="7" t="s">
        <v>79</v>
      </c>
      <c r="E74" s="9" t="s">
        <v>63</v>
      </c>
      <c r="F74" s="10">
        <v>1</v>
      </c>
      <c r="G74" s="11" t="s">
        <v>45</v>
      </c>
      <c r="H74" s="7" t="s">
        <v>91</v>
      </c>
      <c r="I74" s="11" t="s">
        <v>9</v>
      </c>
      <c r="J74" s="11" t="s">
        <v>105</v>
      </c>
      <c r="K74" s="16">
        <v>25897.992921000001</v>
      </c>
      <c r="L74" s="12">
        <f>K74*5%</f>
        <v>1294.8996460500002</v>
      </c>
      <c r="M74" s="12">
        <f t="shared" si="3"/>
        <v>24603.093274949999</v>
      </c>
      <c r="N74" s="29">
        <v>30</v>
      </c>
    </row>
    <row r="75" spans="1:14" ht="16.5" thickTop="1" thickBot="1" x14ac:dyDescent="0.3">
      <c r="A75" s="27" t="s">
        <v>111</v>
      </c>
      <c r="B75" s="25" t="s">
        <v>22</v>
      </c>
      <c r="C75" s="8" t="s">
        <v>61</v>
      </c>
      <c r="D75" s="7" t="s">
        <v>79</v>
      </c>
      <c r="E75" s="9" t="s">
        <v>63</v>
      </c>
      <c r="F75" s="10">
        <v>1</v>
      </c>
      <c r="G75" s="11" t="s">
        <v>46</v>
      </c>
      <c r="H75" s="7" t="s">
        <v>85</v>
      </c>
      <c r="I75" s="11" t="s">
        <v>20</v>
      </c>
      <c r="J75" s="11" t="s">
        <v>105</v>
      </c>
      <c r="K75" s="16">
        <v>52934.258285999997</v>
      </c>
      <c r="L75" s="12">
        <v>0</v>
      </c>
      <c r="M75" s="12">
        <f t="shared" si="3"/>
        <v>52934.258285999997</v>
      </c>
      <c r="N75" s="29">
        <v>30</v>
      </c>
    </row>
    <row r="76" spans="1:14" ht="16.5" thickTop="1" thickBot="1" x14ac:dyDescent="0.3">
      <c r="A76" s="27" t="s">
        <v>111</v>
      </c>
      <c r="B76" s="25" t="s">
        <v>22</v>
      </c>
      <c r="C76" s="8" t="s">
        <v>61</v>
      </c>
      <c r="D76" s="7" t="s">
        <v>79</v>
      </c>
      <c r="E76" s="9" t="s">
        <v>63</v>
      </c>
      <c r="F76" s="10">
        <v>1</v>
      </c>
      <c r="G76" s="11" t="s">
        <v>46</v>
      </c>
      <c r="H76" s="7" t="s">
        <v>85</v>
      </c>
      <c r="I76" s="11" t="s">
        <v>98</v>
      </c>
      <c r="J76" s="11" t="s">
        <v>105</v>
      </c>
      <c r="K76" s="12">
        <v>3129.3</v>
      </c>
      <c r="L76" s="12">
        <v>0</v>
      </c>
      <c r="M76" s="12">
        <f t="shared" si="3"/>
        <v>3129.3</v>
      </c>
      <c r="N76" s="29">
        <v>30</v>
      </c>
    </row>
    <row r="77" spans="1:14" ht="16.5" thickTop="1" thickBot="1" x14ac:dyDescent="0.3">
      <c r="A77" s="27" t="s">
        <v>111</v>
      </c>
      <c r="B77" s="25" t="s">
        <v>22</v>
      </c>
      <c r="C77" s="8" t="s">
        <v>61</v>
      </c>
      <c r="D77" s="7" t="s">
        <v>79</v>
      </c>
      <c r="E77" s="9" t="s">
        <v>63</v>
      </c>
      <c r="F77" s="10">
        <v>1</v>
      </c>
      <c r="G77" s="11" t="s">
        <v>46</v>
      </c>
      <c r="H77" s="7" t="s">
        <v>85</v>
      </c>
      <c r="I77" s="11" t="s">
        <v>9</v>
      </c>
      <c r="J77" s="11" t="s">
        <v>105</v>
      </c>
      <c r="K77" s="12">
        <v>38846.994597000004</v>
      </c>
      <c r="L77" s="12">
        <v>0</v>
      </c>
      <c r="M77" s="12">
        <f t="shared" si="3"/>
        <v>38846.994597000004</v>
      </c>
      <c r="N77" s="29">
        <v>30</v>
      </c>
    </row>
    <row r="78" spans="1:14" ht="16.5" thickTop="1" thickBot="1" x14ac:dyDescent="0.3">
      <c r="A78" s="27" t="s">
        <v>111</v>
      </c>
      <c r="B78" s="25" t="s">
        <v>22</v>
      </c>
      <c r="C78" s="8" t="s">
        <v>61</v>
      </c>
      <c r="D78" s="7" t="s">
        <v>79</v>
      </c>
      <c r="E78" s="9" t="s">
        <v>63</v>
      </c>
      <c r="F78" s="10">
        <v>1</v>
      </c>
      <c r="G78" s="11" t="s">
        <v>46</v>
      </c>
      <c r="H78" s="7" t="s">
        <v>85</v>
      </c>
      <c r="I78" s="11" t="s">
        <v>97</v>
      </c>
      <c r="J78" s="11" t="s">
        <v>105</v>
      </c>
      <c r="K78" s="12">
        <v>6400</v>
      </c>
      <c r="L78" s="12">
        <v>0</v>
      </c>
      <c r="M78" s="12">
        <f t="shared" si="3"/>
        <v>6400</v>
      </c>
      <c r="N78" s="29">
        <v>30</v>
      </c>
    </row>
    <row r="79" spans="1:14" ht="16.5" thickTop="1" thickBot="1" x14ac:dyDescent="0.3">
      <c r="A79" s="27" t="s">
        <v>111</v>
      </c>
      <c r="B79" s="25" t="s">
        <v>22</v>
      </c>
      <c r="C79" s="8" t="s">
        <v>61</v>
      </c>
      <c r="D79" s="7" t="s">
        <v>79</v>
      </c>
      <c r="E79" s="9" t="s">
        <v>63</v>
      </c>
      <c r="F79" s="10">
        <v>1</v>
      </c>
      <c r="G79" s="11" t="s">
        <v>47</v>
      </c>
      <c r="H79" s="7" t="s">
        <v>85</v>
      </c>
      <c r="I79" s="11" t="s">
        <v>9</v>
      </c>
      <c r="J79" s="11" t="s">
        <v>105</v>
      </c>
      <c r="K79" s="12">
        <v>30185.123490000002</v>
      </c>
      <c r="L79" s="12">
        <v>0</v>
      </c>
      <c r="M79" s="12">
        <f t="shared" si="3"/>
        <v>30185.123490000002</v>
      </c>
      <c r="N79" s="29">
        <v>30</v>
      </c>
    </row>
    <row r="80" spans="1:14" ht="16.5" thickTop="1" thickBot="1" x14ac:dyDescent="0.3">
      <c r="A80" s="27" t="s">
        <v>111</v>
      </c>
      <c r="B80" s="25" t="s">
        <v>22</v>
      </c>
      <c r="C80" s="8" t="s">
        <v>61</v>
      </c>
      <c r="D80" s="7" t="s">
        <v>79</v>
      </c>
      <c r="E80" s="9" t="s">
        <v>63</v>
      </c>
      <c r="F80" s="10">
        <v>1</v>
      </c>
      <c r="G80" s="11" t="s">
        <v>48</v>
      </c>
      <c r="H80" s="7" t="s">
        <v>85</v>
      </c>
      <c r="I80" s="11" t="s">
        <v>9</v>
      </c>
      <c r="J80" s="11" t="s">
        <v>105</v>
      </c>
      <c r="K80" s="12">
        <v>21610.872782999999</v>
      </c>
      <c r="L80" s="12">
        <v>0</v>
      </c>
      <c r="M80" s="12">
        <f t="shared" si="3"/>
        <v>21610.872782999999</v>
      </c>
      <c r="N80" s="29">
        <v>30</v>
      </c>
    </row>
    <row r="81" spans="1:17" ht="16.5" thickTop="1" thickBot="1" x14ac:dyDescent="0.3">
      <c r="A81" s="27" t="s">
        <v>111</v>
      </c>
      <c r="B81" s="25" t="s">
        <v>22</v>
      </c>
      <c r="C81" s="8" t="s">
        <v>62</v>
      </c>
      <c r="D81" s="7" t="s">
        <v>79</v>
      </c>
      <c r="E81" s="9" t="s">
        <v>63</v>
      </c>
      <c r="F81" s="10">
        <v>10</v>
      </c>
      <c r="G81" s="13" t="s">
        <v>49</v>
      </c>
      <c r="H81" s="7" t="s">
        <v>85</v>
      </c>
      <c r="I81" s="11" t="s">
        <v>9</v>
      </c>
      <c r="J81" s="11" t="s">
        <v>105</v>
      </c>
      <c r="K81" s="12">
        <v>4259.1129030000002</v>
      </c>
      <c r="L81" s="12">
        <v>0</v>
      </c>
      <c r="M81" s="12">
        <f t="shared" ref="M81:M97" si="4">K81-L81</f>
        <v>4259.1129030000002</v>
      </c>
      <c r="N81" s="29">
        <v>10</v>
      </c>
    </row>
    <row r="82" spans="1:17" ht="15.75" customHeight="1" thickTop="1" thickBot="1" x14ac:dyDescent="0.3">
      <c r="A82" s="27" t="s">
        <v>111</v>
      </c>
      <c r="B82" s="25" t="s">
        <v>22</v>
      </c>
      <c r="C82" s="8" t="s">
        <v>62</v>
      </c>
      <c r="D82" s="7" t="s">
        <v>79</v>
      </c>
      <c r="E82" s="9" t="s">
        <v>63</v>
      </c>
      <c r="F82" s="10">
        <v>10</v>
      </c>
      <c r="G82" s="13" t="s">
        <v>49</v>
      </c>
      <c r="H82" s="7" t="s">
        <v>85</v>
      </c>
      <c r="I82" s="11" t="s">
        <v>98</v>
      </c>
      <c r="J82" s="11" t="s">
        <v>105</v>
      </c>
      <c r="K82" s="12">
        <v>4829.5529999999999</v>
      </c>
      <c r="L82" s="12">
        <v>0</v>
      </c>
      <c r="M82" s="12">
        <f t="shared" si="4"/>
        <v>4829.5529999999999</v>
      </c>
      <c r="N82" s="29">
        <v>10</v>
      </c>
    </row>
    <row r="83" spans="1:17" ht="16.5" thickTop="1" thickBot="1" x14ac:dyDescent="0.3">
      <c r="A83" s="27" t="s">
        <v>111</v>
      </c>
      <c r="B83" s="25" t="s">
        <v>22</v>
      </c>
      <c r="C83" s="8" t="s">
        <v>62</v>
      </c>
      <c r="D83" s="7" t="s">
        <v>79</v>
      </c>
      <c r="E83" s="9" t="s">
        <v>63</v>
      </c>
      <c r="F83" s="10">
        <v>10</v>
      </c>
      <c r="G83" s="13" t="s">
        <v>50</v>
      </c>
      <c r="H83" s="7" t="s">
        <v>85</v>
      </c>
      <c r="I83" s="11" t="s">
        <v>9</v>
      </c>
      <c r="J83" s="11" t="s">
        <v>105</v>
      </c>
      <c r="K83" s="12">
        <v>4259.1129030000002</v>
      </c>
      <c r="L83" s="12">
        <v>0</v>
      </c>
      <c r="M83" s="12">
        <f t="shared" si="4"/>
        <v>4259.1129030000002</v>
      </c>
      <c r="N83" s="29">
        <v>10</v>
      </c>
    </row>
    <row r="84" spans="1:17" ht="15.75" customHeight="1" thickTop="1" thickBot="1" x14ac:dyDescent="0.3">
      <c r="A84" s="27" t="s">
        <v>111</v>
      </c>
      <c r="B84" s="25" t="s">
        <v>22</v>
      </c>
      <c r="C84" s="8" t="s">
        <v>62</v>
      </c>
      <c r="D84" s="7" t="s">
        <v>79</v>
      </c>
      <c r="E84" s="9" t="s">
        <v>63</v>
      </c>
      <c r="F84" s="10">
        <v>10</v>
      </c>
      <c r="G84" s="13" t="s">
        <v>50</v>
      </c>
      <c r="H84" s="7" t="s">
        <v>85</v>
      </c>
      <c r="I84" s="11" t="s">
        <v>98</v>
      </c>
      <c r="J84" s="11" t="s">
        <v>105</v>
      </c>
      <c r="K84" s="12">
        <v>4829.5529999999999</v>
      </c>
      <c r="L84" s="12">
        <v>0</v>
      </c>
      <c r="M84" s="12">
        <f t="shared" si="4"/>
        <v>4829.5529999999999</v>
      </c>
      <c r="N84" s="29">
        <v>10</v>
      </c>
    </row>
    <row r="85" spans="1:17" ht="16.5" thickTop="1" thickBot="1" x14ac:dyDescent="0.3">
      <c r="A85" s="27" t="s">
        <v>111</v>
      </c>
      <c r="B85" s="25" t="s">
        <v>11</v>
      </c>
      <c r="C85" s="8" t="s">
        <v>62</v>
      </c>
      <c r="D85" s="7" t="s">
        <v>79</v>
      </c>
      <c r="E85" s="9" t="s">
        <v>63</v>
      </c>
      <c r="F85" s="10">
        <v>16</v>
      </c>
      <c r="G85" s="13" t="s">
        <v>51</v>
      </c>
      <c r="H85" s="7" t="s">
        <v>83</v>
      </c>
      <c r="I85" s="11" t="s">
        <v>7</v>
      </c>
      <c r="J85" s="11" t="s">
        <v>80</v>
      </c>
      <c r="K85" s="12">
        <v>19124.839514250001</v>
      </c>
      <c r="L85" s="12">
        <f>K85*16%</f>
        <v>3059.9743222800003</v>
      </c>
      <c r="M85" s="12">
        <f t="shared" si="4"/>
        <v>16064.865191970001</v>
      </c>
      <c r="N85" s="29">
        <v>30</v>
      </c>
    </row>
    <row r="86" spans="1:17" ht="16.5" thickTop="1" thickBot="1" x14ac:dyDescent="0.3">
      <c r="A86" s="27" t="s">
        <v>111</v>
      </c>
      <c r="B86" s="25" t="s">
        <v>11</v>
      </c>
      <c r="C86" s="8" t="s">
        <v>62</v>
      </c>
      <c r="D86" s="7" t="s">
        <v>79</v>
      </c>
      <c r="E86" s="9" t="s">
        <v>63</v>
      </c>
      <c r="F86" s="10">
        <v>16</v>
      </c>
      <c r="G86" s="11" t="s">
        <v>52</v>
      </c>
      <c r="H86" s="7" t="s">
        <v>84</v>
      </c>
      <c r="I86" s="11" t="s">
        <v>7</v>
      </c>
      <c r="J86" s="11" t="s">
        <v>103</v>
      </c>
      <c r="K86" s="12">
        <v>70096.320000000007</v>
      </c>
      <c r="L86" s="12">
        <f>K86*16%</f>
        <v>11215.4112</v>
      </c>
      <c r="M86" s="12">
        <v>57706.080000000002</v>
      </c>
      <c r="N86" s="29">
        <v>15</v>
      </c>
    </row>
    <row r="87" spans="1:17" ht="16.5" thickTop="1" thickBot="1" x14ac:dyDescent="0.3">
      <c r="A87" s="27" t="s">
        <v>111</v>
      </c>
      <c r="B87" s="25" t="s">
        <v>5</v>
      </c>
      <c r="C87" s="8" t="s">
        <v>62</v>
      </c>
      <c r="D87" s="7" t="s">
        <v>79</v>
      </c>
      <c r="E87" s="9" t="s">
        <v>63</v>
      </c>
      <c r="F87" s="10">
        <v>16</v>
      </c>
      <c r="G87" s="11" t="s">
        <v>53</v>
      </c>
      <c r="H87" s="7" t="s">
        <v>85</v>
      </c>
      <c r="I87" s="11" t="s">
        <v>7</v>
      </c>
      <c r="J87" s="11" t="s">
        <v>103</v>
      </c>
      <c r="K87" s="12">
        <v>17410.382099999999</v>
      </c>
      <c r="L87" s="12">
        <f>K87*5%</f>
        <v>870.51910499999997</v>
      </c>
      <c r="M87" s="12">
        <f t="shared" si="4"/>
        <v>16539.862995</v>
      </c>
      <c r="N87" s="29">
        <v>15</v>
      </c>
    </row>
    <row r="88" spans="1:17" ht="16.5" thickTop="1" thickBot="1" x14ac:dyDescent="0.3">
      <c r="A88" s="27" t="s">
        <v>111</v>
      </c>
      <c r="B88" s="25" t="s">
        <v>5</v>
      </c>
      <c r="C88" s="8" t="s">
        <v>62</v>
      </c>
      <c r="D88" s="7" t="s">
        <v>79</v>
      </c>
      <c r="E88" s="9" t="s">
        <v>63</v>
      </c>
      <c r="F88" s="10">
        <v>16</v>
      </c>
      <c r="G88" s="11" t="s">
        <v>53</v>
      </c>
      <c r="H88" s="7" t="s">
        <v>85</v>
      </c>
      <c r="I88" s="11" t="s">
        <v>15</v>
      </c>
      <c r="J88" s="11" t="s">
        <v>103</v>
      </c>
      <c r="K88" s="12">
        <v>4509.3212999999996</v>
      </c>
      <c r="L88" s="12">
        <f>K88*5%</f>
        <v>225.46606499999999</v>
      </c>
      <c r="M88" s="12">
        <f t="shared" si="4"/>
        <v>4283.855235</v>
      </c>
      <c r="N88" s="29">
        <v>15</v>
      </c>
    </row>
    <row r="89" spans="1:17" ht="16.5" thickTop="1" thickBot="1" x14ac:dyDescent="0.3">
      <c r="A89" s="27" t="s">
        <v>111</v>
      </c>
      <c r="B89" s="25" t="s">
        <v>5</v>
      </c>
      <c r="C89" s="8" t="s">
        <v>62</v>
      </c>
      <c r="D89" s="7" t="s">
        <v>79</v>
      </c>
      <c r="E89" s="9" t="s">
        <v>63</v>
      </c>
      <c r="F89" s="10">
        <v>16</v>
      </c>
      <c r="G89" s="11" t="s">
        <v>53</v>
      </c>
      <c r="H89" s="7" t="s">
        <v>85</v>
      </c>
      <c r="I89" s="11" t="s">
        <v>9</v>
      </c>
      <c r="J89" s="11" t="s">
        <v>103</v>
      </c>
      <c r="K89" s="12">
        <v>7272.4931999999999</v>
      </c>
      <c r="L89" s="12">
        <f>K89*5%</f>
        <v>363.62466000000001</v>
      </c>
      <c r="M89" s="12">
        <f t="shared" si="4"/>
        <v>6908.8685399999995</v>
      </c>
      <c r="N89" s="29">
        <v>15</v>
      </c>
    </row>
    <row r="90" spans="1:17" ht="16.5" thickTop="1" thickBot="1" x14ac:dyDescent="0.3">
      <c r="A90" s="27" t="s">
        <v>111</v>
      </c>
      <c r="B90" s="25" t="s">
        <v>22</v>
      </c>
      <c r="C90" s="8" t="s">
        <v>62</v>
      </c>
      <c r="D90" s="7" t="s">
        <v>79</v>
      </c>
      <c r="E90" s="9" t="s">
        <v>63</v>
      </c>
      <c r="F90" s="10">
        <v>1</v>
      </c>
      <c r="G90" s="11" t="s">
        <v>54</v>
      </c>
      <c r="H90" s="7" t="s">
        <v>85</v>
      </c>
      <c r="I90" s="11" t="s">
        <v>20</v>
      </c>
      <c r="J90" s="11" t="s">
        <v>105</v>
      </c>
      <c r="K90" s="16">
        <v>36757.832193000002</v>
      </c>
      <c r="L90" s="12">
        <v>0</v>
      </c>
      <c r="M90" s="12">
        <f t="shared" si="4"/>
        <v>36757.832193000002</v>
      </c>
      <c r="N90" s="29">
        <v>30</v>
      </c>
    </row>
    <row r="91" spans="1:17" ht="16.5" thickTop="1" thickBot="1" x14ac:dyDescent="0.3">
      <c r="A91" s="27" t="s">
        <v>111</v>
      </c>
      <c r="B91" s="25" t="s">
        <v>22</v>
      </c>
      <c r="C91" s="8" t="s">
        <v>62</v>
      </c>
      <c r="D91" s="7" t="s">
        <v>79</v>
      </c>
      <c r="E91" s="9" t="s">
        <v>63</v>
      </c>
      <c r="F91" s="10">
        <v>1</v>
      </c>
      <c r="G91" s="11" t="s">
        <v>54</v>
      </c>
      <c r="H91" s="7" t="s">
        <v>85</v>
      </c>
      <c r="I91" s="11" t="s">
        <v>9</v>
      </c>
      <c r="J91" s="11" t="s">
        <v>105</v>
      </c>
      <c r="K91" s="16">
        <v>30185.123490000002</v>
      </c>
      <c r="L91" s="12">
        <v>0</v>
      </c>
      <c r="M91" s="12">
        <f t="shared" si="4"/>
        <v>30185.123490000002</v>
      </c>
      <c r="N91" s="29">
        <v>30</v>
      </c>
    </row>
    <row r="92" spans="1:17" ht="16.5" thickTop="1" thickBot="1" x14ac:dyDescent="0.3">
      <c r="A92" s="27" t="s">
        <v>111</v>
      </c>
      <c r="B92" s="25" t="s">
        <v>22</v>
      </c>
      <c r="C92" s="8" t="s">
        <v>62</v>
      </c>
      <c r="D92" s="7" t="s">
        <v>79</v>
      </c>
      <c r="E92" s="9" t="s">
        <v>63</v>
      </c>
      <c r="F92" s="10">
        <v>1</v>
      </c>
      <c r="G92" s="11" t="s">
        <v>55</v>
      </c>
      <c r="H92" s="7" t="s">
        <v>85</v>
      </c>
      <c r="I92" s="11" t="s">
        <v>20</v>
      </c>
      <c r="J92" s="11" t="s">
        <v>105</v>
      </c>
      <c r="K92" s="16">
        <v>31506.62688</v>
      </c>
      <c r="L92" s="12">
        <v>0</v>
      </c>
      <c r="M92" s="12">
        <f t="shared" si="4"/>
        <v>31506.62688</v>
      </c>
      <c r="N92" s="29">
        <v>30</v>
      </c>
    </row>
    <row r="93" spans="1:17" ht="16.5" thickTop="1" thickBot="1" x14ac:dyDescent="0.3">
      <c r="A93" s="27" t="s">
        <v>111</v>
      </c>
      <c r="B93" s="25" t="s">
        <v>22</v>
      </c>
      <c r="C93" s="8" t="s">
        <v>62</v>
      </c>
      <c r="D93" s="7" t="s">
        <v>79</v>
      </c>
      <c r="E93" s="9" t="s">
        <v>63</v>
      </c>
      <c r="F93" s="10">
        <v>1</v>
      </c>
      <c r="G93" s="11" t="s">
        <v>55</v>
      </c>
      <c r="H93" s="7" t="s">
        <v>85</v>
      </c>
      <c r="I93" s="11" t="s">
        <v>9</v>
      </c>
      <c r="J93" s="11" t="s">
        <v>105</v>
      </c>
      <c r="K93" s="12">
        <v>21581.665982999999</v>
      </c>
      <c r="L93" s="12">
        <v>0</v>
      </c>
      <c r="M93" s="12">
        <f t="shared" si="4"/>
        <v>21581.665982999999</v>
      </c>
      <c r="N93" s="29">
        <v>30</v>
      </c>
    </row>
    <row r="94" spans="1:17" ht="16.5" thickTop="1" thickBot="1" x14ac:dyDescent="0.3">
      <c r="A94" s="27" t="s">
        <v>111</v>
      </c>
      <c r="B94" s="25" t="s">
        <v>22</v>
      </c>
      <c r="C94" s="8" t="s">
        <v>62</v>
      </c>
      <c r="D94" s="7" t="s">
        <v>79</v>
      </c>
      <c r="E94" s="9" t="s">
        <v>63</v>
      </c>
      <c r="F94" s="10">
        <v>1</v>
      </c>
      <c r="G94" s="11" t="s">
        <v>56</v>
      </c>
      <c r="H94" s="7" t="s">
        <v>85</v>
      </c>
      <c r="I94" s="11" t="s">
        <v>9</v>
      </c>
      <c r="J94" s="11" t="s">
        <v>105</v>
      </c>
      <c r="K94" s="12">
        <v>30214.330290000002</v>
      </c>
      <c r="L94" s="12">
        <v>0</v>
      </c>
      <c r="M94" s="12">
        <f t="shared" si="4"/>
        <v>30214.330290000002</v>
      </c>
      <c r="N94" s="29">
        <v>30</v>
      </c>
    </row>
    <row r="95" spans="1:17" ht="16.5" thickTop="1" thickBot="1" x14ac:dyDescent="0.3">
      <c r="A95" s="27" t="s">
        <v>111</v>
      </c>
      <c r="B95" s="25" t="s">
        <v>22</v>
      </c>
      <c r="C95" s="8" t="s">
        <v>62</v>
      </c>
      <c r="D95" s="7" t="s">
        <v>79</v>
      </c>
      <c r="E95" s="9" t="s">
        <v>63</v>
      </c>
      <c r="F95" s="10">
        <v>1</v>
      </c>
      <c r="G95" s="11" t="s">
        <v>57</v>
      </c>
      <c r="H95" s="7" t="s">
        <v>85</v>
      </c>
      <c r="I95" s="11" t="s">
        <v>9</v>
      </c>
      <c r="J95" s="11" t="s">
        <v>105</v>
      </c>
      <c r="K95" s="12">
        <v>30185.123490000002</v>
      </c>
      <c r="L95" s="12">
        <v>0</v>
      </c>
      <c r="M95" s="12">
        <f t="shared" si="4"/>
        <v>30185.123490000002</v>
      </c>
      <c r="N95" s="29">
        <v>30</v>
      </c>
    </row>
    <row r="96" spans="1:17" ht="16.5" thickTop="1" thickBot="1" x14ac:dyDescent="0.3">
      <c r="A96" s="27" t="s">
        <v>111</v>
      </c>
      <c r="B96" s="25" t="s">
        <v>22</v>
      </c>
      <c r="C96" s="8" t="s">
        <v>62</v>
      </c>
      <c r="D96" s="7" t="s">
        <v>79</v>
      </c>
      <c r="E96" s="9" t="s">
        <v>63</v>
      </c>
      <c r="F96" s="10">
        <v>1</v>
      </c>
      <c r="G96" s="11" t="s">
        <v>58</v>
      </c>
      <c r="H96" s="7" t="s">
        <v>85</v>
      </c>
      <c r="I96" s="11" t="s">
        <v>9</v>
      </c>
      <c r="J96" s="11" t="s">
        <v>105</v>
      </c>
      <c r="K96" s="12">
        <v>17265.328613999998</v>
      </c>
      <c r="L96" s="12">
        <v>0</v>
      </c>
      <c r="M96" s="12">
        <f t="shared" si="4"/>
        <v>17265.328613999998</v>
      </c>
      <c r="N96" s="29">
        <v>30</v>
      </c>
    </row>
    <row r="97" spans="1:14" ht="16.5" thickTop="1" thickBot="1" x14ac:dyDescent="0.3">
      <c r="A97" s="30" t="s">
        <v>111</v>
      </c>
      <c r="B97" s="31" t="s">
        <v>22</v>
      </c>
      <c r="C97" s="32" t="s">
        <v>62</v>
      </c>
      <c r="D97" s="33" t="s">
        <v>79</v>
      </c>
      <c r="E97" s="34" t="s">
        <v>63</v>
      </c>
      <c r="F97" s="35">
        <v>1</v>
      </c>
      <c r="G97" s="36" t="s">
        <v>59</v>
      </c>
      <c r="H97" s="33" t="s">
        <v>85</v>
      </c>
      <c r="I97" s="36" t="s">
        <v>9</v>
      </c>
      <c r="J97" s="36" t="s">
        <v>105</v>
      </c>
      <c r="K97" s="37">
        <v>4316.3373689999999</v>
      </c>
      <c r="L97" s="37">
        <v>0</v>
      </c>
      <c r="M97" s="37">
        <f t="shared" si="4"/>
        <v>4316.3373689999999</v>
      </c>
      <c r="N97" s="38">
        <v>30</v>
      </c>
    </row>
    <row r="98" spans="1:14" ht="15.75" thickBot="1" x14ac:dyDescent="0.3">
      <c r="A98" s="39" t="s">
        <v>111</v>
      </c>
      <c r="B98" s="40" t="s">
        <v>5</v>
      </c>
      <c r="C98" s="41" t="s">
        <v>0</v>
      </c>
      <c r="D98" s="42" t="s">
        <v>79</v>
      </c>
      <c r="E98" s="43" t="s">
        <v>64</v>
      </c>
      <c r="F98" s="44">
        <v>10</v>
      </c>
      <c r="G98" s="45" t="s">
        <v>6</v>
      </c>
      <c r="H98" s="42" t="s">
        <v>85</v>
      </c>
      <c r="I98" s="45" t="s">
        <v>7</v>
      </c>
      <c r="J98" s="45" t="s">
        <v>103</v>
      </c>
      <c r="K98" s="46">
        <v>37326.692723669999</v>
      </c>
      <c r="L98" s="46">
        <f>K98*5%</f>
        <v>1866.3346361835002</v>
      </c>
      <c r="M98" s="46">
        <f>K98-L98</f>
        <v>35460.3580874865</v>
      </c>
      <c r="N98" s="47">
        <v>10</v>
      </c>
    </row>
    <row r="99" spans="1:14" ht="16.5" thickTop="1" thickBot="1" x14ac:dyDescent="0.3">
      <c r="A99" s="39" t="s">
        <v>111</v>
      </c>
      <c r="B99" s="25" t="s">
        <v>5</v>
      </c>
      <c r="C99" s="8" t="s">
        <v>0</v>
      </c>
      <c r="D99" s="7" t="s">
        <v>79</v>
      </c>
      <c r="E99" s="9" t="s">
        <v>64</v>
      </c>
      <c r="F99" s="10">
        <v>10</v>
      </c>
      <c r="G99" s="11" t="s">
        <v>8</v>
      </c>
      <c r="H99" s="7" t="s">
        <v>85</v>
      </c>
      <c r="I99" s="11" t="s">
        <v>7</v>
      </c>
      <c r="J99" s="11" t="s">
        <v>103</v>
      </c>
      <c r="K99" s="12">
        <v>17490.966790500002</v>
      </c>
      <c r="L99" s="12">
        <f>K99*5%</f>
        <v>874.54833952500019</v>
      </c>
      <c r="M99" s="12">
        <f>K99-L99</f>
        <v>16616.418450975001</v>
      </c>
      <c r="N99" s="29">
        <v>10</v>
      </c>
    </row>
    <row r="100" spans="1:14" ht="16.5" thickTop="1" thickBot="1" x14ac:dyDescent="0.3">
      <c r="A100" s="39" t="s">
        <v>111</v>
      </c>
      <c r="B100" s="25" t="s">
        <v>5</v>
      </c>
      <c r="C100" s="8" t="s">
        <v>0</v>
      </c>
      <c r="D100" s="7" t="s">
        <v>79</v>
      </c>
      <c r="E100" s="9" t="s">
        <v>64</v>
      </c>
      <c r="F100" s="10">
        <v>10</v>
      </c>
      <c r="G100" s="11" t="s">
        <v>8</v>
      </c>
      <c r="H100" s="7" t="s">
        <v>85</v>
      </c>
      <c r="I100" s="11" t="s">
        <v>97</v>
      </c>
      <c r="J100" s="11" t="s">
        <v>103</v>
      </c>
      <c r="K100" s="12">
        <v>17490.966790500002</v>
      </c>
      <c r="L100" s="12">
        <f>K100*5%</f>
        <v>874.54833952500019</v>
      </c>
      <c r="M100" s="12">
        <f>K100-L100</f>
        <v>16616.418450975001</v>
      </c>
      <c r="N100" s="29">
        <v>10</v>
      </c>
    </row>
    <row r="101" spans="1:14" ht="16.5" thickTop="1" thickBot="1" x14ac:dyDescent="0.3">
      <c r="A101" s="39" t="s">
        <v>111</v>
      </c>
      <c r="B101" s="25" t="s">
        <v>5</v>
      </c>
      <c r="C101" s="8" t="s">
        <v>0</v>
      </c>
      <c r="D101" s="7" t="s">
        <v>79</v>
      </c>
      <c r="E101" s="9" t="s">
        <v>64</v>
      </c>
      <c r="F101" s="10">
        <v>10</v>
      </c>
      <c r="G101" s="11" t="s">
        <v>8</v>
      </c>
      <c r="H101" s="7" t="s">
        <v>85</v>
      </c>
      <c r="I101" s="11" t="s">
        <v>9</v>
      </c>
      <c r="J101" s="11" t="s">
        <v>103</v>
      </c>
      <c r="K101" s="12">
        <v>15318.197313750001</v>
      </c>
      <c r="L101" s="12">
        <f>K101*5%</f>
        <v>765.90986568750009</v>
      </c>
      <c r="M101" s="12">
        <f>K101-L101</f>
        <v>14552.287448062501</v>
      </c>
      <c r="N101" s="29">
        <v>10</v>
      </c>
    </row>
    <row r="102" spans="1:14" ht="16.5" thickTop="1" thickBot="1" x14ac:dyDescent="0.3">
      <c r="A102" s="39" t="s">
        <v>111</v>
      </c>
      <c r="B102" s="25" t="s">
        <v>5</v>
      </c>
      <c r="C102" s="8" t="s">
        <v>0</v>
      </c>
      <c r="D102" s="7" t="s">
        <v>79</v>
      </c>
      <c r="E102" s="9" t="s">
        <v>64</v>
      </c>
      <c r="F102" s="10">
        <v>10</v>
      </c>
      <c r="G102" s="11" t="s">
        <v>8</v>
      </c>
      <c r="H102" s="7" t="s">
        <v>85</v>
      </c>
      <c r="I102" s="11" t="s">
        <v>15</v>
      </c>
      <c r="J102" s="11" t="s">
        <v>103</v>
      </c>
      <c r="K102" s="12">
        <v>13061.815548749999</v>
      </c>
      <c r="L102" s="12">
        <f>K102*5%</f>
        <v>653.09077743750004</v>
      </c>
      <c r="M102" s="12">
        <f>K102-L102</f>
        <v>12408.7247713125</v>
      </c>
      <c r="N102" s="29">
        <v>10</v>
      </c>
    </row>
    <row r="103" spans="1:14" ht="16.5" thickTop="1" thickBot="1" x14ac:dyDescent="0.3">
      <c r="A103" s="39" t="s">
        <v>111</v>
      </c>
      <c r="B103" s="25" t="s">
        <v>10</v>
      </c>
      <c r="C103" s="8" t="s">
        <v>0</v>
      </c>
      <c r="D103" s="7" t="s">
        <v>79</v>
      </c>
      <c r="E103" s="9" t="s">
        <v>64</v>
      </c>
      <c r="F103" s="10">
        <v>10</v>
      </c>
      <c r="G103" s="11" t="s">
        <v>8</v>
      </c>
      <c r="H103" s="7" t="s">
        <v>85</v>
      </c>
      <c r="I103" s="11" t="s">
        <v>96</v>
      </c>
      <c r="J103" s="11" t="s">
        <v>103</v>
      </c>
      <c r="K103" s="12">
        <v>2000</v>
      </c>
      <c r="L103" s="12">
        <f>0</f>
        <v>0</v>
      </c>
      <c r="M103" s="12">
        <f>K103</f>
        <v>2000</v>
      </c>
      <c r="N103" s="29">
        <v>10</v>
      </c>
    </row>
    <row r="104" spans="1:14" ht="16.5" thickTop="1" thickBot="1" x14ac:dyDescent="0.3">
      <c r="A104" s="39" t="s">
        <v>111</v>
      </c>
      <c r="B104" s="25" t="s">
        <v>10</v>
      </c>
      <c r="C104" s="8" t="s">
        <v>0</v>
      </c>
      <c r="D104" s="7" t="s">
        <v>79</v>
      </c>
      <c r="E104" s="9" t="s">
        <v>64</v>
      </c>
      <c r="F104" s="10">
        <v>10</v>
      </c>
      <c r="G104" s="11" t="s">
        <v>8</v>
      </c>
      <c r="H104" s="7" t="s">
        <v>85</v>
      </c>
      <c r="I104" s="11" t="s">
        <v>96</v>
      </c>
      <c r="J104" s="11" t="s">
        <v>103</v>
      </c>
      <c r="K104" s="12">
        <v>200</v>
      </c>
      <c r="L104" s="12">
        <f>0</f>
        <v>0</v>
      </c>
      <c r="M104" s="12">
        <f>K104</f>
        <v>200</v>
      </c>
      <c r="N104" s="29">
        <v>10</v>
      </c>
    </row>
    <row r="105" spans="1:14" ht="16.5" thickTop="1" thickBot="1" x14ac:dyDescent="0.3">
      <c r="A105" s="27" t="s">
        <v>111</v>
      </c>
      <c r="B105" s="25" t="s">
        <v>11</v>
      </c>
      <c r="C105" s="8" t="s">
        <v>0</v>
      </c>
      <c r="D105" s="7" t="s">
        <v>79</v>
      </c>
      <c r="E105" s="9" t="s">
        <v>64</v>
      </c>
      <c r="F105" s="10">
        <v>16</v>
      </c>
      <c r="G105" s="11" t="s">
        <v>12</v>
      </c>
      <c r="H105" s="7" t="s">
        <v>85</v>
      </c>
      <c r="I105" s="11" t="s">
        <v>7</v>
      </c>
      <c r="J105" s="11" t="s">
        <v>103</v>
      </c>
      <c r="K105" s="12">
        <v>17013.380378354999</v>
      </c>
      <c r="L105" s="12">
        <f>K105*16%</f>
        <v>2722.1408605368001</v>
      </c>
      <c r="M105" s="12">
        <f t="shared" ref="M105:M121" si="5">K105-L105</f>
        <v>14291.2395178182</v>
      </c>
      <c r="N105" s="29">
        <v>15</v>
      </c>
    </row>
    <row r="106" spans="1:14" ht="16.5" thickTop="1" thickBot="1" x14ac:dyDescent="0.3">
      <c r="A106" s="27" t="s">
        <v>111</v>
      </c>
      <c r="B106" s="25" t="s">
        <v>13</v>
      </c>
      <c r="C106" s="8" t="s">
        <v>0</v>
      </c>
      <c r="D106" s="7" t="s">
        <v>79</v>
      </c>
      <c r="E106" s="9" t="s">
        <v>64</v>
      </c>
      <c r="F106" s="10">
        <v>16</v>
      </c>
      <c r="G106" s="11" t="s">
        <v>12</v>
      </c>
      <c r="H106" s="7" t="s">
        <v>85</v>
      </c>
      <c r="I106" s="11" t="s">
        <v>9</v>
      </c>
      <c r="J106" s="11" t="s">
        <v>103</v>
      </c>
      <c r="K106" s="12">
        <v>3729.6405063450002</v>
      </c>
      <c r="L106" s="12">
        <f>K106*16%</f>
        <v>596.74248101520004</v>
      </c>
      <c r="M106" s="12">
        <f t="shared" si="5"/>
        <v>3132.8980253298</v>
      </c>
      <c r="N106" s="29">
        <v>15</v>
      </c>
    </row>
    <row r="107" spans="1:14" ht="16.5" thickTop="1" thickBot="1" x14ac:dyDescent="0.3">
      <c r="A107" s="27" t="s">
        <v>111</v>
      </c>
      <c r="B107" s="25" t="s">
        <v>13</v>
      </c>
      <c r="C107" s="8" t="s">
        <v>0</v>
      </c>
      <c r="D107" s="7" t="s">
        <v>79</v>
      </c>
      <c r="E107" s="9" t="s">
        <v>64</v>
      </c>
      <c r="F107" s="10">
        <v>16</v>
      </c>
      <c r="G107" s="11" t="s">
        <v>12</v>
      </c>
      <c r="H107" s="7" t="s">
        <v>85</v>
      </c>
      <c r="I107" s="11" t="s">
        <v>99</v>
      </c>
      <c r="J107" s="11" t="s">
        <v>103</v>
      </c>
      <c r="K107" s="12">
        <v>4416.0016102200007</v>
      </c>
      <c r="L107" s="12">
        <f>K107*16%</f>
        <v>706.56025763520017</v>
      </c>
      <c r="M107" s="12">
        <f t="shared" si="5"/>
        <v>3709.4413525848004</v>
      </c>
      <c r="N107" s="29">
        <v>15</v>
      </c>
    </row>
    <row r="108" spans="1:14" ht="16.5" thickTop="1" thickBot="1" x14ac:dyDescent="0.3">
      <c r="A108" s="27" t="s">
        <v>111</v>
      </c>
      <c r="B108" s="25" t="s">
        <v>5</v>
      </c>
      <c r="C108" s="8" t="s">
        <v>0</v>
      </c>
      <c r="D108" s="7" t="s">
        <v>79</v>
      </c>
      <c r="E108" s="9" t="s">
        <v>64</v>
      </c>
      <c r="F108" s="10">
        <v>16</v>
      </c>
      <c r="G108" s="11" t="s">
        <v>14</v>
      </c>
      <c r="H108" s="7" t="s">
        <v>84</v>
      </c>
      <c r="I108" s="11" t="s">
        <v>7</v>
      </c>
      <c r="J108" s="11" t="s">
        <v>103</v>
      </c>
      <c r="K108" s="12">
        <v>14761.659131999999</v>
      </c>
      <c r="L108" s="12">
        <f>K108*5%</f>
        <v>738.08295659999999</v>
      </c>
      <c r="M108" s="12">
        <f t="shared" si="5"/>
        <v>14023.5761754</v>
      </c>
      <c r="N108" s="29">
        <v>15</v>
      </c>
    </row>
    <row r="109" spans="1:14" ht="16.5" thickTop="1" thickBot="1" x14ac:dyDescent="0.3">
      <c r="A109" s="27" t="s">
        <v>111</v>
      </c>
      <c r="B109" s="25" t="s">
        <v>5</v>
      </c>
      <c r="C109" s="8" t="s">
        <v>0</v>
      </c>
      <c r="D109" s="7" t="s">
        <v>79</v>
      </c>
      <c r="E109" s="9" t="s">
        <v>64</v>
      </c>
      <c r="F109" s="10">
        <v>16</v>
      </c>
      <c r="G109" s="11" t="s">
        <v>14</v>
      </c>
      <c r="H109" s="7" t="s">
        <v>84</v>
      </c>
      <c r="I109" s="11" t="s">
        <v>9</v>
      </c>
      <c r="J109" s="11" t="s">
        <v>103</v>
      </c>
      <c r="K109" s="12">
        <v>7526.0082240000002</v>
      </c>
      <c r="L109" s="12">
        <f>K109*5%</f>
        <v>376.30041120000004</v>
      </c>
      <c r="M109" s="12">
        <f t="shared" si="5"/>
        <v>7149.7078128000003</v>
      </c>
      <c r="N109" s="29">
        <v>15</v>
      </c>
    </row>
    <row r="110" spans="1:14" ht="16.5" thickTop="1" thickBot="1" x14ac:dyDescent="0.3">
      <c r="A110" s="27" t="s">
        <v>111</v>
      </c>
      <c r="B110" s="25" t="s">
        <v>5</v>
      </c>
      <c r="C110" s="8" t="s">
        <v>0</v>
      </c>
      <c r="D110" s="7" t="s">
        <v>79</v>
      </c>
      <c r="E110" s="9" t="s">
        <v>64</v>
      </c>
      <c r="F110" s="10">
        <v>16</v>
      </c>
      <c r="G110" s="11" t="s">
        <v>14</v>
      </c>
      <c r="H110" s="7" t="s">
        <v>84</v>
      </c>
      <c r="I110" s="11" t="s">
        <v>15</v>
      </c>
      <c r="J110" s="11" t="s">
        <v>103</v>
      </c>
      <c r="K110" s="12">
        <v>4780.5638085000001</v>
      </c>
      <c r="L110" s="12">
        <f>K110*5%</f>
        <v>239.02819042500002</v>
      </c>
      <c r="M110" s="12">
        <f t="shared" si="5"/>
        <v>4541.5356180750005</v>
      </c>
      <c r="N110" s="29">
        <v>15</v>
      </c>
    </row>
    <row r="111" spans="1:14" ht="16.5" thickTop="1" thickBot="1" x14ac:dyDescent="0.3">
      <c r="A111" s="27" t="s">
        <v>111</v>
      </c>
      <c r="B111" s="25" t="s">
        <v>10</v>
      </c>
      <c r="C111" s="8" t="s">
        <v>0</v>
      </c>
      <c r="D111" s="7" t="s">
        <v>79</v>
      </c>
      <c r="E111" s="9" t="s">
        <v>64</v>
      </c>
      <c r="F111" s="10">
        <v>16</v>
      </c>
      <c r="G111" s="11" t="s">
        <v>14</v>
      </c>
      <c r="H111" s="7" t="s">
        <v>84</v>
      </c>
      <c r="I111" s="11" t="s">
        <v>96</v>
      </c>
      <c r="J111" s="11" t="s">
        <v>103</v>
      </c>
      <c r="K111" s="12">
        <v>500</v>
      </c>
      <c r="L111" s="12">
        <f>0</f>
        <v>0</v>
      </c>
      <c r="M111" s="12">
        <f t="shared" si="5"/>
        <v>500</v>
      </c>
      <c r="N111" s="29">
        <v>15</v>
      </c>
    </row>
    <row r="112" spans="1:14" ht="16.5" thickTop="1" thickBot="1" x14ac:dyDescent="0.3">
      <c r="A112" s="27" t="s">
        <v>111</v>
      </c>
      <c r="B112" s="25" t="s">
        <v>11</v>
      </c>
      <c r="C112" s="8" t="s">
        <v>0</v>
      </c>
      <c r="D112" s="7" t="s">
        <v>79</v>
      </c>
      <c r="E112" s="9" t="s">
        <v>64</v>
      </c>
      <c r="F112" s="10">
        <v>20</v>
      </c>
      <c r="G112" s="11" t="s">
        <v>16</v>
      </c>
      <c r="H112" s="7" t="s">
        <v>85</v>
      </c>
      <c r="I112" s="11" t="s">
        <v>7</v>
      </c>
      <c r="J112" s="11" t="s">
        <v>103</v>
      </c>
      <c r="K112" s="12">
        <v>15515</v>
      </c>
      <c r="L112" s="12">
        <f>K112*16%</f>
        <v>2482.4</v>
      </c>
      <c r="M112" s="12">
        <f t="shared" si="5"/>
        <v>13032.6</v>
      </c>
      <c r="N112" s="29">
        <v>15</v>
      </c>
    </row>
    <row r="113" spans="1:14" ht="16.5" thickTop="1" thickBot="1" x14ac:dyDescent="0.3">
      <c r="A113" s="27" t="s">
        <v>111</v>
      </c>
      <c r="B113" s="25" t="s">
        <v>13</v>
      </c>
      <c r="C113" s="8" t="s">
        <v>0</v>
      </c>
      <c r="D113" s="7" t="s">
        <v>79</v>
      </c>
      <c r="E113" s="9" t="s">
        <v>64</v>
      </c>
      <c r="F113" s="10">
        <v>20</v>
      </c>
      <c r="G113" s="11" t="s">
        <v>16</v>
      </c>
      <c r="H113" s="7" t="s">
        <v>85</v>
      </c>
      <c r="I113" s="11" t="s">
        <v>113</v>
      </c>
      <c r="J113" s="11" t="s">
        <v>103</v>
      </c>
      <c r="K113" s="12">
        <v>1500</v>
      </c>
      <c r="L113" s="12">
        <f>K113*16%</f>
        <v>240</v>
      </c>
      <c r="M113" s="12">
        <f t="shared" si="5"/>
        <v>1260</v>
      </c>
      <c r="N113" s="29">
        <v>15</v>
      </c>
    </row>
    <row r="114" spans="1:14" ht="16.5" thickTop="1" thickBot="1" x14ac:dyDescent="0.3">
      <c r="A114" s="27" t="s">
        <v>111</v>
      </c>
      <c r="B114" s="25" t="s">
        <v>13</v>
      </c>
      <c r="C114" s="8" t="s">
        <v>0</v>
      </c>
      <c r="D114" s="7" t="s">
        <v>79</v>
      </c>
      <c r="E114" s="9" t="s">
        <v>64</v>
      </c>
      <c r="F114" s="10">
        <v>20</v>
      </c>
      <c r="G114" s="11" t="s">
        <v>16</v>
      </c>
      <c r="H114" s="7" t="s">
        <v>85</v>
      </c>
      <c r="I114" s="11" t="s">
        <v>9</v>
      </c>
      <c r="J114" s="11" t="s">
        <v>103</v>
      </c>
      <c r="K114" s="12">
        <v>7480</v>
      </c>
      <c r="L114" s="12">
        <f>K114*16%</f>
        <v>1196.8</v>
      </c>
      <c r="M114" s="12">
        <f t="shared" si="5"/>
        <v>6283.2</v>
      </c>
      <c r="N114" s="29">
        <v>15</v>
      </c>
    </row>
    <row r="115" spans="1:14" ht="16.5" thickTop="1" thickBot="1" x14ac:dyDescent="0.3">
      <c r="A115" s="27" t="s">
        <v>111</v>
      </c>
      <c r="B115" s="25" t="s">
        <v>13</v>
      </c>
      <c r="C115" s="8" t="s">
        <v>0</v>
      </c>
      <c r="D115" s="7" t="s">
        <v>79</v>
      </c>
      <c r="E115" s="9" t="s">
        <v>64</v>
      </c>
      <c r="F115" s="10">
        <v>20</v>
      </c>
      <c r="G115" s="11" t="s">
        <v>16</v>
      </c>
      <c r="H115" s="7" t="s">
        <v>85</v>
      </c>
      <c r="I115" s="11" t="s">
        <v>15</v>
      </c>
      <c r="J115" s="11" t="s">
        <v>103</v>
      </c>
      <c r="K115" s="12">
        <v>6826</v>
      </c>
      <c r="L115" s="12">
        <f>K115*16%</f>
        <v>1092.1600000000001</v>
      </c>
      <c r="M115" s="12">
        <f t="shared" si="5"/>
        <v>5733.84</v>
      </c>
      <c r="N115" s="29">
        <v>15</v>
      </c>
    </row>
    <row r="116" spans="1:14" ht="16.5" thickTop="1" thickBot="1" x14ac:dyDescent="0.3">
      <c r="A116" s="27" t="s">
        <v>111</v>
      </c>
      <c r="B116" s="25" t="s">
        <v>5</v>
      </c>
      <c r="C116" s="8" t="s">
        <v>0</v>
      </c>
      <c r="D116" s="7" t="s">
        <v>79</v>
      </c>
      <c r="E116" s="9" t="s">
        <v>64</v>
      </c>
      <c r="F116" s="10">
        <v>5</v>
      </c>
      <c r="G116" s="11" t="s">
        <v>17</v>
      </c>
      <c r="H116" s="7" t="s">
        <v>85</v>
      </c>
      <c r="I116" s="11" t="s">
        <v>7</v>
      </c>
      <c r="J116" s="11" t="s">
        <v>103</v>
      </c>
      <c r="K116" s="12">
        <v>16574.890605929999</v>
      </c>
      <c r="L116" s="12">
        <f>K116*5%</f>
        <v>828.74453029649999</v>
      </c>
      <c r="M116" s="12">
        <f t="shared" si="5"/>
        <v>15746.146075633498</v>
      </c>
      <c r="N116" s="29">
        <v>10</v>
      </c>
    </row>
    <row r="117" spans="1:14" ht="16.5" thickTop="1" thickBot="1" x14ac:dyDescent="0.3">
      <c r="A117" s="39" t="s">
        <v>111</v>
      </c>
      <c r="B117" s="25" t="s">
        <v>5</v>
      </c>
      <c r="C117" s="8" t="s">
        <v>0</v>
      </c>
      <c r="D117" s="7" t="s">
        <v>79</v>
      </c>
      <c r="E117" s="9" t="s">
        <v>64</v>
      </c>
      <c r="F117" s="10">
        <v>5</v>
      </c>
      <c r="G117" s="11" t="s">
        <v>17</v>
      </c>
      <c r="H117" s="7" t="s">
        <v>85</v>
      </c>
      <c r="I117" s="11" t="s">
        <v>15</v>
      </c>
      <c r="J117" s="11" t="s">
        <v>103</v>
      </c>
      <c r="K117" s="12">
        <v>4086.3215625749995</v>
      </c>
      <c r="L117" s="12">
        <f>K117*5%</f>
        <v>204.31607812874998</v>
      </c>
      <c r="M117" s="12">
        <f>K117-L117</f>
        <v>3882.0054844462493</v>
      </c>
      <c r="N117" s="29">
        <v>10</v>
      </c>
    </row>
    <row r="118" spans="1:14" ht="16.5" thickTop="1" thickBot="1" x14ac:dyDescent="0.3">
      <c r="A118" s="39" t="s">
        <v>111</v>
      </c>
      <c r="B118" s="25" t="s">
        <v>5</v>
      </c>
      <c r="C118" s="8" t="s">
        <v>0</v>
      </c>
      <c r="D118" s="7" t="s">
        <v>79</v>
      </c>
      <c r="E118" s="9" t="s">
        <v>64</v>
      </c>
      <c r="F118" s="10">
        <v>1</v>
      </c>
      <c r="G118" s="11" t="s">
        <v>18</v>
      </c>
      <c r="H118" s="7" t="s">
        <v>85</v>
      </c>
      <c r="I118" s="11" t="s">
        <v>9</v>
      </c>
      <c r="J118" s="11" t="s">
        <v>103</v>
      </c>
      <c r="K118" s="12">
        <v>4153.3112700000001</v>
      </c>
      <c r="L118" s="12">
        <f>K118*5%</f>
        <v>207.66556350000002</v>
      </c>
      <c r="M118" s="12">
        <f t="shared" si="5"/>
        <v>3945.6457065</v>
      </c>
      <c r="N118" s="29">
        <v>10</v>
      </c>
    </row>
    <row r="119" spans="1:14" ht="16.5" thickTop="1" thickBot="1" x14ac:dyDescent="0.3">
      <c r="A119" s="39" t="s">
        <v>111</v>
      </c>
      <c r="B119" s="25" t="s">
        <v>11</v>
      </c>
      <c r="C119" s="8" t="s">
        <v>0</v>
      </c>
      <c r="D119" s="7" t="s">
        <v>79</v>
      </c>
      <c r="E119" s="9" t="s">
        <v>64</v>
      </c>
      <c r="F119" s="10">
        <v>20</v>
      </c>
      <c r="G119" s="11" t="s">
        <v>19</v>
      </c>
      <c r="H119" s="7" t="s">
        <v>88</v>
      </c>
      <c r="I119" s="11" t="s">
        <v>20</v>
      </c>
      <c r="J119" s="11" t="s">
        <v>105</v>
      </c>
      <c r="K119" s="12">
        <v>10635.19</v>
      </c>
      <c r="L119" s="12">
        <f>K119*16%</f>
        <v>1701.6304</v>
      </c>
      <c r="M119" s="12">
        <f t="shared" si="5"/>
        <v>8933.5596000000005</v>
      </c>
      <c r="N119" s="29">
        <v>15</v>
      </c>
    </row>
    <row r="120" spans="1:14" ht="16.5" thickTop="1" thickBot="1" x14ac:dyDescent="0.3">
      <c r="A120" s="39" t="s">
        <v>111</v>
      </c>
      <c r="B120" s="25" t="s">
        <v>13</v>
      </c>
      <c r="C120" s="8" t="s">
        <v>0</v>
      </c>
      <c r="D120" s="7" t="s">
        <v>79</v>
      </c>
      <c r="E120" s="9" t="s">
        <v>64</v>
      </c>
      <c r="F120" s="10">
        <v>5</v>
      </c>
      <c r="G120" s="11" t="s">
        <v>21</v>
      </c>
      <c r="H120" s="7" t="s">
        <v>85</v>
      </c>
      <c r="I120" s="11" t="s">
        <v>9</v>
      </c>
      <c r="J120" s="11" t="s">
        <v>105</v>
      </c>
      <c r="K120" s="12">
        <v>32256.26</v>
      </c>
      <c r="L120" s="12">
        <f>K120*16%</f>
        <v>5161.0015999999996</v>
      </c>
      <c r="M120" s="12">
        <f t="shared" si="5"/>
        <v>27095.258399999999</v>
      </c>
      <c r="N120" s="29">
        <v>10</v>
      </c>
    </row>
    <row r="121" spans="1:14" ht="15.75" customHeight="1" thickTop="1" thickBot="1" x14ac:dyDescent="0.3">
      <c r="A121" s="39" t="s">
        <v>111</v>
      </c>
      <c r="B121" s="25" t="s">
        <v>11</v>
      </c>
      <c r="C121" s="8" t="s">
        <v>0</v>
      </c>
      <c r="D121" s="7" t="s">
        <v>79</v>
      </c>
      <c r="E121" s="9" t="s">
        <v>64</v>
      </c>
      <c r="F121" s="10">
        <v>20</v>
      </c>
      <c r="G121" s="11" t="s">
        <v>21</v>
      </c>
      <c r="H121" s="7" t="s">
        <v>85</v>
      </c>
      <c r="I121" s="11" t="s">
        <v>20</v>
      </c>
      <c r="J121" s="11" t="s">
        <v>105</v>
      </c>
      <c r="K121" s="12">
        <v>37709</v>
      </c>
      <c r="L121" s="12">
        <f>K121*16%</f>
        <v>6033.4400000000005</v>
      </c>
      <c r="M121" s="12">
        <f t="shared" si="5"/>
        <v>31675.559999999998</v>
      </c>
      <c r="N121" s="29">
        <v>10</v>
      </c>
    </row>
    <row r="122" spans="1:14" ht="15.75" customHeight="1" thickTop="1" thickBot="1" x14ac:dyDescent="0.3">
      <c r="A122" s="39" t="s">
        <v>111</v>
      </c>
      <c r="B122" s="25" t="s">
        <v>22</v>
      </c>
      <c r="C122" s="8" t="s">
        <v>0</v>
      </c>
      <c r="D122" s="7" t="s">
        <v>79</v>
      </c>
      <c r="E122" s="9" t="s">
        <v>64</v>
      </c>
      <c r="F122" s="10">
        <v>20</v>
      </c>
      <c r="G122" s="11" t="s">
        <v>23</v>
      </c>
      <c r="H122" s="7" t="s">
        <v>83</v>
      </c>
      <c r="I122" s="11" t="s">
        <v>7</v>
      </c>
      <c r="J122" s="11" t="s">
        <v>80</v>
      </c>
      <c r="K122" s="12">
        <v>5000</v>
      </c>
      <c r="L122" s="12">
        <v>0</v>
      </c>
      <c r="M122" s="12">
        <v>10000</v>
      </c>
      <c r="N122" s="29">
        <v>15</v>
      </c>
    </row>
    <row r="123" spans="1:14" ht="16.5" thickTop="1" thickBot="1" x14ac:dyDescent="0.3">
      <c r="A123" s="39" t="s">
        <v>111</v>
      </c>
      <c r="B123" s="25" t="s">
        <v>11</v>
      </c>
      <c r="C123" s="8" t="s">
        <v>0</v>
      </c>
      <c r="D123" s="7" t="s">
        <v>79</v>
      </c>
      <c r="E123" s="9" t="s">
        <v>64</v>
      </c>
      <c r="F123" s="10">
        <v>20</v>
      </c>
      <c r="G123" s="11" t="s">
        <v>24</v>
      </c>
      <c r="H123" s="7" t="s">
        <v>83</v>
      </c>
      <c r="I123" s="11" t="s">
        <v>7</v>
      </c>
      <c r="J123" s="11" t="s">
        <v>80</v>
      </c>
      <c r="K123" s="12">
        <v>61581.403376595001</v>
      </c>
      <c r="L123" s="12">
        <f>K123*16%</f>
        <v>9853.0245402552009</v>
      </c>
      <c r="M123" s="12">
        <f>K123-L123</f>
        <v>51728.378836339798</v>
      </c>
      <c r="N123" s="29">
        <v>23</v>
      </c>
    </row>
    <row r="124" spans="1:14" ht="16.5" thickTop="1" thickBot="1" x14ac:dyDescent="0.3">
      <c r="A124" s="39" t="s">
        <v>111</v>
      </c>
      <c r="B124" s="25" t="s">
        <v>13</v>
      </c>
      <c r="C124" s="8" t="s">
        <v>0</v>
      </c>
      <c r="D124" s="7" t="s">
        <v>79</v>
      </c>
      <c r="E124" s="9" t="s">
        <v>64</v>
      </c>
      <c r="F124" s="10">
        <v>20</v>
      </c>
      <c r="G124" s="11" t="s">
        <v>24</v>
      </c>
      <c r="H124" s="7" t="s">
        <v>83</v>
      </c>
      <c r="I124" s="11" t="s">
        <v>9</v>
      </c>
      <c r="J124" s="11" t="s">
        <v>80</v>
      </c>
      <c r="K124" s="12">
        <v>12948.9964605</v>
      </c>
      <c r="L124" s="12">
        <f>K124*16%</f>
        <v>2071.8394336800002</v>
      </c>
      <c r="M124" s="12">
        <f>K124-L124</f>
        <v>10877.157026820001</v>
      </c>
      <c r="N124" s="29">
        <v>23</v>
      </c>
    </row>
    <row r="125" spans="1:14" ht="16.5" thickTop="1" thickBot="1" x14ac:dyDescent="0.3">
      <c r="A125" s="39" t="s">
        <v>111</v>
      </c>
      <c r="B125" s="25" t="s">
        <v>10</v>
      </c>
      <c r="C125" s="8" t="s">
        <v>0</v>
      </c>
      <c r="D125" s="7" t="s">
        <v>79</v>
      </c>
      <c r="E125" s="9" t="s">
        <v>64</v>
      </c>
      <c r="F125" s="10">
        <v>20</v>
      </c>
      <c r="G125" s="11" t="s">
        <v>24</v>
      </c>
      <c r="H125" s="7" t="s">
        <v>83</v>
      </c>
      <c r="I125" s="11" t="s">
        <v>96</v>
      </c>
      <c r="J125" s="11" t="s">
        <v>80</v>
      </c>
      <c r="K125" s="12">
        <v>1500</v>
      </c>
      <c r="L125" s="12">
        <f>0</f>
        <v>0</v>
      </c>
      <c r="M125" s="12">
        <f>K125</f>
        <v>1500</v>
      </c>
      <c r="N125" s="29">
        <v>23</v>
      </c>
    </row>
    <row r="126" spans="1:14" ht="16.5" thickTop="1" thickBot="1" x14ac:dyDescent="0.3">
      <c r="A126" s="39" t="s">
        <v>111</v>
      </c>
      <c r="B126" s="25" t="s">
        <v>11</v>
      </c>
      <c r="C126" s="8" t="s">
        <v>0</v>
      </c>
      <c r="D126" s="7" t="s">
        <v>78</v>
      </c>
      <c r="E126" s="9" t="s">
        <v>64</v>
      </c>
      <c r="F126" s="10">
        <v>20</v>
      </c>
      <c r="G126" s="11" t="s">
        <v>72</v>
      </c>
      <c r="H126" s="7" t="s">
        <v>83</v>
      </c>
      <c r="I126" s="11" t="s">
        <v>30</v>
      </c>
      <c r="J126" s="11" t="s">
        <v>109</v>
      </c>
      <c r="K126" s="12">
        <v>600</v>
      </c>
      <c r="L126" s="12">
        <f t="shared" ref="L126:L131" si="6">K126*5%</f>
        <v>30</v>
      </c>
      <c r="M126" s="12">
        <f t="shared" ref="M126:M131" si="7">K126-L126</f>
        <v>570</v>
      </c>
      <c r="N126" s="29">
        <v>7</v>
      </c>
    </row>
    <row r="127" spans="1:14" ht="16.5" thickTop="1" thickBot="1" x14ac:dyDescent="0.3">
      <c r="A127" s="39" t="s">
        <v>111</v>
      </c>
      <c r="B127" s="25" t="s">
        <v>11</v>
      </c>
      <c r="C127" s="8" t="s">
        <v>0</v>
      </c>
      <c r="D127" s="7" t="s">
        <v>78</v>
      </c>
      <c r="E127" s="9" t="s">
        <v>64</v>
      </c>
      <c r="F127" s="10">
        <v>20</v>
      </c>
      <c r="G127" s="11" t="s">
        <v>73</v>
      </c>
      <c r="H127" s="7" t="s">
        <v>83</v>
      </c>
      <c r="I127" s="11" t="s">
        <v>30</v>
      </c>
      <c r="J127" s="11" t="s">
        <v>80</v>
      </c>
      <c r="K127" s="12">
        <v>600</v>
      </c>
      <c r="L127" s="12">
        <f t="shared" si="6"/>
        <v>30</v>
      </c>
      <c r="M127" s="12">
        <f t="shared" si="7"/>
        <v>570</v>
      </c>
      <c r="N127" s="29">
        <v>7</v>
      </c>
    </row>
    <row r="128" spans="1:14" ht="16.5" thickTop="1" thickBot="1" x14ac:dyDescent="0.3">
      <c r="A128" s="39" t="s">
        <v>111</v>
      </c>
      <c r="B128" s="25" t="s">
        <v>11</v>
      </c>
      <c r="C128" s="8" t="s">
        <v>0</v>
      </c>
      <c r="D128" s="7" t="s">
        <v>78</v>
      </c>
      <c r="E128" s="9" t="s">
        <v>64</v>
      </c>
      <c r="F128" s="10">
        <v>20</v>
      </c>
      <c r="G128" s="11" t="s">
        <v>74</v>
      </c>
      <c r="H128" s="7" t="s">
        <v>83</v>
      </c>
      <c r="I128" s="11" t="s">
        <v>30</v>
      </c>
      <c r="J128" s="11" t="s">
        <v>110</v>
      </c>
      <c r="K128" s="12">
        <v>600</v>
      </c>
      <c r="L128" s="12">
        <f t="shared" si="6"/>
        <v>30</v>
      </c>
      <c r="M128" s="12">
        <f t="shared" si="7"/>
        <v>570</v>
      </c>
      <c r="N128" s="29">
        <v>7</v>
      </c>
    </row>
    <row r="129" spans="1:14" ht="16.5" thickTop="1" thickBot="1" x14ac:dyDescent="0.3">
      <c r="A129" s="39" t="s">
        <v>111</v>
      </c>
      <c r="B129" s="25" t="s">
        <v>11</v>
      </c>
      <c r="C129" s="8" t="s">
        <v>0</v>
      </c>
      <c r="D129" s="7" t="s">
        <v>78</v>
      </c>
      <c r="E129" s="9" t="s">
        <v>64</v>
      </c>
      <c r="F129" s="10">
        <v>20</v>
      </c>
      <c r="G129" s="11" t="s">
        <v>75</v>
      </c>
      <c r="H129" s="7" t="s">
        <v>83</v>
      </c>
      <c r="I129" s="11" t="s">
        <v>30</v>
      </c>
      <c r="J129" s="11" t="s">
        <v>110</v>
      </c>
      <c r="K129" s="12">
        <v>600</v>
      </c>
      <c r="L129" s="12">
        <f t="shared" si="6"/>
        <v>30</v>
      </c>
      <c r="M129" s="12">
        <f t="shared" si="7"/>
        <v>570</v>
      </c>
      <c r="N129" s="29">
        <v>7</v>
      </c>
    </row>
    <row r="130" spans="1:14" ht="16.5" thickTop="1" thickBot="1" x14ac:dyDescent="0.3">
      <c r="A130" s="39" t="s">
        <v>111</v>
      </c>
      <c r="B130" s="25" t="s">
        <v>11</v>
      </c>
      <c r="C130" s="8" t="s">
        <v>0</v>
      </c>
      <c r="D130" s="7" t="s">
        <v>78</v>
      </c>
      <c r="E130" s="9" t="s">
        <v>64</v>
      </c>
      <c r="F130" s="10">
        <v>20</v>
      </c>
      <c r="G130" s="11" t="s">
        <v>76</v>
      </c>
      <c r="H130" s="7" t="s">
        <v>83</v>
      </c>
      <c r="I130" s="11" t="s">
        <v>30</v>
      </c>
      <c r="J130" s="11" t="s">
        <v>105</v>
      </c>
      <c r="K130" s="12">
        <v>600</v>
      </c>
      <c r="L130" s="12">
        <f t="shared" si="6"/>
        <v>30</v>
      </c>
      <c r="M130" s="12">
        <f t="shared" si="7"/>
        <v>570</v>
      </c>
      <c r="N130" s="29">
        <v>7</v>
      </c>
    </row>
    <row r="131" spans="1:14" ht="16.5" thickTop="1" thickBot="1" x14ac:dyDescent="0.3">
      <c r="A131" s="39" t="s">
        <v>111</v>
      </c>
      <c r="B131" s="25" t="s">
        <v>11</v>
      </c>
      <c r="C131" s="8" t="s">
        <v>0</v>
      </c>
      <c r="D131" s="7" t="s">
        <v>78</v>
      </c>
      <c r="E131" s="9" t="s">
        <v>64</v>
      </c>
      <c r="F131" s="10">
        <v>20</v>
      </c>
      <c r="G131" s="11" t="s">
        <v>77</v>
      </c>
      <c r="H131" s="7" t="s">
        <v>83</v>
      </c>
      <c r="I131" s="11" t="s">
        <v>30</v>
      </c>
      <c r="J131" s="11" t="s">
        <v>105</v>
      </c>
      <c r="K131" s="12">
        <v>600</v>
      </c>
      <c r="L131" s="12">
        <f t="shared" si="6"/>
        <v>30</v>
      </c>
      <c r="M131" s="12">
        <f t="shared" si="7"/>
        <v>570</v>
      </c>
      <c r="N131" s="29">
        <v>7</v>
      </c>
    </row>
    <row r="132" spans="1:14" ht="16.5" thickTop="1" thickBot="1" x14ac:dyDescent="0.3">
      <c r="A132" s="39" t="s">
        <v>111</v>
      </c>
      <c r="B132" s="25" t="s">
        <v>22</v>
      </c>
      <c r="C132" s="8" t="s">
        <v>25</v>
      </c>
      <c r="D132" s="7" t="s">
        <v>79</v>
      </c>
      <c r="E132" s="9" t="s">
        <v>64</v>
      </c>
      <c r="F132" s="10">
        <v>5</v>
      </c>
      <c r="G132" s="11" t="s">
        <v>26</v>
      </c>
      <c r="H132" s="7" t="s">
        <v>83</v>
      </c>
      <c r="I132" s="11" t="s">
        <v>7</v>
      </c>
      <c r="J132" s="11" t="s">
        <v>80</v>
      </c>
      <c r="K132" s="12">
        <v>19790.640856350001</v>
      </c>
      <c r="L132" s="12">
        <v>0</v>
      </c>
      <c r="M132" s="12">
        <f t="shared" ref="M132:M161" si="8">K132-L132</f>
        <v>19790.640856350001</v>
      </c>
      <c r="N132" s="29">
        <v>27</v>
      </c>
    </row>
    <row r="133" spans="1:14" ht="16.5" thickTop="1" thickBot="1" x14ac:dyDescent="0.3">
      <c r="A133" s="39" t="s">
        <v>111</v>
      </c>
      <c r="B133" s="25" t="s">
        <v>22</v>
      </c>
      <c r="C133" s="8" t="s">
        <v>25</v>
      </c>
      <c r="D133" s="7" t="s">
        <v>79</v>
      </c>
      <c r="E133" s="9" t="s">
        <v>64</v>
      </c>
      <c r="F133" s="10">
        <v>5</v>
      </c>
      <c r="G133" s="11" t="s">
        <v>26</v>
      </c>
      <c r="H133" s="7" t="s">
        <v>83</v>
      </c>
      <c r="I133" s="11" t="s">
        <v>9</v>
      </c>
      <c r="J133" s="11" t="s">
        <v>80</v>
      </c>
      <c r="K133" s="12">
        <v>4336.4128715999996</v>
      </c>
      <c r="L133" s="12">
        <v>0</v>
      </c>
      <c r="M133" s="12">
        <f t="shared" si="8"/>
        <v>4336.4128715999996</v>
      </c>
      <c r="N133" s="29">
        <v>27</v>
      </c>
    </row>
    <row r="134" spans="1:14" ht="16.5" thickTop="1" thickBot="1" x14ac:dyDescent="0.3">
      <c r="A134" s="39" t="s">
        <v>111</v>
      </c>
      <c r="B134" s="25" t="s">
        <v>22</v>
      </c>
      <c r="C134" s="8" t="s">
        <v>25</v>
      </c>
      <c r="D134" s="7" t="s">
        <v>79</v>
      </c>
      <c r="E134" s="9" t="s">
        <v>64</v>
      </c>
      <c r="F134" s="10">
        <v>5</v>
      </c>
      <c r="G134" s="11" t="s">
        <v>27</v>
      </c>
      <c r="H134" s="7" t="s">
        <v>83</v>
      </c>
      <c r="I134" s="11" t="s">
        <v>7</v>
      </c>
      <c r="J134" s="11" t="s">
        <v>80</v>
      </c>
      <c r="K134" s="12">
        <v>19790.640856349997</v>
      </c>
      <c r="L134" s="12">
        <v>0</v>
      </c>
      <c r="M134" s="12">
        <f t="shared" si="8"/>
        <v>19790.640856349997</v>
      </c>
      <c r="N134" s="29">
        <v>27</v>
      </c>
    </row>
    <row r="135" spans="1:14" ht="16.5" thickTop="1" thickBot="1" x14ac:dyDescent="0.3">
      <c r="A135" s="39" t="s">
        <v>111</v>
      </c>
      <c r="B135" s="25" t="s">
        <v>22</v>
      </c>
      <c r="C135" s="8" t="s">
        <v>25</v>
      </c>
      <c r="D135" s="7" t="s">
        <v>79</v>
      </c>
      <c r="E135" s="9" t="s">
        <v>64</v>
      </c>
      <c r="F135" s="10">
        <v>5</v>
      </c>
      <c r="G135" s="11" t="s">
        <v>27</v>
      </c>
      <c r="H135" s="7" t="s">
        <v>83</v>
      </c>
      <c r="I135" s="11" t="s">
        <v>9</v>
      </c>
      <c r="J135" s="11" t="s">
        <v>80</v>
      </c>
      <c r="K135" s="12">
        <v>4336.4128715999996</v>
      </c>
      <c r="L135" s="12">
        <v>0</v>
      </c>
      <c r="M135" s="12">
        <f t="shared" si="8"/>
        <v>4336.4128715999996</v>
      </c>
      <c r="N135" s="29">
        <v>27</v>
      </c>
    </row>
    <row r="136" spans="1:14" ht="16.5" thickTop="1" thickBot="1" x14ac:dyDescent="0.3">
      <c r="A136" s="39" t="s">
        <v>111</v>
      </c>
      <c r="B136" s="25" t="s">
        <v>22</v>
      </c>
      <c r="C136" s="8" t="s">
        <v>25</v>
      </c>
      <c r="D136" s="7" t="s">
        <v>79</v>
      </c>
      <c r="E136" s="9" t="s">
        <v>64</v>
      </c>
      <c r="F136" s="10">
        <v>5</v>
      </c>
      <c r="G136" s="11" t="s">
        <v>27</v>
      </c>
      <c r="H136" s="7" t="s">
        <v>83</v>
      </c>
      <c r="I136" s="11" t="s">
        <v>113</v>
      </c>
      <c r="J136" s="11" t="s">
        <v>80</v>
      </c>
      <c r="K136" s="12">
        <v>1823.589144</v>
      </c>
      <c r="L136" s="12">
        <v>0</v>
      </c>
      <c r="M136" s="12">
        <f t="shared" si="8"/>
        <v>1823.589144</v>
      </c>
      <c r="N136" s="29">
        <v>27</v>
      </c>
    </row>
    <row r="137" spans="1:14" ht="16.5" thickTop="1" thickBot="1" x14ac:dyDescent="0.3">
      <c r="A137" s="39" t="s">
        <v>111</v>
      </c>
      <c r="B137" s="25" t="s">
        <v>13</v>
      </c>
      <c r="C137" s="8" t="s">
        <v>25</v>
      </c>
      <c r="D137" s="7" t="s">
        <v>79</v>
      </c>
      <c r="E137" s="9" t="s">
        <v>64</v>
      </c>
      <c r="F137" s="10">
        <v>20</v>
      </c>
      <c r="G137" s="11" t="s">
        <v>28</v>
      </c>
      <c r="H137" s="7" t="s">
        <v>84</v>
      </c>
      <c r="I137" s="11" t="s">
        <v>9</v>
      </c>
      <c r="J137" s="11" t="s">
        <v>80</v>
      </c>
      <c r="K137" s="12">
        <v>4035.7539000000002</v>
      </c>
      <c r="L137" s="12">
        <f>K137*16%</f>
        <v>645.72062400000004</v>
      </c>
      <c r="M137" s="12">
        <f t="shared" si="8"/>
        <v>3390.0332760000001</v>
      </c>
      <c r="N137" s="29">
        <v>10</v>
      </c>
    </row>
    <row r="138" spans="1:14" ht="16.5" thickTop="1" thickBot="1" x14ac:dyDescent="0.3">
      <c r="A138" s="39" t="s">
        <v>111</v>
      </c>
      <c r="B138" s="25" t="s">
        <v>11</v>
      </c>
      <c r="C138" s="8" t="s">
        <v>25</v>
      </c>
      <c r="D138" s="7" t="s">
        <v>79</v>
      </c>
      <c r="E138" s="9" t="s">
        <v>64</v>
      </c>
      <c r="F138" s="10">
        <v>20</v>
      </c>
      <c r="G138" s="11" t="s">
        <v>29</v>
      </c>
      <c r="H138" s="7" t="s">
        <v>83</v>
      </c>
      <c r="I138" s="11" t="s">
        <v>30</v>
      </c>
      <c r="J138" s="11" t="s">
        <v>80</v>
      </c>
      <c r="K138" s="12">
        <v>500</v>
      </c>
      <c r="L138" s="12">
        <f>K138*5%</f>
        <v>25</v>
      </c>
      <c r="M138" s="12">
        <f t="shared" si="8"/>
        <v>475</v>
      </c>
      <c r="N138" s="29">
        <v>10</v>
      </c>
    </row>
    <row r="139" spans="1:14" ht="16.5" thickTop="1" thickBot="1" x14ac:dyDescent="0.3">
      <c r="A139" s="39" t="s">
        <v>111</v>
      </c>
      <c r="B139" s="25" t="s">
        <v>22</v>
      </c>
      <c r="C139" s="8" t="s">
        <v>25</v>
      </c>
      <c r="D139" s="7" t="s">
        <v>79</v>
      </c>
      <c r="E139" s="9" t="s">
        <v>64</v>
      </c>
      <c r="F139" s="10">
        <v>20</v>
      </c>
      <c r="G139" s="11" t="s">
        <v>29</v>
      </c>
      <c r="H139" s="7" t="s">
        <v>83</v>
      </c>
      <c r="I139" s="11" t="s">
        <v>9</v>
      </c>
      <c r="J139" s="11" t="s">
        <v>80</v>
      </c>
      <c r="K139" s="12">
        <v>3379.6440000000002</v>
      </c>
      <c r="L139" s="12">
        <v>0</v>
      </c>
      <c r="M139" s="12">
        <f t="shared" si="8"/>
        <v>3379.6440000000002</v>
      </c>
      <c r="N139" s="29">
        <v>10</v>
      </c>
    </row>
    <row r="140" spans="1:14" ht="16.5" thickTop="1" thickBot="1" x14ac:dyDescent="0.3">
      <c r="A140" s="39" t="s">
        <v>111</v>
      </c>
      <c r="B140" s="25" t="s">
        <v>22</v>
      </c>
      <c r="C140" s="8" t="s">
        <v>25</v>
      </c>
      <c r="D140" s="7" t="s">
        <v>79</v>
      </c>
      <c r="E140" s="9" t="s">
        <v>64</v>
      </c>
      <c r="F140" s="10">
        <v>25</v>
      </c>
      <c r="G140" s="13" t="s">
        <v>31</v>
      </c>
      <c r="H140" s="7" t="s">
        <v>83</v>
      </c>
      <c r="I140" s="11" t="s">
        <v>7</v>
      </c>
      <c r="J140" s="11" t="s">
        <v>80</v>
      </c>
      <c r="K140" s="12">
        <v>19148.213038275004</v>
      </c>
      <c r="L140" s="12">
        <v>0</v>
      </c>
      <c r="M140" s="12">
        <f t="shared" si="8"/>
        <v>19148.213038275004</v>
      </c>
      <c r="N140" s="29">
        <v>30</v>
      </c>
    </row>
    <row r="141" spans="1:14" ht="16.5" thickTop="1" thickBot="1" x14ac:dyDescent="0.3">
      <c r="A141" s="39" t="s">
        <v>111</v>
      </c>
      <c r="B141" s="25" t="s">
        <v>5</v>
      </c>
      <c r="C141" s="8" t="s">
        <v>25</v>
      </c>
      <c r="D141" s="7" t="s">
        <v>79</v>
      </c>
      <c r="E141" s="9" t="s">
        <v>64</v>
      </c>
      <c r="F141" s="10">
        <v>20</v>
      </c>
      <c r="G141" s="11" t="s">
        <v>32</v>
      </c>
      <c r="H141" s="7" t="s">
        <v>83</v>
      </c>
      <c r="I141" s="11" t="s">
        <v>7</v>
      </c>
      <c r="J141" s="11" t="s">
        <v>80</v>
      </c>
      <c r="K141" s="12">
        <v>20160.015344324998</v>
      </c>
      <c r="L141" s="12">
        <f>K141*5%</f>
        <v>1008.00076721625</v>
      </c>
      <c r="M141" s="12">
        <f t="shared" si="8"/>
        <v>19152.014577108748</v>
      </c>
      <c r="N141" s="29">
        <v>10</v>
      </c>
    </row>
    <row r="142" spans="1:14" ht="16.5" thickTop="1" thickBot="1" x14ac:dyDescent="0.3">
      <c r="A142" s="39" t="s">
        <v>111</v>
      </c>
      <c r="B142" s="25" t="s">
        <v>5</v>
      </c>
      <c r="C142" s="8" t="s">
        <v>25</v>
      </c>
      <c r="D142" s="7" t="s">
        <v>79</v>
      </c>
      <c r="E142" s="9" t="s">
        <v>64</v>
      </c>
      <c r="F142" s="10">
        <v>20</v>
      </c>
      <c r="G142" s="11" t="s">
        <v>32</v>
      </c>
      <c r="H142" s="7" t="s">
        <v>83</v>
      </c>
      <c r="I142" s="11" t="s">
        <v>97</v>
      </c>
      <c r="J142" s="11" t="s">
        <v>80</v>
      </c>
      <c r="K142" s="12">
        <v>10053.314351999999</v>
      </c>
      <c r="L142" s="12">
        <f>K142*5%</f>
        <v>502.66571759999999</v>
      </c>
      <c r="M142" s="12">
        <f t="shared" si="8"/>
        <v>9550.6486343999986</v>
      </c>
      <c r="N142" s="29">
        <v>10</v>
      </c>
    </row>
    <row r="143" spans="1:14" ht="16.5" thickTop="1" thickBot="1" x14ac:dyDescent="0.3">
      <c r="A143" s="39" t="s">
        <v>111</v>
      </c>
      <c r="B143" s="25" t="s">
        <v>11</v>
      </c>
      <c r="C143" s="8" t="s">
        <v>25</v>
      </c>
      <c r="D143" s="7" t="s">
        <v>79</v>
      </c>
      <c r="E143" s="9" t="s">
        <v>64</v>
      </c>
      <c r="F143" s="10">
        <v>20</v>
      </c>
      <c r="G143" s="11" t="s">
        <v>32</v>
      </c>
      <c r="H143" s="7" t="s">
        <v>83</v>
      </c>
      <c r="I143" s="11" t="s">
        <v>30</v>
      </c>
      <c r="J143" s="11" t="s">
        <v>80</v>
      </c>
      <c r="K143" s="12">
        <v>200</v>
      </c>
      <c r="L143" s="12">
        <f>K143*5%</f>
        <v>10</v>
      </c>
      <c r="M143" s="12">
        <f t="shared" si="8"/>
        <v>190</v>
      </c>
      <c r="N143" s="29">
        <v>10</v>
      </c>
    </row>
    <row r="144" spans="1:14" ht="16.5" thickTop="1" thickBot="1" x14ac:dyDescent="0.3">
      <c r="A144" s="39" t="s">
        <v>111</v>
      </c>
      <c r="B144" s="25" t="s">
        <v>5</v>
      </c>
      <c r="C144" s="8" t="s">
        <v>25</v>
      </c>
      <c r="D144" s="7" t="s">
        <v>79</v>
      </c>
      <c r="E144" s="9" t="s">
        <v>64</v>
      </c>
      <c r="F144" s="10">
        <v>20</v>
      </c>
      <c r="G144" s="11" t="s">
        <v>32</v>
      </c>
      <c r="H144" s="7" t="s">
        <v>83</v>
      </c>
      <c r="I144" s="11" t="s">
        <v>7</v>
      </c>
      <c r="J144" s="11" t="s">
        <v>80</v>
      </c>
      <c r="K144" s="12">
        <v>10106.5959</v>
      </c>
      <c r="L144" s="12">
        <f>K144*5%</f>
        <v>505.32979500000005</v>
      </c>
      <c r="M144" s="12">
        <f t="shared" si="8"/>
        <v>9601.2661050000006</v>
      </c>
      <c r="N144" s="29">
        <v>10</v>
      </c>
    </row>
    <row r="145" spans="1:14" ht="16.5" thickTop="1" thickBot="1" x14ac:dyDescent="0.3">
      <c r="A145" s="39" t="s">
        <v>111</v>
      </c>
      <c r="B145" s="25" t="s">
        <v>5</v>
      </c>
      <c r="C145" s="8" t="s">
        <v>25</v>
      </c>
      <c r="D145" s="7" t="s">
        <v>79</v>
      </c>
      <c r="E145" s="9" t="s">
        <v>64</v>
      </c>
      <c r="F145" s="10">
        <v>20</v>
      </c>
      <c r="G145" s="11" t="s">
        <v>32</v>
      </c>
      <c r="H145" s="7" t="s">
        <v>83</v>
      </c>
      <c r="I145" s="11" t="s">
        <v>98</v>
      </c>
      <c r="J145" s="11" t="s">
        <v>80</v>
      </c>
      <c r="K145" s="12">
        <v>12935</v>
      </c>
      <c r="L145" s="12">
        <f>K145*5%</f>
        <v>646.75</v>
      </c>
      <c r="M145" s="12">
        <f>K145-L145</f>
        <v>12288.25</v>
      </c>
      <c r="N145" s="29">
        <v>10</v>
      </c>
    </row>
    <row r="146" spans="1:14" ht="16.5" thickTop="1" thickBot="1" x14ac:dyDescent="0.3">
      <c r="A146" s="39" t="s">
        <v>111</v>
      </c>
      <c r="B146" s="25" t="s">
        <v>10</v>
      </c>
      <c r="C146" s="8" t="s">
        <v>25</v>
      </c>
      <c r="D146" s="7" t="s">
        <v>79</v>
      </c>
      <c r="E146" s="9" t="s">
        <v>64</v>
      </c>
      <c r="F146" s="10">
        <v>20</v>
      </c>
      <c r="G146" s="11" t="s">
        <v>32</v>
      </c>
      <c r="H146" s="7" t="s">
        <v>83</v>
      </c>
      <c r="I146" s="11" t="s">
        <v>96</v>
      </c>
      <c r="J146" s="11" t="s">
        <v>80</v>
      </c>
      <c r="K146" s="12">
        <v>2000</v>
      </c>
      <c r="L146" s="12">
        <f>0</f>
        <v>0</v>
      </c>
      <c r="M146" s="12">
        <f t="shared" si="8"/>
        <v>2000</v>
      </c>
      <c r="N146" s="29">
        <v>10</v>
      </c>
    </row>
    <row r="147" spans="1:14" ht="16.5" thickTop="1" thickBot="1" x14ac:dyDescent="0.3">
      <c r="A147" s="39" t="s">
        <v>111</v>
      </c>
      <c r="B147" s="25" t="s">
        <v>11</v>
      </c>
      <c r="C147" s="8" t="s">
        <v>25</v>
      </c>
      <c r="D147" s="7" t="s">
        <v>79</v>
      </c>
      <c r="E147" s="9" t="s">
        <v>64</v>
      </c>
      <c r="F147" s="10">
        <v>15</v>
      </c>
      <c r="G147" s="11" t="s">
        <v>33</v>
      </c>
      <c r="H147" s="7" t="s">
        <v>83</v>
      </c>
      <c r="I147" s="11" t="s">
        <v>7</v>
      </c>
      <c r="J147" s="11" t="s">
        <v>80</v>
      </c>
      <c r="K147" s="12">
        <v>20389.18</v>
      </c>
      <c r="L147" s="12">
        <f>K147*16%</f>
        <v>3262.2688000000003</v>
      </c>
      <c r="M147" s="12">
        <f t="shared" si="8"/>
        <v>17126.911199999999</v>
      </c>
      <c r="N147" s="29">
        <v>30</v>
      </c>
    </row>
    <row r="148" spans="1:14" ht="16.5" thickTop="1" thickBot="1" x14ac:dyDescent="0.3">
      <c r="A148" s="39" t="s">
        <v>111</v>
      </c>
      <c r="B148" s="25" t="s">
        <v>22</v>
      </c>
      <c r="C148" s="8" t="s">
        <v>25</v>
      </c>
      <c r="D148" s="7" t="s">
        <v>79</v>
      </c>
      <c r="E148" s="9" t="s">
        <v>64</v>
      </c>
      <c r="F148" s="10">
        <v>15</v>
      </c>
      <c r="G148" s="11" t="s">
        <v>33</v>
      </c>
      <c r="H148" s="7" t="s">
        <v>83</v>
      </c>
      <c r="I148" s="11" t="s">
        <v>9</v>
      </c>
      <c r="J148" s="11" t="s">
        <v>80</v>
      </c>
      <c r="K148" s="12">
        <v>7758.74</v>
      </c>
      <c r="L148" s="12">
        <v>0</v>
      </c>
      <c r="M148" s="12">
        <f t="shared" si="8"/>
        <v>7758.74</v>
      </c>
      <c r="N148" s="29">
        <v>30</v>
      </c>
    </row>
    <row r="149" spans="1:14" ht="16.5" thickTop="1" thickBot="1" x14ac:dyDescent="0.3">
      <c r="A149" s="39" t="s">
        <v>111</v>
      </c>
      <c r="B149" s="25" t="s">
        <v>11</v>
      </c>
      <c r="C149" s="8" t="s">
        <v>25</v>
      </c>
      <c r="D149" s="7" t="s">
        <v>79</v>
      </c>
      <c r="E149" s="9" t="s">
        <v>64</v>
      </c>
      <c r="F149" s="10">
        <v>15</v>
      </c>
      <c r="G149" s="11" t="s">
        <v>33</v>
      </c>
      <c r="H149" s="7" t="s">
        <v>83</v>
      </c>
      <c r="I149" s="11" t="s">
        <v>30</v>
      </c>
      <c r="J149" s="11" t="s">
        <v>80</v>
      </c>
      <c r="K149" s="12">
        <v>200</v>
      </c>
      <c r="L149" s="12">
        <f>K149*5%</f>
        <v>10</v>
      </c>
      <c r="M149" s="12">
        <f t="shared" si="8"/>
        <v>190</v>
      </c>
      <c r="N149" s="29">
        <v>30</v>
      </c>
    </row>
    <row r="150" spans="1:14" ht="16.5" thickTop="1" thickBot="1" x14ac:dyDescent="0.3">
      <c r="A150" s="39" t="s">
        <v>111</v>
      </c>
      <c r="B150" s="25" t="s">
        <v>22</v>
      </c>
      <c r="C150" s="8" t="s">
        <v>60</v>
      </c>
      <c r="D150" s="7" t="s">
        <v>79</v>
      </c>
      <c r="E150" s="9" t="s">
        <v>64</v>
      </c>
      <c r="F150" s="10">
        <v>1</v>
      </c>
      <c r="G150" s="11" t="s">
        <v>34</v>
      </c>
      <c r="H150" s="7" t="s">
        <v>87</v>
      </c>
      <c r="I150" s="11" t="s">
        <v>20</v>
      </c>
      <c r="J150" s="11" t="s">
        <v>105</v>
      </c>
      <c r="K150" s="12">
        <v>36969.404166</v>
      </c>
      <c r="L150" s="12">
        <v>0</v>
      </c>
      <c r="M150" s="12">
        <f t="shared" si="8"/>
        <v>36969.404166</v>
      </c>
      <c r="N150" s="29">
        <v>30</v>
      </c>
    </row>
    <row r="151" spans="1:14" ht="16.5" thickTop="1" thickBot="1" x14ac:dyDescent="0.3">
      <c r="A151" s="39" t="s">
        <v>111</v>
      </c>
      <c r="B151" s="25" t="s">
        <v>22</v>
      </c>
      <c r="C151" s="8" t="s">
        <v>60</v>
      </c>
      <c r="D151" s="7" t="s">
        <v>79</v>
      </c>
      <c r="E151" s="9" t="s">
        <v>64</v>
      </c>
      <c r="F151" s="10">
        <v>1</v>
      </c>
      <c r="G151" s="11" t="s">
        <v>34</v>
      </c>
      <c r="H151" s="7" t="s">
        <v>87</v>
      </c>
      <c r="I151" s="11" t="s">
        <v>9</v>
      </c>
      <c r="J151" s="11" t="s">
        <v>105</v>
      </c>
      <c r="K151" s="12">
        <v>30185.123490000002</v>
      </c>
      <c r="L151" s="12">
        <v>0</v>
      </c>
      <c r="M151" s="12">
        <f t="shared" si="8"/>
        <v>30185.123490000002</v>
      </c>
      <c r="N151" s="29">
        <v>30</v>
      </c>
    </row>
    <row r="152" spans="1:14" ht="16.5" thickTop="1" thickBot="1" x14ac:dyDescent="0.3">
      <c r="A152" s="39" t="s">
        <v>111</v>
      </c>
      <c r="B152" s="25" t="s">
        <v>22</v>
      </c>
      <c r="C152" s="8" t="s">
        <v>60</v>
      </c>
      <c r="D152" s="7" t="s">
        <v>79</v>
      </c>
      <c r="E152" s="9" t="s">
        <v>64</v>
      </c>
      <c r="F152" s="10">
        <v>1</v>
      </c>
      <c r="G152" s="11" t="s">
        <v>35</v>
      </c>
      <c r="H152" s="7" t="s">
        <v>83</v>
      </c>
      <c r="I152" s="11" t="s">
        <v>9</v>
      </c>
      <c r="J152" s="11" t="s">
        <v>105</v>
      </c>
      <c r="K152" s="12">
        <v>21581.665982999999</v>
      </c>
      <c r="L152" s="12">
        <v>0</v>
      </c>
      <c r="M152" s="12">
        <f t="shared" si="8"/>
        <v>21581.665982999999</v>
      </c>
      <c r="N152" s="29">
        <v>30</v>
      </c>
    </row>
    <row r="153" spans="1:14" ht="16.5" thickTop="1" thickBot="1" x14ac:dyDescent="0.3">
      <c r="A153" s="39" t="s">
        <v>111</v>
      </c>
      <c r="B153" s="25" t="s">
        <v>22</v>
      </c>
      <c r="C153" s="8" t="s">
        <v>60</v>
      </c>
      <c r="D153" s="7" t="s">
        <v>79</v>
      </c>
      <c r="E153" s="9" t="s">
        <v>64</v>
      </c>
      <c r="F153" s="10">
        <v>1</v>
      </c>
      <c r="G153" s="11" t="s">
        <v>36</v>
      </c>
      <c r="H153" s="7" t="s">
        <v>89</v>
      </c>
      <c r="I153" s="11" t="s">
        <v>20</v>
      </c>
      <c r="J153" s="11" t="s">
        <v>105</v>
      </c>
      <c r="K153" s="12">
        <v>36969.404166</v>
      </c>
      <c r="L153" s="12">
        <v>0</v>
      </c>
      <c r="M153" s="12">
        <f t="shared" si="8"/>
        <v>36969.404166</v>
      </c>
      <c r="N153" s="29">
        <v>30</v>
      </c>
    </row>
    <row r="154" spans="1:14" ht="16.5" thickTop="1" thickBot="1" x14ac:dyDescent="0.3">
      <c r="A154" s="39" t="s">
        <v>111</v>
      </c>
      <c r="B154" s="25" t="s">
        <v>22</v>
      </c>
      <c r="C154" s="8" t="s">
        <v>60</v>
      </c>
      <c r="D154" s="7" t="s">
        <v>79</v>
      </c>
      <c r="E154" s="9" t="s">
        <v>64</v>
      </c>
      <c r="F154" s="10">
        <v>1</v>
      </c>
      <c r="G154" s="11" t="s">
        <v>36</v>
      </c>
      <c r="H154" s="7" t="s">
        <v>89</v>
      </c>
      <c r="I154" s="11" t="s">
        <v>9</v>
      </c>
      <c r="J154" s="11" t="s">
        <v>105</v>
      </c>
      <c r="K154" s="12">
        <v>30185.123490000002</v>
      </c>
      <c r="L154" s="12">
        <v>0</v>
      </c>
      <c r="M154" s="12">
        <f t="shared" si="8"/>
        <v>30185.123490000002</v>
      </c>
      <c r="N154" s="29">
        <v>30</v>
      </c>
    </row>
    <row r="155" spans="1:14" ht="16.5" thickTop="1" thickBot="1" x14ac:dyDescent="0.3">
      <c r="A155" s="39" t="s">
        <v>111</v>
      </c>
      <c r="B155" s="25" t="s">
        <v>22</v>
      </c>
      <c r="C155" s="8" t="s">
        <v>60</v>
      </c>
      <c r="D155" s="7" t="s">
        <v>79</v>
      </c>
      <c r="E155" s="9" t="s">
        <v>64</v>
      </c>
      <c r="F155" s="10">
        <v>1</v>
      </c>
      <c r="G155" s="11" t="s">
        <v>37</v>
      </c>
      <c r="H155" s="7" t="s">
        <v>85</v>
      </c>
      <c r="I155" s="11" t="s">
        <v>9</v>
      </c>
      <c r="J155" s="11" t="s">
        <v>105</v>
      </c>
      <c r="K155" s="12">
        <v>12949.001676</v>
      </c>
      <c r="L155" s="12">
        <v>0</v>
      </c>
      <c r="M155" s="12">
        <f t="shared" si="8"/>
        <v>12949.001676</v>
      </c>
      <c r="N155" s="29">
        <v>30</v>
      </c>
    </row>
    <row r="156" spans="1:14" ht="16.5" thickTop="1" thickBot="1" x14ac:dyDescent="0.3">
      <c r="A156" s="39" t="s">
        <v>111</v>
      </c>
      <c r="B156" s="25" t="s">
        <v>22</v>
      </c>
      <c r="C156" s="8" t="s">
        <v>60</v>
      </c>
      <c r="D156" s="7" t="s">
        <v>79</v>
      </c>
      <c r="E156" s="9" t="s">
        <v>64</v>
      </c>
      <c r="F156" s="10">
        <v>1</v>
      </c>
      <c r="G156" s="11" t="s">
        <v>93</v>
      </c>
      <c r="H156" s="7" t="s">
        <v>85</v>
      </c>
      <c r="I156" s="11" t="s">
        <v>9</v>
      </c>
      <c r="J156" s="11" t="s">
        <v>105</v>
      </c>
      <c r="K156" s="12">
        <v>17265.328613999998</v>
      </c>
      <c r="L156" s="12">
        <v>0</v>
      </c>
      <c r="M156" s="12">
        <f t="shared" si="8"/>
        <v>17265.328613999998</v>
      </c>
      <c r="N156" s="29">
        <v>30</v>
      </c>
    </row>
    <row r="157" spans="1:14" ht="16.5" thickTop="1" thickBot="1" x14ac:dyDescent="0.3">
      <c r="A157" s="39" t="s">
        <v>111</v>
      </c>
      <c r="B157" s="25" t="s">
        <v>22</v>
      </c>
      <c r="C157" s="8" t="s">
        <v>60</v>
      </c>
      <c r="D157" s="7" t="s">
        <v>79</v>
      </c>
      <c r="E157" s="9" t="s">
        <v>64</v>
      </c>
      <c r="F157" s="10">
        <v>1</v>
      </c>
      <c r="G157" s="11" t="s">
        <v>38</v>
      </c>
      <c r="H157" s="7" t="s">
        <v>85</v>
      </c>
      <c r="I157" s="11" t="s">
        <v>9</v>
      </c>
      <c r="J157" s="11" t="s">
        <v>105</v>
      </c>
      <c r="K157" s="12">
        <v>8632.6643069999991</v>
      </c>
      <c r="L157" s="12">
        <v>0</v>
      </c>
      <c r="M157" s="12">
        <f t="shared" si="8"/>
        <v>8632.6643069999991</v>
      </c>
      <c r="N157" s="29">
        <v>30</v>
      </c>
    </row>
    <row r="158" spans="1:14" ht="16.5" thickTop="1" thickBot="1" x14ac:dyDescent="0.3">
      <c r="A158" s="39" t="s">
        <v>111</v>
      </c>
      <c r="B158" s="25" t="s">
        <v>11</v>
      </c>
      <c r="C158" s="8" t="s">
        <v>60</v>
      </c>
      <c r="D158" s="7" t="s">
        <v>79</v>
      </c>
      <c r="E158" s="9" t="s">
        <v>64</v>
      </c>
      <c r="F158" s="10">
        <v>20</v>
      </c>
      <c r="G158" s="11" t="s">
        <v>119</v>
      </c>
      <c r="H158" s="7" t="s">
        <v>85</v>
      </c>
      <c r="I158" s="11" t="s">
        <v>7</v>
      </c>
      <c r="J158" s="11" t="s">
        <v>103</v>
      </c>
      <c r="K158" s="12">
        <v>17200</v>
      </c>
      <c r="L158" s="12">
        <f>K158*16%</f>
        <v>2752</v>
      </c>
      <c r="M158" s="12">
        <f t="shared" si="8"/>
        <v>14448</v>
      </c>
      <c r="N158" s="29">
        <v>20</v>
      </c>
    </row>
    <row r="159" spans="1:14" ht="16.5" thickTop="1" thickBot="1" x14ac:dyDescent="0.3">
      <c r="A159" s="39" t="s">
        <v>111</v>
      </c>
      <c r="B159" s="25" t="s">
        <v>13</v>
      </c>
      <c r="C159" s="8" t="s">
        <v>60</v>
      </c>
      <c r="D159" s="7" t="s">
        <v>79</v>
      </c>
      <c r="E159" s="9" t="s">
        <v>64</v>
      </c>
      <c r="F159" s="10">
        <v>20</v>
      </c>
      <c r="G159" s="11" t="s">
        <v>119</v>
      </c>
      <c r="H159" s="7" t="s">
        <v>85</v>
      </c>
      <c r="I159" s="11" t="s">
        <v>9</v>
      </c>
      <c r="J159" s="11" t="s">
        <v>103</v>
      </c>
      <c r="K159" s="12">
        <v>7800</v>
      </c>
      <c r="L159" s="12">
        <f>K159*16%</f>
        <v>1248</v>
      </c>
      <c r="M159" s="12">
        <f t="shared" si="8"/>
        <v>6552</v>
      </c>
      <c r="N159" s="29">
        <v>20</v>
      </c>
    </row>
    <row r="160" spans="1:14" ht="16.5" thickTop="1" thickBot="1" x14ac:dyDescent="0.3">
      <c r="A160" s="39" t="s">
        <v>111</v>
      </c>
      <c r="B160" s="25" t="s">
        <v>13</v>
      </c>
      <c r="C160" s="8" t="s">
        <v>60</v>
      </c>
      <c r="D160" s="7" t="s">
        <v>79</v>
      </c>
      <c r="E160" s="9" t="s">
        <v>64</v>
      </c>
      <c r="F160" s="10">
        <v>20</v>
      </c>
      <c r="G160" s="11" t="s">
        <v>119</v>
      </c>
      <c r="H160" s="7" t="s">
        <v>85</v>
      </c>
      <c r="I160" s="11" t="s">
        <v>15</v>
      </c>
      <c r="J160" s="11" t="s">
        <v>103</v>
      </c>
      <c r="K160" s="12">
        <v>4590</v>
      </c>
      <c r="L160" s="12">
        <f>K160*16%</f>
        <v>734.4</v>
      </c>
      <c r="M160" s="12">
        <f t="shared" si="8"/>
        <v>3855.6</v>
      </c>
      <c r="N160" s="29">
        <v>20</v>
      </c>
    </row>
    <row r="161" spans="1:14" ht="16.5" thickTop="1" thickBot="1" x14ac:dyDescent="0.3">
      <c r="A161" s="39" t="s">
        <v>111</v>
      </c>
      <c r="B161" s="25" t="s">
        <v>10</v>
      </c>
      <c r="C161" s="8" t="s">
        <v>60</v>
      </c>
      <c r="D161" s="7" t="s">
        <v>79</v>
      </c>
      <c r="E161" s="9" t="s">
        <v>64</v>
      </c>
      <c r="F161" s="10">
        <v>20</v>
      </c>
      <c r="G161" s="11" t="s">
        <v>119</v>
      </c>
      <c r="H161" s="7" t="s">
        <v>85</v>
      </c>
      <c r="I161" s="11" t="s">
        <v>96</v>
      </c>
      <c r="J161" s="11" t="s">
        <v>103</v>
      </c>
      <c r="K161" s="12">
        <v>1785.7</v>
      </c>
      <c r="L161" s="12">
        <v>0</v>
      </c>
      <c r="M161" s="12">
        <f t="shared" si="8"/>
        <v>1785.7</v>
      </c>
      <c r="N161" s="29">
        <v>20</v>
      </c>
    </row>
    <row r="162" spans="1:14" ht="16.5" thickTop="1" thickBot="1" x14ac:dyDescent="0.3">
      <c r="A162" s="39" t="s">
        <v>111</v>
      </c>
      <c r="B162" s="25" t="s">
        <v>11</v>
      </c>
      <c r="C162" s="8" t="s">
        <v>60</v>
      </c>
      <c r="D162" s="7" t="s">
        <v>79</v>
      </c>
      <c r="E162" s="9" t="s">
        <v>64</v>
      </c>
      <c r="F162" s="10">
        <v>20</v>
      </c>
      <c r="G162" s="11" t="s">
        <v>94</v>
      </c>
      <c r="H162" s="7" t="s">
        <v>86</v>
      </c>
      <c r="I162" s="11" t="s">
        <v>7</v>
      </c>
      <c r="J162" s="11" t="s">
        <v>103</v>
      </c>
      <c r="K162" s="12">
        <v>24767</v>
      </c>
      <c r="L162" s="12">
        <f>K162*16%</f>
        <v>3962.7200000000003</v>
      </c>
      <c r="M162" s="12">
        <f>K162-L162</f>
        <v>20804.28</v>
      </c>
      <c r="N162" s="29">
        <v>20</v>
      </c>
    </row>
    <row r="163" spans="1:14" ht="16.5" thickTop="1" thickBot="1" x14ac:dyDescent="0.3">
      <c r="A163" s="39" t="s">
        <v>111</v>
      </c>
      <c r="B163" s="25" t="s">
        <v>13</v>
      </c>
      <c r="C163" s="8" t="s">
        <v>60</v>
      </c>
      <c r="D163" s="7" t="s">
        <v>79</v>
      </c>
      <c r="E163" s="9" t="s">
        <v>64</v>
      </c>
      <c r="F163" s="10">
        <v>20</v>
      </c>
      <c r="G163" s="11" t="s">
        <v>94</v>
      </c>
      <c r="H163" s="7" t="s">
        <v>86</v>
      </c>
      <c r="I163" s="11" t="s">
        <v>9</v>
      </c>
      <c r="J163" s="11" t="s">
        <v>103</v>
      </c>
      <c r="K163" s="12">
        <v>15476</v>
      </c>
      <c r="L163" s="12">
        <f>K163*16%</f>
        <v>2476.16</v>
      </c>
      <c r="M163" s="12">
        <f t="shared" ref="M163:M200" si="9">K163-L163</f>
        <v>12999.84</v>
      </c>
      <c r="N163" s="29">
        <v>20</v>
      </c>
    </row>
    <row r="164" spans="1:14" ht="15.75" customHeight="1" thickTop="1" thickBot="1" x14ac:dyDescent="0.3">
      <c r="A164" s="39" t="s">
        <v>111</v>
      </c>
      <c r="B164" s="25" t="s">
        <v>22</v>
      </c>
      <c r="C164" s="8" t="s">
        <v>61</v>
      </c>
      <c r="D164" s="7" t="s">
        <v>79</v>
      </c>
      <c r="E164" s="9" t="s">
        <v>64</v>
      </c>
      <c r="F164" s="10">
        <v>20</v>
      </c>
      <c r="G164" s="13" t="s">
        <v>39</v>
      </c>
      <c r="H164" s="7" t="s">
        <v>83</v>
      </c>
      <c r="I164" s="11" t="s">
        <v>7</v>
      </c>
      <c r="J164" s="11" t="s">
        <v>80</v>
      </c>
      <c r="K164" s="12">
        <v>18709.103873069998</v>
      </c>
      <c r="L164" s="12">
        <v>0</v>
      </c>
      <c r="M164" s="12">
        <f t="shared" si="9"/>
        <v>18709.103873069998</v>
      </c>
      <c r="N164" s="29">
        <v>17</v>
      </c>
    </row>
    <row r="165" spans="1:14" ht="15.75" customHeight="1" thickTop="1" thickBot="1" x14ac:dyDescent="0.3">
      <c r="A165" s="39" t="s">
        <v>111</v>
      </c>
      <c r="B165" s="25" t="s">
        <v>11</v>
      </c>
      <c r="C165" s="8" t="s">
        <v>61</v>
      </c>
      <c r="D165" s="7" t="s">
        <v>79</v>
      </c>
      <c r="E165" s="9" t="s">
        <v>64</v>
      </c>
      <c r="F165" s="10">
        <v>20</v>
      </c>
      <c r="G165" s="13" t="s">
        <v>40</v>
      </c>
      <c r="H165" s="7" t="s">
        <v>83</v>
      </c>
      <c r="I165" s="14" t="s">
        <v>30</v>
      </c>
      <c r="J165" s="14" t="s">
        <v>107</v>
      </c>
      <c r="K165" s="12">
        <v>200</v>
      </c>
      <c r="L165" s="12">
        <f>K165*5%</f>
        <v>10</v>
      </c>
      <c r="M165" s="12">
        <f t="shared" si="9"/>
        <v>190</v>
      </c>
      <c r="N165" s="29">
        <v>10</v>
      </c>
    </row>
    <row r="166" spans="1:14" ht="15.75" customHeight="1" thickTop="1" thickBot="1" x14ac:dyDescent="0.3">
      <c r="A166" s="39" t="s">
        <v>111</v>
      </c>
      <c r="B166" s="25" t="s">
        <v>22</v>
      </c>
      <c r="C166" s="8" t="s">
        <v>61</v>
      </c>
      <c r="D166" s="7" t="s">
        <v>79</v>
      </c>
      <c r="E166" s="9" t="s">
        <v>64</v>
      </c>
      <c r="F166" s="10">
        <v>20</v>
      </c>
      <c r="G166" s="13" t="s">
        <v>90</v>
      </c>
      <c r="H166" s="15" t="s">
        <v>83</v>
      </c>
      <c r="I166" s="14" t="s">
        <v>9</v>
      </c>
      <c r="J166" s="11" t="s">
        <v>103</v>
      </c>
      <c r="K166" s="12">
        <v>4105</v>
      </c>
      <c r="L166" s="12">
        <f>0</f>
        <v>0</v>
      </c>
      <c r="M166" s="12">
        <f t="shared" si="9"/>
        <v>4105</v>
      </c>
      <c r="N166" s="29">
        <v>10</v>
      </c>
    </row>
    <row r="167" spans="1:14" ht="16.5" thickTop="1" thickBot="1" x14ac:dyDescent="0.3">
      <c r="A167" s="39" t="s">
        <v>111</v>
      </c>
      <c r="B167" s="25" t="s">
        <v>11</v>
      </c>
      <c r="C167" s="8" t="s">
        <v>61</v>
      </c>
      <c r="D167" s="7" t="s">
        <v>79</v>
      </c>
      <c r="E167" s="9" t="s">
        <v>64</v>
      </c>
      <c r="F167" s="10">
        <v>20</v>
      </c>
      <c r="G167" s="13" t="s">
        <v>41</v>
      </c>
      <c r="H167" s="7" t="s">
        <v>83</v>
      </c>
      <c r="I167" s="14" t="s">
        <v>30</v>
      </c>
      <c r="J167" s="11" t="s">
        <v>80</v>
      </c>
      <c r="K167" s="12">
        <v>600</v>
      </c>
      <c r="L167" s="12">
        <f>K167*5%</f>
        <v>30</v>
      </c>
      <c r="M167" s="12">
        <f t="shared" si="9"/>
        <v>570</v>
      </c>
      <c r="N167" s="29">
        <v>25</v>
      </c>
    </row>
    <row r="168" spans="1:14" ht="16.5" thickTop="1" thickBot="1" x14ac:dyDescent="0.3">
      <c r="A168" s="39" t="s">
        <v>111</v>
      </c>
      <c r="B168" s="25" t="s">
        <v>22</v>
      </c>
      <c r="C168" s="8" t="s">
        <v>61</v>
      </c>
      <c r="D168" s="7" t="s">
        <v>79</v>
      </c>
      <c r="E168" s="9" t="s">
        <v>64</v>
      </c>
      <c r="F168" s="10">
        <v>20</v>
      </c>
      <c r="G168" s="13" t="s">
        <v>92</v>
      </c>
      <c r="H168" s="7" t="s">
        <v>83</v>
      </c>
      <c r="I168" s="11" t="s">
        <v>9</v>
      </c>
      <c r="J168" s="11" t="s">
        <v>80</v>
      </c>
      <c r="K168" s="12">
        <v>9854.9500000000007</v>
      </c>
      <c r="L168" s="12">
        <v>0</v>
      </c>
      <c r="M168" s="12">
        <f t="shared" si="9"/>
        <v>9854.9500000000007</v>
      </c>
      <c r="N168" s="29">
        <v>15</v>
      </c>
    </row>
    <row r="169" spans="1:14" ht="16.5" thickTop="1" thickBot="1" x14ac:dyDescent="0.3">
      <c r="A169" s="39" t="s">
        <v>111</v>
      </c>
      <c r="B169" s="25" t="s">
        <v>22</v>
      </c>
      <c r="C169" s="8" t="s">
        <v>61</v>
      </c>
      <c r="D169" s="7" t="s">
        <v>79</v>
      </c>
      <c r="E169" s="9" t="s">
        <v>64</v>
      </c>
      <c r="F169" s="10">
        <v>20</v>
      </c>
      <c r="G169" s="13" t="s">
        <v>92</v>
      </c>
      <c r="H169" s="7" t="s">
        <v>83</v>
      </c>
      <c r="I169" s="11" t="s">
        <v>7</v>
      </c>
      <c r="J169" s="11" t="s">
        <v>80</v>
      </c>
      <c r="K169" s="12">
        <v>1312.5</v>
      </c>
      <c r="L169" s="12">
        <v>0</v>
      </c>
      <c r="M169" s="12">
        <f t="shared" si="9"/>
        <v>1312.5</v>
      </c>
      <c r="N169" s="29">
        <v>15</v>
      </c>
    </row>
    <row r="170" spans="1:14" ht="16.5" thickTop="1" thickBot="1" x14ac:dyDescent="0.3">
      <c r="A170" s="39" t="s">
        <v>111</v>
      </c>
      <c r="B170" s="25" t="s">
        <v>11</v>
      </c>
      <c r="C170" s="8" t="s">
        <v>61</v>
      </c>
      <c r="D170" s="7" t="s">
        <v>78</v>
      </c>
      <c r="E170" s="9" t="s">
        <v>64</v>
      </c>
      <c r="F170" s="10">
        <v>20</v>
      </c>
      <c r="G170" s="13" t="s">
        <v>92</v>
      </c>
      <c r="H170" s="7" t="s">
        <v>83</v>
      </c>
      <c r="I170" s="11" t="s">
        <v>30</v>
      </c>
      <c r="J170" s="11" t="s">
        <v>80</v>
      </c>
      <c r="K170" s="12">
        <v>600</v>
      </c>
      <c r="L170" s="12">
        <f>K170*5%</f>
        <v>30</v>
      </c>
      <c r="M170" s="12">
        <f t="shared" si="9"/>
        <v>570</v>
      </c>
      <c r="N170" s="29">
        <v>7</v>
      </c>
    </row>
    <row r="171" spans="1:14" ht="15.75" customHeight="1" thickTop="1" thickBot="1" x14ac:dyDescent="0.3">
      <c r="A171" s="39" t="s">
        <v>111</v>
      </c>
      <c r="B171" s="25" t="s">
        <v>22</v>
      </c>
      <c r="C171" s="8" t="s">
        <v>61</v>
      </c>
      <c r="D171" s="7" t="s">
        <v>79</v>
      </c>
      <c r="E171" s="9" t="s">
        <v>64</v>
      </c>
      <c r="F171" s="10">
        <v>20</v>
      </c>
      <c r="G171" s="13" t="s">
        <v>42</v>
      </c>
      <c r="H171" s="7" t="s">
        <v>83</v>
      </c>
      <c r="I171" s="11" t="s">
        <v>9</v>
      </c>
      <c r="J171" s="11" t="s">
        <v>108</v>
      </c>
      <c r="K171" s="12">
        <v>820.63201302000004</v>
      </c>
      <c r="L171" s="12">
        <v>0</v>
      </c>
      <c r="M171" s="12">
        <f t="shared" si="9"/>
        <v>820.63201302000004</v>
      </c>
      <c r="N171" s="29">
        <v>9</v>
      </c>
    </row>
    <row r="172" spans="1:14" ht="15.75" customHeight="1" thickTop="1" thickBot="1" x14ac:dyDescent="0.3">
      <c r="A172" s="39" t="s">
        <v>111</v>
      </c>
      <c r="B172" s="25" t="s">
        <v>11</v>
      </c>
      <c r="C172" s="8" t="s">
        <v>61</v>
      </c>
      <c r="D172" s="7" t="s">
        <v>79</v>
      </c>
      <c r="E172" s="9" t="s">
        <v>64</v>
      </c>
      <c r="F172" s="10">
        <v>20</v>
      </c>
      <c r="G172" s="13" t="s">
        <v>43</v>
      </c>
      <c r="H172" s="7" t="s">
        <v>83</v>
      </c>
      <c r="I172" s="14" t="s">
        <v>30</v>
      </c>
      <c r="J172" s="14" t="s">
        <v>106</v>
      </c>
      <c r="K172" s="12">
        <v>200</v>
      </c>
      <c r="L172" s="12">
        <f>K172*5%</f>
        <v>10</v>
      </c>
      <c r="M172" s="12">
        <f t="shared" si="9"/>
        <v>190</v>
      </c>
      <c r="N172" s="29">
        <v>15</v>
      </c>
    </row>
    <row r="173" spans="1:14" ht="16.5" thickTop="1" thickBot="1" x14ac:dyDescent="0.3">
      <c r="A173" s="39" t="s">
        <v>111</v>
      </c>
      <c r="B173" s="25" t="s">
        <v>11</v>
      </c>
      <c r="C173" s="8" t="s">
        <v>61</v>
      </c>
      <c r="D173" s="7" t="s">
        <v>79</v>
      </c>
      <c r="E173" s="9" t="s">
        <v>64</v>
      </c>
      <c r="F173" s="10">
        <v>20</v>
      </c>
      <c r="G173" s="13" t="s">
        <v>44</v>
      </c>
      <c r="H173" s="15" t="s">
        <v>85</v>
      </c>
      <c r="I173" s="14" t="s">
        <v>30</v>
      </c>
      <c r="J173" s="11" t="s">
        <v>80</v>
      </c>
      <c r="K173" s="12">
        <v>200</v>
      </c>
      <c r="L173" s="12">
        <f>K173*5%</f>
        <v>10</v>
      </c>
      <c r="M173" s="12">
        <f t="shared" si="9"/>
        <v>190</v>
      </c>
      <c r="N173" s="29">
        <v>16</v>
      </c>
    </row>
    <row r="174" spans="1:14" ht="16.5" thickTop="1" thickBot="1" x14ac:dyDescent="0.3">
      <c r="A174" s="39" t="s">
        <v>111</v>
      </c>
      <c r="B174" s="25" t="s">
        <v>5</v>
      </c>
      <c r="C174" s="8" t="s">
        <v>61</v>
      </c>
      <c r="D174" s="7" t="s">
        <v>79</v>
      </c>
      <c r="E174" s="9" t="s">
        <v>64</v>
      </c>
      <c r="F174" s="10">
        <v>1</v>
      </c>
      <c r="G174" s="11" t="s">
        <v>45</v>
      </c>
      <c r="H174" s="7" t="s">
        <v>91</v>
      </c>
      <c r="I174" s="11" t="s">
        <v>20</v>
      </c>
      <c r="J174" s="11" t="s">
        <v>105</v>
      </c>
      <c r="K174" s="16">
        <v>36757.832193000002</v>
      </c>
      <c r="L174" s="12">
        <f>K174*5%</f>
        <v>1837.8916096500002</v>
      </c>
      <c r="M174" s="12">
        <f t="shared" si="9"/>
        <v>34919.940583349999</v>
      </c>
      <c r="N174" s="29">
        <v>30</v>
      </c>
    </row>
    <row r="175" spans="1:14" ht="16.5" thickTop="1" thickBot="1" x14ac:dyDescent="0.3">
      <c r="A175" s="39" t="s">
        <v>111</v>
      </c>
      <c r="B175" s="25" t="s">
        <v>5</v>
      </c>
      <c r="C175" s="8" t="s">
        <v>61</v>
      </c>
      <c r="D175" s="7" t="s">
        <v>79</v>
      </c>
      <c r="E175" s="9" t="s">
        <v>64</v>
      </c>
      <c r="F175" s="10">
        <v>1</v>
      </c>
      <c r="G175" s="11" t="s">
        <v>45</v>
      </c>
      <c r="H175" s="7" t="s">
        <v>91</v>
      </c>
      <c r="I175" s="11" t="s">
        <v>9</v>
      </c>
      <c r="J175" s="11" t="s">
        <v>105</v>
      </c>
      <c r="K175" s="16">
        <v>25897.992921000001</v>
      </c>
      <c r="L175" s="12">
        <f>K175*5%</f>
        <v>1294.8996460500002</v>
      </c>
      <c r="M175" s="12">
        <f t="shared" si="9"/>
        <v>24603.093274949999</v>
      </c>
      <c r="N175" s="29">
        <v>30</v>
      </c>
    </row>
    <row r="176" spans="1:14" ht="16.5" thickTop="1" thickBot="1" x14ac:dyDescent="0.3">
      <c r="A176" s="39" t="s">
        <v>111</v>
      </c>
      <c r="B176" s="25" t="s">
        <v>22</v>
      </c>
      <c r="C176" s="8" t="s">
        <v>61</v>
      </c>
      <c r="D176" s="7" t="s">
        <v>79</v>
      </c>
      <c r="E176" s="9" t="s">
        <v>64</v>
      </c>
      <c r="F176" s="10">
        <v>1</v>
      </c>
      <c r="G176" s="11" t="s">
        <v>46</v>
      </c>
      <c r="H176" s="7" t="s">
        <v>85</v>
      </c>
      <c r="I176" s="11" t="s">
        <v>20</v>
      </c>
      <c r="J176" s="11" t="s">
        <v>105</v>
      </c>
      <c r="K176" s="16">
        <v>52934.258285999997</v>
      </c>
      <c r="L176" s="12">
        <v>0</v>
      </c>
      <c r="M176" s="12">
        <f t="shared" si="9"/>
        <v>52934.258285999997</v>
      </c>
      <c r="N176" s="29">
        <v>30</v>
      </c>
    </row>
    <row r="177" spans="1:17" ht="16.5" thickTop="1" thickBot="1" x14ac:dyDescent="0.3">
      <c r="A177" s="39" t="s">
        <v>111</v>
      </c>
      <c r="B177" s="25" t="s">
        <v>22</v>
      </c>
      <c r="C177" s="8" t="s">
        <v>61</v>
      </c>
      <c r="D177" s="7" t="s">
        <v>79</v>
      </c>
      <c r="E177" s="9" t="s">
        <v>64</v>
      </c>
      <c r="F177" s="10">
        <v>1</v>
      </c>
      <c r="G177" s="11" t="s">
        <v>46</v>
      </c>
      <c r="H177" s="7" t="s">
        <v>85</v>
      </c>
      <c r="I177" s="11" t="s">
        <v>98</v>
      </c>
      <c r="J177" s="11" t="s">
        <v>105</v>
      </c>
      <c r="K177" s="12">
        <v>3129.3</v>
      </c>
      <c r="L177" s="12">
        <v>0</v>
      </c>
      <c r="M177" s="12">
        <f t="shared" si="9"/>
        <v>3129.3</v>
      </c>
      <c r="N177" s="29">
        <v>30</v>
      </c>
    </row>
    <row r="178" spans="1:17" ht="16.5" thickTop="1" thickBot="1" x14ac:dyDescent="0.3">
      <c r="A178" s="39" t="s">
        <v>111</v>
      </c>
      <c r="B178" s="25" t="s">
        <v>22</v>
      </c>
      <c r="C178" s="8" t="s">
        <v>61</v>
      </c>
      <c r="D178" s="7" t="s">
        <v>79</v>
      </c>
      <c r="E178" s="9" t="s">
        <v>64</v>
      </c>
      <c r="F178" s="10">
        <v>1</v>
      </c>
      <c r="G178" s="11" t="s">
        <v>46</v>
      </c>
      <c r="H178" s="7" t="s">
        <v>85</v>
      </c>
      <c r="I178" s="11" t="s">
        <v>9</v>
      </c>
      <c r="J178" s="11" t="s">
        <v>105</v>
      </c>
      <c r="K178" s="12">
        <v>38846.994597000004</v>
      </c>
      <c r="L178" s="12">
        <v>0</v>
      </c>
      <c r="M178" s="12">
        <f t="shared" si="9"/>
        <v>38846.994597000004</v>
      </c>
      <c r="N178" s="29">
        <v>30</v>
      </c>
    </row>
    <row r="179" spans="1:17" ht="16.5" thickTop="1" thickBot="1" x14ac:dyDescent="0.3">
      <c r="A179" s="39" t="s">
        <v>111</v>
      </c>
      <c r="B179" s="25" t="s">
        <v>22</v>
      </c>
      <c r="C179" s="8" t="s">
        <v>61</v>
      </c>
      <c r="D179" s="7" t="s">
        <v>79</v>
      </c>
      <c r="E179" s="9" t="s">
        <v>64</v>
      </c>
      <c r="F179" s="10">
        <v>1</v>
      </c>
      <c r="G179" s="11" t="s">
        <v>46</v>
      </c>
      <c r="H179" s="7" t="s">
        <v>85</v>
      </c>
      <c r="I179" s="11" t="s">
        <v>97</v>
      </c>
      <c r="J179" s="11" t="s">
        <v>105</v>
      </c>
      <c r="K179" s="12">
        <v>6400</v>
      </c>
      <c r="L179" s="12">
        <v>0</v>
      </c>
      <c r="M179" s="12">
        <f t="shared" si="9"/>
        <v>6400</v>
      </c>
      <c r="N179" s="29">
        <v>30</v>
      </c>
    </row>
    <row r="180" spans="1:17" ht="16.5" thickTop="1" thickBot="1" x14ac:dyDescent="0.3">
      <c r="A180" s="39" t="s">
        <v>111</v>
      </c>
      <c r="B180" s="25" t="s">
        <v>22</v>
      </c>
      <c r="C180" s="8" t="s">
        <v>61</v>
      </c>
      <c r="D180" s="7" t="s">
        <v>79</v>
      </c>
      <c r="E180" s="9" t="s">
        <v>64</v>
      </c>
      <c r="F180" s="10">
        <v>1</v>
      </c>
      <c r="G180" s="11" t="s">
        <v>47</v>
      </c>
      <c r="H180" s="7" t="s">
        <v>85</v>
      </c>
      <c r="I180" s="11" t="s">
        <v>9</v>
      </c>
      <c r="J180" s="11" t="s">
        <v>105</v>
      </c>
      <c r="K180" s="12">
        <v>30185.123490000002</v>
      </c>
      <c r="L180" s="12">
        <v>0</v>
      </c>
      <c r="M180" s="12">
        <f t="shared" si="9"/>
        <v>30185.123490000002</v>
      </c>
      <c r="N180" s="29">
        <v>30</v>
      </c>
    </row>
    <row r="181" spans="1:17" ht="16.5" thickTop="1" thickBot="1" x14ac:dyDescent="0.3">
      <c r="A181" s="39" t="s">
        <v>111</v>
      </c>
      <c r="B181" s="25" t="s">
        <v>22</v>
      </c>
      <c r="C181" s="8" t="s">
        <v>61</v>
      </c>
      <c r="D181" s="7" t="s">
        <v>79</v>
      </c>
      <c r="E181" s="9" t="s">
        <v>64</v>
      </c>
      <c r="F181" s="10">
        <v>1</v>
      </c>
      <c r="G181" s="11" t="s">
        <v>48</v>
      </c>
      <c r="H181" s="7" t="s">
        <v>85</v>
      </c>
      <c r="I181" s="11" t="s">
        <v>9</v>
      </c>
      <c r="J181" s="11" t="s">
        <v>105</v>
      </c>
      <c r="K181" s="12">
        <v>21610.872782999999</v>
      </c>
      <c r="L181" s="12">
        <v>0</v>
      </c>
      <c r="M181" s="12">
        <f t="shared" si="9"/>
        <v>21610.872782999999</v>
      </c>
      <c r="N181" s="29">
        <v>30</v>
      </c>
    </row>
    <row r="182" spans="1:17" ht="15.75" customHeight="1" thickTop="1" thickBot="1" x14ac:dyDescent="0.3">
      <c r="A182" s="39" t="s">
        <v>111</v>
      </c>
      <c r="B182" s="25" t="s">
        <v>22</v>
      </c>
      <c r="C182" s="8" t="s">
        <v>62</v>
      </c>
      <c r="D182" s="7" t="s">
        <v>79</v>
      </c>
      <c r="E182" s="9" t="s">
        <v>64</v>
      </c>
      <c r="F182" s="10">
        <v>10</v>
      </c>
      <c r="G182" s="13" t="s">
        <v>49</v>
      </c>
      <c r="H182" s="7" t="s">
        <v>85</v>
      </c>
      <c r="I182" s="11" t="s">
        <v>9</v>
      </c>
      <c r="J182" s="11" t="s">
        <v>105</v>
      </c>
      <c r="K182" s="12">
        <v>4259.1129030000002</v>
      </c>
      <c r="L182" s="12">
        <v>0</v>
      </c>
      <c r="M182" s="12">
        <f t="shared" si="9"/>
        <v>4259.1129030000002</v>
      </c>
      <c r="N182" s="29">
        <v>10</v>
      </c>
    </row>
    <row r="183" spans="1:17" ht="15.75" customHeight="1" thickTop="1" thickBot="1" x14ac:dyDescent="0.3">
      <c r="A183" s="39" t="s">
        <v>111</v>
      </c>
      <c r="B183" s="25" t="s">
        <v>22</v>
      </c>
      <c r="C183" s="8" t="s">
        <v>62</v>
      </c>
      <c r="D183" s="7" t="s">
        <v>79</v>
      </c>
      <c r="E183" s="9" t="s">
        <v>64</v>
      </c>
      <c r="F183" s="10">
        <v>10</v>
      </c>
      <c r="G183" s="13" t="s">
        <v>49</v>
      </c>
      <c r="H183" s="7" t="s">
        <v>85</v>
      </c>
      <c r="I183" s="11" t="s">
        <v>98</v>
      </c>
      <c r="J183" s="11" t="s">
        <v>105</v>
      </c>
      <c r="K183" s="12">
        <v>4829.5529999999999</v>
      </c>
      <c r="L183" s="12">
        <v>0</v>
      </c>
      <c r="M183" s="12">
        <f t="shared" si="9"/>
        <v>4829.5529999999999</v>
      </c>
      <c r="N183" s="29">
        <v>10</v>
      </c>
    </row>
    <row r="184" spans="1:17" ht="16.5" thickTop="1" thickBot="1" x14ac:dyDescent="0.3">
      <c r="A184" s="39" t="s">
        <v>111</v>
      </c>
      <c r="B184" s="25" t="s">
        <v>11</v>
      </c>
      <c r="C184" s="8" t="s">
        <v>62</v>
      </c>
      <c r="D184" s="7" t="s">
        <v>78</v>
      </c>
      <c r="E184" s="9" t="s">
        <v>64</v>
      </c>
      <c r="F184" s="10">
        <v>10</v>
      </c>
      <c r="G184" s="13" t="s">
        <v>49</v>
      </c>
      <c r="H184" s="7" t="s">
        <v>85</v>
      </c>
      <c r="I184" s="14" t="s">
        <v>30</v>
      </c>
      <c r="J184" s="11" t="s">
        <v>105</v>
      </c>
      <c r="K184" s="12">
        <v>1200</v>
      </c>
      <c r="L184" s="12">
        <f>K184*5%</f>
        <v>60</v>
      </c>
      <c r="M184" s="12">
        <f>K184-L184</f>
        <v>1140</v>
      </c>
      <c r="N184" s="29">
        <v>7</v>
      </c>
    </row>
    <row r="185" spans="1:17" ht="15.75" customHeight="1" thickTop="1" thickBot="1" x14ac:dyDescent="0.3">
      <c r="A185" s="39" t="s">
        <v>111</v>
      </c>
      <c r="B185" s="25" t="s">
        <v>22</v>
      </c>
      <c r="C185" s="8" t="s">
        <v>62</v>
      </c>
      <c r="D185" s="7" t="s">
        <v>79</v>
      </c>
      <c r="E185" s="9" t="s">
        <v>64</v>
      </c>
      <c r="F185" s="10">
        <v>10</v>
      </c>
      <c r="G185" s="13" t="s">
        <v>50</v>
      </c>
      <c r="H185" s="7" t="s">
        <v>85</v>
      </c>
      <c r="I185" s="11" t="s">
        <v>9</v>
      </c>
      <c r="J185" s="11" t="s">
        <v>105</v>
      </c>
      <c r="K185" s="12">
        <v>4259.1129030000002</v>
      </c>
      <c r="L185" s="12">
        <v>0</v>
      </c>
      <c r="M185" s="12">
        <f t="shared" si="9"/>
        <v>4259.1129030000002</v>
      </c>
      <c r="N185" s="29">
        <v>10</v>
      </c>
    </row>
    <row r="186" spans="1:17" ht="15.75" customHeight="1" thickTop="1" thickBot="1" x14ac:dyDescent="0.3">
      <c r="A186" s="39" t="s">
        <v>111</v>
      </c>
      <c r="B186" s="25" t="s">
        <v>22</v>
      </c>
      <c r="C186" s="8" t="s">
        <v>62</v>
      </c>
      <c r="D186" s="7" t="s">
        <v>79</v>
      </c>
      <c r="E186" s="9" t="s">
        <v>64</v>
      </c>
      <c r="F186" s="10">
        <v>10</v>
      </c>
      <c r="G186" s="13" t="s">
        <v>50</v>
      </c>
      <c r="H186" s="7" t="s">
        <v>85</v>
      </c>
      <c r="I186" s="11" t="s">
        <v>98</v>
      </c>
      <c r="J186" s="11" t="s">
        <v>105</v>
      </c>
      <c r="K186" s="12">
        <v>4829.5529999999999</v>
      </c>
      <c r="L186" s="12">
        <v>0</v>
      </c>
      <c r="M186" s="12">
        <f t="shared" si="9"/>
        <v>4829.5529999999999</v>
      </c>
      <c r="N186" s="29">
        <v>10</v>
      </c>
    </row>
    <row r="187" spans="1:17" ht="16.5" thickTop="1" thickBot="1" x14ac:dyDescent="0.3">
      <c r="A187" s="39" t="s">
        <v>111</v>
      </c>
      <c r="B187" s="25" t="s">
        <v>11</v>
      </c>
      <c r="C187" s="8" t="s">
        <v>62</v>
      </c>
      <c r="D187" s="7" t="s">
        <v>78</v>
      </c>
      <c r="E187" s="9" t="s">
        <v>64</v>
      </c>
      <c r="F187" s="10">
        <v>10</v>
      </c>
      <c r="G187" s="13" t="s">
        <v>50</v>
      </c>
      <c r="H187" s="7" t="s">
        <v>85</v>
      </c>
      <c r="I187" s="14" t="s">
        <v>30</v>
      </c>
      <c r="J187" s="11" t="s">
        <v>105</v>
      </c>
      <c r="K187" s="12">
        <v>600</v>
      </c>
      <c r="L187" s="12">
        <f>K187*5%</f>
        <v>30</v>
      </c>
      <c r="M187" s="12">
        <f t="shared" si="9"/>
        <v>570</v>
      </c>
      <c r="N187" s="29">
        <v>7</v>
      </c>
    </row>
    <row r="188" spans="1:17" ht="16.5" thickTop="1" thickBot="1" x14ac:dyDescent="0.3">
      <c r="A188" s="39" t="s">
        <v>111</v>
      </c>
      <c r="B188" s="25" t="s">
        <v>11</v>
      </c>
      <c r="C188" s="8" t="s">
        <v>62</v>
      </c>
      <c r="D188" s="7" t="s">
        <v>79</v>
      </c>
      <c r="E188" s="9" t="s">
        <v>64</v>
      </c>
      <c r="F188" s="10">
        <v>16</v>
      </c>
      <c r="G188" s="13" t="s">
        <v>51</v>
      </c>
      <c r="H188" s="7" t="s">
        <v>83</v>
      </c>
      <c r="I188" s="11" t="s">
        <v>7</v>
      </c>
      <c r="J188" s="11" t="s">
        <v>80</v>
      </c>
      <c r="K188" s="12">
        <v>19124.839514250001</v>
      </c>
      <c r="L188" s="12">
        <f>K188*16%</f>
        <v>3059.9743222800003</v>
      </c>
      <c r="M188" s="12">
        <f t="shared" si="9"/>
        <v>16064.865191970001</v>
      </c>
      <c r="N188" s="29">
        <v>30</v>
      </c>
    </row>
    <row r="189" spans="1:17" ht="16.5" thickTop="1" thickBot="1" x14ac:dyDescent="0.3">
      <c r="A189" s="39" t="s">
        <v>111</v>
      </c>
      <c r="B189" s="25" t="s">
        <v>11</v>
      </c>
      <c r="C189" s="8" t="s">
        <v>62</v>
      </c>
      <c r="D189" s="7" t="s">
        <v>79</v>
      </c>
      <c r="E189" s="9" t="s">
        <v>64</v>
      </c>
      <c r="F189" s="10">
        <v>16</v>
      </c>
      <c r="G189" s="11" t="s">
        <v>52</v>
      </c>
      <c r="H189" s="7" t="s">
        <v>84</v>
      </c>
      <c r="I189" s="11" t="s">
        <v>7</v>
      </c>
      <c r="J189" s="11" t="s">
        <v>103</v>
      </c>
      <c r="K189" s="12">
        <v>70096.320000000007</v>
      </c>
      <c r="L189" s="12">
        <v>20100.849999999999</v>
      </c>
      <c r="M189" s="12">
        <f>K189-L189</f>
        <v>49995.470000000008</v>
      </c>
      <c r="N189" s="29">
        <v>15</v>
      </c>
    </row>
    <row r="190" spans="1:17" ht="16.5" thickTop="1" thickBot="1" x14ac:dyDescent="0.3">
      <c r="A190" s="39" t="s">
        <v>111</v>
      </c>
      <c r="B190" s="25" t="s">
        <v>5</v>
      </c>
      <c r="C190" s="8" t="s">
        <v>62</v>
      </c>
      <c r="D190" s="7" t="s">
        <v>79</v>
      </c>
      <c r="E190" s="9" t="s">
        <v>64</v>
      </c>
      <c r="F190" s="10">
        <v>16</v>
      </c>
      <c r="G190" s="11" t="s">
        <v>53</v>
      </c>
      <c r="H190" s="7" t="s">
        <v>85</v>
      </c>
      <c r="I190" s="11" t="s">
        <v>7</v>
      </c>
      <c r="J190" s="11" t="s">
        <v>103</v>
      </c>
      <c r="K190" s="12">
        <v>17410.382099999999</v>
      </c>
      <c r="L190" s="12">
        <f>K190*5%</f>
        <v>870.51910499999997</v>
      </c>
      <c r="M190" s="12">
        <f t="shared" si="9"/>
        <v>16539.862995</v>
      </c>
      <c r="N190" s="29">
        <v>15</v>
      </c>
    </row>
    <row r="191" spans="1:17" ht="16.5" thickTop="1" thickBot="1" x14ac:dyDescent="0.3">
      <c r="A191" s="39" t="s">
        <v>111</v>
      </c>
      <c r="B191" s="25" t="s">
        <v>5</v>
      </c>
      <c r="C191" s="8" t="s">
        <v>62</v>
      </c>
      <c r="D191" s="7" t="s">
        <v>79</v>
      </c>
      <c r="E191" s="9" t="s">
        <v>64</v>
      </c>
      <c r="F191" s="10">
        <v>16</v>
      </c>
      <c r="G191" s="11" t="s">
        <v>53</v>
      </c>
      <c r="H191" s="7" t="s">
        <v>85</v>
      </c>
      <c r="I191" s="11" t="s">
        <v>15</v>
      </c>
      <c r="J191" s="11" t="s">
        <v>103</v>
      </c>
      <c r="K191" s="12">
        <v>4509.3212999999996</v>
      </c>
      <c r="L191" s="12">
        <f>K191*5%</f>
        <v>225.46606499999999</v>
      </c>
      <c r="M191" s="12">
        <f t="shared" si="9"/>
        <v>4283.855235</v>
      </c>
      <c r="N191" s="29">
        <v>15</v>
      </c>
    </row>
    <row r="192" spans="1:17" ht="16.5" thickTop="1" thickBot="1" x14ac:dyDescent="0.3">
      <c r="A192" s="39" t="s">
        <v>111</v>
      </c>
      <c r="B192" s="25" t="s">
        <v>5</v>
      </c>
      <c r="C192" s="8" t="s">
        <v>62</v>
      </c>
      <c r="D192" s="7" t="s">
        <v>79</v>
      </c>
      <c r="E192" s="9" t="s">
        <v>64</v>
      </c>
      <c r="F192" s="10">
        <v>16</v>
      </c>
      <c r="G192" s="11" t="s">
        <v>53</v>
      </c>
      <c r="H192" s="7" t="s">
        <v>85</v>
      </c>
      <c r="I192" s="11" t="s">
        <v>9</v>
      </c>
      <c r="J192" s="11" t="s">
        <v>103</v>
      </c>
      <c r="K192" s="12">
        <v>7272.4931999999999</v>
      </c>
      <c r="L192" s="12">
        <f>K192*5%</f>
        <v>363.62466000000001</v>
      </c>
      <c r="M192" s="12">
        <f t="shared" si="9"/>
        <v>6908.8685399999995</v>
      </c>
      <c r="N192" s="29">
        <v>15</v>
      </c>
    </row>
    <row r="193" spans="1:15" ht="16.5" thickTop="1" thickBot="1" x14ac:dyDescent="0.3">
      <c r="A193" s="39" t="s">
        <v>111</v>
      </c>
      <c r="B193" s="25" t="s">
        <v>22</v>
      </c>
      <c r="C193" s="8" t="s">
        <v>62</v>
      </c>
      <c r="D193" s="7" t="s">
        <v>79</v>
      </c>
      <c r="E193" s="9" t="s">
        <v>64</v>
      </c>
      <c r="F193" s="10">
        <v>1</v>
      </c>
      <c r="G193" s="11" t="s">
        <v>54</v>
      </c>
      <c r="H193" s="7" t="s">
        <v>85</v>
      </c>
      <c r="I193" s="11" t="s">
        <v>20</v>
      </c>
      <c r="J193" s="11" t="s">
        <v>105</v>
      </c>
      <c r="K193" s="16">
        <v>36757.832193000002</v>
      </c>
      <c r="L193" s="12">
        <v>0</v>
      </c>
      <c r="M193" s="12">
        <f t="shared" si="9"/>
        <v>36757.832193000002</v>
      </c>
      <c r="N193" s="29">
        <v>30</v>
      </c>
    </row>
    <row r="194" spans="1:15" ht="16.5" thickTop="1" thickBot="1" x14ac:dyDescent="0.3">
      <c r="A194" s="39" t="s">
        <v>111</v>
      </c>
      <c r="B194" s="25" t="s">
        <v>22</v>
      </c>
      <c r="C194" s="8" t="s">
        <v>62</v>
      </c>
      <c r="D194" s="7" t="s">
        <v>79</v>
      </c>
      <c r="E194" s="9" t="s">
        <v>64</v>
      </c>
      <c r="F194" s="10">
        <v>1</v>
      </c>
      <c r="G194" s="11" t="s">
        <v>54</v>
      </c>
      <c r="H194" s="7" t="s">
        <v>85</v>
      </c>
      <c r="I194" s="11" t="s">
        <v>9</v>
      </c>
      <c r="J194" s="11" t="s">
        <v>105</v>
      </c>
      <c r="K194" s="16">
        <v>30185.123490000002</v>
      </c>
      <c r="L194" s="12">
        <v>0</v>
      </c>
      <c r="M194" s="12">
        <f t="shared" si="9"/>
        <v>30185.123490000002</v>
      </c>
      <c r="N194" s="29">
        <v>30</v>
      </c>
    </row>
    <row r="195" spans="1:15" ht="16.5" thickTop="1" thickBot="1" x14ac:dyDescent="0.3">
      <c r="A195" s="39" t="s">
        <v>111</v>
      </c>
      <c r="B195" s="25" t="s">
        <v>22</v>
      </c>
      <c r="C195" s="8" t="s">
        <v>62</v>
      </c>
      <c r="D195" s="7" t="s">
        <v>79</v>
      </c>
      <c r="E195" s="9" t="s">
        <v>64</v>
      </c>
      <c r="F195" s="10">
        <v>1</v>
      </c>
      <c r="G195" s="11" t="s">
        <v>55</v>
      </c>
      <c r="H195" s="7" t="s">
        <v>85</v>
      </c>
      <c r="I195" s="11" t="s">
        <v>20</v>
      </c>
      <c r="J195" s="11" t="s">
        <v>105</v>
      </c>
      <c r="K195" s="16">
        <v>31506.62688</v>
      </c>
      <c r="L195" s="12">
        <v>0</v>
      </c>
      <c r="M195" s="12">
        <f t="shared" si="9"/>
        <v>31506.62688</v>
      </c>
      <c r="N195" s="29">
        <v>30</v>
      </c>
    </row>
    <row r="196" spans="1:15" ht="16.5" thickTop="1" thickBot="1" x14ac:dyDescent="0.3">
      <c r="A196" s="39" t="s">
        <v>111</v>
      </c>
      <c r="B196" s="25" t="s">
        <v>22</v>
      </c>
      <c r="C196" s="8" t="s">
        <v>62</v>
      </c>
      <c r="D196" s="7" t="s">
        <v>79</v>
      </c>
      <c r="E196" s="9" t="s">
        <v>64</v>
      </c>
      <c r="F196" s="10">
        <v>1</v>
      </c>
      <c r="G196" s="11" t="s">
        <v>55</v>
      </c>
      <c r="H196" s="7" t="s">
        <v>85</v>
      </c>
      <c r="I196" s="11" t="s">
        <v>9</v>
      </c>
      <c r="J196" s="11" t="s">
        <v>105</v>
      </c>
      <c r="K196" s="12">
        <v>21581.665982999999</v>
      </c>
      <c r="L196" s="12">
        <v>0</v>
      </c>
      <c r="M196" s="12">
        <f t="shared" si="9"/>
        <v>21581.665982999999</v>
      </c>
      <c r="N196" s="29">
        <v>30</v>
      </c>
    </row>
    <row r="197" spans="1:15" ht="16.5" thickTop="1" thickBot="1" x14ac:dyDescent="0.3">
      <c r="A197" s="39" t="s">
        <v>111</v>
      </c>
      <c r="B197" s="25" t="s">
        <v>22</v>
      </c>
      <c r="C197" s="8" t="s">
        <v>62</v>
      </c>
      <c r="D197" s="7" t="s">
        <v>79</v>
      </c>
      <c r="E197" s="9" t="s">
        <v>64</v>
      </c>
      <c r="F197" s="10">
        <v>1</v>
      </c>
      <c r="G197" s="11" t="s">
        <v>56</v>
      </c>
      <c r="H197" s="7" t="s">
        <v>85</v>
      </c>
      <c r="I197" s="11" t="s">
        <v>9</v>
      </c>
      <c r="J197" s="11" t="s">
        <v>105</v>
      </c>
      <c r="K197" s="12">
        <v>30214.330290000002</v>
      </c>
      <c r="L197" s="12">
        <v>0</v>
      </c>
      <c r="M197" s="12">
        <f t="shared" si="9"/>
        <v>30214.330290000002</v>
      </c>
      <c r="N197" s="29">
        <v>30</v>
      </c>
    </row>
    <row r="198" spans="1:15" ht="16.5" thickTop="1" thickBot="1" x14ac:dyDescent="0.3">
      <c r="A198" s="39" t="s">
        <v>111</v>
      </c>
      <c r="B198" s="25" t="s">
        <v>22</v>
      </c>
      <c r="C198" s="8" t="s">
        <v>62</v>
      </c>
      <c r="D198" s="7" t="s">
        <v>79</v>
      </c>
      <c r="E198" s="9" t="s">
        <v>64</v>
      </c>
      <c r="F198" s="10">
        <v>1</v>
      </c>
      <c r="G198" s="11" t="s">
        <v>57</v>
      </c>
      <c r="H198" s="7" t="s">
        <v>85</v>
      </c>
      <c r="I198" s="11" t="s">
        <v>9</v>
      </c>
      <c r="J198" s="11" t="s">
        <v>105</v>
      </c>
      <c r="K198" s="12">
        <v>30185.123490000002</v>
      </c>
      <c r="L198" s="12">
        <v>0</v>
      </c>
      <c r="M198" s="12">
        <f t="shared" si="9"/>
        <v>30185.123490000002</v>
      </c>
      <c r="N198" s="29">
        <v>30</v>
      </c>
    </row>
    <row r="199" spans="1:15" ht="16.5" thickTop="1" thickBot="1" x14ac:dyDescent="0.3">
      <c r="A199" s="39" t="s">
        <v>111</v>
      </c>
      <c r="B199" s="25" t="s">
        <v>22</v>
      </c>
      <c r="C199" s="8" t="s">
        <v>62</v>
      </c>
      <c r="D199" s="7" t="s">
        <v>79</v>
      </c>
      <c r="E199" s="9" t="s">
        <v>64</v>
      </c>
      <c r="F199" s="10">
        <v>1</v>
      </c>
      <c r="G199" s="11" t="s">
        <v>58</v>
      </c>
      <c r="H199" s="7" t="s">
        <v>85</v>
      </c>
      <c r="I199" s="11" t="s">
        <v>9</v>
      </c>
      <c r="J199" s="11" t="s">
        <v>105</v>
      </c>
      <c r="K199" s="12">
        <v>17265.328613999998</v>
      </c>
      <c r="L199" s="12">
        <v>0</v>
      </c>
      <c r="M199" s="12">
        <f t="shared" si="9"/>
        <v>17265.328613999998</v>
      </c>
      <c r="N199" s="29">
        <v>30</v>
      </c>
    </row>
    <row r="200" spans="1:15" s="4" customFormat="1" ht="16.5" thickTop="1" thickBot="1" x14ac:dyDescent="0.3">
      <c r="A200" s="39" t="s">
        <v>111</v>
      </c>
      <c r="B200" s="31" t="s">
        <v>22</v>
      </c>
      <c r="C200" s="32" t="s">
        <v>62</v>
      </c>
      <c r="D200" s="33" t="s">
        <v>79</v>
      </c>
      <c r="E200" s="34" t="s">
        <v>64</v>
      </c>
      <c r="F200" s="35">
        <v>1</v>
      </c>
      <c r="G200" s="36" t="s">
        <v>59</v>
      </c>
      <c r="H200" s="33" t="s">
        <v>85</v>
      </c>
      <c r="I200" s="36" t="s">
        <v>9</v>
      </c>
      <c r="J200" s="36" t="s">
        <v>105</v>
      </c>
      <c r="K200" s="37">
        <v>4316.3373689999999</v>
      </c>
      <c r="L200" s="37">
        <v>0</v>
      </c>
      <c r="M200" s="37">
        <f t="shared" si="9"/>
        <v>4316.3373689999999</v>
      </c>
      <c r="N200" s="38">
        <v>30</v>
      </c>
    </row>
    <row r="201" spans="1:15" ht="16.5" thickTop="1" thickBot="1" x14ac:dyDescent="0.3">
      <c r="A201" s="39" t="s">
        <v>111</v>
      </c>
      <c r="B201" s="40" t="s">
        <v>5</v>
      </c>
      <c r="C201" s="41" t="s">
        <v>0</v>
      </c>
      <c r="D201" s="42" t="s">
        <v>79</v>
      </c>
      <c r="E201" s="43" t="s">
        <v>65</v>
      </c>
      <c r="F201" s="44">
        <v>10</v>
      </c>
      <c r="G201" s="45" t="s">
        <v>6</v>
      </c>
      <c r="H201" s="42" t="s">
        <v>85</v>
      </c>
      <c r="I201" s="45" t="s">
        <v>7</v>
      </c>
      <c r="J201" s="45" t="s">
        <v>103</v>
      </c>
      <c r="K201" s="46">
        <v>37326.692723669999</v>
      </c>
      <c r="L201" s="46">
        <f>K201*5%</f>
        <v>1866.3346361835002</v>
      </c>
      <c r="M201" s="46">
        <f>K201-L201</f>
        <v>35460.3580874865</v>
      </c>
      <c r="N201" s="47">
        <v>10</v>
      </c>
      <c r="O201" s="48" t="s">
        <v>127</v>
      </c>
    </row>
    <row r="202" spans="1:15" ht="16.5" thickTop="1" thickBot="1" x14ac:dyDescent="0.3">
      <c r="A202" s="39" t="s">
        <v>111</v>
      </c>
      <c r="B202" s="25" t="s">
        <v>5</v>
      </c>
      <c r="C202" s="8" t="s">
        <v>0</v>
      </c>
      <c r="D202" s="7" t="s">
        <v>79</v>
      </c>
      <c r="E202" s="9" t="s">
        <v>65</v>
      </c>
      <c r="F202" s="10">
        <v>10</v>
      </c>
      <c r="G202" s="11" t="s">
        <v>8</v>
      </c>
      <c r="H202" s="7" t="s">
        <v>85</v>
      </c>
      <c r="I202" s="11" t="s">
        <v>7</v>
      </c>
      <c r="J202" s="11" t="s">
        <v>103</v>
      </c>
      <c r="K202" s="12">
        <v>17490.966790500002</v>
      </c>
      <c r="L202" s="12">
        <f>K202*5%</f>
        <v>874.54833952500019</v>
      </c>
      <c r="M202" s="12">
        <f>K202-L202</f>
        <v>16616.418450975001</v>
      </c>
      <c r="N202" s="29">
        <v>10</v>
      </c>
      <c r="O202" s="48" t="s">
        <v>127</v>
      </c>
    </row>
    <row r="203" spans="1:15" ht="16.5" thickTop="1" thickBot="1" x14ac:dyDescent="0.3">
      <c r="A203" s="39" t="s">
        <v>111</v>
      </c>
      <c r="B203" s="25" t="s">
        <v>5</v>
      </c>
      <c r="C203" s="8" t="s">
        <v>0</v>
      </c>
      <c r="D203" s="7" t="s">
        <v>79</v>
      </c>
      <c r="E203" s="9" t="s">
        <v>65</v>
      </c>
      <c r="F203" s="10">
        <v>10</v>
      </c>
      <c r="G203" s="11" t="s">
        <v>8</v>
      </c>
      <c r="H203" s="7" t="s">
        <v>85</v>
      </c>
      <c r="I203" s="11" t="s">
        <v>97</v>
      </c>
      <c r="J203" s="11" t="s">
        <v>103</v>
      </c>
      <c r="K203" s="12">
        <v>17490.966790500002</v>
      </c>
      <c r="L203" s="12">
        <f>K203*5%</f>
        <v>874.54833952500019</v>
      </c>
      <c r="M203" s="12">
        <f>K203-L203</f>
        <v>16616.418450975001</v>
      </c>
      <c r="N203" s="29">
        <v>10</v>
      </c>
      <c r="O203" s="48" t="s">
        <v>127</v>
      </c>
    </row>
    <row r="204" spans="1:15" ht="16.5" thickTop="1" thickBot="1" x14ac:dyDescent="0.3">
      <c r="A204" s="39" t="s">
        <v>111</v>
      </c>
      <c r="B204" s="25" t="s">
        <v>5</v>
      </c>
      <c r="C204" s="8" t="s">
        <v>0</v>
      </c>
      <c r="D204" s="7" t="s">
        <v>79</v>
      </c>
      <c r="E204" s="9" t="s">
        <v>65</v>
      </c>
      <c r="F204" s="10">
        <v>10</v>
      </c>
      <c r="G204" s="11" t="s">
        <v>8</v>
      </c>
      <c r="H204" s="7" t="s">
        <v>85</v>
      </c>
      <c r="I204" s="11" t="s">
        <v>9</v>
      </c>
      <c r="J204" s="11" t="s">
        <v>103</v>
      </c>
      <c r="K204" s="12">
        <v>15318.197313750001</v>
      </c>
      <c r="L204" s="12">
        <f>K204*5%</f>
        <v>765.90986568750009</v>
      </c>
      <c r="M204" s="12">
        <f>K204-L204</f>
        <v>14552.287448062501</v>
      </c>
      <c r="N204" s="29">
        <v>10</v>
      </c>
      <c r="O204" s="48" t="s">
        <v>127</v>
      </c>
    </row>
    <row r="205" spans="1:15" ht="16.5" thickTop="1" thickBot="1" x14ac:dyDescent="0.3">
      <c r="A205" s="39" t="s">
        <v>111</v>
      </c>
      <c r="B205" s="25" t="s">
        <v>5</v>
      </c>
      <c r="C205" s="8" t="s">
        <v>0</v>
      </c>
      <c r="D205" s="7" t="s">
        <v>79</v>
      </c>
      <c r="E205" s="9" t="s">
        <v>65</v>
      </c>
      <c r="F205" s="10">
        <v>10</v>
      </c>
      <c r="G205" s="11" t="s">
        <v>8</v>
      </c>
      <c r="H205" s="7" t="s">
        <v>85</v>
      </c>
      <c r="I205" s="11" t="s">
        <v>15</v>
      </c>
      <c r="J205" s="11" t="s">
        <v>103</v>
      </c>
      <c r="K205" s="12">
        <v>13061.815548749999</v>
      </c>
      <c r="L205" s="12">
        <f>K205*5%</f>
        <v>653.09077743750004</v>
      </c>
      <c r="M205" s="12">
        <f>K205-L205</f>
        <v>12408.7247713125</v>
      </c>
      <c r="N205" s="29">
        <v>10</v>
      </c>
      <c r="O205" s="48" t="s">
        <v>127</v>
      </c>
    </row>
    <row r="206" spans="1:15" ht="16.5" thickTop="1" thickBot="1" x14ac:dyDescent="0.3">
      <c r="A206" s="39" t="s">
        <v>111</v>
      </c>
      <c r="B206" s="25" t="s">
        <v>10</v>
      </c>
      <c r="C206" s="8" t="s">
        <v>0</v>
      </c>
      <c r="D206" s="7" t="s">
        <v>79</v>
      </c>
      <c r="E206" s="9" t="s">
        <v>65</v>
      </c>
      <c r="F206" s="10">
        <v>10</v>
      </c>
      <c r="G206" s="11" t="s">
        <v>8</v>
      </c>
      <c r="H206" s="7" t="s">
        <v>85</v>
      </c>
      <c r="I206" s="11" t="s">
        <v>96</v>
      </c>
      <c r="J206" s="11" t="s">
        <v>103</v>
      </c>
      <c r="K206" s="12">
        <v>2000</v>
      </c>
      <c r="L206" s="12">
        <f>0</f>
        <v>0</v>
      </c>
      <c r="M206" s="12">
        <f>K206</f>
        <v>2000</v>
      </c>
      <c r="N206" s="29">
        <v>10</v>
      </c>
      <c r="O206" s="48" t="s">
        <v>127</v>
      </c>
    </row>
    <row r="207" spans="1:15" ht="16.5" thickTop="1" thickBot="1" x14ac:dyDescent="0.3">
      <c r="A207" s="39" t="s">
        <v>111</v>
      </c>
      <c r="B207" s="25" t="s">
        <v>10</v>
      </c>
      <c r="C207" s="8" t="s">
        <v>0</v>
      </c>
      <c r="D207" s="7" t="s">
        <v>79</v>
      </c>
      <c r="E207" s="9" t="s">
        <v>65</v>
      </c>
      <c r="F207" s="10">
        <v>10</v>
      </c>
      <c r="G207" s="11" t="s">
        <v>8</v>
      </c>
      <c r="H207" s="7" t="s">
        <v>85</v>
      </c>
      <c r="I207" s="11" t="s">
        <v>96</v>
      </c>
      <c r="J207" s="11" t="s">
        <v>103</v>
      </c>
      <c r="K207" s="12">
        <v>200</v>
      </c>
      <c r="L207" s="12">
        <f>0</f>
        <v>0</v>
      </c>
      <c r="M207" s="12">
        <f>K207</f>
        <v>200</v>
      </c>
      <c r="N207" s="29">
        <v>10</v>
      </c>
      <c r="O207" s="48" t="s">
        <v>127</v>
      </c>
    </row>
    <row r="208" spans="1:15" ht="16.5" thickTop="1" thickBot="1" x14ac:dyDescent="0.3">
      <c r="A208" s="39" t="s">
        <v>111</v>
      </c>
      <c r="B208" s="25" t="s">
        <v>11</v>
      </c>
      <c r="C208" s="8" t="s">
        <v>0</v>
      </c>
      <c r="D208" s="7" t="s">
        <v>79</v>
      </c>
      <c r="E208" s="9" t="s">
        <v>65</v>
      </c>
      <c r="F208" s="10">
        <v>16</v>
      </c>
      <c r="G208" s="11" t="s">
        <v>12</v>
      </c>
      <c r="H208" s="7" t="s">
        <v>85</v>
      </c>
      <c r="I208" s="11" t="s">
        <v>7</v>
      </c>
      <c r="J208" s="11" t="s">
        <v>103</v>
      </c>
      <c r="K208" s="12">
        <v>17013.380378354999</v>
      </c>
      <c r="L208" s="12">
        <f>K208*16%</f>
        <v>2722.1408605368001</v>
      </c>
      <c r="M208" s="12">
        <f t="shared" ref="M208:M224" si="10">K208-L208</f>
        <v>14291.2395178182</v>
      </c>
      <c r="N208" s="29">
        <v>15</v>
      </c>
      <c r="O208" s="48" t="s">
        <v>127</v>
      </c>
    </row>
    <row r="209" spans="1:15" ht="16.5" thickTop="1" thickBot="1" x14ac:dyDescent="0.3">
      <c r="A209" s="39" t="s">
        <v>111</v>
      </c>
      <c r="B209" s="25" t="s">
        <v>13</v>
      </c>
      <c r="C209" s="8" t="s">
        <v>0</v>
      </c>
      <c r="D209" s="7" t="s">
        <v>79</v>
      </c>
      <c r="E209" s="9" t="s">
        <v>65</v>
      </c>
      <c r="F209" s="10">
        <v>16</v>
      </c>
      <c r="G209" s="11" t="s">
        <v>12</v>
      </c>
      <c r="H209" s="7" t="s">
        <v>85</v>
      </c>
      <c r="I209" s="11" t="s">
        <v>9</v>
      </c>
      <c r="J209" s="11" t="s">
        <v>103</v>
      </c>
      <c r="K209" s="12">
        <v>3729.6405063450002</v>
      </c>
      <c r="L209" s="12">
        <f>K209*16%</f>
        <v>596.74248101520004</v>
      </c>
      <c r="M209" s="12">
        <f t="shared" si="10"/>
        <v>3132.8980253298</v>
      </c>
      <c r="N209" s="29">
        <v>15</v>
      </c>
      <c r="O209" s="48" t="s">
        <v>127</v>
      </c>
    </row>
    <row r="210" spans="1:15" ht="16.5" thickTop="1" thickBot="1" x14ac:dyDescent="0.3">
      <c r="A210" s="39" t="s">
        <v>111</v>
      </c>
      <c r="B210" s="25" t="s">
        <v>13</v>
      </c>
      <c r="C210" s="8" t="s">
        <v>0</v>
      </c>
      <c r="D210" s="7" t="s">
        <v>79</v>
      </c>
      <c r="E210" s="9" t="s">
        <v>65</v>
      </c>
      <c r="F210" s="10">
        <v>16</v>
      </c>
      <c r="G210" s="11" t="s">
        <v>12</v>
      </c>
      <c r="H210" s="7" t="s">
        <v>85</v>
      </c>
      <c r="I210" s="11" t="s">
        <v>99</v>
      </c>
      <c r="J210" s="11" t="s">
        <v>103</v>
      </c>
      <c r="K210" s="12">
        <v>4416.0016102200007</v>
      </c>
      <c r="L210" s="12">
        <f>K210*16%</f>
        <v>706.56025763520017</v>
      </c>
      <c r="M210" s="12">
        <f t="shared" si="10"/>
        <v>3709.4413525848004</v>
      </c>
      <c r="N210" s="29">
        <v>15</v>
      </c>
      <c r="O210" s="48" t="s">
        <v>127</v>
      </c>
    </row>
    <row r="211" spans="1:15" ht="16.5" thickTop="1" thickBot="1" x14ac:dyDescent="0.3">
      <c r="A211" s="39" t="s">
        <v>111</v>
      </c>
      <c r="B211" s="25" t="s">
        <v>5</v>
      </c>
      <c r="C211" s="8" t="s">
        <v>0</v>
      </c>
      <c r="D211" s="7" t="s">
        <v>79</v>
      </c>
      <c r="E211" s="9" t="s">
        <v>65</v>
      </c>
      <c r="F211" s="10">
        <v>16</v>
      </c>
      <c r="G211" s="11" t="s">
        <v>14</v>
      </c>
      <c r="H211" s="7" t="s">
        <v>84</v>
      </c>
      <c r="I211" s="11" t="s">
        <v>7</v>
      </c>
      <c r="J211" s="11" t="s">
        <v>103</v>
      </c>
      <c r="K211" s="12">
        <v>14761.659131999999</v>
      </c>
      <c r="L211" s="12">
        <f>K211*5%</f>
        <v>738.08295659999999</v>
      </c>
      <c r="M211" s="12">
        <f t="shared" si="10"/>
        <v>14023.5761754</v>
      </c>
      <c r="N211" s="29">
        <v>15</v>
      </c>
      <c r="O211" s="48" t="s">
        <v>127</v>
      </c>
    </row>
    <row r="212" spans="1:15" ht="16.5" thickTop="1" thickBot="1" x14ac:dyDescent="0.3">
      <c r="A212" s="39" t="s">
        <v>111</v>
      </c>
      <c r="B212" s="25" t="s">
        <v>5</v>
      </c>
      <c r="C212" s="8" t="s">
        <v>0</v>
      </c>
      <c r="D212" s="7" t="s">
        <v>79</v>
      </c>
      <c r="E212" s="9" t="s">
        <v>65</v>
      </c>
      <c r="F212" s="10">
        <v>16</v>
      </c>
      <c r="G212" s="11" t="s">
        <v>14</v>
      </c>
      <c r="H212" s="7" t="s">
        <v>84</v>
      </c>
      <c r="I212" s="11" t="s">
        <v>9</v>
      </c>
      <c r="J212" s="11" t="s">
        <v>103</v>
      </c>
      <c r="K212" s="12">
        <v>3763.01</v>
      </c>
      <c r="L212" s="12">
        <f>K212*5%</f>
        <v>188.15050000000002</v>
      </c>
      <c r="M212" s="12">
        <f t="shared" si="10"/>
        <v>3574.8595</v>
      </c>
      <c r="N212" s="29">
        <v>15</v>
      </c>
      <c r="O212" s="48" t="s">
        <v>127</v>
      </c>
    </row>
    <row r="213" spans="1:15" ht="16.5" thickTop="1" thickBot="1" x14ac:dyDescent="0.3">
      <c r="A213" s="39" t="s">
        <v>111</v>
      </c>
      <c r="B213" s="25" t="s">
        <v>5</v>
      </c>
      <c r="C213" s="8" t="s">
        <v>0</v>
      </c>
      <c r="D213" s="7" t="s">
        <v>79</v>
      </c>
      <c r="E213" s="9" t="s">
        <v>65</v>
      </c>
      <c r="F213" s="10">
        <v>16</v>
      </c>
      <c r="G213" s="11" t="s">
        <v>14</v>
      </c>
      <c r="H213" s="7" t="s">
        <v>84</v>
      </c>
      <c r="I213" s="11" t="s">
        <v>15</v>
      </c>
      <c r="J213" s="11" t="s">
        <v>103</v>
      </c>
      <c r="K213" s="12">
        <v>4780.5638085000001</v>
      </c>
      <c r="L213" s="12">
        <f>K213*5%</f>
        <v>239.02819042500002</v>
      </c>
      <c r="M213" s="12">
        <f t="shared" si="10"/>
        <v>4541.5356180750005</v>
      </c>
      <c r="N213" s="29">
        <v>15</v>
      </c>
      <c r="O213" s="48" t="s">
        <v>127</v>
      </c>
    </row>
    <row r="214" spans="1:15" ht="16.5" thickTop="1" thickBot="1" x14ac:dyDescent="0.3">
      <c r="A214" s="39" t="s">
        <v>111</v>
      </c>
      <c r="B214" s="25" t="s">
        <v>10</v>
      </c>
      <c r="C214" s="8" t="s">
        <v>0</v>
      </c>
      <c r="D214" s="7" t="s">
        <v>79</v>
      </c>
      <c r="E214" s="9" t="s">
        <v>65</v>
      </c>
      <c r="F214" s="10">
        <v>16</v>
      </c>
      <c r="G214" s="11" t="s">
        <v>14</v>
      </c>
      <c r="H214" s="7" t="s">
        <v>84</v>
      </c>
      <c r="I214" s="11" t="s">
        <v>96</v>
      </c>
      <c r="J214" s="11" t="s">
        <v>103</v>
      </c>
      <c r="K214" s="12">
        <v>500</v>
      </c>
      <c r="L214" s="12">
        <f>0</f>
        <v>0</v>
      </c>
      <c r="M214" s="12">
        <f t="shared" si="10"/>
        <v>500</v>
      </c>
      <c r="N214" s="29">
        <v>15</v>
      </c>
      <c r="O214" s="48" t="s">
        <v>127</v>
      </c>
    </row>
    <row r="215" spans="1:15" ht="16.5" thickTop="1" thickBot="1" x14ac:dyDescent="0.3">
      <c r="A215" s="27" t="s">
        <v>111</v>
      </c>
      <c r="B215" s="25" t="s">
        <v>11</v>
      </c>
      <c r="C215" s="8" t="s">
        <v>0</v>
      </c>
      <c r="D215" s="7" t="s">
        <v>79</v>
      </c>
      <c r="E215" s="9" t="s">
        <v>65</v>
      </c>
      <c r="F215" s="10">
        <v>20</v>
      </c>
      <c r="G215" s="11" t="s">
        <v>16</v>
      </c>
      <c r="H215" s="7" t="s">
        <v>85</v>
      </c>
      <c r="I215" s="11" t="s">
        <v>7</v>
      </c>
      <c r="J215" s="11" t="s">
        <v>103</v>
      </c>
      <c r="K215" s="12">
        <v>15515</v>
      </c>
      <c r="L215" s="12">
        <f>K215*16%</f>
        <v>2482.4</v>
      </c>
      <c r="M215" s="12">
        <f t="shared" si="10"/>
        <v>13032.6</v>
      </c>
      <c r="N215" s="29">
        <v>15</v>
      </c>
    </row>
    <row r="216" spans="1:15" ht="16.5" thickTop="1" thickBot="1" x14ac:dyDescent="0.3">
      <c r="A216" s="27" t="s">
        <v>111</v>
      </c>
      <c r="B216" s="25" t="s">
        <v>13</v>
      </c>
      <c r="C216" s="8" t="s">
        <v>0</v>
      </c>
      <c r="D216" s="7" t="s">
        <v>79</v>
      </c>
      <c r="E216" s="9" t="s">
        <v>65</v>
      </c>
      <c r="F216" s="10">
        <v>20</v>
      </c>
      <c r="G216" s="11" t="s">
        <v>16</v>
      </c>
      <c r="H216" s="7" t="s">
        <v>85</v>
      </c>
      <c r="I216" s="11" t="s">
        <v>113</v>
      </c>
      <c r="J216" s="11" t="s">
        <v>103</v>
      </c>
      <c r="K216" s="12">
        <v>1500</v>
      </c>
      <c r="L216" s="12">
        <f>K216*16%</f>
        <v>240</v>
      </c>
      <c r="M216" s="12">
        <f t="shared" si="10"/>
        <v>1260</v>
      </c>
      <c r="N216" s="29">
        <v>15</v>
      </c>
    </row>
    <row r="217" spans="1:15" ht="16.5" thickTop="1" thickBot="1" x14ac:dyDescent="0.3">
      <c r="A217" s="27" t="s">
        <v>111</v>
      </c>
      <c r="B217" s="25" t="s">
        <v>13</v>
      </c>
      <c r="C217" s="8" t="s">
        <v>0</v>
      </c>
      <c r="D217" s="7" t="s">
        <v>79</v>
      </c>
      <c r="E217" s="9" t="s">
        <v>65</v>
      </c>
      <c r="F217" s="10">
        <v>20</v>
      </c>
      <c r="G217" s="11" t="s">
        <v>16</v>
      </c>
      <c r="H217" s="7" t="s">
        <v>85</v>
      </c>
      <c r="I217" s="11" t="s">
        <v>9</v>
      </c>
      <c r="J217" s="11" t="s">
        <v>103</v>
      </c>
      <c r="K217" s="12">
        <v>7480</v>
      </c>
      <c r="L217" s="12">
        <f>K217*16%</f>
        <v>1196.8</v>
      </c>
      <c r="M217" s="12">
        <f t="shared" si="10"/>
        <v>6283.2</v>
      </c>
      <c r="N217" s="29">
        <v>15</v>
      </c>
    </row>
    <row r="218" spans="1:15" ht="16.5" thickTop="1" thickBot="1" x14ac:dyDescent="0.3">
      <c r="A218" s="27" t="s">
        <v>111</v>
      </c>
      <c r="B218" s="25" t="s">
        <v>13</v>
      </c>
      <c r="C218" s="8" t="s">
        <v>0</v>
      </c>
      <c r="D218" s="7" t="s">
        <v>79</v>
      </c>
      <c r="E218" s="9" t="s">
        <v>65</v>
      </c>
      <c r="F218" s="10">
        <v>20</v>
      </c>
      <c r="G218" s="11" t="s">
        <v>16</v>
      </c>
      <c r="H218" s="7" t="s">
        <v>85</v>
      </c>
      <c r="I218" s="11" t="s">
        <v>15</v>
      </c>
      <c r="J218" s="11" t="s">
        <v>103</v>
      </c>
      <c r="K218" s="12">
        <v>6826</v>
      </c>
      <c r="L218" s="12">
        <f>K218*16%</f>
        <v>1092.1600000000001</v>
      </c>
      <c r="M218" s="12">
        <f t="shared" si="10"/>
        <v>5733.84</v>
      </c>
      <c r="N218" s="29">
        <v>15</v>
      </c>
    </row>
    <row r="219" spans="1:15" ht="16.5" thickTop="1" thickBot="1" x14ac:dyDescent="0.3">
      <c r="A219" s="27" t="s">
        <v>111</v>
      </c>
      <c r="B219" s="25" t="s">
        <v>5</v>
      </c>
      <c r="C219" s="8" t="s">
        <v>0</v>
      </c>
      <c r="D219" s="7" t="s">
        <v>79</v>
      </c>
      <c r="E219" s="9" t="s">
        <v>65</v>
      </c>
      <c r="F219" s="10">
        <v>5</v>
      </c>
      <c r="G219" s="11" t="s">
        <v>17</v>
      </c>
      <c r="H219" s="7" t="s">
        <v>85</v>
      </c>
      <c r="I219" s="11" t="s">
        <v>7</v>
      </c>
      <c r="J219" s="11" t="s">
        <v>103</v>
      </c>
      <c r="K219" s="12">
        <v>16574.890605929999</v>
      </c>
      <c r="L219" s="12">
        <f>K219*5%</f>
        <v>828.74453029649999</v>
      </c>
      <c r="M219" s="12">
        <f t="shared" si="10"/>
        <v>15746.146075633498</v>
      </c>
      <c r="N219" s="29">
        <v>10</v>
      </c>
    </row>
    <row r="220" spans="1:15" ht="16.5" thickTop="1" thickBot="1" x14ac:dyDescent="0.3">
      <c r="A220" s="27" t="s">
        <v>111</v>
      </c>
      <c r="B220" s="25" t="s">
        <v>5</v>
      </c>
      <c r="C220" s="8" t="s">
        <v>0</v>
      </c>
      <c r="D220" s="7" t="s">
        <v>79</v>
      </c>
      <c r="E220" s="9" t="s">
        <v>65</v>
      </c>
      <c r="F220" s="10">
        <v>5</v>
      </c>
      <c r="G220" s="11" t="s">
        <v>17</v>
      </c>
      <c r="H220" s="7" t="s">
        <v>85</v>
      </c>
      <c r="I220" s="11" t="s">
        <v>15</v>
      </c>
      <c r="J220" s="11" t="s">
        <v>103</v>
      </c>
      <c r="K220" s="12">
        <v>4086.3215625749995</v>
      </c>
      <c r="L220" s="12">
        <f>K220*5%</f>
        <v>204.31607812874998</v>
      </c>
      <c r="M220" s="12">
        <f t="shared" si="10"/>
        <v>3882.0054844462493</v>
      </c>
      <c r="N220" s="29">
        <v>10</v>
      </c>
    </row>
    <row r="221" spans="1:15" ht="16.5" thickTop="1" thickBot="1" x14ac:dyDescent="0.3">
      <c r="A221" s="27" t="s">
        <v>111</v>
      </c>
      <c r="B221" s="25" t="s">
        <v>5</v>
      </c>
      <c r="C221" s="8" t="s">
        <v>0</v>
      </c>
      <c r="D221" s="7" t="s">
        <v>79</v>
      </c>
      <c r="E221" s="9" t="s">
        <v>65</v>
      </c>
      <c r="F221" s="10">
        <v>1</v>
      </c>
      <c r="G221" s="11" t="s">
        <v>18</v>
      </c>
      <c r="H221" s="7" t="s">
        <v>85</v>
      </c>
      <c r="I221" s="11" t="s">
        <v>9</v>
      </c>
      <c r="J221" s="11" t="s">
        <v>103</v>
      </c>
      <c r="K221" s="12">
        <v>4153.3112700000001</v>
      </c>
      <c r="L221" s="12">
        <f>K221*5%</f>
        <v>207.66556350000002</v>
      </c>
      <c r="M221" s="12">
        <f t="shared" si="10"/>
        <v>3945.6457065</v>
      </c>
      <c r="N221" s="29">
        <v>10</v>
      </c>
    </row>
    <row r="222" spans="1:15" ht="16.5" thickTop="1" thickBot="1" x14ac:dyDescent="0.3">
      <c r="A222" s="27" t="s">
        <v>111</v>
      </c>
      <c r="B222" s="25" t="s">
        <v>11</v>
      </c>
      <c r="C222" s="8" t="s">
        <v>0</v>
      </c>
      <c r="D222" s="7" t="s">
        <v>79</v>
      </c>
      <c r="E222" s="9" t="s">
        <v>65</v>
      </c>
      <c r="F222" s="10">
        <v>20</v>
      </c>
      <c r="G222" s="11" t="s">
        <v>19</v>
      </c>
      <c r="H222" s="7" t="s">
        <v>88</v>
      </c>
      <c r="I222" s="11" t="s">
        <v>20</v>
      </c>
      <c r="J222" s="11" t="s">
        <v>105</v>
      </c>
      <c r="K222" s="12">
        <v>10635.19</v>
      </c>
      <c r="L222" s="12">
        <f>K222*16%</f>
        <v>1701.6304</v>
      </c>
      <c r="M222" s="12">
        <f t="shared" si="10"/>
        <v>8933.5596000000005</v>
      </c>
      <c r="N222" s="29">
        <v>15</v>
      </c>
    </row>
    <row r="223" spans="1:15" ht="16.5" thickTop="1" thickBot="1" x14ac:dyDescent="0.3">
      <c r="A223" s="39" t="s">
        <v>111</v>
      </c>
      <c r="B223" s="25" t="s">
        <v>13</v>
      </c>
      <c r="C223" s="8" t="s">
        <v>0</v>
      </c>
      <c r="D223" s="7" t="s">
        <v>79</v>
      </c>
      <c r="E223" s="9" t="s">
        <v>65</v>
      </c>
      <c r="F223" s="10">
        <v>5</v>
      </c>
      <c r="G223" s="11" t="s">
        <v>21</v>
      </c>
      <c r="H223" s="7" t="s">
        <v>85</v>
      </c>
      <c r="I223" s="11" t="s">
        <v>9</v>
      </c>
      <c r="J223" s="11" t="s">
        <v>105</v>
      </c>
      <c r="K223" s="12">
        <v>32256.26</v>
      </c>
      <c r="L223" s="12">
        <f>K223*16%</f>
        <v>5161.0015999999996</v>
      </c>
      <c r="M223" s="12">
        <f t="shared" si="10"/>
        <v>27095.258399999999</v>
      </c>
      <c r="N223" s="29">
        <v>10</v>
      </c>
    </row>
    <row r="224" spans="1:15" ht="15.75" customHeight="1" thickTop="1" thickBot="1" x14ac:dyDescent="0.3">
      <c r="A224" s="39" t="s">
        <v>111</v>
      </c>
      <c r="B224" s="25" t="s">
        <v>11</v>
      </c>
      <c r="C224" s="8" t="s">
        <v>0</v>
      </c>
      <c r="D224" s="7" t="s">
        <v>79</v>
      </c>
      <c r="E224" s="9" t="s">
        <v>65</v>
      </c>
      <c r="F224" s="10">
        <v>20</v>
      </c>
      <c r="G224" s="11" t="s">
        <v>21</v>
      </c>
      <c r="H224" s="7" t="s">
        <v>85</v>
      </c>
      <c r="I224" s="11" t="s">
        <v>20</v>
      </c>
      <c r="J224" s="11" t="s">
        <v>105</v>
      </c>
      <c r="K224" s="12">
        <v>37709</v>
      </c>
      <c r="L224" s="12">
        <f>K224*16%</f>
        <v>6033.4400000000005</v>
      </c>
      <c r="M224" s="12">
        <f t="shared" si="10"/>
        <v>31675.559999999998</v>
      </c>
      <c r="N224" s="29">
        <v>10</v>
      </c>
    </row>
    <row r="225" spans="1:20" ht="15.75" customHeight="1" thickTop="1" thickBot="1" x14ac:dyDescent="0.3">
      <c r="A225" s="27" t="s">
        <v>111</v>
      </c>
      <c r="B225" s="25" t="s">
        <v>22</v>
      </c>
      <c r="C225" s="8" t="s">
        <v>0</v>
      </c>
      <c r="D225" s="7" t="s">
        <v>79</v>
      </c>
      <c r="E225" s="9" t="s">
        <v>65</v>
      </c>
      <c r="F225" s="10">
        <v>20</v>
      </c>
      <c r="G225" s="11" t="s">
        <v>23</v>
      </c>
      <c r="H225" s="7" t="s">
        <v>83</v>
      </c>
      <c r="I225" s="11" t="s">
        <v>7</v>
      </c>
      <c r="J225" s="11" t="s">
        <v>80</v>
      </c>
      <c r="K225" s="12">
        <v>5000</v>
      </c>
      <c r="L225" s="12">
        <v>0</v>
      </c>
      <c r="M225" s="12">
        <v>10000</v>
      </c>
      <c r="N225" s="29">
        <v>15</v>
      </c>
    </row>
    <row r="226" spans="1:20" ht="16.5" thickTop="1" thickBot="1" x14ac:dyDescent="0.3">
      <c r="A226" s="27" t="s">
        <v>111</v>
      </c>
      <c r="B226" s="25" t="s">
        <v>11</v>
      </c>
      <c r="C226" s="8" t="s">
        <v>0</v>
      </c>
      <c r="D226" s="7" t="s">
        <v>79</v>
      </c>
      <c r="E226" s="9" t="s">
        <v>65</v>
      </c>
      <c r="F226" s="10">
        <v>5</v>
      </c>
      <c r="G226" s="11" t="s">
        <v>24</v>
      </c>
      <c r="H226" s="7" t="s">
        <v>83</v>
      </c>
      <c r="I226" s="11" t="s">
        <v>7</v>
      </c>
      <c r="J226" s="11" t="s">
        <v>80</v>
      </c>
      <c r="K226" s="12">
        <v>61581.403376595001</v>
      </c>
      <c r="L226" s="12">
        <f>K226*16%</f>
        <v>9853.0245402552009</v>
      </c>
      <c r="M226" s="12">
        <f>K226-L226</f>
        <v>51728.378836339798</v>
      </c>
      <c r="N226" s="29">
        <v>23</v>
      </c>
    </row>
    <row r="227" spans="1:20" ht="16.5" thickTop="1" thickBot="1" x14ac:dyDescent="0.3">
      <c r="A227" s="27" t="s">
        <v>111</v>
      </c>
      <c r="B227" s="25" t="s">
        <v>13</v>
      </c>
      <c r="C227" s="8" t="s">
        <v>0</v>
      </c>
      <c r="D227" s="7" t="s">
        <v>79</v>
      </c>
      <c r="E227" s="9" t="s">
        <v>65</v>
      </c>
      <c r="F227" s="10">
        <v>5</v>
      </c>
      <c r="G227" s="11" t="s">
        <v>24</v>
      </c>
      <c r="H227" s="7" t="s">
        <v>83</v>
      </c>
      <c r="I227" s="11" t="s">
        <v>9</v>
      </c>
      <c r="J227" s="11" t="s">
        <v>80</v>
      </c>
      <c r="K227" s="12">
        <v>12948.9964605</v>
      </c>
      <c r="L227" s="12">
        <f>K227*16%</f>
        <v>2071.8394336800002</v>
      </c>
      <c r="M227" s="12">
        <f>K227-L227</f>
        <v>10877.157026820001</v>
      </c>
      <c r="N227" s="29">
        <v>23</v>
      </c>
    </row>
    <row r="228" spans="1:20" ht="16.5" thickTop="1" thickBot="1" x14ac:dyDescent="0.3">
      <c r="A228" s="27" t="s">
        <v>111</v>
      </c>
      <c r="B228" s="25" t="s">
        <v>10</v>
      </c>
      <c r="C228" s="8" t="s">
        <v>0</v>
      </c>
      <c r="D228" s="7" t="s">
        <v>79</v>
      </c>
      <c r="E228" s="9" t="s">
        <v>65</v>
      </c>
      <c r="F228" s="10">
        <v>5</v>
      </c>
      <c r="G228" s="11" t="s">
        <v>24</v>
      </c>
      <c r="H228" s="7" t="s">
        <v>83</v>
      </c>
      <c r="I228" s="11" t="s">
        <v>96</v>
      </c>
      <c r="J228" s="11" t="s">
        <v>80</v>
      </c>
      <c r="K228" s="12">
        <v>1500</v>
      </c>
      <c r="L228" s="12">
        <f>0</f>
        <v>0</v>
      </c>
      <c r="M228" s="12">
        <f>K228</f>
        <v>1500</v>
      </c>
      <c r="N228" s="29">
        <v>23</v>
      </c>
    </row>
    <row r="229" spans="1:20" ht="16.5" thickTop="1" thickBot="1" x14ac:dyDescent="0.3">
      <c r="A229" s="39" t="s">
        <v>111</v>
      </c>
      <c r="B229" s="25" t="s">
        <v>22</v>
      </c>
      <c r="C229" s="8" t="s">
        <v>25</v>
      </c>
      <c r="D229" s="7" t="s">
        <v>79</v>
      </c>
      <c r="E229" s="9" t="s">
        <v>65</v>
      </c>
      <c r="F229" s="10">
        <v>5</v>
      </c>
      <c r="G229" s="11" t="s">
        <v>26</v>
      </c>
      <c r="H229" s="7" t="s">
        <v>83</v>
      </c>
      <c r="I229" s="11" t="s">
        <v>7</v>
      </c>
      <c r="J229" s="11" t="s">
        <v>80</v>
      </c>
      <c r="K229" s="12">
        <v>19790.640856350001</v>
      </c>
      <c r="L229" s="12">
        <v>0</v>
      </c>
      <c r="M229" s="12">
        <f t="shared" ref="M229:M260" si="11">K229-L229</f>
        <v>19790.640856350001</v>
      </c>
      <c r="N229" s="29">
        <v>24</v>
      </c>
    </row>
    <row r="230" spans="1:20" ht="16.5" thickTop="1" thickBot="1" x14ac:dyDescent="0.3">
      <c r="A230" s="39" t="s">
        <v>111</v>
      </c>
      <c r="B230" s="25" t="s">
        <v>22</v>
      </c>
      <c r="C230" s="8" t="s">
        <v>25</v>
      </c>
      <c r="D230" s="7" t="s">
        <v>79</v>
      </c>
      <c r="E230" s="9" t="s">
        <v>65</v>
      </c>
      <c r="F230" s="10">
        <v>5</v>
      </c>
      <c r="G230" s="11" t="s">
        <v>26</v>
      </c>
      <c r="H230" s="7" t="s">
        <v>83</v>
      </c>
      <c r="I230" s="11" t="s">
        <v>9</v>
      </c>
      <c r="J230" s="11" t="s">
        <v>80</v>
      </c>
      <c r="K230" s="12">
        <v>4336.4128715999996</v>
      </c>
      <c r="L230" s="12">
        <v>0</v>
      </c>
      <c r="M230" s="12">
        <f t="shared" si="11"/>
        <v>4336.4128715999996</v>
      </c>
      <c r="N230" s="29">
        <v>24</v>
      </c>
    </row>
    <row r="231" spans="1:20" ht="16.5" thickTop="1" thickBot="1" x14ac:dyDescent="0.3">
      <c r="A231" s="39" t="s">
        <v>111</v>
      </c>
      <c r="B231" s="25" t="s">
        <v>22</v>
      </c>
      <c r="C231" s="8" t="s">
        <v>25</v>
      </c>
      <c r="D231" s="7" t="s">
        <v>79</v>
      </c>
      <c r="E231" s="9" t="s">
        <v>65</v>
      </c>
      <c r="F231" s="10">
        <v>5</v>
      </c>
      <c r="G231" s="11" t="s">
        <v>27</v>
      </c>
      <c r="H231" s="7" t="s">
        <v>83</v>
      </c>
      <c r="I231" s="11" t="s">
        <v>7</v>
      </c>
      <c r="J231" s="11" t="s">
        <v>80</v>
      </c>
      <c r="K231" s="12">
        <v>19790.640856349997</v>
      </c>
      <c r="L231" s="12">
        <v>0</v>
      </c>
      <c r="M231" s="12">
        <f t="shared" si="11"/>
        <v>19790.640856349997</v>
      </c>
      <c r="N231" s="29">
        <v>24</v>
      </c>
    </row>
    <row r="232" spans="1:20" ht="16.5" thickTop="1" thickBot="1" x14ac:dyDescent="0.3">
      <c r="A232" s="39" t="s">
        <v>111</v>
      </c>
      <c r="B232" s="25" t="s">
        <v>22</v>
      </c>
      <c r="C232" s="8" t="s">
        <v>25</v>
      </c>
      <c r="D232" s="7" t="s">
        <v>79</v>
      </c>
      <c r="E232" s="9" t="s">
        <v>65</v>
      </c>
      <c r="F232" s="10">
        <v>5</v>
      </c>
      <c r="G232" s="11" t="s">
        <v>27</v>
      </c>
      <c r="H232" s="7" t="s">
        <v>83</v>
      </c>
      <c r="I232" s="11" t="s">
        <v>9</v>
      </c>
      <c r="J232" s="11" t="s">
        <v>80</v>
      </c>
      <c r="K232" s="12">
        <v>4336.4128715999996</v>
      </c>
      <c r="L232" s="12">
        <v>0</v>
      </c>
      <c r="M232" s="12">
        <f t="shared" si="11"/>
        <v>4336.4128715999996</v>
      </c>
      <c r="N232" s="29">
        <v>24</v>
      </c>
    </row>
    <row r="233" spans="1:20" ht="16.5" thickTop="1" thickBot="1" x14ac:dyDescent="0.3">
      <c r="A233" s="39" t="s">
        <v>111</v>
      </c>
      <c r="B233" s="25" t="s">
        <v>22</v>
      </c>
      <c r="C233" s="8" t="s">
        <v>25</v>
      </c>
      <c r="D233" s="7" t="s">
        <v>79</v>
      </c>
      <c r="E233" s="9" t="s">
        <v>65</v>
      </c>
      <c r="F233" s="10">
        <v>5</v>
      </c>
      <c r="G233" s="11" t="s">
        <v>27</v>
      </c>
      <c r="H233" s="7" t="s">
        <v>83</v>
      </c>
      <c r="I233" s="11" t="s">
        <v>113</v>
      </c>
      <c r="J233" s="11" t="s">
        <v>80</v>
      </c>
      <c r="K233" s="12">
        <v>1823.589144</v>
      </c>
      <c r="L233" s="12">
        <v>0</v>
      </c>
      <c r="M233" s="12">
        <f t="shared" si="11"/>
        <v>1823.589144</v>
      </c>
      <c r="N233" s="29">
        <v>24</v>
      </c>
    </row>
    <row r="234" spans="1:20" ht="16.5" thickTop="1" thickBot="1" x14ac:dyDescent="0.3">
      <c r="A234" s="27" t="s">
        <v>111</v>
      </c>
      <c r="B234" s="25" t="s">
        <v>13</v>
      </c>
      <c r="C234" s="8" t="s">
        <v>25</v>
      </c>
      <c r="D234" s="7" t="s">
        <v>79</v>
      </c>
      <c r="E234" s="9" t="s">
        <v>65</v>
      </c>
      <c r="F234" s="10">
        <v>20</v>
      </c>
      <c r="G234" s="11" t="s">
        <v>28</v>
      </c>
      <c r="H234" s="7" t="s">
        <v>84</v>
      </c>
      <c r="I234" s="11" t="s">
        <v>9</v>
      </c>
      <c r="J234" s="11" t="s">
        <v>80</v>
      </c>
      <c r="K234" s="12">
        <v>4035.7539000000002</v>
      </c>
      <c r="L234" s="12">
        <f>K234*16%</f>
        <v>645.72062400000004</v>
      </c>
      <c r="M234" s="12">
        <f t="shared" si="11"/>
        <v>3390.0332760000001</v>
      </c>
      <c r="N234" s="29">
        <v>10</v>
      </c>
    </row>
    <row r="235" spans="1:20" ht="16.5" thickTop="1" thickBot="1" x14ac:dyDescent="0.3">
      <c r="A235" s="27" t="s">
        <v>111</v>
      </c>
      <c r="B235" s="25" t="s">
        <v>11</v>
      </c>
      <c r="C235" s="8" t="s">
        <v>25</v>
      </c>
      <c r="D235" s="7" t="s">
        <v>79</v>
      </c>
      <c r="E235" s="9" t="s">
        <v>65</v>
      </c>
      <c r="F235" s="10">
        <v>20</v>
      </c>
      <c r="G235" s="11" t="s">
        <v>29</v>
      </c>
      <c r="H235" s="7" t="s">
        <v>83</v>
      </c>
      <c r="I235" s="11" t="s">
        <v>30</v>
      </c>
      <c r="J235" s="11" t="s">
        <v>80</v>
      </c>
      <c r="K235" s="12">
        <v>500</v>
      </c>
      <c r="L235" s="12">
        <f>K235*5%</f>
        <v>25</v>
      </c>
      <c r="M235" s="12">
        <f t="shared" si="11"/>
        <v>475</v>
      </c>
      <c r="N235" s="29">
        <v>10</v>
      </c>
    </row>
    <row r="236" spans="1:20" ht="16.5" thickTop="1" thickBot="1" x14ac:dyDescent="0.3">
      <c r="A236" s="27" t="s">
        <v>111</v>
      </c>
      <c r="B236" s="25" t="s">
        <v>22</v>
      </c>
      <c r="C236" s="8" t="s">
        <v>25</v>
      </c>
      <c r="D236" s="7" t="s">
        <v>79</v>
      </c>
      <c r="E236" s="9" t="s">
        <v>65</v>
      </c>
      <c r="F236" s="10">
        <v>20</v>
      </c>
      <c r="G236" s="11" t="s">
        <v>29</v>
      </c>
      <c r="H236" s="7" t="s">
        <v>83</v>
      </c>
      <c r="I236" s="11" t="s">
        <v>9</v>
      </c>
      <c r="J236" s="11" t="s">
        <v>80</v>
      </c>
      <c r="K236" s="12">
        <v>3379.6440000000002</v>
      </c>
      <c r="L236" s="12">
        <v>0</v>
      </c>
      <c r="M236" s="12">
        <f t="shared" si="11"/>
        <v>3379.6440000000002</v>
      </c>
      <c r="N236" s="29">
        <v>10</v>
      </c>
      <c r="T236" t="s">
        <v>125</v>
      </c>
    </row>
    <row r="237" spans="1:20" ht="16.5" thickTop="1" thickBot="1" x14ac:dyDescent="0.3">
      <c r="A237" s="27" t="s">
        <v>111</v>
      </c>
      <c r="B237" s="25" t="s">
        <v>22</v>
      </c>
      <c r="C237" s="8" t="s">
        <v>25</v>
      </c>
      <c r="D237" s="7" t="s">
        <v>79</v>
      </c>
      <c r="E237" s="9" t="s">
        <v>65</v>
      </c>
      <c r="F237" s="10">
        <v>25</v>
      </c>
      <c r="G237" s="13" t="s">
        <v>31</v>
      </c>
      <c r="H237" s="7" t="s">
        <v>83</v>
      </c>
      <c r="I237" s="11" t="s">
        <v>7</v>
      </c>
      <c r="J237" s="11" t="s">
        <v>80</v>
      </c>
      <c r="K237" s="12">
        <v>19148.213038275004</v>
      </c>
      <c r="L237" s="12">
        <v>0</v>
      </c>
      <c r="M237" s="12">
        <f t="shared" si="11"/>
        <v>19148.213038275004</v>
      </c>
      <c r="N237" s="29">
        <v>30</v>
      </c>
    </row>
    <row r="238" spans="1:20" ht="16.5" thickTop="1" thickBot="1" x14ac:dyDescent="0.3">
      <c r="A238" s="27" t="s">
        <v>111</v>
      </c>
      <c r="B238" s="25" t="s">
        <v>5</v>
      </c>
      <c r="C238" s="8" t="s">
        <v>25</v>
      </c>
      <c r="D238" s="7" t="s">
        <v>79</v>
      </c>
      <c r="E238" s="9" t="s">
        <v>65</v>
      </c>
      <c r="F238" s="10">
        <v>20</v>
      </c>
      <c r="G238" s="11" t="s">
        <v>32</v>
      </c>
      <c r="H238" s="7" t="s">
        <v>83</v>
      </c>
      <c r="I238" s="11" t="s">
        <v>7</v>
      </c>
      <c r="J238" s="11" t="s">
        <v>80</v>
      </c>
      <c r="K238" s="12">
        <v>20160.015344324998</v>
      </c>
      <c r="L238" s="12">
        <f>K238*5%</f>
        <v>1008.00076721625</v>
      </c>
      <c r="M238" s="12">
        <f t="shared" si="11"/>
        <v>19152.014577108748</v>
      </c>
      <c r="N238" s="29">
        <v>10</v>
      </c>
    </row>
    <row r="239" spans="1:20" ht="16.5" thickTop="1" thickBot="1" x14ac:dyDescent="0.3">
      <c r="A239" s="27" t="s">
        <v>111</v>
      </c>
      <c r="B239" s="25" t="s">
        <v>5</v>
      </c>
      <c r="C239" s="8" t="s">
        <v>25</v>
      </c>
      <c r="D239" s="7" t="s">
        <v>79</v>
      </c>
      <c r="E239" s="9" t="s">
        <v>65</v>
      </c>
      <c r="F239" s="10">
        <v>20</v>
      </c>
      <c r="G239" s="11" t="s">
        <v>32</v>
      </c>
      <c r="H239" s="7" t="s">
        <v>83</v>
      </c>
      <c r="I239" s="11" t="s">
        <v>97</v>
      </c>
      <c r="J239" s="11" t="s">
        <v>80</v>
      </c>
      <c r="K239" s="12">
        <v>10053.314351999999</v>
      </c>
      <c r="L239" s="12">
        <f>K239*5%</f>
        <v>502.66571759999999</v>
      </c>
      <c r="M239" s="12">
        <f t="shared" si="11"/>
        <v>9550.6486343999986</v>
      </c>
      <c r="N239" s="29">
        <v>10</v>
      </c>
    </row>
    <row r="240" spans="1:20" ht="16.5" thickTop="1" thickBot="1" x14ac:dyDescent="0.3">
      <c r="A240" s="27" t="s">
        <v>111</v>
      </c>
      <c r="B240" s="25" t="s">
        <v>11</v>
      </c>
      <c r="C240" s="8" t="s">
        <v>25</v>
      </c>
      <c r="D240" s="7" t="s">
        <v>79</v>
      </c>
      <c r="E240" s="9" t="s">
        <v>65</v>
      </c>
      <c r="F240" s="10">
        <v>20</v>
      </c>
      <c r="G240" s="11" t="s">
        <v>32</v>
      </c>
      <c r="H240" s="7" t="s">
        <v>83</v>
      </c>
      <c r="I240" s="11" t="s">
        <v>30</v>
      </c>
      <c r="J240" s="11" t="s">
        <v>80</v>
      </c>
      <c r="K240" s="12">
        <v>200</v>
      </c>
      <c r="L240" s="12">
        <f>K240*5%</f>
        <v>10</v>
      </c>
      <c r="M240" s="12">
        <f t="shared" si="11"/>
        <v>190</v>
      </c>
      <c r="N240" s="29">
        <v>10</v>
      </c>
    </row>
    <row r="241" spans="1:14" ht="16.5" thickTop="1" thickBot="1" x14ac:dyDescent="0.3">
      <c r="A241" s="27" t="s">
        <v>111</v>
      </c>
      <c r="B241" s="25" t="s">
        <v>5</v>
      </c>
      <c r="C241" s="8" t="s">
        <v>25</v>
      </c>
      <c r="D241" s="7" t="s">
        <v>79</v>
      </c>
      <c r="E241" s="9" t="s">
        <v>65</v>
      </c>
      <c r="F241" s="10">
        <v>20</v>
      </c>
      <c r="G241" s="11" t="s">
        <v>32</v>
      </c>
      <c r="H241" s="7" t="s">
        <v>83</v>
      </c>
      <c r="I241" s="11" t="s">
        <v>7</v>
      </c>
      <c r="J241" s="11" t="s">
        <v>80</v>
      </c>
      <c r="K241" s="12">
        <v>10106.5959</v>
      </c>
      <c r="L241" s="12">
        <f>K241*5%</f>
        <v>505.32979500000005</v>
      </c>
      <c r="M241" s="12">
        <f t="shared" si="11"/>
        <v>9601.2661050000006</v>
      </c>
      <c r="N241" s="29">
        <v>10</v>
      </c>
    </row>
    <row r="242" spans="1:14" ht="16.5" thickTop="1" thickBot="1" x14ac:dyDescent="0.3">
      <c r="A242" s="27" t="s">
        <v>111</v>
      </c>
      <c r="B242" s="25" t="s">
        <v>5</v>
      </c>
      <c r="C242" s="8" t="s">
        <v>25</v>
      </c>
      <c r="D242" s="7" t="s">
        <v>79</v>
      </c>
      <c r="E242" s="9" t="s">
        <v>65</v>
      </c>
      <c r="F242" s="10">
        <v>20</v>
      </c>
      <c r="G242" s="11" t="s">
        <v>32</v>
      </c>
      <c r="H242" s="7" t="s">
        <v>83</v>
      </c>
      <c r="I242" s="11" t="s">
        <v>98</v>
      </c>
      <c r="J242" s="11" t="s">
        <v>80</v>
      </c>
      <c r="K242" s="12">
        <v>12935</v>
      </c>
      <c r="L242" s="12">
        <f>K242*5%</f>
        <v>646.75</v>
      </c>
      <c r="M242" s="12">
        <f>K242-L242</f>
        <v>12288.25</v>
      </c>
      <c r="N242" s="29">
        <v>10</v>
      </c>
    </row>
    <row r="243" spans="1:14" ht="16.5" thickTop="1" thickBot="1" x14ac:dyDescent="0.3">
      <c r="A243" s="27" t="s">
        <v>111</v>
      </c>
      <c r="B243" s="25" t="s">
        <v>10</v>
      </c>
      <c r="C243" s="8" t="s">
        <v>25</v>
      </c>
      <c r="D243" s="7" t="s">
        <v>79</v>
      </c>
      <c r="E243" s="9" t="s">
        <v>65</v>
      </c>
      <c r="F243" s="10">
        <v>20</v>
      </c>
      <c r="G243" s="11" t="s">
        <v>32</v>
      </c>
      <c r="H243" s="7" t="s">
        <v>83</v>
      </c>
      <c r="I243" s="11" t="s">
        <v>96</v>
      </c>
      <c r="J243" s="11" t="s">
        <v>80</v>
      </c>
      <c r="K243" s="12">
        <v>2000</v>
      </c>
      <c r="L243" s="12">
        <f>0</f>
        <v>0</v>
      </c>
      <c r="M243" s="12">
        <f t="shared" si="11"/>
        <v>2000</v>
      </c>
      <c r="N243" s="29">
        <v>10</v>
      </c>
    </row>
    <row r="244" spans="1:14" ht="16.5" thickTop="1" thickBot="1" x14ac:dyDescent="0.3">
      <c r="A244" s="39" t="s">
        <v>111</v>
      </c>
      <c r="B244" s="25" t="s">
        <v>11</v>
      </c>
      <c r="C244" s="8" t="s">
        <v>25</v>
      </c>
      <c r="D244" s="7" t="s">
        <v>79</v>
      </c>
      <c r="E244" s="9" t="s">
        <v>65</v>
      </c>
      <c r="F244" s="10">
        <v>15</v>
      </c>
      <c r="G244" s="11" t="s">
        <v>33</v>
      </c>
      <c r="H244" s="7" t="s">
        <v>83</v>
      </c>
      <c r="I244" s="11" t="s">
        <v>7</v>
      </c>
      <c r="J244" s="11" t="s">
        <v>80</v>
      </c>
      <c r="K244" s="12">
        <v>20389.18</v>
      </c>
      <c r="L244" s="12">
        <f>K244*16%</f>
        <v>3262.2688000000003</v>
      </c>
      <c r="M244" s="12">
        <f t="shared" si="11"/>
        <v>17126.911199999999</v>
      </c>
      <c r="N244" s="29">
        <v>30</v>
      </c>
    </row>
    <row r="245" spans="1:14" ht="16.5" thickTop="1" thickBot="1" x14ac:dyDescent="0.3">
      <c r="A245" s="27" t="s">
        <v>111</v>
      </c>
      <c r="B245" s="25" t="s">
        <v>122</v>
      </c>
      <c r="C245" s="8" t="s">
        <v>25</v>
      </c>
      <c r="D245" s="7" t="s">
        <v>114</v>
      </c>
      <c r="E245" s="9" t="s">
        <v>65</v>
      </c>
      <c r="F245" s="10">
        <v>20</v>
      </c>
      <c r="G245" s="11" t="s">
        <v>121</v>
      </c>
      <c r="H245" s="7" t="s">
        <v>83</v>
      </c>
      <c r="I245" s="11" t="s">
        <v>123</v>
      </c>
      <c r="J245" s="11" t="s">
        <v>80</v>
      </c>
      <c r="K245" s="12">
        <v>4500</v>
      </c>
      <c r="L245" s="12">
        <v>0</v>
      </c>
      <c r="M245" s="12">
        <f>K245-L245</f>
        <v>4500</v>
      </c>
      <c r="N245" s="29">
        <v>21</v>
      </c>
    </row>
    <row r="246" spans="1:14" ht="16.5" thickTop="1" thickBot="1" x14ac:dyDescent="0.3">
      <c r="A246" s="39" t="s">
        <v>111</v>
      </c>
      <c r="B246" s="25" t="s">
        <v>22</v>
      </c>
      <c r="C246" s="8" t="s">
        <v>25</v>
      </c>
      <c r="D246" s="7" t="s">
        <v>79</v>
      </c>
      <c r="E246" s="9" t="s">
        <v>65</v>
      </c>
      <c r="F246" s="10">
        <v>15</v>
      </c>
      <c r="G246" s="11" t="s">
        <v>121</v>
      </c>
      <c r="H246" s="7" t="s">
        <v>83</v>
      </c>
      <c r="I246" s="11" t="s">
        <v>9</v>
      </c>
      <c r="J246" s="11" t="s">
        <v>80</v>
      </c>
      <c r="K246" s="12">
        <v>4784.5600000000004</v>
      </c>
      <c r="L246" s="12">
        <v>0</v>
      </c>
      <c r="M246" s="12">
        <f>K246-L246</f>
        <v>4784.5600000000004</v>
      </c>
      <c r="N246" s="29">
        <v>30</v>
      </c>
    </row>
    <row r="247" spans="1:14" ht="16.5" thickTop="1" thickBot="1" x14ac:dyDescent="0.3">
      <c r="A247" s="39" t="s">
        <v>111</v>
      </c>
      <c r="B247" s="25" t="s">
        <v>22</v>
      </c>
      <c r="C247" s="8" t="s">
        <v>25</v>
      </c>
      <c r="D247" s="7" t="s">
        <v>79</v>
      </c>
      <c r="E247" s="9" t="s">
        <v>65</v>
      </c>
      <c r="F247" s="10">
        <v>15</v>
      </c>
      <c r="G247" s="11" t="s">
        <v>33</v>
      </c>
      <c r="H247" s="7" t="s">
        <v>83</v>
      </c>
      <c r="I247" s="11" t="s">
        <v>9</v>
      </c>
      <c r="J247" s="11" t="s">
        <v>80</v>
      </c>
      <c r="K247" s="12">
        <v>7758.74</v>
      </c>
      <c r="L247" s="12">
        <v>0</v>
      </c>
      <c r="M247" s="12">
        <f t="shared" si="11"/>
        <v>7758.74</v>
      </c>
      <c r="N247" s="29">
        <v>30</v>
      </c>
    </row>
    <row r="248" spans="1:14" ht="16.5" thickTop="1" thickBot="1" x14ac:dyDescent="0.3">
      <c r="A248" s="39" t="s">
        <v>111</v>
      </c>
      <c r="B248" s="25" t="s">
        <v>11</v>
      </c>
      <c r="C248" s="8" t="s">
        <v>25</v>
      </c>
      <c r="D248" s="7" t="s">
        <v>79</v>
      </c>
      <c r="E248" s="9" t="s">
        <v>65</v>
      </c>
      <c r="F248" s="10">
        <v>15</v>
      </c>
      <c r="G248" s="11" t="s">
        <v>33</v>
      </c>
      <c r="H248" s="7" t="s">
        <v>83</v>
      </c>
      <c r="I248" s="11" t="s">
        <v>30</v>
      </c>
      <c r="J248" s="11" t="s">
        <v>80</v>
      </c>
      <c r="K248" s="12">
        <v>200</v>
      </c>
      <c r="L248" s="12">
        <f>K248*5%</f>
        <v>10</v>
      </c>
      <c r="M248" s="12">
        <f t="shared" si="11"/>
        <v>190</v>
      </c>
      <c r="N248" s="29">
        <v>30</v>
      </c>
    </row>
    <row r="249" spans="1:14" ht="16.5" thickTop="1" thickBot="1" x14ac:dyDescent="0.3">
      <c r="A249" s="27" t="s">
        <v>111</v>
      </c>
      <c r="B249" s="25" t="s">
        <v>22</v>
      </c>
      <c r="C249" s="8" t="s">
        <v>60</v>
      </c>
      <c r="D249" s="7" t="s">
        <v>79</v>
      </c>
      <c r="E249" s="9" t="s">
        <v>65</v>
      </c>
      <c r="F249" s="10">
        <v>1</v>
      </c>
      <c r="G249" s="11" t="s">
        <v>34</v>
      </c>
      <c r="H249" s="7" t="s">
        <v>87</v>
      </c>
      <c r="I249" s="11" t="s">
        <v>20</v>
      </c>
      <c r="J249" s="11" t="s">
        <v>105</v>
      </c>
      <c r="K249" s="12">
        <v>36969.404166</v>
      </c>
      <c r="L249" s="12">
        <v>0</v>
      </c>
      <c r="M249" s="12">
        <f t="shared" si="11"/>
        <v>36969.404166</v>
      </c>
      <c r="N249" s="29">
        <v>30</v>
      </c>
    </row>
    <row r="250" spans="1:14" ht="16.5" thickTop="1" thickBot="1" x14ac:dyDescent="0.3">
      <c r="A250" s="27" t="s">
        <v>111</v>
      </c>
      <c r="B250" s="25" t="s">
        <v>22</v>
      </c>
      <c r="C250" s="8" t="s">
        <v>60</v>
      </c>
      <c r="D250" s="7" t="s">
        <v>79</v>
      </c>
      <c r="E250" s="9" t="s">
        <v>65</v>
      </c>
      <c r="F250" s="10">
        <v>1</v>
      </c>
      <c r="G250" s="11" t="s">
        <v>34</v>
      </c>
      <c r="H250" s="7" t="s">
        <v>87</v>
      </c>
      <c r="I250" s="11" t="s">
        <v>9</v>
      </c>
      <c r="J250" s="11" t="s">
        <v>105</v>
      </c>
      <c r="K250" s="12">
        <v>30185.123490000002</v>
      </c>
      <c r="L250" s="12">
        <v>0</v>
      </c>
      <c r="M250" s="12">
        <f t="shared" si="11"/>
        <v>30185.123490000002</v>
      </c>
      <c r="N250" s="29">
        <v>30</v>
      </c>
    </row>
    <row r="251" spans="1:14" ht="16.5" thickTop="1" thickBot="1" x14ac:dyDescent="0.3">
      <c r="A251" s="27" t="s">
        <v>111</v>
      </c>
      <c r="B251" s="25" t="s">
        <v>22</v>
      </c>
      <c r="C251" s="8" t="s">
        <v>60</v>
      </c>
      <c r="D251" s="7" t="s">
        <v>79</v>
      </c>
      <c r="E251" s="9" t="s">
        <v>65</v>
      </c>
      <c r="F251" s="10">
        <v>1</v>
      </c>
      <c r="G251" s="11" t="s">
        <v>35</v>
      </c>
      <c r="H251" s="7" t="s">
        <v>83</v>
      </c>
      <c r="I251" s="11" t="s">
        <v>9</v>
      </c>
      <c r="J251" s="11" t="s">
        <v>105</v>
      </c>
      <c r="K251" s="12">
        <v>21581.665982999999</v>
      </c>
      <c r="L251" s="12">
        <v>0</v>
      </c>
      <c r="M251" s="12">
        <f t="shared" si="11"/>
        <v>21581.665982999999</v>
      </c>
      <c r="N251" s="29">
        <v>30</v>
      </c>
    </row>
    <row r="252" spans="1:14" ht="16.5" thickTop="1" thickBot="1" x14ac:dyDescent="0.3">
      <c r="A252" s="27" t="s">
        <v>111</v>
      </c>
      <c r="B252" s="25" t="s">
        <v>22</v>
      </c>
      <c r="C252" s="8" t="s">
        <v>60</v>
      </c>
      <c r="D252" s="7" t="s">
        <v>79</v>
      </c>
      <c r="E252" s="9" t="s">
        <v>65</v>
      </c>
      <c r="F252" s="10">
        <v>1</v>
      </c>
      <c r="G252" s="11" t="s">
        <v>36</v>
      </c>
      <c r="H252" s="7" t="s">
        <v>89</v>
      </c>
      <c r="I252" s="11" t="s">
        <v>20</v>
      </c>
      <c r="J252" s="11" t="s">
        <v>105</v>
      </c>
      <c r="K252" s="12">
        <v>36969.404166</v>
      </c>
      <c r="L252" s="12">
        <v>0</v>
      </c>
      <c r="M252" s="12">
        <f t="shared" si="11"/>
        <v>36969.404166</v>
      </c>
      <c r="N252" s="29">
        <v>30</v>
      </c>
    </row>
    <row r="253" spans="1:14" ht="16.5" thickTop="1" thickBot="1" x14ac:dyDescent="0.3">
      <c r="A253" s="27" t="s">
        <v>111</v>
      </c>
      <c r="B253" s="25" t="s">
        <v>22</v>
      </c>
      <c r="C253" s="8" t="s">
        <v>60</v>
      </c>
      <c r="D253" s="7" t="s">
        <v>79</v>
      </c>
      <c r="E253" s="9" t="s">
        <v>65</v>
      </c>
      <c r="F253" s="10">
        <v>1</v>
      </c>
      <c r="G253" s="11" t="s">
        <v>36</v>
      </c>
      <c r="H253" s="7" t="s">
        <v>89</v>
      </c>
      <c r="I253" s="11" t="s">
        <v>9</v>
      </c>
      <c r="J253" s="11" t="s">
        <v>105</v>
      </c>
      <c r="K253" s="12">
        <v>30185.123490000002</v>
      </c>
      <c r="L253" s="12">
        <v>0</v>
      </c>
      <c r="M253" s="12">
        <f t="shared" si="11"/>
        <v>30185.123490000002</v>
      </c>
      <c r="N253" s="29">
        <v>30</v>
      </c>
    </row>
    <row r="254" spans="1:14" ht="16.5" thickTop="1" thickBot="1" x14ac:dyDescent="0.3">
      <c r="A254" s="27" t="s">
        <v>111</v>
      </c>
      <c r="B254" s="25" t="s">
        <v>22</v>
      </c>
      <c r="C254" s="8" t="s">
        <v>60</v>
      </c>
      <c r="D254" s="7" t="s">
        <v>79</v>
      </c>
      <c r="E254" s="9" t="s">
        <v>65</v>
      </c>
      <c r="F254" s="10">
        <v>1</v>
      </c>
      <c r="G254" s="11" t="s">
        <v>37</v>
      </c>
      <c r="H254" s="7" t="s">
        <v>85</v>
      </c>
      <c r="I254" s="11" t="s">
        <v>9</v>
      </c>
      <c r="J254" s="11" t="s">
        <v>105</v>
      </c>
      <c r="K254" s="12">
        <v>12949.001676</v>
      </c>
      <c r="L254" s="12">
        <v>0</v>
      </c>
      <c r="M254" s="12">
        <f t="shared" si="11"/>
        <v>12949.001676</v>
      </c>
      <c r="N254" s="29">
        <v>30</v>
      </c>
    </row>
    <row r="255" spans="1:14" ht="16.5" thickTop="1" thickBot="1" x14ac:dyDescent="0.3">
      <c r="A255" s="27" t="s">
        <v>111</v>
      </c>
      <c r="B255" s="25" t="s">
        <v>22</v>
      </c>
      <c r="C255" s="8" t="s">
        <v>60</v>
      </c>
      <c r="D255" s="7" t="s">
        <v>79</v>
      </c>
      <c r="E255" s="9" t="s">
        <v>65</v>
      </c>
      <c r="F255" s="10">
        <v>1</v>
      </c>
      <c r="G255" s="11" t="s">
        <v>93</v>
      </c>
      <c r="H255" s="7" t="s">
        <v>85</v>
      </c>
      <c r="I255" s="11" t="s">
        <v>9</v>
      </c>
      <c r="J255" s="11" t="s">
        <v>105</v>
      </c>
      <c r="K255" s="12">
        <v>17265.328613999998</v>
      </c>
      <c r="L255" s="12">
        <v>0</v>
      </c>
      <c r="M255" s="12">
        <f t="shared" si="11"/>
        <v>17265.328613999998</v>
      </c>
      <c r="N255" s="29">
        <v>30</v>
      </c>
    </row>
    <row r="256" spans="1:14" ht="16.5" thickTop="1" thickBot="1" x14ac:dyDescent="0.3">
      <c r="A256" s="27" t="s">
        <v>111</v>
      </c>
      <c r="B256" s="25" t="s">
        <v>22</v>
      </c>
      <c r="C256" s="8" t="s">
        <v>60</v>
      </c>
      <c r="D256" s="7" t="s">
        <v>79</v>
      </c>
      <c r="E256" s="9" t="s">
        <v>65</v>
      </c>
      <c r="F256" s="10">
        <v>1</v>
      </c>
      <c r="G256" s="11" t="s">
        <v>38</v>
      </c>
      <c r="H256" s="7" t="s">
        <v>85</v>
      </c>
      <c r="I256" s="11" t="s">
        <v>9</v>
      </c>
      <c r="J256" s="11" t="s">
        <v>105</v>
      </c>
      <c r="K256" s="12">
        <v>8632.6643069999991</v>
      </c>
      <c r="L256" s="12">
        <v>0</v>
      </c>
      <c r="M256" s="12">
        <f t="shared" si="11"/>
        <v>8632.6643069999991</v>
      </c>
      <c r="N256" s="29">
        <v>30</v>
      </c>
    </row>
    <row r="257" spans="1:14" ht="16.5" thickTop="1" thickBot="1" x14ac:dyDescent="0.3">
      <c r="A257" s="27" t="s">
        <v>111</v>
      </c>
      <c r="B257" s="25" t="s">
        <v>11</v>
      </c>
      <c r="C257" s="8" t="s">
        <v>60</v>
      </c>
      <c r="D257" s="7" t="s">
        <v>79</v>
      </c>
      <c r="E257" s="9" t="s">
        <v>65</v>
      </c>
      <c r="F257" s="10">
        <v>20</v>
      </c>
      <c r="G257" s="11" t="s">
        <v>119</v>
      </c>
      <c r="H257" s="7" t="s">
        <v>85</v>
      </c>
      <c r="I257" s="11" t="s">
        <v>7</v>
      </c>
      <c r="J257" s="11" t="s">
        <v>103</v>
      </c>
      <c r="K257" s="12">
        <v>17200</v>
      </c>
      <c r="L257" s="12">
        <f>K257*16%</f>
        <v>2752</v>
      </c>
      <c r="M257" s="12">
        <f t="shared" si="11"/>
        <v>14448</v>
      </c>
      <c r="N257" s="29">
        <v>20</v>
      </c>
    </row>
    <row r="258" spans="1:14" ht="16.5" thickTop="1" thickBot="1" x14ac:dyDescent="0.3">
      <c r="A258" s="27" t="s">
        <v>111</v>
      </c>
      <c r="B258" s="25" t="s">
        <v>13</v>
      </c>
      <c r="C258" s="8" t="s">
        <v>60</v>
      </c>
      <c r="D258" s="7" t="s">
        <v>79</v>
      </c>
      <c r="E258" s="9" t="s">
        <v>65</v>
      </c>
      <c r="F258" s="10">
        <v>20</v>
      </c>
      <c r="G258" s="11" t="s">
        <v>119</v>
      </c>
      <c r="H258" s="7" t="s">
        <v>85</v>
      </c>
      <c r="I258" s="11" t="s">
        <v>9</v>
      </c>
      <c r="J258" s="11" t="s">
        <v>103</v>
      </c>
      <c r="K258" s="12">
        <v>7800</v>
      </c>
      <c r="L258" s="12">
        <f>K258*16%</f>
        <v>1248</v>
      </c>
      <c r="M258" s="12">
        <f t="shared" si="11"/>
        <v>6552</v>
      </c>
      <c r="N258" s="29">
        <v>20</v>
      </c>
    </row>
    <row r="259" spans="1:14" ht="16.5" thickTop="1" thickBot="1" x14ac:dyDescent="0.3">
      <c r="A259" s="27" t="s">
        <v>111</v>
      </c>
      <c r="B259" s="25" t="s">
        <v>13</v>
      </c>
      <c r="C259" s="8" t="s">
        <v>60</v>
      </c>
      <c r="D259" s="7" t="s">
        <v>79</v>
      </c>
      <c r="E259" s="9" t="s">
        <v>65</v>
      </c>
      <c r="F259" s="10">
        <v>20</v>
      </c>
      <c r="G259" s="11" t="s">
        <v>119</v>
      </c>
      <c r="H259" s="7" t="s">
        <v>85</v>
      </c>
      <c r="I259" s="11" t="s">
        <v>15</v>
      </c>
      <c r="J259" s="11" t="s">
        <v>103</v>
      </c>
      <c r="K259" s="12">
        <v>4590</v>
      </c>
      <c r="L259" s="12">
        <f>K259*16%</f>
        <v>734.4</v>
      </c>
      <c r="M259" s="12">
        <f t="shared" si="11"/>
        <v>3855.6</v>
      </c>
      <c r="N259" s="29">
        <v>20</v>
      </c>
    </row>
    <row r="260" spans="1:14" ht="16.5" thickTop="1" thickBot="1" x14ac:dyDescent="0.3">
      <c r="A260" s="27" t="s">
        <v>111</v>
      </c>
      <c r="B260" s="25" t="s">
        <v>10</v>
      </c>
      <c r="C260" s="8" t="s">
        <v>60</v>
      </c>
      <c r="D260" s="7" t="s">
        <v>79</v>
      </c>
      <c r="E260" s="9" t="s">
        <v>65</v>
      </c>
      <c r="F260" s="10">
        <v>20</v>
      </c>
      <c r="G260" s="11" t="s">
        <v>119</v>
      </c>
      <c r="H260" s="7" t="s">
        <v>85</v>
      </c>
      <c r="I260" s="11" t="s">
        <v>96</v>
      </c>
      <c r="J260" s="11" t="s">
        <v>103</v>
      </c>
      <c r="K260" s="12">
        <v>1785.7</v>
      </c>
      <c r="L260" s="12">
        <v>0</v>
      </c>
      <c r="M260" s="12">
        <f t="shared" si="11"/>
        <v>1785.7</v>
      </c>
      <c r="N260" s="29">
        <v>20</v>
      </c>
    </row>
    <row r="261" spans="1:14" ht="16.5" thickTop="1" thickBot="1" x14ac:dyDescent="0.3">
      <c r="A261" s="27" t="s">
        <v>111</v>
      </c>
      <c r="B261" s="25" t="s">
        <v>11</v>
      </c>
      <c r="C261" s="8" t="s">
        <v>60</v>
      </c>
      <c r="D261" s="7" t="s">
        <v>79</v>
      </c>
      <c r="E261" s="9" t="s">
        <v>65</v>
      </c>
      <c r="F261" s="10">
        <v>20</v>
      </c>
      <c r="G261" s="11" t="s">
        <v>94</v>
      </c>
      <c r="H261" s="7" t="s">
        <v>86</v>
      </c>
      <c r="I261" s="11" t="s">
        <v>7</v>
      </c>
      <c r="J261" s="11" t="s">
        <v>103</v>
      </c>
      <c r="K261" s="12">
        <v>24767</v>
      </c>
      <c r="L261" s="12">
        <f>K261*16%</f>
        <v>3962.7200000000003</v>
      </c>
      <c r="M261" s="12">
        <f>K261-L261</f>
        <v>20804.28</v>
      </c>
      <c r="N261" s="29">
        <v>20</v>
      </c>
    </row>
    <row r="262" spans="1:14" ht="16.5" thickTop="1" thickBot="1" x14ac:dyDescent="0.3">
      <c r="A262" s="27"/>
      <c r="B262" s="25" t="s">
        <v>13</v>
      </c>
      <c r="C262" s="8" t="s">
        <v>60</v>
      </c>
      <c r="D262" s="7" t="s">
        <v>79</v>
      </c>
      <c r="E262" s="9" t="s">
        <v>65</v>
      </c>
      <c r="F262" s="10">
        <v>20</v>
      </c>
      <c r="G262" s="11" t="s">
        <v>94</v>
      </c>
      <c r="H262" s="7" t="s">
        <v>86</v>
      </c>
      <c r="I262" s="11" t="s">
        <v>15</v>
      </c>
      <c r="J262" s="11" t="s">
        <v>103</v>
      </c>
      <c r="K262" s="49">
        <v>6580</v>
      </c>
      <c r="L262" s="12">
        <v>723.8</v>
      </c>
      <c r="M262" s="49">
        <f>K262-L262</f>
        <v>5856.2</v>
      </c>
      <c r="N262" s="29">
        <v>20</v>
      </c>
    </row>
    <row r="263" spans="1:14" ht="16.5" thickTop="1" thickBot="1" x14ac:dyDescent="0.3">
      <c r="A263" s="27" t="s">
        <v>111</v>
      </c>
      <c r="B263" s="25" t="s">
        <v>13</v>
      </c>
      <c r="C263" s="8" t="s">
        <v>60</v>
      </c>
      <c r="D263" s="7" t="s">
        <v>79</v>
      </c>
      <c r="E263" s="9" t="s">
        <v>65</v>
      </c>
      <c r="F263" s="10">
        <v>20</v>
      </c>
      <c r="G263" s="11" t="s">
        <v>94</v>
      </c>
      <c r="H263" s="7" t="s">
        <v>86</v>
      </c>
      <c r="I263" s="11" t="s">
        <v>9</v>
      </c>
      <c r="J263" s="11" t="s">
        <v>103</v>
      </c>
      <c r="K263" s="12">
        <v>15476</v>
      </c>
      <c r="L263" s="12">
        <f>K263*16%</f>
        <v>2476.16</v>
      </c>
      <c r="M263" s="12">
        <f t="shared" ref="M263:M305" si="12">K263-L263</f>
        <v>12999.84</v>
      </c>
      <c r="N263" s="29">
        <v>20</v>
      </c>
    </row>
    <row r="264" spans="1:14" ht="15.75" customHeight="1" thickTop="1" thickBot="1" x14ac:dyDescent="0.3">
      <c r="A264" s="27" t="s">
        <v>111</v>
      </c>
      <c r="B264" s="25" t="s">
        <v>22</v>
      </c>
      <c r="C264" s="8" t="s">
        <v>61</v>
      </c>
      <c r="D264" s="7" t="s">
        <v>79</v>
      </c>
      <c r="E264" s="9" t="s">
        <v>65</v>
      </c>
      <c r="F264" s="10">
        <v>20</v>
      </c>
      <c r="G264" s="13" t="s">
        <v>39</v>
      </c>
      <c r="H264" s="7" t="s">
        <v>83</v>
      </c>
      <c r="I264" s="11" t="s">
        <v>7</v>
      </c>
      <c r="J264" s="11" t="s">
        <v>80</v>
      </c>
      <c r="K264" s="12">
        <v>18709.103873069998</v>
      </c>
      <c r="L264" s="12">
        <v>0</v>
      </c>
      <c r="M264" s="12">
        <f t="shared" si="12"/>
        <v>18709.103873069998</v>
      </c>
      <c r="N264" s="29">
        <v>17</v>
      </c>
    </row>
    <row r="265" spans="1:14" ht="15.75" customHeight="1" thickTop="1" thickBot="1" x14ac:dyDescent="0.3">
      <c r="A265" s="27" t="s">
        <v>111</v>
      </c>
      <c r="B265" s="25" t="s">
        <v>11</v>
      </c>
      <c r="C265" s="8" t="s">
        <v>61</v>
      </c>
      <c r="D265" s="7" t="s">
        <v>79</v>
      </c>
      <c r="E265" s="9" t="s">
        <v>65</v>
      </c>
      <c r="F265" s="10">
        <v>20</v>
      </c>
      <c r="G265" s="13" t="s">
        <v>40</v>
      </c>
      <c r="H265" s="7" t="s">
        <v>83</v>
      </c>
      <c r="I265" s="14" t="s">
        <v>30</v>
      </c>
      <c r="J265" s="14" t="s">
        <v>107</v>
      </c>
      <c r="K265" s="12">
        <v>200</v>
      </c>
      <c r="L265" s="12">
        <f>K265*5%</f>
        <v>10</v>
      </c>
      <c r="M265" s="12">
        <f t="shared" si="12"/>
        <v>190</v>
      </c>
      <c r="N265" s="29">
        <v>10</v>
      </c>
    </row>
    <row r="266" spans="1:14" ht="15.75" customHeight="1" thickTop="1" thickBot="1" x14ac:dyDescent="0.3">
      <c r="A266" s="27" t="s">
        <v>111</v>
      </c>
      <c r="B266" s="25" t="s">
        <v>13</v>
      </c>
      <c r="C266" s="8" t="s">
        <v>61</v>
      </c>
      <c r="D266" s="7" t="s">
        <v>79</v>
      </c>
      <c r="E266" s="9" t="s">
        <v>66</v>
      </c>
      <c r="F266" s="10">
        <v>20</v>
      </c>
      <c r="G266" s="13" t="s">
        <v>90</v>
      </c>
      <c r="H266" s="15" t="s">
        <v>83</v>
      </c>
      <c r="I266" s="14" t="s">
        <v>9</v>
      </c>
      <c r="J266" s="11" t="s">
        <v>103</v>
      </c>
      <c r="K266" s="12">
        <v>4105</v>
      </c>
      <c r="L266" s="12">
        <v>451.55</v>
      </c>
      <c r="M266" s="12">
        <f t="shared" ref="M266:M271" si="13">K266-L266</f>
        <v>3653.45</v>
      </c>
      <c r="N266" s="29">
        <v>10</v>
      </c>
    </row>
    <row r="267" spans="1:14" ht="15.75" customHeight="1" thickTop="1" thickBot="1" x14ac:dyDescent="0.3">
      <c r="A267" s="27" t="s">
        <v>111</v>
      </c>
      <c r="B267" s="25" t="s">
        <v>13</v>
      </c>
      <c r="C267" s="8" t="s">
        <v>61</v>
      </c>
      <c r="D267" s="7" t="s">
        <v>79</v>
      </c>
      <c r="E267" s="9" t="s">
        <v>67</v>
      </c>
      <c r="F267" s="10">
        <v>20</v>
      </c>
      <c r="G267" s="13" t="s">
        <v>90</v>
      </c>
      <c r="H267" s="15" t="s">
        <v>83</v>
      </c>
      <c r="I267" s="14" t="s">
        <v>9</v>
      </c>
      <c r="J267" s="11" t="s">
        <v>103</v>
      </c>
      <c r="K267" s="12">
        <v>4105</v>
      </c>
      <c r="L267" s="12">
        <v>451.55</v>
      </c>
      <c r="M267" s="12">
        <f t="shared" si="13"/>
        <v>3653.45</v>
      </c>
      <c r="N267" s="29">
        <v>10</v>
      </c>
    </row>
    <row r="268" spans="1:14" ht="15.75" customHeight="1" thickTop="1" thickBot="1" x14ac:dyDescent="0.3">
      <c r="A268" s="27"/>
      <c r="B268" s="25" t="s">
        <v>13</v>
      </c>
      <c r="C268" s="8" t="s">
        <v>61</v>
      </c>
      <c r="D268" s="7" t="s">
        <v>79</v>
      </c>
      <c r="E268" s="9" t="s">
        <v>68</v>
      </c>
      <c r="F268" s="10">
        <v>20</v>
      </c>
      <c r="G268" s="13" t="s">
        <v>90</v>
      </c>
      <c r="H268" s="15" t="s">
        <v>83</v>
      </c>
      <c r="I268" s="14" t="s">
        <v>9</v>
      </c>
      <c r="J268" s="11" t="s">
        <v>103</v>
      </c>
      <c r="K268" s="12">
        <v>4105</v>
      </c>
      <c r="L268" s="12">
        <v>451.55</v>
      </c>
      <c r="M268" s="12">
        <f t="shared" si="13"/>
        <v>3653.45</v>
      </c>
      <c r="N268" s="29">
        <v>10</v>
      </c>
    </row>
    <row r="269" spans="1:14" ht="15.75" customHeight="1" thickTop="1" thickBot="1" x14ac:dyDescent="0.3">
      <c r="A269" s="27" t="s">
        <v>111</v>
      </c>
      <c r="B269" s="25" t="s">
        <v>13</v>
      </c>
      <c r="C269" s="8" t="s">
        <v>61</v>
      </c>
      <c r="D269" s="7" t="s">
        <v>79</v>
      </c>
      <c r="E269" s="9" t="s">
        <v>69</v>
      </c>
      <c r="F269" s="10">
        <v>20</v>
      </c>
      <c r="G269" s="13" t="s">
        <v>90</v>
      </c>
      <c r="H269" s="15" t="s">
        <v>83</v>
      </c>
      <c r="I269" s="14" t="s">
        <v>9</v>
      </c>
      <c r="J269" s="11" t="s">
        <v>103</v>
      </c>
      <c r="K269" s="12">
        <v>4105</v>
      </c>
      <c r="L269" s="12">
        <v>451.55</v>
      </c>
      <c r="M269" s="12">
        <f t="shared" si="13"/>
        <v>3653.45</v>
      </c>
      <c r="N269" s="29">
        <v>10</v>
      </c>
    </row>
    <row r="270" spans="1:14" ht="15.75" customHeight="1" thickTop="1" thickBot="1" x14ac:dyDescent="0.3">
      <c r="A270" s="27"/>
      <c r="B270" s="25" t="s">
        <v>13</v>
      </c>
      <c r="C270" s="8" t="s">
        <v>61</v>
      </c>
      <c r="D270" s="7" t="s">
        <v>79</v>
      </c>
      <c r="E270" s="9" t="s">
        <v>70</v>
      </c>
      <c r="F270" s="10">
        <v>20</v>
      </c>
      <c r="G270" s="13" t="s">
        <v>90</v>
      </c>
      <c r="H270" s="15" t="s">
        <v>83</v>
      </c>
      <c r="I270" s="14" t="s">
        <v>9</v>
      </c>
      <c r="J270" s="11" t="s">
        <v>103</v>
      </c>
      <c r="K270" s="12">
        <v>4105</v>
      </c>
      <c r="L270" s="12">
        <v>451.55</v>
      </c>
      <c r="M270" s="12">
        <f t="shared" si="13"/>
        <v>3653.45</v>
      </c>
      <c r="N270" s="29">
        <v>10</v>
      </c>
    </row>
    <row r="271" spans="1:14" ht="15.75" customHeight="1" thickTop="1" thickBot="1" x14ac:dyDescent="0.3">
      <c r="A271" s="27"/>
      <c r="B271" s="25" t="s">
        <v>13</v>
      </c>
      <c r="C271" s="8" t="s">
        <v>61</v>
      </c>
      <c r="D271" s="7" t="s">
        <v>79</v>
      </c>
      <c r="E271" s="9" t="s">
        <v>71</v>
      </c>
      <c r="F271" s="10">
        <v>20</v>
      </c>
      <c r="G271" s="13" t="s">
        <v>90</v>
      </c>
      <c r="H271" s="15" t="s">
        <v>83</v>
      </c>
      <c r="I271" s="14" t="s">
        <v>9</v>
      </c>
      <c r="J271" s="11" t="s">
        <v>103</v>
      </c>
      <c r="K271" s="12">
        <v>4105</v>
      </c>
      <c r="L271" s="12">
        <v>451.55</v>
      </c>
      <c r="M271" s="12">
        <f t="shared" si="13"/>
        <v>3653.45</v>
      </c>
      <c r="N271" s="29">
        <v>10</v>
      </c>
    </row>
    <row r="272" spans="1:14" ht="15.75" customHeight="1" thickTop="1" thickBot="1" x14ac:dyDescent="0.3">
      <c r="A272" s="27" t="s">
        <v>111</v>
      </c>
      <c r="B272" s="25" t="s">
        <v>13</v>
      </c>
      <c r="C272" s="8" t="s">
        <v>61</v>
      </c>
      <c r="D272" s="7" t="s">
        <v>79</v>
      </c>
      <c r="E272" s="9" t="s">
        <v>65</v>
      </c>
      <c r="F272" s="10">
        <v>20</v>
      </c>
      <c r="G272" s="13" t="s">
        <v>90</v>
      </c>
      <c r="H272" s="15" t="s">
        <v>83</v>
      </c>
      <c r="I272" s="14" t="s">
        <v>9</v>
      </c>
      <c r="J272" s="11" t="s">
        <v>103</v>
      </c>
      <c r="K272" s="12">
        <v>4105</v>
      </c>
      <c r="L272" s="12">
        <v>451.55</v>
      </c>
      <c r="M272" s="12">
        <f t="shared" si="12"/>
        <v>3653.45</v>
      </c>
      <c r="N272" s="29">
        <v>10</v>
      </c>
    </row>
    <row r="273" spans="1:15" ht="16.5" thickTop="1" thickBot="1" x14ac:dyDescent="0.3">
      <c r="A273" s="27" t="s">
        <v>111</v>
      </c>
      <c r="B273" s="25" t="s">
        <v>11</v>
      </c>
      <c r="C273" s="8" t="s">
        <v>61</v>
      </c>
      <c r="D273" s="7" t="s">
        <v>79</v>
      </c>
      <c r="E273" s="9" t="s">
        <v>65</v>
      </c>
      <c r="F273" s="10">
        <v>20</v>
      </c>
      <c r="G273" s="13" t="s">
        <v>41</v>
      </c>
      <c r="H273" s="7" t="s">
        <v>83</v>
      </c>
      <c r="I273" s="14" t="s">
        <v>30</v>
      </c>
      <c r="J273" s="11" t="s">
        <v>80</v>
      </c>
      <c r="K273" s="12">
        <v>600</v>
      </c>
      <c r="L273" s="12">
        <f>K273*5%</f>
        <v>30</v>
      </c>
      <c r="M273" s="12">
        <f t="shared" si="12"/>
        <v>570</v>
      </c>
      <c r="N273" s="29">
        <v>25</v>
      </c>
    </row>
    <row r="274" spans="1:15" ht="16.5" thickTop="1" thickBot="1" x14ac:dyDescent="0.3">
      <c r="A274" s="27" t="s">
        <v>111</v>
      </c>
      <c r="B274" s="25" t="s">
        <v>22</v>
      </c>
      <c r="C274" s="8" t="s">
        <v>61</v>
      </c>
      <c r="D274" s="7" t="s">
        <v>79</v>
      </c>
      <c r="E274" s="9" t="s">
        <v>65</v>
      </c>
      <c r="F274" s="10">
        <v>20</v>
      </c>
      <c r="G274" s="13" t="s">
        <v>92</v>
      </c>
      <c r="H274" s="7" t="s">
        <v>83</v>
      </c>
      <c r="I274" s="11" t="s">
        <v>9</v>
      </c>
      <c r="J274" s="11" t="s">
        <v>80</v>
      </c>
      <c r="K274" s="12">
        <v>9854.9500000000007</v>
      </c>
      <c r="L274" s="12">
        <v>0</v>
      </c>
      <c r="M274" s="12">
        <f t="shared" si="12"/>
        <v>9854.9500000000007</v>
      </c>
      <c r="N274" s="29">
        <v>15</v>
      </c>
    </row>
    <row r="275" spans="1:15" ht="16.5" thickTop="1" thickBot="1" x14ac:dyDescent="0.3">
      <c r="A275" s="27" t="s">
        <v>111</v>
      </c>
      <c r="B275" s="25" t="s">
        <v>22</v>
      </c>
      <c r="C275" s="8" t="s">
        <v>61</v>
      </c>
      <c r="D275" s="7" t="s">
        <v>79</v>
      </c>
      <c r="E275" s="9" t="s">
        <v>65</v>
      </c>
      <c r="F275" s="10">
        <v>20</v>
      </c>
      <c r="G275" s="13" t="s">
        <v>92</v>
      </c>
      <c r="H275" s="7" t="s">
        <v>83</v>
      </c>
      <c r="I275" s="11" t="s">
        <v>7</v>
      </c>
      <c r="J275" s="11" t="s">
        <v>80</v>
      </c>
      <c r="K275" s="12">
        <v>5625</v>
      </c>
      <c r="L275" s="12">
        <v>0</v>
      </c>
      <c r="M275" s="12">
        <f t="shared" si="12"/>
        <v>5625</v>
      </c>
      <c r="N275" s="29">
        <v>15</v>
      </c>
    </row>
    <row r="276" spans="1:15" ht="15.75" customHeight="1" thickTop="1" thickBot="1" x14ac:dyDescent="0.3">
      <c r="A276" s="27" t="s">
        <v>111</v>
      </c>
      <c r="B276" s="25" t="s">
        <v>22</v>
      </c>
      <c r="C276" s="8" t="s">
        <v>61</v>
      </c>
      <c r="D276" s="7" t="s">
        <v>79</v>
      </c>
      <c r="E276" s="9" t="s">
        <v>65</v>
      </c>
      <c r="F276" s="10">
        <v>20</v>
      </c>
      <c r="G276" s="13" t="s">
        <v>42</v>
      </c>
      <c r="H276" s="7" t="s">
        <v>83</v>
      </c>
      <c r="I276" s="11" t="s">
        <v>9</v>
      </c>
      <c r="J276" s="11" t="s">
        <v>108</v>
      </c>
      <c r="K276" s="12">
        <v>820.63201302000004</v>
      </c>
      <c r="L276" s="12">
        <v>0</v>
      </c>
      <c r="M276" s="12">
        <f t="shared" si="12"/>
        <v>820.63201302000004</v>
      </c>
      <c r="N276" s="29">
        <v>9</v>
      </c>
    </row>
    <row r="277" spans="1:15" ht="15.75" customHeight="1" thickTop="1" thickBot="1" x14ac:dyDescent="0.3">
      <c r="A277" s="27" t="s">
        <v>111</v>
      </c>
      <c r="B277" s="25" t="s">
        <v>11</v>
      </c>
      <c r="C277" s="8" t="s">
        <v>61</v>
      </c>
      <c r="D277" s="7" t="s">
        <v>79</v>
      </c>
      <c r="E277" s="9" t="s">
        <v>65</v>
      </c>
      <c r="F277" s="10">
        <v>20</v>
      </c>
      <c r="G277" s="13" t="s">
        <v>43</v>
      </c>
      <c r="H277" s="7" t="s">
        <v>83</v>
      </c>
      <c r="I277" s="14" t="s">
        <v>30</v>
      </c>
      <c r="J277" s="14" t="s">
        <v>106</v>
      </c>
      <c r="K277" s="12">
        <v>200</v>
      </c>
      <c r="L277" s="12">
        <f>K277*5%</f>
        <v>10</v>
      </c>
      <c r="M277" s="12">
        <f t="shared" si="12"/>
        <v>190</v>
      </c>
      <c r="N277" s="29">
        <v>15</v>
      </c>
    </row>
    <row r="278" spans="1:15" ht="16.5" thickTop="1" thickBot="1" x14ac:dyDescent="0.3">
      <c r="A278" s="27" t="s">
        <v>111</v>
      </c>
      <c r="B278" s="25" t="s">
        <v>11</v>
      </c>
      <c r="C278" s="8" t="s">
        <v>61</v>
      </c>
      <c r="D278" s="7" t="s">
        <v>79</v>
      </c>
      <c r="E278" s="9" t="s">
        <v>65</v>
      </c>
      <c r="F278" s="10">
        <v>20</v>
      </c>
      <c r="G278" s="13" t="s">
        <v>44</v>
      </c>
      <c r="H278" s="15" t="s">
        <v>85</v>
      </c>
      <c r="I278" s="14" t="s">
        <v>30</v>
      </c>
      <c r="J278" s="11" t="s">
        <v>80</v>
      </c>
      <c r="K278" s="12">
        <v>200</v>
      </c>
      <c r="L278" s="12">
        <f>K278*5%</f>
        <v>10</v>
      </c>
      <c r="M278" s="12">
        <f t="shared" si="12"/>
        <v>190</v>
      </c>
      <c r="N278" s="29">
        <v>16</v>
      </c>
    </row>
    <row r="279" spans="1:15" ht="16.5" thickTop="1" thickBot="1" x14ac:dyDescent="0.3">
      <c r="A279" s="27" t="s">
        <v>111</v>
      </c>
      <c r="B279" s="25" t="s">
        <v>5</v>
      </c>
      <c r="C279" s="8" t="s">
        <v>61</v>
      </c>
      <c r="D279" s="7" t="s">
        <v>79</v>
      </c>
      <c r="E279" s="9" t="s">
        <v>65</v>
      </c>
      <c r="F279" s="10">
        <v>1</v>
      </c>
      <c r="G279" s="11" t="s">
        <v>45</v>
      </c>
      <c r="H279" s="7" t="s">
        <v>91</v>
      </c>
      <c r="I279" s="11" t="s">
        <v>20</v>
      </c>
      <c r="J279" s="11" t="s">
        <v>105</v>
      </c>
      <c r="K279" s="16">
        <v>36757.832193000002</v>
      </c>
      <c r="L279" s="12">
        <f>K279*5%</f>
        <v>1837.8916096500002</v>
      </c>
      <c r="M279" s="12">
        <f t="shared" si="12"/>
        <v>34919.940583349999</v>
      </c>
      <c r="N279" s="29">
        <v>30</v>
      </c>
    </row>
    <row r="280" spans="1:15" ht="16.5" thickTop="1" thickBot="1" x14ac:dyDescent="0.3">
      <c r="A280" s="27" t="s">
        <v>111</v>
      </c>
      <c r="B280" s="25" t="s">
        <v>5</v>
      </c>
      <c r="C280" s="8" t="s">
        <v>61</v>
      </c>
      <c r="D280" s="7" t="s">
        <v>79</v>
      </c>
      <c r="E280" s="9" t="s">
        <v>65</v>
      </c>
      <c r="F280" s="10">
        <v>1</v>
      </c>
      <c r="G280" s="11" t="s">
        <v>45</v>
      </c>
      <c r="H280" s="7" t="s">
        <v>91</v>
      </c>
      <c r="I280" s="11" t="s">
        <v>9</v>
      </c>
      <c r="J280" s="11" t="s">
        <v>105</v>
      </c>
      <c r="K280" s="16">
        <v>25897.992921000001</v>
      </c>
      <c r="L280" s="12">
        <f>K280*5%</f>
        <v>1294.8996460500002</v>
      </c>
      <c r="M280" s="12">
        <f t="shared" si="12"/>
        <v>24603.093274949999</v>
      </c>
      <c r="N280" s="29">
        <v>30</v>
      </c>
    </row>
    <row r="281" spans="1:15" ht="16.5" thickTop="1" thickBot="1" x14ac:dyDescent="0.3">
      <c r="A281" s="27" t="s">
        <v>111</v>
      </c>
      <c r="B281" s="25" t="s">
        <v>22</v>
      </c>
      <c r="C281" s="8" t="s">
        <v>61</v>
      </c>
      <c r="D281" s="7" t="s">
        <v>79</v>
      </c>
      <c r="E281" s="9" t="s">
        <v>65</v>
      </c>
      <c r="F281" s="10">
        <v>1</v>
      </c>
      <c r="G281" s="11" t="s">
        <v>46</v>
      </c>
      <c r="H281" s="7" t="s">
        <v>85</v>
      </c>
      <c r="I281" s="11" t="s">
        <v>20</v>
      </c>
      <c r="J281" s="11" t="s">
        <v>105</v>
      </c>
      <c r="K281" s="16">
        <v>52934.258285999997</v>
      </c>
      <c r="L281" s="12">
        <v>0</v>
      </c>
      <c r="M281" s="12">
        <f t="shared" si="12"/>
        <v>52934.258285999997</v>
      </c>
      <c r="N281" s="29">
        <v>30</v>
      </c>
    </row>
    <row r="282" spans="1:15" ht="16.5" thickTop="1" thickBot="1" x14ac:dyDescent="0.3">
      <c r="A282" s="27" t="s">
        <v>111</v>
      </c>
      <c r="B282" s="25" t="s">
        <v>22</v>
      </c>
      <c r="C282" s="8" t="s">
        <v>61</v>
      </c>
      <c r="D282" s="7" t="s">
        <v>79</v>
      </c>
      <c r="E282" s="9" t="s">
        <v>65</v>
      </c>
      <c r="F282" s="10">
        <v>1</v>
      </c>
      <c r="G282" s="11" t="s">
        <v>46</v>
      </c>
      <c r="H282" s="7" t="s">
        <v>85</v>
      </c>
      <c r="I282" s="11" t="s">
        <v>98</v>
      </c>
      <c r="J282" s="11" t="s">
        <v>105</v>
      </c>
      <c r="K282" s="12">
        <v>3129.3</v>
      </c>
      <c r="L282" s="12">
        <v>0</v>
      </c>
      <c r="M282" s="12">
        <f t="shared" si="12"/>
        <v>3129.3</v>
      </c>
      <c r="N282" s="29">
        <v>30</v>
      </c>
    </row>
    <row r="283" spans="1:15" ht="16.5" thickTop="1" thickBot="1" x14ac:dyDescent="0.3">
      <c r="A283" s="27" t="s">
        <v>111</v>
      </c>
      <c r="B283" s="25" t="s">
        <v>22</v>
      </c>
      <c r="C283" s="8" t="s">
        <v>61</v>
      </c>
      <c r="D283" s="7" t="s">
        <v>79</v>
      </c>
      <c r="E283" s="9" t="s">
        <v>65</v>
      </c>
      <c r="F283" s="10">
        <v>1</v>
      </c>
      <c r="G283" s="11" t="s">
        <v>46</v>
      </c>
      <c r="H283" s="7" t="s">
        <v>85</v>
      </c>
      <c r="I283" s="11" t="s">
        <v>9</v>
      </c>
      <c r="J283" s="11" t="s">
        <v>105</v>
      </c>
      <c r="K283" s="12">
        <v>38846.994597000004</v>
      </c>
      <c r="L283" s="12">
        <v>0</v>
      </c>
      <c r="M283" s="12">
        <f t="shared" si="12"/>
        <v>38846.994597000004</v>
      </c>
      <c r="N283" s="29">
        <v>30</v>
      </c>
    </row>
    <row r="284" spans="1:15" ht="16.5" thickTop="1" thickBot="1" x14ac:dyDescent="0.3">
      <c r="A284" s="27" t="s">
        <v>111</v>
      </c>
      <c r="B284" s="25" t="s">
        <v>22</v>
      </c>
      <c r="C284" s="8" t="s">
        <v>61</v>
      </c>
      <c r="D284" s="7" t="s">
        <v>79</v>
      </c>
      <c r="E284" s="9" t="s">
        <v>65</v>
      </c>
      <c r="F284" s="10">
        <v>1</v>
      </c>
      <c r="G284" s="11" t="s">
        <v>46</v>
      </c>
      <c r="H284" s="7" t="s">
        <v>85</v>
      </c>
      <c r="I284" s="11" t="s">
        <v>97</v>
      </c>
      <c r="J284" s="11" t="s">
        <v>105</v>
      </c>
      <c r="K284" s="12">
        <v>6400</v>
      </c>
      <c r="L284" s="12">
        <v>0</v>
      </c>
      <c r="M284" s="12">
        <f t="shared" si="12"/>
        <v>6400</v>
      </c>
      <c r="N284" s="29">
        <v>30</v>
      </c>
    </row>
    <row r="285" spans="1:15" ht="16.5" thickTop="1" thickBot="1" x14ac:dyDescent="0.3">
      <c r="A285" s="27" t="s">
        <v>111</v>
      </c>
      <c r="B285" s="25" t="s">
        <v>22</v>
      </c>
      <c r="C285" s="8" t="s">
        <v>61</v>
      </c>
      <c r="D285" s="7" t="s">
        <v>79</v>
      </c>
      <c r="E285" s="9" t="s">
        <v>65</v>
      </c>
      <c r="F285" s="10">
        <v>1</v>
      </c>
      <c r="G285" s="11" t="s">
        <v>47</v>
      </c>
      <c r="H285" s="7" t="s">
        <v>85</v>
      </c>
      <c r="I285" s="11" t="s">
        <v>9</v>
      </c>
      <c r="J285" s="11" t="s">
        <v>105</v>
      </c>
      <c r="K285" s="12">
        <v>30185.123490000002</v>
      </c>
      <c r="L285" s="12">
        <v>0</v>
      </c>
      <c r="M285" s="12">
        <f t="shared" si="12"/>
        <v>30185.123490000002</v>
      </c>
      <c r="N285" s="29">
        <v>30</v>
      </c>
    </row>
    <row r="286" spans="1:15" ht="16.5" thickTop="1" thickBot="1" x14ac:dyDescent="0.3">
      <c r="A286" s="27" t="s">
        <v>111</v>
      </c>
      <c r="B286" s="25" t="s">
        <v>22</v>
      </c>
      <c r="C286" s="8" t="s">
        <v>61</v>
      </c>
      <c r="D286" s="7" t="s">
        <v>79</v>
      </c>
      <c r="E286" s="9" t="s">
        <v>65</v>
      </c>
      <c r="F286" s="10">
        <v>1</v>
      </c>
      <c r="G286" s="11" t="s">
        <v>48</v>
      </c>
      <c r="H286" s="7" t="s">
        <v>85</v>
      </c>
      <c r="I286" s="11" t="s">
        <v>9</v>
      </c>
      <c r="J286" s="11" t="s">
        <v>105</v>
      </c>
      <c r="K286" s="12">
        <v>21610.872782999999</v>
      </c>
      <c r="L286" s="12">
        <v>0</v>
      </c>
      <c r="M286" s="12">
        <f t="shared" si="12"/>
        <v>21610.872782999999</v>
      </c>
      <c r="N286" s="29">
        <v>30</v>
      </c>
    </row>
    <row r="287" spans="1:15" ht="16.5" thickTop="1" thickBot="1" x14ac:dyDescent="0.3">
      <c r="A287" s="27" t="s">
        <v>111</v>
      </c>
      <c r="B287" s="25" t="s">
        <v>124</v>
      </c>
      <c r="C287" s="8" t="s">
        <v>62</v>
      </c>
      <c r="D287" s="7" t="s">
        <v>114</v>
      </c>
      <c r="E287" s="9" t="s">
        <v>65</v>
      </c>
      <c r="F287" s="10">
        <v>20</v>
      </c>
      <c r="G287" s="13" t="s">
        <v>49</v>
      </c>
      <c r="H287" s="7" t="s">
        <v>85</v>
      </c>
      <c r="I287" s="11" t="s">
        <v>123</v>
      </c>
      <c r="J287" s="11" t="s">
        <v>105</v>
      </c>
      <c r="K287" s="12">
        <v>418</v>
      </c>
      <c r="L287" s="12">
        <v>0</v>
      </c>
      <c r="M287" s="12">
        <f>K287-L287</f>
        <v>418</v>
      </c>
      <c r="N287" s="29">
        <v>20</v>
      </c>
      <c r="O287" s="48" t="s">
        <v>127</v>
      </c>
    </row>
    <row r="288" spans="1:15" ht="15.75" customHeight="1" thickTop="1" thickBot="1" x14ac:dyDescent="0.3">
      <c r="A288" s="39" t="s">
        <v>111</v>
      </c>
      <c r="B288" s="25" t="s">
        <v>22</v>
      </c>
      <c r="C288" s="8" t="s">
        <v>62</v>
      </c>
      <c r="D288" s="7" t="s">
        <v>79</v>
      </c>
      <c r="E288" s="9" t="s">
        <v>65</v>
      </c>
      <c r="F288" s="10">
        <v>10</v>
      </c>
      <c r="G288" s="13" t="s">
        <v>49</v>
      </c>
      <c r="H288" s="7" t="s">
        <v>85</v>
      </c>
      <c r="I288" s="11" t="s">
        <v>9</v>
      </c>
      <c r="J288" s="11" t="s">
        <v>105</v>
      </c>
      <c r="K288" s="12">
        <v>17400</v>
      </c>
      <c r="L288" s="12">
        <v>0</v>
      </c>
      <c r="M288" s="12">
        <f>K288-L288</f>
        <v>17400</v>
      </c>
      <c r="N288" s="29">
        <v>10</v>
      </c>
      <c r="O288" s="48" t="s">
        <v>127</v>
      </c>
    </row>
    <row r="289" spans="1:17" ht="16.5" thickTop="1" thickBot="1" x14ac:dyDescent="0.3">
      <c r="A289" s="39" t="s">
        <v>111</v>
      </c>
      <c r="B289" s="25" t="s">
        <v>22</v>
      </c>
      <c r="C289" s="8" t="s">
        <v>62</v>
      </c>
      <c r="D289" s="7" t="s">
        <v>79</v>
      </c>
      <c r="E289" s="9" t="s">
        <v>65</v>
      </c>
      <c r="F289" s="10">
        <v>10</v>
      </c>
      <c r="G289" s="13" t="s">
        <v>49</v>
      </c>
      <c r="H289" s="7" t="s">
        <v>85</v>
      </c>
      <c r="I289" s="11" t="s">
        <v>98</v>
      </c>
      <c r="J289" s="11" t="s">
        <v>105</v>
      </c>
      <c r="K289" s="12">
        <v>4829.5529999999999</v>
      </c>
      <c r="L289" s="12">
        <v>0</v>
      </c>
      <c r="M289" s="12">
        <f t="shared" si="12"/>
        <v>4829.5529999999999</v>
      </c>
      <c r="N289" s="29">
        <v>10</v>
      </c>
      <c r="O289" s="48" t="s">
        <v>127</v>
      </c>
    </row>
    <row r="290" spans="1:17" ht="16.5" thickTop="1" thickBot="1" x14ac:dyDescent="0.3">
      <c r="A290" s="27" t="s">
        <v>111</v>
      </c>
      <c r="B290" s="25" t="s">
        <v>122</v>
      </c>
      <c r="C290" s="8" t="s">
        <v>62</v>
      </c>
      <c r="D290" s="7" t="s">
        <v>114</v>
      </c>
      <c r="E290" s="9" t="s">
        <v>65</v>
      </c>
      <c r="F290" s="10">
        <v>20</v>
      </c>
      <c r="G290" s="13" t="s">
        <v>50</v>
      </c>
      <c r="H290" s="7" t="s">
        <v>85</v>
      </c>
      <c r="I290" s="11" t="s">
        <v>123</v>
      </c>
      <c r="J290" s="11" t="s">
        <v>105</v>
      </c>
      <c r="K290" s="12">
        <v>370</v>
      </c>
      <c r="L290" s="12">
        <v>0</v>
      </c>
      <c r="M290" s="12">
        <f>K290-L290</f>
        <v>370</v>
      </c>
      <c r="N290" s="29">
        <v>20</v>
      </c>
      <c r="O290" s="48" t="s">
        <v>127</v>
      </c>
    </row>
    <row r="291" spans="1:17" ht="15.75" customHeight="1" thickTop="1" thickBot="1" x14ac:dyDescent="0.3">
      <c r="A291" s="39" t="s">
        <v>111</v>
      </c>
      <c r="B291" s="25" t="s">
        <v>22</v>
      </c>
      <c r="C291" s="8" t="s">
        <v>62</v>
      </c>
      <c r="D291" s="7" t="s">
        <v>79</v>
      </c>
      <c r="E291" s="9" t="s">
        <v>65</v>
      </c>
      <c r="F291" s="10">
        <v>10</v>
      </c>
      <c r="G291" s="13" t="s">
        <v>50</v>
      </c>
      <c r="H291" s="7" t="s">
        <v>85</v>
      </c>
      <c r="I291" s="11" t="s">
        <v>9</v>
      </c>
      <c r="J291" s="11" t="s">
        <v>105</v>
      </c>
      <c r="K291" s="12">
        <v>17400</v>
      </c>
      <c r="L291" s="12">
        <v>0</v>
      </c>
      <c r="M291" s="12">
        <f>K291-L291</f>
        <v>17400</v>
      </c>
      <c r="N291" s="29">
        <v>10</v>
      </c>
      <c r="O291" s="48" t="s">
        <v>127</v>
      </c>
    </row>
    <row r="292" spans="1:17" ht="16.5" thickTop="1" thickBot="1" x14ac:dyDescent="0.3">
      <c r="A292" s="39" t="s">
        <v>111</v>
      </c>
      <c r="B292" s="25" t="s">
        <v>22</v>
      </c>
      <c r="C292" s="8" t="s">
        <v>62</v>
      </c>
      <c r="D292" s="7" t="s">
        <v>79</v>
      </c>
      <c r="E292" s="9" t="s">
        <v>65</v>
      </c>
      <c r="F292" s="10">
        <v>10</v>
      </c>
      <c r="G292" s="13" t="s">
        <v>50</v>
      </c>
      <c r="H292" s="7" t="s">
        <v>85</v>
      </c>
      <c r="I292" s="11" t="s">
        <v>98</v>
      </c>
      <c r="J292" s="11" t="s">
        <v>105</v>
      </c>
      <c r="K292" s="12">
        <v>4829.5529999999999</v>
      </c>
      <c r="L292" s="12">
        <v>0</v>
      </c>
      <c r="M292" s="12">
        <f t="shared" si="12"/>
        <v>4829.5529999999999</v>
      </c>
      <c r="N292" s="29">
        <v>10</v>
      </c>
      <c r="O292" s="48" t="s">
        <v>127</v>
      </c>
    </row>
    <row r="293" spans="1:17" ht="16.5" thickTop="1" thickBot="1" x14ac:dyDescent="0.3">
      <c r="A293" s="39" t="s">
        <v>111</v>
      </c>
      <c r="B293" s="25" t="s">
        <v>11</v>
      </c>
      <c r="C293" s="8" t="s">
        <v>62</v>
      </c>
      <c r="D293" s="7" t="s">
        <v>79</v>
      </c>
      <c r="E293" s="9" t="s">
        <v>65</v>
      </c>
      <c r="F293" s="10">
        <v>16</v>
      </c>
      <c r="G293" s="13" t="s">
        <v>51</v>
      </c>
      <c r="H293" s="7" t="s">
        <v>83</v>
      </c>
      <c r="I293" s="11" t="s">
        <v>7</v>
      </c>
      <c r="J293" s="11" t="s">
        <v>80</v>
      </c>
      <c r="K293" s="12">
        <v>19124.839514250001</v>
      </c>
      <c r="L293" s="12">
        <f>K293*16%</f>
        <v>3059.9743222800003</v>
      </c>
      <c r="M293" s="12">
        <f t="shared" si="12"/>
        <v>16064.865191970001</v>
      </c>
      <c r="N293" s="29">
        <v>30</v>
      </c>
      <c r="O293" s="48" t="s">
        <v>127</v>
      </c>
    </row>
    <row r="294" spans="1:17" ht="16.5" thickTop="1" thickBot="1" x14ac:dyDescent="0.3">
      <c r="A294" s="39" t="s">
        <v>111</v>
      </c>
      <c r="B294" s="25" t="s">
        <v>11</v>
      </c>
      <c r="C294" s="8" t="s">
        <v>62</v>
      </c>
      <c r="D294" s="7" t="s">
        <v>79</v>
      </c>
      <c r="E294" s="9" t="s">
        <v>65</v>
      </c>
      <c r="F294" s="10">
        <v>16</v>
      </c>
      <c r="G294" s="11" t="s">
        <v>52</v>
      </c>
      <c r="H294" s="7" t="s">
        <v>84</v>
      </c>
      <c r="I294" s="11" t="s">
        <v>7</v>
      </c>
      <c r="J294" s="11" t="s">
        <v>103</v>
      </c>
      <c r="K294" s="12">
        <v>70096.320000000007</v>
      </c>
      <c r="L294" s="12">
        <f>K294*16%</f>
        <v>11215.4112</v>
      </c>
      <c r="M294" s="12">
        <v>57706.080000000002</v>
      </c>
      <c r="N294" s="29">
        <v>15</v>
      </c>
      <c r="O294" s="48" t="s">
        <v>127</v>
      </c>
    </row>
    <row r="295" spans="1:17" ht="16.5" thickTop="1" thickBot="1" x14ac:dyDescent="0.3">
      <c r="A295" s="39" t="s">
        <v>111</v>
      </c>
      <c r="B295" s="25" t="s">
        <v>5</v>
      </c>
      <c r="C295" s="8" t="s">
        <v>62</v>
      </c>
      <c r="D295" s="7" t="s">
        <v>79</v>
      </c>
      <c r="E295" s="9" t="s">
        <v>65</v>
      </c>
      <c r="F295" s="10">
        <v>16</v>
      </c>
      <c r="G295" s="11" t="s">
        <v>53</v>
      </c>
      <c r="H295" s="7" t="s">
        <v>85</v>
      </c>
      <c r="I295" s="11" t="s">
        <v>7</v>
      </c>
      <c r="J295" s="11" t="s">
        <v>103</v>
      </c>
      <c r="K295" s="12">
        <v>17410.382099999999</v>
      </c>
      <c r="L295" s="12">
        <f>K295*5%</f>
        <v>870.51910499999997</v>
      </c>
      <c r="M295" s="12">
        <f t="shared" si="12"/>
        <v>16539.862995</v>
      </c>
      <c r="N295" s="29">
        <v>15</v>
      </c>
      <c r="O295" s="48" t="s">
        <v>127</v>
      </c>
    </row>
    <row r="296" spans="1:17" ht="16.5" thickTop="1" thickBot="1" x14ac:dyDescent="0.3">
      <c r="A296" s="39" t="s">
        <v>111</v>
      </c>
      <c r="B296" s="25" t="s">
        <v>5</v>
      </c>
      <c r="C296" s="8" t="s">
        <v>62</v>
      </c>
      <c r="D296" s="7" t="s">
        <v>79</v>
      </c>
      <c r="E296" s="9" t="s">
        <v>65</v>
      </c>
      <c r="F296" s="10">
        <v>16</v>
      </c>
      <c r="G296" s="11" t="s">
        <v>53</v>
      </c>
      <c r="H296" s="7" t="s">
        <v>85</v>
      </c>
      <c r="I296" s="11" t="s">
        <v>15</v>
      </c>
      <c r="J296" s="11" t="s">
        <v>103</v>
      </c>
      <c r="K296" s="12">
        <v>4509.3212999999996</v>
      </c>
      <c r="L296" s="12">
        <f>K296*5%</f>
        <v>225.46606499999999</v>
      </c>
      <c r="M296" s="12">
        <f t="shared" si="12"/>
        <v>4283.855235</v>
      </c>
      <c r="N296" s="29">
        <v>15</v>
      </c>
      <c r="O296" s="48" t="s">
        <v>127</v>
      </c>
    </row>
    <row r="297" spans="1:17" ht="16.5" thickTop="1" thickBot="1" x14ac:dyDescent="0.3">
      <c r="A297" s="39" t="s">
        <v>111</v>
      </c>
      <c r="B297" s="25" t="s">
        <v>5</v>
      </c>
      <c r="C297" s="8" t="s">
        <v>62</v>
      </c>
      <c r="D297" s="7" t="s">
        <v>79</v>
      </c>
      <c r="E297" s="9" t="s">
        <v>65</v>
      </c>
      <c r="F297" s="10">
        <v>16</v>
      </c>
      <c r="G297" s="11" t="s">
        <v>53</v>
      </c>
      <c r="H297" s="7" t="s">
        <v>85</v>
      </c>
      <c r="I297" s="11" t="s">
        <v>9</v>
      </c>
      <c r="J297" s="11" t="s">
        <v>103</v>
      </c>
      <c r="K297" s="12">
        <v>7272.4931999999999</v>
      </c>
      <c r="L297" s="12">
        <f>K297*5%</f>
        <v>363.62466000000001</v>
      </c>
      <c r="M297" s="12">
        <f t="shared" si="12"/>
        <v>6908.8685399999995</v>
      </c>
      <c r="N297" s="29">
        <v>15</v>
      </c>
      <c r="O297" s="48" t="s">
        <v>127</v>
      </c>
    </row>
    <row r="298" spans="1:17" ht="16.5" thickTop="1" thickBot="1" x14ac:dyDescent="0.3">
      <c r="A298" s="39" t="s">
        <v>111</v>
      </c>
      <c r="B298" s="25" t="s">
        <v>22</v>
      </c>
      <c r="C298" s="8" t="s">
        <v>62</v>
      </c>
      <c r="D298" s="7" t="s">
        <v>79</v>
      </c>
      <c r="E298" s="9" t="s">
        <v>65</v>
      </c>
      <c r="F298" s="10">
        <v>1</v>
      </c>
      <c r="G298" s="11" t="s">
        <v>54</v>
      </c>
      <c r="H298" s="7" t="s">
        <v>85</v>
      </c>
      <c r="I298" s="11" t="s">
        <v>20</v>
      </c>
      <c r="J298" s="11" t="s">
        <v>105</v>
      </c>
      <c r="K298" s="16">
        <v>36757.832193000002</v>
      </c>
      <c r="L298" s="12">
        <v>0</v>
      </c>
      <c r="M298" s="12">
        <f t="shared" si="12"/>
        <v>36757.832193000002</v>
      </c>
      <c r="N298" s="29">
        <v>30</v>
      </c>
    </row>
    <row r="299" spans="1:17" ht="16.5" thickTop="1" thickBot="1" x14ac:dyDescent="0.3">
      <c r="A299" s="27" t="s">
        <v>111</v>
      </c>
      <c r="B299" s="25" t="s">
        <v>22</v>
      </c>
      <c r="C299" s="8" t="s">
        <v>62</v>
      </c>
      <c r="D299" s="7" t="s">
        <v>79</v>
      </c>
      <c r="E299" s="9" t="s">
        <v>65</v>
      </c>
      <c r="F299" s="10">
        <v>1</v>
      </c>
      <c r="G299" s="11" t="s">
        <v>54</v>
      </c>
      <c r="H299" s="7" t="s">
        <v>85</v>
      </c>
      <c r="I299" s="11" t="s">
        <v>9</v>
      </c>
      <c r="J299" s="11" t="s">
        <v>105</v>
      </c>
      <c r="K299" s="16">
        <v>30185.123490000002</v>
      </c>
      <c r="L299" s="12">
        <v>0</v>
      </c>
      <c r="M299" s="12">
        <f t="shared" si="12"/>
        <v>30185.123490000002</v>
      </c>
      <c r="N299" s="29">
        <v>30</v>
      </c>
    </row>
    <row r="300" spans="1:17" ht="16.5" thickTop="1" thickBot="1" x14ac:dyDescent="0.3">
      <c r="A300" s="27" t="s">
        <v>111</v>
      </c>
      <c r="B300" s="25" t="s">
        <v>22</v>
      </c>
      <c r="C300" s="8" t="s">
        <v>62</v>
      </c>
      <c r="D300" s="7" t="s">
        <v>79</v>
      </c>
      <c r="E300" s="9" t="s">
        <v>65</v>
      </c>
      <c r="F300" s="10">
        <v>1</v>
      </c>
      <c r="G300" s="11" t="s">
        <v>55</v>
      </c>
      <c r="H300" s="7" t="s">
        <v>85</v>
      </c>
      <c r="I300" s="11" t="s">
        <v>20</v>
      </c>
      <c r="J300" s="11" t="s">
        <v>105</v>
      </c>
      <c r="K300" s="16">
        <v>31506.62688</v>
      </c>
      <c r="L300" s="12">
        <v>0</v>
      </c>
      <c r="M300" s="12">
        <f t="shared" si="12"/>
        <v>31506.62688</v>
      </c>
      <c r="N300" s="29">
        <v>30</v>
      </c>
    </row>
    <row r="301" spans="1:17" ht="16.5" thickTop="1" thickBot="1" x14ac:dyDescent="0.3">
      <c r="A301" s="27" t="s">
        <v>111</v>
      </c>
      <c r="B301" s="25" t="s">
        <v>22</v>
      </c>
      <c r="C301" s="8" t="s">
        <v>62</v>
      </c>
      <c r="D301" s="7" t="s">
        <v>79</v>
      </c>
      <c r="E301" s="9" t="s">
        <v>65</v>
      </c>
      <c r="F301" s="10">
        <v>1</v>
      </c>
      <c r="G301" s="11" t="s">
        <v>55</v>
      </c>
      <c r="H301" s="7" t="s">
        <v>85</v>
      </c>
      <c r="I301" s="11" t="s">
        <v>9</v>
      </c>
      <c r="J301" s="11" t="s">
        <v>105</v>
      </c>
      <c r="K301" s="12">
        <v>21581.665982999999</v>
      </c>
      <c r="L301" s="12">
        <v>0</v>
      </c>
      <c r="M301" s="12">
        <f t="shared" si="12"/>
        <v>21581.665982999999</v>
      </c>
      <c r="N301" s="29">
        <v>30</v>
      </c>
    </row>
    <row r="302" spans="1:17" ht="16.5" thickTop="1" thickBot="1" x14ac:dyDescent="0.3">
      <c r="A302" s="27" t="s">
        <v>111</v>
      </c>
      <c r="B302" s="25" t="s">
        <v>22</v>
      </c>
      <c r="C302" s="8" t="s">
        <v>62</v>
      </c>
      <c r="D302" s="7" t="s">
        <v>79</v>
      </c>
      <c r="E302" s="9" t="s">
        <v>65</v>
      </c>
      <c r="F302" s="10">
        <v>1</v>
      </c>
      <c r="G302" s="11" t="s">
        <v>56</v>
      </c>
      <c r="H302" s="7" t="s">
        <v>85</v>
      </c>
      <c r="I302" s="11" t="s">
        <v>9</v>
      </c>
      <c r="J302" s="11" t="s">
        <v>105</v>
      </c>
      <c r="K302" s="12">
        <v>30214.330290000002</v>
      </c>
      <c r="L302" s="12">
        <v>0</v>
      </c>
      <c r="M302" s="12">
        <f t="shared" si="12"/>
        <v>30214.330290000002</v>
      </c>
      <c r="N302" s="29">
        <v>30</v>
      </c>
    </row>
    <row r="303" spans="1:17" ht="16.5" thickTop="1" thickBot="1" x14ac:dyDescent="0.3">
      <c r="A303" s="27" t="s">
        <v>111</v>
      </c>
      <c r="B303" s="25" t="s">
        <v>22</v>
      </c>
      <c r="C303" s="8" t="s">
        <v>62</v>
      </c>
      <c r="D303" s="7" t="s">
        <v>79</v>
      </c>
      <c r="E303" s="9" t="s">
        <v>65</v>
      </c>
      <c r="F303" s="10">
        <v>1</v>
      </c>
      <c r="G303" s="11" t="s">
        <v>57</v>
      </c>
      <c r="H303" s="7" t="s">
        <v>85</v>
      </c>
      <c r="I303" s="11" t="s">
        <v>9</v>
      </c>
      <c r="J303" s="11" t="s">
        <v>105</v>
      </c>
      <c r="K303" s="12">
        <v>30185.123490000002</v>
      </c>
      <c r="L303" s="12">
        <v>0</v>
      </c>
      <c r="M303" s="12">
        <f t="shared" si="12"/>
        <v>30185.123490000002</v>
      </c>
      <c r="N303" s="29">
        <v>30</v>
      </c>
    </row>
    <row r="304" spans="1:17" ht="16.5" thickTop="1" thickBot="1" x14ac:dyDescent="0.3">
      <c r="A304" s="27" t="s">
        <v>111</v>
      </c>
      <c r="B304" s="25" t="s">
        <v>22</v>
      </c>
      <c r="C304" s="8" t="s">
        <v>62</v>
      </c>
      <c r="D304" s="7" t="s">
        <v>79</v>
      </c>
      <c r="E304" s="9" t="s">
        <v>65</v>
      </c>
      <c r="F304" s="10">
        <v>1</v>
      </c>
      <c r="G304" s="11" t="s">
        <v>58</v>
      </c>
      <c r="H304" s="7" t="s">
        <v>85</v>
      </c>
      <c r="I304" s="11" t="s">
        <v>9</v>
      </c>
      <c r="J304" s="11" t="s">
        <v>105</v>
      </c>
      <c r="K304" s="12">
        <v>17265.328613999998</v>
      </c>
      <c r="L304" s="12">
        <v>0</v>
      </c>
      <c r="M304" s="12">
        <f t="shared" si="12"/>
        <v>17265.328613999998</v>
      </c>
      <c r="N304" s="29">
        <v>30</v>
      </c>
    </row>
    <row r="305" spans="1:15" s="4" customFormat="1" ht="16.5" thickTop="1" thickBot="1" x14ac:dyDescent="0.3">
      <c r="A305" s="27" t="s">
        <v>111</v>
      </c>
      <c r="B305" s="31" t="s">
        <v>22</v>
      </c>
      <c r="C305" s="32" t="s">
        <v>62</v>
      </c>
      <c r="D305" s="33" t="s">
        <v>79</v>
      </c>
      <c r="E305" s="34" t="s">
        <v>65</v>
      </c>
      <c r="F305" s="35">
        <v>1</v>
      </c>
      <c r="G305" s="36" t="s">
        <v>59</v>
      </c>
      <c r="H305" s="33" t="s">
        <v>85</v>
      </c>
      <c r="I305" s="36" t="s">
        <v>9</v>
      </c>
      <c r="J305" s="36" t="s">
        <v>105</v>
      </c>
      <c r="K305" s="37">
        <v>4316.3373689999999</v>
      </c>
      <c r="L305" s="37">
        <v>0</v>
      </c>
      <c r="M305" s="37">
        <f t="shared" si="12"/>
        <v>4316.3373689999999</v>
      </c>
      <c r="N305" s="38">
        <v>30</v>
      </c>
    </row>
    <row r="306" spans="1:15" ht="16.5" thickTop="1" thickBot="1" x14ac:dyDescent="0.3">
      <c r="A306" s="39" t="s">
        <v>111</v>
      </c>
      <c r="B306" s="40" t="s">
        <v>5</v>
      </c>
      <c r="C306" s="41" t="s">
        <v>0</v>
      </c>
      <c r="D306" s="42" t="s">
        <v>79</v>
      </c>
      <c r="E306" s="43" t="s">
        <v>66</v>
      </c>
      <c r="F306" s="44">
        <v>10</v>
      </c>
      <c r="G306" s="45" t="s">
        <v>6</v>
      </c>
      <c r="H306" s="42" t="s">
        <v>85</v>
      </c>
      <c r="I306" s="45" t="s">
        <v>7</v>
      </c>
      <c r="J306" s="45" t="s">
        <v>103</v>
      </c>
      <c r="K306" s="46">
        <v>37326.692723669999</v>
      </c>
      <c r="L306" s="46">
        <f>K306*5%</f>
        <v>1866.3346361835002</v>
      </c>
      <c r="M306" s="46">
        <f>K306-L306</f>
        <v>35460.3580874865</v>
      </c>
      <c r="N306" s="47">
        <v>10</v>
      </c>
      <c r="O306" s="48" t="s">
        <v>127</v>
      </c>
    </row>
    <row r="307" spans="1:15" ht="16.5" thickTop="1" thickBot="1" x14ac:dyDescent="0.3">
      <c r="A307" s="39" t="s">
        <v>111</v>
      </c>
      <c r="B307" s="25" t="s">
        <v>5</v>
      </c>
      <c r="C307" s="8" t="s">
        <v>0</v>
      </c>
      <c r="D307" s="7" t="s">
        <v>79</v>
      </c>
      <c r="E307" s="9" t="s">
        <v>66</v>
      </c>
      <c r="F307" s="10">
        <v>10</v>
      </c>
      <c r="G307" s="11" t="s">
        <v>8</v>
      </c>
      <c r="H307" s="7" t="s">
        <v>85</v>
      </c>
      <c r="I307" s="11" t="s">
        <v>7</v>
      </c>
      <c r="J307" s="11" t="s">
        <v>103</v>
      </c>
      <c r="K307" s="12">
        <v>17490.966790500002</v>
      </c>
      <c r="L307" s="12">
        <f>K307*5%</f>
        <v>874.54833952500019</v>
      </c>
      <c r="M307" s="12">
        <f>K307-L307</f>
        <v>16616.418450975001</v>
      </c>
      <c r="N307" s="29">
        <v>10</v>
      </c>
      <c r="O307" s="48" t="s">
        <v>127</v>
      </c>
    </row>
    <row r="308" spans="1:15" ht="16.5" thickTop="1" thickBot="1" x14ac:dyDescent="0.3">
      <c r="A308" s="39" t="s">
        <v>111</v>
      </c>
      <c r="B308" s="25" t="s">
        <v>5</v>
      </c>
      <c r="C308" s="8" t="s">
        <v>0</v>
      </c>
      <c r="D308" s="7" t="s">
        <v>79</v>
      </c>
      <c r="E308" s="9" t="s">
        <v>66</v>
      </c>
      <c r="F308" s="10">
        <v>10</v>
      </c>
      <c r="G308" s="11" t="s">
        <v>8</v>
      </c>
      <c r="H308" s="7" t="s">
        <v>85</v>
      </c>
      <c r="I308" s="11" t="s">
        <v>97</v>
      </c>
      <c r="J308" s="11" t="s">
        <v>103</v>
      </c>
      <c r="K308" s="12">
        <v>17490.966790500002</v>
      </c>
      <c r="L308" s="12">
        <f>K308*5%</f>
        <v>874.54833952500019</v>
      </c>
      <c r="M308" s="12">
        <f>K308-L308</f>
        <v>16616.418450975001</v>
      </c>
      <c r="N308" s="29">
        <v>10</v>
      </c>
      <c r="O308" s="48" t="s">
        <v>127</v>
      </c>
    </row>
    <row r="309" spans="1:15" ht="16.5" thickTop="1" thickBot="1" x14ac:dyDescent="0.3">
      <c r="A309" s="39" t="s">
        <v>111</v>
      </c>
      <c r="B309" s="25" t="s">
        <v>5</v>
      </c>
      <c r="C309" s="8" t="s">
        <v>0</v>
      </c>
      <c r="D309" s="7" t="s">
        <v>79</v>
      </c>
      <c r="E309" s="9" t="s">
        <v>66</v>
      </c>
      <c r="F309" s="10">
        <v>10</v>
      </c>
      <c r="G309" s="11" t="s">
        <v>8</v>
      </c>
      <c r="H309" s="7" t="s">
        <v>85</v>
      </c>
      <c r="I309" s="11" t="s">
        <v>9</v>
      </c>
      <c r="J309" s="11" t="s">
        <v>103</v>
      </c>
      <c r="K309" s="12">
        <v>15318.197313750001</v>
      </c>
      <c r="L309" s="12">
        <f>K309*5%</f>
        <v>765.90986568750009</v>
      </c>
      <c r="M309" s="12">
        <f>K309-L309</f>
        <v>14552.287448062501</v>
      </c>
      <c r="N309" s="29">
        <v>10</v>
      </c>
      <c r="O309" s="48" t="s">
        <v>127</v>
      </c>
    </row>
    <row r="310" spans="1:15" ht="16.5" thickTop="1" thickBot="1" x14ac:dyDescent="0.3">
      <c r="A310" s="39" t="s">
        <v>111</v>
      </c>
      <c r="B310" s="25" t="s">
        <v>5</v>
      </c>
      <c r="C310" s="8" t="s">
        <v>0</v>
      </c>
      <c r="D310" s="7" t="s">
        <v>79</v>
      </c>
      <c r="E310" s="9" t="s">
        <v>66</v>
      </c>
      <c r="F310" s="10">
        <v>10</v>
      </c>
      <c r="G310" s="11" t="s">
        <v>8</v>
      </c>
      <c r="H310" s="7" t="s">
        <v>85</v>
      </c>
      <c r="I310" s="11" t="s">
        <v>15</v>
      </c>
      <c r="J310" s="11" t="s">
        <v>103</v>
      </c>
      <c r="K310" s="12">
        <v>13061.815548749999</v>
      </c>
      <c r="L310" s="12">
        <f>K310*5%</f>
        <v>653.09077743750004</v>
      </c>
      <c r="M310" s="12">
        <f>K310-L310</f>
        <v>12408.7247713125</v>
      </c>
      <c r="N310" s="29">
        <v>10</v>
      </c>
      <c r="O310" s="48" t="s">
        <v>127</v>
      </c>
    </row>
    <row r="311" spans="1:15" ht="16.5" thickTop="1" thickBot="1" x14ac:dyDescent="0.3">
      <c r="A311" s="39" t="s">
        <v>111</v>
      </c>
      <c r="B311" s="25" t="s">
        <v>10</v>
      </c>
      <c r="C311" s="8" t="s">
        <v>0</v>
      </c>
      <c r="D311" s="7" t="s">
        <v>79</v>
      </c>
      <c r="E311" s="9" t="s">
        <v>66</v>
      </c>
      <c r="F311" s="10">
        <v>10</v>
      </c>
      <c r="G311" s="11" t="s">
        <v>8</v>
      </c>
      <c r="H311" s="7" t="s">
        <v>85</v>
      </c>
      <c r="I311" s="11" t="s">
        <v>96</v>
      </c>
      <c r="J311" s="11" t="s">
        <v>103</v>
      </c>
      <c r="K311" s="12">
        <v>2000</v>
      </c>
      <c r="L311" s="12">
        <f>0</f>
        <v>0</v>
      </c>
      <c r="M311" s="12">
        <f>K311</f>
        <v>2000</v>
      </c>
      <c r="N311" s="29">
        <v>10</v>
      </c>
      <c r="O311" s="48" t="s">
        <v>127</v>
      </c>
    </row>
    <row r="312" spans="1:15" ht="16.5" thickTop="1" thickBot="1" x14ac:dyDescent="0.3">
      <c r="A312" s="39" t="s">
        <v>111</v>
      </c>
      <c r="B312" s="25" t="s">
        <v>10</v>
      </c>
      <c r="C312" s="8" t="s">
        <v>0</v>
      </c>
      <c r="D312" s="7" t="s">
        <v>79</v>
      </c>
      <c r="E312" s="9" t="s">
        <v>66</v>
      </c>
      <c r="F312" s="10">
        <v>10</v>
      </c>
      <c r="G312" s="11" t="s">
        <v>8</v>
      </c>
      <c r="H312" s="7" t="s">
        <v>85</v>
      </c>
      <c r="I312" s="11" t="s">
        <v>96</v>
      </c>
      <c r="J312" s="11" t="s">
        <v>103</v>
      </c>
      <c r="K312" s="12">
        <v>200</v>
      </c>
      <c r="L312" s="12">
        <f>0</f>
        <v>0</v>
      </c>
      <c r="M312" s="12">
        <f>K312</f>
        <v>200</v>
      </c>
      <c r="N312" s="29">
        <v>10</v>
      </c>
      <c r="O312" s="48" t="s">
        <v>127</v>
      </c>
    </row>
    <row r="313" spans="1:15" ht="16.5" thickTop="1" thickBot="1" x14ac:dyDescent="0.3">
      <c r="A313" s="27" t="s">
        <v>111</v>
      </c>
      <c r="B313" s="25" t="s">
        <v>11</v>
      </c>
      <c r="C313" s="8" t="s">
        <v>0</v>
      </c>
      <c r="D313" s="7" t="s">
        <v>79</v>
      </c>
      <c r="E313" s="9" t="s">
        <v>66</v>
      </c>
      <c r="F313" s="10">
        <v>16</v>
      </c>
      <c r="G313" s="11" t="s">
        <v>12</v>
      </c>
      <c r="H313" s="7" t="s">
        <v>85</v>
      </c>
      <c r="I313" s="11" t="s">
        <v>7</v>
      </c>
      <c r="J313" s="11" t="s">
        <v>103</v>
      </c>
      <c r="K313" s="12">
        <v>17013.380378354999</v>
      </c>
      <c r="L313" s="12">
        <f>K313*16%</f>
        <v>2722.1408605368001</v>
      </c>
      <c r="M313" s="12">
        <f t="shared" ref="M313:M329" si="14">K313-L313</f>
        <v>14291.2395178182</v>
      </c>
      <c r="N313" s="29">
        <v>15</v>
      </c>
      <c r="O313" s="48" t="s">
        <v>127</v>
      </c>
    </row>
    <row r="314" spans="1:15" ht="16.5" thickTop="1" thickBot="1" x14ac:dyDescent="0.3">
      <c r="A314" s="27" t="s">
        <v>111</v>
      </c>
      <c r="B314" s="25" t="s">
        <v>13</v>
      </c>
      <c r="C314" s="8" t="s">
        <v>0</v>
      </c>
      <c r="D314" s="7" t="s">
        <v>79</v>
      </c>
      <c r="E314" s="9" t="s">
        <v>66</v>
      </c>
      <c r="F314" s="10">
        <v>16</v>
      </c>
      <c r="G314" s="11" t="s">
        <v>12</v>
      </c>
      <c r="H314" s="7" t="s">
        <v>85</v>
      </c>
      <c r="I314" s="11" t="s">
        <v>9</v>
      </c>
      <c r="J314" s="11" t="s">
        <v>103</v>
      </c>
      <c r="K314" s="12">
        <v>3729.6405063450002</v>
      </c>
      <c r="L314" s="12">
        <f>K314*16%</f>
        <v>596.74248101520004</v>
      </c>
      <c r="M314" s="12">
        <f t="shared" si="14"/>
        <v>3132.8980253298</v>
      </c>
      <c r="N314" s="29">
        <v>15</v>
      </c>
      <c r="O314" s="48" t="s">
        <v>127</v>
      </c>
    </row>
    <row r="315" spans="1:15" ht="16.5" thickTop="1" thickBot="1" x14ac:dyDescent="0.3">
      <c r="A315" s="27" t="s">
        <v>111</v>
      </c>
      <c r="B315" s="25" t="s">
        <v>13</v>
      </c>
      <c r="C315" s="8" t="s">
        <v>0</v>
      </c>
      <c r="D315" s="7" t="s">
        <v>79</v>
      </c>
      <c r="E315" s="9" t="s">
        <v>66</v>
      </c>
      <c r="F315" s="10">
        <v>16</v>
      </c>
      <c r="G315" s="11" t="s">
        <v>12</v>
      </c>
      <c r="H315" s="7" t="s">
        <v>85</v>
      </c>
      <c r="I315" s="11" t="s">
        <v>99</v>
      </c>
      <c r="J315" s="11" t="s">
        <v>103</v>
      </c>
      <c r="K315" s="12">
        <v>4416.0016102200007</v>
      </c>
      <c r="L315" s="12">
        <f>K315*16%</f>
        <v>706.56025763520017</v>
      </c>
      <c r="M315" s="12">
        <f t="shared" si="14"/>
        <v>3709.4413525848004</v>
      </c>
      <c r="N315" s="29">
        <v>15</v>
      </c>
      <c r="O315" s="48" t="s">
        <v>127</v>
      </c>
    </row>
    <row r="316" spans="1:15" ht="16.5" thickTop="1" thickBot="1" x14ac:dyDescent="0.3">
      <c r="A316" s="27" t="s">
        <v>111</v>
      </c>
      <c r="B316" s="25" t="s">
        <v>5</v>
      </c>
      <c r="C316" s="8" t="s">
        <v>0</v>
      </c>
      <c r="D316" s="7" t="s">
        <v>79</v>
      </c>
      <c r="E316" s="9" t="s">
        <v>66</v>
      </c>
      <c r="F316" s="10">
        <v>16</v>
      </c>
      <c r="G316" s="11" t="s">
        <v>14</v>
      </c>
      <c r="H316" s="7" t="s">
        <v>84</v>
      </c>
      <c r="I316" s="11" t="s">
        <v>7</v>
      </c>
      <c r="J316" s="11" t="s">
        <v>103</v>
      </c>
      <c r="K316" s="12">
        <v>14761.659131999999</v>
      </c>
      <c r="L316" s="12">
        <f>K316*5%</f>
        <v>738.08295659999999</v>
      </c>
      <c r="M316" s="12">
        <f t="shared" si="14"/>
        <v>14023.5761754</v>
      </c>
      <c r="N316" s="29">
        <v>15</v>
      </c>
      <c r="O316" s="48" t="s">
        <v>127</v>
      </c>
    </row>
    <row r="317" spans="1:15" ht="16.5" thickTop="1" thickBot="1" x14ac:dyDescent="0.3">
      <c r="A317" s="27" t="s">
        <v>111</v>
      </c>
      <c r="B317" s="25" t="s">
        <v>5</v>
      </c>
      <c r="C317" s="8" t="s">
        <v>0</v>
      </c>
      <c r="D317" s="7" t="s">
        <v>79</v>
      </c>
      <c r="E317" s="9" t="s">
        <v>66</v>
      </c>
      <c r="F317" s="10">
        <v>16</v>
      </c>
      <c r="G317" s="11" t="s">
        <v>14</v>
      </c>
      <c r="H317" s="7" t="s">
        <v>84</v>
      </c>
      <c r="I317" s="11" t="s">
        <v>9</v>
      </c>
      <c r="J317" s="11" t="s">
        <v>103</v>
      </c>
      <c r="K317" s="12">
        <v>3763.01</v>
      </c>
      <c r="L317" s="12">
        <f>K317*5%</f>
        <v>188.15050000000002</v>
      </c>
      <c r="M317" s="12">
        <f t="shared" si="14"/>
        <v>3574.8595</v>
      </c>
      <c r="N317" s="29">
        <v>15</v>
      </c>
      <c r="O317" s="48" t="s">
        <v>127</v>
      </c>
    </row>
    <row r="318" spans="1:15" ht="16.5" thickTop="1" thickBot="1" x14ac:dyDescent="0.3">
      <c r="A318" s="27" t="s">
        <v>111</v>
      </c>
      <c r="B318" s="25" t="s">
        <v>5</v>
      </c>
      <c r="C318" s="8" t="s">
        <v>0</v>
      </c>
      <c r="D318" s="7" t="s">
        <v>79</v>
      </c>
      <c r="E318" s="9" t="s">
        <v>66</v>
      </c>
      <c r="F318" s="10">
        <v>16</v>
      </c>
      <c r="G318" s="11" t="s">
        <v>14</v>
      </c>
      <c r="H318" s="7" t="s">
        <v>84</v>
      </c>
      <c r="I318" s="11" t="s">
        <v>15</v>
      </c>
      <c r="J318" s="11" t="s">
        <v>103</v>
      </c>
      <c r="K318" s="12">
        <v>4780.5638085000001</v>
      </c>
      <c r="L318" s="12">
        <f>K318*5%</f>
        <v>239.02819042500002</v>
      </c>
      <c r="M318" s="12">
        <f t="shared" si="14"/>
        <v>4541.5356180750005</v>
      </c>
      <c r="N318" s="29">
        <v>15</v>
      </c>
      <c r="O318" s="48" t="s">
        <v>127</v>
      </c>
    </row>
    <row r="319" spans="1:15" ht="16.5" thickTop="1" thickBot="1" x14ac:dyDescent="0.3">
      <c r="A319" s="27" t="s">
        <v>128</v>
      </c>
      <c r="B319" s="25" t="s">
        <v>10</v>
      </c>
      <c r="C319" s="8" t="s">
        <v>0</v>
      </c>
      <c r="D319" s="7" t="s">
        <v>79</v>
      </c>
      <c r="E319" s="9" t="s">
        <v>66</v>
      </c>
      <c r="F319" s="10">
        <v>16</v>
      </c>
      <c r="G319" s="11" t="s">
        <v>14</v>
      </c>
      <c r="H319" s="7" t="s">
        <v>84</v>
      </c>
      <c r="I319" s="11" t="s">
        <v>96</v>
      </c>
      <c r="J319" s="11" t="s">
        <v>103</v>
      </c>
      <c r="K319" s="12">
        <v>500</v>
      </c>
      <c r="L319" s="12">
        <f>0</f>
        <v>0</v>
      </c>
      <c r="M319" s="12">
        <f t="shared" si="14"/>
        <v>500</v>
      </c>
      <c r="N319" s="29">
        <v>15</v>
      </c>
      <c r="O319" s="48" t="s">
        <v>127</v>
      </c>
    </row>
    <row r="320" spans="1:15" ht="16.5" thickTop="1" thickBot="1" x14ac:dyDescent="0.3">
      <c r="A320" s="27" t="s">
        <v>111</v>
      </c>
      <c r="B320" s="25" t="s">
        <v>11</v>
      </c>
      <c r="C320" s="8" t="s">
        <v>0</v>
      </c>
      <c r="D320" s="7" t="s">
        <v>79</v>
      </c>
      <c r="E320" s="9" t="s">
        <v>66</v>
      </c>
      <c r="F320" s="10">
        <v>20</v>
      </c>
      <c r="G320" s="11" t="s">
        <v>16</v>
      </c>
      <c r="H320" s="7" t="s">
        <v>85</v>
      </c>
      <c r="I320" s="11" t="s">
        <v>7</v>
      </c>
      <c r="J320" s="11" t="s">
        <v>103</v>
      </c>
      <c r="K320" s="12">
        <v>15515</v>
      </c>
      <c r="L320" s="12">
        <f>K320*16%</f>
        <v>2482.4</v>
      </c>
      <c r="M320" s="12">
        <f t="shared" si="14"/>
        <v>13032.6</v>
      </c>
      <c r="N320" s="29">
        <v>15</v>
      </c>
    </row>
    <row r="321" spans="1:14" ht="16.5" thickTop="1" thickBot="1" x14ac:dyDescent="0.3">
      <c r="A321" s="27" t="s">
        <v>111</v>
      </c>
      <c r="B321" s="25" t="s">
        <v>13</v>
      </c>
      <c r="C321" s="8" t="s">
        <v>0</v>
      </c>
      <c r="D321" s="7" t="s">
        <v>79</v>
      </c>
      <c r="E321" s="9" t="s">
        <v>66</v>
      </c>
      <c r="F321" s="10">
        <v>20</v>
      </c>
      <c r="G321" s="11" t="s">
        <v>16</v>
      </c>
      <c r="H321" s="7" t="s">
        <v>85</v>
      </c>
      <c r="I321" s="11" t="s">
        <v>113</v>
      </c>
      <c r="J321" s="11" t="s">
        <v>103</v>
      </c>
      <c r="K321" s="12">
        <v>1500</v>
      </c>
      <c r="L321" s="12">
        <f>K321*16%</f>
        <v>240</v>
      </c>
      <c r="M321" s="12">
        <f t="shared" si="14"/>
        <v>1260</v>
      </c>
      <c r="N321" s="29">
        <v>15</v>
      </c>
    </row>
    <row r="322" spans="1:14" ht="16.5" thickTop="1" thickBot="1" x14ac:dyDescent="0.3">
      <c r="A322" s="27" t="s">
        <v>111</v>
      </c>
      <c r="B322" s="25" t="s">
        <v>13</v>
      </c>
      <c r="C322" s="8" t="s">
        <v>0</v>
      </c>
      <c r="D322" s="7" t="s">
        <v>79</v>
      </c>
      <c r="E322" s="9" t="s">
        <v>66</v>
      </c>
      <c r="F322" s="10">
        <v>20</v>
      </c>
      <c r="G322" s="11" t="s">
        <v>16</v>
      </c>
      <c r="H322" s="7" t="s">
        <v>85</v>
      </c>
      <c r="I322" s="11" t="s">
        <v>9</v>
      </c>
      <c r="J322" s="11" t="s">
        <v>103</v>
      </c>
      <c r="K322" s="12">
        <v>7480</v>
      </c>
      <c r="L322" s="12">
        <f>K322*16%</f>
        <v>1196.8</v>
      </c>
      <c r="M322" s="12">
        <f t="shared" si="14"/>
        <v>6283.2</v>
      </c>
      <c r="N322" s="29">
        <v>15</v>
      </c>
    </row>
    <row r="323" spans="1:14" ht="16.5" thickTop="1" thickBot="1" x14ac:dyDescent="0.3">
      <c r="A323" s="27" t="s">
        <v>111</v>
      </c>
      <c r="B323" s="25" t="s">
        <v>13</v>
      </c>
      <c r="C323" s="8" t="s">
        <v>0</v>
      </c>
      <c r="D323" s="7" t="s">
        <v>79</v>
      </c>
      <c r="E323" s="9" t="s">
        <v>66</v>
      </c>
      <c r="F323" s="10">
        <v>20</v>
      </c>
      <c r="G323" s="11" t="s">
        <v>16</v>
      </c>
      <c r="H323" s="7" t="s">
        <v>85</v>
      </c>
      <c r="I323" s="11" t="s">
        <v>15</v>
      </c>
      <c r="J323" s="11" t="s">
        <v>103</v>
      </c>
      <c r="K323" s="12">
        <v>6826</v>
      </c>
      <c r="L323" s="12">
        <f>K323*16%</f>
        <v>1092.1600000000001</v>
      </c>
      <c r="M323" s="12">
        <f t="shared" si="14"/>
        <v>5733.84</v>
      </c>
      <c r="N323" s="29">
        <v>15</v>
      </c>
    </row>
    <row r="324" spans="1:14" ht="16.5" thickTop="1" thickBot="1" x14ac:dyDescent="0.3">
      <c r="A324" s="27" t="s">
        <v>111</v>
      </c>
      <c r="B324" s="25" t="s">
        <v>5</v>
      </c>
      <c r="C324" s="8" t="s">
        <v>0</v>
      </c>
      <c r="D324" s="7" t="s">
        <v>79</v>
      </c>
      <c r="E324" s="9" t="s">
        <v>66</v>
      </c>
      <c r="F324" s="10">
        <v>5</v>
      </c>
      <c r="G324" s="11" t="s">
        <v>17</v>
      </c>
      <c r="H324" s="7" t="s">
        <v>85</v>
      </c>
      <c r="I324" s="11" t="s">
        <v>7</v>
      </c>
      <c r="J324" s="11" t="s">
        <v>103</v>
      </c>
      <c r="K324" s="12">
        <v>16574.890605929999</v>
      </c>
      <c r="L324" s="12">
        <f>K324*5%</f>
        <v>828.74453029649999</v>
      </c>
      <c r="M324" s="12">
        <f t="shared" si="14"/>
        <v>15746.146075633498</v>
      </c>
      <c r="N324" s="29">
        <v>10</v>
      </c>
    </row>
    <row r="325" spans="1:14" ht="16.5" thickTop="1" thickBot="1" x14ac:dyDescent="0.3">
      <c r="A325" s="27" t="s">
        <v>111</v>
      </c>
      <c r="B325" s="25" t="s">
        <v>5</v>
      </c>
      <c r="C325" s="8" t="s">
        <v>0</v>
      </c>
      <c r="D325" s="7" t="s">
        <v>79</v>
      </c>
      <c r="E325" s="9" t="s">
        <v>66</v>
      </c>
      <c r="F325" s="10">
        <v>5</v>
      </c>
      <c r="G325" s="11" t="s">
        <v>17</v>
      </c>
      <c r="H325" s="7" t="s">
        <v>85</v>
      </c>
      <c r="I325" s="11" t="s">
        <v>15</v>
      </c>
      <c r="J325" s="11" t="s">
        <v>103</v>
      </c>
      <c r="K325" s="12">
        <v>4086.3215625749995</v>
      </c>
      <c r="L325" s="12">
        <f>K325*5%</f>
        <v>204.31607812874998</v>
      </c>
      <c r="M325" s="12">
        <f t="shared" si="14"/>
        <v>3882.0054844462493</v>
      </c>
      <c r="N325" s="29">
        <v>10</v>
      </c>
    </row>
    <row r="326" spans="1:14" ht="16.5" thickTop="1" thickBot="1" x14ac:dyDescent="0.3">
      <c r="A326" s="27" t="s">
        <v>111</v>
      </c>
      <c r="B326" s="25" t="s">
        <v>5</v>
      </c>
      <c r="C326" s="8" t="s">
        <v>0</v>
      </c>
      <c r="D326" s="7" t="s">
        <v>79</v>
      </c>
      <c r="E326" s="9" t="s">
        <v>66</v>
      </c>
      <c r="F326" s="10">
        <v>10</v>
      </c>
      <c r="G326" s="11" t="s">
        <v>18</v>
      </c>
      <c r="H326" s="7" t="s">
        <v>85</v>
      </c>
      <c r="I326" s="11" t="s">
        <v>9</v>
      </c>
      <c r="J326" s="11" t="s">
        <v>103</v>
      </c>
      <c r="K326" s="12">
        <v>4153.3112700000001</v>
      </c>
      <c r="L326" s="12">
        <f>K326*5%</f>
        <v>207.66556350000002</v>
      </c>
      <c r="M326" s="12">
        <f t="shared" si="14"/>
        <v>3945.6457065</v>
      </c>
      <c r="N326" s="29">
        <v>10</v>
      </c>
    </row>
    <row r="327" spans="1:14" ht="16.5" thickTop="1" thickBot="1" x14ac:dyDescent="0.3">
      <c r="A327" s="27" t="s">
        <v>111</v>
      </c>
      <c r="B327" s="25" t="s">
        <v>11</v>
      </c>
      <c r="C327" s="8" t="s">
        <v>0</v>
      </c>
      <c r="D327" s="7" t="s">
        <v>79</v>
      </c>
      <c r="E327" s="9" t="s">
        <v>66</v>
      </c>
      <c r="F327" s="10">
        <v>20</v>
      </c>
      <c r="G327" s="11" t="s">
        <v>19</v>
      </c>
      <c r="H327" s="7" t="s">
        <v>88</v>
      </c>
      <c r="I327" s="11" t="s">
        <v>20</v>
      </c>
      <c r="J327" s="11" t="s">
        <v>105</v>
      </c>
      <c r="K327" s="12">
        <v>10635.19</v>
      </c>
      <c r="L327" s="12">
        <f>K327*16%</f>
        <v>1701.6304</v>
      </c>
      <c r="M327" s="12">
        <f t="shared" si="14"/>
        <v>8933.5596000000005</v>
      </c>
      <c r="N327" s="29">
        <v>15</v>
      </c>
    </row>
    <row r="328" spans="1:14" ht="16.5" thickTop="1" thickBot="1" x14ac:dyDescent="0.3">
      <c r="A328" s="27" t="s">
        <v>111</v>
      </c>
      <c r="B328" s="25" t="s">
        <v>13</v>
      </c>
      <c r="C328" s="8" t="s">
        <v>0</v>
      </c>
      <c r="D328" s="7" t="s">
        <v>79</v>
      </c>
      <c r="E328" s="9" t="s">
        <v>66</v>
      </c>
      <c r="F328" s="10">
        <v>5</v>
      </c>
      <c r="G328" s="11" t="s">
        <v>21</v>
      </c>
      <c r="H328" s="7" t="s">
        <v>85</v>
      </c>
      <c r="I328" s="11" t="s">
        <v>9</v>
      </c>
      <c r="J328" s="11" t="s">
        <v>105</v>
      </c>
      <c r="K328" s="12">
        <v>32256.26</v>
      </c>
      <c r="L328" s="12">
        <f>K328*16%</f>
        <v>5161.0015999999996</v>
      </c>
      <c r="M328" s="12">
        <f t="shared" si="14"/>
        <v>27095.258399999999</v>
      </c>
      <c r="N328" s="29">
        <v>10</v>
      </c>
    </row>
    <row r="329" spans="1:14" ht="15.75" customHeight="1" thickTop="1" thickBot="1" x14ac:dyDescent="0.3">
      <c r="A329" s="27" t="s">
        <v>111</v>
      </c>
      <c r="B329" s="25" t="s">
        <v>11</v>
      </c>
      <c r="C329" s="8" t="s">
        <v>0</v>
      </c>
      <c r="D329" s="7" t="s">
        <v>79</v>
      </c>
      <c r="E329" s="9" t="s">
        <v>66</v>
      </c>
      <c r="F329" s="10">
        <v>20</v>
      </c>
      <c r="G329" s="11" t="s">
        <v>21</v>
      </c>
      <c r="H329" s="7" t="s">
        <v>85</v>
      </c>
      <c r="I329" s="11" t="s">
        <v>20</v>
      </c>
      <c r="J329" s="11" t="s">
        <v>105</v>
      </c>
      <c r="K329" s="12">
        <v>37709</v>
      </c>
      <c r="L329" s="12">
        <f>K329*16%</f>
        <v>6033.4400000000005</v>
      </c>
      <c r="M329" s="12">
        <f t="shared" si="14"/>
        <v>31675.559999999998</v>
      </c>
      <c r="N329" s="29">
        <v>10</v>
      </c>
    </row>
    <row r="330" spans="1:14" ht="15.75" customHeight="1" thickTop="1" thickBot="1" x14ac:dyDescent="0.3">
      <c r="A330" s="27" t="s">
        <v>111</v>
      </c>
      <c r="B330" s="25" t="s">
        <v>22</v>
      </c>
      <c r="C330" s="8" t="s">
        <v>0</v>
      </c>
      <c r="D330" s="7" t="s">
        <v>79</v>
      </c>
      <c r="E330" s="9" t="s">
        <v>66</v>
      </c>
      <c r="F330" s="10">
        <v>20</v>
      </c>
      <c r="G330" s="11" t="s">
        <v>23</v>
      </c>
      <c r="H330" s="7" t="s">
        <v>83</v>
      </c>
      <c r="I330" s="11" t="s">
        <v>7</v>
      </c>
      <c r="J330" s="11" t="s">
        <v>80</v>
      </c>
      <c r="K330" s="12">
        <v>5000</v>
      </c>
      <c r="L330" s="12">
        <v>0</v>
      </c>
      <c r="M330" s="12">
        <v>10000</v>
      </c>
      <c r="N330" s="29">
        <v>15</v>
      </c>
    </row>
    <row r="331" spans="1:14" ht="16.5" thickTop="1" thickBot="1" x14ac:dyDescent="0.3">
      <c r="A331" s="27" t="s">
        <v>111</v>
      </c>
      <c r="B331" s="25" t="s">
        <v>11</v>
      </c>
      <c r="C331" s="8" t="s">
        <v>0</v>
      </c>
      <c r="D331" s="7" t="s">
        <v>79</v>
      </c>
      <c r="E331" s="9" t="s">
        <v>66</v>
      </c>
      <c r="F331" s="10">
        <v>5</v>
      </c>
      <c r="G331" s="11" t="s">
        <v>24</v>
      </c>
      <c r="H331" s="7" t="s">
        <v>83</v>
      </c>
      <c r="I331" s="11" t="s">
        <v>7</v>
      </c>
      <c r="J331" s="11" t="s">
        <v>80</v>
      </c>
      <c r="K331" s="12">
        <v>61581.403376595001</v>
      </c>
      <c r="L331" s="12">
        <f>K331*16%</f>
        <v>9853.0245402552009</v>
      </c>
      <c r="M331" s="12">
        <f>K331-L331</f>
        <v>51728.378836339798</v>
      </c>
      <c r="N331" s="29">
        <v>23</v>
      </c>
    </row>
    <row r="332" spans="1:14" ht="16.5" thickTop="1" thickBot="1" x14ac:dyDescent="0.3">
      <c r="A332" s="27" t="s">
        <v>111</v>
      </c>
      <c r="B332" s="25" t="s">
        <v>13</v>
      </c>
      <c r="C332" s="8" t="s">
        <v>0</v>
      </c>
      <c r="D332" s="7" t="s">
        <v>79</v>
      </c>
      <c r="E332" s="9" t="s">
        <v>66</v>
      </c>
      <c r="F332" s="10">
        <v>5</v>
      </c>
      <c r="G332" s="11" t="s">
        <v>24</v>
      </c>
      <c r="H332" s="7" t="s">
        <v>83</v>
      </c>
      <c r="I332" s="11" t="s">
        <v>9</v>
      </c>
      <c r="J332" s="11" t="s">
        <v>80</v>
      </c>
      <c r="K332" s="12">
        <v>12948.9964605</v>
      </c>
      <c r="L332" s="12">
        <f>K332*16%</f>
        <v>2071.8394336800002</v>
      </c>
      <c r="M332" s="12">
        <f>K332-L332</f>
        <v>10877.157026820001</v>
      </c>
      <c r="N332" s="29">
        <v>23</v>
      </c>
    </row>
    <row r="333" spans="1:14" ht="16.5" thickTop="1" thickBot="1" x14ac:dyDescent="0.3">
      <c r="A333" s="27" t="s">
        <v>111</v>
      </c>
      <c r="B333" s="25" t="s">
        <v>10</v>
      </c>
      <c r="C333" s="8" t="s">
        <v>0</v>
      </c>
      <c r="D333" s="7" t="s">
        <v>79</v>
      </c>
      <c r="E333" s="9" t="s">
        <v>66</v>
      </c>
      <c r="F333" s="10">
        <v>5</v>
      </c>
      <c r="G333" s="11" t="s">
        <v>24</v>
      </c>
      <c r="H333" s="7" t="s">
        <v>83</v>
      </c>
      <c r="I333" s="11" t="s">
        <v>96</v>
      </c>
      <c r="J333" s="11" t="s">
        <v>80</v>
      </c>
      <c r="K333" s="12">
        <v>1500</v>
      </c>
      <c r="L333" s="12">
        <f>0</f>
        <v>0</v>
      </c>
      <c r="M333" s="12">
        <f>K333</f>
        <v>1500</v>
      </c>
      <c r="N333" s="29">
        <v>23</v>
      </c>
    </row>
    <row r="334" spans="1:14" ht="16.5" thickTop="1" thickBot="1" x14ac:dyDescent="0.3">
      <c r="A334" s="39" t="s">
        <v>111</v>
      </c>
      <c r="B334" s="25" t="s">
        <v>22</v>
      </c>
      <c r="C334" s="8" t="s">
        <v>25</v>
      </c>
      <c r="D334" s="7" t="s">
        <v>79</v>
      </c>
      <c r="E334" s="9" t="s">
        <v>66</v>
      </c>
      <c r="F334" s="10">
        <v>5</v>
      </c>
      <c r="G334" s="11" t="s">
        <v>26</v>
      </c>
      <c r="H334" s="7" t="s">
        <v>83</v>
      </c>
      <c r="I334" s="11" t="s">
        <v>7</v>
      </c>
      <c r="J334" s="11" t="s">
        <v>80</v>
      </c>
      <c r="K334" s="12">
        <v>19790.640856350001</v>
      </c>
      <c r="L334" s="12">
        <v>0</v>
      </c>
      <c r="M334" s="12">
        <f t="shared" ref="M334:M364" si="15">K334-L334</f>
        <v>19790.640856350001</v>
      </c>
      <c r="N334" s="29">
        <v>29</v>
      </c>
    </row>
    <row r="335" spans="1:14" ht="16.5" thickTop="1" thickBot="1" x14ac:dyDescent="0.3">
      <c r="A335" s="39" t="s">
        <v>111</v>
      </c>
      <c r="B335" s="25" t="s">
        <v>22</v>
      </c>
      <c r="C335" s="8" t="s">
        <v>25</v>
      </c>
      <c r="D335" s="7" t="s">
        <v>79</v>
      </c>
      <c r="E335" s="9" t="s">
        <v>66</v>
      </c>
      <c r="F335" s="10">
        <v>5</v>
      </c>
      <c r="G335" s="11" t="s">
        <v>26</v>
      </c>
      <c r="H335" s="7" t="s">
        <v>83</v>
      </c>
      <c r="I335" s="11" t="s">
        <v>9</v>
      </c>
      <c r="J335" s="11" t="s">
        <v>80</v>
      </c>
      <c r="K335" s="12">
        <v>4336.4128715999996</v>
      </c>
      <c r="L335" s="12">
        <v>0</v>
      </c>
      <c r="M335" s="12">
        <f t="shared" si="15"/>
        <v>4336.4128715999996</v>
      </c>
      <c r="N335" s="29">
        <v>29</v>
      </c>
    </row>
    <row r="336" spans="1:14" ht="16.5" thickTop="1" thickBot="1" x14ac:dyDescent="0.3">
      <c r="A336" s="39" t="s">
        <v>111</v>
      </c>
      <c r="B336" s="25" t="s">
        <v>22</v>
      </c>
      <c r="C336" s="8" t="s">
        <v>25</v>
      </c>
      <c r="D336" s="7" t="s">
        <v>79</v>
      </c>
      <c r="E336" s="9" t="s">
        <v>66</v>
      </c>
      <c r="F336" s="10">
        <v>5</v>
      </c>
      <c r="G336" s="11" t="s">
        <v>27</v>
      </c>
      <c r="H336" s="7" t="s">
        <v>83</v>
      </c>
      <c r="I336" s="11" t="s">
        <v>7</v>
      </c>
      <c r="J336" s="11" t="s">
        <v>80</v>
      </c>
      <c r="K336" s="12">
        <v>19790.640856349997</v>
      </c>
      <c r="L336" s="12">
        <v>0</v>
      </c>
      <c r="M336" s="12">
        <f t="shared" si="15"/>
        <v>19790.640856349997</v>
      </c>
      <c r="N336" s="29">
        <v>29</v>
      </c>
    </row>
    <row r="337" spans="1:14" ht="16.5" thickTop="1" thickBot="1" x14ac:dyDescent="0.3">
      <c r="A337" s="39" t="s">
        <v>111</v>
      </c>
      <c r="B337" s="25" t="s">
        <v>22</v>
      </c>
      <c r="C337" s="8" t="s">
        <v>25</v>
      </c>
      <c r="D337" s="7" t="s">
        <v>79</v>
      </c>
      <c r="E337" s="9" t="s">
        <v>66</v>
      </c>
      <c r="F337" s="10">
        <v>5</v>
      </c>
      <c r="G337" s="11" t="s">
        <v>27</v>
      </c>
      <c r="H337" s="7" t="s">
        <v>83</v>
      </c>
      <c r="I337" s="11" t="s">
        <v>9</v>
      </c>
      <c r="J337" s="11" t="s">
        <v>80</v>
      </c>
      <c r="K337" s="12">
        <v>4336.4128715999996</v>
      </c>
      <c r="L337" s="12">
        <v>0</v>
      </c>
      <c r="M337" s="12">
        <f t="shared" si="15"/>
        <v>4336.4128715999996</v>
      </c>
      <c r="N337" s="29">
        <v>29</v>
      </c>
    </row>
    <row r="338" spans="1:14" ht="16.5" thickTop="1" thickBot="1" x14ac:dyDescent="0.3">
      <c r="A338" s="27" t="s">
        <v>111</v>
      </c>
      <c r="B338" s="25" t="s">
        <v>22</v>
      </c>
      <c r="C338" s="8" t="s">
        <v>25</v>
      </c>
      <c r="D338" s="7" t="s">
        <v>79</v>
      </c>
      <c r="E338" s="9" t="s">
        <v>66</v>
      </c>
      <c r="F338" s="10">
        <v>5</v>
      </c>
      <c r="G338" s="11" t="s">
        <v>27</v>
      </c>
      <c r="H338" s="7" t="s">
        <v>83</v>
      </c>
      <c r="I338" s="11" t="s">
        <v>113</v>
      </c>
      <c r="J338" s="11" t="s">
        <v>80</v>
      </c>
      <c r="K338" s="12">
        <v>1823.589144</v>
      </c>
      <c r="L338" s="12">
        <v>0</v>
      </c>
      <c r="M338" s="12">
        <f t="shared" si="15"/>
        <v>1823.589144</v>
      </c>
      <c r="N338" s="29">
        <v>29</v>
      </c>
    </row>
    <row r="339" spans="1:14" ht="16.5" thickTop="1" thickBot="1" x14ac:dyDescent="0.3">
      <c r="A339" s="27" t="s">
        <v>111</v>
      </c>
      <c r="B339" s="25" t="s">
        <v>13</v>
      </c>
      <c r="C339" s="8" t="s">
        <v>25</v>
      </c>
      <c r="D339" s="7" t="s">
        <v>79</v>
      </c>
      <c r="E339" s="9" t="s">
        <v>66</v>
      </c>
      <c r="F339" s="10">
        <v>20</v>
      </c>
      <c r="G339" s="11" t="s">
        <v>28</v>
      </c>
      <c r="H339" s="7" t="s">
        <v>84</v>
      </c>
      <c r="I339" s="11" t="s">
        <v>9</v>
      </c>
      <c r="J339" s="11" t="s">
        <v>80</v>
      </c>
      <c r="K339" s="12">
        <v>4035.7539000000002</v>
      </c>
      <c r="L339" s="12">
        <f>K339*16%</f>
        <v>645.72062400000004</v>
      </c>
      <c r="M339" s="12">
        <f t="shared" si="15"/>
        <v>3390.0332760000001</v>
      </c>
      <c r="N339" s="29">
        <v>10</v>
      </c>
    </row>
    <row r="340" spans="1:14" ht="16.5" thickTop="1" thickBot="1" x14ac:dyDescent="0.3">
      <c r="A340" s="27" t="s">
        <v>111</v>
      </c>
      <c r="B340" s="25" t="s">
        <v>11</v>
      </c>
      <c r="C340" s="8" t="s">
        <v>25</v>
      </c>
      <c r="D340" s="7" t="s">
        <v>79</v>
      </c>
      <c r="E340" s="9" t="s">
        <v>66</v>
      </c>
      <c r="F340" s="10">
        <v>20</v>
      </c>
      <c r="G340" s="11" t="s">
        <v>29</v>
      </c>
      <c r="H340" s="7" t="s">
        <v>83</v>
      </c>
      <c r="I340" s="11" t="s">
        <v>30</v>
      </c>
      <c r="J340" s="11" t="s">
        <v>80</v>
      </c>
      <c r="K340" s="12">
        <v>500</v>
      </c>
      <c r="L340" s="12">
        <f>K340*5%</f>
        <v>25</v>
      </c>
      <c r="M340" s="12">
        <f t="shared" si="15"/>
        <v>475</v>
      </c>
      <c r="N340" s="29">
        <v>10</v>
      </c>
    </row>
    <row r="341" spans="1:14" ht="16.5" thickTop="1" thickBot="1" x14ac:dyDescent="0.3">
      <c r="A341" s="27" t="s">
        <v>111</v>
      </c>
      <c r="B341" s="25" t="s">
        <v>22</v>
      </c>
      <c r="C341" s="8" t="s">
        <v>25</v>
      </c>
      <c r="D341" s="7" t="s">
        <v>79</v>
      </c>
      <c r="E341" s="9" t="s">
        <v>66</v>
      </c>
      <c r="F341" s="10">
        <v>20</v>
      </c>
      <c r="G341" s="11" t="s">
        <v>29</v>
      </c>
      <c r="H341" s="7" t="s">
        <v>83</v>
      </c>
      <c r="I341" s="11" t="s">
        <v>9</v>
      </c>
      <c r="J341" s="11" t="s">
        <v>80</v>
      </c>
      <c r="K341" s="12">
        <v>3379.6440000000002</v>
      </c>
      <c r="L341" s="12">
        <v>0</v>
      </c>
      <c r="M341" s="12">
        <f t="shared" si="15"/>
        <v>3379.6440000000002</v>
      </c>
      <c r="N341" s="29">
        <v>10</v>
      </c>
    </row>
    <row r="342" spans="1:14" ht="16.5" thickTop="1" thickBot="1" x14ac:dyDescent="0.3">
      <c r="A342" s="27" t="s">
        <v>111</v>
      </c>
      <c r="B342" s="25" t="s">
        <v>22</v>
      </c>
      <c r="C342" s="8" t="s">
        <v>25</v>
      </c>
      <c r="D342" s="7" t="s">
        <v>79</v>
      </c>
      <c r="E342" s="9" t="s">
        <v>66</v>
      </c>
      <c r="F342" s="10">
        <v>25</v>
      </c>
      <c r="G342" s="13" t="s">
        <v>31</v>
      </c>
      <c r="H342" s="7" t="s">
        <v>83</v>
      </c>
      <c r="I342" s="11" t="s">
        <v>7</v>
      </c>
      <c r="J342" s="11" t="s">
        <v>80</v>
      </c>
      <c r="K342" s="12">
        <v>17800</v>
      </c>
      <c r="L342" s="12">
        <v>0</v>
      </c>
      <c r="M342" s="12">
        <f t="shared" si="15"/>
        <v>17800</v>
      </c>
      <c r="N342" s="29">
        <v>30</v>
      </c>
    </row>
    <row r="343" spans="1:14" ht="16.5" thickTop="1" thickBot="1" x14ac:dyDescent="0.3">
      <c r="A343" s="27" t="s">
        <v>111</v>
      </c>
      <c r="B343" s="25" t="s">
        <v>5</v>
      </c>
      <c r="C343" s="8" t="s">
        <v>25</v>
      </c>
      <c r="D343" s="7" t="s">
        <v>79</v>
      </c>
      <c r="E343" s="9" t="s">
        <v>66</v>
      </c>
      <c r="F343" s="10">
        <v>20</v>
      </c>
      <c r="G343" s="11" t="s">
        <v>32</v>
      </c>
      <c r="H343" s="7" t="s">
        <v>83</v>
      </c>
      <c r="I343" s="11" t="s">
        <v>7</v>
      </c>
      <c r="J343" s="11" t="s">
        <v>80</v>
      </c>
      <c r="K343" s="12">
        <v>20160.015344324998</v>
      </c>
      <c r="L343" s="12">
        <f>K343*5%</f>
        <v>1008.00076721625</v>
      </c>
      <c r="M343" s="12">
        <f t="shared" si="15"/>
        <v>19152.014577108748</v>
      </c>
      <c r="N343" s="29">
        <v>10</v>
      </c>
    </row>
    <row r="344" spans="1:14" ht="16.5" thickTop="1" thickBot="1" x14ac:dyDescent="0.3">
      <c r="A344" s="27" t="s">
        <v>111</v>
      </c>
      <c r="B344" s="25" t="s">
        <v>5</v>
      </c>
      <c r="C344" s="8" t="s">
        <v>25</v>
      </c>
      <c r="D344" s="7" t="s">
        <v>79</v>
      </c>
      <c r="E344" s="9" t="s">
        <v>66</v>
      </c>
      <c r="F344" s="10">
        <v>20</v>
      </c>
      <c r="G344" s="11" t="s">
        <v>32</v>
      </c>
      <c r="H344" s="7" t="s">
        <v>83</v>
      </c>
      <c r="I344" s="11" t="s">
        <v>97</v>
      </c>
      <c r="J344" s="11" t="s">
        <v>80</v>
      </c>
      <c r="K344" s="12">
        <v>10053.314351999999</v>
      </c>
      <c r="L344" s="12">
        <f>K344*5%</f>
        <v>502.66571759999999</v>
      </c>
      <c r="M344" s="12">
        <f t="shared" si="15"/>
        <v>9550.6486343999986</v>
      </c>
      <c r="N344" s="29">
        <v>10</v>
      </c>
    </row>
    <row r="345" spans="1:14" ht="16.5" thickTop="1" thickBot="1" x14ac:dyDescent="0.3">
      <c r="A345" s="27" t="s">
        <v>111</v>
      </c>
      <c r="B345" s="25" t="s">
        <v>11</v>
      </c>
      <c r="C345" s="8" t="s">
        <v>25</v>
      </c>
      <c r="D345" s="7" t="s">
        <v>79</v>
      </c>
      <c r="E345" s="9" t="s">
        <v>66</v>
      </c>
      <c r="F345" s="10">
        <v>20</v>
      </c>
      <c r="G345" s="11" t="s">
        <v>32</v>
      </c>
      <c r="H345" s="7" t="s">
        <v>83</v>
      </c>
      <c r="I345" s="11" t="s">
        <v>30</v>
      </c>
      <c r="J345" s="11" t="s">
        <v>80</v>
      </c>
      <c r="K345" s="12">
        <v>200</v>
      </c>
      <c r="L345" s="12">
        <f>K345*5%</f>
        <v>10</v>
      </c>
      <c r="M345" s="12">
        <f t="shared" si="15"/>
        <v>190</v>
      </c>
      <c r="N345" s="29">
        <v>10</v>
      </c>
    </row>
    <row r="346" spans="1:14" ht="16.5" thickTop="1" thickBot="1" x14ac:dyDescent="0.3">
      <c r="A346" s="27" t="s">
        <v>111</v>
      </c>
      <c r="B346" s="25" t="s">
        <v>5</v>
      </c>
      <c r="C346" s="8" t="s">
        <v>25</v>
      </c>
      <c r="D346" s="7" t="s">
        <v>79</v>
      </c>
      <c r="E346" s="9" t="s">
        <v>66</v>
      </c>
      <c r="F346" s="10">
        <v>20</v>
      </c>
      <c r="G346" s="11" t="s">
        <v>32</v>
      </c>
      <c r="H346" s="7" t="s">
        <v>83</v>
      </c>
      <c r="I346" s="11" t="s">
        <v>7</v>
      </c>
      <c r="J346" s="11" t="s">
        <v>80</v>
      </c>
      <c r="K346" s="12">
        <v>10106.5959</v>
      </c>
      <c r="L346" s="12">
        <f>K346*5%</f>
        <v>505.32979500000005</v>
      </c>
      <c r="M346" s="12">
        <f t="shared" si="15"/>
        <v>9601.2661050000006</v>
      </c>
      <c r="N346" s="29">
        <v>10</v>
      </c>
    </row>
    <row r="347" spans="1:14" ht="16.5" thickTop="1" thickBot="1" x14ac:dyDescent="0.3">
      <c r="A347" s="27" t="s">
        <v>111</v>
      </c>
      <c r="B347" s="25" t="s">
        <v>5</v>
      </c>
      <c r="C347" s="8" t="s">
        <v>25</v>
      </c>
      <c r="D347" s="7" t="s">
        <v>79</v>
      </c>
      <c r="E347" s="9" t="s">
        <v>66</v>
      </c>
      <c r="F347" s="10">
        <v>20</v>
      </c>
      <c r="G347" s="11" t="s">
        <v>32</v>
      </c>
      <c r="H347" s="7" t="s">
        <v>83</v>
      </c>
      <c r="I347" s="11" t="s">
        <v>98</v>
      </c>
      <c r="J347" s="11" t="s">
        <v>80</v>
      </c>
      <c r="K347" s="12">
        <v>12935</v>
      </c>
      <c r="L347" s="12">
        <f>K347*5%</f>
        <v>646.75</v>
      </c>
      <c r="M347" s="12">
        <f>K347-L347</f>
        <v>12288.25</v>
      </c>
      <c r="N347" s="29">
        <v>10</v>
      </c>
    </row>
    <row r="348" spans="1:14" ht="16.5" thickTop="1" thickBot="1" x14ac:dyDescent="0.3">
      <c r="A348" s="27" t="s">
        <v>111</v>
      </c>
      <c r="B348" s="25" t="s">
        <v>10</v>
      </c>
      <c r="C348" s="8" t="s">
        <v>25</v>
      </c>
      <c r="D348" s="7" t="s">
        <v>79</v>
      </c>
      <c r="E348" s="9" t="s">
        <v>66</v>
      </c>
      <c r="F348" s="10">
        <v>20</v>
      </c>
      <c r="G348" s="11" t="s">
        <v>32</v>
      </c>
      <c r="H348" s="7" t="s">
        <v>83</v>
      </c>
      <c r="I348" s="11" t="s">
        <v>96</v>
      </c>
      <c r="J348" s="11" t="s">
        <v>80</v>
      </c>
      <c r="K348" s="12">
        <v>2000</v>
      </c>
      <c r="L348" s="12">
        <f>0</f>
        <v>0</v>
      </c>
      <c r="M348" s="12">
        <f t="shared" si="15"/>
        <v>2000</v>
      </c>
      <c r="N348" s="29">
        <v>10</v>
      </c>
    </row>
    <row r="349" spans="1:14" ht="16.5" thickTop="1" thickBot="1" x14ac:dyDescent="0.3">
      <c r="A349" s="27" t="s">
        <v>111</v>
      </c>
      <c r="B349" s="25" t="s">
        <v>11</v>
      </c>
      <c r="C349" s="8" t="s">
        <v>25</v>
      </c>
      <c r="D349" s="7" t="s">
        <v>79</v>
      </c>
      <c r="E349" s="9" t="s">
        <v>66</v>
      </c>
      <c r="F349" s="10">
        <v>15</v>
      </c>
      <c r="G349" s="11" t="s">
        <v>33</v>
      </c>
      <c r="H349" s="7" t="s">
        <v>83</v>
      </c>
      <c r="I349" s="11" t="s">
        <v>7</v>
      </c>
      <c r="J349" s="11" t="s">
        <v>80</v>
      </c>
      <c r="K349" s="12">
        <v>20389.18</v>
      </c>
      <c r="L349" s="12">
        <f>K349*16%</f>
        <v>3262.2688000000003</v>
      </c>
      <c r="M349" s="12">
        <f t="shared" si="15"/>
        <v>17126.911199999999</v>
      </c>
      <c r="N349" s="29">
        <v>30</v>
      </c>
    </row>
    <row r="350" spans="1:14" ht="16.5" thickTop="1" thickBot="1" x14ac:dyDescent="0.3">
      <c r="A350" s="27" t="s">
        <v>111</v>
      </c>
      <c r="B350" s="25" t="s">
        <v>22</v>
      </c>
      <c r="C350" s="8" t="s">
        <v>25</v>
      </c>
      <c r="D350" s="7" t="s">
        <v>79</v>
      </c>
      <c r="E350" s="9" t="s">
        <v>66</v>
      </c>
      <c r="F350" s="10">
        <v>15</v>
      </c>
      <c r="G350" s="11" t="s">
        <v>120</v>
      </c>
      <c r="H350" s="7" t="s">
        <v>83</v>
      </c>
      <c r="I350" s="11" t="s">
        <v>9</v>
      </c>
      <c r="J350" s="11" t="s">
        <v>80</v>
      </c>
      <c r="K350" s="12">
        <v>3879.37</v>
      </c>
      <c r="L350" s="12">
        <v>0</v>
      </c>
      <c r="M350" s="12">
        <f>K350-L350</f>
        <v>3879.37</v>
      </c>
      <c r="N350" s="29">
        <v>30</v>
      </c>
    </row>
    <row r="351" spans="1:14" ht="16.5" thickTop="1" thickBot="1" x14ac:dyDescent="0.3">
      <c r="A351" s="27" t="s">
        <v>111</v>
      </c>
      <c r="B351" s="25" t="s">
        <v>22</v>
      </c>
      <c r="C351" s="8" t="s">
        <v>25</v>
      </c>
      <c r="D351" s="7" t="s">
        <v>79</v>
      </c>
      <c r="E351" s="9" t="s">
        <v>66</v>
      </c>
      <c r="F351" s="10">
        <v>15</v>
      </c>
      <c r="G351" s="11" t="s">
        <v>33</v>
      </c>
      <c r="H351" s="7" t="s">
        <v>83</v>
      </c>
      <c r="I351" s="11" t="s">
        <v>9</v>
      </c>
      <c r="J351" s="11" t="s">
        <v>80</v>
      </c>
      <c r="K351" s="12">
        <v>7758.74</v>
      </c>
      <c r="L351" s="12">
        <v>0</v>
      </c>
      <c r="M351" s="12">
        <f t="shared" si="15"/>
        <v>7758.74</v>
      </c>
      <c r="N351" s="29">
        <v>30</v>
      </c>
    </row>
    <row r="352" spans="1:14" ht="16.5" thickTop="1" thickBot="1" x14ac:dyDescent="0.3">
      <c r="A352" s="27" t="s">
        <v>111</v>
      </c>
      <c r="B352" s="25" t="s">
        <v>11</v>
      </c>
      <c r="C352" s="8" t="s">
        <v>25</v>
      </c>
      <c r="D352" s="7" t="s">
        <v>79</v>
      </c>
      <c r="E352" s="9" t="s">
        <v>66</v>
      </c>
      <c r="F352" s="10">
        <v>15</v>
      </c>
      <c r="G352" s="11" t="s">
        <v>33</v>
      </c>
      <c r="H352" s="7" t="s">
        <v>83</v>
      </c>
      <c r="I352" s="11" t="s">
        <v>30</v>
      </c>
      <c r="J352" s="11" t="s">
        <v>80</v>
      </c>
      <c r="K352" s="12">
        <v>200</v>
      </c>
      <c r="L352" s="12">
        <f>K352*5%</f>
        <v>10</v>
      </c>
      <c r="M352" s="12">
        <f t="shared" si="15"/>
        <v>190</v>
      </c>
      <c r="N352" s="29">
        <v>30</v>
      </c>
    </row>
    <row r="353" spans="1:14" ht="16.5" thickTop="1" thickBot="1" x14ac:dyDescent="0.3">
      <c r="A353" s="27" t="s">
        <v>126</v>
      </c>
      <c r="B353" s="25" t="s">
        <v>22</v>
      </c>
      <c r="C353" s="8" t="s">
        <v>60</v>
      </c>
      <c r="D353" s="7" t="s">
        <v>79</v>
      </c>
      <c r="E353" s="9" t="s">
        <v>66</v>
      </c>
      <c r="F353" s="10">
        <v>1</v>
      </c>
      <c r="G353" s="11" t="s">
        <v>34</v>
      </c>
      <c r="H353" s="7" t="s">
        <v>87</v>
      </c>
      <c r="I353" s="11" t="s">
        <v>20</v>
      </c>
      <c r="J353" s="11" t="s">
        <v>105</v>
      </c>
      <c r="K353" s="12">
        <v>36969.404166</v>
      </c>
      <c r="L353" s="12">
        <v>0</v>
      </c>
      <c r="M353" s="12">
        <f t="shared" si="15"/>
        <v>36969.404166</v>
      </c>
      <c r="N353" s="29">
        <v>30</v>
      </c>
    </row>
    <row r="354" spans="1:14" ht="16.5" thickTop="1" thickBot="1" x14ac:dyDescent="0.3">
      <c r="A354" s="27" t="s">
        <v>126</v>
      </c>
      <c r="B354" s="25" t="s">
        <v>22</v>
      </c>
      <c r="C354" s="8" t="s">
        <v>60</v>
      </c>
      <c r="D354" s="7" t="s">
        <v>79</v>
      </c>
      <c r="E354" s="9" t="s">
        <v>66</v>
      </c>
      <c r="F354" s="10">
        <v>1</v>
      </c>
      <c r="G354" s="11" t="s">
        <v>34</v>
      </c>
      <c r="H354" s="7" t="s">
        <v>87</v>
      </c>
      <c r="I354" s="11" t="s">
        <v>9</v>
      </c>
      <c r="J354" s="11" t="s">
        <v>105</v>
      </c>
      <c r="K354" s="12">
        <v>30185.123490000002</v>
      </c>
      <c r="L354" s="12">
        <v>0</v>
      </c>
      <c r="M354" s="12">
        <f t="shared" si="15"/>
        <v>30185.123490000002</v>
      </c>
      <c r="N354" s="29">
        <v>30</v>
      </c>
    </row>
    <row r="355" spans="1:14" ht="16.5" thickTop="1" thickBot="1" x14ac:dyDescent="0.3">
      <c r="A355" s="27" t="s">
        <v>126</v>
      </c>
      <c r="B355" s="25" t="s">
        <v>22</v>
      </c>
      <c r="C355" s="8" t="s">
        <v>60</v>
      </c>
      <c r="D355" s="7" t="s">
        <v>79</v>
      </c>
      <c r="E355" s="9" t="s">
        <v>66</v>
      </c>
      <c r="F355" s="10">
        <v>1</v>
      </c>
      <c r="G355" s="11" t="s">
        <v>35</v>
      </c>
      <c r="H355" s="7" t="s">
        <v>83</v>
      </c>
      <c r="I355" s="11" t="s">
        <v>9</v>
      </c>
      <c r="J355" s="11" t="s">
        <v>105</v>
      </c>
      <c r="K355" s="12">
        <v>21581.665982999999</v>
      </c>
      <c r="L355" s="12">
        <v>0</v>
      </c>
      <c r="M355" s="12">
        <f t="shared" si="15"/>
        <v>21581.665982999999</v>
      </c>
      <c r="N355" s="29">
        <v>30</v>
      </c>
    </row>
    <row r="356" spans="1:14" ht="16.5" thickTop="1" thickBot="1" x14ac:dyDescent="0.3">
      <c r="A356" s="27" t="s">
        <v>126</v>
      </c>
      <c r="B356" s="25" t="s">
        <v>22</v>
      </c>
      <c r="C356" s="8" t="s">
        <v>60</v>
      </c>
      <c r="D356" s="7" t="s">
        <v>79</v>
      </c>
      <c r="E356" s="9" t="s">
        <v>66</v>
      </c>
      <c r="F356" s="10">
        <v>1</v>
      </c>
      <c r="G356" s="11" t="s">
        <v>36</v>
      </c>
      <c r="H356" s="7" t="s">
        <v>89</v>
      </c>
      <c r="I356" s="11" t="s">
        <v>20</v>
      </c>
      <c r="J356" s="11" t="s">
        <v>105</v>
      </c>
      <c r="K356" s="12">
        <v>36969.404166</v>
      </c>
      <c r="L356" s="12">
        <v>0</v>
      </c>
      <c r="M356" s="12">
        <f t="shared" si="15"/>
        <v>36969.404166</v>
      </c>
      <c r="N356" s="29">
        <v>30</v>
      </c>
    </row>
    <row r="357" spans="1:14" ht="16.5" thickTop="1" thickBot="1" x14ac:dyDescent="0.3">
      <c r="A357" s="27" t="s">
        <v>126</v>
      </c>
      <c r="B357" s="25" t="s">
        <v>22</v>
      </c>
      <c r="C357" s="8" t="s">
        <v>60</v>
      </c>
      <c r="D357" s="7" t="s">
        <v>79</v>
      </c>
      <c r="E357" s="9" t="s">
        <v>66</v>
      </c>
      <c r="F357" s="10">
        <v>1</v>
      </c>
      <c r="G357" s="11" t="s">
        <v>36</v>
      </c>
      <c r="H357" s="7" t="s">
        <v>89</v>
      </c>
      <c r="I357" s="11" t="s">
        <v>9</v>
      </c>
      <c r="J357" s="11" t="s">
        <v>105</v>
      </c>
      <c r="K357" s="12">
        <v>30185.123490000002</v>
      </c>
      <c r="L357" s="12">
        <v>0</v>
      </c>
      <c r="M357" s="12">
        <f t="shared" si="15"/>
        <v>30185.123490000002</v>
      </c>
      <c r="N357" s="29">
        <v>30</v>
      </c>
    </row>
    <row r="358" spans="1:14" ht="16.5" thickTop="1" thickBot="1" x14ac:dyDescent="0.3">
      <c r="A358" s="27" t="s">
        <v>126</v>
      </c>
      <c r="B358" s="25" t="s">
        <v>22</v>
      </c>
      <c r="C358" s="8" t="s">
        <v>60</v>
      </c>
      <c r="D358" s="7" t="s">
        <v>79</v>
      </c>
      <c r="E358" s="9" t="s">
        <v>66</v>
      </c>
      <c r="F358" s="10">
        <v>1</v>
      </c>
      <c r="G358" s="11" t="s">
        <v>37</v>
      </c>
      <c r="H358" s="7" t="s">
        <v>85</v>
      </c>
      <c r="I358" s="11" t="s">
        <v>9</v>
      </c>
      <c r="J358" s="11" t="s">
        <v>105</v>
      </c>
      <c r="K358" s="12">
        <v>12949.001676</v>
      </c>
      <c r="L358" s="12">
        <v>0</v>
      </c>
      <c r="M358" s="12">
        <f t="shared" si="15"/>
        <v>12949.001676</v>
      </c>
      <c r="N358" s="29">
        <v>30</v>
      </c>
    </row>
    <row r="359" spans="1:14" ht="16.5" thickTop="1" thickBot="1" x14ac:dyDescent="0.3">
      <c r="A359" s="27" t="s">
        <v>126</v>
      </c>
      <c r="B359" s="25" t="s">
        <v>22</v>
      </c>
      <c r="C359" s="8" t="s">
        <v>60</v>
      </c>
      <c r="D359" s="7" t="s">
        <v>79</v>
      </c>
      <c r="E359" s="9" t="s">
        <v>66</v>
      </c>
      <c r="F359" s="10">
        <v>1</v>
      </c>
      <c r="G359" s="11" t="s">
        <v>93</v>
      </c>
      <c r="H359" s="7" t="s">
        <v>85</v>
      </c>
      <c r="I359" s="11" t="s">
        <v>9</v>
      </c>
      <c r="J359" s="11" t="s">
        <v>105</v>
      </c>
      <c r="K359" s="12">
        <v>17265.328613999998</v>
      </c>
      <c r="L359" s="12">
        <v>0</v>
      </c>
      <c r="M359" s="12">
        <f t="shared" si="15"/>
        <v>17265.328613999998</v>
      </c>
      <c r="N359" s="29">
        <v>30</v>
      </c>
    </row>
    <row r="360" spans="1:14" ht="16.5" thickTop="1" thickBot="1" x14ac:dyDescent="0.3">
      <c r="A360" s="27" t="s">
        <v>126</v>
      </c>
      <c r="B360" s="25" t="s">
        <v>22</v>
      </c>
      <c r="C360" s="8" t="s">
        <v>60</v>
      </c>
      <c r="D360" s="7" t="s">
        <v>79</v>
      </c>
      <c r="E360" s="9" t="s">
        <v>66</v>
      </c>
      <c r="F360" s="10">
        <v>1</v>
      </c>
      <c r="G360" s="11" t="s">
        <v>38</v>
      </c>
      <c r="H360" s="7" t="s">
        <v>85</v>
      </c>
      <c r="I360" s="11" t="s">
        <v>9</v>
      </c>
      <c r="J360" s="11" t="s">
        <v>105</v>
      </c>
      <c r="K360" s="12">
        <v>8632.6643069999991</v>
      </c>
      <c r="L360" s="12">
        <v>0</v>
      </c>
      <c r="M360" s="12">
        <f t="shared" si="15"/>
        <v>8632.6643069999991</v>
      </c>
      <c r="N360" s="29">
        <v>30</v>
      </c>
    </row>
    <row r="361" spans="1:14" ht="16.5" thickTop="1" thickBot="1" x14ac:dyDescent="0.3">
      <c r="A361" s="27" t="s">
        <v>111</v>
      </c>
      <c r="B361" s="25" t="s">
        <v>11</v>
      </c>
      <c r="C361" s="8" t="s">
        <v>60</v>
      </c>
      <c r="D361" s="7" t="s">
        <v>79</v>
      </c>
      <c r="E361" s="9" t="s">
        <v>66</v>
      </c>
      <c r="F361" s="10">
        <v>20</v>
      </c>
      <c r="G361" s="11" t="s">
        <v>119</v>
      </c>
      <c r="H361" s="7" t="s">
        <v>85</v>
      </c>
      <c r="I361" s="11" t="s">
        <v>7</v>
      </c>
      <c r="J361" s="11" t="s">
        <v>103</v>
      </c>
      <c r="K361" s="12">
        <v>17200</v>
      </c>
      <c r="L361" s="12">
        <f>K361*16%</f>
        <v>2752</v>
      </c>
      <c r="M361" s="12">
        <f t="shared" si="15"/>
        <v>14448</v>
      </c>
      <c r="N361" s="29">
        <v>20</v>
      </c>
    </row>
    <row r="362" spans="1:14" ht="16.5" thickTop="1" thickBot="1" x14ac:dyDescent="0.3">
      <c r="A362" s="27" t="s">
        <v>111</v>
      </c>
      <c r="B362" s="25" t="s">
        <v>13</v>
      </c>
      <c r="C362" s="8" t="s">
        <v>60</v>
      </c>
      <c r="D362" s="7" t="s">
        <v>79</v>
      </c>
      <c r="E362" s="9" t="s">
        <v>66</v>
      </c>
      <c r="F362" s="10">
        <v>20</v>
      </c>
      <c r="G362" s="11" t="s">
        <v>119</v>
      </c>
      <c r="H362" s="7" t="s">
        <v>85</v>
      </c>
      <c r="I362" s="11" t="s">
        <v>9</v>
      </c>
      <c r="J362" s="11" t="s">
        <v>103</v>
      </c>
      <c r="K362" s="12">
        <v>7800</v>
      </c>
      <c r="L362" s="12">
        <f>K362*16%</f>
        <v>1248</v>
      </c>
      <c r="M362" s="12">
        <f t="shared" si="15"/>
        <v>6552</v>
      </c>
      <c r="N362" s="29">
        <v>20</v>
      </c>
    </row>
    <row r="363" spans="1:14" ht="16.5" thickTop="1" thickBot="1" x14ac:dyDescent="0.3">
      <c r="A363" s="27" t="s">
        <v>111</v>
      </c>
      <c r="B363" s="25" t="s">
        <v>13</v>
      </c>
      <c r="C363" s="8" t="s">
        <v>60</v>
      </c>
      <c r="D363" s="7" t="s">
        <v>79</v>
      </c>
      <c r="E363" s="9" t="s">
        <v>66</v>
      </c>
      <c r="F363" s="10">
        <v>20</v>
      </c>
      <c r="G363" s="11" t="s">
        <v>119</v>
      </c>
      <c r="H363" s="7" t="s">
        <v>85</v>
      </c>
      <c r="I363" s="11" t="s">
        <v>15</v>
      </c>
      <c r="J363" s="11" t="s">
        <v>103</v>
      </c>
      <c r="K363" s="12">
        <v>4590</v>
      </c>
      <c r="L363" s="12">
        <f>K363*16%</f>
        <v>734.4</v>
      </c>
      <c r="M363" s="12">
        <f t="shared" si="15"/>
        <v>3855.6</v>
      </c>
      <c r="N363" s="29">
        <v>20</v>
      </c>
    </row>
    <row r="364" spans="1:14" ht="16.5" thickTop="1" thickBot="1" x14ac:dyDescent="0.3">
      <c r="A364" s="27" t="s">
        <v>111</v>
      </c>
      <c r="B364" s="25" t="s">
        <v>10</v>
      </c>
      <c r="C364" s="8" t="s">
        <v>60</v>
      </c>
      <c r="D364" s="7" t="s">
        <v>79</v>
      </c>
      <c r="E364" s="9" t="s">
        <v>66</v>
      </c>
      <c r="F364" s="10">
        <v>20</v>
      </c>
      <c r="G364" s="11" t="s">
        <v>119</v>
      </c>
      <c r="H364" s="7" t="s">
        <v>85</v>
      </c>
      <c r="I364" s="11" t="s">
        <v>96</v>
      </c>
      <c r="J364" s="11" t="s">
        <v>103</v>
      </c>
      <c r="K364" s="12">
        <v>1785.7</v>
      </c>
      <c r="L364" s="12">
        <v>0</v>
      </c>
      <c r="M364" s="12">
        <f t="shared" si="15"/>
        <v>1785.7</v>
      </c>
      <c r="N364" s="29">
        <v>20</v>
      </c>
    </row>
    <row r="365" spans="1:14" ht="16.5" thickTop="1" thickBot="1" x14ac:dyDescent="0.3">
      <c r="A365" s="27" t="s">
        <v>111</v>
      </c>
      <c r="B365" s="25" t="s">
        <v>13</v>
      </c>
      <c r="C365" s="8" t="s">
        <v>60</v>
      </c>
      <c r="D365" s="7" t="s">
        <v>79</v>
      </c>
      <c r="E365" s="9" t="s">
        <v>66</v>
      </c>
      <c r="F365" s="10">
        <v>20</v>
      </c>
      <c r="G365" s="11" t="s">
        <v>94</v>
      </c>
      <c r="H365" s="7" t="s">
        <v>86</v>
      </c>
      <c r="I365" s="11" t="s">
        <v>15</v>
      </c>
      <c r="J365" s="11" t="s">
        <v>103</v>
      </c>
      <c r="K365" s="12">
        <v>6580</v>
      </c>
      <c r="L365" s="12">
        <v>723.8</v>
      </c>
      <c r="M365" s="49">
        <f>K365-L365</f>
        <v>5856.2</v>
      </c>
      <c r="N365" s="29">
        <v>20</v>
      </c>
    </row>
    <row r="366" spans="1:14" ht="16.5" thickTop="1" thickBot="1" x14ac:dyDescent="0.3">
      <c r="A366" s="27" t="s">
        <v>111</v>
      </c>
      <c r="B366" s="25" t="s">
        <v>11</v>
      </c>
      <c r="C366" s="8" t="s">
        <v>60</v>
      </c>
      <c r="D366" s="7" t="s">
        <v>79</v>
      </c>
      <c r="E366" s="9" t="s">
        <v>66</v>
      </c>
      <c r="F366" s="10">
        <v>20</v>
      </c>
      <c r="G366" s="11" t="s">
        <v>94</v>
      </c>
      <c r="H366" s="7" t="s">
        <v>86</v>
      </c>
      <c r="I366" s="11" t="s">
        <v>7</v>
      </c>
      <c r="J366" s="11" t="s">
        <v>103</v>
      </c>
      <c r="K366" s="12">
        <v>24767</v>
      </c>
      <c r="L366" s="12">
        <f>K366*16%</f>
        <v>3962.7200000000003</v>
      </c>
      <c r="M366" s="12">
        <f>K366-L366</f>
        <v>20804.28</v>
      </c>
      <c r="N366" s="29">
        <v>20</v>
      </c>
    </row>
    <row r="367" spans="1:14" ht="16.5" thickTop="1" thickBot="1" x14ac:dyDescent="0.3">
      <c r="A367" s="27" t="s">
        <v>111</v>
      </c>
      <c r="B367" s="25" t="s">
        <v>13</v>
      </c>
      <c r="C367" s="8" t="s">
        <v>60</v>
      </c>
      <c r="D367" s="7" t="s">
        <v>79</v>
      </c>
      <c r="E367" s="9" t="s">
        <v>66</v>
      </c>
      <c r="F367" s="10">
        <v>20</v>
      </c>
      <c r="G367" s="11" t="s">
        <v>94</v>
      </c>
      <c r="H367" s="7" t="s">
        <v>86</v>
      </c>
      <c r="I367" s="11" t="s">
        <v>9</v>
      </c>
      <c r="J367" s="11" t="s">
        <v>103</v>
      </c>
      <c r="K367" s="12">
        <v>15476</v>
      </c>
      <c r="L367" s="12">
        <f>K367*16%</f>
        <v>2476.16</v>
      </c>
      <c r="M367" s="12">
        <f t="shared" ref="M367:M400" si="16">K367-L367</f>
        <v>12999.84</v>
      </c>
      <c r="N367" s="29">
        <v>20</v>
      </c>
    </row>
    <row r="368" spans="1:14" ht="15.75" customHeight="1" thickTop="1" thickBot="1" x14ac:dyDescent="0.3">
      <c r="A368" s="27" t="s">
        <v>111</v>
      </c>
      <c r="B368" s="25" t="s">
        <v>22</v>
      </c>
      <c r="C368" s="8" t="s">
        <v>61</v>
      </c>
      <c r="D368" s="7" t="s">
        <v>79</v>
      </c>
      <c r="E368" s="9" t="s">
        <v>66</v>
      </c>
      <c r="F368" s="10">
        <v>20</v>
      </c>
      <c r="G368" s="13" t="s">
        <v>39</v>
      </c>
      <c r="H368" s="7" t="s">
        <v>83</v>
      </c>
      <c r="I368" s="11" t="s">
        <v>7</v>
      </c>
      <c r="J368" s="11" t="s">
        <v>80</v>
      </c>
      <c r="K368" s="12">
        <v>18709.103873069998</v>
      </c>
      <c r="L368" s="12">
        <v>0</v>
      </c>
      <c r="M368" s="12">
        <f t="shared" si="16"/>
        <v>18709.103873069998</v>
      </c>
      <c r="N368" s="29">
        <v>17</v>
      </c>
    </row>
    <row r="369" spans="1:15" ht="15.75" customHeight="1" thickTop="1" thickBot="1" x14ac:dyDescent="0.3">
      <c r="A369" s="27" t="s">
        <v>111</v>
      </c>
      <c r="B369" s="25" t="s">
        <v>11</v>
      </c>
      <c r="C369" s="8" t="s">
        <v>61</v>
      </c>
      <c r="D369" s="7" t="s">
        <v>79</v>
      </c>
      <c r="E369" s="9" t="s">
        <v>66</v>
      </c>
      <c r="F369" s="10">
        <v>20</v>
      </c>
      <c r="G369" s="13" t="s">
        <v>40</v>
      </c>
      <c r="H369" s="7" t="s">
        <v>83</v>
      </c>
      <c r="I369" s="14" t="s">
        <v>30</v>
      </c>
      <c r="J369" s="14" t="s">
        <v>107</v>
      </c>
      <c r="K369" s="12">
        <v>200</v>
      </c>
      <c r="L369" s="12">
        <f>K369*5%</f>
        <v>10</v>
      </c>
      <c r="M369" s="12">
        <f t="shared" si="16"/>
        <v>190</v>
      </c>
      <c r="N369" s="29">
        <v>10</v>
      </c>
    </row>
    <row r="370" spans="1:15" ht="16.5" thickTop="1" thickBot="1" x14ac:dyDescent="0.3">
      <c r="A370" s="27" t="s">
        <v>111</v>
      </c>
      <c r="B370" s="25" t="s">
        <v>11</v>
      </c>
      <c r="C370" s="8" t="s">
        <v>61</v>
      </c>
      <c r="D370" s="7" t="s">
        <v>79</v>
      </c>
      <c r="E370" s="9" t="s">
        <v>66</v>
      </c>
      <c r="F370" s="10">
        <v>20</v>
      </c>
      <c r="G370" s="13" t="s">
        <v>41</v>
      </c>
      <c r="H370" s="7" t="s">
        <v>83</v>
      </c>
      <c r="I370" s="14" t="s">
        <v>30</v>
      </c>
      <c r="J370" s="11" t="s">
        <v>80</v>
      </c>
      <c r="K370" s="12">
        <v>600</v>
      </c>
      <c r="L370" s="12">
        <f>K370*5%</f>
        <v>30</v>
      </c>
      <c r="M370" s="12">
        <f t="shared" si="16"/>
        <v>570</v>
      </c>
      <c r="N370" s="29">
        <v>25</v>
      </c>
    </row>
    <row r="371" spans="1:15" ht="16.5" thickTop="1" thickBot="1" x14ac:dyDescent="0.3">
      <c r="A371" s="27" t="s">
        <v>111</v>
      </c>
      <c r="B371" s="25" t="s">
        <v>22</v>
      </c>
      <c r="C371" s="8" t="s">
        <v>61</v>
      </c>
      <c r="D371" s="7" t="s">
        <v>79</v>
      </c>
      <c r="E371" s="9" t="s">
        <v>66</v>
      </c>
      <c r="F371" s="10">
        <v>20</v>
      </c>
      <c r="G371" s="13" t="s">
        <v>92</v>
      </c>
      <c r="H371" s="7" t="s">
        <v>83</v>
      </c>
      <c r="I371" s="11" t="s">
        <v>9</v>
      </c>
      <c r="J371" s="11" t="s">
        <v>80</v>
      </c>
      <c r="K371" s="12">
        <v>9854.9500000000007</v>
      </c>
      <c r="L371" s="12">
        <v>0</v>
      </c>
      <c r="M371" s="12">
        <f t="shared" si="16"/>
        <v>9854.9500000000007</v>
      </c>
      <c r="N371" s="29">
        <v>15</v>
      </c>
    </row>
    <row r="372" spans="1:15" ht="16.5" thickTop="1" thickBot="1" x14ac:dyDescent="0.3">
      <c r="A372" s="27" t="s">
        <v>111</v>
      </c>
      <c r="B372" s="25" t="s">
        <v>22</v>
      </c>
      <c r="C372" s="8" t="s">
        <v>61</v>
      </c>
      <c r="D372" s="7" t="s">
        <v>79</v>
      </c>
      <c r="E372" s="9" t="s">
        <v>66</v>
      </c>
      <c r="F372" s="10">
        <v>20</v>
      </c>
      <c r="G372" s="13" t="s">
        <v>92</v>
      </c>
      <c r="H372" s="7" t="s">
        <v>83</v>
      </c>
      <c r="I372" s="11" t="s">
        <v>7</v>
      </c>
      <c r="J372" s="11" t="s">
        <v>80</v>
      </c>
      <c r="K372" s="12">
        <v>5625</v>
      </c>
      <c r="L372" s="12">
        <v>0</v>
      </c>
      <c r="M372" s="12">
        <f t="shared" si="16"/>
        <v>5625</v>
      </c>
      <c r="N372" s="29">
        <v>15</v>
      </c>
    </row>
    <row r="373" spans="1:15" ht="15.75" customHeight="1" thickTop="1" thickBot="1" x14ac:dyDescent="0.3">
      <c r="A373" s="27" t="s">
        <v>111</v>
      </c>
      <c r="B373" s="25" t="s">
        <v>22</v>
      </c>
      <c r="C373" s="8" t="s">
        <v>61</v>
      </c>
      <c r="D373" s="7" t="s">
        <v>79</v>
      </c>
      <c r="E373" s="9" t="s">
        <v>66</v>
      </c>
      <c r="F373" s="10">
        <v>20</v>
      </c>
      <c r="G373" s="13" t="s">
        <v>42</v>
      </c>
      <c r="H373" s="7" t="s">
        <v>83</v>
      </c>
      <c r="I373" s="11" t="s">
        <v>9</v>
      </c>
      <c r="J373" s="11" t="s">
        <v>108</v>
      </c>
      <c r="K373" s="12">
        <v>820.63201302000004</v>
      </c>
      <c r="L373" s="12">
        <v>0</v>
      </c>
      <c r="M373" s="12">
        <f t="shared" si="16"/>
        <v>820.63201302000004</v>
      </c>
      <c r="N373" s="29">
        <v>9</v>
      </c>
    </row>
    <row r="374" spans="1:15" ht="15.75" customHeight="1" thickTop="1" thickBot="1" x14ac:dyDescent="0.3">
      <c r="A374" s="27" t="s">
        <v>111</v>
      </c>
      <c r="B374" s="25" t="s">
        <v>11</v>
      </c>
      <c r="C374" s="8" t="s">
        <v>61</v>
      </c>
      <c r="D374" s="7" t="s">
        <v>79</v>
      </c>
      <c r="E374" s="9" t="s">
        <v>66</v>
      </c>
      <c r="F374" s="10">
        <v>20</v>
      </c>
      <c r="G374" s="13" t="s">
        <v>43</v>
      </c>
      <c r="H374" s="7" t="s">
        <v>83</v>
      </c>
      <c r="I374" s="14" t="s">
        <v>30</v>
      </c>
      <c r="J374" s="14" t="s">
        <v>106</v>
      </c>
      <c r="K374" s="12">
        <v>200</v>
      </c>
      <c r="L374" s="12">
        <f>K374*5%</f>
        <v>10</v>
      </c>
      <c r="M374" s="12">
        <f t="shared" si="16"/>
        <v>190</v>
      </c>
      <c r="N374" s="29">
        <v>15</v>
      </c>
    </row>
    <row r="375" spans="1:15" ht="16.5" thickTop="1" thickBot="1" x14ac:dyDescent="0.3">
      <c r="A375" s="27" t="s">
        <v>111</v>
      </c>
      <c r="B375" s="25" t="s">
        <v>11</v>
      </c>
      <c r="C375" s="8" t="s">
        <v>61</v>
      </c>
      <c r="D375" s="7" t="s">
        <v>79</v>
      </c>
      <c r="E375" s="9" t="s">
        <v>66</v>
      </c>
      <c r="F375" s="10">
        <v>20</v>
      </c>
      <c r="G375" s="13" t="s">
        <v>44</v>
      </c>
      <c r="H375" s="15" t="s">
        <v>85</v>
      </c>
      <c r="I375" s="14" t="s">
        <v>30</v>
      </c>
      <c r="J375" s="11" t="s">
        <v>80</v>
      </c>
      <c r="K375" s="12">
        <v>200</v>
      </c>
      <c r="L375" s="12">
        <f>K375*5%</f>
        <v>10</v>
      </c>
      <c r="M375" s="12">
        <f t="shared" si="16"/>
        <v>190</v>
      </c>
      <c r="N375" s="29">
        <v>16</v>
      </c>
    </row>
    <row r="376" spans="1:15" ht="16.5" thickTop="1" thickBot="1" x14ac:dyDescent="0.3">
      <c r="A376" s="27" t="s">
        <v>126</v>
      </c>
      <c r="B376" s="25" t="s">
        <v>5</v>
      </c>
      <c r="C376" s="8" t="s">
        <v>61</v>
      </c>
      <c r="D376" s="7" t="s">
        <v>79</v>
      </c>
      <c r="E376" s="9" t="s">
        <v>66</v>
      </c>
      <c r="F376" s="10">
        <v>1</v>
      </c>
      <c r="G376" s="11" t="s">
        <v>45</v>
      </c>
      <c r="H376" s="7" t="s">
        <v>91</v>
      </c>
      <c r="I376" s="11" t="s">
        <v>20</v>
      </c>
      <c r="J376" s="11" t="s">
        <v>105</v>
      </c>
      <c r="K376" s="16">
        <v>36757.832193000002</v>
      </c>
      <c r="L376" s="12">
        <f>K376*5%</f>
        <v>1837.8916096500002</v>
      </c>
      <c r="M376" s="12">
        <f t="shared" si="16"/>
        <v>34919.940583349999</v>
      </c>
      <c r="N376" s="29">
        <v>30</v>
      </c>
    </row>
    <row r="377" spans="1:15" ht="16.5" thickTop="1" thickBot="1" x14ac:dyDescent="0.3">
      <c r="A377" s="27" t="s">
        <v>126</v>
      </c>
      <c r="B377" s="25" t="s">
        <v>5</v>
      </c>
      <c r="C377" s="8" t="s">
        <v>61</v>
      </c>
      <c r="D377" s="7" t="s">
        <v>79</v>
      </c>
      <c r="E377" s="9" t="s">
        <v>66</v>
      </c>
      <c r="F377" s="10">
        <v>1</v>
      </c>
      <c r="G377" s="11" t="s">
        <v>45</v>
      </c>
      <c r="H377" s="7" t="s">
        <v>91</v>
      </c>
      <c r="I377" s="11" t="s">
        <v>9</v>
      </c>
      <c r="J377" s="11" t="s">
        <v>105</v>
      </c>
      <c r="K377" s="16">
        <v>25897.992921000001</v>
      </c>
      <c r="L377" s="12">
        <f>K377*5%</f>
        <v>1294.8996460500002</v>
      </c>
      <c r="M377" s="12">
        <f t="shared" si="16"/>
        <v>24603.093274949999</v>
      </c>
      <c r="N377" s="29">
        <v>30</v>
      </c>
    </row>
    <row r="378" spans="1:15" ht="16.5" thickTop="1" thickBot="1" x14ac:dyDescent="0.3">
      <c r="A378" s="27" t="s">
        <v>126</v>
      </c>
      <c r="B378" s="25" t="s">
        <v>22</v>
      </c>
      <c r="C378" s="8" t="s">
        <v>61</v>
      </c>
      <c r="D378" s="7" t="s">
        <v>79</v>
      </c>
      <c r="E378" s="9" t="s">
        <v>66</v>
      </c>
      <c r="F378" s="10">
        <v>1</v>
      </c>
      <c r="G378" s="11" t="s">
        <v>46</v>
      </c>
      <c r="H378" s="7" t="s">
        <v>85</v>
      </c>
      <c r="I378" s="11" t="s">
        <v>20</v>
      </c>
      <c r="J378" s="11" t="s">
        <v>105</v>
      </c>
      <c r="K378" s="16">
        <v>52934.258285999997</v>
      </c>
      <c r="L378" s="12">
        <v>0</v>
      </c>
      <c r="M378" s="12">
        <f t="shared" si="16"/>
        <v>52934.258285999997</v>
      </c>
      <c r="N378" s="29">
        <v>30</v>
      </c>
    </row>
    <row r="379" spans="1:15" ht="16.5" thickTop="1" thickBot="1" x14ac:dyDescent="0.3">
      <c r="A379" s="27" t="s">
        <v>126</v>
      </c>
      <c r="B379" s="25" t="s">
        <v>22</v>
      </c>
      <c r="C379" s="8" t="s">
        <v>61</v>
      </c>
      <c r="D379" s="7" t="s">
        <v>79</v>
      </c>
      <c r="E379" s="9" t="s">
        <v>66</v>
      </c>
      <c r="F379" s="10">
        <v>1</v>
      </c>
      <c r="G379" s="11" t="s">
        <v>46</v>
      </c>
      <c r="H379" s="7" t="s">
        <v>85</v>
      </c>
      <c r="I379" s="11" t="s">
        <v>98</v>
      </c>
      <c r="J379" s="11" t="s">
        <v>105</v>
      </c>
      <c r="K379" s="12">
        <v>3129.3</v>
      </c>
      <c r="L379" s="12">
        <v>0</v>
      </c>
      <c r="M379" s="12">
        <f t="shared" si="16"/>
        <v>3129.3</v>
      </c>
      <c r="N379" s="29">
        <v>30</v>
      </c>
    </row>
    <row r="380" spans="1:15" ht="16.5" thickTop="1" thickBot="1" x14ac:dyDescent="0.3">
      <c r="A380" s="27" t="s">
        <v>126</v>
      </c>
      <c r="B380" s="25" t="s">
        <v>22</v>
      </c>
      <c r="C380" s="8" t="s">
        <v>61</v>
      </c>
      <c r="D380" s="7" t="s">
        <v>79</v>
      </c>
      <c r="E380" s="9" t="s">
        <v>66</v>
      </c>
      <c r="F380" s="10">
        <v>1</v>
      </c>
      <c r="G380" s="11" t="s">
        <v>46</v>
      </c>
      <c r="H380" s="7" t="s">
        <v>85</v>
      </c>
      <c r="I380" s="11" t="s">
        <v>9</v>
      </c>
      <c r="J380" s="11" t="s">
        <v>105</v>
      </c>
      <c r="K380" s="12">
        <v>38846.994597000004</v>
      </c>
      <c r="L380" s="12">
        <v>0</v>
      </c>
      <c r="M380" s="12">
        <f t="shared" si="16"/>
        <v>38846.994597000004</v>
      </c>
      <c r="N380" s="29">
        <v>30</v>
      </c>
    </row>
    <row r="381" spans="1:15" ht="16.5" thickTop="1" thickBot="1" x14ac:dyDescent="0.3">
      <c r="A381" s="27" t="s">
        <v>126</v>
      </c>
      <c r="B381" s="25" t="s">
        <v>22</v>
      </c>
      <c r="C381" s="8" t="s">
        <v>61</v>
      </c>
      <c r="D381" s="7" t="s">
        <v>79</v>
      </c>
      <c r="E381" s="9" t="s">
        <v>66</v>
      </c>
      <c r="F381" s="10">
        <v>1</v>
      </c>
      <c r="G381" s="11" t="s">
        <v>46</v>
      </c>
      <c r="H381" s="7" t="s">
        <v>85</v>
      </c>
      <c r="I381" s="11" t="s">
        <v>97</v>
      </c>
      <c r="J381" s="11" t="s">
        <v>105</v>
      </c>
      <c r="K381" s="12">
        <v>6400</v>
      </c>
      <c r="L381" s="12">
        <v>0</v>
      </c>
      <c r="M381" s="12">
        <f t="shared" si="16"/>
        <v>6400</v>
      </c>
      <c r="N381" s="29">
        <v>30</v>
      </c>
    </row>
    <row r="382" spans="1:15" ht="16.5" thickTop="1" thickBot="1" x14ac:dyDescent="0.3">
      <c r="A382" s="27" t="s">
        <v>126</v>
      </c>
      <c r="B382" s="25" t="s">
        <v>22</v>
      </c>
      <c r="C382" s="8" t="s">
        <v>61</v>
      </c>
      <c r="D382" s="7" t="s">
        <v>79</v>
      </c>
      <c r="E382" s="9" t="s">
        <v>66</v>
      </c>
      <c r="F382" s="10">
        <v>1</v>
      </c>
      <c r="G382" s="11" t="s">
        <v>47</v>
      </c>
      <c r="H382" s="7" t="s">
        <v>85</v>
      </c>
      <c r="I382" s="11" t="s">
        <v>9</v>
      </c>
      <c r="J382" s="11" t="s">
        <v>105</v>
      </c>
      <c r="K382" s="12">
        <v>30185.123490000002</v>
      </c>
      <c r="L382" s="12">
        <v>0</v>
      </c>
      <c r="M382" s="12">
        <f t="shared" si="16"/>
        <v>30185.123490000002</v>
      </c>
      <c r="N382" s="29">
        <v>30</v>
      </c>
    </row>
    <row r="383" spans="1:15" ht="16.5" thickTop="1" thickBot="1" x14ac:dyDescent="0.3">
      <c r="A383" s="27" t="s">
        <v>126</v>
      </c>
      <c r="B383" s="25" t="s">
        <v>22</v>
      </c>
      <c r="C383" s="8" t="s">
        <v>61</v>
      </c>
      <c r="D383" s="7" t="s">
        <v>79</v>
      </c>
      <c r="E383" s="9" t="s">
        <v>66</v>
      </c>
      <c r="F383" s="10">
        <v>1</v>
      </c>
      <c r="G383" s="11" t="s">
        <v>48</v>
      </c>
      <c r="H383" s="7" t="s">
        <v>85</v>
      </c>
      <c r="I383" s="11" t="s">
        <v>9</v>
      </c>
      <c r="J383" s="11" t="s">
        <v>105</v>
      </c>
      <c r="K383" s="12">
        <v>21610.872782999999</v>
      </c>
      <c r="L383" s="12">
        <v>0</v>
      </c>
      <c r="M383" s="12">
        <f t="shared" si="16"/>
        <v>21610.872782999999</v>
      </c>
      <c r="N383" s="29">
        <v>30</v>
      </c>
    </row>
    <row r="384" spans="1:15" ht="15.75" customHeight="1" thickTop="1" thickBot="1" x14ac:dyDescent="0.3">
      <c r="A384" s="39" t="s">
        <v>111</v>
      </c>
      <c r="B384" s="25" t="s">
        <v>22</v>
      </c>
      <c r="C384" s="8" t="s">
        <v>62</v>
      </c>
      <c r="D384" s="7" t="s">
        <v>79</v>
      </c>
      <c r="E384" s="9" t="s">
        <v>66</v>
      </c>
      <c r="F384" s="10">
        <v>10</v>
      </c>
      <c r="G384" s="13" t="s">
        <v>49</v>
      </c>
      <c r="H384" s="7" t="s">
        <v>85</v>
      </c>
      <c r="I384" s="11" t="s">
        <v>9</v>
      </c>
      <c r="J384" s="11" t="s">
        <v>105</v>
      </c>
      <c r="K384" s="12">
        <v>17400</v>
      </c>
      <c r="L384" s="12">
        <v>0</v>
      </c>
      <c r="M384" s="12">
        <f>K384-L384</f>
        <v>17400</v>
      </c>
      <c r="N384" s="29">
        <v>10</v>
      </c>
      <c r="O384" s="48" t="s">
        <v>127</v>
      </c>
    </row>
    <row r="385" spans="1:17" ht="16.5" thickTop="1" thickBot="1" x14ac:dyDescent="0.3">
      <c r="A385" s="39" t="s">
        <v>111</v>
      </c>
      <c r="B385" s="25" t="s">
        <v>22</v>
      </c>
      <c r="C385" s="8" t="s">
        <v>62</v>
      </c>
      <c r="D385" s="7" t="s">
        <v>79</v>
      </c>
      <c r="E385" s="9" t="s">
        <v>66</v>
      </c>
      <c r="F385" s="10">
        <v>10</v>
      </c>
      <c r="G385" s="13" t="s">
        <v>49</v>
      </c>
      <c r="H385" s="7" t="s">
        <v>85</v>
      </c>
      <c r="I385" s="11" t="s">
        <v>98</v>
      </c>
      <c r="J385" s="11" t="s">
        <v>105</v>
      </c>
      <c r="K385" s="12">
        <v>4829.5529999999999</v>
      </c>
      <c r="L385" s="12">
        <v>0</v>
      </c>
      <c r="M385" s="12">
        <f t="shared" si="16"/>
        <v>4829.5529999999999</v>
      </c>
      <c r="N385" s="29">
        <v>10</v>
      </c>
      <c r="O385" s="48" t="s">
        <v>127</v>
      </c>
    </row>
    <row r="386" spans="1:17" ht="15.75" customHeight="1" thickTop="1" thickBot="1" x14ac:dyDescent="0.3">
      <c r="A386" s="39" t="s">
        <v>111</v>
      </c>
      <c r="B386" s="25" t="s">
        <v>22</v>
      </c>
      <c r="C386" s="8" t="s">
        <v>62</v>
      </c>
      <c r="D386" s="7" t="s">
        <v>79</v>
      </c>
      <c r="E386" s="9" t="s">
        <v>66</v>
      </c>
      <c r="F386" s="10">
        <v>10</v>
      </c>
      <c r="G386" s="13" t="s">
        <v>50</v>
      </c>
      <c r="H386" s="7" t="s">
        <v>85</v>
      </c>
      <c r="I386" s="11" t="s">
        <v>9</v>
      </c>
      <c r="J386" s="11" t="s">
        <v>105</v>
      </c>
      <c r="K386" s="12">
        <v>17400</v>
      </c>
      <c r="L386" s="12">
        <v>0</v>
      </c>
      <c r="M386" s="12">
        <f>K386-L386</f>
        <v>17400</v>
      </c>
      <c r="N386" s="29">
        <v>10</v>
      </c>
      <c r="O386" s="48" t="s">
        <v>127</v>
      </c>
    </row>
    <row r="387" spans="1:17" ht="16.5" thickTop="1" thickBot="1" x14ac:dyDescent="0.3">
      <c r="A387" s="39" t="s">
        <v>111</v>
      </c>
      <c r="B387" s="25" t="s">
        <v>22</v>
      </c>
      <c r="C387" s="8" t="s">
        <v>62</v>
      </c>
      <c r="D387" s="7" t="s">
        <v>79</v>
      </c>
      <c r="E387" s="9" t="s">
        <v>66</v>
      </c>
      <c r="F387" s="10">
        <v>10</v>
      </c>
      <c r="G387" s="13" t="s">
        <v>50</v>
      </c>
      <c r="H387" s="7" t="s">
        <v>85</v>
      </c>
      <c r="I387" s="11" t="s">
        <v>98</v>
      </c>
      <c r="J387" s="11" t="s">
        <v>105</v>
      </c>
      <c r="K387" s="12">
        <v>4829.5529999999999</v>
      </c>
      <c r="L387" s="12">
        <v>0</v>
      </c>
      <c r="M387" s="12">
        <f t="shared" si="16"/>
        <v>4829.5529999999999</v>
      </c>
      <c r="N387" s="29">
        <v>10</v>
      </c>
      <c r="O387" s="48" t="s">
        <v>127</v>
      </c>
    </row>
    <row r="388" spans="1:17" ht="16.5" thickTop="1" thickBot="1" x14ac:dyDescent="0.3">
      <c r="A388" s="27" t="s">
        <v>111</v>
      </c>
      <c r="B388" s="25" t="s">
        <v>11</v>
      </c>
      <c r="C388" s="8" t="s">
        <v>62</v>
      </c>
      <c r="D388" s="7" t="s">
        <v>79</v>
      </c>
      <c r="E388" s="9" t="s">
        <v>66</v>
      </c>
      <c r="F388" s="10">
        <v>16</v>
      </c>
      <c r="G388" s="13" t="s">
        <v>51</v>
      </c>
      <c r="H388" s="7" t="s">
        <v>83</v>
      </c>
      <c r="I388" s="11" t="s">
        <v>7</v>
      </c>
      <c r="J388" s="11" t="s">
        <v>80</v>
      </c>
      <c r="K388" s="12">
        <v>19124.839514250001</v>
      </c>
      <c r="L388" s="12">
        <f>K388*16%</f>
        <v>3059.9743222800003</v>
      </c>
      <c r="M388" s="12">
        <f t="shared" si="16"/>
        <v>16064.865191970001</v>
      </c>
      <c r="N388" s="29">
        <v>30</v>
      </c>
      <c r="O388" s="48" t="s">
        <v>127</v>
      </c>
    </row>
    <row r="389" spans="1:17" ht="16.5" thickTop="1" thickBot="1" x14ac:dyDescent="0.3">
      <c r="A389" s="27" t="s">
        <v>111</v>
      </c>
      <c r="B389" s="25" t="s">
        <v>11</v>
      </c>
      <c r="C389" s="8" t="s">
        <v>62</v>
      </c>
      <c r="D389" s="7" t="s">
        <v>79</v>
      </c>
      <c r="E389" s="9" t="s">
        <v>66</v>
      </c>
      <c r="F389" s="10">
        <v>16</v>
      </c>
      <c r="G389" s="11" t="s">
        <v>52</v>
      </c>
      <c r="H389" s="7" t="s">
        <v>84</v>
      </c>
      <c r="I389" s="11" t="s">
        <v>7</v>
      </c>
      <c r="J389" s="11" t="s">
        <v>103</v>
      </c>
      <c r="K389" s="12">
        <v>70096.320000000007</v>
      </c>
      <c r="L389" s="12">
        <f>K389*16%</f>
        <v>11215.4112</v>
      </c>
      <c r="M389" s="12">
        <v>57706.080000000002</v>
      </c>
      <c r="N389" s="29">
        <v>15</v>
      </c>
      <c r="O389" s="48" t="s">
        <v>127</v>
      </c>
    </row>
    <row r="390" spans="1:17" ht="16.5" thickTop="1" thickBot="1" x14ac:dyDescent="0.3">
      <c r="A390" s="27" t="s">
        <v>111</v>
      </c>
      <c r="B390" s="25" t="s">
        <v>5</v>
      </c>
      <c r="C390" s="8" t="s">
        <v>62</v>
      </c>
      <c r="D390" s="7" t="s">
        <v>79</v>
      </c>
      <c r="E390" s="9" t="s">
        <v>66</v>
      </c>
      <c r="F390" s="10">
        <v>16</v>
      </c>
      <c r="G390" s="11" t="s">
        <v>53</v>
      </c>
      <c r="H390" s="7" t="s">
        <v>85</v>
      </c>
      <c r="I390" s="11" t="s">
        <v>7</v>
      </c>
      <c r="J390" s="11" t="s">
        <v>103</v>
      </c>
      <c r="K390" s="12">
        <v>17410.382099999999</v>
      </c>
      <c r="L390" s="12">
        <f>K390*5%</f>
        <v>870.51910499999997</v>
      </c>
      <c r="M390" s="12">
        <f t="shared" si="16"/>
        <v>16539.862995</v>
      </c>
      <c r="N390" s="29">
        <v>15</v>
      </c>
      <c r="O390" s="48" t="s">
        <v>127</v>
      </c>
    </row>
    <row r="391" spans="1:17" ht="16.5" thickTop="1" thickBot="1" x14ac:dyDescent="0.3">
      <c r="A391" s="27" t="s">
        <v>111</v>
      </c>
      <c r="B391" s="25" t="s">
        <v>5</v>
      </c>
      <c r="C391" s="8" t="s">
        <v>62</v>
      </c>
      <c r="D391" s="7" t="s">
        <v>79</v>
      </c>
      <c r="E391" s="9" t="s">
        <v>66</v>
      </c>
      <c r="F391" s="10">
        <v>16</v>
      </c>
      <c r="G391" s="11" t="s">
        <v>53</v>
      </c>
      <c r="H391" s="7" t="s">
        <v>85</v>
      </c>
      <c r="I391" s="11" t="s">
        <v>15</v>
      </c>
      <c r="J391" s="11" t="s">
        <v>103</v>
      </c>
      <c r="K391" s="12">
        <v>4509.3212999999996</v>
      </c>
      <c r="L391" s="12">
        <f>K391*5%</f>
        <v>225.46606499999999</v>
      </c>
      <c r="M391" s="12">
        <f t="shared" si="16"/>
        <v>4283.855235</v>
      </c>
      <c r="N391" s="29">
        <v>15</v>
      </c>
      <c r="O391" s="48" t="s">
        <v>127</v>
      </c>
    </row>
    <row r="392" spans="1:17" ht="16.5" thickTop="1" thickBot="1" x14ac:dyDescent="0.3">
      <c r="A392" s="27" t="s">
        <v>111</v>
      </c>
      <c r="B392" s="25" t="s">
        <v>5</v>
      </c>
      <c r="C392" s="8" t="s">
        <v>62</v>
      </c>
      <c r="D392" s="7" t="s">
        <v>79</v>
      </c>
      <c r="E392" s="9" t="s">
        <v>66</v>
      </c>
      <c r="F392" s="10">
        <v>16</v>
      </c>
      <c r="G392" s="11" t="s">
        <v>53</v>
      </c>
      <c r="H392" s="7" t="s">
        <v>85</v>
      </c>
      <c r="I392" s="11" t="s">
        <v>9</v>
      </c>
      <c r="J392" s="11" t="s">
        <v>103</v>
      </c>
      <c r="K392" s="12">
        <v>7272.4931999999999</v>
      </c>
      <c r="L392" s="12">
        <f>K392*5%</f>
        <v>363.62466000000001</v>
      </c>
      <c r="M392" s="12">
        <f t="shared" si="16"/>
        <v>6908.8685399999995</v>
      </c>
      <c r="N392" s="29">
        <v>15</v>
      </c>
      <c r="O392" s="48" t="s">
        <v>127</v>
      </c>
    </row>
    <row r="393" spans="1:17" ht="16.5" thickTop="1" thickBot="1" x14ac:dyDescent="0.3">
      <c r="A393" s="27" t="s">
        <v>126</v>
      </c>
      <c r="B393" s="25" t="s">
        <v>22</v>
      </c>
      <c r="C393" s="8" t="s">
        <v>62</v>
      </c>
      <c r="D393" s="7" t="s">
        <v>79</v>
      </c>
      <c r="E393" s="9" t="s">
        <v>66</v>
      </c>
      <c r="F393" s="10">
        <v>1</v>
      </c>
      <c r="G393" s="11" t="s">
        <v>54</v>
      </c>
      <c r="H393" s="7" t="s">
        <v>85</v>
      </c>
      <c r="I393" s="11" t="s">
        <v>20</v>
      </c>
      <c r="J393" s="11" t="s">
        <v>105</v>
      </c>
      <c r="K393" s="16">
        <v>36757.832193000002</v>
      </c>
      <c r="L393" s="12">
        <v>0</v>
      </c>
      <c r="M393" s="12">
        <f t="shared" si="16"/>
        <v>36757.832193000002</v>
      </c>
      <c r="N393" s="29">
        <v>30</v>
      </c>
    </row>
    <row r="394" spans="1:17" ht="16.5" thickTop="1" thickBot="1" x14ac:dyDescent="0.3">
      <c r="A394" s="27" t="s">
        <v>126</v>
      </c>
      <c r="B394" s="25" t="s">
        <v>22</v>
      </c>
      <c r="C394" s="8" t="s">
        <v>62</v>
      </c>
      <c r="D394" s="7" t="s">
        <v>79</v>
      </c>
      <c r="E394" s="9" t="s">
        <v>66</v>
      </c>
      <c r="F394" s="10">
        <v>1</v>
      </c>
      <c r="G394" s="11" t="s">
        <v>54</v>
      </c>
      <c r="H394" s="7" t="s">
        <v>85</v>
      </c>
      <c r="I394" s="11" t="s">
        <v>9</v>
      </c>
      <c r="J394" s="11" t="s">
        <v>105</v>
      </c>
      <c r="K394" s="16">
        <v>30185.123490000002</v>
      </c>
      <c r="L394" s="12">
        <v>0</v>
      </c>
      <c r="M394" s="12">
        <f t="shared" si="16"/>
        <v>30185.123490000002</v>
      </c>
      <c r="N394" s="29">
        <v>30</v>
      </c>
    </row>
    <row r="395" spans="1:17" ht="16.5" thickTop="1" thickBot="1" x14ac:dyDescent="0.3">
      <c r="A395" s="27" t="s">
        <v>126</v>
      </c>
      <c r="B395" s="25" t="s">
        <v>22</v>
      </c>
      <c r="C395" s="8" t="s">
        <v>62</v>
      </c>
      <c r="D395" s="7" t="s">
        <v>79</v>
      </c>
      <c r="E395" s="9" t="s">
        <v>66</v>
      </c>
      <c r="F395" s="10">
        <v>1</v>
      </c>
      <c r="G395" s="11" t="s">
        <v>55</v>
      </c>
      <c r="H395" s="7" t="s">
        <v>85</v>
      </c>
      <c r="I395" s="11" t="s">
        <v>20</v>
      </c>
      <c r="J395" s="11" t="s">
        <v>105</v>
      </c>
      <c r="K395" s="16">
        <v>31506.62688</v>
      </c>
      <c r="L395" s="12">
        <v>0</v>
      </c>
      <c r="M395" s="12">
        <f t="shared" si="16"/>
        <v>31506.62688</v>
      </c>
      <c r="N395" s="29">
        <v>30</v>
      </c>
    </row>
    <row r="396" spans="1:17" ht="16.5" thickTop="1" thickBot="1" x14ac:dyDescent="0.3">
      <c r="A396" s="27" t="s">
        <v>126</v>
      </c>
      <c r="B396" s="25" t="s">
        <v>22</v>
      </c>
      <c r="C396" s="8" t="s">
        <v>62</v>
      </c>
      <c r="D396" s="7" t="s">
        <v>79</v>
      </c>
      <c r="E396" s="9" t="s">
        <v>66</v>
      </c>
      <c r="F396" s="10">
        <v>1</v>
      </c>
      <c r="G396" s="11" t="s">
        <v>55</v>
      </c>
      <c r="H396" s="7" t="s">
        <v>85</v>
      </c>
      <c r="I396" s="11" t="s">
        <v>9</v>
      </c>
      <c r="J396" s="11" t="s">
        <v>105</v>
      </c>
      <c r="K396" s="12">
        <v>21581.665982999999</v>
      </c>
      <c r="L396" s="12">
        <v>0</v>
      </c>
      <c r="M396" s="12">
        <f t="shared" si="16"/>
        <v>21581.665982999999</v>
      </c>
      <c r="N396" s="29">
        <v>30</v>
      </c>
    </row>
    <row r="397" spans="1:17" ht="16.5" thickTop="1" thickBot="1" x14ac:dyDescent="0.3">
      <c r="A397" s="27" t="s">
        <v>126</v>
      </c>
      <c r="B397" s="25" t="s">
        <v>22</v>
      </c>
      <c r="C397" s="8" t="s">
        <v>62</v>
      </c>
      <c r="D397" s="7" t="s">
        <v>79</v>
      </c>
      <c r="E397" s="9" t="s">
        <v>66</v>
      </c>
      <c r="F397" s="10">
        <v>1</v>
      </c>
      <c r="G397" s="11" t="s">
        <v>56</v>
      </c>
      <c r="H397" s="7" t="s">
        <v>85</v>
      </c>
      <c r="I397" s="11" t="s">
        <v>9</v>
      </c>
      <c r="J397" s="11" t="s">
        <v>105</v>
      </c>
      <c r="K397" s="12">
        <v>30214.330290000002</v>
      </c>
      <c r="L397" s="12">
        <v>0</v>
      </c>
      <c r="M397" s="12">
        <f t="shared" si="16"/>
        <v>30214.330290000002</v>
      </c>
      <c r="N397" s="29">
        <v>30</v>
      </c>
    </row>
    <row r="398" spans="1:17" ht="16.5" thickTop="1" thickBot="1" x14ac:dyDescent="0.3">
      <c r="A398" s="27" t="s">
        <v>126</v>
      </c>
      <c r="B398" s="25" t="s">
        <v>22</v>
      </c>
      <c r="C398" s="8" t="s">
        <v>62</v>
      </c>
      <c r="D398" s="7" t="s">
        <v>79</v>
      </c>
      <c r="E398" s="9" t="s">
        <v>66</v>
      </c>
      <c r="F398" s="10">
        <v>1</v>
      </c>
      <c r="G398" s="11" t="s">
        <v>57</v>
      </c>
      <c r="H398" s="7" t="s">
        <v>85</v>
      </c>
      <c r="I398" s="11" t="s">
        <v>9</v>
      </c>
      <c r="J398" s="11" t="s">
        <v>105</v>
      </c>
      <c r="K398" s="12">
        <v>30185.123490000002</v>
      </c>
      <c r="L398" s="12">
        <v>0</v>
      </c>
      <c r="M398" s="12">
        <f t="shared" si="16"/>
        <v>30185.123490000002</v>
      </c>
      <c r="N398" s="29">
        <v>30</v>
      </c>
    </row>
    <row r="399" spans="1:17" ht="16.5" thickTop="1" thickBot="1" x14ac:dyDescent="0.3">
      <c r="A399" s="27" t="s">
        <v>126</v>
      </c>
      <c r="B399" s="25" t="s">
        <v>22</v>
      </c>
      <c r="C399" s="8" t="s">
        <v>62</v>
      </c>
      <c r="D399" s="7" t="s">
        <v>79</v>
      </c>
      <c r="E399" s="9" t="s">
        <v>66</v>
      </c>
      <c r="F399" s="10">
        <v>1</v>
      </c>
      <c r="G399" s="11" t="s">
        <v>58</v>
      </c>
      <c r="H399" s="7" t="s">
        <v>85</v>
      </c>
      <c r="I399" s="11" t="s">
        <v>9</v>
      </c>
      <c r="J399" s="11" t="s">
        <v>105</v>
      </c>
      <c r="K399" s="12">
        <v>17265.328613999998</v>
      </c>
      <c r="L399" s="12">
        <v>0</v>
      </c>
      <c r="M399" s="12">
        <f t="shared" si="16"/>
        <v>17265.328613999998</v>
      </c>
      <c r="N399" s="29">
        <v>30</v>
      </c>
    </row>
    <row r="400" spans="1:17" s="4" customFormat="1" ht="16.5" thickTop="1" thickBot="1" x14ac:dyDescent="0.3">
      <c r="A400" s="27" t="s">
        <v>126</v>
      </c>
      <c r="B400" s="31" t="s">
        <v>22</v>
      </c>
      <c r="C400" s="32" t="s">
        <v>62</v>
      </c>
      <c r="D400" s="33" t="s">
        <v>79</v>
      </c>
      <c r="E400" s="34" t="s">
        <v>66</v>
      </c>
      <c r="F400" s="35">
        <v>1</v>
      </c>
      <c r="G400" s="36" t="s">
        <v>59</v>
      </c>
      <c r="H400" s="33" t="s">
        <v>85</v>
      </c>
      <c r="I400" s="36" t="s">
        <v>9</v>
      </c>
      <c r="J400" s="36" t="s">
        <v>105</v>
      </c>
      <c r="K400" s="37">
        <v>4316.3373689999999</v>
      </c>
      <c r="L400" s="37">
        <v>0</v>
      </c>
      <c r="M400" s="37">
        <f t="shared" si="16"/>
        <v>4316.3373689999999</v>
      </c>
      <c r="N400" s="38">
        <v>30</v>
      </c>
    </row>
    <row r="401" spans="1:15" ht="16.5" thickTop="1" thickBot="1" x14ac:dyDescent="0.3">
      <c r="A401" s="39" t="s">
        <v>111</v>
      </c>
      <c r="B401" s="40" t="s">
        <v>5</v>
      </c>
      <c r="C401" s="41" t="s">
        <v>0</v>
      </c>
      <c r="D401" s="42" t="s">
        <v>79</v>
      </c>
      <c r="E401" s="43" t="s">
        <v>67</v>
      </c>
      <c r="F401" s="44">
        <v>10</v>
      </c>
      <c r="G401" s="45" t="s">
        <v>6</v>
      </c>
      <c r="H401" s="42" t="s">
        <v>85</v>
      </c>
      <c r="I401" s="45" t="s">
        <v>7</v>
      </c>
      <c r="J401" s="45" t="s">
        <v>103</v>
      </c>
      <c r="K401" s="46">
        <v>37326.692723669999</v>
      </c>
      <c r="L401" s="46">
        <f>K401*5%</f>
        <v>1866.3346361835002</v>
      </c>
      <c r="M401" s="46">
        <f>K401-L401</f>
        <v>35460.3580874865</v>
      </c>
      <c r="N401" s="47">
        <v>10</v>
      </c>
    </row>
    <row r="402" spans="1:15" ht="16.5" thickTop="1" thickBot="1" x14ac:dyDescent="0.3">
      <c r="A402" s="39" t="s">
        <v>111</v>
      </c>
      <c r="B402" s="25" t="s">
        <v>5</v>
      </c>
      <c r="C402" s="8" t="s">
        <v>0</v>
      </c>
      <c r="D402" s="7" t="s">
        <v>79</v>
      </c>
      <c r="E402" s="9" t="s">
        <v>67</v>
      </c>
      <c r="F402" s="10">
        <v>10</v>
      </c>
      <c r="G402" s="11" t="s">
        <v>8</v>
      </c>
      <c r="H402" s="7" t="s">
        <v>85</v>
      </c>
      <c r="I402" s="11" t="s">
        <v>7</v>
      </c>
      <c r="J402" s="11" t="s">
        <v>103</v>
      </c>
      <c r="K402" s="12">
        <v>17490.966790500002</v>
      </c>
      <c r="L402" s="12">
        <f>K402*5%</f>
        <v>874.54833952500019</v>
      </c>
      <c r="M402" s="12">
        <f>K402-L402</f>
        <v>16616.418450975001</v>
      </c>
      <c r="N402" s="29">
        <v>10</v>
      </c>
      <c r="O402" s="48" t="s">
        <v>127</v>
      </c>
    </row>
    <row r="403" spans="1:15" ht="16.5" thickTop="1" thickBot="1" x14ac:dyDescent="0.3">
      <c r="A403" s="39" t="s">
        <v>111</v>
      </c>
      <c r="B403" s="25" t="s">
        <v>5</v>
      </c>
      <c r="C403" s="8" t="s">
        <v>0</v>
      </c>
      <c r="D403" s="7" t="s">
        <v>79</v>
      </c>
      <c r="E403" s="9" t="s">
        <v>67</v>
      </c>
      <c r="F403" s="10">
        <v>10</v>
      </c>
      <c r="G403" s="11" t="s">
        <v>8</v>
      </c>
      <c r="H403" s="7" t="s">
        <v>85</v>
      </c>
      <c r="I403" s="11" t="s">
        <v>97</v>
      </c>
      <c r="J403" s="11" t="s">
        <v>103</v>
      </c>
      <c r="K403" s="12">
        <v>17490.966790500002</v>
      </c>
      <c r="L403" s="12">
        <f>K403*5%</f>
        <v>874.54833952500019</v>
      </c>
      <c r="M403" s="12">
        <f>K403-L403</f>
        <v>16616.418450975001</v>
      </c>
      <c r="N403" s="29">
        <v>10</v>
      </c>
      <c r="O403" s="48" t="s">
        <v>127</v>
      </c>
    </row>
    <row r="404" spans="1:15" ht="16.5" thickTop="1" thickBot="1" x14ac:dyDescent="0.3">
      <c r="A404" s="39" t="s">
        <v>111</v>
      </c>
      <c r="B404" s="25" t="s">
        <v>5</v>
      </c>
      <c r="C404" s="8" t="s">
        <v>0</v>
      </c>
      <c r="D404" s="7" t="s">
        <v>79</v>
      </c>
      <c r="E404" s="9" t="s">
        <v>67</v>
      </c>
      <c r="F404" s="10">
        <v>10</v>
      </c>
      <c r="G404" s="11" t="s">
        <v>8</v>
      </c>
      <c r="H404" s="7" t="s">
        <v>85</v>
      </c>
      <c r="I404" s="11" t="s">
        <v>9</v>
      </c>
      <c r="J404" s="11" t="s">
        <v>103</v>
      </c>
      <c r="K404" s="12">
        <v>15318.197313750001</v>
      </c>
      <c r="L404" s="12">
        <f>K404*5%</f>
        <v>765.90986568750009</v>
      </c>
      <c r="M404" s="12">
        <f>K404-L404</f>
        <v>14552.287448062501</v>
      </c>
      <c r="N404" s="29">
        <v>10</v>
      </c>
      <c r="O404" s="48" t="s">
        <v>127</v>
      </c>
    </row>
    <row r="405" spans="1:15" ht="16.5" thickTop="1" thickBot="1" x14ac:dyDescent="0.3">
      <c r="A405" s="39" t="s">
        <v>111</v>
      </c>
      <c r="B405" s="25" t="s">
        <v>5</v>
      </c>
      <c r="C405" s="8" t="s">
        <v>0</v>
      </c>
      <c r="D405" s="7" t="s">
        <v>79</v>
      </c>
      <c r="E405" s="9" t="s">
        <v>67</v>
      </c>
      <c r="F405" s="10">
        <v>10</v>
      </c>
      <c r="G405" s="11" t="s">
        <v>8</v>
      </c>
      <c r="H405" s="7" t="s">
        <v>85</v>
      </c>
      <c r="I405" s="11" t="s">
        <v>15</v>
      </c>
      <c r="J405" s="11" t="s">
        <v>103</v>
      </c>
      <c r="K405" s="12">
        <v>13061.815548749999</v>
      </c>
      <c r="L405" s="12">
        <f>K405*5%</f>
        <v>653.09077743750004</v>
      </c>
      <c r="M405" s="12">
        <f>K405-L405</f>
        <v>12408.7247713125</v>
      </c>
      <c r="N405" s="29">
        <v>10</v>
      </c>
      <c r="O405" s="48" t="s">
        <v>127</v>
      </c>
    </row>
    <row r="406" spans="1:15" ht="16.5" thickTop="1" thickBot="1" x14ac:dyDescent="0.3">
      <c r="A406" s="39" t="s">
        <v>111</v>
      </c>
      <c r="B406" s="25" t="s">
        <v>10</v>
      </c>
      <c r="C406" s="8" t="s">
        <v>0</v>
      </c>
      <c r="D406" s="7" t="s">
        <v>79</v>
      </c>
      <c r="E406" s="9" t="s">
        <v>67</v>
      </c>
      <c r="F406" s="10">
        <v>10</v>
      </c>
      <c r="G406" s="11" t="s">
        <v>8</v>
      </c>
      <c r="H406" s="7" t="s">
        <v>85</v>
      </c>
      <c r="I406" s="11" t="s">
        <v>96</v>
      </c>
      <c r="J406" s="11" t="s">
        <v>103</v>
      </c>
      <c r="K406" s="12">
        <v>2000</v>
      </c>
      <c r="L406" s="12">
        <f>0</f>
        <v>0</v>
      </c>
      <c r="M406" s="12">
        <f>K406</f>
        <v>2000</v>
      </c>
      <c r="N406" s="29">
        <v>10</v>
      </c>
      <c r="O406" s="48" t="s">
        <v>127</v>
      </c>
    </row>
    <row r="407" spans="1:15" ht="16.5" thickTop="1" thickBot="1" x14ac:dyDescent="0.3">
      <c r="A407" s="39" t="s">
        <v>111</v>
      </c>
      <c r="B407" s="25" t="s">
        <v>10</v>
      </c>
      <c r="C407" s="8" t="s">
        <v>0</v>
      </c>
      <c r="D407" s="7" t="s">
        <v>79</v>
      </c>
      <c r="E407" s="9" t="s">
        <v>67</v>
      </c>
      <c r="F407" s="10">
        <v>10</v>
      </c>
      <c r="G407" s="11" t="s">
        <v>8</v>
      </c>
      <c r="H407" s="7" t="s">
        <v>85</v>
      </c>
      <c r="I407" s="11" t="s">
        <v>96</v>
      </c>
      <c r="J407" s="11" t="s">
        <v>103</v>
      </c>
      <c r="K407" s="12">
        <v>200</v>
      </c>
      <c r="L407" s="12">
        <f>0</f>
        <v>0</v>
      </c>
      <c r="M407" s="12">
        <f>K407</f>
        <v>200</v>
      </c>
      <c r="N407" s="29">
        <v>10</v>
      </c>
      <c r="O407" s="48" t="s">
        <v>127</v>
      </c>
    </row>
    <row r="408" spans="1:15" ht="16.5" thickTop="1" thickBot="1" x14ac:dyDescent="0.3">
      <c r="A408" s="27" t="s">
        <v>111</v>
      </c>
      <c r="B408" s="25" t="s">
        <v>11</v>
      </c>
      <c r="C408" s="8" t="s">
        <v>0</v>
      </c>
      <c r="D408" s="7" t="s">
        <v>79</v>
      </c>
      <c r="E408" s="9" t="s">
        <v>67</v>
      </c>
      <c r="F408" s="10">
        <v>16</v>
      </c>
      <c r="G408" s="11" t="s">
        <v>12</v>
      </c>
      <c r="H408" s="7" t="s">
        <v>85</v>
      </c>
      <c r="I408" s="11" t="s">
        <v>7</v>
      </c>
      <c r="J408" s="11" t="s">
        <v>103</v>
      </c>
      <c r="K408" s="12">
        <v>17013.380378354999</v>
      </c>
      <c r="L408" s="12">
        <f>K408*16%</f>
        <v>2722.1408605368001</v>
      </c>
      <c r="M408" s="12">
        <f t="shared" ref="M408:M424" si="17">K408-L408</f>
        <v>14291.2395178182</v>
      </c>
      <c r="N408" s="29">
        <v>15</v>
      </c>
    </row>
    <row r="409" spans="1:15" ht="16.5" thickTop="1" thickBot="1" x14ac:dyDescent="0.3">
      <c r="A409" s="27" t="s">
        <v>111</v>
      </c>
      <c r="B409" s="25" t="s">
        <v>13</v>
      </c>
      <c r="C409" s="8" t="s">
        <v>0</v>
      </c>
      <c r="D409" s="7" t="s">
        <v>79</v>
      </c>
      <c r="E409" s="9" t="s">
        <v>67</v>
      </c>
      <c r="F409" s="10">
        <v>16</v>
      </c>
      <c r="G409" s="11" t="s">
        <v>12</v>
      </c>
      <c r="H409" s="7" t="s">
        <v>85</v>
      </c>
      <c r="I409" s="11" t="s">
        <v>9</v>
      </c>
      <c r="J409" s="11" t="s">
        <v>103</v>
      </c>
      <c r="K409" s="12">
        <v>3729.6405063450002</v>
      </c>
      <c r="L409" s="12">
        <f>K409*16%</f>
        <v>596.74248101520004</v>
      </c>
      <c r="M409" s="12">
        <f t="shared" si="17"/>
        <v>3132.8980253298</v>
      </c>
      <c r="N409" s="29">
        <v>15</v>
      </c>
    </row>
    <row r="410" spans="1:15" ht="16.5" thickTop="1" thickBot="1" x14ac:dyDescent="0.3">
      <c r="A410" s="27" t="s">
        <v>111</v>
      </c>
      <c r="B410" s="25" t="s">
        <v>13</v>
      </c>
      <c r="C410" s="8" t="s">
        <v>0</v>
      </c>
      <c r="D410" s="7" t="s">
        <v>79</v>
      </c>
      <c r="E410" s="9" t="s">
        <v>67</v>
      </c>
      <c r="F410" s="10">
        <v>16</v>
      </c>
      <c r="G410" s="11" t="s">
        <v>12</v>
      </c>
      <c r="H410" s="7" t="s">
        <v>85</v>
      </c>
      <c r="I410" s="11" t="s">
        <v>99</v>
      </c>
      <c r="J410" s="11" t="s">
        <v>103</v>
      </c>
      <c r="K410" s="12">
        <v>4416.0016102200007</v>
      </c>
      <c r="L410" s="12">
        <f>K410*16%</f>
        <v>706.56025763520017</v>
      </c>
      <c r="M410" s="12">
        <f t="shared" si="17"/>
        <v>3709.4413525848004</v>
      </c>
      <c r="N410" s="29">
        <v>15</v>
      </c>
    </row>
    <row r="411" spans="1:15" ht="16.5" thickTop="1" thickBot="1" x14ac:dyDescent="0.3">
      <c r="A411" s="27" t="s">
        <v>111</v>
      </c>
      <c r="B411" s="25" t="s">
        <v>5</v>
      </c>
      <c r="C411" s="8" t="s">
        <v>0</v>
      </c>
      <c r="D411" s="7" t="s">
        <v>79</v>
      </c>
      <c r="E411" s="9" t="s">
        <v>67</v>
      </c>
      <c r="F411" s="10">
        <v>16</v>
      </c>
      <c r="G411" s="11" t="s">
        <v>14</v>
      </c>
      <c r="H411" s="7" t="s">
        <v>84</v>
      </c>
      <c r="I411" s="11" t="s">
        <v>7</v>
      </c>
      <c r="J411" s="11" t="s">
        <v>103</v>
      </c>
      <c r="K411" s="12">
        <v>14761.659131999999</v>
      </c>
      <c r="L411" s="12">
        <f>K411*5%</f>
        <v>738.08295659999999</v>
      </c>
      <c r="M411" s="12">
        <f t="shared" si="17"/>
        <v>14023.5761754</v>
      </c>
      <c r="N411" s="29">
        <v>15</v>
      </c>
    </row>
    <row r="412" spans="1:15" ht="16.5" thickTop="1" thickBot="1" x14ac:dyDescent="0.3">
      <c r="A412" s="27" t="s">
        <v>111</v>
      </c>
      <c r="B412" s="25" t="s">
        <v>5</v>
      </c>
      <c r="C412" s="8" t="s">
        <v>0</v>
      </c>
      <c r="D412" s="7" t="s">
        <v>79</v>
      </c>
      <c r="E412" s="9" t="s">
        <v>67</v>
      </c>
      <c r="F412" s="10">
        <v>16</v>
      </c>
      <c r="G412" s="11" t="s">
        <v>14</v>
      </c>
      <c r="H412" s="7" t="s">
        <v>84</v>
      </c>
      <c r="I412" s="11" t="s">
        <v>9</v>
      </c>
      <c r="J412" s="11" t="s">
        <v>103</v>
      </c>
      <c r="K412" s="12">
        <v>3763.01</v>
      </c>
      <c r="L412" s="12">
        <f>K412*5%</f>
        <v>188.15050000000002</v>
      </c>
      <c r="M412" s="12">
        <f t="shared" si="17"/>
        <v>3574.8595</v>
      </c>
      <c r="N412" s="29">
        <v>15</v>
      </c>
    </row>
    <row r="413" spans="1:15" ht="16.5" thickTop="1" thickBot="1" x14ac:dyDescent="0.3">
      <c r="A413" s="27" t="s">
        <v>111</v>
      </c>
      <c r="B413" s="25" t="s">
        <v>5</v>
      </c>
      <c r="C413" s="8" t="s">
        <v>0</v>
      </c>
      <c r="D413" s="7" t="s">
        <v>79</v>
      </c>
      <c r="E413" s="9" t="s">
        <v>67</v>
      </c>
      <c r="F413" s="10">
        <v>16</v>
      </c>
      <c r="G413" s="11" t="s">
        <v>14</v>
      </c>
      <c r="H413" s="7" t="s">
        <v>84</v>
      </c>
      <c r="I413" s="11" t="s">
        <v>15</v>
      </c>
      <c r="J413" s="11" t="s">
        <v>103</v>
      </c>
      <c r="K413" s="12">
        <v>4780.5638085000001</v>
      </c>
      <c r="L413" s="12">
        <f>K413*5%</f>
        <v>239.02819042500002</v>
      </c>
      <c r="M413" s="12">
        <f t="shared" si="17"/>
        <v>4541.5356180750005</v>
      </c>
      <c r="N413" s="29">
        <v>15</v>
      </c>
    </row>
    <row r="414" spans="1:15" ht="16.5" thickTop="1" thickBot="1" x14ac:dyDescent="0.3">
      <c r="A414" s="27" t="s">
        <v>111</v>
      </c>
      <c r="B414" s="25" t="s">
        <v>10</v>
      </c>
      <c r="C414" s="8" t="s">
        <v>0</v>
      </c>
      <c r="D414" s="7" t="s">
        <v>79</v>
      </c>
      <c r="E414" s="9" t="s">
        <v>67</v>
      </c>
      <c r="F414" s="10">
        <v>16</v>
      </c>
      <c r="G414" s="11" t="s">
        <v>14</v>
      </c>
      <c r="H414" s="7" t="s">
        <v>84</v>
      </c>
      <c r="I414" s="11" t="s">
        <v>96</v>
      </c>
      <c r="J414" s="11" t="s">
        <v>103</v>
      </c>
      <c r="K414" s="12">
        <v>500</v>
      </c>
      <c r="L414" s="12">
        <f>0</f>
        <v>0</v>
      </c>
      <c r="M414" s="12">
        <f t="shared" si="17"/>
        <v>500</v>
      </c>
      <c r="N414" s="29">
        <v>15</v>
      </c>
    </row>
    <row r="415" spans="1:15" ht="16.5" thickTop="1" thickBot="1" x14ac:dyDescent="0.3">
      <c r="A415" s="27" t="s">
        <v>111</v>
      </c>
      <c r="B415" s="25" t="s">
        <v>11</v>
      </c>
      <c r="C415" s="8" t="s">
        <v>0</v>
      </c>
      <c r="D415" s="7" t="s">
        <v>79</v>
      </c>
      <c r="E415" s="9" t="s">
        <v>67</v>
      </c>
      <c r="F415" s="10">
        <v>20</v>
      </c>
      <c r="G415" s="11" t="s">
        <v>16</v>
      </c>
      <c r="H415" s="7" t="s">
        <v>85</v>
      </c>
      <c r="I415" s="11" t="s">
        <v>7</v>
      </c>
      <c r="J415" s="11" t="s">
        <v>103</v>
      </c>
      <c r="K415" s="12">
        <v>15515</v>
      </c>
      <c r="L415" s="12">
        <f>K415*16%</f>
        <v>2482.4</v>
      </c>
      <c r="M415" s="12">
        <f t="shared" si="17"/>
        <v>13032.6</v>
      </c>
      <c r="N415" s="29">
        <v>15</v>
      </c>
    </row>
    <row r="416" spans="1:15" ht="16.5" thickTop="1" thickBot="1" x14ac:dyDescent="0.3">
      <c r="A416" s="27" t="s">
        <v>111</v>
      </c>
      <c r="B416" s="25" t="s">
        <v>13</v>
      </c>
      <c r="C416" s="8" t="s">
        <v>0</v>
      </c>
      <c r="D416" s="7" t="s">
        <v>79</v>
      </c>
      <c r="E416" s="9" t="s">
        <v>67</v>
      </c>
      <c r="F416" s="10">
        <v>20</v>
      </c>
      <c r="G416" s="11" t="s">
        <v>16</v>
      </c>
      <c r="H416" s="7" t="s">
        <v>85</v>
      </c>
      <c r="I416" s="11" t="s">
        <v>113</v>
      </c>
      <c r="J416" s="11" t="s">
        <v>103</v>
      </c>
      <c r="K416" s="12">
        <v>1500</v>
      </c>
      <c r="L416" s="12">
        <f>K416*16%</f>
        <v>240</v>
      </c>
      <c r="M416" s="12">
        <f t="shared" si="17"/>
        <v>1260</v>
      </c>
      <c r="N416" s="29">
        <v>15</v>
      </c>
    </row>
    <row r="417" spans="1:14" ht="16.5" thickTop="1" thickBot="1" x14ac:dyDescent="0.3">
      <c r="A417" s="27" t="s">
        <v>111</v>
      </c>
      <c r="B417" s="25" t="s">
        <v>13</v>
      </c>
      <c r="C417" s="8" t="s">
        <v>0</v>
      </c>
      <c r="D417" s="7" t="s">
        <v>79</v>
      </c>
      <c r="E417" s="9" t="s">
        <v>67</v>
      </c>
      <c r="F417" s="10">
        <v>20</v>
      </c>
      <c r="G417" s="11" t="s">
        <v>16</v>
      </c>
      <c r="H417" s="7" t="s">
        <v>85</v>
      </c>
      <c r="I417" s="11" t="s">
        <v>9</v>
      </c>
      <c r="J417" s="11" t="s">
        <v>103</v>
      </c>
      <c r="K417" s="12">
        <v>7480</v>
      </c>
      <c r="L417" s="12">
        <f>K417*16%</f>
        <v>1196.8</v>
      </c>
      <c r="M417" s="12">
        <f t="shared" si="17"/>
        <v>6283.2</v>
      </c>
      <c r="N417" s="29">
        <v>15</v>
      </c>
    </row>
    <row r="418" spans="1:14" ht="16.5" thickTop="1" thickBot="1" x14ac:dyDescent="0.3">
      <c r="A418" s="27" t="s">
        <v>111</v>
      </c>
      <c r="B418" s="25" t="s">
        <v>13</v>
      </c>
      <c r="C418" s="8" t="s">
        <v>0</v>
      </c>
      <c r="D418" s="7" t="s">
        <v>79</v>
      </c>
      <c r="E418" s="9" t="s">
        <v>67</v>
      </c>
      <c r="F418" s="10">
        <v>20</v>
      </c>
      <c r="G418" s="11" t="s">
        <v>16</v>
      </c>
      <c r="H418" s="7" t="s">
        <v>85</v>
      </c>
      <c r="I418" s="11" t="s">
        <v>15</v>
      </c>
      <c r="J418" s="11" t="s">
        <v>103</v>
      </c>
      <c r="K418" s="12">
        <v>6826</v>
      </c>
      <c r="L418" s="12">
        <f>K418*16%</f>
        <v>1092.1600000000001</v>
      </c>
      <c r="M418" s="12">
        <f t="shared" si="17"/>
        <v>5733.84</v>
      </c>
      <c r="N418" s="29">
        <v>15</v>
      </c>
    </row>
    <row r="419" spans="1:14" ht="16.5" thickTop="1" thickBot="1" x14ac:dyDescent="0.3">
      <c r="A419" s="27" t="s">
        <v>111</v>
      </c>
      <c r="B419" s="25" t="s">
        <v>5</v>
      </c>
      <c r="C419" s="8" t="s">
        <v>0</v>
      </c>
      <c r="D419" s="7" t="s">
        <v>79</v>
      </c>
      <c r="E419" s="9" t="s">
        <v>67</v>
      </c>
      <c r="F419" s="10">
        <v>5</v>
      </c>
      <c r="G419" s="11" t="s">
        <v>17</v>
      </c>
      <c r="H419" s="7" t="s">
        <v>85</v>
      </c>
      <c r="I419" s="11" t="s">
        <v>7</v>
      </c>
      <c r="J419" s="11" t="s">
        <v>103</v>
      </c>
      <c r="K419" s="12">
        <v>16574.890605929999</v>
      </c>
      <c r="L419" s="12">
        <f>K419*5%</f>
        <v>828.74453029649999</v>
      </c>
      <c r="M419" s="12">
        <f t="shared" si="17"/>
        <v>15746.146075633498</v>
      </c>
      <c r="N419" s="29">
        <v>10</v>
      </c>
    </row>
    <row r="420" spans="1:14" ht="16.5" thickTop="1" thickBot="1" x14ac:dyDescent="0.3">
      <c r="A420" s="27" t="s">
        <v>111</v>
      </c>
      <c r="B420" s="25" t="s">
        <v>5</v>
      </c>
      <c r="C420" s="8" t="s">
        <v>0</v>
      </c>
      <c r="D420" s="7" t="s">
        <v>79</v>
      </c>
      <c r="E420" s="9" t="s">
        <v>67</v>
      </c>
      <c r="F420" s="10">
        <v>5</v>
      </c>
      <c r="G420" s="11" t="s">
        <v>17</v>
      </c>
      <c r="H420" s="7" t="s">
        <v>85</v>
      </c>
      <c r="I420" s="11" t="s">
        <v>15</v>
      </c>
      <c r="J420" s="11" t="s">
        <v>103</v>
      </c>
      <c r="K420" s="12">
        <v>4086.3215625749995</v>
      </c>
      <c r="L420" s="12">
        <f>K420*5%</f>
        <v>204.31607812874998</v>
      </c>
      <c r="M420" s="12">
        <f t="shared" si="17"/>
        <v>3882.0054844462493</v>
      </c>
      <c r="N420" s="29">
        <v>10</v>
      </c>
    </row>
    <row r="421" spans="1:14" ht="16.5" thickTop="1" thickBot="1" x14ac:dyDescent="0.3">
      <c r="A421" s="39" t="s">
        <v>111</v>
      </c>
      <c r="B421" s="25" t="s">
        <v>5</v>
      </c>
      <c r="C421" s="8" t="s">
        <v>0</v>
      </c>
      <c r="D421" s="7" t="s">
        <v>79</v>
      </c>
      <c r="E421" s="9" t="s">
        <v>67</v>
      </c>
      <c r="F421" s="10">
        <v>10</v>
      </c>
      <c r="G421" s="11" t="s">
        <v>18</v>
      </c>
      <c r="H421" s="7" t="s">
        <v>85</v>
      </c>
      <c r="I421" s="11" t="s">
        <v>9</v>
      </c>
      <c r="J421" s="11" t="s">
        <v>103</v>
      </c>
      <c r="K421" s="12">
        <v>4153.3112700000001</v>
      </c>
      <c r="L421" s="12">
        <f>K421*5%</f>
        <v>207.66556350000002</v>
      </c>
      <c r="M421" s="12">
        <f t="shared" si="17"/>
        <v>3945.6457065</v>
      </c>
      <c r="N421" s="29">
        <v>10</v>
      </c>
    </row>
    <row r="422" spans="1:14" ht="16.5" thickTop="1" thickBot="1" x14ac:dyDescent="0.3">
      <c r="A422" s="27" t="s">
        <v>111</v>
      </c>
      <c r="B422" s="25" t="s">
        <v>11</v>
      </c>
      <c r="C422" s="8" t="s">
        <v>0</v>
      </c>
      <c r="D422" s="7" t="s">
        <v>79</v>
      </c>
      <c r="E422" s="9" t="s">
        <v>67</v>
      </c>
      <c r="F422" s="10">
        <v>20</v>
      </c>
      <c r="G422" s="11" t="s">
        <v>19</v>
      </c>
      <c r="H422" s="7" t="s">
        <v>88</v>
      </c>
      <c r="I422" s="11" t="s">
        <v>20</v>
      </c>
      <c r="J422" s="11" t="s">
        <v>105</v>
      </c>
      <c r="K422" s="12">
        <v>10635.19</v>
      </c>
      <c r="L422" s="12">
        <f>K422*16%</f>
        <v>1701.6304</v>
      </c>
      <c r="M422" s="12">
        <f t="shared" si="17"/>
        <v>8933.5596000000005</v>
      </c>
      <c r="N422" s="29">
        <v>15</v>
      </c>
    </row>
    <row r="423" spans="1:14" ht="16.5" thickTop="1" thickBot="1" x14ac:dyDescent="0.3">
      <c r="A423" s="27" t="s">
        <v>111</v>
      </c>
      <c r="B423" s="25" t="s">
        <v>13</v>
      </c>
      <c r="C423" s="8" t="s">
        <v>0</v>
      </c>
      <c r="D423" s="7" t="s">
        <v>79</v>
      </c>
      <c r="E423" s="9" t="s">
        <v>67</v>
      </c>
      <c r="F423" s="10">
        <v>5</v>
      </c>
      <c r="G423" s="11" t="s">
        <v>21</v>
      </c>
      <c r="H423" s="7" t="s">
        <v>85</v>
      </c>
      <c r="I423" s="11" t="s">
        <v>9</v>
      </c>
      <c r="J423" s="11" t="s">
        <v>105</v>
      </c>
      <c r="K423" s="12">
        <v>32256.26</v>
      </c>
      <c r="L423" s="12">
        <f>K423*16%</f>
        <v>5161.0015999999996</v>
      </c>
      <c r="M423" s="12">
        <f t="shared" si="17"/>
        <v>27095.258399999999</v>
      </c>
      <c r="N423" s="29">
        <v>10</v>
      </c>
    </row>
    <row r="424" spans="1:14" ht="15.75" customHeight="1" thickTop="1" thickBot="1" x14ac:dyDescent="0.3">
      <c r="A424" s="27" t="s">
        <v>111</v>
      </c>
      <c r="B424" s="25" t="s">
        <v>11</v>
      </c>
      <c r="C424" s="8" t="s">
        <v>0</v>
      </c>
      <c r="D424" s="7" t="s">
        <v>79</v>
      </c>
      <c r="E424" s="9" t="s">
        <v>67</v>
      </c>
      <c r="F424" s="10">
        <v>20</v>
      </c>
      <c r="G424" s="11" t="s">
        <v>21</v>
      </c>
      <c r="H424" s="7" t="s">
        <v>85</v>
      </c>
      <c r="I424" s="11" t="s">
        <v>20</v>
      </c>
      <c r="J424" s="11" t="s">
        <v>105</v>
      </c>
      <c r="K424" s="12">
        <v>37709</v>
      </c>
      <c r="L424" s="12">
        <f>K424*16%</f>
        <v>6033.4400000000005</v>
      </c>
      <c r="M424" s="12">
        <f t="shared" si="17"/>
        <v>31675.559999999998</v>
      </c>
      <c r="N424" s="29">
        <v>10</v>
      </c>
    </row>
    <row r="425" spans="1:14" ht="15.75" customHeight="1" thickTop="1" thickBot="1" x14ac:dyDescent="0.3">
      <c r="A425" s="27" t="s">
        <v>111</v>
      </c>
      <c r="B425" s="25" t="s">
        <v>22</v>
      </c>
      <c r="C425" s="8" t="s">
        <v>0</v>
      </c>
      <c r="D425" s="7" t="s">
        <v>79</v>
      </c>
      <c r="E425" s="9" t="s">
        <v>67</v>
      </c>
      <c r="F425" s="10">
        <v>20</v>
      </c>
      <c r="G425" s="11" t="s">
        <v>23</v>
      </c>
      <c r="H425" s="7" t="s">
        <v>83</v>
      </c>
      <c r="I425" s="11" t="s">
        <v>7</v>
      </c>
      <c r="J425" s="11" t="s">
        <v>80</v>
      </c>
      <c r="K425" s="12">
        <v>5000</v>
      </c>
      <c r="L425" s="12">
        <v>0</v>
      </c>
      <c r="M425" s="12">
        <v>10000</v>
      </c>
      <c r="N425" s="29">
        <v>15</v>
      </c>
    </row>
    <row r="426" spans="1:14" ht="16.5" thickTop="1" thickBot="1" x14ac:dyDescent="0.3">
      <c r="A426" s="27"/>
      <c r="B426" s="25" t="s">
        <v>11</v>
      </c>
      <c r="C426" s="8" t="s">
        <v>0</v>
      </c>
      <c r="D426" s="7" t="s">
        <v>79</v>
      </c>
      <c r="E426" s="9" t="s">
        <v>67</v>
      </c>
      <c r="F426" s="10">
        <v>5</v>
      </c>
      <c r="G426" s="11" t="s">
        <v>24</v>
      </c>
      <c r="H426" s="7" t="s">
        <v>83</v>
      </c>
      <c r="I426" s="11" t="s">
        <v>7</v>
      </c>
      <c r="J426" s="11" t="s">
        <v>80</v>
      </c>
      <c r="K426" s="12">
        <v>61581.403376595001</v>
      </c>
      <c r="L426" s="12">
        <f>K426*16%</f>
        <v>9853.0245402552009</v>
      </c>
      <c r="M426" s="12">
        <f>K426-L426</f>
        <v>51728.378836339798</v>
      </c>
      <c r="N426" s="29">
        <v>23</v>
      </c>
    </row>
    <row r="427" spans="1:14" ht="16.5" thickTop="1" thickBot="1" x14ac:dyDescent="0.3">
      <c r="A427" s="27"/>
      <c r="B427" s="25" t="s">
        <v>13</v>
      </c>
      <c r="C427" s="8" t="s">
        <v>0</v>
      </c>
      <c r="D427" s="7" t="s">
        <v>79</v>
      </c>
      <c r="E427" s="9" t="s">
        <v>67</v>
      </c>
      <c r="F427" s="10">
        <v>5</v>
      </c>
      <c r="G427" s="11" t="s">
        <v>24</v>
      </c>
      <c r="H427" s="7" t="s">
        <v>83</v>
      </c>
      <c r="I427" s="11" t="s">
        <v>9</v>
      </c>
      <c r="J427" s="11" t="s">
        <v>80</v>
      </c>
      <c r="K427" s="12">
        <v>12948.9964605</v>
      </c>
      <c r="L427" s="12">
        <f>K427*16%</f>
        <v>2071.8394336800002</v>
      </c>
      <c r="M427" s="12">
        <f>K427-L427</f>
        <v>10877.157026820001</v>
      </c>
      <c r="N427" s="29">
        <v>23</v>
      </c>
    </row>
    <row r="428" spans="1:14" ht="16.5" thickTop="1" thickBot="1" x14ac:dyDescent="0.3">
      <c r="A428" s="27"/>
      <c r="B428" s="25" t="s">
        <v>10</v>
      </c>
      <c r="C428" s="8" t="s">
        <v>0</v>
      </c>
      <c r="D428" s="7" t="s">
        <v>79</v>
      </c>
      <c r="E428" s="9" t="s">
        <v>67</v>
      </c>
      <c r="F428" s="10">
        <v>5</v>
      </c>
      <c r="G428" s="11" t="s">
        <v>24</v>
      </c>
      <c r="H428" s="7" t="s">
        <v>83</v>
      </c>
      <c r="I428" s="11" t="s">
        <v>96</v>
      </c>
      <c r="J428" s="11" t="s">
        <v>80</v>
      </c>
      <c r="K428" s="12">
        <v>1500</v>
      </c>
      <c r="L428" s="12">
        <f>0</f>
        <v>0</v>
      </c>
      <c r="M428" s="12">
        <f>K428</f>
        <v>1500</v>
      </c>
      <c r="N428" s="29">
        <v>23</v>
      </c>
    </row>
    <row r="429" spans="1:14" ht="16.5" thickTop="1" thickBot="1" x14ac:dyDescent="0.3">
      <c r="A429" s="27" t="s">
        <v>111</v>
      </c>
      <c r="B429" s="25" t="s">
        <v>11</v>
      </c>
      <c r="C429" s="8" t="s">
        <v>0</v>
      </c>
      <c r="D429" s="7" t="s">
        <v>78</v>
      </c>
      <c r="E429" s="9" t="s">
        <v>67</v>
      </c>
      <c r="F429" s="10">
        <v>20</v>
      </c>
      <c r="G429" s="11" t="s">
        <v>72</v>
      </c>
      <c r="H429" s="7" t="s">
        <v>83</v>
      </c>
      <c r="I429" s="11" t="s">
        <v>30</v>
      </c>
      <c r="J429" s="11" t="s">
        <v>109</v>
      </c>
      <c r="K429" s="12">
        <v>600</v>
      </c>
      <c r="L429" s="12">
        <f t="shared" ref="L429:L434" si="18">K429*5%</f>
        <v>30</v>
      </c>
      <c r="M429" s="12">
        <f t="shared" ref="M429:M465" si="19">K429-L429</f>
        <v>570</v>
      </c>
      <c r="N429" s="29">
        <v>7</v>
      </c>
    </row>
    <row r="430" spans="1:14" ht="16.5" thickTop="1" thickBot="1" x14ac:dyDescent="0.3">
      <c r="A430" s="27" t="s">
        <v>111</v>
      </c>
      <c r="B430" s="25" t="s">
        <v>11</v>
      </c>
      <c r="C430" s="8" t="s">
        <v>0</v>
      </c>
      <c r="D430" s="7" t="s">
        <v>78</v>
      </c>
      <c r="E430" s="9" t="s">
        <v>67</v>
      </c>
      <c r="F430" s="10">
        <v>20</v>
      </c>
      <c r="G430" s="11" t="s">
        <v>73</v>
      </c>
      <c r="H430" s="7" t="s">
        <v>83</v>
      </c>
      <c r="I430" s="11" t="s">
        <v>30</v>
      </c>
      <c r="J430" s="11" t="s">
        <v>80</v>
      </c>
      <c r="K430" s="12">
        <v>600</v>
      </c>
      <c r="L430" s="12">
        <f t="shared" si="18"/>
        <v>30</v>
      </c>
      <c r="M430" s="12">
        <f t="shared" si="19"/>
        <v>570</v>
      </c>
      <c r="N430" s="29">
        <v>7</v>
      </c>
    </row>
    <row r="431" spans="1:14" ht="16.5" thickTop="1" thickBot="1" x14ac:dyDescent="0.3">
      <c r="A431" s="27" t="s">
        <v>111</v>
      </c>
      <c r="B431" s="25" t="s">
        <v>11</v>
      </c>
      <c r="C431" s="8" t="s">
        <v>0</v>
      </c>
      <c r="D431" s="7" t="s">
        <v>78</v>
      </c>
      <c r="E431" s="9" t="s">
        <v>67</v>
      </c>
      <c r="F431" s="10">
        <v>20</v>
      </c>
      <c r="G431" s="11" t="s">
        <v>74</v>
      </c>
      <c r="H431" s="7" t="s">
        <v>83</v>
      </c>
      <c r="I431" s="11" t="s">
        <v>30</v>
      </c>
      <c r="J431" s="11" t="s">
        <v>110</v>
      </c>
      <c r="K431" s="12">
        <v>600</v>
      </c>
      <c r="L431" s="12">
        <f t="shared" si="18"/>
        <v>30</v>
      </c>
      <c r="M431" s="12">
        <f t="shared" si="19"/>
        <v>570</v>
      </c>
      <c r="N431" s="29">
        <v>7</v>
      </c>
    </row>
    <row r="432" spans="1:14" ht="16.5" thickTop="1" thickBot="1" x14ac:dyDescent="0.3">
      <c r="A432" s="27" t="s">
        <v>111</v>
      </c>
      <c r="B432" s="25" t="s">
        <v>11</v>
      </c>
      <c r="C432" s="8" t="s">
        <v>0</v>
      </c>
      <c r="D432" s="7" t="s">
        <v>78</v>
      </c>
      <c r="E432" s="9" t="s">
        <v>67</v>
      </c>
      <c r="F432" s="10">
        <v>20</v>
      </c>
      <c r="G432" s="11" t="s">
        <v>75</v>
      </c>
      <c r="H432" s="7" t="s">
        <v>83</v>
      </c>
      <c r="I432" s="11" t="s">
        <v>30</v>
      </c>
      <c r="J432" s="11" t="s">
        <v>110</v>
      </c>
      <c r="K432" s="12">
        <v>600</v>
      </c>
      <c r="L432" s="12">
        <f t="shared" si="18"/>
        <v>30</v>
      </c>
      <c r="M432" s="12">
        <f t="shared" si="19"/>
        <v>570</v>
      </c>
      <c r="N432" s="29">
        <v>7</v>
      </c>
    </row>
    <row r="433" spans="1:14" ht="16.5" thickTop="1" thickBot="1" x14ac:dyDescent="0.3">
      <c r="A433" s="27" t="s">
        <v>111</v>
      </c>
      <c r="B433" s="25" t="s">
        <v>11</v>
      </c>
      <c r="C433" s="8" t="s">
        <v>0</v>
      </c>
      <c r="D433" s="7" t="s">
        <v>78</v>
      </c>
      <c r="E433" s="9" t="s">
        <v>67</v>
      </c>
      <c r="F433" s="10">
        <v>20</v>
      </c>
      <c r="G433" s="11" t="s">
        <v>76</v>
      </c>
      <c r="H433" s="7" t="s">
        <v>83</v>
      </c>
      <c r="I433" s="11" t="s">
        <v>30</v>
      </c>
      <c r="J433" s="11" t="s">
        <v>105</v>
      </c>
      <c r="K433" s="12">
        <v>600</v>
      </c>
      <c r="L433" s="12">
        <f t="shared" si="18"/>
        <v>30</v>
      </c>
      <c r="M433" s="12">
        <f t="shared" si="19"/>
        <v>570</v>
      </c>
      <c r="N433" s="29">
        <v>7</v>
      </c>
    </row>
    <row r="434" spans="1:14" ht="16.5" thickTop="1" thickBot="1" x14ac:dyDescent="0.3">
      <c r="A434" s="27" t="s">
        <v>111</v>
      </c>
      <c r="B434" s="25" t="s">
        <v>11</v>
      </c>
      <c r="C434" s="8" t="s">
        <v>0</v>
      </c>
      <c r="D434" s="7" t="s">
        <v>78</v>
      </c>
      <c r="E434" s="9" t="s">
        <v>67</v>
      </c>
      <c r="F434" s="10">
        <v>20</v>
      </c>
      <c r="G434" s="11" t="s">
        <v>77</v>
      </c>
      <c r="H434" s="7" t="s">
        <v>83</v>
      </c>
      <c r="I434" s="11" t="s">
        <v>30</v>
      </c>
      <c r="J434" s="11" t="s">
        <v>105</v>
      </c>
      <c r="K434" s="12">
        <v>600</v>
      </c>
      <c r="L434" s="12">
        <f t="shared" si="18"/>
        <v>30</v>
      </c>
      <c r="M434" s="12">
        <f t="shared" si="19"/>
        <v>570</v>
      </c>
      <c r="N434" s="29">
        <v>7</v>
      </c>
    </row>
    <row r="435" spans="1:14" ht="16.5" thickTop="1" thickBot="1" x14ac:dyDescent="0.3">
      <c r="A435" s="27" t="s">
        <v>111</v>
      </c>
      <c r="B435" s="25" t="s">
        <v>22</v>
      </c>
      <c r="C435" s="8" t="s">
        <v>25</v>
      </c>
      <c r="D435" s="7" t="s">
        <v>79</v>
      </c>
      <c r="E435" s="9" t="s">
        <v>67</v>
      </c>
      <c r="F435" s="10">
        <v>5</v>
      </c>
      <c r="G435" s="11" t="s">
        <v>26</v>
      </c>
      <c r="H435" s="7" t="s">
        <v>83</v>
      </c>
      <c r="I435" s="11" t="s">
        <v>7</v>
      </c>
      <c r="J435" s="11" t="s">
        <v>80</v>
      </c>
      <c r="K435" s="12">
        <v>19790.640856350001</v>
      </c>
      <c r="L435" s="12">
        <v>0</v>
      </c>
      <c r="M435" s="12">
        <f t="shared" si="19"/>
        <v>19790.640856350001</v>
      </c>
      <c r="N435" s="29">
        <v>26</v>
      </c>
    </row>
    <row r="436" spans="1:14" ht="16.5" thickTop="1" thickBot="1" x14ac:dyDescent="0.3">
      <c r="A436" s="27" t="s">
        <v>111</v>
      </c>
      <c r="B436" s="25" t="s">
        <v>22</v>
      </c>
      <c r="C436" s="8" t="s">
        <v>25</v>
      </c>
      <c r="D436" s="7" t="s">
        <v>79</v>
      </c>
      <c r="E436" s="9" t="s">
        <v>67</v>
      </c>
      <c r="F436" s="10">
        <v>5</v>
      </c>
      <c r="G436" s="11" t="s">
        <v>26</v>
      </c>
      <c r="H436" s="7" t="s">
        <v>83</v>
      </c>
      <c r="I436" s="11" t="s">
        <v>9</v>
      </c>
      <c r="J436" s="11" t="s">
        <v>80</v>
      </c>
      <c r="K436" s="12">
        <v>4336.4128715999996</v>
      </c>
      <c r="L436" s="12">
        <v>0</v>
      </c>
      <c r="M436" s="12">
        <f t="shared" si="19"/>
        <v>4336.4128715999996</v>
      </c>
      <c r="N436" s="29">
        <v>26</v>
      </c>
    </row>
    <row r="437" spans="1:14" ht="16.5" thickTop="1" thickBot="1" x14ac:dyDescent="0.3">
      <c r="A437" s="27" t="s">
        <v>111</v>
      </c>
      <c r="B437" s="25" t="s">
        <v>22</v>
      </c>
      <c r="C437" s="8" t="s">
        <v>25</v>
      </c>
      <c r="D437" s="7" t="s">
        <v>79</v>
      </c>
      <c r="E437" s="9" t="s">
        <v>67</v>
      </c>
      <c r="F437" s="10">
        <v>5</v>
      </c>
      <c r="G437" s="11" t="s">
        <v>27</v>
      </c>
      <c r="H437" s="7" t="s">
        <v>83</v>
      </c>
      <c r="I437" s="11" t="s">
        <v>7</v>
      </c>
      <c r="J437" s="11" t="s">
        <v>80</v>
      </c>
      <c r="K437" s="12">
        <v>19790.640856349997</v>
      </c>
      <c r="L437" s="12">
        <v>0</v>
      </c>
      <c r="M437" s="12">
        <f t="shared" si="19"/>
        <v>19790.640856349997</v>
      </c>
      <c r="N437" s="29">
        <v>26</v>
      </c>
    </row>
    <row r="438" spans="1:14" ht="16.5" thickTop="1" thickBot="1" x14ac:dyDescent="0.3">
      <c r="A438" s="27" t="s">
        <v>111</v>
      </c>
      <c r="B438" s="25" t="s">
        <v>22</v>
      </c>
      <c r="C438" s="8" t="s">
        <v>25</v>
      </c>
      <c r="D438" s="7" t="s">
        <v>79</v>
      </c>
      <c r="E438" s="9" t="s">
        <v>67</v>
      </c>
      <c r="F438" s="10">
        <v>5</v>
      </c>
      <c r="G438" s="11" t="s">
        <v>27</v>
      </c>
      <c r="H438" s="7" t="s">
        <v>83</v>
      </c>
      <c r="I438" s="11" t="s">
        <v>9</v>
      </c>
      <c r="J438" s="11" t="s">
        <v>80</v>
      </c>
      <c r="K438" s="12">
        <v>4336.4128715999996</v>
      </c>
      <c r="L438" s="12">
        <v>0</v>
      </c>
      <c r="M438" s="12">
        <f t="shared" si="19"/>
        <v>4336.4128715999996</v>
      </c>
      <c r="N438" s="29">
        <v>26</v>
      </c>
    </row>
    <row r="439" spans="1:14" ht="16.5" thickTop="1" thickBot="1" x14ac:dyDescent="0.3">
      <c r="A439" s="27" t="s">
        <v>111</v>
      </c>
      <c r="B439" s="25" t="s">
        <v>22</v>
      </c>
      <c r="C439" s="8" t="s">
        <v>25</v>
      </c>
      <c r="D439" s="7" t="s">
        <v>79</v>
      </c>
      <c r="E439" s="9" t="s">
        <v>67</v>
      </c>
      <c r="F439" s="10">
        <v>5</v>
      </c>
      <c r="G439" s="11" t="s">
        <v>27</v>
      </c>
      <c r="H439" s="7" t="s">
        <v>83</v>
      </c>
      <c r="I439" s="11" t="s">
        <v>113</v>
      </c>
      <c r="J439" s="11" t="s">
        <v>80</v>
      </c>
      <c r="K439" s="12">
        <v>1823.589144</v>
      </c>
      <c r="L439" s="12">
        <v>0</v>
      </c>
      <c r="M439" s="12">
        <f t="shared" si="19"/>
        <v>1823.589144</v>
      </c>
      <c r="N439" s="29">
        <v>26</v>
      </c>
    </row>
    <row r="440" spans="1:14" ht="16.5" thickTop="1" thickBot="1" x14ac:dyDescent="0.3">
      <c r="A440" s="27" t="s">
        <v>111</v>
      </c>
      <c r="B440" s="25" t="s">
        <v>13</v>
      </c>
      <c r="C440" s="8" t="s">
        <v>25</v>
      </c>
      <c r="D440" s="7" t="s">
        <v>79</v>
      </c>
      <c r="E440" s="9" t="s">
        <v>67</v>
      </c>
      <c r="F440" s="10">
        <v>20</v>
      </c>
      <c r="G440" s="11" t="s">
        <v>28</v>
      </c>
      <c r="H440" s="7" t="s">
        <v>84</v>
      </c>
      <c r="I440" s="11" t="s">
        <v>9</v>
      </c>
      <c r="J440" s="11" t="s">
        <v>80</v>
      </c>
      <c r="K440" s="12">
        <v>4035.7539000000002</v>
      </c>
      <c r="L440" s="12">
        <f>K440*16%</f>
        <v>645.72062400000004</v>
      </c>
      <c r="M440" s="12">
        <f t="shared" si="19"/>
        <v>3390.0332760000001</v>
      </c>
      <c r="N440" s="29">
        <v>10</v>
      </c>
    </row>
    <row r="441" spans="1:14" ht="16.5" thickTop="1" thickBot="1" x14ac:dyDescent="0.3">
      <c r="A441" s="27" t="s">
        <v>111</v>
      </c>
      <c r="B441" s="25" t="s">
        <v>11</v>
      </c>
      <c r="C441" s="8" t="s">
        <v>25</v>
      </c>
      <c r="D441" s="7" t="s">
        <v>79</v>
      </c>
      <c r="E441" s="9" t="s">
        <v>67</v>
      </c>
      <c r="F441" s="10">
        <v>20</v>
      </c>
      <c r="G441" s="11" t="s">
        <v>29</v>
      </c>
      <c r="H441" s="7" t="s">
        <v>83</v>
      </c>
      <c r="I441" s="11" t="s">
        <v>30</v>
      </c>
      <c r="J441" s="11" t="s">
        <v>80</v>
      </c>
      <c r="K441" s="12">
        <v>500</v>
      </c>
      <c r="L441" s="12">
        <f>K441*5%</f>
        <v>25</v>
      </c>
      <c r="M441" s="12">
        <f t="shared" si="19"/>
        <v>475</v>
      </c>
      <c r="N441" s="29">
        <v>10</v>
      </c>
    </row>
    <row r="442" spans="1:14" ht="16.5" thickTop="1" thickBot="1" x14ac:dyDescent="0.3">
      <c r="A442" s="27" t="s">
        <v>111</v>
      </c>
      <c r="B442" s="25" t="s">
        <v>22</v>
      </c>
      <c r="C442" s="8" t="s">
        <v>25</v>
      </c>
      <c r="D442" s="7" t="s">
        <v>79</v>
      </c>
      <c r="E442" s="9" t="s">
        <v>67</v>
      </c>
      <c r="F442" s="10">
        <v>20</v>
      </c>
      <c r="G442" s="11" t="s">
        <v>29</v>
      </c>
      <c r="H442" s="7" t="s">
        <v>83</v>
      </c>
      <c r="I442" s="11" t="s">
        <v>9</v>
      </c>
      <c r="J442" s="11" t="s">
        <v>80</v>
      </c>
      <c r="K442" s="12">
        <v>3379.6440000000002</v>
      </c>
      <c r="L442" s="12">
        <v>0</v>
      </c>
      <c r="M442" s="12">
        <f t="shared" si="19"/>
        <v>3379.6440000000002</v>
      </c>
      <c r="N442" s="29">
        <v>10</v>
      </c>
    </row>
    <row r="443" spans="1:14" ht="16.5" thickTop="1" thickBot="1" x14ac:dyDescent="0.3">
      <c r="A443" s="27" t="s">
        <v>111</v>
      </c>
      <c r="B443" s="25" t="s">
        <v>22</v>
      </c>
      <c r="C443" s="8" t="s">
        <v>25</v>
      </c>
      <c r="D443" s="7" t="s">
        <v>79</v>
      </c>
      <c r="E443" s="9" t="s">
        <v>67</v>
      </c>
      <c r="F443" s="10">
        <v>20</v>
      </c>
      <c r="G443" s="13" t="s">
        <v>31</v>
      </c>
      <c r="H443" s="7" t="s">
        <v>83</v>
      </c>
      <c r="I443" s="11" t="s">
        <v>7</v>
      </c>
      <c r="J443" s="11" t="s">
        <v>80</v>
      </c>
      <c r="K443" s="12">
        <v>17800</v>
      </c>
      <c r="L443" s="12">
        <v>0</v>
      </c>
      <c r="M443" s="12">
        <f t="shared" si="19"/>
        <v>17800</v>
      </c>
      <c r="N443" s="29">
        <v>30</v>
      </c>
    </row>
    <row r="444" spans="1:14" ht="16.5" thickTop="1" thickBot="1" x14ac:dyDescent="0.3">
      <c r="A444" s="27" t="s">
        <v>111</v>
      </c>
      <c r="B444" s="25" t="s">
        <v>5</v>
      </c>
      <c r="C444" s="8" t="s">
        <v>25</v>
      </c>
      <c r="D444" s="7" t="s">
        <v>79</v>
      </c>
      <c r="E444" s="9" t="s">
        <v>67</v>
      </c>
      <c r="F444" s="10">
        <v>20</v>
      </c>
      <c r="G444" s="11" t="s">
        <v>32</v>
      </c>
      <c r="H444" s="7" t="s">
        <v>83</v>
      </c>
      <c r="I444" s="11" t="s">
        <v>7</v>
      </c>
      <c r="J444" s="11" t="s">
        <v>80</v>
      </c>
      <c r="K444" s="12">
        <v>20160.015344324998</v>
      </c>
      <c r="L444" s="12">
        <f>K444*5%</f>
        <v>1008.00076721625</v>
      </c>
      <c r="M444" s="12">
        <f t="shared" si="19"/>
        <v>19152.014577108748</v>
      </c>
      <c r="N444" s="29">
        <v>10</v>
      </c>
    </row>
    <row r="445" spans="1:14" ht="16.5" thickTop="1" thickBot="1" x14ac:dyDescent="0.3">
      <c r="A445" s="27" t="s">
        <v>111</v>
      </c>
      <c r="B445" s="25" t="s">
        <v>5</v>
      </c>
      <c r="C445" s="8" t="s">
        <v>25</v>
      </c>
      <c r="D445" s="7" t="s">
        <v>79</v>
      </c>
      <c r="E445" s="9" t="s">
        <v>67</v>
      </c>
      <c r="F445" s="10">
        <v>20</v>
      </c>
      <c r="G445" s="11" t="s">
        <v>32</v>
      </c>
      <c r="H445" s="7" t="s">
        <v>83</v>
      </c>
      <c r="I445" s="11" t="s">
        <v>97</v>
      </c>
      <c r="J445" s="11" t="s">
        <v>80</v>
      </c>
      <c r="K445" s="12">
        <v>10053.314351999999</v>
      </c>
      <c r="L445" s="12">
        <f>K445*5%</f>
        <v>502.66571759999999</v>
      </c>
      <c r="M445" s="12">
        <f t="shared" si="19"/>
        <v>9550.6486343999986</v>
      </c>
      <c r="N445" s="29">
        <v>10</v>
      </c>
    </row>
    <row r="446" spans="1:14" ht="16.5" thickTop="1" thickBot="1" x14ac:dyDescent="0.3">
      <c r="A446" s="27" t="s">
        <v>111</v>
      </c>
      <c r="B446" s="25" t="s">
        <v>11</v>
      </c>
      <c r="C446" s="8" t="s">
        <v>25</v>
      </c>
      <c r="D446" s="7" t="s">
        <v>79</v>
      </c>
      <c r="E446" s="9" t="s">
        <v>67</v>
      </c>
      <c r="F446" s="10">
        <v>20</v>
      </c>
      <c r="G446" s="11" t="s">
        <v>32</v>
      </c>
      <c r="H446" s="7" t="s">
        <v>83</v>
      </c>
      <c r="I446" s="11" t="s">
        <v>30</v>
      </c>
      <c r="J446" s="11" t="s">
        <v>80</v>
      </c>
      <c r="K446" s="12">
        <v>200</v>
      </c>
      <c r="L446" s="12">
        <f>K446*5%</f>
        <v>10</v>
      </c>
      <c r="M446" s="12">
        <f t="shared" si="19"/>
        <v>190</v>
      </c>
      <c r="N446" s="29">
        <v>10</v>
      </c>
    </row>
    <row r="447" spans="1:14" ht="16.5" thickTop="1" thickBot="1" x14ac:dyDescent="0.3">
      <c r="A447" s="27" t="s">
        <v>111</v>
      </c>
      <c r="B447" s="25" t="s">
        <v>5</v>
      </c>
      <c r="C447" s="8" t="s">
        <v>25</v>
      </c>
      <c r="D447" s="7" t="s">
        <v>79</v>
      </c>
      <c r="E447" s="9" t="s">
        <v>67</v>
      </c>
      <c r="F447" s="10">
        <v>20</v>
      </c>
      <c r="G447" s="11" t="s">
        <v>32</v>
      </c>
      <c r="H447" s="7" t="s">
        <v>83</v>
      </c>
      <c r="I447" s="11" t="s">
        <v>7</v>
      </c>
      <c r="J447" s="11" t="s">
        <v>80</v>
      </c>
      <c r="K447" s="12">
        <v>10106.5959</v>
      </c>
      <c r="L447" s="12">
        <f>K447*5%</f>
        <v>505.32979500000005</v>
      </c>
      <c r="M447" s="12">
        <f t="shared" si="19"/>
        <v>9601.2661050000006</v>
      </c>
      <c r="N447" s="29">
        <v>10</v>
      </c>
    </row>
    <row r="448" spans="1:14" ht="16.5" thickTop="1" thickBot="1" x14ac:dyDescent="0.3">
      <c r="A448" s="27" t="s">
        <v>111</v>
      </c>
      <c r="B448" s="25" t="s">
        <v>5</v>
      </c>
      <c r="C448" s="8" t="s">
        <v>25</v>
      </c>
      <c r="D448" s="7" t="s">
        <v>79</v>
      </c>
      <c r="E448" s="9" t="s">
        <v>67</v>
      </c>
      <c r="F448" s="10">
        <v>20</v>
      </c>
      <c r="G448" s="11" t="s">
        <v>32</v>
      </c>
      <c r="H448" s="7" t="s">
        <v>83</v>
      </c>
      <c r="I448" s="11" t="s">
        <v>98</v>
      </c>
      <c r="J448" s="11" t="s">
        <v>80</v>
      </c>
      <c r="K448" s="12">
        <v>12935</v>
      </c>
      <c r="L448" s="12">
        <f>K448*5%</f>
        <v>646.75</v>
      </c>
      <c r="M448" s="12">
        <f>K448-L448</f>
        <v>12288.25</v>
      </c>
      <c r="N448" s="29">
        <v>10</v>
      </c>
    </row>
    <row r="449" spans="1:14" ht="16.5" thickTop="1" thickBot="1" x14ac:dyDescent="0.3">
      <c r="A449" s="27" t="s">
        <v>111</v>
      </c>
      <c r="B449" s="25" t="s">
        <v>10</v>
      </c>
      <c r="C449" s="8" t="s">
        <v>25</v>
      </c>
      <c r="D449" s="7" t="s">
        <v>79</v>
      </c>
      <c r="E449" s="9" t="s">
        <v>67</v>
      </c>
      <c r="F449" s="10">
        <v>20</v>
      </c>
      <c r="G449" s="11" t="s">
        <v>32</v>
      </c>
      <c r="H449" s="7" t="s">
        <v>83</v>
      </c>
      <c r="I449" s="11" t="s">
        <v>96</v>
      </c>
      <c r="J449" s="11" t="s">
        <v>80</v>
      </c>
      <c r="K449" s="12">
        <v>2000</v>
      </c>
      <c r="L449" s="12">
        <f>0</f>
        <v>0</v>
      </c>
      <c r="M449" s="12">
        <f t="shared" si="19"/>
        <v>2000</v>
      </c>
      <c r="N449" s="29">
        <v>10</v>
      </c>
    </row>
    <row r="450" spans="1:14" ht="16.5" thickTop="1" thickBot="1" x14ac:dyDescent="0.3">
      <c r="A450" s="27" t="s">
        <v>111</v>
      </c>
      <c r="B450" s="25" t="s">
        <v>11</v>
      </c>
      <c r="C450" s="8" t="s">
        <v>25</v>
      </c>
      <c r="D450" s="7" t="s">
        <v>79</v>
      </c>
      <c r="E450" s="9" t="s">
        <v>67</v>
      </c>
      <c r="F450" s="10">
        <v>15</v>
      </c>
      <c r="G450" s="11" t="s">
        <v>33</v>
      </c>
      <c r="H450" s="7" t="s">
        <v>83</v>
      </c>
      <c r="I450" s="11" t="s">
        <v>7</v>
      </c>
      <c r="J450" s="11" t="s">
        <v>80</v>
      </c>
      <c r="K450" s="12">
        <v>20389.18</v>
      </c>
      <c r="L450" s="12">
        <f>K450*16%</f>
        <v>3262.2688000000003</v>
      </c>
      <c r="M450" s="12">
        <f t="shared" si="19"/>
        <v>17126.911199999999</v>
      </c>
      <c r="N450" s="29">
        <v>30</v>
      </c>
    </row>
    <row r="451" spans="1:14" ht="16.5" thickTop="1" thickBot="1" x14ac:dyDescent="0.3">
      <c r="A451" s="27" t="s">
        <v>111</v>
      </c>
      <c r="B451" s="25" t="s">
        <v>22</v>
      </c>
      <c r="C451" s="8" t="s">
        <v>25</v>
      </c>
      <c r="D451" s="7" t="s">
        <v>79</v>
      </c>
      <c r="E451" s="9" t="s">
        <v>67</v>
      </c>
      <c r="F451" s="10">
        <v>15</v>
      </c>
      <c r="G451" s="11" t="s">
        <v>120</v>
      </c>
      <c r="H451" s="7" t="s">
        <v>83</v>
      </c>
      <c r="I451" s="11" t="s">
        <v>9</v>
      </c>
      <c r="J451" s="11" t="s">
        <v>80</v>
      </c>
      <c r="K451" s="12">
        <v>3879.37</v>
      </c>
      <c r="L451" s="12">
        <v>0</v>
      </c>
      <c r="M451" s="12">
        <f>K451-L451</f>
        <v>3879.37</v>
      </c>
      <c r="N451" s="29">
        <v>30</v>
      </c>
    </row>
    <row r="452" spans="1:14" ht="16.5" thickTop="1" thickBot="1" x14ac:dyDescent="0.3">
      <c r="A452" s="27" t="s">
        <v>111</v>
      </c>
      <c r="B452" s="25" t="s">
        <v>22</v>
      </c>
      <c r="C452" s="8" t="s">
        <v>25</v>
      </c>
      <c r="D452" s="7" t="s">
        <v>79</v>
      </c>
      <c r="E452" s="9" t="s">
        <v>67</v>
      </c>
      <c r="F452" s="10">
        <v>15</v>
      </c>
      <c r="G452" s="11" t="s">
        <v>33</v>
      </c>
      <c r="H452" s="7" t="s">
        <v>83</v>
      </c>
      <c r="I452" s="11" t="s">
        <v>9</v>
      </c>
      <c r="J452" s="11" t="s">
        <v>80</v>
      </c>
      <c r="K452" s="12">
        <v>7758.74</v>
      </c>
      <c r="L452" s="12">
        <v>0</v>
      </c>
      <c r="M452" s="12">
        <f t="shared" si="19"/>
        <v>7758.74</v>
      </c>
      <c r="N452" s="29">
        <v>30</v>
      </c>
    </row>
    <row r="453" spans="1:14" ht="16.5" thickTop="1" thickBot="1" x14ac:dyDescent="0.3">
      <c r="A453" s="27" t="s">
        <v>111</v>
      </c>
      <c r="B453" s="25" t="s">
        <v>11</v>
      </c>
      <c r="C453" s="8" t="s">
        <v>25</v>
      </c>
      <c r="D453" s="7" t="s">
        <v>79</v>
      </c>
      <c r="E453" s="9" t="s">
        <v>67</v>
      </c>
      <c r="F453" s="10">
        <v>15</v>
      </c>
      <c r="G453" s="11" t="s">
        <v>33</v>
      </c>
      <c r="H453" s="7" t="s">
        <v>83</v>
      </c>
      <c r="I453" s="11" t="s">
        <v>30</v>
      </c>
      <c r="J453" s="11" t="s">
        <v>80</v>
      </c>
      <c r="K453" s="12">
        <v>200</v>
      </c>
      <c r="L453" s="12">
        <f>K453*5%</f>
        <v>10</v>
      </c>
      <c r="M453" s="12">
        <f t="shared" si="19"/>
        <v>190</v>
      </c>
      <c r="N453" s="29">
        <v>30</v>
      </c>
    </row>
    <row r="454" spans="1:14" ht="16.5" thickTop="1" thickBot="1" x14ac:dyDescent="0.3">
      <c r="A454" s="27" t="s">
        <v>111</v>
      </c>
      <c r="B454" s="25" t="s">
        <v>22</v>
      </c>
      <c r="C454" s="8" t="s">
        <v>60</v>
      </c>
      <c r="D454" s="7" t="s">
        <v>79</v>
      </c>
      <c r="E454" s="9" t="s">
        <v>67</v>
      </c>
      <c r="F454" s="10">
        <v>1</v>
      </c>
      <c r="G454" s="11" t="s">
        <v>34</v>
      </c>
      <c r="H454" s="7" t="s">
        <v>87</v>
      </c>
      <c r="I454" s="11" t="s">
        <v>20</v>
      </c>
      <c r="J454" s="11" t="s">
        <v>105</v>
      </c>
      <c r="K454" s="12">
        <v>36969.404166</v>
      </c>
      <c r="L454" s="12">
        <v>0</v>
      </c>
      <c r="M454" s="12">
        <f t="shared" si="19"/>
        <v>36969.404166</v>
      </c>
      <c r="N454" s="29">
        <v>30</v>
      </c>
    </row>
    <row r="455" spans="1:14" ht="16.5" thickTop="1" thickBot="1" x14ac:dyDescent="0.3">
      <c r="A455" s="27" t="s">
        <v>111</v>
      </c>
      <c r="B455" s="25" t="s">
        <v>22</v>
      </c>
      <c r="C455" s="8" t="s">
        <v>60</v>
      </c>
      <c r="D455" s="7" t="s">
        <v>79</v>
      </c>
      <c r="E455" s="9" t="s">
        <v>67</v>
      </c>
      <c r="F455" s="10">
        <v>1</v>
      </c>
      <c r="G455" s="11" t="s">
        <v>34</v>
      </c>
      <c r="H455" s="7" t="s">
        <v>87</v>
      </c>
      <c r="I455" s="11" t="s">
        <v>9</v>
      </c>
      <c r="J455" s="11" t="s">
        <v>105</v>
      </c>
      <c r="K455" s="12">
        <v>30185.123490000002</v>
      </c>
      <c r="L455" s="12">
        <v>0</v>
      </c>
      <c r="M455" s="12">
        <f t="shared" si="19"/>
        <v>30185.123490000002</v>
      </c>
      <c r="N455" s="29">
        <v>30</v>
      </c>
    </row>
    <row r="456" spans="1:14" ht="16.5" thickTop="1" thickBot="1" x14ac:dyDescent="0.3">
      <c r="A456" s="27" t="s">
        <v>111</v>
      </c>
      <c r="B456" s="25" t="s">
        <v>22</v>
      </c>
      <c r="C456" s="8" t="s">
        <v>60</v>
      </c>
      <c r="D456" s="7" t="s">
        <v>79</v>
      </c>
      <c r="E456" s="9" t="s">
        <v>67</v>
      </c>
      <c r="F456" s="10">
        <v>1</v>
      </c>
      <c r="G456" s="11" t="s">
        <v>35</v>
      </c>
      <c r="H456" s="7" t="s">
        <v>83</v>
      </c>
      <c r="I456" s="11" t="s">
        <v>9</v>
      </c>
      <c r="J456" s="11" t="s">
        <v>105</v>
      </c>
      <c r="K456" s="12">
        <v>21581.665982999999</v>
      </c>
      <c r="L456" s="12">
        <v>0</v>
      </c>
      <c r="M456" s="12">
        <f t="shared" si="19"/>
        <v>21581.665982999999</v>
      </c>
      <c r="N456" s="29">
        <v>30</v>
      </c>
    </row>
    <row r="457" spans="1:14" ht="16.5" thickTop="1" thickBot="1" x14ac:dyDescent="0.3">
      <c r="A457" s="27" t="s">
        <v>111</v>
      </c>
      <c r="B457" s="25" t="s">
        <v>22</v>
      </c>
      <c r="C457" s="8" t="s">
        <v>60</v>
      </c>
      <c r="D457" s="7" t="s">
        <v>79</v>
      </c>
      <c r="E457" s="9" t="s">
        <v>67</v>
      </c>
      <c r="F457" s="10">
        <v>1</v>
      </c>
      <c r="G457" s="11" t="s">
        <v>36</v>
      </c>
      <c r="H457" s="7" t="s">
        <v>89</v>
      </c>
      <c r="I457" s="11" t="s">
        <v>20</v>
      </c>
      <c r="J457" s="11" t="s">
        <v>105</v>
      </c>
      <c r="K457" s="12">
        <v>36969.404166</v>
      </c>
      <c r="L457" s="12">
        <v>0</v>
      </c>
      <c r="M457" s="12">
        <f t="shared" si="19"/>
        <v>36969.404166</v>
      </c>
      <c r="N457" s="29">
        <v>30</v>
      </c>
    </row>
    <row r="458" spans="1:14" ht="16.5" thickTop="1" thickBot="1" x14ac:dyDescent="0.3">
      <c r="A458" s="27" t="s">
        <v>111</v>
      </c>
      <c r="B458" s="25" t="s">
        <v>22</v>
      </c>
      <c r="C458" s="8" t="s">
        <v>60</v>
      </c>
      <c r="D458" s="7" t="s">
        <v>79</v>
      </c>
      <c r="E458" s="9" t="s">
        <v>67</v>
      </c>
      <c r="F458" s="10">
        <v>1</v>
      </c>
      <c r="G458" s="11" t="s">
        <v>36</v>
      </c>
      <c r="H458" s="7" t="s">
        <v>89</v>
      </c>
      <c r="I458" s="11" t="s">
        <v>9</v>
      </c>
      <c r="J458" s="11" t="s">
        <v>105</v>
      </c>
      <c r="K458" s="12">
        <v>30185.123490000002</v>
      </c>
      <c r="L458" s="12">
        <v>0</v>
      </c>
      <c r="M458" s="12">
        <f t="shared" si="19"/>
        <v>30185.123490000002</v>
      </c>
      <c r="N458" s="29">
        <v>30</v>
      </c>
    </row>
    <row r="459" spans="1:14" ht="16.5" thickTop="1" thickBot="1" x14ac:dyDescent="0.3">
      <c r="A459" s="27" t="s">
        <v>111</v>
      </c>
      <c r="B459" s="25" t="s">
        <v>22</v>
      </c>
      <c r="C459" s="8" t="s">
        <v>60</v>
      </c>
      <c r="D459" s="7" t="s">
        <v>79</v>
      </c>
      <c r="E459" s="9" t="s">
        <v>67</v>
      </c>
      <c r="F459" s="10">
        <v>1</v>
      </c>
      <c r="G459" s="11" t="s">
        <v>37</v>
      </c>
      <c r="H459" s="7" t="s">
        <v>85</v>
      </c>
      <c r="I459" s="11" t="s">
        <v>9</v>
      </c>
      <c r="J459" s="11" t="s">
        <v>105</v>
      </c>
      <c r="K459" s="12">
        <v>12949.001676</v>
      </c>
      <c r="L459" s="12">
        <v>0</v>
      </c>
      <c r="M459" s="12">
        <f t="shared" si="19"/>
        <v>12949.001676</v>
      </c>
      <c r="N459" s="29">
        <v>30</v>
      </c>
    </row>
    <row r="460" spans="1:14" ht="16.5" thickTop="1" thickBot="1" x14ac:dyDescent="0.3">
      <c r="A460" s="27" t="s">
        <v>111</v>
      </c>
      <c r="B460" s="25" t="s">
        <v>22</v>
      </c>
      <c r="C460" s="8" t="s">
        <v>60</v>
      </c>
      <c r="D460" s="7" t="s">
        <v>79</v>
      </c>
      <c r="E460" s="9" t="s">
        <v>67</v>
      </c>
      <c r="F460" s="10">
        <v>1</v>
      </c>
      <c r="G460" s="11" t="s">
        <v>93</v>
      </c>
      <c r="H460" s="7" t="s">
        <v>85</v>
      </c>
      <c r="I460" s="11" t="s">
        <v>9</v>
      </c>
      <c r="J460" s="11" t="s">
        <v>105</v>
      </c>
      <c r="K460" s="12">
        <v>17265.328613999998</v>
      </c>
      <c r="L460" s="12">
        <v>0</v>
      </c>
      <c r="M460" s="12">
        <f t="shared" si="19"/>
        <v>17265.328613999998</v>
      </c>
      <c r="N460" s="29">
        <v>30</v>
      </c>
    </row>
    <row r="461" spans="1:14" ht="16.5" thickTop="1" thickBot="1" x14ac:dyDescent="0.3">
      <c r="A461" s="27" t="s">
        <v>111</v>
      </c>
      <c r="B461" s="25" t="s">
        <v>22</v>
      </c>
      <c r="C461" s="8" t="s">
        <v>60</v>
      </c>
      <c r="D461" s="7" t="s">
        <v>79</v>
      </c>
      <c r="E461" s="9" t="s">
        <v>67</v>
      </c>
      <c r="F461" s="10">
        <v>1</v>
      </c>
      <c r="G461" s="11" t="s">
        <v>38</v>
      </c>
      <c r="H461" s="7" t="s">
        <v>85</v>
      </c>
      <c r="I461" s="11" t="s">
        <v>9</v>
      </c>
      <c r="J461" s="11" t="s">
        <v>105</v>
      </c>
      <c r="K461" s="12">
        <v>8632.6643069999991</v>
      </c>
      <c r="L461" s="12">
        <v>0</v>
      </c>
      <c r="M461" s="12">
        <f t="shared" si="19"/>
        <v>8632.6643069999991</v>
      </c>
      <c r="N461" s="29">
        <v>30</v>
      </c>
    </row>
    <row r="462" spans="1:14" ht="16.5" thickTop="1" thickBot="1" x14ac:dyDescent="0.3">
      <c r="A462" s="27" t="s">
        <v>111</v>
      </c>
      <c r="B462" s="25" t="s">
        <v>11</v>
      </c>
      <c r="C462" s="8" t="s">
        <v>60</v>
      </c>
      <c r="D462" s="7" t="s">
        <v>79</v>
      </c>
      <c r="E462" s="9" t="s">
        <v>67</v>
      </c>
      <c r="F462" s="10">
        <v>20</v>
      </c>
      <c r="G462" s="11" t="s">
        <v>119</v>
      </c>
      <c r="H462" s="7" t="s">
        <v>85</v>
      </c>
      <c r="I462" s="11" t="s">
        <v>7</v>
      </c>
      <c r="J462" s="11" t="s">
        <v>103</v>
      </c>
      <c r="K462" s="12">
        <v>17200</v>
      </c>
      <c r="L462" s="12">
        <f>K462*16%</f>
        <v>2752</v>
      </c>
      <c r="M462" s="12">
        <f t="shared" si="19"/>
        <v>14448</v>
      </c>
      <c r="N462" s="29">
        <v>20</v>
      </c>
    </row>
    <row r="463" spans="1:14" ht="16.5" thickTop="1" thickBot="1" x14ac:dyDescent="0.3">
      <c r="A463" s="27" t="s">
        <v>111</v>
      </c>
      <c r="B463" s="25" t="s">
        <v>13</v>
      </c>
      <c r="C463" s="8" t="s">
        <v>60</v>
      </c>
      <c r="D463" s="7" t="s">
        <v>79</v>
      </c>
      <c r="E463" s="9" t="s">
        <v>67</v>
      </c>
      <c r="F463" s="10">
        <v>20</v>
      </c>
      <c r="G463" s="11" t="s">
        <v>119</v>
      </c>
      <c r="H463" s="7" t="s">
        <v>85</v>
      </c>
      <c r="I463" s="11" t="s">
        <v>9</v>
      </c>
      <c r="J463" s="11" t="s">
        <v>103</v>
      </c>
      <c r="K463" s="12">
        <v>7800</v>
      </c>
      <c r="L463" s="12">
        <f>K463*16%</f>
        <v>1248</v>
      </c>
      <c r="M463" s="12">
        <f t="shared" si="19"/>
        <v>6552</v>
      </c>
      <c r="N463" s="29">
        <v>20</v>
      </c>
    </row>
    <row r="464" spans="1:14" ht="16.5" thickTop="1" thickBot="1" x14ac:dyDescent="0.3">
      <c r="A464" s="27" t="s">
        <v>111</v>
      </c>
      <c r="B464" s="25" t="s">
        <v>13</v>
      </c>
      <c r="C464" s="8" t="s">
        <v>60</v>
      </c>
      <c r="D464" s="7" t="s">
        <v>79</v>
      </c>
      <c r="E464" s="9" t="s">
        <v>67</v>
      </c>
      <c r="F464" s="10">
        <v>20</v>
      </c>
      <c r="G464" s="11" t="s">
        <v>119</v>
      </c>
      <c r="H464" s="7" t="s">
        <v>85</v>
      </c>
      <c r="I464" s="11" t="s">
        <v>15</v>
      </c>
      <c r="J464" s="11" t="s">
        <v>103</v>
      </c>
      <c r="K464" s="12">
        <v>4590</v>
      </c>
      <c r="L464" s="12">
        <f>K464*16%</f>
        <v>734.4</v>
      </c>
      <c r="M464" s="12">
        <f t="shared" si="19"/>
        <v>3855.6</v>
      </c>
      <c r="N464" s="29">
        <v>20</v>
      </c>
    </row>
    <row r="465" spans="1:14" ht="16.5" thickTop="1" thickBot="1" x14ac:dyDescent="0.3">
      <c r="A465" s="27" t="s">
        <v>111</v>
      </c>
      <c r="B465" s="25" t="s">
        <v>10</v>
      </c>
      <c r="C465" s="8" t="s">
        <v>60</v>
      </c>
      <c r="D465" s="7" t="s">
        <v>79</v>
      </c>
      <c r="E465" s="9" t="s">
        <v>67</v>
      </c>
      <c r="F465" s="10">
        <v>20</v>
      </c>
      <c r="G465" s="11" t="s">
        <v>119</v>
      </c>
      <c r="H465" s="7" t="s">
        <v>85</v>
      </c>
      <c r="I465" s="11" t="s">
        <v>96</v>
      </c>
      <c r="J465" s="11" t="s">
        <v>103</v>
      </c>
      <c r="K465" s="12">
        <v>1785.7</v>
      </c>
      <c r="L465" s="12">
        <v>0</v>
      </c>
      <c r="M465" s="12">
        <f t="shared" si="19"/>
        <v>1785.7</v>
      </c>
      <c r="N465" s="29">
        <v>20</v>
      </c>
    </row>
    <row r="466" spans="1:14" ht="16.5" thickTop="1" thickBot="1" x14ac:dyDescent="0.3">
      <c r="A466" s="27" t="s">
        <v>111</v>
      </c>
      <c r="B466" s="25" t="s">
        <v>13</v>
      </c>
      <c r="C466" s="8" t="s">
        <v>60</v>
      </c>
      <c r="D466" s="7" t="s">
        <v>79</v>
      </c>
      <c r="E466" s="9" t="s">
        <v>67</v>
      </c>
      <c r="F466" s="10">
        <v>20</v>
      </c>
      <c r="G466" s="11" t="s">
        <v>94</v>
      </c>
      <c r="H466" s="7" t="s">
        <v>86</v>
      </c>
      <c r="I466" s="11" t="s">
        <v>15</v>
      </c>
      <c r="J466" s="11" t="s">
        <v>103</v>
      </c>
      <c r="K466" s="49">
        <v>6580</v>
      </c>
      <c r="L466" s="12">
        <v>723.8</v>
      </c>
      <c r="M466" s="49">
        <f>K466-L466</f>
        <v>5856.2</v>
      </c>
      <c r="N466" s="29">
        <v>20</v>
      </c>
    </row>
    <row r="467" spans="1:14" ht="16.5" thickTop="1" thickBot="1" x14ac:dyDescent="0.3">
      <c r="A467" s="27" t="s">
        <v>111</v>
      </c>
      <c r="B467" s="25" t="s">
        <v>11</v>
      </c>
      <c r="C467" s="8" t="s">
        <v>60</v>
      </c>
      <c r="D467" s="7" t="s">
        <v>79</v>
      </c>
      <c r="E467" s="9" t="s">
        <v>67</v>
      </c>
      <c r="F467" s="10">
        <v>20</v>
      </c>
      <c r="G467" s="11" t="s">
        <v>94</v>
      </c>
      <c r="H467" s="7" t="s">
        <v>86</v>
      </c>
      <c r="I467" s="11" t="s">
        <v>7</v>
      </c>
      <c r="J467" s="11" t="s">
        <v>103</v>
      </c>
      <c r="K467" s="12">
        <v>24767</v>
      </c>
      <c r="L467" s="12">
        <f>K467*16%</f>
        <v>3962.7200000000003</v>
      </c>
      <c r="M467" s="12">
        <f>K467-L467</f>
        <v>20804.28</v>
      </c>
      <c r="N467" s="29">
        <v>20</v>
      </c>
    </row>
    <row r="468" spans="1:14" ht="16.5" thickTop="1" thickBot="1" x14ac:dyDescent="0.3">
      <c r="A468" s="27" t="s">
        <v>111</v>
      </c>
      <c r="B468" s="25" t="s">
        <v>13</v>
      </c>
      <c r="C468" s="8" t="s">
        <v>60</v>
      </c>
      <c r="D468" s="7" t="s">
        <v>79</v>
      </c>
      <c r="E468" s="9" t="s">
        <v>67</v>
      </c>
      <c r="F468" s="10">
        <v>20</v>
      </c>
      <c r="G468" s="11" t="s">
        <v>94</v>
      </c>
      <c r="H468" s="7" t="s">
        <v>86</v>
      </c>
      <c r="I468" s="11" t="s">
        <v>9</v>
      </c>
      <c r="J468" s="11" t="s">
        <v>103</v>
      </c>
      <c r="K468" s="12">
        <v>15476</v>
      </c>
      <c r="L468" s="12">
        <f>K468*16%</f>
        <v>2476.16</v>
      </c>
      <c r="M468" s="12">
        <f t="shared" ref="M468:M504" si="20">K468-L468</f>
        <v>12999.84</v>
      </c>
      <c r="N468" s="29">
        <v>20</v>
      </c>
    </row>
    <row r="469" spans="1:14" ht="15.75" customHeight="1" thickTop="1" thickBot="1" x14ac:dyDescent="0.3">
      <c r="A469" s="27" t="s">
        <v>111</v>
      </c>
      <c r="B469" s="25" t="s">
        <v>22</v>
      </c>
      <c r="C469" s="8" t="s">
        <v>61</v>
      </c>
      <c r="D469" s="7" t="s">
        <v>79</v>
      </c>
      <c r="E469" s="9" t="s">
        <v>67</v>
      </c>
      <c r="F469" s="10">
        <v>20</v>
      </c>
      <c r="G469" s="13" t="s">
        <v>39</v>
      </c>
      <c r="H469" s="7" t="s">
        <v>83</v>
      </c>
      <c r="I469" s="11" t="s">
        <v>7</v>
      </c>
      <c r="J469" s="11" t="s">
        <v>80</v>
      </c>
      <c r="K469" s="12">
        <v>18709.103873069998</v>
      </c>
      <c r="L469" s="12">
        <v>0</v>
      </c>
      <c r="M469" s="12">
        <f t="shared" si="20"/>
        <v>18709.103873069998</v>
      </c>
      <c r="N469" s="29">
        <v>17</v>
      </c>
    </row>
    <row r="470" spans="1:14" ht="15.75" customHeight="1" thickTop="1" thickBot="1" x14ac:dyDescent="0.3">
      <c r="A470" s="27" t="s">
        <v>111</v>
      </c>
      <c r="B470" s="25" t="s">
        <v>11</v>
      </c>
      <c r="C470" s="8" t="s">
        <v>61</v>
      </c>
      <c r="D470" s="7" t="s">
        <v>79</v>
      </c>
      <c r="E470" s="9" t="s">
        <v>67</v>
      </c>
      <c r="F470" s="10">
        <v>20</v>
      </c>
      <c r="G470" s="13" t="s">
        <v>40</v>
      </c>
      <c r="H470" s="7" t="s">
        <v>83</v>
      </c>
      <c r="I470" s="14" t="s">
        <v>30</v>
      </c>
      <c r="J470" s="14" t="s">
        <v>107</v>
      </c>
      <c r="K470" s="12">
        <v>200</v>
      </c>
      <c r="L470" s="12">
        <f>K470*5%</f>
        <v>10</v>
      </c>
      <c r="M470" s="12">
        <f t="shared" si="20"/>
        <v>190</v>
      </c>
      <c r="N470" s="29">
        <v>10</v>
      </c>
    </row>
    <row r="471" spans="1:14" ht="16.5" thickTop="1" thickBot="1" x14ac:dyDescent="0.3">
      <c r="A471" s="27" t="s">
        <v>111</v>
      </c>
      <c r="B471" s="25" t="s">
        <v>11</v>
      </c>
      <c r="C471" s="8" t="s">
        <v>61</v>
      </c>
      <c r="D471" s="7" t="s">
        <v>79</v>
      </c>
      <c r="E471" s="9" t="s">
        <v>67</v>
      </c>
      <c r="F471" s="10">
        <v>20</v>
      </c>
      <c r="G471" s="13" t="s">
        <v>41</v>
      </c>
      <c r="H471" s="7" t="s">
        <v>83</v>
      </c>
      <c r="I471" s="14" t="s">
        <v>30</v>
      </c>
      <c r="J471" s="11" t="s">
        <v>80</v>
      </c>
      <c r="K471" s="12">
        <v>600</v>
      </c>
      <c r="L471" s="12">
        <f>K471*5%</f>
        <v>30</v>
      </c>
      <c r="M471" s="12">
        <f t="shared" si="20"/>
        <v>570</v>
      </c>
      <c r="N471" s="29">
        <v>25</v>
      </c>
    </row>
    <row r="472" spans="1:14" ht="16.5" thickTop="1" thickBot="1" x14ac:dyDescent="0.3">
      <c r="A472" s="27" t="s">
        <v>111</v>
      </c>
      <c r="B472" s="25" t="s">
        <v>22</v>
      </c>
      <c r="C472" s="8" t="s">
        <v>61</v>
      </c>
      <c r="D472" s="7" t="s">
        <v>79</v>
      </c>
      <c r="E472" s="9" t="s">
        <v>67</v>
      </c>
      <c r="F472" s="10">
        <v>20</v>
      </c>
      <c r="G472" s="13" t="s">
        <v>92</v>
      </c>
      <c r="H472" s="7" t="s">
        <v>83</v>
      </c>
      <c r="I472" s="11" t="s">
        <v>9</v>
      </c>
      <c r="J472" s="11" t="s">
        <v>80</v>
      </c>
      <c r="K472" s="12">
        <v>4589.6400000000003</v>
      </c>
      <c r="L472" s="12">
        <v>0</v>
      </c>
      <c r="M472" s="12">
        <f t="shared" si="20"/>
        <v>4589.6400000000003</v>
      </c>
      <c r="N472" s="29">
        <v>15</v>
      </c>
    </row>
    <row r="473" spans="1:14" ht="16.5" thickTop="1" thickBot="1" x14ac:dyDescent="0.3">
      <c r="A473" s="27" t="s">
        <v>111</v>
      </c>
      <c r="B473" s="25" t="s">
        <v>22</v>
      </c>
      <c r="C473" s="8" t="s">
        <v>61</v>
      </c>
      <c r="D473" s="7" t="s">
        <v>79</v>
      </c>
      <c r="E473" s="9" t="s">
        <v>67</v>
      </c>
      <c r="F473" s="10">
        <v>20</v>
      </c>
      <c r="G473" s="13" t="s">
        <v>92</v>
      </c>
      <c r="H473" s="7" t="s">
        <v>83</v>
      </c>
      <c r="I473" s="11" t="s">
        <v>7</v>
      </c>
      <c r="J473" s="11" t="s">
        <v>80</v>
      </c>
      <c r="K473" s="12">
        <v>18000</v>
      </c>
      <c r="L473" s="12">
        <v>0</v>
      </c>
      <c r="M473" s="12">
        <f t="shared" si="20"/>
        <v>18000</v>
      </c>
      <c r="N473" s="29">
        <v>15</v>
      </c>
    </row>
    <row r="474" spans="1:14" ht="16.5" thickTop="1" thickBot="1" x14ac:dyDescent="0.3">
      <c r="A474" s="27" t="s">
        <v>111</v>
      </c>
      <c r="B474" s="25" t="s">
        <v>11</v>
      </c>
      <c r="C474" s="8" t="s">
        <v>61</v>
      </c>
      <c r="D474" s="7" t="s">
        <v>78</v>
      </c>
      <c r="E474" s="9" t="s">
        <v>67</v>
      </c>
      <c r="F474" s="10">
        <v>20</v>
      </c>
      <c r="G474" s="13" t="s">
        <v>92</v>
      </c>
      <c r="H474" s="7" t="s">
        <v>83</v>
      </c>
      <c r="I474" s="11" t="s">
        <v>30</v>
      </c>
      <c r="J474" s="11" t="s">
        <v>80</v>
      </c>
      <c r="K474" s="12">
        <v>600</v>
      </c>
      <c r="L474" s="12">
        <f>K474*5%</f>
        <v>30</v>
      </c>
      <c r="M474" s="12">
        <f t="shared" si="20"/>
        <v>570</v>
      </c>
      <c r="N474" s="29">
        <v>7</v>
      </c>
    </row>
    <row r="475" spans="1:14" ht="15.75" customHeight="1" thickTop="1" thickBot="1" x14ac:dyDescent="0.3">
      <c r="A475" s="27" t="s">
        <v>111</v>
      </c>
      <c r="B475" s="25" t="s">
        <v>22</v>
      </c>
      <c r="C475" s="8" t="s">
        <v>61</v>
      </c>
      <c r="D475" s="7" t="s">
        <v>79</v>
      </c>
      <c r="E475" s="9" t="s">
        <v>67</v>
      </c>
      <c r="F475" s="10">
        <v>20</v>
      </c>
      <c r="G475" s="13" t="s">
        <v>42</v>
      </c>
      <c r="H475" s="7" t="s">
        <v>83</v>
      </c>
      <c r="I475" s="11" t="s">
        <v>9</v>
      </c>
      <c r="J475" s="11" t="s">
        <v>108</v>
      </c>
      <c r="K475" s="12">
        <v>820.63201302000004</v>
      </c>
      <c r="L475" s="12">
        <v>0</v>
      </c>
      <c r="M475" s="12">
        <f t="shared" si="20"/>
        <v>820.63201302000004</v>
      </c>
      <c r="N475" s="29">
        <v>9</v>
      </c>
    </row>
    <row r="476" spans="1:14" ht="15.75" customHeight="1" thickTop="1" thickBot="1" x14ac:dyDescent="0.3">
      <c r="A476" s="27" t="s">
        <v>111</v>
      </c>
      <c r="B476" s="25" t="s">
        <v>11</v>
      </c>
      <c r="C476" s="8" t="s">
        <v>61</v>
      </c>
      <c r="D476" s="7" t="s">
        <v>79</v>
      </c>
      <c r="E476" s="9" t="s">
        <v>67</v>
      </c>
      <c r="F476" s="10">
        <v>20</v>
      </c>
      <c r="G476" s="13" t="s">
        <v>43</v>
      </c>
      <c r="H476" s="7" t="s">
        <v>83</v>
      </c>
      <c r="I476" s="14" t="s">
        <v>30</v>
      </c>
      <c r="J476" s="14" t="s">
        <v>106</v>
      </c>
      <c r="K476" s="12">
        <v>200</v>
      </c>
      <c r="L476" s="12">
        <f>K476*5%</f>
        <v>10</v>
      </c>
      <c r="M476" s="12">
        <f t="shared" si="20"/>
        <v>190</v>
      </c>
      <c r="N476" s="29">
        <v>15</v>
      </c>
    </row>
    <row r="477" spans="1:14" ht="16.5" thickTop="1" thickBot="1" x14ac:dyDescent="0.3">
      <c r="A477" s="27" t="s">
        <v>111</v>
      </c>
      <c r="B477" s="25" t="s">
        <v>11</v>
      </c>
      <c r="C477" s="8" t="s">
        <v>61</v>
      </c>
      <c r="D477" s="7" t="s">
        <v>79</v>
      </c>
      <c r="E477" s="9" t="s">
        <v>67</v>
      </c>
      <c r="F477" s="10">
        <v>20</v>
      </c>
      <c r="G477" s="13" t="s">
        <v>44</v>
      </c>
      <c r="H477" s="15" t="s">
        <v>85</v>
      </c>
      <c r="I477" s="14" t="s">
        <v>30</v>
      </c>
      <c r="J477" s="11" t="s">
        <v>80</v>
      </c>
      <c r="K477" s="12">
        <v>200</v>
      </c>
      <c r="L477" s="12">
        <f>K477*5%</f>
        <v>10</v>
      </c>
      <c r="M477" s="12">
        <f t="shared" si="20"/>
        <v>190</v>
      </c>
      <c r="N477" s="29">
        <v>16</v>
      </c>
    </row>
    <row r="478" spans="1:14" ht="16.5" thickTop="1" thickBot="1" x14ac:dyDescent="0.3">
      <c r="A478" s="27" t="s">
        <v>111</v>
      </c>
      <c r="B478" s="25" t="s">
        <v>5</v>
      </c>
      <c r="C478" s="8" t="s">
        <v>61</v>
      </c>
      <c r="D478" s="7" t="s">
        <v>79</v>
      </c>
      <c r="E478" s="9" t="s">
        <v>67</v>
      </c>
      <c r="F478" s="10">
        <v>1</v>
      </c>
      <c r="G478" s="11" t="s">
        <v>45</v>
      </c>
      <c r="H478" s="7" t="s">
        <v>91</v>
      </c>
      <c r="I478" s="11" t="s">
        <v>20</v>
      </c>
      <c r="J478" s="11" t="s">
        <v>105</v>
      </c>
      <c r="K478" s="16">
        <v>36757.832193000002</v>
      </c>
      <c r="L478" s="12">
        <f>K478*5%</f>
        <v>1837.8916096500002</v>
      </c>
      <c r="M478" s="12">
        <f t="shared" si="20"/>
        <v>34919.940583349999</v>
      </c>
      <c r="N478" s="29">
        <v>30</v>
      </c>
    </row>
    <row r="479" spans="1:14" ht="16.5" thickTop="1" thickBot="1" x14ac:dyDescent="0.3">
      <c r="A479" s="27" t="s">
        <v>111</v>
      </c>
      <c r="B479" s="25" t="s">
        <v>5</v>
      </c>
      <c r="C479" s="8" t="s">
        <v>61</v>
      </c>
      <c r="D479" s="7" t="s">
        <v>79</v>
      </c>
      <c r="E479" s="9" t="s">
        <v>67</v>
      </c>
      <c r="F479" s="10">
        <v>1</v>
      </c>
      <c r="G479" s="11" t="s">
        <v>45</v>
      </c>
      <c r="H479" s="7" t="s">
        <v>91</v>
      </c>
      <c r="I479" s="11" t="s">
        <v>9</v>
      </c>
      <c r="J479" s="11" t="s">
        <v>105</v>
      </c>
      <c r="K479" s="16">
        <v>25897.992921000001</v>
      </c>
      <c r="L479" s="12">
        <f>K479*5%</f>
        <v>1294.8996460500002</v>
      </c>
      <c r="M479" s="12">
        <f t="shared" si="20"/>
        <v>24603.093274949999</v>
      </c>
      <c r="N479" s="29">
        <v>30</v>
      </c>
    </row>
    <row r="480" spans="1:14" ht="16.5" thickTop="1" thickBot="1" x14ac:dyDescent="0.3">
      <c r="A480" s="27" t="s">
        <v>111</v>
      </c>
      <c r="B480" s="25" t="s">
        <v>22</v>
      </c>
      <c r="C480" s="8" t="s">
        <v>61</v>
      </c>
      <c r="D480" s="7" t="s">
        <v>79</v>
      </c>
      <c r="E480" s="9" t="s">
        <v>67</v>
      </c>
      <c r="F480" s="10">
        <v>1</v>
      </c>
      <c r="G480" s="11" t="s">
        <v>46</v>
      </c>
      <c r="H480" s="7" t="s">
        <v>85</v>
      </c>
      <c r="I480" s="11" t="s">
        <v>20</v>
      </c>
      <c r="J480" s="11" t="s">
        <v>105</v>
      </c>
      <c r="K480" s="16">
        <v>52934.258285999997</v>
      </c>
      <c r="L480" s="12">
        <v>0</v>
      </c>
      <c r="M480" s="12">
        <f t="shared" si="20"/>
        <v>52934.258285999997</v>
      </c>
      <c r="N480" s="29">
        <v>30</v>
      </c>
    </row>
    <row r="481" spans="1:17" ht="16.5" thickTop="1" thickBot="1" x14ac:dyDescent="0.3">
      <c r="A481" s="27" t="s">
        <v>111</v>
      </c>
      <c r="B481" s="25" t="s">
        <v>22</v>
      </c>
      <c r="C481" s="8" t="s">
        <v>61</v>
      </c>
      <c r="D481" s="7" t="s">
        <v>79</v>
      </c>
      <c r="E481" s="9" t="s">
        <v>67</v>
      </c>
      <c r="F481" s="10">
        <v>1</v>
      </c>
      <c r="G481" s="11" t="s">
        <v>46</v>
      </c>
      <c r="H481" s="7" t="s">
        <v>85</v>
      </c>
      <c r="I481" s="11" t="s">
        <v>98</v>
      </c>
      <c r="J481" s="11" t="s">
        <v>105</v>
      </c>
      <c r="K481" s="12">
        <v>3129.3</v>
      </c>
      <c r="L481" s="12">
        <v>0</v>
      </c>
      <c r="M481" s="12">
        <f t="shared" si="20"/>
        <v>3129.3</v>
      </c>
      <c r="N481" s="29">
        <v>30</v>
      </c>
    </row>
    <row r="482" spans="1:17" ht="16.5" thickTop="1" thickBot="1" x14ac:dyDescent="0.3">
      <c r="A482" s="27" t="s">
        <v>111</v>
      </c>
      <c r="B482" s="25" t="s">
        <v>22</v>
      </c>
      <c r="C482" s="8" t="s">
        <v>61</v>
      </c>
      <c r="D482" s="7" t="s">
        <v>79</v>
      </c>
      <c r="E482" s="9" t="s">
        <v>67</v>
      </c>
      <c r="F482" s="10">
        <v>1</v>
      </c>
      <c r="G482" s="11" t="s">
        <v>46</v>
      </c>
      <c r="H482" s="7" t="s">
        <v>85</v>
      </c>
      <c r="I482" s="11" t="s">
        <v>9</v>
      </c>
      <c r="J482" s="11" t="s">
        <v>105</v>
      </c>
      <c r="K482" s="12">
        <v>38846.994597000004</v>
      </c>
      <c r="L482" s="12">
        <v>0</v>
      </c>
      <c r="M482" s="12">
        <f t="shared" si="20"/>
        <v>38846.994597000004</v>
      </c>
      <c r="N482" s="29">
        <v>30</v>
      </c>
    </row>
    <row r="483" spans="1:17" ht="16.5" thickTop="1" thickBot="1" x14ac:dyDescent="0.3">
      <c r="A483" s="27" t="s">
        <v>111</v>
      </c>
      <c r="B483" s="25" t="s">
        <v>22</v>
      </c>
      <c r="C483" s="8" t="s">
        <v>61</v>
      </c>
      <c r="D483" s="7" t="s">
        <v>79</v>
      </c>
      <c r="E483" s="9" t="s">
        <v>67</v>
      </c>
      <c r="F483" s="10">
        <v>1</v>
      </c>
      <c r="G483" s="11" t="s">
        <v>46</v>
      </c>
      <c r="H483" s="7" t="s">
        <v>85</v>
      </c>
      <c r="I483" s="11" t="s">
        <v>97</v>
      </c>
      <c r="J483" s="11" t="s">
        <v>105</v>
      </c>
      <c r="K483" s="12">
        <v>6400</v>
      </c>
      <c r="L483" s="12">
        <v>0</v>
      </c>
      <c r="M483" s="12">
        <f t="shared" si="20"/>
        <v>6400</v>
      </c>
      <c r="N483" s="29">
        <v>30</v>
      </c>
    </row>
    <row r="484" spans="1:17" ht="16.5" thickTop="1" thickBot="1" x14ac:dyDescent="0.3">
      <c r="A484" s="27" t="s">
        <v>111</v>
      </c>
      <c r="B484" s="25" t="s">
        <v>22</v>
      </c>
      <c r="C484" s="8" t="s">
        <v>61</v>
      </c>
      <c r="D484" s="7" t="s">
        <v>79</v>
      </c>
      <c r="E484" s="9" t="s">
        <v>67</v>
      </c>
      <c r="F484" s="10">
        <v>1</v>
      </c>
      <c r="G484" s="11" t="s">
        <v>47</v>
      </c>
      <c r="H484" s="7" t="s">
        <v>85</v>
      </c>
      <c r="I484" s="11" t="s">
        <v>9</v>
      </c>
      <c r="J484" s="11" t="s">
        <v>105</v>
      </c>
      <c r="K484" s="12">
        <v>30185.123490000002</v>
      </c>
      <c r="L484" s="12">
        <v>0</v>
      </c>
      <c r="M484" s="12">
        <f t="shared" si="20"/>
        <v>30185.123490000002</v>
      </c>
      <c r="N484" s="29">
        <v>30</v>
      </c>
    </row>
    <row r="485" spans="1:17" ht="16.5" thickTop="1" thickBot="1" x14ac:dyDescent="0.3">
      <c r="A485" s="27" t="s">
        <v>111</v>
      </c>
      <c r="B485" s="25" t="s">
        <v>22</v>
      </c>
      <c r="C485" s="8" t="s">
        <v>61</v>
      </c>
      <c r="D485" s="7" t="s">
        <v>79</v>
      </c>
      <c r="E485" s="9" t="s">
        <v>67</v>
      </c>
      <c r="F485" s="10">
        <v>1</v>
      </c>
      <c r="G485" s="11" t="s">
        <v>48</v>
      </c>
      <c r="H485" s="7" t="s">
        <v>85</v>
      </c>
      <c r="I485" s="11" t="s">
        <v>9</v>
      </c>
      <c r="J485" s="11" t="s">
        <v>105</v>
      </c>
      <c r="K485" s="12">
        <v>21610.872782999999</v>
      </c>
      <c r="L485" s="12">
        <v>0</v>
      </c>
      <c r="M485" s="12">
        <f t="shared" si="20"/>
        <v>21610.872782999999</v>
      </c>
      <c r="N485" s="29">
        <v>30</v>
      </c>
    </row>
    <row r="486" spans="1:17" ht="15.75" customHeight="1" thickTop="1" thickBot="1" x14ac:dyDescent="0.3">
      <c r="A486" s="39" t="s">
        <v>111</v>
      </c>
      <c r="B486" s="25" t="s">
        <v>22</v>
      </c>
      <c r="C486" s="8" t="s">
        <v>62</v>
      </c>
      <c r="D486" s="7" t="s">
        <v>79</v>
      </c>
      <c r="E486" s="9" t="s">
        <v>67</v>
      </c>
      <c r="F486" s="10">
        <v>10</v>
      </c>
      <c r="G486" s="13" t="s">
        <v>49</v>
      </c>
      <c r="H486" s="7" t="s">
        <v>85</v>
      </c>
      <c r="I486" s="11" t="s">
        <v>9</v>
      </c>
      <c r="J486" s="11" t="s">
        <v>105</v>
      </c>
      <c r="K486" s="12">
        <v>17400</v>
      </c>
      <c r="L486" s="12">
        <v>0</v>
      </c>
      <c r="M486" s="12">
        <f>K486-L486</f>
        <v>17400</v>
      </c>
      <c r="N486" s="29">
        <v>10</v>
      </c>
    </row>
    <row r="487" spans="1:17" ht="15.75" customHeight="1" thickTop="1" thickBot="1" x14ac:dyDescent="0.3">
      <c r="A487" s="39" t="s">
        <v>111</v>
      </c>
      <c r="B487" s="25" t="s">
        <v>22</v>
      </c>
      <c r="C487" s="8" t="s">
        <v>62</v>
      </c>
      <c r="D487" s="7" t="s">
        <v>79</v>
      </c>
      <c r="E487" s="9" t="s">
        <v>67</v>
      </c>
      <c r="F487" s="10">
        <v>10</v>
      </c>
      <c r="G487" s="13" t="s">
        <v>49</v>
      </c>
      <c r="H487" s="7" t="s">
        <v>85</v>
      </c>
      <c r="I487" s="11" t="s">
        <v>98</v>
      </c>
      <c r="J487" s="11" t="s">
        <v>105</v>
      </c>
      <c r="K487" s="12">
        <v>4829.5529999999999</v>
      </c>
      <c r="L487" s="12">
        <v>0</v>
      </c>
      <c r="M487" s="12">
        <f t="shared" si="20"/>
        <v>4829.5529999999999</v>
      </c>
      <c r="N487" s="29">
        <v>10</v>
      </c>
    </row>
    <row r="488" spans="1:17" ht="16.5" thickTop="1" thickBot="1" x14ac:dyDescent="0.3">
      <c r="A488" s="39" t="s">
        <v>111</v>
      </c>
      <c r="B488" s="25" t="s">
        <v>11</v>
      </c>
      <c r="C488" s="8" t="s">
        <v>62</v>
      </c>
      <c r="D488" s="7" t="s">
        <v>78</v>
      </c>
      <c r="E488" s="9" t="s">
        <v>67</v>
      </c>
      <c r="F488" s="10">
        <v>10</v>
      </c>
      <c r="G488" s="13" t="s">
        <v>49</v>
      </c>
      <c r="H488" s="7" t="s">
        <v>85</v>
      </c>
      <c r="I488" s="14" t="s">
        <v>30</v>
      </c>
      <c r="J488" s="11" t="s">
        <v>105</v>
      </c>
      <c r="K488" s="12">
        <v>1200</v>
      </c>
      <c r="L488" s="12">
        <f>K488*5%</f>
        <v>60</v>
      </c>
      <c r="M488" s="12">
        <f t="shared" si="20"/>
        <v>1140</v>
      </c>
      <c r="N488" s="29">
        <v>7</v>
      </c>
    </row>
    <row r="489" spans="1:17" ht="15.75" customHeight="1" thickTop="1" thickBot="1" x14ac:dyDescent="0.3">
      <c r="A489" s="39" t="s">
        <v>111</v>
      </c>
      <c r="B489" s="25" t="s">
        <v>22</v>
      </c>
      <c r="C489" s="8" t="s">
        <v>62</v>
      </c>
      <c r="D489" s="7" t="s">
        <v>79</v>
      </c>
      <c r="E489" s="9" t="s">
        <v>67</v>
      </c>
      <c r="F489" s="10">
        <v>10</v>
      </c>
      <c r="G489" s="13" t="s">
        <v>50</v>
      </c>
      <c r="H489" s="7" t="s">
        <v>85</v>
      </c>
      <c r="I489" s="11" t="s">
        <v>9</v>
      </c>
      <c r="J489" s="11" t="s">
        <v>105</v>
      </c>
      <c r="K489" s="12">
        <v>17400</v>
      </c>
      <c r="L489" s="12">
        <v>0</v>
      </c>
      <c r="M489" s="12">
        <f>K489-L489</f>
        <v>17400</v>
      </c>
      <c r="N489" s="29">
        <v>10</v>
      </c>
    </row>
    <row r="490" spans="1:17" ht="15.75" customHeight="1" thickTop="1" thickBot="1" x14ac:dyDescent="0.3">
      <c r="A490" s="39" t="s">
        <v>111</v>
      </c>
      <c r="B490" s="25" t="s">
        <v>22</v>
      </c>
      <c r="C490" s="8" t="s">
        <v>62</v>
      </c>
      <c r="D490" s="7" t="s">
        <v>79</v>
      </c>
      <c r="E490" s="9" t="s">
        <v>67</v>
      </c>
      <c r="F490" s="10">
        <v>10</v>
      </c>
      <c r="G490" s="13" t="s">
        <v>50</v>
      </c>
      <c r="H490" s="7" t="s">
        <v>85</v>
      </c>
      <c r="I490" s="11" t="s">
        <v>98</v>
      </c>
      <c r="J490" s="11" t="s">
        <v>105</v>
      </c>
      <c r="K490" s="12">
        <v>4829.5529999999999</v>
      </c>
      <c r="L490" s="12">
        <v>0</v>
      </c>
      <c r="M490" s="12">
        <f t="shared" si="20"/>
        <v>4829.5529999999999</v>
      </c>
      <c r="N490" s="29">
        <v>10</v>
      </c>
    </row>
    <row r="491" spans="1:17" ht="16.5" thickTop="1" thickBot="1" x14ac:dyDescent="0.3">
      <c r="A491" s="39" t="s">
        <v>111</v>
      </c>
      <c r="B491" s="25" t="s">
        <v>11</v>
      </c>
      <c r="C491" s="8" t="s">
        <v>62</v>
      </c>
      <c r="D491" s="7" t="s">
        <v>78</v>
      </c>
      <c r="E491" s="9" t="s">
        <v>67</v>
      </c>
      <c r="F491" s="10">
        <v>10</v>
      </c>
      <c r="G491" s="13" t="s">
        <v>50</v>
      </c>
      <c r="H491" s="7" t="s">
        <v>85</v>
      </c>
      <c r="I491" s="14" t="s">
        <v>30</v>
      </c>
      <c r="J491" s="11" t="s">
        <v>105</v>
      </c>
      <c r="K491" s="12">
        <v>600</v>
      </c>
      <c r="L491" s="12">
        <f>K491*5%</f>
        <v>30</v>
      </c>
      <c r="M491" s="12">
        <f t="shared" si="20"/>
        <v>570</v>
      </c>
      <c r="N491" s="29">
        <v>7</v>
      </c>
    </row>
    <row r="492" spans="1:17" ht="16.5" thickTop="1" thickBot="1" x14ac:dyDescent="0.3">
      <c r="A492" s="27" t="s">
        <v>111</v>
      </c>
      <c r="B492" s="25" t="s">
        <v>11</v>
      </c>
      <c r="C492" s="8" t="s">
        <v>62</v>
      </c>
      <c r="D492" s="7" t="s">
        <v>79</v>
      </c>
      <c r="E492" s="9" t="s">
        <v>67</v>
      </c>
      <c r="F492" s="10">
        <v>16</v>
      </c>
      <c r="G492" s="13" t="s">
        <v>51</v>
      </c>
      <c r="H492" s="7" t="s">
        <v>83</v>
      </c>
      <c r="I492" s="11" t="s">
        <v>7</v>
      </c>
      <c r="J492" s="11" t="s">
        <v>80</v>
      </c>
      <c r="K492" s="12">
        <v>19124.839514250001</v>
      </c>
      <c r="L492" s="12">
        <f>K492*16%</f>
        <v>3059.9743222800003</v>
      </c>
      <c r="M492" s="12">
        <f t="shared" si="20"/>
        <v>16064.865191970001</v>
      </c>
      <c r="N492" s="29">
        <v>30</v>
      </c>
    </row>
    <row r="493" spans="1:17" ht="16.5" thickTop="1" thickBot="1" x14ac:dyDescent="0.3">
      <c r="A493" s="27" t="s">
        <v>111</v>
      </c>
      <c r="B493" s="25" t="s">
        <v>11</v>
      </c>
      <c r="C493" s="8" t="s">
        <v>62</v>
      </c>
      <c r="D493" s="7" t="s">
        <v>79</v>
      </c>
      <c r="E493" s="9" t="s">
        <v>67</v>
      </c>
      <c r="F493" s="10">
        <v>16</v>
      </c>
      <c r="G493" s="11" t="s">
        <v>52</v>
      </c>
      <c r="H493" s="7" t="s">
        <v>84</v>
      </c>
      <c r="I493" s="11" t="s">
        <v>7</v>
      </c>
      <c r="J493" s="11" t="s">
        <v>103</v>
      </c>
      <c r="K493" s="12">
        <v>70096.320000000007</v>
      </c>
      <c r="L493" s="12">
        <f>K493*16%</f>
        <v>11215.4112</v>
      </c>
      <c r="M493" s="12">
        <v>57706.080000000002</v>
      </c>
      <c r="N493" s="29">
        <v>15</v>
      </c>
    </row>
    <row r="494" spans="1:17" ht="16.5" thickTop="1" thickBot="1" x14ac:dyDescent="0.3">
      <c r="A494" s="27" t="s">
        <v>111</v>
      </c>
      <c r="B494" s="25" t="s">
        <v>5</v>
      </c>
      <c r="C494" s="8" t="s">
        <v>62</v>
      </c>
      <c r="D494" s="7" t="s">
        <v>79</v>
      </c>
      <c r="E494" s="9" t="s">
        <v>67</v>
      </c>
      <c r="F494" s="10">
        <v>16</v>
      </c>
      <c r="G494" s="11" t="s">
        <v>53</v>
      </c>
      <c r="H494" s="7" t="s">
        <v>85</v>
      </c>
      <c r="I494" s="11" t="s">
        <v>7</v>
      </c>
      <c r="J494" s="11" t="s">
        <v>103</v>
      </c>
      <c r="K494" s="12">
        <v>17410.382099999999</v>
      </c>
      <c r="L494" s="12">
        <f>K494*5%</f>
        <v>870.51910499999997</v>
      </c>
      <c r="M494" s="12">
        <f t="shared" si="20"/>
        <v>16539.862995</v>
      </c>
      <c r="N494" s="29">
        <v>15</v>
      </c>
      <c r="O494" s="48" t="s">
        <v>127</v>
      </c>
    </row>
    <row r="495" spans="1:17" ht="16.5" thickTop="1" thickBot="1" x14ac:dyDescent="0.3">
      <c r="A495" s="27" t="s">
        <v>111</v>
      </c>
      <c r="B495" s="25" t="s">
        <v>5</v>
      </c>
      <c r="C495" s="8" t="s">
        <v>62</v>
      </c>
      <c r="D495" s="7" t="s">
        <v>79</v>
      </c>
      <c r="E495" s="9" t="s">
        <v>67</v>
      </c>
      <c r="F495" s="10">
        <v>16</v>
      </c>
      <c r="G495" s="11" t="s">
        <v>53</v>
      </c>
      <c r="H495" s="7" t="s">
        <v>85</v>
      </c>
      <c r="I495" s="11" t="s">
        <v>15</v>
      </c>
      <c r="J495" s="11" t="s">
        <v>103</v>
      </c>
      <c r="K495" s="12">
        <v>4509.3212999999996</v>
      </c>
      <c r="L495" s="12">
        <f>K495*5%</f>
        <v>225.46606499999999</v>
      </c>
      <c r="M495" s="12">
        <f t="shared" si="20"/>
        <v>4283.855235</v>
      </c>
      <c r="N495" s="29">
        <v>15</v>
      </c>
      <c r="O495" s="48" t="s">
        <v>127</v>
      </c>
    </row>
    <row r="496" spans="1:17" ht="16.5" thickTop="1" thickBot="1" x14ac:dyDescent="0.3">
      <c r="A496" s="27" t="s">
        <v>111</v>
      </c>
      <c r="B496" s="25" t="s">
        <v>5</v>
      </c>
      <c r="C496" s="8" t="s">
        <v>62</v>
      </c>
      <c r="D496" s="7" t="s">
        <v>79</v>
      </c>
      <c r="E496" s="9" t="s">
        <v>67</v>
      </c>
      <c r="F496" s="10">
        <v>16</v>
      </c>
      <c r="G496" s="11" t="s">
        <v>53</v>
      </c>
      <c r="H496" s="7" t="s">
        <v>85</v>
      </c>
      <c r="I496" s="11" t="s">
        <v>9</v>
      </c>
      <c r="J496" s="11" t="s">
        <v>103</v>
      </c>
      <c r="K496" s="12">
        <v>7272.4931999999999</v>
      </c>
      <c r="L496" s="12">
        <f>K496*5%</f>
        <v>363.62466000000001</v>
      </c>
      <c r="M496" s="12">
        <f t="shared" si="20"/>
        <v>6908.8685399999995</v>
      </c>
      <c r="N496" s="29">
        <v>15</v>
      </c>
      <c r="O496" s="48" t="s">
        <v>127</v>
      </c>
    </row>
    <row r="497" spans="1:14" ht="16.5" thickTop="1" thickBot="1" x14ac:dyDescent="0.3">
      <c r="A497" s="27" t="s">
        <v>111</v>
      </c>
      <c r="B497" s="25" t="s">
        <v>22</v>
      </c>
      <c r="C497" s="8" t="s">
        <v>62</v>
      </c>
      <c r="D497" s="7" t="s">
        <v>79</v>
      </c>
      <c r="E497" s="9" t="s">
        <v>67</v>
      </c>
      <c r="F497" s="10">
        <v>1</v>
      </c>
      <c r="G497" s="11" t="s">
        <v>54</v>
      </c>
      <c r="H497" s="7" t="s">
        <v>85</v>
      </c>
      <c r="I497" s="11" t="s">
        <v>20</v>
      </c>
      <c r="J497" s="11" t="s">
        <v>105</v>
      </c>
      <c r="K497" s="16">
        <v>36757.832193000002</v>
      </c>
      <c r="L497" s="12">
        <v>0</v>
      </c>
      <c r="M497" s="12">
        <f t="shared" si="20"/>
        <v>36757.832193000002</v>
      </c>
      <c r="N497" s="29">
        <v>30</v>
      </c>
    </row>
    <row r="498" spans="1:14" ht="16.5" thickTop="1" thickBot="1" x14ac:dyDescent="0.3">
      <c r="A498" s="27" t="s">
        <v>111</v>
      </c>
      <c r="B498" s="25" t="s">
        <v>22</v>
      </c>
      <c r="C498" s="8" t="s">
        <v>62</v>
      </c>
      <c r="D498" s="7" t="s">
        <v>79</v>
      </c>
      <c r="E498" s="9" t="s">
        <v>67</v>
      </c>
      <c r="F498" s="10">
        <v>1</v>
      </c>
      <c r="G498" s="11" t="s">
        <v>54</v>
      </c>
      <c r="H498" s="7" t="s">
        <v>85</v>
      </c>
      <c r="I498" s="11" t="s">
        <v>9</v>
      </c>
      <c r="J498" s="11" t="s">
        <v>105</v>
      </c>
      <c r="K498" s="16">
        <v>30185.123490000002</v>
      </c>
      <c r="L498" s="12">
        <v>0</v>
      </c>
      <c r="M498" s="12">
        <f t="shared" si="20"/>
        <v>30185.123490000002</v>
      </c>
      <c r="N498" s="29">
        <v>30</v>
      </c>
    </row>
    <row r="499" spans="1:14" ht="16.5" thickTop="1" thickBot="1" x14ac:dyDescent="0.3">
      <c r="A499" s="27" t="s">
        <v>111</v>
      </c>
      <c r="B499" s="25" t="s">
        <v>22</v>
      </c>
      <c r="C499" s="8" t="s">
        <v>62</v>
      </c>
      <c r="D499" s="7" t="s">
        <v>79</v>
      </c>
      <c r="E499" s="9" t="s">
        <v>67</v>
      </c>
      <c r="F499" s="10">
        <v>1</v>
      </c>
      <c r="G499" s="11" t="s">
        <v>55</v>
      </c>
      <c r="H499" s="7" t="s">
        <v>85</v>
      </c>
      <c r="I499" s="11" t="s">
        <v>20</v>
      </c>
      <c r="J499" s="11" t="s">
        <v>105</v>
      </c>
      <c r="K499" s="16">
        <v>31506.62688</v>
      </c>
      <c r="L499" s="12">
        <v>0</v>
      </c>
      <c r="M499" s="12">
        <f t="shared" si="20"/>
        <v>31506.62688</v>
      </c>
      <c r="N499" s="29">
        <v>30</v>
      </c>
    </row>
    <row r="500" spans="1:14" ht="16.5" thickTop="1" thickBot="1" x14ac:dyDescent="0.3">
      <c r="A500" s="27" t="s">
        <v>111</v>
      </c>
      <c r="B500" s="25" t="s">
        <v>22</v>
      </c>
      <c r="C500" s="8" t="s">
        <v>62</v>
      </c>
      <c r="D500" s="7" t="s">
        <v>79</v>
      </c>
      <c r="E500" s="9" t="s">
        <v>67</v>
      </c>
      <c r="F500" s="10">
        <v>1</v>
      </c>
      <c r="G500" s="11" t="s">
        <v>55</v>
      </c>
      <c r="H500" s="7" t="s">
        <v>85</v>
      </c>
      <c r="I500" s="11" t="s">
        <v>9</v>
      </c>
      <c r="J500" s="11" t="s">
        <v>105</v>
      </c>
      <c r="K500" s="12">
        <v>21581.665982999999</v>
      </c>
      <c r="L500" s="12">
        <v>0</v>
      </c>
      <c r="M500" s="12">
        <f t="shared" si="20"/>
        <v>21581.665982999999</v>
      </c>
      <c r="N500" s="29">
        <v>30</v>
      </c>
    </row>
    <row r="501" spans="1:14" ht="16.5" thickTop="1" thickBot="1" x14ac:dyDescent="0.3">
      <c r="A501" s="27" t="s">
        <v>111</v>
      </c>
      <c r="B501" s="25" t="s">
        <v>22</v>
      </c>
      <c r="C501" s="8" t="s">
        <v>62</v>
      </c>
      <c r="D501" s="7" t="s">
        <v>79</v>
      </c>
      <c r="E501" s="9" t="s">
        <v>67</v>
      </c>
      <c r="F501" s="10">
        <v>1</v>
      </c>
      <c r="G501" s="11" t="s">
        <v>56</v>
      </c>
      <c r="H501" s="7" t="s">
        <v>85</v>
      </c>
      <c r="I501" s="11" t="s">
        <v>9</v>
      </c>
      <c r="J501" s="11" t="s">
        <v>105</v>
      </c>
      <c r="K501" s="12">
        <v>30214.330290000002</v>
      </c>
      <c r="L501" s="12">
        <v>0</v>
      </c>
      <c r="M501" s="12">
        <f t="shared" si="20"/>
        <v>30214.330290000002</v>
      </c>
      <c r="N501" s="29">
        <v>30</v>
      </c>
    </row>
    <row r="502" spans="1:14" ht="16.5" thickTop="1" thickBot="1" x14ac:dyDescent="0.3">
      <c r="A502" s="27" t="s">
        <v>111</v>
      </c>
      <c r="B502" s="25" t="s">
        <v>22</v>
      </c>
      <c r="C502" s="8" t="s">
        <v>62</v>
      </c>
      <c r="D502" s="7" t="s">
        <v>79</v>
      </c>
      <c r="E502" s="9" t="s">
        <v>67</v>
      </c>
      <c r="F502" s="10">
        <v>1</v>
      </c>
      <c r="G502" s="11" t="s">
        <v>57</v>
      </c>
      <c r="H502" s="7" t="s">
        <v>85</v>
      </c>
      <c r="I502" s="11" t="s">
        <v>9</v>
      </c>
      <c r="J502" s="11" t="s">
        <v>105</v>
      </c>
      <c r="K502" s="12">
        <v>30185.123490000002</v>
      </c>
      <c r="L502" s="12">
        <v>0</v>
      </c>
      <c r="M502" s="12">
        <f t="shared" si="20"/>
        <v>30185.123490000002</v>
      </c>
      <c r="N502" s="29">
        <v>30</v>
      </c>
    </row>
    <row r="503" spans="1:14" ht="16.5" thickTop="1" thickBot="1" x14ac:dyDescent="0.3">
      <c r="A503" s="27" t="s">
        <v>111</v>
      </c>
      <c r="B503" s="25" t="s">
        <v>22</v>
      </c>
      <c r="C503" s="8" t="s">
        <v>62</v>
      </c>
      <c r="D503" s="7" t="s">
        <v>79</v>
      </c>
      <c r="E503" s="9" t="s">
        <v>67</v>
      </c>
      <c r="F503" s="10">
        <v>1</v>
      </c>
      <c r="G503" s="11" t="s">
        <v>58</v>
      </c>
      <c r="H503" s="7" t="s">
        <v>85</v>
      </c>
      <c r="I503" s="11" t="s">
        <v>9</v>
      </c>
      <c r="J503" s="11" t="s">
        <v>105</v>
      </c>
      <c r="K503" s="12">
        <v>17265.328613999998</v>
      </c>
      <c r="L503" s="12">
        <v>0</v>
      </c>
      <c r="M503" s="12">
        <f t="shared" si="20"/>
        <v>17265.328613999998</v>
      </c>
      <c r="N503" s="29">
        <v>30</v>
      </c>
    </row>
    <row r="504" spans="1:14" s="4" customFormat="1" ht="16.5" thickTop="1" thickBot="1" x14ac:dyDescent="0.3">
      <c r="A504" s="27" t="s">
        <v>111</v>
      </c>
      <c r="B504" s="31" t="s">
        <v>22</v>
      </c>
      <c r="C504" s="32" t="s">
        <v>62</v>
      </c>
      <c r="D504" s="33" t="s">
        <v>79</v>
      </c>
      <c r="E504" s="34" t="s">
        <v>67</v>
      </c>
      <c r="F504" s="35">
        <v>1</v>
      </c>
      <c r="G504" s="36" t="s">
        <v>59</v>
      </c>
      <c r="H504" s="33" t="s">
        <v>85</v>
      </c>
      <c r="I504" s="36" t="s">
        <v>9</v>
      </c>
      <c r="J504" s="36" t="s">
        <v>105</v>
      </c>
      <c r="K504" s="37">
        <v>4316.3373689999999</v>
      </c>
      <c r="L504" s="37">
        <v>0</v>
      </c>
      <c r="M504" s="37">
        <f t="shared" si="20"/>
        <v>4316.3373689999999</v>
      </c>
      <c r="N504" s="38">
        <v>30</v>
      </c>
    </row>
    <row r="505" spans="1:14" ht="16.5" thickTop="1" thickBot="1" x14ac:dyDescent="0.3">
      <c r="A505" s="39"/>
      <c r="B505" s="40" t="s">
        <v>5</v>
      </c>
      <c r="C505" s="41" t="s">
        <v>0</v>
      </c>
      <c r="D505" s="42" t="s">
        <v>79</v>
      </c>
      <c r="E505" s="43" t="s">
        <v>68</v>
      </c>
      <c r="F505" s="44">
        <v>10</v>
      </c>
      <c r="G505" s="45" t="s">
        <v>6</v>
      </c>
      <c r="H505" s="42" t="s">
        <v>85</v>
      </c>
      <c r="I505" s="45" t="s">
        <v>7</v>
      </c>
      <c r="J505" s="45" t="s">
        <v>103</v>
      </c>
      <c r="K505" s="46">
        <v>37326.692723669999</v>
      </c>
      <c r="L505" s="46">
        <f>K505*5%</f>
        <v>1866.3346361835002</v>
      </c>
      <c r="M505" s="46">
        <f>K505-L505</f>
        <v>35460.3580874865</v>
      </c>
      <c r="N505" s="47">
        <v>10</v>
      </c>
    </row>
    <row r="506" spans="1:14" ht="16.5" thickTop="1" thickBot="1" x14ac:dyDescent="0.3">
      <c r="A506" s="27"/>
      <c r="B506" s="25" t="s">
        <v>5</v>
      </c>
      <c r="C506" s="8" t="s">
        <v>0</v>
      </c>
      <c r="D506" s="7" t="s">
        <v>79</v>
      </c>
      <c r="E506" s="9" t="s">
        <v>68</v>
      </c>
      <c r="F506" s="10">
        <v>10</v>
      </c>
      <c r="G506" s="11" t="s">
        <v>8</v>
      </c>
      <c r="H506" s="7" t="s">
        <v>85</v>
      </c>
      <c r="I506" s="11" t="s">
        <v>7</v>
      </c>
      <c r="J506" s="11" t="s">
        <v>103</v>
      </c>
      <c r="K506" s="12">
        <v>17490.966790500002</v>
      </c>
      <c r="L506" s="12">
        <f>K506*5%</f>
        <v>874.54833952500019</v>
      </c>
      <c r="M506" s="12">
        <f>K506-L506</f>
        <v>16616.418450975001</v>
      </c>
      <c r="N506" s="29">
        <v>10</v>
      </c>
    </row>
    <row r="507" spans="1:14" ht="16.5" thickTop="1" thickBot="1" x14ac:dyDescent="0.3">
      <c r="A507" s="27"/>
      <c r="B507" s="25" t="s">
        <v>5</v>
      </c>
      <c r="C507" s="8" t="s">
        <v>0</v>
      </c>
      <c r="D507" s="7" t="s">
        <v>79</v>
      </c>
      <c r="E507" s="9" t="s">
        <v>68</v>
      </c>
      <c r="F507" s="10">
        <v>10</v>
      </c>
      <c r="G507" s="11" t="s">
        <v>8</v>
      </c>
      <c r="H507" s="7" t="s">
        <v>85</v>
      </c>
      <c r="I507" s="11" t="s">
        <v>97</v>
      </c>
      <c r="J507" s="11" t="s">
        <v>103</v>
      </c>
      <c r="K507" s="12">
        <v>17490.966790500002</v>
      </c>
      <c r="L507" s="12">
        <f>K507*5%</f>
        <v>874.54833952500019</v>
      </c>
      <c r="M507" s="12">
        <f>K507-L507</f>
        <v>16616.418450975001</v>
      </c>
      <c r="N507" s="29">
        <v>10</v>
      </c>
    </row>
    <row r="508" spans="1:14" ht="16.5" thickTop="1" thickBot="1" x14ac:dyDescent="0.3">
      <c r="A508" s="27"/>
      <c r="B508" s="25" t="s">
        <v>5</v>
      </c>
      <c r="C508" s="8" t="s">
        <v>0</v>
      </c>
      <c r="D508" s="7" t="s">
        <v>79</v>
      </c>
      <c r="E508" s="9" t="s">
        <v>68</v>
      </c>
      <c r="F508" s="10">
        <v>10</v>
      </c>
      <c r="G508" s="11" t="s">
        <v>8</v>
      </c>
      <c r="H508" s="7" t="s">
        <v>85</v>
      </c>
      <c r="I508" s="11" t="s">
        <v>9</v>
      </c>
      <c r="J508" s="11" t="s">
        <v>103</v>
      </c>
      <c r="K508" s="12">
        <v>15318.197313750001</v>
      </c>
      <c r="L508" s="12">
        <f>K508*5%</f>
        <v>765.90986568750009</v>
      </c>
      <c r="M508" s="12">
        <f>K508-L508</f>
        <v>14552.287448062501</v>
      </c>
      <c r="N508" s="29">
        <v>10</v>
      </c>
    </row>
    <row r="509" spans="1:14" ht="16.5" thickTop="1" thickBot="1" x14ac:dyDescent="0.3">
      <c r="A509" s="27"/>
      <c r="B509" s="25" t="s">
        <v>5</v>
      </c>
      <c r="C509" s="8" t="s">
        <v>0</v>
      </c>
      <c r="D509" s="7" t="s">
        <v>79</v>
      </c>
      <c r="E509" s="9" t="s">
        <v>68</v>
      </c>
      <c r="F509" s="10">
        <v>10</v>
      </c>
      <c r="G509" s="11" t="s">
        <v>8</v>
      </c>
      <c r="H509" s="7" t="s">
        <v>85</v>
      </c>
      <c r="I509" s="11" t="s">
        <v>15</v>
      </c>
      <c r="J509" s="11" t="s">
        <v>103</v>
      </c>
      <c r="K509" s="12">
        <v>13061.815548749999</v>
      </c>
      <c r="L509" s="12">
        <f>K509*5%</f>
        <v>653.09077743750004</v>
      </c>
      <c r="M509" s="12">
        <f>K509-L509</f>
        <v>12408.7247713125</v>
      </c>
      <c r="N509" s="29">
        <v>10</v>
      </c>
    </row>
    <row r="510" spans="1:14" ht="16.5" thickTop="1" thickBot="1" x14ac:dyDescent="0.3">
      <c r="A510" s="27"/>
      <c r="B510" s="25" t="s">
        <v>10</v>
      </c>
      <c r="C510" s="8" t="s">
        <v>0</v>
      </c>
      <c r="D510" s="7" t="s">
        <v>79</v>
      </c>
      <c r="E510" s="9" t="s">
        <v>68</v>
      </c>
      <c r="F510" s="10">
        <v>10</v>
      </c>
      <c r="G510" s="11" t="s">
        <v>8</v>
      </c>
      <c r="H510" s="7" t="s">
        <v>85</v>
      </c>
      <c r="I510" s="11" t="s">
        <v>96</v>
      </c>
      <c r="J510" s="11" t="s">
        <v>103</v>
      </c>
      <c r="K510" s="12">
        <v>2000</v>
      </c>
      <c r="L510" s="12">
        <f>0</f>
        <v>0</v>
      </c>
      <c r="M510" s="12">
        <f>K510</f>
        <v>2000</v>
      </c>
      <c r="N510" s="29">
        <v>10</v>
      </c>
    </row>
    <row r="511" spans="1:14" ht="16.5" thickTop="1" thickBot="1" x14ac:dyDescent="0.3">
      <c r="A511" s="27"/>
      <c r="B511" s="25" t="s">
        <v>10</v>
      </c>
      <c r="C511" s="8" t="s">
        <v>0</v>
      </c>
      <c r="D511" s="7" t="s">
        <v>79</v>
      </c>
      <c r="E511" s="9" t="s">
        <v>68</v>
      </c>
      <c r="F511" s="10">
        <v>10</v>
      </c>
      <c r="G511" s="11" t="s">
        <v>8</v>
      </c>
      <c r="H511" s="7" t="s">
        <v>85</v>
      </c>
      <c r="I511" s="11" t="s">
        <v>96</v>
      </c>
      <c r="J511" s="11" t="s">
        <v>103</v>
      </c>
      <c r="K511" s="12">
        <v>200</v>
      </c>
      <c r="L511" s="12">
        <f>0</f>
        <v>0</v>
      </c>
      <c r="M511" s="12">
        <f>K511</f>
        <v>200</v>
      </c>
      <c r="N511" s="29">
        <v>10</v>
      </c>
    </row>
    <row r="512" spans="1:14" ht="16.5" thickTop="1" thickBot="1" x14ac:dyDescent="0.3">
      <c r="A512" s="27"/>
      <c r="B512" s="25" t="s">
        <v>11</v>
      </c>
      <c r="C512" s="8" t="s">
        <v>0</v>
      </c>
      <c r="D512" s="7" t="s">
        <v>79</v>
      </c>
      <c r="E512" s="9" t="s">
        <v>68</v>
      </c>
      <c r="F512" s="10">
        <v>16</v>
      </c>
      <c r="G512" s="11" t="s">
        <v>12</v>
      </c>
      <c r="H512" s="7" t="s">
        <v>85</v>
      </c>
      <c r="I512" s="11" t="s">
        <v>7</v>
      </c>
      <c r="J512" s="11" t="s">
        <v>103</v>
      </c>
      <c r="K512" s="12">
        <v>17013.380378354999</v>
      </c>
      <c r="L512" s="12">
        <f>K512*16%</f>
        <v>2722.1408605368001</v>
      </c>
      <c r="M512" s="12">
        <f t="shared" ref="M512:M528" si="21">K512-L512</f>
        <v>14291.2395178182</v>
      </c>
      <c r="N512" s="29">
        <v>15</v>
      </c>
    </row>
    <row r="513" spans="1:14" ht="16.5" thickTop="1" thickBot="1" x14ac:dyDescent="0.3">
      <c r="A513" s="27"/>
      <c r="B513" s="25" t="s">
        <v>13</v>
      </c>
      <c r="C513" s="8" t="s">
        <v>0</v>
      </c>
      <c r="D513" s="7" t="s">
        <v>79</v>
      </c>
      <c r="E513" s="9" t="s">
        <v>68</v>
      </c>
      <c r="F513" s="10">
        <v>16</v>
      </c>
      <c r="G513" s="11" t="s">
        <v>12</v>
      </c>
      <c r="H513" s="7" t="s">
        <v>85</v>
      </c>
      <c r="I513" s="11" t="s">
        <v>9</v>
      </c>
      <c r="J513" s="11" t="s">
        <v>103</v>
      </c>
      <c r="K513" s="12">
        <v>3729.6405063450002</v>
      </c>
      <c r="L513" s="12">
        <f>K513*16%</f>
        <v>596.74248101520004</v>
      </c>
      <c r="M513" s="12">
        <f t="shared" si="21"/>
        <v>3132.8980253298</v>
      </c>
      <c r="N513" s="29">
        <v>15</v>
      </c>
    </row>
    <row r="514" spans="1:14" ht="16.5" thickTop="1" thickBot="1" x14ac:dyDescent="0.3">
      <c r="A514" s="27"/>
      <c r="B514" s="25" t="s">
        <v>13</v>
      </c>
      <c r="C514" s="8" t="s">
        <v>0</v>
      </c>
      <c r="D514" s="7" t="s">
        <v>79</v>
      </c>
      <c r="E514" s="9" t="s">
        <v>68</v>
      </c>
      <c r="F514" s="10">
        <v>16</v>
      </c>
      <c r="G514" s="11" t="s">
        <v>12</v>
      </c>
      <c r="H514" s="7" t="s">
        <v>85</v>
      </c>
      <c r="I514" s="11" t="s">
        <v>99</v>
      </c>
      <c r="J514" s="11" t="s">
        <v>103</v>
      </c>
      <c r="K514" s="12">
        <v>4416.0016102200007</v>
      </c>
      <c r="L514" s="12">
        <f>K514*16%</f>
        <v>706.56025763520017</v>
      </c>
      <c r="M514" s="12">
        <f t="shared" si="21"/>
        <v>3709.4413525848004</v>
      </c>
      <c r="N514" s="29">
        <v>15</v>
      </c>
    </row>
    <row r="515" spans="1:14" ht="16.5" thickTop="1" thickBot="1" x14ac:dyDescent="0.3">
      <c r="A515" s="27"/>
      <c r="B515" s="25" t="s">
        <v>5</v>
      </c>
      <c r="C515" s="8" t="s">
        <v>0</v>
      </c>
      <c r="D515" s="7" t="s">
        <v>79</v>
      </c>
      <c r="E515" s="9" t="s">
        <v>68</v>
      </c>
      <c r="F515" s="10">
        <v>16</v>
      </c>
      <c r="G515" s="11" t="s">
        <v>14</v>
      </c>
      <c r="H515" s="7" t="s">
        <v>84</v>
      </c>
      <c r="I515" s="11" t="s">
        <v>7</v>
      </c>
      <c r="J515" s="11" t="s">
        <v>103</v>
      </c>
      <c r="K515" s="12">
        <v>14761.659131999999</v>
      </c>
      <c r="L515" s="12">
        <f>K515*5%</f>
        <v>738.08295659999999</v>
      </c>
      <c r="M515" s="12">
        <f t="shared" si="21"/>
        <v>14023.5761754</v>
      </c>
      <c r="N515" s="29">
        <v>15</v>
      </c>
    </row>
    <row r="516" spans="1:14" ht="16.5" thickTop="1" thickBot="1" x14ac:dyDescent="0.3">
      <c r="A516" s="27"/>
      <c r="B516" s="25" t="s">
        <v>5</v>
      </c>
      <c r="C516" s="8" t="s">
        <v>0</v>
      </c>
      <c r="D516" s="7" t="s">
        <v>79</v>
      </c>
      <c r="E516" s="9" t="s">
        <v>68</v>
      </c>
      <c r="F516" s="10">
        <v>16</v>
      </c>
      <c r="G516" s="11" t="s">
        <v>14</v>
      </c>
      <c r="H516" s="7" t="s">
        <v>84</v>
      </c>
      <c r="I516" s="11" t="s">
        <v>9</v>
      </c>
      <c r="J516" s="11" t="s">
        <v>103</v>
      </c>
      <c r="K516" s="12">
        <v>3763.01</v>
      </c>
      <c r="L516" s="12">
        <f>K516*5%</f>
        <v>188.15050000000002</v>
      </c>
      <c r="M516" s="12">
        <f t="shared" si="21"/>
        <v>3574.8595</v>
      </c>
      <c r="N516" s="29">
        <v>15</v>
      </c>
    </row>
    <row r="517" spans="1:14" ht="16.5" thickTop="1" thickBot="1" x14ac:dyDescent="0.3">
      <c r="A517" s="27"/>
      <c r="B517" s="25" t="s">
        <v>5</v>
      </c>
      <c r="C517" s="8" t="s">
        <v>0</v>
      </c>
      <c r="D517" s="7" t="s">
        <v>79</v>
      </c>
      <c r="E517" s="9" t="s">
        <v>68</v>
      </c>
      <c r="F517" s="10">
        <v>16</v>
      </c>
      <c r="G517" s="11" t="s">
        <v>14</v>
      </c>
      <c r="H517" s="7" t="s">
        <v>84</v>
      </c>
      <c r="I517" s="11" t="s">
        <v>15</v>
      </c>
      <c r="J517" s="11" t="s">
        <v>103</v>
      </c>
      <c r="K517" s="12">
        <v>4780.5638085000001</v>
      </c>
      <c r="L517" s="12">
        <f>K517*5%</f>
        <v>239.02819042500002</v>
      </c>
      <c r="M517" s="12">
        <f t="shared" si="21"/>
        <v>4541.5356180750005</v>
      </c>
      <c r="N517" s="29">
        <v>15</v>
      </c>
    </row>
    <row r="518" spans="1:14" ht="16.5" thickTop="1" thickBot="1" x14ac:dyDescent="0.3">
      <c r="A518" s="27"/>
      <c r="B518" s="25" t="s">
        <v>10</v>
      </c>
      <c r="C518" s="8" t="s">
        <v>0</v>
      </c>
      <c r="D518" s="7" t="s">
        <v>79</v>
      </c>
      <c r="E518" s="9" t="s">
        <v>68</v>
      </c>
      <c r="F518" s="10">
        <v>16</v>
      </c>
      <c r="G518" s="11" t="s">
        <v>14</v>
      </c>
      <c r="H518" s="7" t="s">
        <v>84</v>
      </c>
      <c r="I518" s="11" t="s">
        <v>96</v>
      </c>
      <c r="J518" s="11" t="s">
        <v>103</v>
      </c>
      <c r="K518" s="12">
        <v>500</v>
      </c>
      <c r="L518" s="12">
        <f>0</f>
        <v>0</v>
      </c>
      <c r="M518" s="12">
        <f t="shared" si="21"/>
        <v>500</v>
      </c>
      <c r="N518" s="29">
        <v>15</v>
      </c>
    </row>
    <row r="519" spans="1:14" ht="16.5" thickTop="1" thickBot="1" x14ac:dyDescent="0.3">
      <c r="A519" s="27"/>
      <c r="B519" s="25" t="s">
        <v>11</v>
      </c>
      <c r="C519" s="8" t="s">
        <v>0</v>
      </c>
      <c r="D519" s="7" t="s">
        <v>79</v>
      </c>
      <c r="E519" s="9" t="s">
        <v>68</v>
      </c>
      <c r="F519" s="10">
        <v>20</v>
      </c>
      <c r="G519" s="11" t="s">
        <v>16</v>
      </c>
      <c r="H519" s="7" t="s">
        <v>85</v>
      </c>
      <c r="I519" s="11" t="s">
        <v>7</v>
      </c>
      <c r="J519" s="11" t="s">
        <v>103</v>
      </c>
      <c r="K519" s="12">
        <v>15515</v>
      </c>
      <c r="L519" s="12">
        <f>K519*16%</f>
        <v>2482.4</v>
      </c>
      <c r="M519" s="12">
        <f t="shared" si="21"/>
        <v>13032.6</v>
      </c>
      <c r="N519" s="29">
        <v>15</v>
      </c>
    </row>
    <row r="520" spans="1:14" ht="16.5" thickTop="1" thickBot="1" x14ac:dyDescent="0.3">
      <c r="A520" s="27"/>
      <c r="B520" s="25" t="s">
        <v>13</v>
      </c>
      <c r="C520" s="8" t="s">
        <v>0</v>
      </c>
      <c r="D520" s="7" t="s">
        <v>79</v>
      </c>
      <c r="E520" s="9" t="s">
        <v>68</v>
      </c>
      <c r="F520" s="10">
        <v>20</v>
      </c>
      <c r="G520" s="11" t="s">
        <v>16</v>
      </c>
      <c r="H520" s="7" t="s">
        <v>85</v>
      </c>
      <c r="I520" s="11" t="s">
        <v>113</v>
      </c>
      <c r="J520" s="11" t="s">
        <v>103</v>
      </c>
      <c r="K520" s="12">
        <v>1500</v>
      </c>
      <c r="L520" s="12">
        <f>K520*16%</f>
        <v>240</v>
      </c>
      <c r="M520" s="12">
        <f t="shared" si="21"/>
        <v>1260</v>
      </c>
      <c r="N520" s="29">
        <v>15</v>
      </c>
    </row>
    <row r="521" spans="1:14" ht="16.5" thickTop="1" thickBot="1" x14ac:dyDescent="0.3">
      <c r="A521" s="27"/>
      <c r="B521" s="25" t="s">
        <v>13</v>
      </c>
      <c r="C521" s="8" t="s">
        <v>0</v>
      </c>
      <c r="D521" s="7" t="s">
        <v>79</v>
      </c>
      <c r="E521" s="9" t="s">
        <v>68</v>
      </c>
      <c r="F521" s="10">
        <v>20</v>
      </c>
      <c r="G521" s="11" t="s">
        <v>16</v>
      </c>
      <c r="H521" s="7" t="s">
        <v>85</v>
      </c>
      <c r="I521" s="11" t="s">
        <v>9</v>
      </c>
      <c r="J521" s="11" t="s">
        <v>103</v>
      </c>
      <c r="K521" s="12">
        <v>7480</v>
      </c>
      <c r="L521" s="12">
        <f>K521*16%</f>
        <v>1196.8</v>
      </c>
      <c r="M521" s="12">
        <f t="shared" si="21"/>
        <v>6283.2</v>
      </c>
      <c r="N521" s="29">
        <v>15</v>
      </c>
    </row>
    <row r="522" spans="1:14" ht="16.5" thickTop="1" thickBot="1" x14ac:dyDescent="0.3">
      <c r="A522" s="27"/>
      <c r="B522" s="25" t="s">
        <v>13</v>
      </c>
      <c r="C522" s="8" t="s">
        <v>0</v>
      </c>
      <c r="D522" s="7" t="s">
        <v>79</v>
      </c>
      <c r="E522" s="9" t="s">
        <v>68</v>
      </c>
      <c r="F522" s="10">
        <v>20</v>
      </c>
      <c r="G522" s="11" t="s">
        <v>16</v>
      </c>
      <c r="H522" s="7" t="s">
        <v>85</v>
      </c>
      <c r="I522" s="11" t="s">
        <v>15</v>
      </c>
      <c r="J522" s="11" t="s">
        <v>103</v>
      </c>
      <c r="K522" s="12">
        <v>6826</v>
      </c>
      <c r="L522" s="12">
        <f>K522*16%</f>
        <v>1092.1600000000001</v>
      </c>
      <c r="M522" s="12">
        <f t="shared" si="21"/>
        <v>5733.84</v>
      </c>
      <c r="N522" s="29">
        <v>15</v>
      </c>
    </row>
    <row r="523" spans="1:14" ht="16.5" thickTop="1" thickBot="1" x14ac:dyDescent="0.3">
      <c r="A523" s="27" t="s">
        <v>111</v>
      </c>
      <c r="B523" s="25" t="s">
        <v>5</v>
      </c>
      <c r="C523" s="8" t="s">
        <v>0</v>
      </c>
      <c r="D523" s="7" t="s">
        <v>79</v>
      </c>
      <c r="E523" s="9" t="s">
        <v>68</v>
      </c>
      <c r="F523" s="10">
        <v>5</v>
      </c>
      <c r="G523" s="11" t="s">
        <v>17</v>
      </c>
      <c r="H523" s="7" t="s">
        <v>85</v>
      </c>
      <c r="I523" s="11" t="s">
        <v>7</v>
      </c>
      <c r="J523" s="11" t="s">
        <v>103</v>
      </c>
      <c r="K523" s="12">
        <v>16574.890605929999</v>
      </c>
      <c r="L523" s="12">
        <f>K523*5%</f>
        <v>828.74453029649999</v>
      </c>
      <c r="M523" s="12">
        <f t="shared" si="21"/>
        <v>15746.146075633498</v>
      </c>
      <c r="N523" s="29">
        <v>10</v>
      </c>
    </row>
    <row r="524" spans="1:14" ht="16.5" thickTop="1" thickBot="1" x14ac:dyDescent="0.3">
      <c r="A524" s="27" t="s">
        <v>111</v>
      </c>
      <c r="B524" s="25" t="s">
        <v>5</v>
      </c>
      <c r="C524" s="8" t="s">
        <v>0</v>
      </c>
      <c r="D524" s="7" t="s">
        <v>79</v>
      </c>
      <c r="E524" s="9" t="s">
        <v>68</v>
      </c>
      <c r="F524" s="10">
        <v>5</v>
      </c>
      <c r="G524" s="11" t="s">
        <v>17</v>
      </c>
      <c r="H524" s="7" t="s">
        <v>85</v>
      </c>
      <c r="I524" s="11" t="s">
        <v>15</v>
      </c>
      <c r="J524" s="11" t="s">
        <v>103</v>
      </c>
      <c r="K524" s="12">
        <v>4086.3215625749995</v>
      </c>
      <c r="L524" s="12">
        <f>K524*5%</f>
        <v>204.31607812874998</v>
      </c>
      <c r="M524" s="12">
        <f t="shared" si="21"/>
        <v>3882.0054844462493</v>
      </c>
      <c r="N524" s="29">
        <v>10</v>
      </c>
    </row>
    <row r="525" spans="1:14" ht="16.5" thickTop="1" thickBot="1" x14ac:dyDescent="0.3">
      <c r="A525" s="27"/>
      <c r="B525" s="25" t="s">
        <v>5</v>
      </c>
      <c r="C525" s="8" t="s">
        <v>0</v>
      </c>
      <c r="D525" s="7" t="s">
        <v>79</v>
      </c>
      <c r="E525" s="9" t="s">
        <v>68</v>
      </c>
      <c r="F525" s="10">
        <v>10</v>
      </c>
      <c r="G525" s="11" t="s">
        <v>18</v>
      </c>
      <c r="H525" s="7" t="s">
        <v>85</v>
      </c>
      <c r="I525" s="11" t="s">
        <v>9</v>
      </c>
      <c r="J525" s="11" t="s">
        <v>103</v>
      </c>
      <c r="K525" s="12">
        <v>4153.3112700000001</v>
      </c>
      <c r="L525" s="12">
        <f>K525*5%</f>
        <v>207.66556350000002</v>
      </c>
      <c r="M525" s="12">
        <f t="shared" si="21"/>
        <v>3945.6457065</v>
      </c>
      <c r="N525" s="29">
        <v>10</v>
      </c>
    </row>
    <row r="526" spans="1:14" ht="16.5" thickTop="1" thickBot="1" x14ac:dyDescent="0.3">
      <c r="A526" s="27"/>
      <c r="B526" s="25" t="s">
        <v>11</v>
      </c>
      <c r="C526" s="8" t="s">
        <v>0</v>
      </c>
      <c r="D526" s="7" t="s">
        <v>79</v>
      </c>
      <c r="E526" s="9" t="s">
        <v>68</v>
      </c>
      <c r="F526" s="10">
        <v>20</v>
      </c>
      <c r="G526" s="11" t="s">
        <v>19</v>
      </c>
      <c r="H526" s="7" t="s">
        <v>88</v>
      </c>
      <c r="I526" s="11" t="s">
        <v>20</v>
      </c>
      <c r="J526" s="11" t="s">
        <v>105</v>
      </c>
      <c r="K526" s="12">
        <v>10635.19</v>
      </c>
      <c r="L526" s="12">
        <f>K526*16%</f>
        <v>1701.6304</v>
      </c>
      <c r="M526" s="12">
        <f t="shared" si="21"/>
        <v>8933.5596000000005</v>
      </c>
      <c r="N526" s="29">
        <v>15</v>
      </c>
    </row>
    <row r="527" spans="1:14" ht="16.5" thickTop="1" thickBot="1" x14ac:dyDescent="0.3">
      <c r="A527" s="27" t="s">
        <v>111</v>
      </c>
      <c r="B527" s="25" t="s">
        <v>13</v>
      </c>
      <c r="C527" s="8" t="s">
        <v>0</v>
      </c>
      <c r="D527" s="7" t="s">
        <v>79</v>
      </c>
      <c r="E527" s="9" t="s">
        <v>68</v>
      </c>
      <c r="F527" s="10">
        <v>5</v>
      </c>
      <c r="G527" s="11" t="s">
        <v>21</v>
      </c>
      <c r="H527" s="7" t="s">
        <v>85</v>
      </c>
      <c r="I527" s="11" t="s">
        <v>9</v>
      </c>
      <c r="J527" s="11" t="s">
        <v>105</v>
      </c>
      <c r="K527" s="12">
        <v>32256.26</v>
      </c>
      <c r="L527" s="12">
        <f>K527*16%</f>
        <v>5161.0015999999996</v>
      </c>
      <c r="M527" s="12">
        <f t="shared" si="21"/>
        <v>27095.258399999999</v>
      </c>
      <c r="N527" s="29">
        <v>10</v>
      </c>
    </row>
    <row r="528" spans="1:14" ht="15.75" customHeight="1" thickTop="1" thickBot="1" x14ac:dyDescent="0.3">
      <c r="A528" s="27"/>
      <c r="B528" s="25" t="s">
        <v>11</v>
      </c>
      <c r="C528" s="8" t="s">
        <v>0</v>
      </c>
      <c r="D528" s="7" t="s">
        <v>79</v>
      </c>
      <c r="E528" s="9" t="s">
        <v>68</v>
      </c>
      <c r="F528" s="10">
        <v>20</v>
      </c>
      <c r="G528" s="11" t="s">
        <v>21</v>
      </c>
      <c r="H528" s="7" t="s">
        <v>85</v>
      </c>
      <c r="I528" s="11" t="s">
        <v>20</v>
      </c>
      <c r="J528" s="11" t="s">
        <v>105</v>
      </c>
      <c r="K528" s="12">
        <v>37709</v>
      </c>
      <c r="L528" s="12">
        <f>K528*16%</f>
        <v>6033.4400000000005</v>
      </c>
      <c r="M528" s="12">
        <f t="shared" si="21"/>
        <v>31675.559999999998</v>
      </c>
      <c r="N528" s="29">
        <v>10</v>
      </c>
    </row>
    <row r="529" spans="1:14" ht="15.75" customHeight="1" thickTop="1" thickBot="1" x14ac:dyDescent="0.3">
      <c r="A529" s="27"/>
      <c r="B529" s="25" t="s">
        <v>22</v>
      </c>
      <c r="C529" s="8" t="s">
        <v>0</v>
      </c>
      <c r="D529" s="7" t="s">
        <v>79</v>
      </c>
      <c r="E529" s="9" t="s">
        <v>68</v>
      </c>
      <c r="F529" s="10">
        <v>20</v>
      </c>
      <c r="G529" s="11" t="s">
        <v>23</v>
      </c>
      <c r="H529" s="7" t="s">
        <v>83</v>
      </c>
      <c r="I529" s="11" t="s">
        <v>7</v>
      </c>
      <c r="J529" s="11" t="s">
        <v>80</v>
      </c>
      <c r="K529" s="12">
        <v>5000</v>
      </c>
      <c r="L529" s="12">
        <v>0</v>
      </c>
      <c r="M529" s="12">
        <v>10000</v>
      </c>
      <c r="N529" s="29">
        <v>15</v>
      </c>
    </row>
    <row r="530" spans="1:14" ht="16.5" thickTop="1" thickBot="1" x14ac:dyDescent="0.3">
      <c r="A530" s="27"/>
      <c r="B530" s="25" t="s">
        <v>11</v>
      </c>
      <c r="C530" s="8" t="s">
        <v>0</v>
      </c>
      <c r="D530" s="7" t="s">
        <v>79</v>
      </c>
      <c r="E530" s="9" t="s">
        <v>68</v>
      </c>
      <c r="F530" s="10">
        <v>5</v>
      </c>
      <c r="G530" s="11" t="s">
        <v>24</v>
      </c>
      <c r="H530" s="7" t="s">
        <v>83</v>
      </c>
      <c r="I530" s="11" t="s">
        <v>7</v>
      </c>
      <c r="J530" s="11" t="s">
        <v>80</v>
      </c>
      <c r="K530" s="12">
        <v>61581.403376595001</v>
      </c>
      <c r="L530" s="12">
        <f>K530*16%</f>
        <v>9853.0245402552009</v>
      </c>
      <c r="M530" s="12">
        <f>K530-L530</f>
        <v>51728.378836339798</v>
      </c>
      <c r="N530" s="29">
        <v>23</v>
      </c>
    </row>
    <row r="531" spans="1:14" ht="16.5" thickTop="1" thickBot="1" x14ac:dyDescent="0.3">
      <c r="A531" s="27"/>
      <c r="B531" s="25" t="s">
        <v>13</v>
      </c>
      <c r="C531" s="8" t="s">
        <v>0</v>
      </c>
      <c r="D531" s="7" t="s">
        <v>79</v>
      </c>
      <c r="E531" s="9" t="s">
        <v>68</v>
      </c>
      <c r="F531" s="10">
        <v>5</v>
      </c>
      <c r="G531" s="11" t="s">
        <v>24</v>
      </c>
      <c r="H531" s="7" t="s">
        <v>83</v>
      </c>
      <c r="I531" s="11" t="s">
        <v>9</v>
      </c>
      <c r="J531" s="11" t="s">
        <v>80</v>
      </c>
      <c r="K531" s="12">
        <v>12948.9964605</v>
      </c>
      <c r="L531" s="12">
        <f>K531*16%</f>
        <v>2071.8394336800002</v>
      </c>
      <c r="M531" s="12">
        <f>K531-L531</f>
        <v>10877.157026820001</v>
      </c>
      <c r="N531" s="29">
        <v>23</v>
      </c>
    </row>
    <row r="532" spans="1:14" ht="16.5" thickTop="1" thickBot="1" x14ac:dyDescent="0.3">
      <c r="A532" s="27"/>
      <c r="B532" s="25" t="s">
        <v>10</v>
      </c>
      <c r="C532" s="8" t="s">
        <v>0</v>
      </c>
      <c r="D532" s="7" t="s">
        <v>79</v>
      </c>
      <c r="E532" s="9" t="s">
        <v>68</v>
      </c>
      <c r="F532" s="10">
        <v>5</v>
      </c>
      <c r="G532" s="11" t="s">
        <v>24</v>
      </c>
      <c r="H532" s="7" t="s">
        <v>83</v>
      </c>
      <c r="I532" s="11" t="s">
        <v>96</v>
      </c>
      <c r="J532" s="11" t="s">
        <v>80</v>
      </c>
      <c r="K532" s="12">
        <v>1500</v>
      </c>
      <c r="L532" s="12">
        <f>0</f>
        <v>0</v>
      </c>
      <c r="M532" s="12">
        <f>K532</f>
        <v>1500</v>
      </c>
      <c r="N532" s="29">
        <v>23</v>
      </c>
    </row>
    <row r="533" spans="1:14" ht="16.5" thickTop="1" thickBot="1" x14ac:dyDescent="0.3">
      <c r="A533" s="27" t="s">
        <v>111</v>
      </c>
      <c r="B533" s="25" t="s">
        <v>22</v>
      </c>
      <c r="C533" s="8" t="s">
        <v>25</v>
      </c>
      <c r="D533" s="7" t="s">
        <v>79</v>
      </c>
      <c r="E533" s="9" t="s">
        <v>68</v>
      </c>
      <c r="F533" s="10">
        <v>5</v>
      </c>
      <c r="G533" s="11" t="s">
        <v>26</v>
      </c>
      <c r="H533" s="7" t="s">
        <v>83</v>
      </c>
      <c r="I533" s="11" t="s">
        <v>7</v>
      </c>
      <c r="J533" s="11" t="s">
        <v>80</v>
      </c>
      <c r="K533" s="12">
        <v>19790.640856350001</v>
      </c>
      <c r="L533" s="12">
        <v>0</v>
      </c>
      <c r="M533" s="12">
        <f t="shared" ref="M533:M568" si="22">K533-L533</f>
        <v>19790.640856350001</v>
      </c>
      <c r="N533" s="29">
        <v>30</v>
      </c>
    </row>
    <row r="534" spans="1:14" ht="16.5" thickTop="1" thickBot="1" x14ac:dyDescent="0.3">
      <c r="A534" s="27" t="s">
        <v>111</v>
      </c>
      <c r="B534" s="25" t="s">
        <v>22</v>
      </c>
      <c r="C534" s="8" t="s">
        <v>25</v>
      </c>
      <c r="D534" s="7" t="s">
        <v>79</v>
      </c>
      <c r="E534" s="9" t="s">
        <v>68</v>
      </c>
      <c r="F534" s="10">
        <v>5</v>
      </c>
      <c r="G534" s="11" t="s">
        <v>26</v>
      </c>
      <c r="H534" s="7" t="s">
        <v>83</v>
      </c>
      <c r="I534" s="11" t="s">
        <v>9</v>
      </c>
      <c r="J534" s="11" t="s">
        <v>80</v>
      </c>
      <c r="K534" s="12">
        <v>4336.4128715999996</v>
      </c>
      <c r="L534" s="12">
        <v>0</v>
      </c>
      <c r="M534" s="12">
        <f t="shared" si="22"/>
        <v>4336.4128715999996</v>
      </c>
      <c r="N534" s="29">
        <v>30</v>
      </c>
    </row>
    <row r="535" spans="1:14" ht="16.5" thickTop="1" thickBot="1" x14ac:dyDescent="0.3">
      <c r="A535" s="27" t="s">
        <v>111</v>
      </c>
      <c r="B535" s="25" t="s">
        <v>22</v>
      </c>
      <c r="C535" s="8" t="s">
        <v>25</v>
      </c>
      <c r="D535" s="7" t="s">
        <v>79</v>
      </c>
      <c r="E535" s="9" t="s">
        <v>68</v>
      </c>
      <c r="F535" s="10">
        <v>5</v>
      </c>
      <c r="G535" s="11" t="s">
        <v>27</v>
      </c>
      <c r="H535" s="7" t="s">
        <v>83</v>
      </c>
      <c r="I535" s="11" t="s">
        <v>7</v>
      </c>
      <c r="J535" s="11" t="s">
        <v>80</v>
      </c>
      <c r="K535" s="12">
        <v>19790.640856349997</v>
      </c>
      <c r="L535" s="12">
        <v>0</v>
      </c>
      <c r="M535" s="12">
        <f t="shared" si="22"/>
        <v>19790.640856349997</v>
      </c>
      <c r="N535" s="29">
        <v>30</v>
      </c>
    </row>
    <row r="536" spans="1:14" ht="16.5" thickTop="1" thickBot="1" x14ac:dyDescent="0.3">
      <c r="A536" s="27" t="s">
        <v>111</v>
      </c>
      <c r="B536" s="25" t="s">
        <v>22</v>
      </c>
      <c r="C536" s="8" t="s">
        <v>25</v>
      </c>
      <c r="D536" s="7" t="s">
        <v>79</v>
      </c>
      <c r="E536" s="9" t="s">
        <v>68</v>
      </c>
      <c r="F536" s="10">
        <v>5</v>
      </c>
      <c r="G536" s="11" t="s">
        <v>27</v>
      </c>
      <c r="H536" s="7" t="s">
        <v>83</v>
      </c>
      <c r="I536" s="11" t="s">
        <v>9</v>
      </c>
      <c r="J536" s="11" t="s">
        <v>80</v>
      </c>
      <c r="K536" s="12">
        <v>4336.4128715999996</v>
      </c>
      <c r="L536" s="12">
        <v>0</v>
      </c>
      <c r="M536" s="12">
        <f t="shared" si="22"/>
        <v>4336.4128715999996</v>
      </c>
      <c r="N536" s="29">
        <v>30</v>
      </c>
    </row>
    <row r="537" spans="1:14" ht="16.5" thickTop="1" thickBot="1" x14ac:dyDescent="0.3">
      <c r="A537" s="27" t="s">
        <v>111</v>
      </c>
      <c r="B537" s="25" t="s">
        <v>22</v>
      </c>
      <c r="C537" s="8" t="s">
        <v>25</v>
      </c>
      <c r="D537" s="7" t="s">
        <v>79</v>
      </c>
      <c r="E537" s="9" t="s">
        <v>68</v>
      </c>
      <c r="F537" s="10">
        <v>5</v>
      </c>
      <c r="G537" s="11" t="s">
        <v>27</v>
      </c>
      <c r="H537" s="7" t="s">
        <v>83</v>
      </c>
      <c r="I537" s="11" t="s">
        <v>113</v>
      </c>
      <c r="J537" s="11" t="s">
        <v>80</v>
      </c>
      <c r="K537" s="12">
        <v>1823.589144</v>
      </c>
      <c r="L537" s="12">
        <v>0</v>
      </c>
      <c r="M537" s="12">
        <f t="shared" si="22"/>
        <v>1823.589144</v>
      </c>
      <c r="N537" s="29">
        <v>30</v>
      </c>
    </row>
    <row r="538" spans="1:14" ht="16.5" thickTop="1" thickBot="1" x14ac:dyDescent="0.3">
      <c r="A538" s="27"/>
      <c r="B538" s="25" t="s">
        <v>22</v>
      </c>
      <c r="C538" s="8" t="s">
        <v>25</v>
      </c>
      <c r="D538" s="7" t="s">
        <v>79</v>
      </c>
      <c r="E538" s="9" t="s">
        <v>68</v>
      </c>
      <c r="F538" s="10">
        <v>30</v>
      </c>
      <c r="G538" s="11" t="s">
        <v>135</v>
      </c>
      <c r="H538" s="7" t="s">
        <v>83</v>
      </c>
      <c r="I538" s="11" t="s">
        <v>7</v>
      </c>
      <c r="J538" s="11" t="s">
        <v>80</v>
      </c>
      <c r="K538" s="12">
        <v>16013.69</v>
      </c>
      <c r="L538" s="12">
        <v>0</v>
      </c>
      <c r="M538" s="12">
        <f t="shared" si="22"/>
        <v>16013.69</v>
      </c>
      <c r="N538" s="29">
        <v>18</v>
      </c>
    </row>
    <row r="539" spans="1:14" ht="16.5" thickTop="1" thickBot="1" x14ac:dyDescent="0.3">
      <c r="A539" s="27"/>
      <c r="B539" s="25" t="s">
        <v>22</v>
      </c>
      <c r="C539" s="8" t="s">
        <v>25</v>
      </c>
      <c r="D539" s="7" t="s">
        <v>79</v>
      </c>
      <c r="E539" s="9" t="s">
        <v>68</v>
      </c>
      <c r="F539" s="10">
        <v>30</v>
      </c>
      <c r="G539" s="11" t="s">
        <v>135</v>
      </c>
      <c r="H539" s="7" t="s">
        <v>83</v>
      </c>
      <c r="I539" s="11" t="s">
        <v>7</v>
      </c>
      <c r="J539" s="11" t="s">
        <v>80</v>
      </c>
      <c r="K539" s="12">
        <v>16013.69</v>
      </c>
      <c r="L539" s="12">
        <v>0</v>
      </c>
      <c r="M539" s="12">
        <f t="shared" si="22"/>
        <v>16013.69</v>
      </c>
      <c r="N539" s="29">
        <v>18</v>
      </c>
    </row>
    <row r="540" spans="1:14" ht="16.5" thickTop="1" thickBot="1" x14ac:dyDescent="0.3">
      <c r="A540" s="27" t="s">
        <v>111</v>
      </c>
      <c r="B540" s="25" t="s">
        <v>22</v>
      </c>
      <c r="C540" s="8" t="s">
        <v>25</v>
      </c>
      <c r="D540" s="7" t="s">
        <v>79</v>
      </c>
      <c r="E540" s="9" t="s">
        <v>69</v>
      </c>
      <c r="F540" s="10">
        <v>30</v>
      </c>
      <c r="G540" s="11" t="s">
        <v>135</v>
      </c>
      <c r="H540" s="7" t="s">
        <v>83</v>
      </c>
      <c r="I540" s="11" t="s">
        <v>7</v>
      </c>
      <c r="J540" s="11" t="s">
        <v>80</v>
      </c>
      <c r="K540" s="12">
        <v>16013.69</v>
      </c>
      <c r="L540" s="12">
        <v>0</v>
      </c>
      <c r="M540" s="12">
        <f t="shared" si="22"/>
        <v>16013.69</v>
      </c>
      <c r="N540" s="29">
        <v>18</v>
      </c>
    </row>
    <row r="541" spans="1:14" ht="16.5" thickTop="1" thickBot="1" x14ac:dyDescent="0.3">
      <c r="A541" s="27"/>
      <c r="B541" s="25" t="s">
        <v>22</v>
      </c>
      <c r="C541" s="8" t="s">
        <v>25</v>
      </c>
      <c r="D541" s="7" t="s">
        <v>79</v>
      </c>
      <c r="E541" s="9" t="s">
        <v>70</v>
      </c>
      <c r="F541" s="10">
        <v>30</v>
      </c>
      <c r="G541" s="11" t="s">
        <v>135</v>
      </c>
      <c r="H541" s="7" t="s">
        <v>83</v>
      </c>
      <c r="I541" s="11" t="s">
        <v>7</v>
      </c>
      <c r="J541" s="11" t="s">
        <v>80</v>
      </c>
      <c r="K541" s="12">
        <v>16013.69</v>
      </c>
      <c r="L541" s="12">
        <v>0</v>
      </c>
      <c r="M541" s="12">
        <f t="shared" si="22"/>
        <v>16013.69</v>
      </c>
      <c r="N541" s="29">
        <v>18</v>
      </c>
    </row>
    <row r="542" spans="1:14" ht="16.5" thickTop="1" thickBot="1" x14ac:dyDescent="0.3">
      <c r="A542" s="27"/>
      <c r="B542" s="25" t="s">
        <v>22</v>
      </c>
      <c r="C542" s="8" t="s">
        <v>25</v>
      </c>
      <c r="D542" s="7" t="s">
        <v>79</v>
      </c>
      <c r="E542" s="9" t="s">
        <v>71</v>
      </c>
      <c r="F542" s="10">
        <v>30</v>
      </c>
      <c r="G542" s="11" t="s">
        <v>135</v>
      </c>
      <c r="H542" s="7" t="s">
        <v>83</v>
      </c>
      <c r="I542" s="11" t="s">
        <v>7</v>
      </c>
      <c r="J542" s="11" t="s">
        <v>80</v>
      </c>
      <c r="K542" s="12">
        <v>16013.69</v>
      </c>
      <c r="L542" s="12">
        <v>0</v>
      </c>
      <c r="M542" s="12">
        <f t="shared" si="22"/>
        <v>16013.69</v>
      </c>
      <c r="N542" s="29">
        <v>18</v>
      </c>
    </row>
    <row r="543" spans="1:14" ht="16.5" thickTop="1" thickBot="1" x14ac:dyDescent="0.3">
      <c r="A543" s="27"/>
      <c r="B543" s="25" t="s">
        <v>13</v>
      </c>
      <c r="C543" s="8" t="s">
        <v>25</v>
      </c>
      <c r="D543" s="7" t="s">
        <v>79</v>
      </c>
      <c r="E543" s="9" t="s">
        <v>68</v>
      </c>
      <c r="F543" s="10">
        <v>20</v>
      </c>
      <c r="G543" s="11" t="s">
        <v>28</v>
      </c>
      <c r="H543" s="7" t="s">
        <v>84</v>
      </c>
      <c r="I543" s="11" t="s">
        <v>9</v>
      </c>
      <c r="J543" s="11" t="s">
        <v>80</v>
      </c>
      <c r="K543" s="12">
        <v>4035.7539000000002</v>
      </c>
      <c r="L543" s="12">
        <f>K543*16%</f>
        <v>645.72062400000004</v>
      </c>
      <c r="M543" s="12">
        <f t="shared" si="22"/>
        <v>3390.0332760000001</v>
      </c>
      <c r="N543" s="29">
        <v>10</v>
      </c>
    </row>
    <row r="544" spans="1:14" ht="16.5" thickTop="1" thickBot="1" x14ac:dyDescent="0.3">
      <c r="A544" s="27"/>
      <c r="B544" s="25" t="s">
        <v>11</v>
      </c>
      <c r="C544" s="8" t="s">
        <v>25</v>
      </c>
      <c r="D544" s="7" t="s">
        <v>79</v>
      </c>
      <c r="E544" s="9" t="s">
        <v>68</v>
      </c>
      <c r="F544" s="10">
        <v>20</v>
      </c>
      <c r="G544" s="11" t="s">
        <v>29</v>
      </c>
      <c r="H544" s="7" t="s">
        <v>83</v>
      </c>
      <c r="I544" s="11" t="s">
        <v>30</v>
      </c>
      <c r="J544" s="11" t="s">
        <v>80</v>
      </c>
      <c r="K544" s="12">
        <v>500</v>
      </c>
      <c r="L544" s="12">
        <f>K544*5%</f>
        <v>25</v>
      </c>
      <c r="M544" s="12">
        <f t="shared" si="22"/>
        <v>475</v>
      </c>
      <c r="N544" s="29">
        <v>10</v>
      </c>
    </row>
    <row r="545" spans="1:14" ht="16.5" thickTop="1" thickBot="1" x14ac:dyDescent="0.3">
      <c r="A545" s="27"/>
      <c r="B545" s="25" t="s">
        <v>22</v>
      </c>
      <c r="C545" s="8" t="s">
        <v>25</v>
      </c>
      <c r="D545" s="7" t="s">
        <v>79</v>
      </c>
      <c r="E545" s="9" t="s">
        <v>68</v>
      </c>
      <c r="F545" s="10">
        <v>20</v>
      </c>
      <c r="G545" s="11" t="s">
        <v>29</v>
      </c>
      <c r="H545" s="7" t="s">
        <v>83</v>
      </c>
      <c r="I545" s="11" t="s">
        <v>9</v>
      </c>
      <c r="J545" s="11" t="s">
        <v>80</v>
      </c>
      <c r="K545" s="12">
        <v>3379.6440000000002</v>
      </c>
      <c r="L545" s="12">
        <v>0</v>
      </c>
      <c r="M545" s="12">
        <f t="shared" si="22"/>
        <v>3379.6440000000002</v>
      </c>
      <c r="N545" s="29">
        <v>10</v>
      </c>
    </row>
    <row r="546" spans="1:14" ht="16.5" thickTop="1" thickBot="1" x14ac:dyDescent="0.3">
      <c r="A546" s="27"/>
      <c r="B546" s="25" t="s">
        <v>22</v>
      </c>
      <c r="C546" s="8" t="s">
        <v>25</v>
      </c>
      <c r="D546" s="7" t="s">
        <v>79</v>
      </c>
      <c r="E546" s="9" t="s">
        <v>68</v>
      </c>
      <c r="F546" s="10">
        <v>20</v>
      </c>
      <c r="G546" s="13" t="s">
        <v>31</v>
      </c>
      <c r="H546" s="7" t="s">
        <v>83</v>
      </c>
      <c r="I546" s="11" t="s">
        <v>7</v>
      </c>
      <c r="J546" s="11" t="s">
        <v>80</v>
      </c>
      <c r="K546" s="12">
        <v>17800</v>
      </c>
      <c r="L546" s="12">
        <v>0</v>
      </c>
      <c r="M546" s="12">
        <f t="shared" si="22"/>
        <v>17800</v>
      </c>
      <c r="N546" s="29">
        <v>30</v>
      </c>
    </row>
    <row r="547" spans="1:14" ht="16.5" thickTop="1" thickBot="1" x14ac:dyDescent="0.3">
      <c r="A547" s="27"/>
      <c r="B547" s="25" t="s">
        <v>5</v>
      </c>
      <c r="C547" s="8" t="s">
        <v>25</v>
      </c>
      <c r="D547" s="7" t="s">
        <v>79</v>
      </c>
      <c r="E547" s="9" t="s">
        <v>68</v>
      </c>
      <c r="F547" s="10">
        <v>20</v>
      </c>
      <c r="G547" s="11" t="s">
        <v>32</v>
      </c>
      <c r="H547" s="7" t="s">
        <v>83</v>
      </c>
      <c r="I547" s="11" t="s">
        <v>7</v>
      </c>
      <c r="J547" s="11" t="s">
        <v>80</v>
      </c>
      <c r="K547" s="12">
        <v>20160.015344324998</v>
      </c>
      <c r="L547" s="12">
        <f>K547*5%</f>
        <v>1008.00076721625</v>
      </c>
      <c r="M547" s="12">
        <f t="shared" si="22"/>
        <v>19152.014577108748</v>
      </c>
      <c r="N547" s="29">
        <v>10</v>
      </c>
    </row>
    <row r="548" spans="1:14" ht="16.5" thickTop="1" thickBot="1" x14ac:dyDescent="0.3">
      <c r="A548" s="27"/>
      <c r="B548" s="25" t="s">
        <v>5</v>
      </c>
      <c r="C548" s="8" t="s">
        <v>25</v>
      </c>
      <c r="D548" s="7" t="s">
        <v>79</v>
      </c>
      <c r="E548" s="9" t="s">
        <v>68</v>
      </c>
      <c r="F548" s="10">
        <v>20</v>
      </c>
      <c r="G548" s="11" t="s">
        <v>32</v>
      </c>
      <c r="H548" s="7" t="s">
        <v>83</v>
      </c>
      <c r="I548" s="11" t="s">
        <v>97</v>
      </c>
      <c r="J548" s="11" t="s">
        <v>80</v>
      </c>
      <c r="K548" s="12">
        <v>10053.314351999999</v>
      </c>
      <c r="L548" s="12">
        <f>K548*5%</f>
        <v>502.66571759999999</v>
      </c>
      <c r="M548" s="12">
        <f t="shared" si="22"/>
        <v>9550.6486343999986</v>
      </c>
      <c r="N548" s="29">
        <v>10</v>
      </c>
    </row>
    <row r="549" spans="1:14" ht="16.5" thickTop="1" thickBot="1" x14ac:dyDescent="0.3">
      <c r="A549" s="27"/>
      <c r="B549" s="25" t="s">
        <v>11</v>
      </c>
      <c r="C549" s="8" t="s">
        <v>25</v>
      </c>
      <c r="D549" s="7" t="s">
        <v>79</v>
      </c>
      <c r="E549" s="9" t="s">
        <v>68</v>
      </c>
      <c r="F549" s="10">
        <v>20</v>
      </c>
      <c r="G549" s="11" t="s">
        <v>32</v>
      </c>
      <c r="H549" s="7" t="s">
        <v>83</v>
      </c>
      <c r="I549" s="11" t="s">
        <v>30</v>
      </c>
      <c r="J549" s="11" t="s">
        <v>80</v>
      </c>
      <c r="K549" s="12">
        <v>200</v>
      </c>
      <c r="L549" s="12">
        <f>K549*5%</f>
        <v>10</v>
      </c>
      <c r="M549" s="12">
        <f t="shared" si="22"/>
        <v>190</v>
      </c>
      <c r="N549" s="29">
        <v>10</v>
      </c>
    </row>
    <row r="550" spans="1:14" ht="16.5" thickTop="1" thickBot="1" x14ac:dyDescent="0.3">
      <c r="A550" s="27"/>
      <c r="B550" s="25" t="s">
        <v>5</v>
      </c>
      <c r="C550" s="8" t="s">
        <v>25</v>
      </c>
      <c r="D550" s="7" t="s">
        <v>79</v>
      </c>
      <c r="E550" s="9" t="s">
        <v>68</v>
      </c>
      <c r="F550" s="10">
        <v>20</v>
      </c>
      <c r="G550" s="11" t="s">
        <v>32</v>
      </c>
      <c r="H550" s="7" t="s">
        <v>83</v>
      </c>
      <c r="I550" s="11" t="s">
        <v>7</v>
      </c>
      <c r="J550" s="11" t="s">
        <v>80</v>
      </c>
      <c r="K550" s="12">
        <v>10106.5959</v>
      </c>
      <c r="L550" s="12">
        <f>K550*5%</f>
        <v>505.32979500000005</v>
      </c>
      <c r="M550" s="12">
        <f t="shared" si="22"/>
        <v>9601.2661050000006</v>
      </c>
      <c r="N550" s="29">
        <v>10</v>
      </c>
    </row>
    <row r="551" spans="1:14" ht="16.5" thickTop="1" thickBot="1" x14ac:dyDescent="0.3">
      <c r="A551" s="27"/>
      <c r="B551" s="25" t="s">
        <v>5</v>
      </c>
      <c r="C551" s="8" t="s">
        <v>25</v>
      </c>
      <c r="D551" s="7" t="s">
        <v>79</v>
      </c>
      <c r="E551" s="9" t="s">
        <v>68</v>
      </c>
      <c r="F551" s="10">
        <v>20</v>
      </c>
      <c r="G551" s="11" t="s">
        <v>32</v>
      </c>
      <c r="H551" s="7" t="s">
        <v>83</v>
      </c>
      <c r="I551" s="11" t="s">
        <v>98</v>
      </c>
      <c r="J551" s="11" t="s">
        <v>80</v>
      </c>
      <c r="K551" s="12">
        <v>12935</v>
      </c>
      <c r="L551" s="12">
        <f>K551*5%</f>
        <v>646.75</v>
      </c>
      <c r="M551" s="12">
        <f>K551-L551</f>
        <v>12288.25</v>
      </c>
      <c r="N551" s="29">
        <v>10</v>
      </c>
    </row>
    <row r="552" spans="1:14" ht="16.5" thickTop="1" thickBot="1" x14ac:dyDescent="0.3">
      <c r="A552" s="27"/>
      <c r="B552" s="25" t="s">
        <v>10</v>
      </c>
      <c r="C552" s="8" t="s">
        <v>25</v>
      </c>
      <c r="D552" s="7" t="s">
        <v>79</v>
      </c>
      <c r="E552" s="9" t="s">
        <v>68</v>
      </c>
      <c r="F552" s="10">
        <v>20</v>
      </c>
      <c r="G552" s="11" t="s">
        <v>32</v>
      </c>
      <c r="H552" s="7" t="s">
        <v>83</v>
      </c>
      <c r="I552" s="11" t="s">
        <v>96</v>
      </c>
      <c r="J552" s="11" t="s">
        <v>80</v>
      </c>
      <c r="K552" s="12">
        <v>2000</v>
      </c>
      <c r="L552" s="12">
        <f>0</f>
        <v>0</v>
      </c>
      <c r="M552" s="12">
        <f t="shared" si="22"/>
        <v>2000</v>
      </c>
      <c r="N552" s="29">
        <v>10</v>
      </c>
    </row>
    <row r="553" spans="1:14" ht="16.5" thickTop="1" thickBot="1" x14ac:dyDescent="0.3">
      <c r="A553" s="27"/>
      <c r="B553" s="25" t="s">
        <v>11</v>
      </c>
      <c r="C553" s="8" t="s">
        <v>25</v>
      </c>
      <c r="D553" s="7" t="s">
        <v>79</v>
      </c>
      <c r="E553" s="9" t="s">
        <v>68</v>
      </c>
      <c r="F553" s="10">
        <v>15</v>
      </c>
      <c r="G553" s="11" t="s">
        <v>33</v>
      </c>
      <c r="H553" s="7" t="s">
        <v>83</v>
      </c>
      <c r="I553" s="11" t="s">
        <v>7</v>
      </c>
      <c r="J553" s="11" t="s">
        <v>80</v>
      </c>
      <c r="K553" s="12">
        <v>20389.18</v>
      </c>
      <c r="L553" s="12">
        <f>K553*16%</f>
        <v>3262.2688000000003</v>
      </c>
      <c r="M553" s="12">
        <f t="shared" si="22"/>
        <v>17126.911199999999</v>
      </c>
      <c r="N553" s="29">
        <v>30</v>
      </c>
    </row>
    <row r="554" spans="1:14" ht="16.5" thickTop="1" thickBot="1" x14ac:dyDescent="0.3">
      <c r="A554" s="27"/>
      <c r="B554" s="25" t="s">
        <v>22</v>
      </c>
      <c r="C554" s="8" t="s">
        <v>25</v>
      </c>
      <c r="D554" s="7" t="s">
        <v>79</v>
      </c>
      <c r="E554" s="9" t="s">
        <v>68</v>
      </c>
      <c r="F554" s="10">
        <v>15</v>
      </c>
      <c r="G554" s="11" t="s">
        <v>120</v>
      </c>
      <c r="H554" s="7" t="s">
        <v>83</v>
      </c>
      <c r="I554" s="11" t="s">
        <v>9</v>
      </c>
      <c r="J554" s="11" t="s">
        <v>80</v>
      </c>
      <c r="K554" s="12">
        <v>3879.37</v>
      </c>
      <c r="L554" s="12">
        <v>0</v>
      </c>
      <c r="M554" s="12">
        <f>K554-L554</f>
        <v>3879.37</v>
      </c>
      <c r="N554" s="29">
        <v>30</v>
      </c>
    </row>
    <row r="555" spans="1:14" ht="16.5" thickTop="1" thickBot="1" x14ac:dyDescent="0.3">
      <c r="A555" s="27"/>
      <c r="B555" s="25" t="s">
        <v>22</v>
      </c>
      <c r="C555" s="8" t="s">
        <v>25</v>
      </c>
      <c r="D555" s="7" t="s">
        <v>79</v>
      </c>
      <c r="E555" s="9" t="s">
        <v>68</v>
      </c>
      <c r="F555" s="10">
        <v>15</v>
      </c>
      <c r="G555" s="11" t="s">
        <v>33</v>
      </c>
      <c r="H555" s="7" t="s">
        <v>83</v>
      </c>
      <c r="I555" s="11" t="s">
        <v>9</v>
      </c>
      <c r="J555" s="11" t="s">
        <v>80</v>
      </c>
      <c r="K555" s="12">
        <v>7758.74</v>
      </c>
      <c r="L555" s="12">
        <v>0</v>
      </c>
      <c r="M555" s="12">
        <f t="shared" si="22"/>
        <v>7758.74</v>
      </c>
      <c r="N555" s="29">
        <v>30</v>
      </c>
    </row>
    <row r="556" spans="1:14" ht="16.5" thickTop="1" thickBot="1" x14ac:dyDescent="0.3">
      <c r="A556" s="27"/>
      <c r="B556" s="25" t="s">
        <v>11</v>
      </c>
      <c r="C556" s="8" t="s">
        <v>25</v>
      </c>
      <c r="D556" s="7" t="s">
        <v>79</v>
      </c>
      <c r="E556" s="9" t="s">
        <v>68</v>
      </c>
      <c r="F556" s="10">
        <v>15</v>
      </c>
      <c r="G556" s="11" t="s">
        <v>33</v>
      </c>
      <c r="H556" s="7" t="s">
        <v>83</v>
      </c>
      <c r="I556" s="11" t="s">
        <v>30</v>
      </c>
      <c r="J556" s="11" t="s">
        <v>80</v>
      </c>
      <c r="K556" s="12">
        <v>200</v>
      </c>
      <c r="L556" s="12">
        <f>K556*5%</f>
        <v>10</v>
      </c>
      <c r="M556" s="12">
        <f t="shared" si="22"/>
        <v>190</v>
      </c>
      <c r="N556" s="29">
        <v>30</v>
      </c>
    </row>
    <row r="557" spans="1:14" ht="16.5" thickTop="1" thickBot="1" x14ac:dyDescent="0.3">
      <c r="A557" s="27" t="s">
        <v>111</v>
      </c>
      <c r="B557" s="25" t="s">
        <v>22</v>
      </c>
      <c r="C557" s="8" t="s">
        <v>60</v>
      </c>
      <c r="D557" s="7" t="s">
        <v>79</v>
      </c>
      <c r="E557" s="9" t="s">
        <v>68</v>
      </c>
      <c r="F557" s="10">
        <v>1</v>
      </c>
      <c r="G557" s="11" t="s">
        <v>34</v>
      </c>
      <c r="H557" s="7" t="s">
        <v>87</v>
      </c>
      <c r="I557" s="11" t="s">
        <v>20</v>
      </c>
      <c r="J557" s="11" t="s">
        <v>105</v>
      </c>
      <c r="K557" s="12">
        <v>36969.404166</v>
      </c>
      <c r="L557" s="12">
        <v>0</v>
      </c>
      <c r="M557" s="12">
        <f t="shared" si="22"/>
        <v>36969.404166</v>
      </c>
      <c r="N557" s="29">
        <v>30</v>
      </c>
    </row>
    <row r="558" spans="1:14" ht="16.5" thickTop="1" thickBot="1" x14ac:dyDescent="0.3">
      <c r="A558" s="27" t="s">
        <v>111</v>
      </c>
      <c r="B558" s="25" t="s">
        <v>22</v>
      </c>
      <c r="C558" s="8" t="s">
        <v>60</v>
      </c>
      <c r="D558" s="7" t="s">
        <v>79</v>
      </c>
      <c r="E558" s="9" t="s">
        <v>68</v>
      </c>
      <c r="F558" s="10">
        <v>1</v>
      </c>
      <c r="G558" s="11" t="s">
        <v>34</v>
      </c>
      <c r="H558" s="7" t="s">
        <v>87</v>
      </c>
      <c r="I558" s="11" t="s">
        <v>9</v>
      </c>
      <c r="J558" s="11" t="s">
        <v>105</v>
      </c>
      <c r="K558" s="12">
        <v>30185.123490000002</v>
      </c>
      <c r="L558" s="12">
        <v>0</v>
      </c>
      <c r="M558" s="12">
        <f t="shared" si="22"/>
        <v>30185.123490000002</v>
      </c>
      <c r="N558" s="29">
        <v>30</v>
      </c>
    </row>
    <row r="559" spans="1:14" ht="16.5" thickTop="1" thickBot="1" x14ac:dyDescent="0.3">
      <c r="A559" s="27" t="s">
        <v>111</v>
      </c>
      <c r="B559" s="25" t="s">
        <v>22</v>
      </c>
      <c r="C559" s="8" t="s">
        <v>60</v>
      </c>
      <c r="D559" s="7" t="s">
        <v>79</v>
      </c>
      <c r="E559" s="9" t="s">
        <v>68</v>
      </c>
      <c r="F559" s="10">
        <v>1</v>
      </c>
      <c r="G559" s="11" t="s">
        <v>35</v>
      </c>
      <c r="H559" s="7" t="s">
        <v>83</v>
      </c>
      <c r="I559" s="11" t="s">
        <v>9</v>
      </c>
      <c r="J559" s="11" t="s">
        <v>105</v>
      </c>
      <c r="K559" s="12">
        <v>21581.665982999999</v>
      </c>
      <c r="L559" s="12">
        <v>0</v>
      </c>
      <c r="M559" s="12">
        <f t="shared" si="22"/>
        <v>21581.665982999999</v>
      </c>
      <c r="N559" s="29">
        <v>30</v>
      </c>
    </row>
    <row r="560" spans="1:14" ht="16.5" thickTop="1" thickBot="1" x14ac:dyDescent="0.3">
      <c r="A560" s="27" t="s">
        <v>111</v>
      </c>
      <c r="B560" s="25" t="s">
        <v>22</v>
      </c>
      <c r="C560" s="8" t="s">
        <v>60</v>
      </c>
      <c r="D560" s="7" t="s">
        <v>79</v>
      </c>
      <c r="E560" s="9" t="s">
        <v>68</v>
      </c>
      <c r="F560" s="10">
        <v>1</v>
      </c>
      <c r="G560" s="11" t="s">
        <v>36</v>
      </c>
      <c r="H560" s="7" t="s">
        <v>89</v>
      </c>
      <c r="I560" s="11" t="s">
        <v>20</v>
      </c>
      <c r="J560" s="11" t="s">
        <v>105</v>
      </c>
      <c r="K560" s="12">
        <v>36969.404166</v>
      </c>
      <c r="L560" s="12">
        <v>0</v>
      </c>
      <c r="M560" s="12">
        <f t="shared" si="22"/>
        <v>36969.404166</v>
      </c>
      <c r="N560" s="29">
        <v>30</v>
      </c>
    </row>
    <row r="561" spans="1:14" ht="16.5" thickTop="1" thickBot="1" x14ac:dyDescent="0.3">
      <c r="A561" s="27" t="s">
        <v>111</v>
      </c>
      <c r="B561" s="25" t="s">
        <v>22</v>
      </c>
      <c r="C561" s="8" t="s">
        <v>60</v>
      </c>
      <c r="D561" s="7" t="s">
        <v>79</v>
      </c>
      <c r="E561" s="9" t="s">
        <v>68</v>
      </c>
      <c r="F561" s="10">
        <v>1</v>
      </c>
      <c r="G561" s="11" t="s">
        <v>36</v>
      </c>
      <c r="H561" s="7" t="s">
        <v>89</v>
      </c>
      <c r="I561" s="11" t="s">
        <v>9</v>
      </c>
      <c r="J561" s="11" t="s">
        <v>105</v>
      </c>
      <c r="K561" s="12">
        <v>30185.123490000002</v>
      </c>
      <c r="L561" s="12">
        <v>0</v>
      </c>
      <c r="M561" s="12">
        <f t="shared" si="22"/>
        <v>30185.123490000002</v>
      </c>
      <c r="N561" s="29">
        <v>30</v>
      </c>
    </row>
    <row r="562" spans="1:14" ht="16.5" thickTop="1" thickBot="1" x14ac:dyDescent="0.3">
      <c r="A562" s="27" t="s">
        <v>111</v>
      </c>
      <c r="B562" s="25" t="s">
        <v>22</v>
      </c>
      <c r="C562" s="8" t="s">
        <v>60</v>
      </c>
      <c r="D562" s="7" t="s">
        <v>79</v>
      </c>
      <c r="E562" s="9" t="s">
        <v>68</v>
      </c>
      <c r="F562" s="10">
        <v>1</v>
      </c>
      <c r="G562" s="11" t="s">
        <v>37</v>
      </c>
      <c r="H562" s="7" t="s">
        <v>85</v>
      </c>
      <c r="I562" s="11" t="s">
        <v>9</v>
      </c>
      <c r="J562" s="11" t="s">
        <v>105</v>
      </c>
      <c r="K562" s="12">
        <v>12949.001676</v>
      </c>
      <c r="L562" s="12">
        <v>0</v>
      </c>
      <c r="M562" s="12">
        <f t="shared" si="22"/>
        <v>12949.001676</v>
      </c>
      <c r="N562" s="29">
        <v>30</v>
      </c>
    </row>
    <row r="563" spans="1:14" ht="16.5" thickTop="1" thickBot="1" x14ac:dyDescent="0.3">
      <c r="A563" s="27" t="s">
        <v>111</v>
      </c>
      <c r="B563" s="25" t="s">
        <v>22</v>
      </c>
      <c r="C563" s="8" t="s">
        <v>60</v>
      </c>
      <c r="D563" s="7" t="s">
        <v>79</v>
      </c>
      <c r="E563" s="9" t="s">
        <v>68</v>
      </c>
      <c r="F563" s="10">
        <v>1</v>
      </c>
      <c r="G563" s="11" t="s">
        <v>93</v>
      </c>
      <c r="H563" s="7" t="s">
        <v>85</v>
      </c>
      <c r="I563" s="11" t="s">
        <v>9</v>
      </c>
      <c r="J563" s="11" t="s">
        <v>105</v>
      </c>
      <c r="K563" s="12">
        <v>17265.328613999998</v>
      </c>
      <c r="L563" s="12">
        <v>0</v>
      </c>
      <c r="M563" s="12">
        <f t="shared" si="22"/>
        <v>17265.328613999998</v>
      </c>
      <c r="N563" s="29">
        <v>30</v>
      </c>
    </row>
    <row r="564" spans="1:14" ht="16.5" thickTop="1" thickBot="1" x14ac:dyDescent="0.3">
      <c r="A564" s="27" t="s">
        <v>111</v>
      </c>
      <c r="B564" s="25" t="s">
        <v>22</v>
      </c>
      <c r="C564" s="8" t="s">
        <v>60</v>
      </c>
      <c r="D564" s="7" t="s">
        <v>79</v>
      </c>
      <c r="E564" s="9" t="s">
        <v>68</v>
      </c>
      <c r="F564" s="10">
        <v>1</v>
      </c>
      <c r="G564" s="11" t="s">
        <v>38</v>
      </c>
      <c r="H564" s="7" t="s">
        <v>85</v>
      </c>
      <c r="I564" s="11" t="s">
        <v>9</v>
      </c>
      <c r="J564" s="11" t="s">
        <v>105</v>
      </c>
      <c r="K564" s="12">
        <v>8632.6643069999991</v>
      </c>
      <c r="L564" s="12">
        <v>0</v>
      </c>
      <c r="M564" s="12">
        <f t="shared" si="22"/>
        <v>8632.6643069999991</v>
      </c>
      <c r="N564" s="29">
        <v>30</v>
      </c>
    </row>
    <row r="565" spans="1:14" ht="16.5" thickTop="1" thickBot="1" x14ac:dyDescent="0.3">
      <c r="A565" s="27"/>
      <c r="B565" s="25" t="s">
        <v>11</v>
      </c>
      <c r="C565" s="8" t="s">
        <v>60</v>
      </c>
      <c r="D565" s="7" t="s">
        <v>79</v>
      </c>
      <c r="E565" s="9" t="s">
        <v>68</v>
      </c>
      <c r="F565" s="10">
        <v>20</v>
      </c>
      <c r="G565" s="11" t="s">
        <v>119</v>
      </c>
      <c r="H565" s="7" t="s">
        <v>85</v>
      </c>
      <c r="I565" s="11" t="s">
        <v>7</v>
      </c>
      <c r="J565" s="11" t="s">
        <v>103</v>
      </c>
      <c r="K565" s="12">
        <v>17200</v>
      </c>
      <c r="L565" s="12">
        <f>K565*16%</f>
        <v>2752</v>
      </c>
      <c r="M565" s="12">
        <f t="shared" si="22"/>
        <v>14448</v>
      </c>
      <c r="N565" s="29">
        <v>20</v>
      </c>
    </row>
    <row r="566" spans="1:14" ht="16.5" thickTop="1" thickBot="1" x14ac:dyDescent="0.3">
      <c r="A566" s="27"/>
      <c r="B566" s="25" t="s">
        <v>13</v>
      </c>
      <c r="C566" s="8" t="s">
        <v>60</v>
      </c>
      <c r="D566" s="7" t="s">
        <v>79</v>
      </c>
      <c r="E566" s="9" t="s">
        <v>68</v>
      </c>
      <c r="F566" s="10">
        <v>20</v>
      </c>
      <c r="G566" s="11" t="s">
        <v>119</v>
      </c>
      <c r="H566" s="7" t="s">
        <v>85</v>
      </c>
      <c r="I566" s="11" t="s">
        <v>9</v>
      </c>
      <c r="J566" s="11" t="s">
        <v>103</v>
      </c>
      <c r="K566" s="12">
        <v>7800</v>
      </c>
      <c r="L566" s="12">
        <f>K566*16%</f>
        <v>1248</v>
      </c>
      <c r="M566" s="12">
        <f t="shared" si="22"/>
        <v>6552</v>
      </c>
      <c r="N566" s="29">
        <v>20</v>
      </c>
    </row>
    <row r="567" spans="1:14" ht="16.5" thickTop="1" thickBot="1" x14ac:dyDescent="0.3">
      <c r="A567" s="27"/>
      <c r="B567" s="25" t="s">
        <v>13</v>
      </c>
      <c r="C567" s="8" t="s">
        <v>60</v>
      </c>
      <c r="D567" s="7" t="s">
        <v>79</v>
      </c>
      <c r="E567" s="9" t="s">
        <v>68</v>
      </c>
      <c r="F567" s="10">
        <v>20</v>
      </c>
      <c r="G567" s="11" t="s">
        <v>119</v>
      </c>
      <c r="H567" s="7" t="s">
        <v>85</v>
      </c>
      <c r="I567" s="11" t="s">
        <v>15</v>
      </c>
      <c r="J567" s="11" t="s">
        <v>103</v>
      </c>
      <c r="K567" s="12">
        <v>4590</v>
      </c>
      <c r="L567" s="12">
        <f>K567*16%</f>
        <v>734.4</v>
      </c>
      <c r="M567" s="12">
        <f t="shared" si="22"/>
        <v>3855.6</v>
      </c>
      <c r="N567" s="29">
        <v>20</v>
      </c>
    </row>
    <row r="568" spans="1:14" ht="16.5" thickTop="1" thickBot="1" x14ac:dyDescent="0.3">
      <c r="A568" s="27"/>
      <c r="B568" s="25" t="s">
        <v>10</v>
      </c>
      <c r="C568" s="8" t="s">
        <v>60</v>
      </c>
      <c r="D568" s="7" t="s">
        <v>79</v>
      </c>
      <c r="E568" s="9" t="s">
        <v>68</v>
      </c>
      <c r="F568" s="10">
        <v>20</v>
      </c>
      <c r="G568" s="11" t="s">
        <v>119</v>
      </c>
      <c r="H568" s="7" t="s">
        <v>85</v>
      </c>
      <c r="I568" s="11" t="s">
        <v>96</v>
      </c>
      <c r="J568" s="11" t="s">
        <v>103</v>
      </c>
      <c r="K568" s="12">
        <v>1785.7</v>
      </c>
      <c r="L568" s="12">
        <v>0</v>
      </c>
      <c r="M568" s="12">
        <f t="shared" si="22"/>
        <v>1785.7</v>
      </c>
      <c r="N568" s="29">
        <v>20</v>
      </c>
    </row>
    <row r="569" spans="1:14" ht="16.5" thickTop="1" thickBot="1" x14ac:dyDescent="0.3">
      <c r="A569" s="27"/>
      <c r="B569" s="25" t="s">
        <v>11</v>
      </c>
      <c r="C569" s="8" t="s">
        <v>60</v>
      </c>
      <c r="D569" s="7" t="s">
        <v>79</v>
      </c>
      <c r="E569" s="9" t="s">
        <v>68</v>
      </c>
      <c r="F569" s="10">
        <v>20</v>
      </c>
      <c r="G569" s="11" t="s">
        <v>94</v>
      </c>
      <c r="H569" s="7" t="s">
        <v>86</v>
      </c>
      <c r="I569" s="11" t="s">
        <v>7</v>
      </c>
      <c r="J569" s="11" t="s">
        <v>103</v>
      </c>
      <c r="K569" s="12">
        <v>24767</v>
      </c>
      <c r="L569" s="12">
        <f>K569*16%</f>
        <v>3962.7200000000003</v>
      </c>
      <c r="M569" s="12">
        <f>K569-L569</f>
        <v>20804.28</v>
      </c>
      <c r="N569" s="29">
        <v>20</v>
      </c>
    </row>
    <row r="570" spans="1:14" ht="16.5" thickTop="1" thickBot="1" x14ac:dyDescent="0.3">
      <c r="A570" s="27"/>
      <c r="B570" s="25" t="s">
        <v>13</v>
      </c>
      <c r="C570" s="8" t="s">
        <v>60</v>
      </c>
      <c r="D570" s="7" t="s">
        <v>79</v>
      </c>
      <c r="E570" s="9" t="s">
        <v>68</v>
      </c>
      <c r="F570" s="10">
        <v>20</v>
      </c>
      <c r="G570" s="11" t="s">
        <v>94</v>
      </c>
      <c r="H570" s="7" t="s">
        <v>86</v>
      </c>
      <c r="I570" s="11" t="s">
        <v>15</v>
      </c>
      <c r="J570" s="11" t="s">
        <v>103</v>
      </c>
      <c r="K570" s="49">
        <v>6580</v>
      </c>
      <c r="L570" s="12">
        <v>723.8</v>
      </c>
      <c r="M570" s="49">
        <f>K570-L570</f>
        <v>5856.2</v>
      </c>
      <c r="N570" s="29">
        <v>20</v>
      </c>
    </row>
    <row r="571" spans="1:14" ht="16.5" thickTop="1" thickBot="1" x14ac:dyDescent="0.3">
      <c r="A571" s="27"/>
      <c r="B571" s="25" t="s">
        <v>13</v>
      </c>
      <c r="C571" s="8" t="s">
        <v>60</v>
      </c>
      <c r="D571" s="7" t="s">
        <v>79</v>
      </c>
      <c r="E571" s="9" t="s">
        <v>68</v>
      </c>
      <c r="F571" s="10">
        <v>20</v>
      </c>
      <c r="G571" s="11" t="s">
        <v>94</v>
      </c>
      <c r="H571" s="7" t="s">
        <v>86</v>
      </c>
      <c r="I571" s="11" t="s">
        <v>9</v>
      </c>
      <c r="J571" s="11" t="s">
        <v>103</v>
      </c>
      <c r="K571" s="12">
        <v>15476</v>
      </c>
      <c r="L571" s="12">
        <f>K571*16%</f>
        <v>2476.16</v>
      </c>
      <c r="M571" s="12">
        <f t="shared" ref="M571:M611" si="23">K571-L571</f>
        <v>12999.84</v>
      </c>
      <c r="N571" s="29">
        <v>20</v>
      </c>
    </row>
    <row r="572" spans="1:14" ht="15.75" customHeight="1" thickTop="1" thickBot="1" x14ac:dyDescent="0.3">
      <c r="A572" s="27"/>
      <c r="B572" s="25" t="s">
        <v>22</v>
      </c>
      <c r="C572" s="8" t="s">
        <v>61</v>
      </c>
      <c r="D572" s="7" t="s">
        <v>79</v>
      </c>
      <c r="E572" s="9" t="s">
        <v>68</v>
      </c>
      <c r="F572" s="10">
        <v>20</v>
      </c>
      <c r="G572" s="13" t="s">
        <v>39</v>
      </c>
      <c r="H572" s="7" t="s">
        <v>83</v>
      </c>
      <c r="I572" s="11" t="s">
        <v>7</v>
      </c>
      <c r="J572" s="11" t="s">
        <v>80</v>
      </c>
      <c r="K572" s="12">
        <v>18709.103873069998</v>
      </c>
      <c r="L572" s="12">
        <v>0</v>
      </c>
      <c r="M572" s="12">
        <f t="shared" si="23"/>
        <v>18709.103873069998</v>
      </c>
      <c r="N572" s="29">
        <v>17</v>
      </c>
    </row>
    <row r="573" spans="1:14" ht="15.75" customHeight="1" thickTop="1" thickBot="1" x14ac:dyDescent="0.3">
      <c r="A573" s="27"/>
      <c r="B573" s="25" t="s">
        <v>11</v>
      </c>
      <c r="C573" s="8" t="s">
        <v>61</v>
      </c>
      <c r="D573" s="7" t="s">
        <v>79</v>
      </c>
      <c r="E573" s="9" t="s">
        <v>68</v>
      </c>
      <c r="F573" s="10">
        <v>20</v>
      </c>
      <c r="G573" s="13" t="s">
        <v>40</v>
      </c>
      <c r="H573" s="7" t="s">
        <v>83</v>
      </c>
      <c r="I573" s="14" t="s">
        <v>30</v>
      </c>
      <c r="J573" s="14" t="s">
        <v>107</v>
      </c>
      <c r="K573" s="12">
        <v>200</v>
      </c>
      <c r="L573" s="12">
        <f>K573*5%</f>
        <v>10</v>
      </c>
      <c r="M573" s="12">
        <f t="shared" si="23"/>
        <v>190</v>
      </c>
      <c r="N573" s="29">
        <v>10</v>
      </c>
    </row>
    <row r="574" spans="1:14" ht="16.5" thickTop="1" thickBot="1" x14ac:dyDescent="0.3">
      <c r="A574" s="27"/>
      <c r="B574" s="25" t="s">
        <v>11</v>
      </c>
      <c r="C574" s="8" t="s">
        <v>61</v>
      </c>
      <c r="D574" s="7" t="s">
        <v>79</v>
      </c>
      <c r="E574" s="9" t="s">
        <v>68</v>
      </c>
      <c r="F574" s="10">
        <v>20</v>
      </c>
      <c r="G574" s="13" t="s">
        <v>41</v>
      </c>
      <c r="H574" s="7" t="s">
        <v>83</v>
      </c>
      <c r="I574" s="14" t="s">
        <v>30</v>
      </c>
      <c r="J574" s="11" t="s">
        <v>80</v>
      </c>
      <c r="K574" s="12">
        <v>600</v>
      </c>
      <c r="L574" s="12">
        <f>K574*5%</f>
        <v>30</v>
      </c>
      <c r="M574" s="12">
        <f t="shared" si="23"/>
        <v>570</v>
      </c>
      <c r="N574" s="29">
        <v>25</v>
      </c>
    </row>
    <row r="575" spans="1:14" ht="16.5" thickTop="1" thickBot="1" x14ac:dyDescent="0.3">
      <c r="A575" s="27"/>
      <c r="B575" s="25" t="s">
        <v>22</v>
      </c>
      <c r="C575" s="8" t="s">
        <v>61</v>
      </c>
      <c r="D575" s="7" t="s">
        <v>79</v>
      </c>
      <c r="E575" s="9" t="s">
        <v>68</v>
      </c>
      <c r="F575" s="10">
        <v>20</v>
      </c>
      <c r="G575" s="13" t="s">
        <v>92</v>
      </c>
      <c r="H575" s="7" t="s">
        <v>83</v>
      </c>
      <c r="I575" s="11" t="s">
        <v>9</v>
      </c>
      <c r="J575" s="11" t="s">
        <v>80</v>
      </c>
      <c r="K575" s="12">
        <v>4589.6400000000003</v>
      </c>
      <c r="L575" s="12">
        <v>0</v>
      </c>
      <c r="M575" s="12">
        <f t="shared" si="23"/>
        <v>4589.6400000000003</v>
      </c>
      <c r="N575" s="29">
        <v>15</v>
      </c>
    </row>
    <row r="576" spans="1:14" ht="16.5" thickTop="1" thickBot="1" x14ac:dyDescent="0.3">
      <c r="A576" s="27"/>
      <c r="B576" s="25" t="s">
        <v>22</v>
      </c>
      <c r="C576" s="8" t="s">
        <v>61</v>
      </c>
      <c r="D576" s="7" t="s">
        <v>79</v>
      </c>
      <c r="E576" s="9" t="s">
        <v>68</v>
      </c>
      <c r="F576" s="10">
        <v>20</v>
      </c>
      <c r="G576" s="13" t="s">
        <v>92</v>
      </c>
      <c r="H576" s="7" t="s">
        <v>83</v>
      </c>
      <c r="I576" s="11" t="s">
        <v>7</v>
      </c>
      <c r="J576" s="11" t="s">
        <v>80</v>
      </c>
      <c r="K576" s="12">
        <v>18000</v>
      </c>
      <c r="L576" s="12">
        <v>0</v>
      </c>
      <c r="M576" s="12">
        <f t="shared" si="23"/>
        <v>18000</v>
      </c>
      <c r="N576" s="29">
        <v>15</v>
      </c>
    </row>
    <row r="577" spans="1:17" ht="15.75" customHeight="1" thickTop="1" thickBot="1" x14ac:dyDescent="0.3">
      <c r="A577" s="27"/>
      <c r="B577" s="25" t="s">
        <v>22</v>
      </c>
      <c r="C577" s="8" t="s">
        <v>61</v>
      </c>
      <c r="D577" s="7" t="s">
        <v>79</v>
      </c>
      <c r="E577" s="9" t="s">
        <v>68</v>
      </c>
      <c r="F577" s="10">
        <v>20</v>
      </c>
      <c r="G577" s="13" t="s">
        <v>42</v>
      </c>
      <c r="H577" s="7" t="s">
        <v>83</v>
      </c>
      <c r="I577" s="11" t="s">
        <v>9</v>
      </c>
      <c r="J577" s="11" t="s">
        <v>108</v>
      </c>
      <c r="K577" s="12">
        <v>820.63201302000004</v>
      </c>
      <c r="L577" s="12">
        <v>0</v>
      </c>
      <c r="M577" s="12">
        <f t="shared" si="23"/>
        <v>820.63201302000004</v>
      </c>
      <c r="N577" s="29">
        <v>9</v>
      </c>
    </row>
    <row r="578" spans="1:17" ht="15.75" customHeight="1" thickTop="1" thickBot="1" x14ac:dyDescent="0.3">
      <c r="A578" s="27"/>
      <c r="B578" s="25" t="s">
        <v>11</v>
      </c>
      <c r="C578" s="8" t="s">
        <v>61</v>
      </c>
      <c r="D578" s="7" t="s">
        <v>79</v>
      </c>
      <c r="E578" s="9" t="s">
        <v>68</v>
      </c>
      <c r="F578" s="10">
        <v>20</v>
      </c>
      <c r="G578" s="13" t="s">
        <v>43</v>
      </c>
      <c r="H578" s="7" t="s">
        <v>83</v>
      </c>
      <c r="I578" s="14" t="s">
        <v>30</v>
      </c>
      <c r="J578" s="14" t="s">
        <v>106</v>
      </c>
      <c r="K578" s="12">
        <v>200</v>
      </c>
      <c r="L578" s="12">
        <f>K578*5%</f>
        <v>10</v>
      </c>
      <c r="M578" s="12">
        <f t="shared" si="23"/>
        <v>190</v>
      </c>
      <c r="N578" s="29">
        <v>15</v>
      </c>
    </row>
    <row r="579" spans="1:17" ht="16.5" thickTop="1" thickBot="1" x14ac:dyDescent="0.3">
      <c r="A579" s="27"/>
      <c r="B579" s="25" t="s">
        <v>11</v>
      </c>
      <c r="C579" s="8" t="s">
        <v>61</v>
      </c>
      <c r="D579" s="7" t="s">
        <v>79</v>
      </c>
      <c r="E579" s="9" t="s">
        <v>68</v>
      </c>
      <c r="F579" s="10">
        <v>20</v>
      </c>
      <c r="G579" s="13" t="s">
        <v>44</v>
      </c>
      <c r="H579" s="15" t="s">
        <v>85</v>
      </c>
      <c r="I579" s="14" t="s">
        <v>30</v>
      </c>
      <c r="J579" s="11" t="s">
        <v>80</v>
      </c>
      <c r="K579" s="12">
        <v>200</v>
      </c>
      <c r="L579" s="12">
        <f>K579*5%</f>
        <v>10</v>
      </c>
      <c r="M579" s="12">
        <f t="shared" si="23"/>
        <v>190</v>
      </c>
      <c r="N579" s="29">
        <v>16</v>
      </c>
    </row>
    <row r="580" spans="1:17" ht="16.5" thickTop="1" thickBot="1" x14ac:dyDescent="0.3">
      <c r="A580" s="27" t="s">
        <v>111</v>
      </c>
      <c r="B580" s="25" t="s">
        <v>5</v>
      </c>
      <c r="C580" s="8" t="s">
        <v>61</v>
      </c>
      <c r="D580" s="7" t="s">
        <v>79</v>
      </c>
      <c r="E580" s="9" t="s">
        <v>68</v>
      </c>
      <c r="F580" s="10">
        <v>1</v>
      </c>
      <c r="G580" s="11" t="s">
        <v>45</v>
      </c>
      <c r="H580" s="7" t="s">
        <v>91</v>
      </c>
      <c r="I580" s="11" t="s">
        <v>20</v>
      </c>
      <c r="J580" s="11" t="s">
        <v>105</v>
      </c>
      <c r="K580" s="16">
        <v>36757.832193000002</v>
      </c>
      <c r="L580" s="12">
        <f>K580*5%</f>
        <v>1837.8916096500002</v>
      </c>
      <c r="M580" s="12">
        <f t="shared" si="23"/>
        <v>34919.940583349999</v>
      </c>
      <c r="N580" s="29">
        <v>30</v>
      </c>
    </row>
    <row r="581" spans="1:17" ht="16.5" thickTop="1" thickBot="1" x14ac:dyDescent="0.3">
      <c r="A581" s="27" t="s">
        <v>111</v>
      </c>
      <c r="B581" s="25" t="s">
        <v>5</v>
      </c>
      <c r="C581" s="8" t="s">
        <v>61</v>
      </c>
      <c r="D581" s="7" t="s">
        <v>79</v>
      </c>
      <c r="E581" s="9" t="s">
        <v>68</v>
      </c>
      <c r="F581" s="10">
        <v>1</v>
      </c>
      <c r="G581" s="11" t="s">
        <v>45</v>
      </c>
      <c r="H581" s="7" t="s">
        <v>91</v>
      </c>
      <c r="I581" s="11" t="s">
        <v>9</v>
      </c>
      <c r="J581" s="11" t="s">
        <v>105</v>
      </c>
      <c r="K581" s="16">
        <v>25897.992921000001</v>
      </c>
      <c r="L581" s="12">
        <f>K581*5%</f>
        <v>1294.8996460500002</v>
      </c>
      <c r="M581" s="12">
        <f t="shared" si="23"/>
        <v>24603.093274949999</v>
      </c>
      <c r="N581" s="29">
        <v>30</v>
      </c>
    </row>
    <row r="582" spans="1:17" ht="16.5" thickTop="1" thickBot="1" x14ac:dyDescent="0.3">
      <c r="A582" s="27" t="s">
        <v>111</v>
      </c>
      <c r="B582" s="25" t="s">
        <v>22</v>
      </c>
      <c r="C582" s="8" t="s">
        <v>61</v>
      </c>
      <c r="D582" s="7" t="s">
        <v>79</v>
      </c>
      <c r="E582" s="9" t="s">
        <v>68</v>
      </c>
      <c r="F582" s="10">
        <v>1</v>
      </c>
      <c r="G582" s="11" t="s">
        <v>46</v>
      </c>
      <c r="H582" s="7" t="s">
        <v>85</v>
      </c>
      <c r="I582" s="11" t="s">
        <v>20</v>
      </c>
      <c r="J582" s="11" t="s">
        <v>105</v>
      </c>
      <c r="K582" s="16">
        <v>52934.258285999997</v>
      </c>
      <c r="L582" s="12">
        <v>0</v>
      </c>
      <c r="M582" s="12">
        <f t="shared" si="23"/>
        <v>52934.258285999997</v>
      </c>
      <c r="N582" s="29">
        <v>30</v>
      </c>
    </row>
    <row r="583" spans="1:17" ht="16.5" thickTop="1" thickBot="1" x14ac:dyDescent="0.3">
      <c r="A583" s="27" t="s">
        <v>111</v>
      </c>
      <c r="B583" s="25" t="s">
        <v>22</v>
      </c>
      <c r="C583" s="8" t="s">
        <v>61</v>
      </c>
      <c r="D583" s="7" t="s">
        <v>79</v>
      </c>
      <c r="E583" s="9" t="s">
        <v>68</v>
      </c>
      <c r="F583" s="10">
        <v>1</v>
      </c>
      <c r="G583" s="11" t="s">
        <v>46</v>
      </c>
      <c r="H583" s="7" t="s">
        <v>85</v>
      </c>
      <c r="I583" s="11" t="s">
        <v>98</v>
      </c>
      <c r="J583" s="11" t="s">
        <v>105</v>
      </c>
      <c r="K583" s="12">
        <v>3129.3</v>
      </c>
      <c r="L583" s="12">
        <v>0</v>
      </c>
      <c r="M583" s="12">
        <f t="shared" si="23"/>
        <v>3129.3</v>
      </c>
      <c r="N583" s="29">
        <v>30</v>
      </c>
    </row>
    <row r="584" spans="1:17" ht="16.5" thickTop="1" thickBot="1" x14ac:dyDescent="0.3">
      <c r="A584" s="27" t="s">
        <v>111</v>
      </c>
      <c r="B584" s="25" t="s">
        <v>22</v>
      </c>
      <c r="C584" s="8" t="s">
        <v>61</v>
      </c>
      <c r="D584" s="7" t="s">
        <v>79</v>
      </c>
      <c r="E584" s="9" t="s">
        <v>68</v>
      </c>
      <c r="F584" s="10">
        <v>1</v>
      </c>
      <c r="G584" s="11" t="s">
        <v>46</v>
      </c>
      <c r="H584" s="7" t="s">
        <v>85</v>
      </c>
      <c r="I584" s="11" t="s">
        <v>9</v>
      </c>
      <c r="J584" s="11" t="s">
        <v>105</v>
      </c>
      <c r="K584" s="12">
        <v>38846.994597000004</v>
      </c>
      <c r="L584" s="12">
        <v>0</v>
      </c>
      <c r="M584" s="12">
        <f t="shared" si="23"/>
        <v>38846.994597000004</v>
      </c>
      <c r="N584" s="29">
        <v>30</v>
      </c>
    </row>
    <row r="585" spans="1:17" ht="16.5" thickTop="1" thickBot="1" x14ac:dyDescent="0.3">
      <c r="A585" s="27" t="s">
        <v>111</v>
      </c>
      <c r="B585" s="25" t="s">
        <v>22</v>
      </c>
      <c r="C585" s="8" t="s">
        <v>61</v>
      </c>
      <c r="D585" s="7" t="s">
        <v>79</v>
      </c>
      <c r="E585" s="9" t="s">
        <v>68</v>
      </c>
      <c r="F585" s="10">
        <v>1</v>
      </c>
      <c r="G585" s="11" t="s">
        <v>46</v>
      </c>
      <c r="H585" s="7" t="s">
        <v>85</v>
      </c>
      <c r="I585" s="11" t="s">
        <v>97</v>
      </c>
      <c r="J585" s="11" t="s">
        <v>105</v>
      </c>
      <c r="K585" s="12">
        <v>6400</v>
      </c>
      <c r="L585" s="12">
        <v>0</v>
      </c>
      <c r="M585" s="12">
        <f t="shared" si="23"/>
        <v>6400</v>
      </c>
      <c r="N585" s="29">
        <v>30</v>
      </c>
    </row>
    <row r="586" spans="1:17" ht="16.5" thickTop="1" thickBot="1" x14ac:dyDescent="0.3">
      <c r="A586" s="27" t="s">
        <v>111</v>
      </c>
      <c r="B586" s="25" t="s">
        <v>22</v>
      </c>
      <c r="C586" s="8" t="s">
        <v>61</v>
      </c>
      <c r="D586" s="7" t="s">
        <v>79</v>
      </c>
      <c r="E586" s="9" t="s">
        <v>68</v>
      </c>
      <c r="F586" s="10">
        <v>1</v>
      </c>
      <c r="G586" s="11" t="s">
        <v>47</v>
      </c>
      <c r="H586" s="7" t="s">
        <v>85</v>
      </c>
      <c r="I586" s="11" t="s">
        <v>9</v>
      </c>
      <c r="J586" s="11" t="s">
        <v>105</v>
      </c>
      <c r="K586" s="12">
        <v>30185.123490000002</v>
      </c>
      <c r="L586" s="12">
        <v>0</v>
      </c>
      <c r="M586" s="12">
        <f t="shared" si="23"/>
        <v>30185.123490000002</v>
      </c>
      <c r="N586" s="29">
        <v>30</v>
      </c>
    </row>
    <row r="587" spans="1:17" ht="16.5" thickTop="1" thickBot="1" x14ac:dyDescent="0.3">
      <c r="A587" s="27" t="s">
        <v>111</v>
      </c>
      <c r="B587" s="25" t="s">
        <v>22</v>
      </c>
      <c r="C587" s="8" t="s">
        <v>61</v>
      </c>
      <c r="D587" s="7" t="s">
        <v>130</v>
      </c>
      <c r="E587" s="9" t="s">
        <v>68</v>
      </c>
      <c r="F587" s="10">
        <v>1</v>
      </c>
      <c r="G587" s="11" t="s">
        <v>129</v>
      </c>
      <c r="H587" s="7" t="s">
        <v>85</v>
      </c>
      <c r="I587" s="11" t="s">
        <v>131</v>
      </c>
      <c r="J587" s="11" t="s">
        <v>105</v>
      </c>
      <c r="K587" s="12">
        <v>8632.66</v>
      </c>
      <c r="L587" s="12">
        <v>0</v>
      </c>
      <c r="M587" s="12">
        <f t="shared" si="23"/>
        <v>8632.66</v>
      </c>
      <c r="N587" s="29">
        <v>30</v>
      </c>
    </row>
    <row r="588" spans="1:17" ht="16.5" thickTop="1" thickBot="1" x14ac:dyDescent="0.3">
      <c r="A588" s="27"/>
      <c r="B588" s="25" t="s">
        <v>22</v>
      </c>
      <c r="C588" s="8" t="s">
        <v>61</v>
      </c>
      <c r="D588" s="7" t="s">
        <v>79</v>
      </c>
      <c r="E588" s="9" t="s">
        <v>71</v>
      </c>
      <c r="F588" s="10">
        <v>1</v>
      </c>
      <c r="G588" s="11" t="s">
        <v>132</v>
      </c>
      <c r="H588" s="7" t="s">
        <v>88</v>
      </c>
      <c r="I588" s="11" t="s">
        <v>9</v>
      </c>
      <c r="J588" s="11" t="s">
        <v>105</v>
      </c>
      <c r="K588" s="12">
        <v>30214.33</v>
      </c>
      <c r="L588" s="12">
        <v>0</v>
      </c>
      <c r="M588" s="12">
        <f>K588-L588</f>
        <v>30214.33</v>
      </c>
      <c r="N588" s="54">
        <v>30</v>
      </c>
      <c r="O588" s="57">
        <f>K588*10.5%</f>
        <v>3172.5046499999999</v>
      </c>
      <c r="P588" s="57">
        <f>O588*60%</f>
        <v>1903.5027899999998</v>
      </c>
      <c r="Q588" s="57">
        <f>O588*40%</f>
        <v>1269.0018600000001</v>
      </c>
    </row>
    <row r="589" spans="1:17" ht="16.5" thickTop="1" thickBot="1" x14ac:dyDescent="0.3">
      <c r="A589" s="27"/>
      <c r="B589" s="25" t="s">
        <v>22</v>
      </c>
      <c r="C589" s="8" t="s">
        <v>61</v>
      </c>
      <c r="D589" s="7" t="s">
        <v>79</v>
      </c>
      <c r="E589" s="9" t="s">
        <v>71</v>
      </c>
      <c r="F589" s="10">
        <v>1</v>
      </c>
      <c r="G589" s="11" t="s">
        <v>129</v>
      </c>
      <c r="H589" s="7" t="s">
        <v>85</v>
      </c>
      <c r="I589" s="11" t="s">
        <v>9</v>
      </c>
      <c r="J589" s="11" t="s">
        <v>105</v>
      </c>
      <c r="K589" s="12">
        <v>25897.99</v>
      </c>
      <c r="L589" s="12">
        <v>0</v>
      </c>
      <c r="M589" s="12">
        <f>K589-L589</f>
        <v>25897.99</v>
      </c>
      <c r="N589" s="54">
        <v>30</v>
      </c>
      <c r="O589" s="57">
        <f>K589*10.5%</f>
        <v>2719.2889500000001</v>
      </c>
      <c r="P589" s="57">
        <f>O589*60%</f>
        <v>1631.5733700000001</v>
      </c>
      <c r="Q589" s="57">
        <f>O589*40%</f>
        <v>1087.71558</v>
      </c>
    </row>
    <row r="590" spans="1:17" ht="16.5" thickTop="1" thickBot="1" x14ac:dyDescent="0.3">
      <c r="A590" s="27" t="s">
        <v>111</v>
      </c>
      <c r="B590" s="25" t="s">
        <v>22</v>
      </c>
      <c r="C590" s="8" t="s">
        <v>61</v>
      </c>
      <c r="D590" s="7" t="s">
        <v>79</v>
      </c>
      <c r="E590" s="9" t="s">
        <v>68</v>
      </c>
      <c r="F590" s="10">
        <v>1</v>
      </c>
      <c r="G590" s="11" t="s">
        <v>129</v>
      </c>
      <c r="H590" s="7" t="s">
        <v>85</v>
      </c>
      <c r="I590" s="11" t="s">
        <v>131</v>
      </c>
      <c r="J590" s="11" t="s">
        <v>105</v>
      </c>
      <c r="K590" s="12">
        <v>25897.99</v>
      </c>
      <c r="L590" s="12">
        <v>0</v>
      </c>
      <c r="M590" s="12">
        <f t="shared" si="23"/>
        <v>25897.99</v>
      </c>
      <c r="N590" s="29">
        <v>30</v>
      </c>
    </row>
    <row r="591" spans="1:17" ht="16.5" thickTop="1" thickBot="1" x14ac:dyDescent="0.3">
      <c r="A591" s="27" t="s">
        <v>111</v>
      </c>
      <c r="B591" s="25" t="s">
        <v>22</v>
      </c>
      <c r="C591" s="8" t="s">
        <v>61</v>
      </c>
      <c r="D591" s="7" t="s">
        <v>79</v>
      </c>
      <c r="E591" s="9" t="s">
        <v>68</v>
      </c>
      <c r="F591" s="10">
        <v>1</v>
      </c>
      <c r="G591" s="11" t="s">
        <v>132</v>
      </c>
      <c r="H591" s="7" t="s">
        <v>88</v>
      </c>
      <c r="I591" s="11" t="s">
        <v>131</v>
      </c>
      <c r="J591" s="11" t="s">
        <v>105</v>
      </c>
      <c r="K591" s="12">
        <v>30214.33</v>
      </c>
      <c r="L591" s="12">
        <v>0</v>
      </c>
      <c r="M591" s="12">
        <f>K591-L591</f>
        <v>30214.33</v>
      </c>
      <c r="N591" s="29">
        <v>30</v>
      </c>
    </row>
    <row r="592" spans="1:17" ht="16.5" thickTop="1" thickBot="1" x14ac:dyDescent="0.3">
      <c r="A592" s="27" t="s">
        <v>111</v>
      </c>
      <c r="B592" s="25" t="s">
        <v>22</v>
      </c>
      <c r="C592" s="8" t="s">
        <v>61</v>
      </c>
      <c r="D592" s="7" t="s">
        <v>130</v>
      </c>
      <c r="E592" s="9" t="s">
        <v>68</v>
      </c>
      <c r="F592" s="10">
        <v>1</v>
      </c>
      <c r="G592" s="11" t="s">
        <v>132</v>
      </c>
      <c r="H592" s="7" t="s">
        <v>88</v>
      </c>
      <c r="I592" s="11" t="s">
        <v>131</v>
      </c>
      <c r="J592" s="11" t="s">
        <v>105</v>
      </c>
      <c r="K592" s="12">
        <v>3453.07</v>
      </c>
      <c r="L592" s="12">
        <v>0</v>
      </c>
      <c r="M592" s="12">
        <f t="shared" si="23"/>
        <v>3453.07</v>
      </c>
      <c r="N592" s="29">
        <v>30</v>
      </c>
    </row>
    <row r="593" spans="1:17" ht="16.5" thickTop="1" thickBot="1" x14ac:dyDescent="0.3">
      <c r="A593" s="27" t="s">
        <v>111</v>
      </c>
      <c r="B593" s="25" t="s">
        <v>22</v>
      </c>
      <c r="C593" s="8" t="s">
        <v>61</v>
      </c>
      <c r="D593" s="7" t="s">
        <v>79</v>
      </c>
      <c r="E593" s="9" t="s">
        <v>68</v>
      </c>
      <c r="F593" s="10">
        <v>1</v>
      </c>
      <c r="G593" s="11" t="s">
        <v>48</v>
      </c>
      <c r="H593" s="7" t="s">
        <v>85</v>
      </c>
      <c r="I593" s="11" t="s">
        <v>9</v>
      </c>
      <c r="J593" s="11" t="s">
        <v>105</v>
      </c>
      <c r="K593" s="12">
        <v>21610.872782999999</v>
      </c>
      <c r="L593" s="12">
        <v>0</v>
      </c>
      <c r="M593" s="12">
        <f>K593-L593</f>
        <v>21610.872782999999</v>
      </c>
      <c r="N593" s="29">
        <v>30</v>
      </c>
    </row>
    <row r="594" spans="1:17" ht="16.5" thickTop="1" thickBot="1" x14ac:dyDescent="0.3">
      <c r="A594" s="27" t="s">
        <v>111</v>
      </c>
      <c r="B594" s="25" t="s">
        <v>5</v>
      </c>
      <c r="C594" s="8" t="s">
        <v>61</v>
      </c>
      <c r="D594" s="7" t="s">
        <v>130</v>
      </c>
      <c r="E594" s="9" t="s">
        <v>68</v>
      </c>
      <c r="F594" s="10">
        <v>13</v>
      </c>
      <c r="G594" s="11" t="s">
        <v>133</v>
      </c>
      <c r="H594" s="7" t="s">
        <v>134</v>
      </c>
      <c r="I594" s="11" t="s">
        <v>131</v>
      </c>
      <c r="J594" s="11"/>
      <c r="K594" s="12"/>
      <c r="L594" s="12">
        <v>0</v>
      </c>
      <c r="M594" s="12"/>
      <c r="N594" s="29">
        <v>27</v>
      </c>
    </row>
    <row r="595" spans="1:17" ht="15.75" customHeight="1" thickTop="1" thickBot="1" x14ac:dyDescent="0.3">
      <c r="A595" s="27"/>
      <c r="B595" s="25" t="s">
        <v>22</v>
      </c>
      <c r="C595" s="8" t="s">
        <v>62</v>
      </c>
      <c r="D595" s="7" t="s">
        <v>79</v>
      </c>
      <c r="E595" s="9" t="s">
        <v>68</v>
      </c>
      <c r="F595" s="10">
        <v>10</v>
      </c>
      <c r="G595" s="13" t="s">
        <v>49</v>
      </c>
      <c r="H595" s="7" t="s">
        <v>85</v>
      </c>
      <c r="I595" s="11" t="s">
        <v>9</v>
      </c>
      <c r="J595" s="11" t="s">
        <v>105</v>
      </c>
      <c r="K595" s="12">
        <v>17400</v>
      </c>
      <c r="L595" s="12">
        <v>0</v>
      </c>
      <c r="M595" s="12">
        <f>K595-L595</f>
        <v>17400</v>
      </c>
      <c r="N595" s="29">
        <v>10</v>
      </c>
    </row>
    <row r="596" spans="1:17" ht="16.5" thickTop="1" thickBot="1" x14ac:dyDescent="0.3">
      <c r="A596" s="27"/>
      <c r="B596" s="25" t="s">
        <v>22</v>
      </c>
      <c r="C596" s="8" t="s">
        <v>62</v>
      </c>
      <c r="D596" s="7" t="s">
        <v>79</v>
      </c>
      <c r="E596" s="9" t="s">
        <v>68</v>
      </c>
      <c r="F596" s="10">
        <v>10</v>
      </c>
      <c r="G596" s="13" t="s">
        <v>49</v>
      </c>
      <c r="H596" s="7" t="s">
        <v>85</v>
      </c>
      <c r="I596" s="11" t="s">
        <v>98</v>
      </c>
      <c r="J596" s="11" t="s">
        <v>105</v>
      </c>
      <c r="K596" s="12">
        <v>4829.5529999999999</v>
      </c>
      <c r="L596" s="12">
        <v>0</v>
      </c>
      <c r="M596" s="12">
        <f t="shared" si="23"/>
        <v>4829.5529999999999</v>
      </c>
      <c r="N596" s="29">
        <v>10</v>
      </c>
    </row>
    <row r="597" spans="1:17" ht="15.75" customHeight="1" thickTop="1" thickBot="1" x14ac:dyDescent="0.3">
      <c r="A597" s="27"/>
      <c r="B597" s="25" t="s">
        <v>22</v>
      </c>
      <c r="C597" s="8" t="s">
        <v>62</v>
      </c>
      <c r="D597" s="7" t="s">
        <v>79</v>
      </c>
      <c r="E597" s="9" t="s">
        <v>68</v>
      </c>
      <c r="F597" s="10">
        <v>10</v>
      </c>
      <c r="G597" s="13" t="s">
        <v>50</v>
      </c>
      <c r="H597" s="7" t="s">
        <v>85</v>
      </c>
      <c r="I597" s="11" t="s">
        <v>9</v>
      </c>
      <c r="J597" s="11" t="s">
        <v>105</v>
      </c>
      <c r="K597" s="12">
        <v>17400</v>
      </c>
      <c r="L597" s="12">
        <v>0</v>
      </c>
      <c r="M597" s="12">
        <f>K597-L597</f>
        <v>17400</v>
      </c>
      <c r="N597" s="29">
        <v>10</v>
      </c>
    </row>
    <row r="598" spans="1:17" ht="16.5" thickTop="1" thickBot="1" x14ac:dyDescent="0.3">
      <c r="A598" s="27"/>
      <c r="B598" s="25" t="s">
        <v>22</v>
      </c>
      <c r="C598" s="8" t="s">
        <v>62</v>
      </c>
      <c r="D598" s="7" t="s">
        <v>79</v>
      </c>
      <c r="E598" s="9" t="s">
        <v>68</v>
      </c>
      <c r="F598" s="10">
        <v>10</v>
      </c>
      <c r="G598" s="13" t="s">
        <v>50</v>
      </c>
      <c r="H598" s="7" t="s">
        <v>85</v>
      </c>
      <c r="I598" s="11" t="s">
        <v>98</v>
      </c>
      <c r="J598" s="11" t="s">
        <v>105</v>
      </c>
      <c r="K598" s="12">
        <v>4829.5529999999999</v>
      </c>
      <c r="L598" s="12">
        <v>0</v>
      </c>
      <c r="M598" s="12">
        <f t="shared" si="23"/>
        <v>4829.5529999999999</v>
      </c>
      <c r="N598" s="29">
        <v>10</v>
      </c>
    </row>
    <row r="599" spans="1:17" ht="16.5" thickTop="1" thickBot="1" x14ac:dyDescent="0.3">
      <c r="A599" s="27"/>
      <c r="B599" s="25" t="s">
        <v>11</v>
      </c>
      <c r="C599" s="8" t="s">
        <v>62</v>
      </c>
      <c r="D599" s="7" t="s">
        <v>79</v>
      </c>
      <c r="E599" s="9" t="s">
        <v>68</v>
      </c>
      <c r="F599" s="10">
        <v>16</v>
      </c>
      <c r="G599" s="13" t="s">
        <v>51</v>
      </c>
      <c r="H599" s="7" t="s">
        <v>83</v>
      </c>
      <c r="I599" s="11" t="s">
        <v>7</v>
      </c>
      <c r="J599" s="11" t="s">
        <v>80</v>
      </c>
      <c r="K599" s="12">
        <v>19124.839514250001</v>
      </c>
      <c r="L599" s="12">
        <f>K599*16%</f>
        <v>3059.9743222800003</v>
      </c>
      <c r="M599" s="12">
        <f t="shared" si="23"/>
        <v>16064.865191970001</v>
      </c>
      <c r="N599" s="29">
        <v>30</v>
      </c>
    </row>
    <row r="600" spans="1:17" ht="16.5" thickTop="1" thickBot="1" x14ac:dyDescent="0.3">
      <c r="A600" s="27"/>
      <c r="B600" s="25" t="s">
        <v>11</v>
      </c>
      <c r="C600" s="8" t="s">
        <v>62</v>
      </c>
      <c r="D600" s="7" t="s">
        <v>79</v>
      </c>
      <c r="E600" s="9" t="s">
        <v>68</v>
      </c>
      <c r="F600" s="10">
        <v>16</v>
      </c>
      <c r="G600" s="11" t="s">
        <v>52</v>
      </c>
      <c r="H600" s="7" t="s">
        <v>84</v>
      </c>
      <c r="I600" s="11" t="s">
        <v>7</v>
      </c>
      <c r="J600" s="11" t="s">
        <v>103</v>
      </c>
      <c r="K600" s="12">
        <v>70096.320000000007</v>
      </c>
      <c r="L600" s="12">
        <f>K600*16%</f>
        <v>11215.4112</v>
      </c>
      <c r="M600" s="12">
        <v>57706.080000000002</v>
      </c>
      <c r="N600" s="29">
        <v>15</v>
      </c>
    </row>
    <row r="601" spans="1:17" ht="16.5" thickTop="1" thickBot="1" x14ac:dyDescent="0.3">
      <c r="A601" s="27"/>
      <c r="B601" s="25" t="s">
        <v>5</v>
      </c>
      <c r="C601" s="8" t="s">
        <v>62</v>
      </c>
      <c r="D601" s="7" t="s">
        <v>79</v>
      </c>
      <c r="E601" s="9" t="s">
        <v>68</v>
      </c>
      <c r="F601" s="10">
        <v>16</v>
      </c>
      <c r="G601" s="11" t="s">
        <v>53</v>
      </c>
      <c r="H601" s="7" t="s">
        <v>85</v>
      </c>
      <c r="I601" s="11" t="s">
        <v>7</v>
      </c>
      <c r="J601" s="11" t="s">
        <v>103</v>
      </c>
      <c r="K601" s="12">
        <v>17410.382099999999</v>
      </c>
      <c r="L601" s="12">
        <f>K601*5%</f>
        <v>870.51910499999997</v>
      </c>
      <c r="M601" s="12">
        <f t="shared" si="23"/>
        <v>16539.862995</v>
      </c>
      <c r="N601" s="29">
        <v>15</v>
      </c>
    </row>
    <row r="602" spans="1:17" ht="16.5" thickTop="1" thickBot="1" x14ac:dyDescent="0.3">
      <c r="A602" s="27"/>
      <c r="B602" s="25" t="s">
        <v>5</v>
      </c>
      <c r="C602" s="8" t="s">
        <v>62</v>
      </c>
      <c r="D602" s="7" t="s">
        <v>79</v>
      </c>
      <c r="E602" s="9" t="s">
        <v>68</v>
      </c>
      <c r="F602" s="10">
        <v>16</v>
      </c>
      <c r="G602" s="11" t="s">
        <v>53</v>
      </c>
      <c r="H602" s="7" t="s">
        <v>85</v>
      </c>
      <c r="I602" s="11" t="s">
        <v>15</v>
      </c>
      <c r="J602" s="11" t="s">
        <v>103</v>
      </c>
      <c r="K602" s="12">
        <v>4509.3212999999996</v>
      </c>
      <c r="L602" s="12">
        <f>K602*5%</f>
        <v>225.46606499999999</v>
      </c>
      <c r="M602" s="12">
        <f t="shared" si="23"/>
        <v>4283.855235</v>
      </c>
      <c r="N602" s="29">
        <v>15</v>
      </c>
    </row>
    <row r="603" spans="1:17" ht="16.5" thickTop="1" thickBot="1" x14ac:dyDescent="0.3">
      <c r="A603" s="27"/>
      <c r="B603" s="25" t="s">
        <v>5</v>
      </c>
      <c r="C603" s="8" t="s">
        <v>62</v>
      </c>
      <c r="D603" s="7" t="s">
        <v>79</v>
      </c>
      <c r="E603" s="9" t="s">
        <v>68</v>
      </c>
      <c r="F603" s="10">
        <v>16</v>
      </c>
      <c r="G603" s="11" t="s">
        <v>53</v>
      </c>
      <c r="H603" s="7" t="s">
        <v>85</v>
      </c>
      <c r="I603" s="11" t="s">
        <v>9</v>
      </c>
      <c r="J603" s="11" t="s">
        <v>103</v>
      </c>
      <c r="K603" s="12">
        <v>7272.4931999999999</v>
      </c>
      <c r="L603" s="12">
        <f>K603*5%</f>
        <v>363.62466000000001</v>
      </c>
      <c r="M603" s="12">
        <f t="shared" si="23"/>
        <v>6908.8685399999995</v>
      </c>
      <c r="N603" s="29">
        <v>15</v>
      </c>
    </row>
    <row r="604" spans="1:17" ht="16.5" thickTop="1" thickBot="1" x14ac:dyDescent="0.3">
      <c r="A604" s="27" t="s">
        <v>111</v>
      </c>
      <c r="B604" s="25" t="s">
        <v>22</v>
      </c>
      <c r="C604" s="8" t="s">
        <v>62</v>
      </c>
      <c r="D604" s="7" t="s">
        <v>79</v>
      </c>
      <c r="E604" s="9" t="s">
        <v>68</v>
      </c>
      <c r="F604" s="10">
        <v>1</v>
      </c>
      <c r="G604" s="11" t="s">
        <v>54</v>
      </c>
      <c r="H604" s="7" t="s">
        <v>85</v>
      </c>
      <c r="I604" s="11" t="s">
        <v>20</v>
      </c>
      <c r="J604" s="11" t="s">
        <v>105</v>
      </c>
      <c r="K604" s="16">
        <v>36757.832193000002</v>
      </c>
      <c r="L604" s="12">
        <v>0</v>
      </c>
      <c r="M604" s="12">
        <f t="shared" si="23"/>
        <v>36757.832193000002</v>
      </c>
      <c r="N604" s="29">
        <v>30</v>
      </c>
    </row>
    <row r="605" spans="1:17" ht="16.5" thickTop="1" thickBot="1" x14ac:dyDescent="0.3">
      <c r="A605" s="27" t="s">
        <v>111</v>
      </c>
      <c r="B605" s="25" t="s">
        <v>22</v>
      </c>
      <c r="C605" s="8" t="s">
        <v>62</v>
      </c>
      <c r="D605" s="7" t="s">
        <v>79</v>
      </c>
      <c r="E605" s="9" t="s">
        <v>68</v>
      </c>
      <c r="F605" s="10">
        <v>1</v>
      </c>
      <c r="G605" s="11" t="s">
        <v>54</v>
      </c>
      <c r="H605" s="7" t="s">
        <v>85</v>
      </c>
      <c r="I605" s="11" t="s">
        <v>9</v>
      </c>
      <c r="J605" s="11" t="s">
        <v>105</v>
      </c>
      <c r="K605" s="16">
        <v>30185.123490000002</v>
      </c>
      <c r="L605" s="12">
        <v>0</v>
      </c>
      <c r="M605" s="12">
        <f t="shared" si="23"/>
        <v>30185.123490000002</v>
      </c>
      <c r="N605" s="29">
        <v>30</v>
      </c>
    </row>
    <row r="606" spans="1:17" ht="16.5" thickTop="1" thickBot="1" x14ac:dyDescent="0.3">
      <c r="A606" s="27" t="s">
        <v>111</v>
      </c>
      <c r="B606" s="25" t="s">
        <v>22</v>
      </c>
      <c r="C606" s="8" t="s">
        <v>62</v>
      </c>
      <c r="D606" s="7" t="s">
        <v>79</v>
      </c>
      <c r="E606" s="9" t="s">
        <v>68</v>
      </c>
      <c r="F606" s="10">
        <v>1</v>
      </c>
      <c r="G606" s="11" t="s">
        <v>55</v>
      </c>
      <c r="H606" s="7" t="s">
        <v>85</v>
      </c>
      <c r="I606" s="11" t="s">
        <v>20</v>
      </c>
      <c r="J606" s="11" t="s">
        <v>105</v>
      </c>
      <c r="K606" s="16">
        <v>31506.62688</v>
      </c>
      <c r="L606" s="12">
        <v>0</v>
      </c>
      <c r="M606" s="12">
        <f t="shared" si="23"/>
        <v>31506.62688</v>
      </c>
      <c r="N606" s="29">
        <v>30</v>
      </c>
    </row>
    <row r="607" spans="1:17" ht="16.5" thickTop="1" thickBot="1" x14ac:dyDescent="0.3">
      <c r="A607" s="27" t="s">
        <v>111</v>
      </c>
      <c r="B607" s="25" t="s">
        <v>22</v>
      </c>
      <c r="C607" s="8" t="s">
        <v>62</v>
      </c>
      <c r="D607" s="7" t="s">
        <v>79</v>
      </c>
      <c r="E607" s="9" t="s">
        <v>68</v>
      </c>
      <c r="F607" s="10">
        <v>1</v>
      </c>
      <c r="G607" s="11" t="s">
        <v>55</v>
      </c>
      <c r="H607" s="7" t="s">
        <v>85</v>
      </c>
      <c r="I607" s="11" t="s">
        <v>9</v>
      </c>
      <c r="J607" s="11" t="s">
        <v>105</v>
      </c>
      <c r="K607" s="12">
        <v>21581.665982999999</v>
      </c>
      <c r="L607" s="12">
        <v>0</v>
      </c>
      <c r="M607" s="12">
        <f t="shared" si="23"/>
        <v>21581.665982999999</v>
      </c>
      <c r="N607" s="29">
        <v>30</v>
      </c>
    </row>
    <row r="608" spans="1:17" ht="16.5" thickTop="1" thickBot="1" x14ac:dyDescent="0.3">
      <c r="A608" s="27" t="s">
        <v>111</v>
      </c>
      <c r="B608" s="25" t="s">
        <v>22</v>
      </c>
      <c r="C608" s="8" t="s">
        <v>62</v>
      </c>
      <c r="D608" s="7" t="s">
        <v>79</v>
      </c>
      <c r="E608" s="9" t="s">
        <v>68</v>
      </c>
      <c r="F608" s="10">
        <v>1</v>
      </c>
      <c r="G608" s="11" t="s">
        <v>56</v>
      </c>
      <c r="H608" s="7" t="s">
        <v>85</v>
      </c>
      <c r="I608" s="11" t="s">
        <v>9</v>
      </c>
      <c r="J608" s="11" t="s">
        <v>105</v>
      </c>
      <c r="K608" s="12">
        <v>30214.330290000002</v>
      </c>
      <c r="L608" s="12">
        <v>0</v>
      </c>
      <c r="M608" s="12">
        <f t="shared" si="23"/>
        <v>30214.330290000002</v>
      </c>
      <c r="N608" s="29">
        <v>30</v>
      </c>
    </row>
    <row r="609" spans="1:14" ht="16.5" thickTop="1" thickBot="1" x14ac:dyDescent="0.3">
      <c r="A609" s="27" t="s">
        <v>111</v>
      </c>
      <c r="B609" s="25" t="s">
        <v>22</v>
      </c>
      <c r="C609" s="8" t="s">
        <v>62</v>
      </c>
      <c r="D609" s="7" t="s">
        <v>79</v>
      </c>
      <c r="E609" s="9" t="s">
        <v>68</v>
      </c>
      <c r="F609" s="10">
        <v>1</v>
      </c>
      <c r="G609" s="11" t="s">
        <v>57</v>
      </c>
      <c r="H609" s="7" t="s">
        <v>85</v>
      </c>
      <c r="I609" s="11" t="s">
        <v>9</v>
      </c>
      <c r="J609" s="11" t="s">
        <v>105</v>
      </c>
      <c r="K609" s="12">
        <v>30185.123490000002</v>
      </c>
      <c r="L609" s="12">
        <v>0</v>
      </c>
      <c r="M609" s="12">
        <f t="shared" si="23"/>
        <v>30185.123490000002</v>
      </c>
      <c r="N609" s="29">
        <v>30</v>
      </c>
    </row>
    <row r="610" spans="1:14" ht="16.5" thickTop="1" thickBot="1" x14ac:dyDescent="0.3">
      <c r="A610" s="27" t="s">
        <v>111</v>
      </c>
      <c r="B610" s="25" t="s">
        <v>22</v>
      </c>
      <c r="C610" s="8" t="s">
        <v>62</v>
      </c>
      <c r="D610" s="7" t="s">
        <v>79</v>
      </c>
      <c r="E610" s="9" t="s">
        <v>68</v>
      </c>
      <c r="F610" s="10">
        <v>1</v>
      </c>
      <c r="G610" s="11" t="s">
        <v>58</v>
      </c>
      <c r="H610" s="7" t="s">
        <v>85</v>
      </c>
      <c r="I610" s="11" t="s">
        <v>9</v>
      </c>
      <c r="J610" s="11" t="s">
        <v>105</v>
      </c>
      <c r="K610" s="12">
        <v>17265.328613999998</v>
      </c>
      <c r="L610" s="12">
        <v>0</v>
      </c>
      <c r="M610" s="12">
        <f t="shared" si="23"/>
        <v>17265.328613999998</v>
      </c>
      <c r="N610" s="29">
        <v>30</v>
      </c>
    </row>
    <row r="611" spans="1:14" s="4" customFormat="1" ht="16.5" thickTop="1" thickBot="1" x14ac:dyDescent="0.3">
      <c r="A611" s="30"/>
      <c r="B611" s="31" t="s">
        <v>22</v>
      </c>
      <c r="C611" s="32" t="s">
        <v>62</v>
      </c>
      <c r="D611" s="33" t="s">
        <v>79</v>
      </c>
      <c r="E611" s="34" t="s">
        <v>68</v>
      </c>
      <c r="F611" s="35">
        <v>1</v>
      </c>
      <c r="G611" s="36" t="s">
        <v>59</v>
      </c>
      <c r="H611" s="33" t="s">
        <v>85</v>
      </c>
      <c r="I611" s="36" t="s">
        <v>9</v>
      </c>
      <c r="J611" s="36" t="s">
        <v>105</v>
      </c>
      <c r="K611" s="37">
        <v>4316.3373689999999</v>
      </c>
      <c r="L611" s="37">
        <v>0</v>
      </c>
      <c r="M611" s="37">
        <f t="shared" si="23"/>
        <v>4316.3373689999999</v>
      </c>
      <c r="N611" s="38">
        <v>30</v>
      </c>
    </row>
    <row r="612" spans="1:14" ht="16.5" thickTop="1" thickBot="1" x14ac:dyDescent="0.3">
      <c r="A612" s="27" t="s">
        <v>111</v>
      </c>
      <c r="B612" s="40" t="s">
        <v>5</v>
      </c>
      <c r="C612" s="41" t="s">
        <v>0</v>
      </c>
      <c r="D612" s="42" t="s">
        <v>79</v>
      </c>
      <c r="E612" s="43" t="s">
        <v>69</v>
      </c>
      <c r="F612" s="44">
        <v>10</v>
      </c>
      <c r="G612" s="45" t="s">
        <v>6</v>
      </c>
      <c r="H612" s="42" t="s">
        <v>85</v>
      </c>
      <c r="I612" s="45" t="s">
        <v>7</v>
      </c>
      <c r="J612" s="45" t="s">
        <v>103</v>
      </c>
      <c r="K612" s="46">
        <v>37326.692723669999</v>
      </c>
      <c r="L612" s="46">
        <f>K612*5%</f>
        <v>1866.3346361835002</v>
      </c>
      <c r="M612" s="46">
        <f>K612-L612</f>
        <v>35460.3580874865</v>
      </c>
      <c r="N612" s="47">
        <v>10</v>
      </c>
    </row>
    <row r="613" spans="1:14" ht="16.5" thickTop="1" thickBot="1" x14ac:dyDescent="0.3">
      <c r="A613" s="27" t="s">
        <v>111</v>
      </c>
      <c r="B613" s="25" t="s">
        <v>5</v>
      </c>
      <c r="C613" s="8" t="s">
        <v>0</v>
      </c>
      <c r="D613" s="7" t="s">
        <v>79</v>
      </c>
      <c r="E613" s="9" t="s">
        <v>69</v>
      </c>
      <c r="F613" s="10">
        <v>10</v>
      </c>
      <c r="G613" s="11" t="s">
        <v>8</v>
      </c>
      <c r="H613" s="7" t="s">
        <v>85</v>
      </c>
      <c r="I613" s="11" t="s">
        <v>7</v>
      </c>
      <c r="J613" s="11" t="s">
        <v>103</v>
      </c>
      <c r="K613" s="12">
        <v>17490.966790500002</v>
      </c>
      <c r="L613" s="12">
        <f>K613*5%</f>
        <v>874.54833952500019</v>
      </c>
      <c r="M613" s="12">
        <f>K613-L613</f>
        <v>16616.418450975001</v>
      </c>
      <c r="N613" s="29">
        <v>10</v>
      </c>
    </row>
    <row r="614" spans="1:14" ht="16.5" thickTop="1" thickBot="1" x14ac:dyDescent="0.3">
      <c r="A614" s="27" t="s">
        <v>111</v>
      </c>
      <c r="B614" s="25" t="s">
        <v>5</v>
      </c>
      <c r="C614" s="8" t="s">
        <v>0</v>
      </c>
      <c r="D614" s="7" t="s">
        <v>79</v>
      </c>
      <c r="E614" s="9" t="s">
        <v>69</v>
      </c>
      <c r="F614" s="10">
        <v>10</v>
      </c>
      <c r="G614" s="11" t="s">
        <v>8</v>
      </c>
      <c r="H614" s="7" t="s">
        <v>85</v>
      </c>
      <c r="I614" s="11" t="s">
        <v>97</v>
      </c>
      <c r="J614" s="11" t="s">
        <v>103</v>
      </c>
      <c r="K614" s="12">
        <v>17490.966790500002</v>
      </c>
      <c r="L614" s="12">
        <f>K614*5%</f>
        <v>874.54833952500019</v>
      </c>
      <c r="M614" s="12">
        <f>K614-L614</f>
        <v>16616.418450975001</v>
      </c>
      <c r="N614" s="29">
        <v>10</v>
      </c>
    </row>
    <row r="615" spans="1:14" ht="16.5" thickTop="1" thickBot="1" x14ac:dyDescent="0.3">
      <c r="A615" s="27" t="s">
        <v>111</v>
      </c>
      <c r="B615" s="25" t="s">
        <v>5</v>
      </c>
      <c r="C615" s="8" t="s">
        <v>0</v>
      </c>
      <c r="D615" s="7" t="s">
        <v>79</v>
      </c>
      <c r="E615" s="9" t="s">
        <v>69</v>
      </c>
      <c r="F615" s="10">
        <v>10</v>
      </c>
      <c r="G615" s="11" t="s">
        <v>8</v>
      </c>
      <c r="H615" s="7" t="s">
        <v>85</v>
      </c>
      <c r="I615" s="11" t="s">
        <v>9</v>
      </c>
      <c r="J615" s="11" t="s">
        <v>103</v>
      </c>
      <c r="K615" s="12">
        <v>15318.197313750001</v>
      </c>
      <c r="L615" s="12">
        <f>K615*5%</f>
        <v>765.90986568750009</v>
      </c>
      <c r="M615" s="12">
        <f>K615-L615</f>
        <v>14552.287448062501</v>
      </c>
      <c r="N615" s="29">
        <v>10</v>
      </c>
    </row>
    <row r="616" spans="1:14" ht="16.5" thickTop="1" thickBot="1" x14ac:dyDescent="0.3">
      <c r="A616" s="27" t="s">
        <v>111</v>
      </c>
      <c r="B616" s="25" t="s">
        <v>5</v>
      </c>
      <c r="C616" s="8" t="s">
        <v>0</v>
      </c>
      <c r="D616" s="7" t="s">
        <v>79</v>
      </c>
      <c r="E616" s="9" t="s">
        <v>69</v>
      </c>
      <c r="F616" s="10">
        <v>10</v>
      </c>
      <c r="G616" s="11" t="s">
        <v>8</v>
      </c>
      <c r="H616" s="7" t="s">
        <v>85</v>
      </c>
      <c r="I616" s="11" t="s">
        <v>15</v>
      </c>
      <c r="J616" s="11" t="s">
        <v>103</v>
      </c>
      <c r="K616" s="12">
        <v>13061.815548749999</v>
      </c>
      <c r="L616" s="12">
        <f>K616*5%</f>
        <v>653.09077743750004</v>
      </c>
      <c r="M616" s="12">
        <f>K616-L616</f>
        <v>12408.7247713125</v>
      </c>
      <c r="N616" s="29">
        <v>10</v>
      </c>
    </row>
    <row r="617" spans="1:14" ht="16.5" thickTop="1" thickBot="1" x14ac:dyDescent="0.3">
      <c r="A617" s="27" t="s">
        <v>111</v>
      </c>
      <c r="B617" s="25" t="s">
        <v>10</v>
      </c>
      <c r="C617" s="8" t="s">
        <v>0</v>
      </c>
      <c r="D617" s="7" t="s">
        <v>79</v>
      </c>
      <c r="E617" s="9" t="s">
        <v>69</v>
      </c>
      <c r="F617" s="10">
        <v>10</v>
      </c>
      <c r="G617" s="11" t="s">
        <v>8</v>
      </c>
      <c r="H617" s="7" t="s">
        <v>85</v>
      </c>
      <c r="I617" s="11" t="s">
        <v>96</v>
      </c>
      <c r="J617" s="11" t="s">
        <v>103</v>
      </c>
      <c r="K617" s="12">
        <v>2000</v>
      </c>
      <c r="L617" s="12">
        <f>0</f>
        <v>0</v>
      </c>
      <c r="M617" s="12">
        <f>K617</f>
        <v>2000</v>
      </c>
      <c r="N617" s="29">
        <v>10</v>
      </c>
    </row>
    <row r="618" spans="1:14" ht="16.5" thickTop="1" thickBot="1" x14ac:dyDescent="0.3">
      <c r="A618" s="27" t="s">
        <v>111</v>
      </c>
      <c r="B618" s="25" t="s">
        <v>10</v>
      </c>
      <c r="C618" s="8" t="s">
        <v>0</v>
      </c>
      <c r="D618" s="7" t="s">
        <v>79</v>
      </c>
      <c r="E618" s="9" t="s">
        <v>69</v>
      </c>
      <c r="F618" s="10">
        <v>10</v>
      </c>
      <c r="G618" s="11" t="s">
        <v>8</v>
      </c>
      <c r="H618" s="7" t="s">
        <v>85</v>
      </c>
      <c r="I618" s="11" t="s">
        <v>96</v>
      </c>
      <c r="J618" s="11" t="s">
        <v>103</v>
      </c>
      <c r="K618" s="12">
        <v>200</v>
      </c>
      <c r="L618" s="12">
        <f>0</f>
        <v>0</v>
      </c>
      <c r="M618" s="12">
        <f>K618</f>
        <v>200</v>
      </c>
      <c r="N618" s="29">
        <v>10</v>
      </c>
    </row>
    <row r="619" spans="1:14" ht="16.5" thickTop="1" thickBot="1" x14ac:dyDescent="0.3">
      <c r="A619" s="27" t="s">
        <v>111</v>
      </c>
      <c r="B619" s="25" t="s">
        <v>11</v>
      </c>
      <c r="C619" s="8" t="s">
        <v>0</v>
      </c>
      <c r="D619" s="7" t="s">
        <v>79</v>
      </c>
      <c r="E619" s="9" t="s">
        <v>69</v>
      </c>
      <c r="F619" s="10">
        <v>16</v>
      </c>
      <c r="G619" s="11" t="s">
        <v>12</v>
      </c>
      <c r="H619" s="7" t="s">
        <v>85</v>
      </c>
      <c r="I619" s="11" t="s">
        <v>7</v>
      </c>
      <c r="J619" s="11" t="s">
        <v>103</v>
      </c>
      <c r="K619" s="12">
        <v>17013.380378354999</v>
      </c>
      <c r="L619" s="12">
        <f>K619*16%</f>
        <v>2722.1408605368001</v>
      </c>
      <c r="M619" s="12">
        <f t="shared" ref="M619:M635" si="24">K619-L619</f>
        <v>14291.2395178182</v>
      </c>
      <c r="N619" s="29">
        <v>15</v>
      </c>
    </row>
    <row r="620" spans="1:14" ht="16.5" thickTop="1" thickBot="1" x14ac:dyDescent="0.3">
      <c r="A620" s="27" t="s">
        <v>111</v>
      </c>
      <c r="B620" s="25" t="s">
        <v>13</v>
      </c>
      <c r="C620" s="8" t="s">
        <v>0</v>
      </c>
      <c r="D620" s="7" t="s">
        <v>79</v>
      </c>
      <c r="E620" s="9" t="s">
        <v>69</v>
      </c>
      <c r="F620" s="10">
        <v>16</v>
      </c>
      <c r="G620" s="11" t="s">
        <v>12</v>
      </c>
      <c r="H620" s="7" t="s">
        <v>85</v>
      </c>
      <c r="I620" s="11" t="s">
        <v>9</v>
      </c>
      <c r="J620" s="11" t="s">
        <v>103</v>
      </c>
      <c r="K620" s="12">
        <v>3729.6405063450002</v>
      </c>
      <c r="L620" s="12">
        <f>K620*16%</f>
        <v>596.74248101520004</v>
      </c>
      <c r="M620" s="12">
        <f t="shared" si="24"/>
        <v>3132.8980253298</v>
      </c>
      <c r="N620" s="29">
        <v>15</v>
      </c>
    </row>
    <row r="621" spans="1:14" ht="16.5" thickTop="1" thickBot="1" x14ac:dyDescent="0.3">
      <c r="A621" s="27" t="s">
        <v>111</v>
      </c>
      <c r="B621" s="25" t="s">
        <v>13</v>
      </c>
      <c r="C621" s="8" t="s">
        <v>0</v>
      </c>
      <c r="D621" s="7" t="s">
        <v>79</v>
      </c>
      <c r="E621" s="9" t="s">
        <v>69</v>
      </c>
      <c r="F621" s="10">
        <v>16</v>
      </c>
      <c r="G621" s="11" t="s">
        <v>12</v>
      </c>
      <c r="H621" s="7" t="s">
        <v>85</v>
      </c>
      <c r="I621" s="11" t="s">
        <v>99</v>
      </c>
      <c r="J621" s="11" t="s">
        <v>103</v>
      </c>
      <c r="K621" s="12">
        <v>4416.0016102200007</v>
      </c>
      <c r="L621" s="12">
        <f>K621*16%</f>
        <v>706.56025763520017</v>
      </c>
      <c r="M621" s="12">
        <f t="shared" si="24"/>
        <v>3709.4413525848004</v>
      </c>
      <c r="N621" s="29">
        <v>15</v>
      </c>
    </row>
    <row r="622" spans="1:14" ht="16.5" thickTop="1" thickBot="1" x14ac:dyDescent="0.3">
      <c r="A622" s="27" t="s">
        <v>111</v>
      </c>
      <c r="B622" s="25" t="s">
        <v>5</v>
      </c>
      <c r="C622" s="8" t="s">
        <v>0</v>
      </c>
      <c r="D622" s="7" t="s">
        <v>79</v>
      </c>
      <c r="E622" s="9" t="s">
        <v>69</v>
      </c>
      <c r="F622" s="10">
        <v>16</v>
      </c>
      <c r="G622" s="11" t="s">
        <v>14</v>
      </c>
      <c r="H622" s="7" t="s">
        <v>84</v>
      </c>
      <c r="I622" s="11" t="s">
        <v>7</v>
      </c>
      <c r="J622" s="11" t="s">
        <v>103</v>
      </c>
      <c r="K622" s="12">
        <v>14761.659131999999</v>
      </c>
      <c r="L622" s="12">
        <f>K622*5%</f>
        <v>738.08295659999999</v>
      </c>
      <c r="M622" s="12">
        <f t="shared" si="24"/>
        <v>14023.5761754</v>
      </c>
      <c r="N622" s="29">
        <v>15</v>
      </c>
    </row>
    <row r="623" spans="1:14" ht="16.5" thickTop="1" thickBot="1" x14ac:dyDescent="0.3">
      <c r="A623" s="27" t="s">
        <v>111</v>
      </c>
      <c r="B623" s="25" t="s">
        <v>5</v>
      </c>
      <c r="C623" s="8" t="s">
        <v>0</v>
      </c>
      <c r="D623" s="7" t="s">
        <v>79</v>
      </c>
      <c r="E623" s="9" t="s">
        <v>69</v>
      </c>
      <c r="F623" s="10">
        <v>16</v>
      </c>
      <c r="G623" s="11" t="s">
        <v>14</v>
      </c>
      <c r="H623" s="7" t="s">
        <v>84</v>
      </c>
      <c r="I623" s="11" t="s">
        <v>9</v>
      </c>
      <c r="J623" s="11" t="s">
        <v>103</v>
      </c>
      <c r="K623" s="12">
        <v>3763.01</v>
      </c>
      <c r="L623" s="12">
        <f>K623*5%</f>
        <v>188.15050000000002</v>
      </c>
      <c r="M623" s="12">
        <f t="shared" si="24"/>
        <v>3574.8595</v>
      </c>
      <c r="N623" s="29">
        <v>15</v>
      </c>
    </row>
    <row r="624" spans="1:14" ht="16.5" thickTop="1" thickBot="1" x14ac:dyDescent="0.3">
      <c r="A624" s="27" t="s">
        <v>111</v>
      </c>
      <c r="B624" s="25" t="s">
        <v>5</v>
      </c>
      <c r="C624" s="8" t="s">
        <v>0</v>
      </c>
      <c r="D624" s="7" t="s">
        <v>79</v>
      </c>
      <c r="E624" s="9" t="s">
        <v>69</v>
      </c>
      <c r="F624" s="10">
        <v>16</v>
      </c>
      <c r="G624" s="11" t="s">
        <v>14</v>
      </c>
      <c r="H624" s="7" t="s">
        <v>84</v>
      </c>
      <c r="I624" s="11" t="s">
        <v>15</v>
      </c>
      <c r="J624" s="11" t="s">
        <v>103</v>
      </c>
      <c r="K624" s="12">
        <v>4780.5638085000001</v>
      </c>
      <c r="L624" s="12">
        <f>K624*5%</f>
        <v>239.02819042500002</v>
      </c>
      <c r="M624" s="12">
        <f t="shared" si="24"/>
        <v>4541.5356180750005</v>
      </c>
      <c r="N624" s="29">
        <v>15</v>
      </c>
    </row>
    <row r="625" spans="1:14" ht="16.5" thickTop="1" thickBot="1" x14ac:dyDescent="0.3">
      <c r="A625" s="27" t="s">
        <v>111</v>
      </c>
      <c r="B625" s="25" t="s">
        <v>10</v>
      </c>
      <c r="C625" s="8" t="s">
        <v>0</v>
      </c>
      <c r="D625" s="7" t="s">
        <v>79</v>
      </c>
      <c r="E625" s="9" t="s">
        <v>69</v>
      </c>
      <c r="F625" s="10">
        <v>16</v>
      </c>
      <c r="G625" s="11" t="s">
        <v>14</v>
      </c>
      <c r="H625" s="7" t="s">
        <v>84</v>
      </c>
      <c r="I625" s="11" t="s">
        <v>96</v>
      </c>
      <c r="J625" s="11" t="s">
        <v>103</v>
      </c>
      <c r="K625" s="12">
        <v>500</v>
      </c>
      <c r="L625" s="12">
        <f>0</f>
        <v>0</v>
      </c>
      <c r="M625" s="12">
        <f t="shared" si="24"/>
        <v>500</v>
      </c>
      <c r="N625" s="29">
        <v>15</v>
      </c>
    </row>
    <row r="626" spans="1:14" ht="16.5" thickTop="1" thickBot="1" x14ac:dyDescent="0.3">
      <c r="A626" s="27" t="s">
        <v>111</v>
      </c>
      <c r="B626" s="25" t="s">
        <v>11</v>
      </c>
      <c r="C626" s="8" t="s">
        <v>0</v>
      </c>
      <c r="D626" s="7" t="s">
        <v>79</v>
      </c>
      <c r="E626" s="9" t="s">
        <v>69</v>
      </c>
      <c r="F626" s="10">
        <v>20</v>
      </c>
      <c r="G626" s="11" t="s">
        <v>16</v>
      </c>
      <c r="H626" s="7" t="s">
        <v>85</v>
      </c>
      <c r="I626" s="11" t="s">
        <v>7</v>
      </c>
      <c r="J626" s="11" t="s">
        <v>103</v>
      </c>
      <c r="K626" s="12">
        <v>15515</v>
      </c>
      <c r="L626" s="12">
        <f>K626*16%</f>
        <v>2482.4</v>
      </c>
      <c r="M626" s="12">
        <f t="shared" si="24"/>
        <v>13032.6</v>
      </c>
      <c r="N626" s="29">
        <v>15</v>
      </c>
    </row>
    <row r="627" spans="1:14" ht="16.5" thickTop="1" thickBot="1" x14ac:dyDescent="0.3">
      <c r="A627" s="27" t="s">
        <v>111</v>
      </c>
      <c r="B627" s="25" t="s">
        <v>13</v>
      </c>
      <c r="C627" s="8" t="s">
        <v>0</v>
      </c>
      <c r="D627" s="7" t="s">
        <v>79</v>
      </c>
      <c r="E627" s="9" t="s">
        <v>69</v>
      </c>
      <c r="F627" s="10">
        <v>20</v>
      </c>
      <c r="G627" s="11" t="s">
        <v>16</v>
      </c>
      <c r="H627" s="7" t="s">
        <v>85</v>
      </c>
      <c r="I627" s="11" t="s">
        <v>113</v>
      </c>
      <c r="J627" s="11" t="s">
        <v>103</v>
      </c>
      <c r="K627" s="12">
        <v>1500</v>
      </c>
      <c r="L627" s="12">
        <f>K627*16%</f>
        <v>240</v>
      </c>
      <c r="M627" s="12">
        <f t="shared" si="24"/>
        <v>1260</v>
      </c>
      <c r="N627" s="29">
        <v>15</v>
      </c>
    </row>
    <row r="628" spans="1:14" ht="16.5" thickTop="1" thickBot="1" x14ac:dyDescent="0.3">
      <c r="A628" s="27" t="s">
        <v>111</v>
      </c>
      <c r="B628" s="25" t="s">
        <v>13</v>
      </c>
      <c r="C628" s="8" t="s">
        <v>0</v>
      </c>
      <c r="D628" s="7" t="s">
        <v>79</v>
      </c>
      <c r="E628" s="9" t="s">
        <v>69</v>
      </c>
      <c r="F628" s="10">
        <v>20</v>
      </c>
      <c r="G628" s="11" t="s">
        <v>16</v>
      </c>
      <c r="H628" s="7" t="s">
        <v>85</v>
      </c>
      <c r="I628" s="11" t="s">
        <v>9</v>
      </c>
      <c r="J628" s="11" t="s">
        <v>103</v>
      </c>
      <c r="K628" s="12">
        <v>7480</v>
      </c>
      <c r="L628" s="12">
        <f>K628*16%</f>
        <v>1196.8</v>
      </c>
      <c r="M628" s="12">
        <f t="shared" si="24"/>
        <v>6283.2</v>
      </c>
      <c r="N628" s="29">
        <v>15</v>
      </c>
    </row>
    <row r="629" spans="1:14" ht="16.5" thickTop="1" thickBot="1" x14ac:dyDescent="0.3">
      <c r="A629" s="27" t="s">
        <v>111</v>
      </c>
      <c r="B629" s="25" t="s">
        <v>13</v>
      </c>
      <c r="C629" s="8" t="s">
        <v>0</v>
      </c>
      <c r="D629" s="7" t="s">
        <v>79</v>
      </c>
      <c r="E629" s="9" t="s">
        <v>69</v>
      </c>
      <c r="F629" s="10">
        <v>20</v>
      </c>
      <c r="G629" s="11" t="s">
        <v>16</v>
      </c>
      <c r="H629" s="7" t="s">
        <v>85</v>
      </c>
      <c r="I629" s="11" t="s">
        <v>15</v>
      </c>
      <c r="J629" s="11" t="s">
        <v>103</v>
      </c>
      <c r="K629" s="12">
        <v>6826</v>
      </c>
      <c r="L629" s="12">
        <f>K629*16%</f>
        <v>1092.1600000000001</v>
      </c>
      <c r="M629" s="12">
        <f t="shared" si="24"/>
        <v>5733.84</v>
      </c>
      <c r="N629" s="29">
        <v>15</v>
      </c>
    </row>
    <row r="630" spans="1:14" ht="16.5" thickTop="1" thickBot="1" x14ac:dyDescent="0.3">
      <c r="A630" s="27" t="s">
        <v>111</v>
      </c>
      <c r="B630" s="25" t="s">
        <v>5</v>
      </c>
      <c r="C630" s="8" t="s">
        <v>0</v>
      </c>
      <c r="D630" s="7" t="s">
        <v>79</v>
      </c>
      <c r="E630" s="9" t="s">
        <v>69</v>
      </c>
      <c r="F630" s="10">
        <v>5</v>
      </c>
      <c r="G630" s="11" t="s">
        <v>17</v>
      </c>
      <c r="H630" s="7" t="s">
        <v>85</v>
      </c>
      <c r="I630" s="11" t="s">
        <v>7</v>
      </c>
      <c r="J630" s="11" t="s">
        <v>103</v>
      </c>
      <c r="K630" s="12">
        <v>16574.890605929999</v>
      </c>
      <c r="L630" s="12">
        <f>K630*5%</f>
        <v>828.74453029649999</v>
      </c>
      <c r="M630" s="12">
        <f t="shared" si="24"/>
        <v>15746.146075633498</v>
      </c>
      <c r="N630" s="29">
        <v>10</v>
      </c>
    </row>
    <row r="631" spans="1:14" ht="16.5" thickTop="1" thickBot="1" x14ac:dyDescent="0.3">
      <c r="A631" s="27" t="s">
        <v>111</v>
      </c>
      <c r="B631" s="25" t="s">
        <v>5</v>
      </c>
      <c r="C631" s="8" t="s">
        <v>0</v>
      </c>
      <c r="D631" s="7" t="s">
        <v>79</v>
      </c>
      <c r="E631" s="9" t="s">
        <v>69</v>
      </c>
      <c r="F631" s="10">
        <v>5</v>
      </c>
      <c r="G631" s="11" t="s">
        <v>17</v>
      </c>
      <c r="H631" s="7" t="s">
        <v>85</v>
      </c>
      <c r="I631" s="11" t="s">
        <v>15</v>
      </c>
      <c r="J631" s="11" t="s">
        <v>103</v>
      </c>
      <c r="K631" s="12">
        <v>4086.3215625749995</v>
      </c>
      <c r="L631" s="12">
        <f>K631*5%</f>
        <v>204.31607812874998</v>
      </c>
      <c r="M631" s="12">
        <f t="shared" si="24"/>
        <v>3882.0054844462493</v>
      </c>
      <c r="N631" s="29">
        <v>10</v>
      </c>
    </row>
    <row r="632" spans="1:14" ht="16.5" thickTop="1" thickBot="1" x14ac:dyDescent="0.3">
      <c r="A632" s="27" t="s">
        <v>111</v>
      </c>
      <c r="B632" s="25" t="s">
        <v>5</v>
      </c>
      <c r="C632" s="8" t="s">
        <v>0</v>
      </c>
      <c r="D632" s="7" t="s">
        <v>79</v>
      </c>
      <c r="E632" s="9" t="s">
        <v>69</v>
      </c>
      <c r="F632" s="10">
        <v>10</v>
      </c>
      <c r="G632" s="11" t="s">
        <v>18</v>
      </c>
      <c r="H632" s="7" t="s">
        <v>85</v>
      </c>
      <c r="I632" s="11" t="s">
        <v>9</v>
      </c>
      <c r="J632" s="11" t="s">
        <v>103</v>
      </c>
      <c r="K632" s="12">
        <v>4153.3112700000001</v>
      </c>
      <c r="L632" s="12">
        <f>K632*5%</f>
        <v>207.66556350000002</v>
      </c>
      <c r="M632" s="12">
        <f t="shared" si="24"/>
        <v>3945.6457065</v>
      </c>
      <c r="N632" s="29">
        <v>10</v>
      </c>
    </row>
    <row r="633" spans="1:14" ht="16.5" thickTop="1" thickBot="1" x14ac:dyDescent="0.3">
      <c r="A633" s="27" t="s">
        <v>111</v>
      </c>
      <c r="B633" s="25" t="s">
        <v>11</v>
      </c>
      <c r="C633" s="8" t="s">
        <v>0</v>
      </c>
      <c r="D633" s="7" t="s">
        <v>79</v>
      </c>
      <c r="E633" s="9" t="s">
        <v>69</v>
      </c>
      <c r="F633" s="10">
        <v>20</v>
      </c>
      <c r="G633" s="11" t="s">
        <v>19</v>
      </c>
      <c r="H633" s="7" t="s">
        <v>88</v>
      </c>
      <c r="I633" s="11" t="s">
        <v>20</v>
      </c>
      <c r="J633" s="11" t="s">
        <v>105</v>
      </c>
      <c r="K633" s="12">
        <v>10635.19</v>
      </c>
      <c r="L633" s="12">
        <f>K633*16%</f>
        <v>1701.6304</v>
      </c>
      <c r="M633" s="12">
        <f t="shared" si="24"/>
        <v>8933.5596000000005</v>
      </c>
      <c r="N633" s="29">
        <v>15</v>
      </c>
    </row>
    <row r="634" spans="1:14" ht="16.5" thickTop="1" thickBot="1" x14ac:dyDescent="0.3">
      <c r="A634" s="27" t="s">
        <v>111</v>
      </c>
      <c r="B634" s="25" t="s">
        <v>13</v>
      </c>
      <c r="C634" s="8" t="s">
        <v>0</v>
      </c>
      <c r="D634" s="7" t="s">
        <v>79</v>
      </c>
      <c r="E634" s="9" t="s">
        <v>69</v>
      </c>
      <c r="F634" s="10">
        <v>5</v>
      </c>
      <c r="G634" s="11" t="s">
        <v>21</v>
      </c>
      <c r="H634" s="7" t="s">
        <v>85</v>
      </c>
      <c r="I634" s="11" t="s">
        <v>9</v>
      </c>
      <c r="J634" s="11" t="s">
        <v>105</v>
      </c>
      <c r="K634" s="12">
        <v>32256.26</v>
      </c>
      <c r="L634" s="12">
        <f>K634*16%</f>
        <v>5161.0015999999996</v>
      </c>
      <c r="M634" s="12">
        <f t="shared" si="24"/>
        <v>27095.258399999999</v>
      </c>
      <c r="N634" s="29">
        <v>10</v>
      </c>
    </row>
    <row r="635" spans="1:14" ht="15.75" customHeight="1" thickTop="1" thickBot="1" x14ac:dyDescent="0.3">
      <c r="A635" s="27" t="s">
        <v>111</v>
      </c>
      <c r="B635" s="25" t="s">
        <v>11</v>
      </c>
      <c r="C635" s="8" t="s">
        <v>0</v>
      </c>
      <c r="D635" s="7" t="s">
        <v>79</v>
      </c>
      <c r="E635" s="9" t="s">
        <v>69</v>
      </c>
      <c r="F635" s="10">
        <v>20</v>
      </c>
      <c r="G635" s="11" t="s">
        <v>21</v>
      </c>
      <c r="H635" s="7" t="s">
        <v>85</v>
      </c>
      <c r="I635" s="11" t="s">
        <v>20</v>
      </c>
      <c r="J635" s="11" t="s">
        <v>105</v>
      </c>
      <c r="K635" s="12">
        <v>37709</v>
      </c>
      <c r="L635" s="12">
        <f>K635*16%</f>
        <v>6033.4400000000005</v>
      </c>
      <c r="M635" s="12">
        <f t="shared" si="24"/>
        <v>31675.559999999998</v>
      </c>
      <c r="N635" s="29">
        <v>10</v>
      </c>
    </row>
    <row r="636" spans="1:14" ht="15.75" customHeight="1" thickTop="1" thickBot="1" x14ac:dyDescent="0.3">
      <c r="A636" s="27" t="s">
        <v>111</v>
      </c>
      <c r="B636" s="25" t="s">
        <v>22</v>
      </c>
      <c r="C636" s="8" t="s">
        <v>0</v>
      </c>
      <c r="D636" s="7" t="s">
        <v>79</v>
      </c>
      <c r="E636" s="9" t="s">
        <v>69</v>
      </c>
      <c r="F636" s="10">
        <v>20</v>
      </c>
      <c r="G636" s="11" t="s">
        <v>23</v>
      </c>
      <c r="H636" s="7" t="s">
        <v>83</v>
      </c>
      <c r="I636" s="11" t="s">
        <v>7</v>
      </c>
      <c r="J636" s="11" t="s">
        <v>80</v>
      </c>
      <c r="K636" s="12">
        <v>5000</v>
      </c>
      <c r="L636" s="12">
        <v>0</v>
      </c>
      <c r="M636" s="12">
        <v>10000</v>
      </c>
      <c r="N636" s="29">
        <v>15</v>
      </c>
    </row>
    <row r="637" spans="1:14" ht="16.5" thickTop="1" thickBot="1" x14ac:dyDescent="0.3">
      <c r="A637" s="27" t="s">
        <v>111</v>
      </c>
      <c r="B637" s="25" t="s">
        <v>11</v>
      </c>
      <c r="C637" s="8" t="s">
        <v>0</v>
      </c>
      <c r="D637" s="7" t="s">
        <v>79</v>
      </c>
      <c r="E637" s="9" t="s">
        <v>69</v>
      </c>
      <c r="F637" s="10">
        <v>5</v>
      </c>
      <c r="G637" s="11" t="s">
        <v>24</v>
      </c>
      <c r="H637" s="7" t="s">
        <v>83</v>
      </c>
      <c r="I637" s="11" t="s">
        <v>7</v>
      </c>
      <c r="J637" s="11" t="s">
        <v>80</v>
      </c>
      <c r="K637" s="12">
        <v>61581.403376595001</v>
      </c>
      <c r="L637" s="12">
        <f>K637*16%</f>
        <v>9853.0245402552009</v>
      </c>
      <c r="M637" s="12">
        <f>K637-L637</f>
        <v>51728.378836339798</v>
      </c>
      <c r="N637" s="29">
        <v>23</v>
      </c>
    </row>
    <row r="638" spans="1:14" ht="16.5" thickTop="1" thickBot="1" x14ac:dyDescent="0.3">
      <c r="A638" s="27" t="s">
        <v>111</v>
      </c>
      <c r="B638" s="25" t="s">
        <v>13</v>
      </c>
      <c r="C638" s="8" t="s">
        <v>0</v>
      </c>
      <c r="D638" s="7" t="s">
        <v>79</v>
      </c>
      <c r="E638" s="9" t="s">
        <v>69</v>
      </c>
      <c r="F638" s="10">
        <v>5</v>
      </c>
      <c r="G638" s="11" t="s">
        <v>24</v>
      </c>
      <c r="H638" s="7" t="s">
        <v>83</v>
      </c>
      <c r="I638" s="11" t="s">
        <v>9</v>
      </c>
      <c r="J638" s="11" t="s">
        <v>80</v>
      </c>
      <c r="K638" s="12">
        <v>12948.9964605</v>
      </c>
      <c r="L638" s="12">
        <f>K638*16%</f>
        <v>2071.8394336800002</v>
      </c>
      <c r="M638" s="12">
        <f>K638-L638</f>
        <v>10877.157026820001</v>
      </c>
      <c r="N638" s="29">
        <v>23</v>
      </c>
    </row>
    <row r="639" spans="1:14" ht="16.5" thickTop="1" thickBot="1" x14ac:dyDescent="0.3">
      <c r="A639" s="27" t="s">
        <v>111</v>
      </c>
      <c r="B639" s="25" t="s">
        <v>10</v>
      </c>
      <c r="C639" s="8" t="s">
        <v>0</v>
      </c>
      <c r="D639" s="7" t="s">
        <v>79</v>
      </c>
      <c r="E639" s="9" t="s">
        <v>69</v>
      </c>
      <c r="F639" s="10">
        <v>5</v>
      </c>
      <c r="G639" s="11" t="s">
        <v>24</v>
      </c>
      <c r="H639" s="7" t="s">
        <v>83</v>
      </c>
      <c r="I639" s="11" t="s">
        <v>96</v>
      </c>
      <c r="J639" s="11" t="s">
        <v>80</v>
      </c>
      <c r="K639" s="12">
        <v>1500</v>
      </c>
      <c r="L639" s="12">
        <f>0</f>
        <v>0</v>
      </c>
      <c r="M639" s="12">
        <f>K639</f>
        <v>1500</v>
      </c>
      <c r="N639" s="29">
        <v>23</v>
      </c>
    </row>
    <row r="640" spans="1:14" ht="16.5" thickTop="1" thickBot="1" x14ac:dyDescent="0.3">
      <c r="A640" s="27" t="s">
        <v>111</v>
      </c>
      <c r="B640" s="25" t="s">
        <v>22</v>
      </c>
      <c r="C640" s="8" t="s">
        <v>25</v>
      </c>
      <c r="D640" s="7" t="s">
        <v>79</v>
      </c>
      <c r="E640" s="9" t="s">
        <v>69</v>
      </c>
      <c r="F640" s="10">
        <v>5</v>
      </c>
      <c r="G640" s="11" t="s">
        <v>26</v>
      </c>
      <c r="H640" s="7" t="s">
        <v>83</v>
      </c>
      <c r="I640" s="11" t="s">
        <v>7</v>
      </c>
      <c r="J640" s="11" t="s">
        <v>80</v>
      </c>
      <c r="K640" s="12">
        <v>19790.640856350001</v>
      </c>
      <c r="L640" s="12">
        <v>0</v>
      </c>
      <c r="M640" s="12">
        <f t="shared" ref="M640:M670" si="25">K640-L640</f>
        <v>19790.640856350001</v>
      </c>
      <c r="N640" s="29">
        <v>28</v>
      </c>
    </row>
    <row r="641" spans="1:14" ht="16.5" thickTop="1" thickBot="1" x14ac:dyDescent="0.3">
      <c r="A641" s="27" t="s">
        <v>111</v>
      </c>
      <c r="B641" s="25" t="s">
        <v>22</v>
      </c>
      <c r="C641" s="8" t="s">
        <v>25</v>
      </c>
      <c r="D641" s="7" t="s">
        <v>79</v>
      </c>
      <c r="E641" s="9" t="s">
        <v>69</v>
      </c>
      <c r="F641" s="10">
        <v>5</v>
      </c>
      <c r="G641" s="11" t="s">
        <v>26</v>
      </c>
      <c r="H641" s="7" t="s">
        <v>83</v>
      </c>
      <c r="I641" s="11" t="s">
        <v>9</v>
      </c>
      <c r="J641" s="11" t="s">
        <v>80</v>
      </c>
      <c r="K641" s="12">
        <v>4336.4128715999996</v>
      </c>
      <c r="L641" s="12">
        <v>0</v>
      </c>
      <c r="M641" s="12">
        <f t="shared" si="25"/>
        <v>4336.4128715999996</v>
      </c>
      <c r="N641" s="29">
        <v>28</v>
      </c>
    </row>
    <row r="642" spans="1:14" ht="16.5" thickTop="1" thickBot="1" x14ac:dyDescent="0.3">
      <c r="A642" s="27" t="s">
        <v>111</v>
      </c>
      <c r="B642" s="25" t="s">
        <v>22</v>
      </c>
      <c r="C642" s="8" t="s">
        <v>25</v>
      </c>
      <c r="D642" s="7" t="s">
        <v>79</v>
      </c>
      <c r="E642" s="9" t="s">
        <v>69</v>
      </c>
      <c r="F642" s="10">
        <v>5</v>
      </c>
      <c r="G642" s="11" t="s">
        <v>27</v>
      </c>
      <c r="H642" s="7" t="s">
        <v>83</v>
      </c>
      <c r="I642" s="11" t="s">
        <v>7</v>
      </c>
      <c r="J642" s="11" t="s">
        <v>80</v>
      </c>
      <c r="K642" s="12">
        <v>19790.640856349997</v>
      </c>
      <c r="L642" s="12">
        <v>0</v>
      </c>
      <c r="M642" s="12">
        <f t="shared" si="25"/>
        <v>19790.640856349997</v>
      </c>
      <c r="N642" s="29">
        <v>28</v>
      </c>
    </row>
    <row r="643" spans="1:14" ht="16.5" thickTop="1" thickBot="1" x14ac:dyDescent="0.3">
      <c r="A643" s="27" t="s">
        <v>111</v>
      </c>
      <c r="B643" s="25" t="s">
        <v>22</v>
      </c>
      <c r="C643" s="8" t="s">
        <v>25</v>
      </c>
      <c r="D643" s="7" t="s">
        <v>79</v>
      </c>
      <c r="E643" s="9" t="s">
        <v>69</v>
      </c>
      <c r="F643" s="10">
        <v>5</v>
      </c>
      <c r="G643" s="11" t="s">
        <v>27</v>
      </c>
      <c r="H643" s="7" t="s">
        <v>83</v>
      </c>
      <c r="I643" s="11" t="s">
        <v>9</v>
      </c>
      <c r="J643" s="11" t="s">
        <v>80</v>
      </c>
      <c r="K643" s="12">
        <v>4336.4128715999996</v>
      </c>
      <c r="L643" s="12">
        <v>0</v>
      </c>
      <c r="M643" s="12">
        <f t="shared" si="25"/>
        <v>4336.4128715999996</v>
      </c>
      <c r="N643" s="29">
        <v>28</v>
      </c>
    </row>
    <row r="644" spans="1:14" ht="16.5" thickTop="1" thickBot="1" x14ac:dyDescent="0.3">
      <c r="A644" s="27" t="s">
        <v>111</v>
      </c>
      <c r="B644" s="25" t="s">
        <v>22</v>
      </c>
      <c r="C644" s="8" t="s">
        <v>25</v>
      </c>
      <c r="D644" s="7" t="s">
        <v>79</v>
      </c>
      <c r="E644" s="9" t="s">
        <v>69</v>
      </c>
      <c r="F644" s="10">
        <v>5</v>
      </c>
      <c r="G644" s="11" t="s">
        <v>27</v>
      </c>
      <c r="H644" s="7" t="s">
        <v>83</v>
      </c>
      <c r="I644" s="11" t="s">
        <v>113</v>
      </c>
      <c r="J644" s="11" t="s">
        <v>80</v>
      </c>
      <c r="K644" s="12">
        <v>1823.589144</v>
      </c>
      <c r="L644" s="12">
        <v>0</v>
      </c>
      <c r="M644" s="12">
        <f t="shared" si="25"/>
        <v>1823.589144</v>
      </c>
      <c r="N644" s="29">
        <v>28</v>
      </c>
    </row>
    <row r="645" spans="1:14" ht="16.5" thickTop="1" thickBot="1" x14ac:dyDescent="0.3">
      <c r="A645" s="27" t="s">
        <v>111</v>
      </c>
      <c r="B645" s="25" t="s">
        <v>13</v>
      </c>
      <c r="C645" s="8" t="s">
        <v>25</v>
      </c>
      <c r="D645" s="7" t="s">
        <v>79</v>
      </c>
      <c r="E645" s="9" t="s">
        <v>69</v>
      </c>
      <c r="F645" s="10">
        <v>20</v>
      </c>
      <c r="G645" s="11" t="s">
        <v>28</v>
      </c>
      <c r="H645" s="7" t="s">
        <v>84</v>
      </c>
      <c r="I645" s="11" t="s">
        <v>9</v>
      </c>
      <c r="J645" s="11" t="s">
        <v>80</v>
      </c>
      <c r="K645" s="12">
        <v>4035.7539000000002</v>
      </c>
      <c r="L645" s="12">
        <f>K645*16%</f>
        <v>645.72062400000004</v>
      </c>
      <c r="M645" s="12">
        <f t="shared" si="25"/>
        <v>3390.0332760000001</v>
      </c>
      <c r="N645" s="29">
        <v>10</v>
      </c>
    </row>
    <row r="646" spans="1:14" ht="16.5" thickTop="1" thickBot="1" x14ac:dyDescent="0.3">
      <c r="A646" s="27" t="s">
        <v>111</v>
      </c>
      <c r="B646" s="25" t="s">
        <v>11</v>
      </c>
      <c r="C646" s="8" t="s">
        <v>25</v>
      </c>
      <c r="D646" s="7" t="s">
        <v>79</v>
      </c>
      <c r="E646" s="9" t="s">
        <v>69</v>
      </c>
      <c r="F646" s="10">
        <v>20</v>
      </c>
      <c r="G646" s="11" t="s">
        <v>29</v>
      </c>
      <c r="H646" s="7" t="s">
        <v>83</v>
      </c>
      <c r="I646" s="11" t="s">
        <v>30</v>
      </c>
      <c r="J646" s="11" t="s">
        <v>80</v>
      </c>
      <c r="K646" s="12">
        <v>500</v>
      </c>
      <c r="L646" s="12">
        <f>K646*5%</f>
        <v>25</v>
      </c>
      <c r="M646" s="12">
        <f t="shared" si="25"/>
        <v>475</v>
      </c>
      <c r="N646" s="29">
        <v>10</v>
      </c>
    </row>
    <row r="647" spans="1:14" ht="16.5" thickTop="1" thickBot="1" x14ac:dyDescent="0.3">
      <c r="A647" s="27" t="s">
        <v>111</v>
      </c>
      <c r="B647" s="25" t="s">
        <v>22</v>
      </c>
      <c r="C647" s="8" t="s">
        <v>25</v>
      </c>
      <c r="D647" s="7" t="s">
        <v>79</v>
      </c>
      <c r="E647" s="9" t="s">
        <v>69</v>
      </c>
      <c r="F647" s="10">
        <v>20</v>
      </c>
      <c r="G647" s="11" t="s">
        <v>29</v>
      </c>
      <c r="H647" s="7" t="s">
        <v>83</v>
      </c>
      <c r="I647" s="11" t="s">
        <v>9</v>
      </c>
      <c r="J647" s="11" t="s">
        <v>80</v>
      </c>
      <c r="K647" s="12">
        <v>3379.6440000000002</v>
      </c>
      <c r="L647" s="12">
        <v>0</v>
      </c>
      <c r="M647" s="12">
        <f t="shared" si="25"/>
        <v>3379.6440000000002</v>
      </c>
      <c r="N647" s="29">
        <v>10</v>
      </c>
    </row>
    <row r="648" spans="1:14" ht="16.5" thickTop="1" thickBot="1" x14ac:dyDescent="0.3">
      <c r="A648" s="27" t="s">
        <v>111</v>
      </c>
      <c r="B648" s="25" t="s">
        <v>22</v>
      </c>
      <c r="C648" s="8" t="s">
        <v>25</v>
      </c>
      <c r="D648" s="7" t="s">
        <v>79</v>
      </c>
      <c r="E648" s="9" t="s">
        <v>69</v>
      </c>
      <c r="F648" s="10">
        <v>20</v>
      </c>
      <c r="G648" s="13" t="s">
        <v>31</v>
      </c>
      <c r="H648" s="7" t="s">
        <v>83</v>
      </c>
      <c r="I648" s="11" t="s">
        <v>7</v>
      </c>
      <c r="J648" s="11" t="s">
        <v>80</v>
      </c>
      <c r="K648" s="12">
        <v>17800</v>
      </c>
      <c r="L648" s="12">
        <v>0</v>
      </c>
      <c r="M648" s="12">
        <f t="shared" si="25"/>
        <v>17800</v>
      </c>
      <c r="N648" s="29">
        <v>30</v>
      </c>
    </row>
    <row r="649" spans="1:14" ht="16.5" thickTop="1" thickBot="1" x14ac:dyDescent="0.3">
      <c r="A649" s="27" t="s">
        <v>111</v>
      </c>
      <c r="B649" s="25" t="s">
        <v>5</v>
      </c>
      <c r="C649" s="8" t="s">
        <v>25</v>
      </c>
      <c r="D649" s="7" t="s">
        <v>79</v>
      </c>
      <c r="E649" s="9" t="s">
        <v>69</v>
      </c>
      <c r="F649" s="10">
        <v>20</v>
      </c>
      <c r="G649" s="11" t="s">
        <v>32</v>
      </c>
      <c r="H649" s="7" t="s">
        <v>83</v>
      </c>
      <c r="I649" s="11" t="s">
        <v>7</v>
      </c>
      <c r="J649" s="11" t="s">
        <v>80</v>
      </c>
      <c r="K649" s="12">
        <v>20160.015344324998</v>
      </c>
      <c r="L649" s="12">
        <f>K649*5%</f>
        <v>1008.00076721625</v>
      </c>
      <c r="M649" s="12">
        <f t="shared" si="25"/>
        <v>19152.014577108748</v>
      </c>
      <c r="N649" s="29">
        <v>10</v>
      </c>
    </row>
    <row r="650" spans="1:14" ht="16.5" thickTop="1" thickBot="1" x14ac:dyDescent="0.3">
      <c r="A650" s="27" t="s">
        <v>111</v>
      </c>
      <c r="B650" s="25" t="s">
        <v>5</v>
      </c>
      <c r="C650" s="8" t="s">
        <v>25</v>
      </c>
      <c r="D650" s="7" t="s">
        <v>79</v>
      </c>
      <c r="E650" s="9" t="s">
        <v>69</v>
      </c>
      <c r="F650" s="10">
        <v>20</v>
      </c>
      <c r="G650" s="11" t="s">
        <v>32</v>
      </c>
      <c r="H650" s="7" t="s">
        <v>83</v>
      </c>
      <c r="I650" s="11" t="s">
        <v>97</v>
      </c>
      <c r="J650" s="11" t="s">
        <v>80</v>
      </c>
      <c r="K650" s="12">
        <v>10053.314351999999</v>
      </c>
      <c r="L650" s="12">
        <f>K650*5%</f>
        <v>502.66571759999999</v>
      </c>
      <c r="M650" s="12">
        <f t="shared" si="25"/>
        <v>9550.6486343999986</v>
      </c>
      <c r="N650" s="29">
        <v>10</v>
      </c>
    </row>
    <row r="651" spans="1:14" ht="16.5" thickTop="1" thickBot="1" x14ac:dyDescent="0.3">
      <c r="A651" s="27" t="s">
        <v>111</v>
      </c>
      <c r="B651" s="25" t="s">
        <v>11</v>
      </c>
      <c r="C651" s="8" t="s">
        <v>25</v>
      </c>
      <c r="D651" s="7" t="s">
        <v>79</v>
      </c>
      <c r="E651" s="9" t="s">
        <v>69</v>
      </c>
      <c r="F651" s="10">
        <v>20</v>
      </c>
      <c r="G651" s="11" t="s">
        <v>32</v>
      </c>
      <c r="H651" s="7" t="s">
        <v>83</v>
      </c>
      <c r="I651" s="11" t="s">
        <v>30</v>
      </c>
      <c r="J651" s="11" t="s">
        <v>80</v>
      </c>
      <c r="K651" s="12">
        <v>200</v>
      </c>
      <c r="L651" s="12">
        <f>K651*5%</f>
        <v>10</v>
      </c>
      <c r="M651" s="12">
        <f t="shared" si="25"/>
        <v>190</v>
      </c>
      <c r="N651" s="29">
        <v>10</v>
      </c>
    </row>
    <row r="652" spans="1:14" ht="16.5" thickTop="1" thickBot="1" x14ac:dyDescent="0.3">
      <c r="A652" s="27" t="s">
        <v>111</v>
      </c>
      <c r="B652" s="25" t="s">
        <v>5</v>
      </c>
      <c r="C652" s="8" t="s">
        <v>25</v>
      </c>
      <c r="D652" s="7" t="s">
        <v>79</v>
      </c>
      <c r="E652" s="9" t="s">
        <v>69</v>
      </c>
      <c r="F652" s="10">
        <v>20</v>
      </c>
      <c r="G652" s="11" t="s">
        <v>32</v>
      </c>
      <c r="H652" s="7" t="s">
        <v>83</v>
      </c>
      <c r="I652" s="11" t="s">
        <v>7</v>
      </c>
      <c r="J652" s="11" t="s">
        <v>80</v>
      </c>
      <c r="K652" s="12">
        <v>10106.5959</v>
      </c>
      <c r="L652" s="12">
        <f>K652*5%</f>
        <v>505.32979500000005</v>
      </c>
      <c r="M652" s="12">
        <f t="shared" si="25"/>
        <v>9601.2661050000006</v>
      </c>
      <c r="N652" s="29">
        <v>10</v>
      </c>
    </row>
    <row r="653" spans="1:14" ht="16.5" thickTop="1" thickBot="1" x14ac:dyDescent="0.3">
      <c r="A653" s="27" t="s">
        <v>111</v>
      </c>
      <c r="B653" s="25" t="s">
        <v>5</v>
      </c>
      <c r="C653" s="8" t="s">
        <v>25</v>
      </c>
      <c r="D653" s="7" t="s">
        <v>79</v>
      </c>
      <c r="E653" s="9" t="s">
        <v>69</v>
      </c>
      <c r="F653" s="10">
        <v>20</v>
      </c>
      <c r="G653" s="11" t="s">
        <v>32</v>
      </c>
      <c r="H653" s="7" t="s">
        <v>83</v>
      </c>
      <c r="I653" s="11" t="s">
        <v>98</v>
      </c>
      <c r="J653" s="11" t="s">
        <v>80</v>
      </c>
      <c r="K653" s="12">
        <v>12935</v>
      </c>
      <c r="L653" s="12">
        <f>K653*5%</f>
        <v>646.75</v>
      </c>
      <c r="M653" s="12">
        <f>K653-L653</f>
        <v>12288.25</v>
      </c>
      <c r="N653" s="29">
        <v>10</v>
      </c>
    </row>
    <row r="654" spans="1:14" ht="16.5" thickTop="1" thickBot="1" x14ac:dyDescent="0.3">
      <c r="A654" s="27" t="s">
        <v>111</v>
      </c>
      <c r="B654" s="25" t="s">
        <v>10</v>
      </c>
      <c r="C654" s="8" t="s">
        <v>25</v>
      </c>
      <c r="D654" s="7" t="s">
        <v>79</v>
      </c>
      <c r="E654" s="9" t="s">
        <v>69</v>
      </c>
      <c r="F654" s="10">
        <v>20</v>
      </c>
      <c r="G654" s="11" t="s">
        <v>32</v>
      </c>
      <c r="H654" s="7" t="s">
        <v>83</v>
      </c>
      <c r="I654" s="11" t="s">
        <v>96</v>
      </c>
      <c r="J654" s="11" t="s">
        <v>80</v>
      </c>
      <c r="K654" s="12">
        <v>2000</v>
      </c>
      <c r="L654" s="12">
        <f>0</f>
        <v>0</v>
      </c>
      <c r="M654" s="12">
        <f t="shared" si="25"/>
        <v>2000</v>
      </c>
      <c r="N654" s="29">
        <v>10</v>
      </c>
    </row>
    <row r="655" spans="1:14" ht="16.5" thickTop="1" thickBot="1" x14ac:dyDescent="0.3">
      <c r="A655" s="27" t="s">
        <v>111</v>
      </c>
      <c r="B655" s="25" t="s">
        <v>11</v>
      </c>
      <c r="C655" s="8" t="s">
        <v>25</v>
      </c>
      <c r="D655" s="7" t="s">
        <v>79</v>
      </c>
      <c r="E655" s="9" t="s">
        <v>69</v>
      </c>
      <c r="F655" s="10">
        <v>15</v>
      </c>
      <c r="G655" s="11" t="s">
        <v>33</v>
      </c>
      <c r="H655" s="7" t="s">
        <v>83</v>
      </c>
      <c r="I655" s="11" t="s">
        <v>7</v>
      </c>
      <c r="J655" s="11" t="s">
        <v>80</v>
      </c>
      <c r="K655" s="12">
        <v>20389.18</v>
      </c>
      <c r="L655" s="12">
        <f>K655*16%</f>
        <v>3262.2688000000003</v>
      </c>
      <c r="M655" s="12">
        <f t="shared" si="25"/>
        <v>17126.911199999999</v>
      </c>
      <c r="N655" s="29">
        <v>30</v>
      </c>
    </row>
    <row r="656" spans="1:14" ht="16.5" thickTop="1" thickBot="1" x14ac:dyDescent="0.3">
      <c r="A656" s="27" t="s">
        <v>111</v>
      </c>
      <c r="B656" s="25" t="s">
        <v>22</v>
      </c>
      <c r="C656" s="8" t="s">
        <v>25</v>
      </c>
      <c r="D656" s="7" t="s">
        <v>79</v>
      </c>
      <c r="E656" s="9" t="s">
        <v>69</v>
      </c>
      <c r="F656" s="10">
        <v>15</v>
      </c>
      <c r="G656" s="11" t="s">
        <v>120</v>
      </c>
      <c r="H656" s="7" t="s">
        <v>83</v>
      </c>
      <c r="I656" s="11" t="s">
        <v>9</v>
      </c>
      <c r="J656" s="11" t="s">
        <v>80</v>
      </c>
      <c r="K656" s="12">
        <v>3879.37</v>
      </c>
      <c r="L656" s="12">
        <v>0</v>
      </c>
      <c r="M656" s="12">
        <f>K656-L656</f>
        <v>3879.37</v>
      </c>
      <c r="N656" s="29">
        <v>30</v>
      </c>
    </row>
    <row r="657" spans="1:14" ht="16.5" thickTop="1" thickBot="1" x14ac:dyDescent="0.3">
      <c r="A657" s="27" t="s">
        <v>111</v>
      </c>
      <c r="B657" s="25" t="s">
        <v>22</v>
      </c>
      <c r="C657" s="8" t="s">
        <v>25</v>
      </c>
      <c r="D657" s="7" t="s">
        <v>79</v>
      </c>
      <c r="E657" s="9" t="s">
        <v>69</v>
      </c>
      <c r="F657" s="10">
        <v>15</v>
      </c>
      <c r="G657" s="11" t="s">
        <v>33</v>
      </c>
      <c r="H657" s="7" t="s">
        <v>83</v>
      </c>
      <c r="I657" s="11" t="s">
        <v>9</v>
      </c>
      <c r="J657" s="11" t="s">
        <v>80</v>
      </c>
      <c r="K657" s="12">
        <v>7758.74</v>
      </c>
      <c r="L657" s="12">
        <v>0</v>
      </c>
      <c r="M657" s="12">
        <f t="shared" si="25"/>
        <v>7758.74</v>
      </c>
      <c r="N657" s="29">
        <v>30</v>
      </c>
    </row>
    <row r="658" spans="1:14" ht="16.5" thickTop="1" thickBot="1" x14ac:dyDescent="0.3">
      <c r="A658" s="27" t="s">
        <v>111</v>
      </c>
      <c r="B658" s="25" t="s">
        <v>11</v>
      </c>
      <c r="C658" s="8" t="s">
        <v>25</v>
      </c>
      <c r="D658" s="7" t="s">
        <v>79</v>
      </c>
      <c r="E658" s="9" t="s">
        <v>69</v>
      </c>
      <c r="F658" s="10">
        <v>15</v>
      </c>
      <c r="G658" s="11" t="s">
        <v>33</v>
      </c>
      <c r="H658" s="7" t="s">
        <v>83</v>
      </c>
      <c r="I658" s="11" t="s">
        <v>30</v>
      </c>
      <c r="J658" s="11" t="s">
        <v>80</v>
      </c>
      <c r="K658" s="12">
        <v>200</v>
      </c>
      <c r="L658" s="12">
        <f>K658*5%</f>
        <v>10</v>
      </c>
      <c r="M658" s="12">
        <f t="shared" si="25"/>
        <v>190</v>
      </c>
      <c r="N658" s="29">
        <v>30</v>
      </c>
    </row>
    <row r="659" spans="1:14" ht="16.5" thickTop="1" thickBot="1" x14ac:dyDescent="0.3">
      <c r="A659" s="27" t="s">
        <v>111</v>
      </c>
      <c r="B659" s="25" t="s">
        <v>22</v>
      </c>
      <c r="C659" s="8" t="s">
        <v>60</v>
      </c>
      <c r="D659" s="7" t="s">
        <v>79</v>
      </c>
      <c r="E659" s="9" t="s">
        <v>69</v>
      </c>
      <c r="F659" s="10">
        <v>1</v>
      </c>
      <c r="G659" s="11" t="s">
        <v>34</v>
      </c>
      <c r="H659" s="7" t="s">
        <v>87</v>
      </c>
      <c r="I659" s="11" t="s">
        <v>20</v>
      </c>
      <c r="J659" s="11" t="s">
        <v>105</v>
      </c>
      <c r="K659" s="12">
        <v>36969.404166</v>
      </c>
      <c r="L659" s="12">
        <v>0</v>
      </c>
      <c r="M659" s="12">
        <f t="shared" si="25"/>
        <v>36969.404166</v>
      </c>
      <c r="N659" s="29">
        <v>30</v>
      </c>
    </row>
    <row r="660" spans="1:14" ht="16.5" thickTop="1" thickBot="1" x14ac:dyDescent="0.3">
      <c r="A660" s="27" t="s">
        <v>111</v>
      </c>
      <c r="B660" s="25" t="s">
        <v>22</v>
      </c>
      <c r="C660" s="8" t="s">
        <v>60</v>
      </c>
      <c r="D660" s="7" t="s">
        <v>79</v>
      </c>
      <c r="E660" s="9" t="s">
        <v>69</v>
      </c>
      <c r="F660" s="10">
        <v>1</v>
      </c>
      <c r="G660" s="11" t="s">
        <v>34</v>
      </c>
      <c r="H660" s="7" t="s">
        <v>87</v>
      </c>
      <c r="I660" s="11" t="s">
        <v>9</v>
      </c>
      <c r="J660" s="11" t="s">
        <v>105</v>
      </c>
      <c r="K660" s="12">
        <v>30185.123490000002</v>
      </c>
      <c r="L660" s="12">
        <v>0</v>
      </c>
      <c r="M660" s="12">
        <f t="shared" si="25"/>
        <v>30185.123490000002</v>
      </c>
      <c r="N660" s="29">
        <v>30</v>
      </c>
    </row>
    <row r="661" spans="1:14" ht="16.5" thickTop="1" thickBot="1" x14ac:dyDescent="0.3">
      <c r="A661" s="27" t="s">
        <v>111</v>
      </c>
      <c r="B661" s="25" t="s">
        <v>22</v>
      </c>
      <c r="C661" s="8" t="s">
        <v>60</v>
      </c>
      <c r="D661" s="7" t="s">
        <v>79</v>
      </c>
      <c r="E661" s="9" t="s">
        <v>69</v>
      </c>
      <c r="F661" s="10">
        <v>1</v>
      </c>
      <c r="G661" s="11" t="s">
        <v>35</v>
      </c>
      <c r="H661" s="7" t="s">
        <v>83</v>
      </c>
      <c r="I661" s="11" t="s">
        <v>9</v>
      </c>
      <c r="J661" s="11" t="s">
        <v>105</v>
      </c>
      <c r="K661" s="12">
        <v>21581.665982999999</v>
      </c>
      <c r="L661" s="12">
        <v>0</v>
      </c>
      <c r="M661" s="12">
        <f t="shared" si="25"/>
        <v>21581.665982999999</v>
      </c>
      <c r="N661" s="29">
        <v>30</v>
      </c>
    </row>
    <row r="662" spans="1:14" ht="16.5" thickTop="1" thickBot="1" x14ac:dyDescent="0.3">
      <c r="A662" s="27" t="s">
        <v>111</v>
      </c>
      <c r="B662" s="25" t="s">
        <v>22</v>
      </c>
      <c r="C662" s="8" t="s">
        <v>60</v>
      </c>
      <c r="D662" s="7" t="s">
        <v>79</v>
      </c>
      <c r="E662" s="9" t="s">
        <v>69</v>
      </c>
      <c r="F662" s="10">
        <v>1</v>
      </c>
      <c r="G662" s="11" t="s">
        <v>36</v>
      </c>
      <c r="H662" s="7" t="s">
        <v>89</v>
      </c>
      <c r="I662" s="11" t="s">
        <v>20</v>
      </c>
      <c r="J662" s="11" t="s">
        <v>105</v>
      </c>
      <c r="K662" s="12">
        <v>36969.404166</v>
      </c>
      <c r="L662" s="12">
        <v>0</v>
      </c>
      <c r="M662" s="12">
        <f t="shared" si="25"/>
        <v>36969.404166</v>
      </c>
      <c r="N662" s="29">
        <v>30</v>
      </c>
    </row>
    <row r="663" spans="1:14" ht="16.5" thickTop="1" thickBot="1" x14ac:dyDescent="0.3">
      <c r="A663" s="27" t="s">
        <v>111</v>
      </c>
      <c r="B663" s="25" t="s">
        <v>22</v>
      </c>
      <c r="C663" s="8" t="s">
        <v>60</v>
      </c>
      <c r="D663" s="7" t="s">
        <v>79</v>
      </c>
      <c r="E663" s="9" t="s">
        <v>69</v>
      </c>
      <c r="F663" s="10">
        <v>1</v>
      </c>
      <c r="G663" s="11" t="s">
        <v>36</v>
      </c>
      <c r="H663" s="7" t="s">
        <v>89</v>
      </c>
      <c r="I663" s="11" t="s">
        <v>9</v>
      </c>
      <c r="J663" s="11" t="s">
        <v>105</v>
      </c>
      <c r="K663" s="12">
        <v>30185.123490000002</v>
      </c>
      <c r="L663" s="12">
        <v>0</v>
      </c>
      <c r="M663" s="12">
        <f t="shared" si="25"/>
        <v>30185.123490000002</v>
      </c>
      <c r="N663" s="29">
        <v>30</v>
      </c>
    </row>
    <row r="664" spans="1:14" ht="16.5" thickTop="1" thickBot="1" x14ac:dyDescent="0.3">
      <c r="A664" s="27" t="s">
        <v>111</v>
      </c>
      <c r="B664" s="25" t="s">
        <v>22</v>
      </c>
      <c r="C664" s="8" t="s">
        <v>60</v>
      </c>
      <c r="D664" s="7" t="s">
        <v>79</v>
      </c>
      <c r="E664" s="9" t="s">
        <v>69</v>
      </c>
      <c r="F664" s="10">
        <v>1</v>
      </c>
      <c r="G664" s="11" t="s">
        <v>37</v>
      </c>
      <c r="H664" s="7" t="s">
        <v>85</v>
      </c>
      <c r="I664" s="11" t="s">
        <v>9</v>
      </c>
      <c r="J664" s="11" t="s">
        <v>105</v>
      </c>
      <c r="K664" s="12">
        <v>12949.001676</v>
      </c>
      <c r="L664" s="12">
        <v>0</v>
      </c>
      <c r="M664" s="12">
        <f t="shared" si="25"/>
        <v>12949.001676</v>
      </c>
      <c r="N664" s="29">
        <v>30</v>
      </c>
    </row>
    <row r="665" spans="1:14" ht="16.5" thickTop="1" thickBot="1" x14ac:dyDescent="0.3">
      <c r="A665" s="27" t="s">
        <v>111</v>
      </c>
      <c r="B665" s="25" t="s">
        <v>22</v>
      </c>
      <c r="C665" s="8" t="s">
        <v>60</v>
      </c>
      <c r="D665" s="7" t="s">
        <v>79</v>
      </c>
      <c r="E665" s="9" t="s">
        <v>69</v>
      </c>
      <c r="F665" s="10">
        <v>1</v>
      </c>
      <c r="G665" s="11" t="s">
        <v>93</v>
      </c>
      <c r="H665" s="7" t="s">
        <v>85</v>
      </c>
      <c r="I665" s="11" t="s">
        <v>9</v>
      </c>
      <c r="J665" s="11" t="s">
        <v>105</v>
      </c>
      <c r="K665" s="12">
        <v>17265.328613999998</v>
      </c>
      <c r="L665" s="12">
        <v>0</v>
      </c>
      <c r="M665" s="12">
        <f t="shared" si="25"/>
        <v>17265.328613999998</v>
      </c>
      <c r="N665" s="29">
        <v>30</v>
      </c>
    </row>
    <row r="666" spans="1:14" ht="16.5" thickTop="1" thickBot="1" x14ac:dyDescent="0.3">
      <c r="A666" s="27" t="s">
        <v>111</v>
      </c>
      <c r="B666" s="25" t="s">
        <v>22</v>
      </c>
      <c r="C666" s="8" t="s">
        <v>60</v>
      </c>
      <c r="D666" s="7" t="s">
        <v>79</v>
      </c>
      <c r="E666" s="9" t="s">
        <v>69</v>
      </c>
      <c r="F666" s="10">
        <v>1</v>
      </c>
      <c r="G666" s="11" t="s">
        <v>38</v>
      </c>
      <c r="H666" s="7" t="s">
        <v>85</v>
      </c>
      <c r="I666" s="11" t="s">
        <v>9</v>
      </c>
      <c r="J666" s="11" t="s">
        <v>105</v>
      </c>
      <c r="K666" s="12">
        <v>8632.6643069999991</v>
      </c>
      <c r="L666" s="12">
        <v>0</v>
      </c>
      <c r="M666" s="12">
        <f t="shared" si="25"/>
        <v>8632.6643069999991</v>
      </c>
      <c r="N666" s="29">
        <v>30</v>
      </c>
    </row>
    <row r="667" spans="1:14" ht="16.5" thickTop="1" thickBot="1" x14ac:dyDescent="0.3">
      <c r="A667" s="27" t="s">
        <v>111</v>
      </c>
      <c r="B667" s="25" t="s">
        <v>11</v>
      </c>
      <c r="C667" s="8" t="s">
        <v>60</v>
      </c>
      <c r="D667" s="7" t="s">
        <v>79</v>
      </c>
      <c r="E667" s="9" t="s">
        <v>69</v>
      </c>
      <c r="F667" s="10">
        <v>20</v>
      </c>
      <c r="G667" s="11" t="s">
        <v>119</v>
      </c>
      <c r="H667" s="7" t="s">
        <v>85</v>
      </c>
      <c r="I667" s="11" t="s">
        <v>7</v>
      </c>
      <c r="J667" s="11" t="s">
        <v>103</v>
      </c>
      <c r="K667" s="12">
        <v>17200</v>
      </c>
      <c r="L667" s="12">
        <f>K667*16%</f>
        <v>2752</v>
      </c>
      <c r="M667" s="12">
        <f t="shared" si="25"/>
        <v>14448</v>
      </c>
      <c r="N667" s="29">
        <v>20</v>
      </c>
    </row>
    <row r="668" spans="1:14" ht="16.5" thickTop="1" thickBot="1" x14ac:dyDescent="0.3">
      <c r="A668" s="27" t="s">
        <v>111</v>
      </c>
      <c r="B668" s="25" t="s">
        <v>13</v>
      </c>
      <c r="C668" s="8" t="s">
        <v>60</v>
      </c>
      <c r="D668" s="7" t="s">
        <v>79</v>
      </c>
      <c r="E668" s="9" t="s">
        <v>69</v>
      </c>
      <c r="F668" s="10">
        <v>20</v>
      </c>
      <c r="G668" s="11" t="s">
        <v>119</v>
      </c>
      <c r="H668" s="7" t="s">
        <v>85</v>
      </c>
      <c r="I668" s="11" t="s">
        <v>9</v>
      </c>
      <c r="J668" s="11" t="s">
        <v>103</v>
      </c>
      <c r="K668" s="12">
        <v>7800</v>
      </c>
      <c r="L668" s="12">
        <f>K668*16%</f>
        <v>1248</v>
      </c>
      <c r="M668" s="12">
        <f t="shared" si="25"/>
        <v>6552</v>
      </c>
      <c r="N668" s="29">
        <v>20</v>
      </c>
    </row>
    <row r="669" spans="1:14" ht="16.5" thickTop="1" thickBot="1" x14ac:dyDescent="0.3">
      <c r="A669" s="27" t="s">
        <v>111</v>
      </c>
      <c r="B669" s="25" t="s">
        <v>13</v>
      </c>
      <c r="C669" s="8" t="s">
        <v>60</v>
      </c>
      <c r="D669" s="7" t="s">
        <v>79</v>
      </c>
      <c r="E669" s="9" t="s">
        <v>69</v>
      </c>
      <c r="F669" s="10">
        <v>20</v>
      </c>
      <c r="G669" s="11" t="s">
        <v>119</v>
      </c>
      <c r="H669" s="7" t="s">
        <v>85</v>
      </c>
      <c r="I669" s="11" t="s">
        <v>15</v>
      </c>
      <c r="J669" s="11" t="s">
        <v>103</v>
      </c>
      <c r="K669" s="12">
        <v>4590</v>
      </c>
      <c r="L669" s="12">
        <f>K669*16%</f>
        <v>734.4</v>
      </c>
      <c r="M669" s="12">
        <f t="shared" si="25"/>
        <v>3855.6</v>
      </c>
      <c r="N669" s="29">
        <v>20</v>
      </c>
    </row>
    <row r="670" spans="1:14" ht="16.5" thickTop="1" thickBot="1" x14ac:dyDescent="0.3">
      <c r="A670" s="27" t="s">
        <v>111</v>
      </c>
      <c r="B670" s="25" t="s">
        <v>10</v>
      </c>
      <c r="C670" s="8" t="s">
        <v>60</v>
      </c>
      <c r="D670" s="7" t="s">
        <v>79</v>
      </c>
      <c r="E670" s="9" t="s">
        <v>69</v>
      </c>
      <c r="F670" s="10">
        <v>20</v>
      </c>
      <c r="G670" s="11" t="s">
        <v>119</v>
      </c>
      <c r="H670" s="7" t="s">
        <v>85</v>
      </c>
      <c r="I670" s="11" t="s">
        <v>96</v>
      </c>
      <c r="J670" s="11" t="s">
        <v>103</v>
      </c>
      <c r="K670" s="12">
        <v>1785.7</v>
      </c>
      <c r="L670" s="12">
        <v>0</v>
      </c>
      <c r="M670" s="12">
        <f t="shared" si="25"/>
        <v>1785.7</v>
      </c>
      <c r="N670" s="29">
        <v>20</v>
      </c>
    </row>
    <row r="671" spans="1:14" ht="16.5" thickTop="1" thickBot="1" x14ac:dyDescent="0.3">
      <c r="A671" s="27" t="s">
        <v>111</v>
      </c>
      <c r="B671" s="25" t="s">
        <v>11</v>
      </c>
      <c r="C671" s="8" t="s">
        <v>60</v>
      </c>
      <c r="D671" s="7" t="s">
        <v>79</v>
      </c>
      <c r="E671" s="9" t="s">
        <v>69</v>
      </c>
      <c r="F671" s="10">
        <v>20</v>
      </c>
      <c r="G671" s="11" t="s">
        <v>94</v>
      </c>
      <c r="H671" s="7" t="s">
        <v>86</v>
      </c>
      <c r="I671" s="11" t="s">
        <v>7</v>
      </c>
      <c r="J671" s="11" t="s">
        <v>103</v>
      </c>
      <c r="K671" s="12">
        <v>24767</v>
      </c>
      <c r="L671" s="12">
        <f>K671*16%</f>
        <v>3962.7200000000003</v>
      </c>
      <c r="M671" s="12">
        <f>K671-L671</f>
        <v>20804.28</v>
      </c>
      <c r="N671" s="29">
        <v>20</v>
      </c>
    </row>
    <row r="672" spans="1:14" ht="16.5" thickTop="1" thickBot="1" x14ac:dyDescent="0.3">
      <c r="A672" s="27"/>
      <c r="B672" s="25" t="s">
        <v>13</v>
      </c>
      <c r="C672" s="8" t="s">
        <v>60</v>
      </c>
      <c r="D672" s="7" t="s">
        <v>79</v>
      </c>
      <c r="E672" s="9" t="s">
        <v>68</v>
      </c>
      <c r="F672" s="10">
        <v>20</v>
      </c>
      <c r="G672" s="11" t="s">
        <v>94</v>
      </c>
      <c r="H672" s="7" t="s">
        <v>86</v>
      </c>
      <c r="I672" s="11" t="s">
        <v>15</v>
      </c>
      <c r="J672" s="11" t="s">
        <v>103</v>
      </c>
      <c r="K672" s="49">
        <v>6580</v>
      </c>
      <c r="L672" s="12">
        <v>723.8</v>
      </c>
      <c r="M672" s="49">
        <f>K672-L672</f>
        <v>5856.2</v>
      </c>
      <c r="N672" s="29">
        <v>20</v>
      </c>
    </row>
    <row r="673" spans="1:14" ht="16.5" thickTop="1" thickBot="1" x14ac:dyDescent="0.3">
      <c r="A673" s="27" t="s">
        <v>111</v>
      </c>
      <c r="B673" s="25" t="s">
        <v>13</v>
      </c>
      <c r="C673" s="8" t="s">
        <v>60</v>
      </c>
      <c r="D673" s="7" t="s">
        <v>79</v>
      </c>
      <c r="E673" s="9" t="s">
        <v>69</v>
      </c>
      <c r="F673" s="10">
        <v>20</v>
      </c>
      <c r="G673" s="11" t="s">
        <v>94</v>
      </c>
      <c r="H673" s="7" t="s">
        <v>86</v>
      </c>
      <c r="I673" s="11" t="s">
        <v>9</v>
      </c>
      <c r="J673" s="11" t="s">
        <v>103</v>
      </c>
      <c r="K673" s="12">
        <v>15476</v>
      </c>
      <c r="L673" s="12">
        <f>K673*16%</f>
        <v>2476.16</v>
      </c>
      <c r="M673" s="12">
        <f t="shared" ref="M673:M703" si="26">K673-L673</f>
        <v>12999.84</v>
      </c>
      <c r="N673" s="29">
        <v>20</v>
      </c>
    </row>
    <row r="674" spans="1:14" ht="15.75" customHeight="1" thickTop="1" thickBot="1" x14ac:dyDescent="0.3">
      <c r="A674" s="27" t="s">
        <v>111</v>
      </c>
      <c r="B674" s="25" t="s">
        <v>22</v>
      </c>
      <c r="C674" s="8" t="s">
        <v>61</v>
      </c>
      <c r="D674" s="7" t="s">
        <v>79</v>
      </c>
      <c r="E674" s="9" t="s">
        <v>69</v>
      </c>
      <c r="F674" s="10">
        <v>20</v>
      </c>
      <c r="G674" s="13" t="s">
        <v>39</v>
      </c>
      <c r="H674" s="7" t="s">
        <v>83</v>
      </c>
      <c r="I674" s="11" t="s">
        <v>7</v>
      </c>
      <c r="J674" s="11" t="s">
        <v>80</v>
      </c>
      <c r="K674" s="12">
        <v>18709.103873069998</v>
      </c>
      <c r="L674" s="12">
        <v>0</v>
      </c>
      <c r="M674" s="12">
        <f t="shared" si="26"/>
        <v>18709.103873069998</v>
      </c>
      <c r="N674" s="29">
        <v>17</v>
      </c>
    </row>
    <row r="675" spans="1:14" ht="15.75" customHeight="1" thickTop="1" thickBot="1" x14ac:dyDescent="0.3">
      <c r="A675" s="27" t="s">
        <v>111</v>
      </c>
      <c r="B675" s="25" t="s">
        <v>11</v>
      </c>
      <c r="C675" s="8" t="s">
        <v>61</v>
      </c>
      <c r="D675" s="7" t="s">
        <v>79</v>
      </c>
      <c r="E675" s="9" t="s">
        <v>69</v>
      </c>
      <c r="F675" s="10">
        <v>20</v>
      </c>
      <c r="G675" s="13" t="s">
        <v>40</v>
      </c>
      <c r="H675" s="7" t="s">
        <v>83</v>
      </c>
      <c r="I675" s="14" t="s">
        <v>30</v>
      </c>
      <c r="J675" s="14" t="s">
        <v>107</v>
      </c>
      <c r="K675" s="12">
        <v>200</v>
      </c>
      <c r="L675" s="12">
        <f t="shared" ref="L675:L680" si="27">K675*5%</f>
        <v>10</v>
      </c>
      <c r="M675" s="12">
        <f t="shared" si="26"/>
        <v>190</v>
      </c>
      <c r="N675" s="29">
        <v>10</v>
      </c>
    </row>
    <row r="676" spans="1:14" ht="16.5" thickTop="1" thickBot="1" x14ac:dyDescent="0.3">
      <c r="A676" s="27" t="s">
        <v>111</v>
      </c>
      <c r="B676" s="25" t="s">
        <v>11</v>
      </c>
      <c r="C676" s="8" t="s">
        <v>61</v>
      </c>
      <c r="D676" s="7" t="s">
        <v>79</v>
      </c>
      <c r="E676" s="9" t="s">
        <v>69</v>
      </c>
      <c r="F676" s="10">
        <v>20</v>
      </c>
      <c r="G676" s="13" t="s">
        <v>41</v>
      </c>
      <c r="H676" s="7" t="s">
        <v>83</v>
      </c>
      <c r="I676" s="14" t="s">
        <v>30</v>
      </c>
      <c r="J676" s="11" t="s">
        <v>80</v>
      </c>
      <c r="K676" s="12">
        <v>600</v>
      </c>
      <c r="L676" s="12">
        <f t="shared" si="27"/>
        <v>30</v>
      </c>
      <c r="M676" s="12">
        <f t="shared" si="26"/>
        <v>570</v>
      </c>
      <c r="N676" s="29">
        <v>25</v>
      </c>
    </row>
    <row r="677" spans="1:14" ht="15.75" customHeight="1" thickTop="1" thickBot="1" x14ac:dyDescent="0.3">
      <c r="A677" s="27" t="s">
        <v>111</v>
      </c>
      <c r="B677" s="25" t="s">
        <v>11</v>
      </c>
      <c r="C677" s="8" t="s">
        <v>61</v>
      </c>
      <c r="D677" s="7" t="s">
        <v>79</v>
      </c>
      <c r="E677" s="9" t="s">
        <v>69</v>
      </c>
      <c r="F677" s="10">
        <v>20</v>
      </c>
      <c r="G677" s="13" t="s">
        <v>43</v>
      </c>
      <c r="H677" s="7" t="s">
        <v>83</v>
      </c>
      <c r="I677" s="14" t="s">
        <v>30</v>
      </c>
      <c r="J677" s="14" t="s">
        <v>106</v>
      </c>
      <c r="K677" s="12">
        <v>200</v>
      </c>
      <c r="L677" s="12">
        <f t="shared" si="27"/>
        <v>10</v>
      </c>
      <c r="M677" s="12">
        <f t="shared" si="26"/>
        <v>190</v>
      </c>
      <c r="N677" s="29">
        <v>15</v>
      </c>
    </row>
    <row r="678" spans="1:14" ht="16.5" thickTop="1" thickBot="1" x14ac:dyDescent="0.3">
      <c r="A678" s="27" t="s">
        <v>111</v>
      </c>
      <c r="B678" s="25" t="s">
        <v>11</v>
      </c>
      <c r="C678" s="8" t="s">
        <v>61</v>
      </c>
      <c r="D678" s="7" t="s">
        <v>79</v>
      </c>
      <c r="E678" s="9" t="s">
        <v>69</v>
      </c>
      <c r="F678" s="10">
        <v>20</v>
      </c>
      <c r="G678" s="13" t="s">
        <v>44</v>
      </c>
      <c r="H678" s="15" t="s">
        <v>85</v>
      </c>
      <c r="I678" s="14" t="s">
        <v>30</v>
      </c>
      <c r="J678" s="11" t="s">
        <v>80</v>
      </c>
      <c r="K678" s="12">
        <v>200</v>
      </c>
      <c r="L678" s="12">
        <f t="shared" si="27"/>
        <v>10</v>
      </c>
      <c r="M678" s="12">
        <f t="shared" si="26"/>
        <v>190</v>
      </c>
      <c r="N678" s="29">
        <v>16</v>
      </c>
    </row>
    <row r="679" spans="1:14" ht="16.5" thickTop="1" thickBot="1" x14ac:dyDescent="0.3">
      <c r="A679" s="27" t="s">
        <v>111</v>
      </c>
      <c r="B679" s="25" t="s">
        <v>5</v>
      </c>
      <c r="C679" s="8" t="s">
        <v>61</v>
      </c>
      <c r="D679" s="7" t="s">
        <v>79</v>
      </c>
      <c r="E679" s="9" t="s">
        <v>69</v>
      </c>
      <c r="F679" s="10">
        <v>1</v>
      </c>
      <c r="G679" s="11" t="s">
        <v>45</v>
      </c>
      <c r="H679" s="7" t="s">
        <v>91</v>
      </c>
      <c r="I679" s="11" t="s">
        <v>20</v>
      </c>
      <c r="J679" s="11" t="s">
        <v>105</v>
      </c>
      <c r="K679" s="16">
        <v>36757.832193000002</v>
      </c>
      <c r="L679" s="12">
        <f t="shared" si="27"/>
        <v>1837.8916096500002</v>
      </c>
      <c r="M679" s="12">
        <f t="shared" si="26"/>
        <v>34919.940583349999</v>
      </c>
      <c r="N679" s="29">
        <v>30</v>
      </c>
    </row>
    <row r="680" spans="1:14" ht="16.5" thickTop="1" thickBot="1" x14ac:dyDescent="0.3">
      <c r="A680" s="27" t="s">
        <v>111</v>
      </c>
      <c r="B680" s="25" t="s">
        <v>5</v>
      </c>
      <c r="C680" s="8" t="s">
        <v>61</v>
      </c>
      <c r="D680" s="7" t="s">
        <v>79</v>
      </c>
      <c r="E680" s="9" t="s">
        <v>69</v>
      </c>
      <c r="F680" s="10">
        <v>1</v>
      </c>
      <c r="G680" s="11" t="s">
        <v>45</v>
      </c>
      <c r="H680" s="7" t="s">
        <v>91</v>
      </c>
      <c r="I680" s="11" t="s">
        <v>9</v>
      </c>
      <c r="J680" s="11" t="s">
        <v>105</v>
      </c>
      <c r="K680" s="16">
        <v>25897.992921000001</v>
      </c>
      <c r="L680" s="12">
        <f t="shared" si="27"/>
        <v>1294.8996460500002</v>
      </c>
      <c r="M680" s="12">
        <f t="shared" si="26"/>
        <v>24603.093274949999</v>
      </c>
      <c r="N680" s="29">
        <v>30</v>
      </c>
    </row>
    <row r="681" spans="1:14" ht="16.5" thickTop="1" thickBot="1" x14ac:dyDescent="0.3">
      <c r="A681" s="27" t="s">
        <v>111</v>
      </c>
      <c r="B681" s="25" t="s">
        <v>22</v>
      </c>
      <c r="C681" s="8" t="s">
        <v>61</v>
      </c>
      <c r="D681" s="7" t="s">
        <v>79</v>
      </c>
      <c r="E681" s="9" t="s">
        <v>69</v>
      </c>
      <c r="F681" s="10">
        <v>1</v>
      </c>
      <c r="G681" s="11" t="s">
        <v>46</v>
      </c>
      <c r="H681" s="7" t="s">
        <v>85</v>
      </c>
      <c r="I681" s="11" t="s">
        <v>20</v>
      </c>
      <c r="J681" s="11" t="s">
        <v>105</v>
      </c>
      <c r="K681" s="16">
        <v>52934.258285999997</v>
      </c>
      <c r="L681" s="12">
        <v>0</v>
      </c>
      <c r="M681" s="12">
        <f t="shared" si="26"/>
        <v>52934.258285999997</v>
      </c>
      <c r="N681" s="29">
        <v>30</v>
      </c>
    </row>
    <row r="682" spans="1:14" ht="16.5" thickTop="1" thickBot="1" x14ac:dyDescent="0.3">
      <c r="A682" s="27" t="s">
        <v>111</v>
      </c>
      <c r="B682" s="25" t="s">
        <v>22</v>
      </c>
      <c r="C682" s="8" t="s">
        <v>61</v>
      </c>
      <c r="D682" s="7" t="s">
        <v>79</v>
      </c>
      <c r="E682" s="9" t="s">
        <v>69</v>
      </c>
      <c r="F682" s="10">
        <v>1</v>
      </c>
      <c r="G682" s="11" t="s">
        <v>46</v>
      </c>
      <c r="H682" s="7" t="s">
        <v>85</v>
      </c>
      <c r="I682" s="11" t="s">
        <v>98</v>
      </c>
      <c r="J682" s="11" t="s">
        <v>105</v>
      </c>
      <c r="K682" s="12">
        <v>3129.3</v>
      </c>
      <c r="L682" s="12">
        <v>0</v>
      </c>
      <c r="M682" s="12">
        <f t="shared" si="26"/>
        <v>3129.3</v>
      </c>
      <c r="N682" s="29">
        <v>30</v>
      </c>
    </row>
    <row r="683" spans="1:14" ht="16.5" thickTop="1" thickBot="1" x14ac:dyDescent="0.3">
      <c r="A683" s="27" t="s">
        <v>111</v>
      </c>
      <c r="B683" s="25" t="s">
        <v>22</v>
      </c>
      <c r="C683" s="8" t="s">
        <v>61</v>
      </c>
      <c r="D683" s="7" t="s">
        <v>79</v>
      </c>
      <c r="E683" s="9" t="s">
        <v>69</v>
      </c>
      <c r="F683" s="10">
        <v>1</v>
      </c>
      <c r="G683" s="11" t="s">
        <v>46</v>
      </c>
      <c r="H683" s="7" t="s">
        <v>85</v>
      </c>
      <c r="I683" s="11" t="s">
        <v>9</v>
      </c>
      <c r="J683" s="11" t="s">
        <v>105</v>
      </c>
      <c r="K683" s="12">
        <v>38846.994597000004</v>
      </c>
      <c r="L683" s="12">
        <v>0</v>
      </c>
      <c r="M683" s="12">
        <f t="shared" si="26"/>
        <v>38846.994597000004</v>
      </c>
      <c r="N683" s="29">
        <v>30</v>
      </c>
    </row>
    <row r="684" spans="1:14" ht="16.5" thickTop="1" thickBot="1" x14ac:dyDescent="0.3">
      <c r="A684" s="27" t="s">
        <v>111</v>
      </c>
      <c r="B684" s="25" t="s">
        <v>22</v>
      </c>
      <c r="C684" s="8" t="s">
        <v>61</v>
      </c>
      <c r="D684" s="7" t="s">
        <v>79</v>
      </c>
      <c r="E684" s="9" t="s">
        <v>69</v>
      </c>
      <c r="F684" s="10">
        <v>1</v>
      </c>
      <c r="G684" s="11" t="s">
        <v>46</v>
      </c>
      <c r="H684" s="7" t="s">
        <v>85</v>
      </c>
      <c r="I684" s="11" t="s">
        <v>97</v>
      </c>
      <c r="J684" s="11" t="s">
        <v>105</v>
      </c>
      <c r="K684" s="12">
        <v>6400</v>
      </c>
      <c r="L684" s="12">
        <v>0</v>
      </c>
      <c r="M684" s="12">
        <f t="shared" si="26"/>
        <v>6400</v>
      </c>
      <c r="N684" s="29">
        <v>30</v>
      </c>
    </row>
    <row r="685" spans="1:14" ht="16.5" thickTop="1" thickBot="1" x14ac:dyDescent="0.3">
      <c r="A685" s="27" t="s">
        <v>111</v>
      </c>
      <c r="B685" s="25" t="s">
        <v>22</v>
      </c>
      <c r="C685" s="8" t="s">
        <v>61</v>
      </c>
      <c r="D685" s="7" t="s">
        <v>79</v>
      </c>
      <c r="E685" s="9" t="s">
        <v>69</v>
      </c>
      <c r="F685" s="10">
        <v>1</v>
      </c>
      <c r="G685" s="11" t="s">
        <v>47</v>
      </c>
      <c r="H685" s="7" t="s">
        <v>85</v>
      </c>
      <c r="I685" s="11" t="s">
        <v>9</v>
      </c>
      <c r="J685" s="11" t="s">
        <v>105</v>
      </c>
      <c r="K685" s="12">
        <v>30185.123490000002</v>
      </c>
      <c r="L685" s="12">
        <v>0</v>
      </c>
      <c r="M685" s="12">
        <f t="shared" si="26"/>
        <v>30185.123490000002</v>
      </c>
      <c r="N685" s="29">
        <v>30</v>
      </c>
    </row>
    <row r="686" spans="1:14" ht="16.5" thickTop="1" thickBot="1" x14ac:dyDescent="0.3">
      <c r="A686" s="27" t="s">
        <v>111</v>
      </c>
      <c r="B686" s="25" t="s">
        <v>22</v>
      </c>
      <c r="C686" s="8" t="s">
        <v>61</v>
      </c>
      <c r="D686" s="7" t="s">
        <v>79</v>
      </c>
      <c r="E686" s="9" t="s">
        <v>69</v>
      </c>
      <c r="F686" s="10">
        <v>1</v>
      </c>
      <c r="G686" s="11" t="s">
        <v>48</v>
      </c>
      <c r="H686" s="7" t="s">
        <v>85</v>
      </c>
      <c r="I686" s="11" t="s">
        <v>9</v>
      </c>
      <c r="J686" s="11" t="s">
        <v>105</v>
      </c>
      <c r="K686" s="12">
        <v>21610.872782999999</v>
      </c>
      <c r="L686" s="12">
        <v>0</v>
      </c>
      <c r="M686" s="12">
        <f t="shared" si="26"/>
        <v>21610.872782999999</v>
      </c>
      <c r="N686" s="29">
        <v>30</v>
      </c>
    </row>
    <row r="687" spans="1:14" ht="15.75" customHeight="1" thickTop="1" thickBot="1" x14ac:dyDescent="0.3">
      <c r="A687" s="27" t="s">
        <v>111</v>
      </c>
      <c r="B687" s="25" t="s">
        <v>22</v>
      </c>
      <c r="C687" s="8" t="s">
        <v>62</v>
      </c>
      <c r="D687" s="7" t="s">
        <v>79</v>
      </c>
      <c r="E687" s="9" t="s">
        <v>69</v>
      </c>
      <c r="F687" s="10">
        <v>10</v>
      </c>
      <c r="G687" s="13" t="s">
        <v>49</v>
      </c>
      <c r="H687" s="7" t="s">
        <v>85</v>
      </c>
      <c r="I687" s="11" t="s">
        <v>9</v>
      </c>
      <c r="J687" s="11" t="s">
        <v>105</v>
      </c>
      <c r="K687" s="12">
        <v>17400</v>
      </c>
      <c r="L687" s="12">
        <v>0</v>
      </c>
      <c r="M687" s="12">
        <f>K687-L687</f>
        <v>17400</v>
      </c>
      <c r="N687" s="29">
        <v>10</v>
      </c>
    </row>
    <row r="688" spans="1:14" ht="16.5" thickTop="1" thickBot="1" x14ac:dyDescent="0.3">
      <c r="A688" s="27" t="s">
        <v>111</v>
      </c>
      <c r="B688" s="25" t="s">
        <v>22</v>
      </c>
      <c r="C688" s="8" t="s">
        <v>62</v>
      </c>
      <c r="D688" s="7" t="s">
        <v>79</v>
      </c>
      <c r="E688" s="9" t="s">
        <v>69</v>
      </c>
      <c r="F688" s="10">
        <v>10</v>
      </c>
      <c r="G688" s="13" t="s">
        <v>49</v>
      </c>
      <c r="H688" s="7" t="s">
        <v>85</v>
      </c>
      <c r="I688" s="11" t="s">
        <v>98</v>
      </c>
      <c r="J688" s="11" t="s">
        <v>105</v>
      </c>
      <c r="K688" s="12">
        <v>4829.5529999999999</v>
      </c>
      <c r="L688" s="12">
        <v>0</v>
      </c>
      <c r="M688" s="12">
        <f t="shared" si="26"/>
        <v>4829.5529999999999</v>
      </c>
      <c r="N688" s="29">
        <v>10</v>
      </c>
    </row>
    <row r="689" spans="1:17" ht="15.75" customHeight="1" thickTop="1" thickBot="1" x14ac:dyDescent="0.3">
      <c r="A689" s="27" t="s">
        <v>111</v>
      </c>
      <c r="B689" s="25" t="s">
        <v>22</v>
      </c>
      <c r="C689" s="8" t="s">
        <v>62</v>
      </c>
      <c r="D689" s="7" t="s">
        <v>79</v>
      </c>
      <c r="E689" s="9" t="s">
        <v>69</v>
      </c>
      <c r="F689" s="10">
        <v>10</v>
      </c>
      <c r="G689" s="13" t="s">
        <v>50</v>
      </c>
      <c r="H689" s="7" t="s">
        <v>85</v>
      </c>
      <c r="I689" s="11" t="s">
        <v>9</v>
      </c>
      <c r="J689" s="11" t="s">
        <v>105</v>
      </c>
      <c r="K689" s="12">
        <v>17400</v>
      </c>
      <c r="L689" s="12">
        <v>0</v>
      </c>
      <c r="M689" s="12">
        <f>K689-L689</f>
        <v>17400</v>
      </c>
      <c r="N689" s="29">
        <v>10</v>
      </c>
    </row>
    <row r="690" spans="1:17" ht="16.5" thickTop="1" thickBot="1" x14ac:dyDescent="0.3">
      <c r="A690" s="27" t="s">
        <v>111</v>
      </c>
      <c r="B690" s="25" t="s">
        <v>22</v>
      </c>
      <c r="C690" s="8" t="s">
        <v>62</v>
      </c>
      <c r="D690" s="7" t="s">
        <v>79</v>
      </c>
      <c r="E690" s="9" t="s">
        <v>69</v>
      </c>
      <c r="F690" s="10">
        <v>10</v>
      </c>
      <c r="G690" s="13" t="s">
        <v>50</v>
      </c>
      <c r="H690" s="7" t="s">
        <v>85</v>
      </c>
      <c r="I690" s="11" t="s">
        <v>98</v>
      </c>
      <c r="J690" s="11" t="s">
        <v>105</v>
      </c>
      <c r="K690" s="12">
        <v>4829.5529999999999</v>
      </c>
      <c r="L690" s="12">
        <v>0</v>
      </c>
      <c r="M690" s="12">
        <f t="shared" si="26"/>
        <v>4829.5529999999999</v>
      </c>
      <c r="N690" s="29">
        <v>10</v>
      </c>
    </row>
    <row r="691" spans="1:17" ht="16.5" thickTop="1" thickBot="1" x14ac:dyDescent="0.3">
      <c r="A691" s="27" t="s">
        <v>111</v>
      </c>
      <c r="B691" s="25" t="s">
        <v>11</v>
      </c>
      <c r="C691" s="8" t="s">
        <v>62</v>
      </c>
      <c r="D691" s="7" t="s">
        <v>79</v>
      </c>
      <c r="E691" s="9" t="s">
        <v>69</v>
      </c>
      <c r="F691" s="10">
        <v>16</v>
      </c>
      <c r="G691" s="13" t="s">
        <v>51</v>
      </c>
      <c r="H691" s="7" t="s">
        <v>83</v>
      </c>
      <c r="I691" s="11" t="s">
        <v>7</v>
      </c>
      <c r="J691" s="11" t="s">
        <v>80</v>
      </c>
      <c r="K691" s="12">
        <v>19124.839514250001</v>
      </c>
      <c r="L691" s="12">
        <f>K691*16%</f>
        <v>3059.9743222800003</v>
      </c>
      <c r="M691" s="12">
        <f t="shared" si="26"/>
        <v>16064.865191970001</v>
      </c>
      <c r="N691" s="29">
        <v>30</v>
      </c>
    </row>
    <row r="692" spans="1:17" ht="16.5" thickTop="1" thickBot="1" x14ac:dyDescent="0.3">
      <c r="A692" s="27" t="s">
        <v>111</v>
      </c>
      <c r="B692" s="25" t="s">
        <v>11</v>
      </c>
      <c r="C692" s="8" t="s">
        <v>62</v>
      </c>
      <c r="D692" s="7" t="s">
        <v>79</v>
      </c>
      <c r="E692" s="9" t="s">
        <v>69</v>
      </c>
      <c r="F692" s="10">
        <v>16</v>
      </c>
      <c r="G692" s="11" t="s">
        <v>52</v>
      </c>
      <c r="H692" s="7" t="s">
        <v>84</v>
      </c>
      <c r="I692" s="11" t="s">
        <v>7</v>
      </c>
      <c r="J692" s="11" t="s">
        <v>103</v>
      </c>
      <c r="K692" s="12">
        <v>70096.320000000007</v>
      </c>
      <c r="L692" s="12">
        <f>K692*16%</f>
        <v>11215.4112</v>
      </c>
      <c r="M692" s="12">
        <v>57706.080000000002</v>
      </c>
      <c r="N692" s="29">
        <v>15</v>
      </c>
    </row>
    <row r="693" spans="1:17" ht="16.5" thickTop="1" thickBot="1" x14ac:dyDescent="0.3">
      <c r="A693" s="27" t="s">
        <v>111</v>
      </c>
      <c r="B693" s="25" t="s">
        <v>5</v>
      </c>
      <c r="C693" s="8" t="s">
        <v>62</v>
      </c>
      <c r="D693" s="7" t="s">
        <v>79</v>
      </c>
      <c r="E693" s="9" t="s">
        <v>69</v>
      </c>
      <c r="F693" s="10">
        <v>16</v>
      </c>
      <c r="G693" s="11" t="s">
        <v>53</v>
      </c>
      <c r="H693" s="7" t="s">
        <v>85</v>
      </c>
      <c r="I693" s="11" t="s">
        <v>7</v>
      </c>
      <c r="J693" s="11" t="s">
        <v>103</v>
      </c>
      <c r="K693" s="12">
        <v>17410.382099999999</v>
      </c>
      <c r="L693" s="12">
        <f>K693*5%</f>
        <v>870.51910499999997</v>
      </c>
      <c r="M693" s="12">
        <f t="shared" si="26"/>
        <v>16539.862995</v>
      </c>
      <c r="N693" s="29">
        <v>15</v>
      </c>
    </row>
    <row r="694" spans="1:17" ht="16.5" thickTop="1" thickBot="1" x14ac:dyDescent="0.3">
      <c r="A694" s="27" t="s">
        <v>111</v>
      </c>
      <c r="B694" s="25" t="s">
        <v>5</v>
      </c>
      <c r="C694" s="8" t="s">
        <v>62</v>
      </c>
      <c r="D694" s="7" t="s">
        <v>79</v>
      </c>
      <c r="E694" s="9" t="s">
        <v>69</v>
      </c>
      <c r="F694" s="10">
        <v>16</v>
      </c>
      <c r="G694" s="11" t="s">
        <v>53</v>
      </c>
      <c r="H694" s="7" t="s">
        <v>85</v>
      </c>
      <c r="I694" s="11" t="s">
        <v>15</v>
      </c>
      <c r="J694" s="11" t="s">
        <v>103</v>
      </c>
      <c r="K694" s="12">
        <v>4509.3212999999996</v>
      </c>
      <c r="L694" s="12">
        <f>K694*5%</f>
        <v>225.46606499999999</v>
      </c>
      <c r="M694" s="12">
        <f t="shared" si="26"/>
        <v>4283.855235</v>
      </c>
      <c r="N694" s="29">
        <v>15</v>
      </c>
    </row>
    <row r="695" spans="1:17" ht="16.5" thickTop="1" thickBot="1" x14ac:dyDescent="0.3">
      <c r="A695" s="27" t="s">
        <v>111</v>
      </c>
      <c r="B695" s="25" t="s">
        <v>5</v>
      </c>
      <c r="C695" s="8" t="s">
        <v>62</v>
      </c>
      <c r="D695" s="7" t="s">
        <v>79</v>
      </c>
      <c r="E695" s="9" t="s">
        <v>69</v>
      </c>
      <c r="F695" s="10">
        <v>16</v>
      </c>
      <c r="G695" s="11" t="s">
        <v>53</v>
      </c>
      <c r="H695" s="7" t="s">
        <v>85</v>
      </c>
      <c r="I695" s="11" t="s">
        <v>9</v>
      </c>
      <c r="J695" s="11" t="s">
        <v>103</v>
      </c>
      <c r="K695" s="12">
        <v>7272.4931999999999</v>
      </c>
      <c r="L695" s="12">
        <f>K695*5%</f>
        <v>363.62466000000001</v>
      </c>
      <c r="M695" s="12">
        <f t="shared" si="26"/>
        <v>6908.8685399999995</v>
      </c>
      <c r="N695" s="29">
        <v>15</v>
      </c>
    </row>
    <row r="696" spans="1:17" ht="16.5" thickTop="1" thickBot="1" x14ac:dyDescent="0.3">
      <c r="A696" s="27" t="s">
        <v>111</v>
      </c>
      <c r="B696" s="25" t="s">
        <v>22</v>
      </c>
      <c r="C696" s="8" t="s">
        <v>62</v>
      </c>
      <c r="D696" s="7" t="s">
        <v>79</v>
      </c>
      <c r="E696" s="9" t="s">
        <v>69</v>
      </c>
      <c r="F696" s="10">
        <v>1</v>
      </c>
      <c r="G696" s="11" t="s">
        <v>54</v>
      </c>
      <c r="H696" s="7" t="s">
        <v>85</v>
      </c>
      <c r="I696" s="11" t="s">
        <v>20</v>
      </c>
      <c r="J696" s="11" t="s">
        <v>105</v>
      </c>
      <c r="K696" s="16">
        <v>36757.832193000002</v>
      </c>
      <c r="L696" s="12">
        <v>0</v>
      </c>
      <c r="M696" s="12">
        <f t="shared" si="26"/>
        <v>36757.832193000002</v>
      </c>
      <c r="N696" s="29">
        <v>30</v>
      </c>
    </row>
    <row r="697" spans="1:17" ht="16.5" thickTop="1" thickBot="1" x14ac:dyDescent="0.3">
      <c r="A697" s="27" t="s">
        <v>111</v>
      </c>
      <c r="B697" s="25" t="s">
        <v>22</v>
      </c>
      <c r="C697" s="8" t="s">
        <v>62</v>
      </c>
      <c r="D697" s="7" t="s">
        <v>79</v>
      </c>
      <c r="E697" s="9" t="s">
        <v>69</v>
      </c>
      <c r="F697" s="10">
        <v>1</v>
      </c>
      <c r="G697" s="11" t="s">
        <v>54</v>
      </c>
      <c r="H697" s="7" t="s">
        <v>85</v>
      </c>
      <c r="I697" s="11" t="s">
        <v>9</v>
      </c>
      <c r="J697" s="11" t="s">
        <v>105</v>
      </c>
      <c r="K697" s="16">
        <v>30185.123490000002</v>
      </c>
      <c r="L697" s="12">
        <v>0</v>
      </c>
      <c r="M697" s="12">
        <f t="shared" si="26"/>
        <v>30185.123490000002</v>
      </c>
      <c r="N697" s="29">
        <v>30</v>
      </c>
    </row>
    <row r="698" spans="1:17" ht="16.5" thickTop="1" thickBot="1" x14ac:dyDescent="0.3">
      <c r="A698" s="27" t="s">
        <v>111</v>
      </c>
      <c r="B698" s="25" t="s">
        <v>22</v>
      </c>
      <c r="C698" s="8" t="s">
        <v>62</v>
      </c>
      <c r="D698" s="7" t="s">
        <v>79</v>
      </c>
      <c r="E698" s="9" t="s">
        <v>69</v>
      </c>
      <c r="F698" s="10">
        <v>1</v>
      </c>
      <c r="G698" s="11" t="s">
        <v>55</v>
      </c>
      <c r="H698" s="7" t="s">
        <v>85</v>
      </c>
      <c r="I698" s="11" t="s">
        <v>20</v>
      </c>
      <c r="J698" s="11" t="s">
        <v>105</v>
      </c>
      <c r="K698" s="16">
        <v>31506.62688</v>
      </c>
      <c r="L698" s="12">
        <v>0</v>
      </c>
      <c r="M698" s="12">
        <f t="shared" si="26"/>
        <v>31506.62688</v>
      </c>
      <c r="N698" s="29">
        <v>30</v>
      </c>
    </row>
    <row r="699" spans="1:17" ht="16.5" thickTop="1" thickBot="1" x14ac:dyDescent="0.3">
      <c r="A699" s="27" t="s">
        <v>111</v>
      </c>
      <c r="B699" s="25" t="s">
        <v>22</v>
      </c>
      <c r="C699" s="8" t="s">
        <v>62</v>
      </c>
      <c r="D699" s="7" t="s">
        <v>79</v>
      </c>
      <c r="E699" s="9" t="s">
        <v>69</v>
      </c>
      <c r="F699" s="10">
        <v>1</v>
      </c>
      <c r="G699" s="11" t="s">
        <v>55</v>
      </c>
      <c r="H699" s="7" t="s">
        <v>85</v>
      </c>
      <c r="I699" s="11" t="s">
        <v>9</v>
      </c>
      <c r="J699" s="11" t="s">
        <v>105</v>
      </c>
      <c r="K699" s="12">
        <v>21581.665982999999</v>
      </c>
      <c r="L699" s="12">
        <v>0</v>
      </c>
      <c r="M699" s="12">
        <f t="shared" si="26"/>
        <v>21581.665982999999</v>
      </c>
      <c r="N699" s="29">
        <v>30</v>
      </c>
    </row>
    <row r="700" spans="1:17" ht="16.5" thickTop="1" thickBot="1" x14ac:dyDescent="0.3">
      <c r="A700" s="27" t="s">
        <v>111</v>
      </c>
      <c r="B700" s="25" t="s">
        <v>22</v>
      </c>
      <c r="C700" s="8" t="s">
        <v>62</v>
      </c>
      <c r="D700" s="7" t="s">
        <v>79</v>
      </c>
      <c r="E700" s="9" t="s">
        <v>69</v>
      </c>
      <c r="F700" s="10">
        <v>1</v>
      </c>
      <c r="G700" s="11" t="s">
        <v>56</v>
      </c>
      <c r="H700" s="7" t="s">
        <v>85</v>
      </c>
      <c r="I700" s="11" t="s">
        <v>9</v>
      </c>
      <c r="J700" s="11" t="s">
        <v>105</v>
      </c>
      <c r="K700" s="12">
        <v>30214.330290000002</v>
      </c>
      <c r="L700" s="12">
        <v>0</v>
      </c>
      <c r="M700" s="12">
        <f t="shared" si="26"/>
        <v>30214.330290000002</v>
      </c>
      <c r="N700" s="29">
        <v>30</v>
      </c>
    </row>
    <row r="701" spans="1:17" ht="16.5" thickTop="1" thickBot="1" x14ac:dyDescent="0.3">
      <c r="A701" s="27" t="s">
        <v>111</v>
      </c>
      <c r="B701" s="25" t="s">
        <v>22</v>
      </c>
      <c r="C701" s="8" t="s">
        <v>62</v>
      </c>
      <c r="D701" s="7" t="s">
        <v>79</v>
      </c>
      <c r="E701" s="9" t="s">
        <v>69</v>
      </c>
      <c r="F701" s="10">
        <v>1</v>
      </c>
      <c r="G701" s="11" t="s">
        <v>57</v>
      </c>
      <c r="H701" s="7" t="s">
        <v>85</v>
      </c>
      <c r="I701" s="11" t="s">
        <v>9</v>
      </c>
      <c r="J701" s="11" t="s">
        <v>105</v>
      </c>
      <c r="K701" s="12">
        <v>30185.123490000002</v>
      </c>
      <c r="L701" s="12">
        <v>0</v>
      </c>
      <c r="M701" s="12">
        <f t="shared" si="26"/>
        <v>30185.123490000002</v>
      </c>
      <c r="N701" s="29">
        <v>30</v>
      </c>
    </row>
    <row r="702" spans="1:17" ht="16.5" thickTop="1" thickBot="1" x14ac:dyDescent="0.3">
      <c r="A702" s="27" t="s">
        <v>111</v>
      </c>
      <c r="B702" s="25" t="s">
        <v>22</v>
      </c>
      <c r="C702" s="8" t="s">
        <v>62</v>
      </c>
      <c r="D702" s="7" t="s">
        <v>79</v>
      </c>
      <c r="E702" s="9" t="s">
        <v>69</v>
      </c>
      <c r="F702" s="10">
        <v>1</v>
      </c>
      <c r="G702" s="11" t="s">
        <v>58</v>
      </c>
      <c r="H702" s="7" t="s">
        <v>85</v>
      </c>
      <c r="I702" s="11" t="s">
        <v>9</v>
      </c>
      <c r="J702" s="11" t="s">
        <v>105</v>
      </c>
      <c r="K702" s="12">
        <v>17265.328613999998</v>
      </c>
      <c r="L702" s="12">
        <v>0</v>
      </c>
      <c r="M702" s="12">
        <f t="shared" si="26"/>
        <v>17265.328613999998</v>
      </c>
      <c r="N702" s="29">
        <v>30</v>
      </c>
    </row>
    <row r="703" spans="1:17" s="4" customFormat="1" ht="16.5" thickTop="1" thickBot="1" x14ac:dyDescent="0.3">
      <c r="A703" s="27" t="s">
        <v>111</v>
      </c>
      <c r="B703" s="31" t="s">
        <v>22</v>
      </c>
      <c r="C703" s="32" t="s">
        <v>62</v>
      </c>
      <c r="D703" s="33" t="s">
        <v>79</v>
      </c>
      <c r="E703" s="34" t="s">
        <v>69</v>
      </c>
      <c r="F703" s="35">
        <v>1</v>
      </c>
      <c r="G703" s="36" t="s">
        <v>59</v>
      </c>
      <c r="H703" s="33" t="s">
        <v>85</v>
      </c>
      <c r="I703" s="36" t="s">
        <v>9</v>
      </c>
      <c r="J703" s="36" t="s">
        <v>105</v>
      </c>
      <c r="K703" s="37">
        <v>4316.3373689999999</v>
      </c>
      <c r="L703" s="37">
        <v>0</v>
      </c>
      <c r="M703" s="37">
        <f t="shared" si="26"/>
        <v>4316.3373689999999</v>
      </c>
      <c r="N703" s="38">
        <v>30</v>
      </c>
    </row>
    <row r="704" spans="1:17" ht="16.5" thickTop="1" thickBot="1" x14ac:dyDescent="0.3">
      <c r="A704" s="39" t="s">
        <v>111</v>
      </c>
      <c r="B704" s="40" t="s">
        <v>5</v>
      </c>
      <c r="C704" s="41" t="s">
        <v>0</v>
      </c>
      <c r="D704" s="42" t="s">
        <v>79</v>
      </c>
      <c r="E704" s="43" t="s">
        <v>70</v>
      </c>
      <c r="F704" s="44">
        <v>10</v>
      </c>
      <c r="G704" s="45" t="s">
        <v>6</v>
      </c>
      <c r="H704" s="42" t="s">
        <v>85</v>
      </c>
      <c r="I704" s="45" t="s">
        <v>7</v>
      </c>
      <c r="J704" s="45" t="s">
        <v>103</v>
      </c>
      <c r="K704" s="46">
        <v>37326.692723669999</v>
      </c>
      <c r="L704" s="46">
        <f>K704*5%</f>
        <v>1866.3346361835002</v>
      </c>
      <c r="M704" s="46">
        <f>K704-L704</f>
        <v>35460.3580874865</v>
      </c>
      <c r="N704" s="47">
        <v>10</v>
      </c>
    </row>
    <row r="705" spans="1:14" ht="16.5" thickTop="1" thickBot="1" x14ac:dyDescent="0.3">
      <c r="A705" s="27" t="s">
        <v>111</v>
      </c>
      <c r="B705" s="25" t="s">
        <v>5</v>
      </c>
      <c r="C705" s="8" t="s">
        <v>0</v>
      </c>
      <c r="D705" s="7" t="s">
        <v>79</v>
      </c>
      <c r="E705" s="9" t="s">
        <v>70</v>
      </c>
      <c r="F705" s="10">
        <v>10</v>
      </c>
      <c r="G705" s="11" t="s">
        <v>8</v>
      </c>
      <c r="H705" s="7" t="s">
        <v>85</v>
      </c>
      <c r="I705" s="11" t="s">
        <v>7</v>
      </c>
      <c r="J705" s="11" t="s">
        <v>103</v>
      </c>
      <c r="K705" s="12">
        <v>17490.966790500002</v>
      </c>
      <c r="L705" s="12">
        <f>K705*5%</f>
        <v>874.54833952500019</v>
      </c>
      <c r="M705" s="12">
        <f>K705-L705</f>
        <v>16616.418450975001</v>
      </c>
      <c r="N705" s="29">
        <v>10</v>
      </c>
    </row>
    <row r="706" spans="1:14" ht="16.5" thickTop="1" thickBot="1" x14ac:dyDescent="0.3">
      <c r="A706" s="27" t="s">
        <v>111</v>
      </c>
      <c r="B706" s="25" t="s">
        <v>5</v>
      </c>
      <c r="C706" s="8" t="s">
        <v>0</v>
      </c>
      <c r="D706" s="7" t="s">
        <v>79</v>
      </c>
      <c r="E706" s="9" t="s">
        <v>70</v>
      </c>
      <c r="F706" s="10">
        <v>10</v>
      </c>
      <c r="G706" s="11" t="s">
        <v>8</v>
      </c>
      <c r="H706" s="7" t="s">
        <v>85</v>
      </c>
      <c r="I706" s="11" t="s">
        <v>97</v>
      </c>
      <c r="J706" s="11" t="s">
        <v>103</v>
      </c>
      <c r="K706" s="12">
        <v>17490.966790500002</v>
      </c>
      <c r="L706" s="12">
        <f>K706*5%</f>
        <v>874.54833952500019</v>
      </c>
      <c r="M706" s="12">
        <f>K706-L706</f>
        <v>16616.418450975001</v>
      </c>
      <c r="N706" s="29">
        <v>10</v>
      </c>
    </row>
    <row r="707" spans="1:14" ht="16.5" thickTop="1" thickBot="1" x14ac:dyDescent="0.3">
      <c r="A707" s="27" t="s">
        <v>111</v>
      </c>
      <c r="B707" s="25" t="s">
        <v>5</v>
      </c>
      <c r="C707" s="8" t="s">
        <v>0</v>
      </c>
      <c r="D707" s="7" t="s">
        <v>79</v>
      </c>
      <c r="E707" s="9" t="s">
        <v>70</v>
      </c>
      <c r="F707" s="10">
        <v>10</v>
      </c>
      <c r="G707" s="11" t="s">
        <v>8</v>
      </c>
      <c r="H707" s="7" t="s">
        <v>85</v>
      </c>
      <c r="I707" s="11" t="s">
        <v>9</v>
      </c>
      <c r="J707" s="11" t="s">
        <v>103</v>
      </c>
      <c r="K707" s="12">
        <v>15318.197313750001</v>
      </c>
      <c r="L707" s="12">
        <f>K707*5%</f>
        <v>765.90986568750009</v>
      </c>
      <c r="M707" s="12">
        <f>K707-L707</f>
        <v>14552.287448062501</v>
      </c>
      <c r="N707" s="29">
        <v>10</v>
      </c>
    </row>
    <row r="708" spans="1:14" ht="16.5" thickTop="1" thickBot="1" x14ac:dyDescent="0.3">
      <c r="A708" s="27" t="s">
        <v>111</v>
      </c>
      <c r="B708" s="25" t="s">
        <v>5</v>
      </c>
      <c r="C708" s="8" t="s">
        <v>0</v>
      </c>
      <c r="D708" s="7" t="s">
        <v>79</v>
      </c>
      <c r="E708" s="9" t="s">
        <v>70</v>
      </c>
      <c r="F708" s="10">
        <v>10</v>
      </c>
      <c r="G708" s="11" t="s">
        <v>8</v>
      </c>
      <c r="H708" s="7" t="s">
        <v>85</v>
      </c>
      <c r="I708" s="11" t="s">
        <v>15</v>
      </c>
      <c r="J708" s="11" t="s">
        <v>103</v>
      </c>
      <c r="K708" s="12">
        <v>13061.815548749999</v>
      </c>
      <c r="L708" s="12">
        <f>K708*5%</f>
        <v>653.09077743750004</v>
      </c>
      <c r="M708" s="12">
        <f>K708-L708</f>
        <v>12408.7247713125</v>
      </c>
      <c r="N708" s="29">
        <v>10</v>
      </c>
    </row>
    <row r="709" spans="1:14" ht="16.5" thickTop="1" thickBot="1" x14ac:dyDescent="0.3">
      <c r="A709" s="27" t="s">
        <v>111</v>
      </c>
      <c r="B709" s="25" t="s">
        <v>10</v>
      </c>
      <c r="C709" s="8" t="s">
        <v>0</v>
      </c>
      <c r="D709" s="7" t="s">
        <v>79</v>
      </c>
      <c r="E709" s="9" t="s">
        <v>70</v>
      </c>
      <c r="F709" s="10">
        <v>10</v>
      </c>
      <c r="G709" s="11" t="s">
        <v>8</v>
      </c>
      <c r="H709" s="7" t="s">
        <v>85</v>
      </c>
      <c r="I709" s="11" t="s">
        <v>96</v>
      </c>
      <c r="J709" s="11" t="s">
        <v>103</v>
      </c>
      <c r="K709" s="12">
        <v>2000</v>
      </c>
      <c r="L709" s="12">
        <f>0</f>
        <v>0</v>
      </c>
      <c r="M709" s="12">
        <f>K709</f>
        <v>2000</v>
      </c>
      <c r="N709" s="29">
        <v>10</v>
      </c>
    </row>
    <row r="710" spans="1:14" ht="16.5" thickTop="1" thickBot="1" x14ac:dyDescent="0.3">
      <c r="A710" s="27" t="s">
        <v>111</v>
      </c>
      <c r="B710" s="25" t="s">
        <v>10</v>
      </c>
      <c r="C710" s="8" t="s">
        <v>0</v>
      </c>
      <c r="D710" s="7" t="s">
        <v>79</v>
      </c>
      <c r="E710" s="9" t="s">
        <v>70</v>
      </c>
      <c r="F710" s="10">
        <v>10</v>
      </c>
      <c r="G710" s="11" t="s">
        <v>8</v>
      </c>
      <c r="H710" s="7" t="s">
        <v>85</v>
      </c>
      <c r="I710" s="11" t="s">
        <v>96</v>
      </c>
      <c r="J710" s="11" t="s">
        <v>103</v>
      </c>
      <c r="K710" s="12">
        <v>200</v>
      </c>
      <c r="L710" s="12">
        <f>0</f>
        <v>0</v>
      </c>
      <c r="M710" s="12">
        <f>K710</f>
        <v>200</v>
      </c>
      <c r="N710" s="29">
        <v>10</v>
      </c>
    </row>
    <row r="711" spans="1:14" ht="16.5" thickTop="1" thickBot="1" x14ac:dyDescent="0.3">
      <c r="A711" s="27" t="s">
        <v>111</v>
      </c>
      <c r="B711" s="25" t="s">
        <v>11</v>
      </c>
      <c r="C711" s="8" t="s">
        <v>0</v>
      </c>
      <c r="D711" s="7" t="s">
        <v>79</v>
      </c>
      <c r="E711" s="9" t="s">
        <v>70</v>
      </c>
      <c r="F711" s="10">
        <v>16</v>
      </c>
      <c r="G711" s="11" t="s">
        <v>12</v>
      </c>
      <c r="H711" s="7" t="s">
        <v>85</v>
      </c>
      <c r="I711" s="11" t="s">
        <v>7</v>
      </c>
      <c r="J711" s="11" t="s">
        <v>103</v>
      </c>
      <c r="K711" s="12">
        <v>17013.380378354999</v>
      </c>
      <c r="L711" s="12">
        <f>K711*16%</f>
        <v>2722.1408605368001</v>
      </c>
      <c r="M711" s="12">
        <f t="shared" ref="M711:M727" si="28">K711-L711</f>
        <v>14291.2395178182</v>
      </c>
      <c r="N711" s="29">
        <v>15</v>
      </c>
    </row>
    <row r="712" spans="1:14" ht="16.5" thickTop="1" thickBot="1" x14ac:dyDescent="0.3">
      <c r="A712" s="27" t="s">
        <v>111</v>
      </c>
      <c r="B712" s="25" t="s">
        <v>13</v>
      </c>
      <c r="C712" s="8" t="s">
        <v>0</v>
      </c>
      <c r="D712" s="7" t="s">
        <v>79</v>
      </c>
      <c r="E712" s="9" t="s">
        <v>70</v>
      </c>
      <c r="F712" s="10">
        <v>16</v>
      </c>
      <c r="G712" s="11" t="s">
        <v>12</v>
      </c>
      <c r="H712" s="7" t="s">
        <v>85</v>
      </c>
      <c r="I712" s="11" t="s">
        <v>9</v>
      </c>
      <c r="J712" s="11" t="s">
        <v>103</v>
      </c>
      <c r="K712" s="12">
        <v>3729.6405063450002</v>
      </c>
      <c r="L712" s="12">
        <f>K712*16%</f>
        <v>596.74248101520004</v>
      </c>
      <c r="M712" s="12">
        <f t="shared" si="28"/>
        <v>3132.8980253298</v>
      </c>
      <c r="N712" s="29">
        <v>15</v>
      </c>
    </row>
    <row r="713" spans="1:14" ht="16.5" thickTop="1" thickBot="1" x14ac:dyDescent="0.3">
      <c r="A713" s="27" t="s">
        <v>111</v>
      </c>
      <c r="B713" s="25" t="s">
        <v>13</v>
      </c>
      <c r="C713" s="8" t="s">
        <v>0</v>
      </c>
      <c r="D713" s="7" t="s">
        <v>79</v>
      </c>
      <c r="E713" s="9" t="s">
        <v>70</v>
      </c>
      <c r="F713" s="10">
        <v>16</v>
      </c>
      <c r="G713" s="11" t="s">
        <v>12</v>
      </c>
      <c r="H713" s="7" t="s">
        <v>85</v>
      </c>
      <c r="I713" s="11" t="s">
        <v>99</v>
      </c>
      <c r="J713" s="11" t="s">
        <v>103</v>
      </c>
      <c r="K713" s="12">
        <v>4416.0016102200007</v>
      </c>
      <c r="L713" s="12">
        <f>K713*16%</f>
        <v>706.56025763520017</v>
      </c>
      <c r="M713" s="12">
        <f t="shared" si="28"/>
        <v>3709.4413525848004</v>
      </c>
      <c r="N713" s="29">
        <v>15</v>
      </c>
    </row>
    <row r="714" spans="1:14" ht="16.5" thickTop="1" thickBot="1" x14ac:dyDescent="0.3">
      <c r="A714" s="27" t="s">
        <v>111</v>
      </c>
      <c r="B714" s="25" t="s">
        <v>5</v>
      </c>
      <c r="C714" s="8" t="s">
        <v>0</v>
      </c>
      <c r="D714" s="7" t="s">
        <v>79</v>
      </c>
      <c r="E714" s="9" t="s">
        <v>70</v>
      </c>
      <c r="F714" s="10">
        <v>16</v>
      </c>
      <c r="G714" s="11" t="s">
        <v>14</v>
      </c>
      <c r="H714" s="7" t="s">
        <v>84</v>
      </c>
      <c r="I714" s="11" t="s">
        <v>7</v>
      </c>
      <c r="J714" s="11" t="s">
        <v>103</v>
      </c>
      <c r="K714" s="12">
        <v>14761.659131999999</v>
      </c>
      <c r="L714" s="12">
        <f>K714*5%</f>
        <v>738.08295659999999</v>
      </c>
      <c r="M714" s="12">
        <f t="shared" si="28"/>
        <v>14023.5761754</v>
      </c>
      <c r="N714" s="29">
        <v>15</v>
      </c>
    </row>
    <row r="715" spans="1:14" ht="16.5" thickTop="1" thickBot="1" x14ac:dyDescent="0.3">
      <c r="A715" s="27" t="s">
        <v>111</v>
      </c>
      <c r="B715" s="25" t="s">
        <v>5</v>
      </c>
      <c r="C715" s="8" t="s">
        <v>0</v>
      </c>
      <c r="D715" s="7" t="s">
        <v>79</v>
      </c>
      <c r="E715" s="9" t="s">
        <v>70</v>
      </c>
      <c r="F715" s="10">
        <v>16</v>
      </c>
      <c r="G715" s="11" t="s">
        <v>14</v>
      </c>
      <c r="H715" s="7" t="s">
        <v>84</v>
      </c>
      <c r="I715" s="11" t="s">
        <v>9</v>
      </c>
      <c r="J715" s="11" t="s">
        <v>103</v>
      </c>
      <c r="K715" s="12">
        <v>3763.01</v>
      </c>
      <c r="L715" s="12">
        <f>K715*5%</f>
        <v>188.15050000000002</v>
      </c>
      <c r="M715" s="12">
        <f t="shared" si="28"/>
        <v>3574.8595</v>
      </c>
      <c r="N715" s="29">
        <v>15</v>
      </c>
    </row>
    <row r="716" spans="1:14" ht="16.5" thickTop="1" thickBot="1" x14ac:dyDescent="0.3">
      <c r="A716" s="27" t="s">
        <v>111</v>
      </c>
      <c r="B716" s="25" t="s">
        <v>5</v>
      </c>
      <c r="C716" s="8" t="s">
        <v>0</v>
      </c>
      <c r="D716" s="7" t="s">
        <v>79</v>
      </c>
      <c r="E716" s="9" t="s">
        <v>70</v>
      </c>
      <c r="F716" s="10">
        <v>16</v>
      </c>
      <c r="G716" s="11" t="s">
        <v>14</v>
      </c>
      <c r="H716" s="7" t="s">
        <v>84</v>
      </c>
      <c r="I716" s="11" t="s">
        <v>15</v>
      </c>
      <c r="J716" s="11" t="s">
        <v>103</v>
      </c>
      <c r="K716" s="12">
        <v>4780.5638085000001</v>
      </c>
      <c r="L716" s="12">
        <f>K716*5%</f>
        <v>239.02819042500002</v>
      </c>
      <c r="M716" s="12">
        <f t="shared" si="28"/>
        <v>4541.5356180750005</v>
      </c>
      <c r="N716" s="29">
        <v>15</v>
      </c>
    </row>
    <row r="717" spans="1:14" ht="16.5" thickTop="1" thickBot="1" x14ac:dyDescent="0.3">
      <c r="A717" s="27" t="s">
        <v>111</v>
      </c>
      <c r="B717" s="25" t="s">
        <v>10</v>
      </c>
      <c r="C717" s="8" t="s">
        <v>0</v>
      </c>
      <c r="D717" s="7" t="s">
        <v>79</v>
      </c>
      <c r="E717" s="9" t="s">
        <v>70</v>
      </c>
      <c r="F717" s="10">
        <v>16</v>
      </c>
      <c r="G717" s="11" t="s">
        <v>14</v>
      </c>
      <c r="H717" s="7" t="s">
        <v>84</v>
      </c>
      <c r="I717" s="11" t="s">
        <v>96</v>
      </c>
      <c r="J717" s="11" t="s">
        <v>103</v>
      </c>
      <c r="K717" s="12">
        <v>500</v>
      </c>
      <c r="L717" s="12">
        <f>0</f>
        <v>0</v>
      </c>
      <c r="M717" s="12">
        <f t="shared" si="28"/>
        <v>500</v>
      </c>
      <c r="N717" s="29">
        <v>15</v>
      </c>
    </row>
    <row r="718" spans="1:14" ht="16.5" thickTop="1" thickBot="1" x14ac:dyDescent="0.3">
      <c r="A718" s="27"/>
      <c r="B718" s="25" t="s">
        <v>11</v>
      </c>
      <c r="C718" s="8" t="s">
        <v>0</v>
      </c>
      <c r="D718" s="7" t="s">
        <v>79</v>
      </c>
      <c r="E718" s="9" t="s">
        <v>70</v>
      </c>
      <c r="F718" s="10">
        <v>20</v>
      </c>
      <c r="G718" s="11" t="s">
        <v>16</v>
      </c>
      <c r="H718" s="7" t="s">
        <v>85</v>
      </c>
      <c r="I718" s="11" t="s">
        <v>7</v>
      </c>
      <c r="J718" s="11" t="s">
        <v>103</v>
      </c>
      <c r="K718" s="12">
        <v>15515</v>
      </c>
      <c r="L718" s="12">
        <f>K718*16%</f>
        <v>2482.4</v>
      </c>
      <c r="M718" s="12">
        <f t="shared" si="28"/>
        <v>13032.6</v>
      </c>
      <c r="N718" s="29">
        <v>15</v>
      </c>
    </row>
    <row r="719" spans="1:14" ht="16.5" thickTop="1" thickBot="1" x14ac:dyDescent="0.3">
      <c r="A719" s="27"/>
      <c r="B719" s="25" t="s">
        <v>13</v>
      </c>
      <c r="C719" s="8" t="s">
        <v>0</v>
      </c>
      <c r="D719" s="7" t="s">
        <v>79</v>
      </c>
      <c r="E719" s="9" t="s">
        <v>70</v>
      </c>
      <c r="F719" s="10">
        <v>20</v>
      </c>
      <c r="G719" s="11" t="s">
        <v>16</v>
      </c>
      <c r="H719" s="7" t="s">
        <v>85</v>
      </c>
      <c r="I719" s="11" t="s">
        <v>113</v>
      </c>
      <c r="J719" s="11" t="s">
        <v>103</v>
      </c>
      <c r="K719" s="12">
        <v>1500</v>
      </c>
      <c r="L719" s="12">
        <f>K719*16%</f>
        <v>240</v>
      </c>
      <c r="M719" s="12">
        <f t="shared" si="28"/>
        <v>1260</v>
      </c>
      <c r="N719" s="29">
        <v>15</v>
      </c>
    </row>
    <row r="720" spans="1:14" ht="16.5" thickTop="1" thickBot="1" x14ac:dyDescent="0.3">
      <c r="A720" s="27"/>
      <c r="B720" s="25" t="s">
        <v>13</v>
      </c>
      <c r="C720" s="8" t="s">
        <v>0</v>
      </c>
      <c r="D720" s="7" t="s">
        <v>79</v>
      </c>
      <c r="E720" s="9" t="s">
        <v>70</v>
      </c>
      <c r="F720" s="10">
        <v>20</v>
      </c>
      <c r="G720" s="11" t="s">
        <v>16</v>
      </c>
      <c r="H720" s="7" t="s">
        <v>85</v>
      </c>
      <c r="I720" s="11" t="s">
        <v>9</v>
      </c>
      <c r="J720" s="11" t="s">
        <v>103</v>
      </c>
      <c r="K720" s="12">
        <v>7480</v>
      </c>
      <c r="L720" s="12">
        <f>K720*16%</f>
        <v>1196.8</v>
      </c>
      <c r="M720" s="12">
        <f t="shared" si="28"/>
        <v>6283.2</v>
      </c>
      <c r="N720" s="29">
        <v>15</v>
      </c>
    </row>
    <row r="721" spans="1:14" ht="16.5" thickTop="1" thickBot="1" x14ac:dyDescent="0.3">
      <c r="A721" s="27"/>
      <c r="B721" s="25" t="s">
        <v>13</v>
      </c>
      <c r="C721" s="8" t="s">
        <v>0</v>
      </c>
      <c r="D721" s="7" t="s">
        <v>79</v>
      </c>
      <c r="E721" s="9" t="s">
        <v>70</v>
      </c>
      <c r="F721" s="10">
        <v>20</v>
      </c>
      <c r="G721" s="11" t="s">
        <v>16</v>
      </c>
      <c r="H721" s="7" t="s">
        <v>85</v>
      </c>
      <c r="I721" s="11" t="s">
        <v>15</v>
      </c>
      <c r="J721" s="11" t="s">
        <v>103</v>
      </c>
      <c r="K721" s="12">
        <v>6826</v>
      </c>
      <c r="L721" s="12">
        <f>K721*16%</f>
        <v>1092.1600000000001</v>
      </c>
      <c r="M721" s="12">
        <f t="shared" si="28"/>
        <v>5733.84</v>
      </c>
      <c r="N721" s="29">
        <v>15</v>
      </c>
    </row>
    <row r="722" spans="1:14" ht="16.5" thickTop="1" thickBot="1" x14ac:dyDescent="0.3">
      <c r="A722" s="27" t="s">
        <v>111</v>
      </c>
      <c r="B722" s="25" t="s">
        <v>5</v>
      </c>
      <c r="C722" s="8" t="s">
        <v>0</v>
      </c>
      <c r="D722" s="7" t="s">
        <v>79</v>
      </c>
      <c r="E722" s="9" t="s">
        <v>70</v>
      </c>
      <c r="F722" s="10">
        <v>5</v>
      </c>
      <c r="G722" s="11" t="s">
        <v>17</v>
      </c>
      <c r="H722" s="7" t="s">
        <v>85</v>
      </c>
      <c r="I722" s="11" t="s">
        <v>7</v>
      </c>
      <c r="J722" s="11" t="s">
        <v>103</v>
      </c>
      <c r="K722" s="12">
        <v>16574.890605929999</v>
      </c>
      <c r="L722" s="12">
        <f>K722*5%</f>
        <v>828.74453029649999</v>
      </c>
      <c r="M722" s="12">
        <f t="shared" si="28"/>
        <v>15746.146075633498</v>
      </c>
      <c r="N722" s="29">
        <v>10</v>
      </c>
    </row>
    <row r="723" spans="1:14" ht="16.5" thickTop="1" thickBot="1" x14ac:dyDescent="0.3">
      <c r="A723" s="27" t="s">
        <v>111</v>
      </c>
      <c r="B723" s="25" t="s">
        <v>5</v>
      </c>
      <c r="C723" s="8" t="s">
        <v>0</v>
      </c>
      <c r="D723" s="7" t="s">
        <v>79</v>
      </c>
      <c r="E723" s="9" t="s">
        <v>70</v>
      </c>
      <c r="F723" s="10">
        <v>5</v>
      </c>
      <c r="G723" s="11" t="s">
        <v>17</v>
      </c>
      <c r="H723" s="7" t="s">
        <v>85</v>
      </c>
      <c r="I723" s="11" t="s">
        <v>15</v>
      </c>
      <c r="J723" s="11" t="s">
        <v>103</v>
      </c>
      <c r="K723" s="12">
        <v>4086.3215625749995</v>
      </c>
      <c r="L723" s="12">
        <f>K723*5%</f>
        <v>204.31607812874998</v>
      </c>
      <c r="M723" s="12">
        <f t="shared" si="28"/>
        <v>3882.0054844462493</v>
      </c>
      <c r="N723" s="29">
        <v>10</v>
      </c>
    </row>
    <row r="724" spans="1:14" ht="16.5" thickTop="1" thickBot="1" x14ac:dyDescent="0.3">
      <c r="A724" s="27" t="s">
        <v>111</v>
      </c>
      <c r="B724" s="25" t="s">
        <v>5</v>
      </c>
      <c r="C724" s="8" t="s">
        <v>0</v>
      </c>
      <c r="D724" s="7" t="s">
        <v>79</v>
      </c>
      <c r="E724" s="9" t="s">
        <v>70</v>
      </c>
      <c r="F724" s="10">
        <v>10</v>
      </c>
      <c r="G724" s="11" t="s">
        <v>18</v>
      </c>
      <c r="H724" s="7" t="s">
        <v>85</v>
      </c>
      <c r="I724" s="11" t="s">
        <v>9</v>
      </c>
      <c r="J724" s="11" t="s">
        <v>103</v>
      </c>
      <c r="K724" s="12">
        <v>4153.3112700000001</v>
      </c>
      <c r="L724" s="12">
        <f>K724*5%</f>
        <v>207.66556350000002</v>
      </c>
      <c r="M724" s="12">
        <f t="shared" si="28"/>
        <v>3945.6457065</v>
      </c>
      <c r="N724" s="29">
        <v>10</v>
      </c>
    </row>
    <row r="725" spans="1:14" ht="16.5" thickTop="1" thickBot="1" x14ac:dyDescent="0.3">
      <c r="A725" s="27"/>
      <c r="B725" s="25" t="s">
        <v>11</v>
      </c>
      <c r="C725" s="8" t="s">
        <v>0</v>
      </c>
      <c r="D725" s="7" t="s">
        <v>79</v>
      </c>
      <c r="E725" s="9" t="s">
        <v>70</v>
      </c>
      <c r="F725" s="10">
        <v>20</v>
      </c>
      <c r="G725" s="11" t="s">
        <v>19</v>
      </c>
      <c r="H725" s="7" t="s">
        <v>88</v>
      </c>
      <c r="I725" s="11" t="s">
        <v>20</v>
      </c>
      <c r="J725" s="11" t="s">
        <v>105</v>
      </c>
      <c r="K725" s="12">
        <v>10635.19</v>
      </c>
      <c r="L725" s="12">
        <f>K725*16%</f>
        <v>1701.6304</v>
      </c>
      <c r="M725" s="12">
        <f t="shared" si="28"/>
        <v>8933.5596000000005</v>
      </c>
      <c r="N725" s="29">
        <v>15</v>
      </c>
    </row>
    <row r="726" spans="1:14" ht="16.5" thickTop="1" thickBot="1" x14ac:dyDescent="0.3">
      <c r="A726" s="27" t="s">
        <v>111</v>
      </c>
      <c r="B726" s="25" t="s">
        <v>13</v>
      </c>
      <c r="C726" s="8" t="s">
        <v>0</v>
      </c>
      <c r="D726" s="7" t="s">
        <v>79</v>
      </c>
      <c r="E726" s="9" t="s">
        <v>70</v>
      </c>
      <c r="F726" s="10">
        <v>5</v>
      </c>
      <c r="G726" s="11" t="s">
        <v>21</v>
      </c>
      <c r="H726" s="7" t="s">
        <v>85</v>
      </c>
      <c r="I726" s="11" t="s">
        <v>9</v>
      </c>
      <c r="J726" s="11" t="s">
        <v>105</v>
      </c>
      <c r="K726" s="12">
        <v>32256.26</v>
      </c>
      <c r="L726" s="12">
        <f>K726*16%</f>
        <v>5161.0015999999996</v>
      </c>
      <c r="M726" s="12">
        <f t="shared" si="28"/>
        <v>27095.258399999999</v>
      </c>
      <c r="N726" s="29">
        <v>10</v>
      </c>
    </row>
    <row r="727" spans="1:14" ht="15.75" customHeight="1" thickTop="1" thickBot="1" x14ac:dyDescent="0.3">
      <c r="A727" s="27"/>
      <c r="B727" s="25" t="s">
        <v>11</v>
      </c>
      <c r="C727" s="8" t="s">
        <v>0</v>
      </c>
      <c r="D727" s="7" t="s">
        <v>79</v>
      </c>
      <c r="E727" s="9" t="s">
        <v>70</v>
      </c>
      <c r="F727" s="10">
        <v>20</v>
      </c>
      <c r="G727" s="11" t="s">
        <v>21</v>
      </c>
      <c r="H727" s="7" t="s">
        <v>85</v>
      </c>
      <c r="I727" s="11" t="s">
        <v>20</v>
      </c>
      <c r="J727" s="11" t="s">
        <v>105</v>
      </c>
      <c r="K727" s="12">
        <v>37709</v>
      </c>
      <c r="L727" s="12">
        <f>K727*16%</f>
        <v>6033.4400000000005</v>
      </c>
      <c r="M727" s="12">
        <f t="shared" si="28"/>
        <v>31675.559999999998</v>
      </c>
      <c r="N727" s="29">
        <v>10</v>
      </c>
    </row>
    <row r="728" spans="1:14" ht="15.75" customHeight="1" thickTop="1" thickBot="1" x14ac:dyDescent="0.3">
      <c r="A728" s="27"/>
      <c r="B728" s="25" t="s">
        <v>22</v>
      </c>
      <c r="C728" s="8" t="s">
        <v>0</v>
      </c>
      <c r="D728" s="7" t="s">
        <v>79</v>
      </c>
      <c r="E728" s="9" t="s">
        <v>70</v>
      </c>
      <c r="F728" s="10">
        <v>20</v>
      </c>
      <c r="G728" s="11" t="s">
        <v>23</v>
      </c>
      <c r="H728" s="7" t="s">
        <v>83</v>
      </c>
      <c r="I728" s="11" t="s">
        <v>7</v>
      </c>
      <c r="J728" s="11" t="s">
        <v>80</v>
      </c>
      <c r="K728" s="12">
        <v>5000</v>
      </c>
      <c r="L728" s="12">
        <v>0</v>
      </c>
      <c r="M728" s="12">
        <v>10000</v>
      </c>
      <c r="N728" s="29">
        <v>15</v>
      </c>
    </row>
    <row r="729" spans="1:14" ht="16.5" thickTop="1" thickBot="1" x14ac:dyDescent="0.3">
      <c r="A729" s="27" t="s">
        <v>111</v>
      </c>
      <c r="B729" s="25" t="s">
        <v>11</v>
      </c>
      <c r="C729" s="8" t="s">
        <v>0</v>
      </c>
      <c r="D729" s="7" t="s">
        <v>79</v>
      </c>
      <c r="E729" s="9" t="s">
        <v>70</v>
      </c>
      <c r="F729" s="10">
        <v>5</v>
      </c>
      <c r="G729" s="11" t="s">
        <v>24</v>
      </c>
      <c r="H729" s="7" t="s">
        <v>83</v>
      </c>
      <c r="I729" s="11" t="s">
        <v>7</v>
      </c>
      <c r="J729" s="11" t="s">
        <v>80</v>
      </c>
      <c r="K729" s="12">
        <v>61581.403376595001</v>
      </c>
      <c r="L729" s="12">
        <f>K729*16%</f>
        <v>9853.0245402552009</v>
      </c>
      <c r="M729" s="12">
        <f>K729-L729</f>
        <v>51728.378836339798</v>
      </c>
      <c r="N729" s="29">
        <v>23</v>
      </c>
    </row>
    <row r="730" spans="1:14" ht="16.5" thickTop="1" thickBot="1" x14ac:dyDescent="0.3">
      <c r="A730" s="27" t="s">
        <v>111</v>
      </c>
      <c r="B730" s="25" t="s">
        <v>13</v>
      </c>
      <c r="C730" s="8" t="s">
        <v>0</v>
      </c>
      <c r="D730" s="7" t="s">
        <v>79</v>
      </c>
      <c r="E730" s="9" t="s">
        <v>70</v>
      </c>
      <c r="F730" s="10">
        <v>5</v>
      </c>
      <c r="G730" s="11" t="s">
        <v>24</v>
      </c>
      <c r="H730" s="7" t="s">
        <v>83</v>
      </c>
      <c r="I730" s="11" t="s">
        <v>9</v>
      </c>
      <c r="J730" s="11" t="s">
        <v>80</v>
      </c>
      <c r="K730" s="12">
        <v>12948.9964605</v>
      </c>
      <c r="L730" s="12">
        <f>K730*16%</f>
        <v>2071.8394336800002</v>
      </c>
      <c r="M730" s="12">
        <f>K730-L730</f>
        <v>10877.157026820001</v>
      </c>
      <c r="N730" s="29">
        <v>23</v>
      </c>
    </row>
    <row r="731" spans="1:14" ht="16.5" thickTop="1" thickBot="1" x14ac:dyDescent="0.3">
      <c r="A731" s="27" t="s">
        <v>111</v>
      </c>
      <c r="B731" s="25" t="s">
        <v>10</v>
      </c>
      <c r="C731" s="8" t="s">
        <v>0</v>
      </c>
      <c r="D731" s="7" t="s">
        <v>79</v>
      </c>
      <c r="E731" s="9" t="s">
        <v>70</v>
      </c>
      <c r="F731" s="10">
        <v>5</v>
      </c>
      <c r="G731" s="11" t="s">
        <v>24</v>
      </c>
      <c r="H731" s="7" t="s">
        <v>83</v>
      </c>
      <c r="I731" s="11" t="s">
        <v>96</v>
      </c>
      <c r="J731" s="11" t="s">
        <v>80</v>
      </c>
      <c r="K731" s="12">
        <v>1500</v>
      </c>
      <c r="L731" s="12">
        <f>0</f>
        <v>0</v>
      </c>
      <c r="M731" s="12">
        <f>K731</f>
        <v>1500</v>
      </c>
      <c r="N731" s="29">
        <v>23</v>
      </c>
    </row>
    <row r="732" spans="1:14" ht="16.5" thickTop="1" thickBot="1" x14ac:dyDescent="0.3">
      <c r="A732" s="27"/>
      <c r="B732" s="25" t="s">
        <v>11</v>
      </c>
      <c r="C732" s="8" t="s">
        <v>0</v>
      </c>
      <c r="D732" s="7" t="s">
        <v>78</v>
      </c>
      <c r="E732" s="9" t="s">
        <v>70</v>
      </c>
      <c r="F732" s="10">
        <v>20</v>
      </c>
      <c r="G732" s="11" t="s">
        <v>72</v>
      </c>
      <c r="H732" s="7" t="s">
        <v>83</v>
      </c>
      <c r="I732" s="11" t="s">
        <v>30</v>
      </c>
      <c r="J732" s="11" t="s">
        <v>109</v>
      </c>
      <c r="K732" s="12">
        <v>600</v>
      </c>
      <c r="L732" s="12">
        <f t="shared" ref="L732:L737" si="29">K732*5%</f>
        <v>30</v>
      </c>
      <c r="M732" s="12">
        <f t="shared" ref="M732:M768" si="30">K732-L732</f>
        <v>570</v>
      </c>
      <c r="N732" s="29">
        <v>7</v>
      </c>
    </row>
    <row r="733" spans="1:14" ht="16.5" thickTop="1" thickBot="1" x14ac:dyDescent="0.3">
      <c r="A733" s="27"/>
      <c r="B733" s="25" t="s">
        <v>11</v>
      </c>
      <c r="C733" s="8" t="s">
        <v>0</v>
      </c>
      <c r="D733" s="7" t="s">
        <v>78</v>
      </c>
      <c r="E733" s="9" t="s">
        <v>70</v>
      </c>
      <c r="F733" s="10">
        <v>20</v>
      </c>
      <c r="G733" s="11" t="s">
        <v>73</v>
      </c>
      <c r="H733" s="7" t="s">
        <v>83</v>
      </c>
      <c r="I733" s="11" t="s">
        <v>30</v>
      </c>
      <c r="J733" s="11" t="s">
        <v>80</v>
      </c>
      <c r="K733" s="12">
        <v>600</v>
      </c>
      <c r="L733" s="12">
        <f t="shared" si="29"/>
        <v>30</v>
      </c>
      <c r="M733" s="12">
        <f t="shared" si="30"/>
        <v>570</v>
      </c>
      <c r="N733" s="29">
        <v>7</v>
      </c>
    </row>
    <row r="734" spans="1:14" ht="16.5" thickTop="1" thickBot="1" x14ac:dyDescent="0.3">
      <c r="A734" s="27"/>
      <c r="B734" s="25" t="s">
        <v>11</v>
      </c>
      <c r="C734" s="8" t="s">
        <v>0</v>
      </c>
      <c r="D734" s="7" t="s">
        <v>78</v>
      </c>
      <c r="E734" s="9" t="s">
        <v>70</v>
      </c>
      <c r="F734" s="10">
        <v>20</v>
      </c>
      <c r="G734" s="11" t="s">
        <v>74</v>
      </c>
      <c r="H734" s="7" t="s">
        <v>83</v>
      </c>
      <c r="I734" s="11" t="s">
        <v>30</v>
      </c>
      <c r="J734" s="11" t="s">
        <v>110</v>
      </c>
      <c r="K734" s="12">
        <v>600</v>
      </c>
      <c r="L734" s="12">
        <f t="shared" si="29"/>
        <v>30</v>
      </c>
      <c r="M734" s="12">
        <f t="shared" si="30"/>
        <v>570</v>
      </c>
      <c r="N734" s="29">
        <v>7</v>
      </c>
    </row>
    <row r="735" spans="1:14" ht="16.5" thickTop="1" thickBot="1" x14ac:dyDescent="0.3">
      <c r="A735" s="27"/>
      <c r="B735" s="25" t="s">
        <v>11</v>
      </c>
      <c r="C735" s="8" t="s">
        <v>0</v>
      </c>
      <c r="D735" s="7" t="s">
        <v>78</v>
      </c>
      <c r="E735" s="9" t="s">
        <v>70</v>
      </c>
      <c r="F735" s="10">
        <v>20</v>
      </c>
      <c r="G735" s="11" t="s">
        <v>75</v>
      </c>
      <c r="H735" s="7" t="s">
        <v>83</v>
      </c>
      <c r="I735" s="11" t="s">
        <v>30</v>
      </c>
      <c r="J735" s="11" t="s">
        <v>110</v>
      </c>
      <c r="K735" s="12">
        <v>600</v>
      </c>
      <c r="L735" s="12">
        <f t="shared" si="29"/>
        <v>30</v>
      </c>
      <c r="M735" s="12">
        <f t="shared" si="30"/>
        <v>570</v>
      </c>
      <c r="N735" s="29">
        <v>7</v>
      </c>
    </row>
    <row r="736" spans="1:14" ht="16.5" thickTop="1" thickBot="1" x14ac:dyDescent="0.3">
      <c r="A736" s="27"/>
      <c r="B736" s="25" t="s">
        <v>11</v>
      </c>
      <c r="C736" s="8" t="s">
        <v>0</v>
      </c>
      <c r="D736" s="7" t="s">
        <v>78</v>
      </c>
      <c r="E736" s="9" t="s">
        <v>70</v>
      </c>
      <c r="F736" s="10">
        <v>20</v>
      </c>
      <c r="G736" s="11" t="s">
        <v>76</v>
      </c>
      <c r="H736" s="7" t="s">
        <v>83</v>
      </c>
      <c r="I736" s="11" t="s">
        <v>30</v>
      </c>
      <c r="J736" s="11" t="s">
        <v>105</v>
      </c>
      <c r="K736" s="12">
        <v>600</v>
      </c>
      <c r="L736" s="12">
        <f t="shared" si="29"/>
        <v>30</v>
      </c>
      <c r="M736" s="12">
        <f t="shared" si="30"/>
        <v>570</v>
      </c>
      <c r="N736" s="29">
        <v>7</v>
      </c>
    </row>
    <row r="737" spans="1:14" ht="16.5" thickTop="1" thickBot="1" x14ac:dyDescent="0.3">
      <c r="A737" s="27"/>
      <c r="B737" s="25" t="s">
        <v>11</v>
      </c>
      <c r="C737" s="8" t="s">
        <v>0</v>
      </c>
      <c r="D737" s="7" t="s">
        <v>78</v>
      </c>
      <c r="E737" s="9" t="s">
        <v>70</v>
      </c>
      <c r="F737" s="10">
        <v>20</v>
      </c>
      <c r="G737" s="11" t="s">
        <v>77</v>
      </c>
      <c r="H737" s="7" t="s">
        <v>83</v>
      </c>
      <c r="I737" s="11" t="s">
        <v>30</v>
      </c>
      <c r="J737" s="11" t="s">
        <v>105</v>
      </c>
      <c r="K737" s="12">
        <v>600</v>
      </c>
      <c r="L737" s="12">
        <f t="shared" si="29"/>
        <v>30</v>
      </c>
      <c r="M737" s="12">
        <f t="shared" si="30"/>
        <v>570</v>
      </c>
      <c r="N737" s="29">
        <v>7</v>
      </c>
    </row>
    <row r="738" spans="1:14" ht="16.5" thickTop="1" thickBot="1" x14ac:dyDescent="0.3">
      <c r="A738" s="27" t="s">
        <v>111</v>
      </c>
      <c r="B738" s="25" t="s">
        <v>22</v>
      </c>
      <c r="C738" s="8" t="s">
        <v>25</v>
      </c>
      <c r="D738" s="7" t="s">
        <v>79</v>
      </c>
      <c r="E738" s="9" t="s">
        <v>70</v>
      </c>
      <c r="F738" s="10">
        <v>5</v>
      </c>
      <c r="G738" s="11" t="s">
        <v>26</v>
      </c>
      <c r="H738" s="7" t="s">
        <v>83</v>
      </c>
      <c r="I738" s="11" t="s">
        <v>7</v>
      </c>
      <c r="J738" s="11" t="s">
        <v>80</v>
      </c>
      <c r="K738" s="12">
        <v>19790.640856350001</v>
      </c>
      <c r="L738" s="12">
        <v>0</v>
      </c>
      <c r="M738" s="12">
        <f t="shared" si="30"/>
        <v>19790.640856350001</v>
      </c>
      <c r="N738" s="29">
        <v>25</v>
      </c>
    </row>
    <row r="739" spans="1:14" ht="16.5" thickTop="1" thickBot="1" x14ac:dyDescent="0.3">
      <c r="A739" s="27" t="s">
        <v>111</v>
      </c>
      <c r="B739" s="25" t="s">
        <v>22</v>
      </c>
      <c r="C739" s="8" t="s">
        <v>25</v>
      </c>
      <c r="D739" s="7" t="s">
        <v>79</v>
      </c>
      <c r="E739" s="9" t="s">
        <v>70</v>
      </c>
      <c r="F739" s="10">
        <v>5</v>
      </c>
      <c r="G739" s="11" t="s">
        <v>26</v>
      </c>
      <c r="H739" s="7" t="s">
        <v>83</v>
      </c>
      <c r="I739" s="11" t="s">
        <v>9</v>
      </c>
      <c r="J739" s="11" t="s">
        <v>80</v>
      </c>
      <c r="K739" s="12">
        <v>4336.4128715999996</v>
      </c>
      <c r="L739" s="12">
        <v>0</v>
      </c>
      <c r="M739" s="12">
        <f t="shared" si="30"/>
        <v>4336.4128715999996</v>
      </c>
      <c r="N739" s="29">
        <v>25</v>
      </c>
    </row>
    <row r="740" spans="1:14" ht="16.5" thickTop="1" thickBot="1" x14ac:dyDescent="0.3">
      <c r="A740" s="27" t="s">
        <v>111</v>
      </c>
      <c r="B740" s="25" t="s">
        <v>22</v>
      </c>
      <c r="C740" s="8" t="s">
        <v>25</v>
      </c>
      <c r="D740" s="7" t="s">
        <v>79</v>
      </c>
      <c r="E740" s="9" t="s">
        <v>70</v>
      </c>
      <c r="F740" s="10">
        <v>5</v>
      </c>
      <c r="G740" s="11" t="s">
        <v>27</v>
      </c>
      <c r="H740" s="7" t="s">
        <v>83</v>
      </c>
      <c r="I740" s="11" t="s">
        <v>7</v>
      </c>
      <c r="J740" s="11" t="s">
        <v>80</v>
      </c>
      <c r="K740" s="12">
        <v>19790.640856349997</v>
      </c>
      <c r="L740" s="12">
        <v>0</v>
      </c>
      <c r="M740" s="12">
        <f t="shared" si="30"/>
        <v>19790.640856349997</v>
      </c>
      <c r="N740" s="29">
        <v>25</v>
      </c>
    </row>
    <row r="741" spans="1:14" ht="16.5" thickTop="1" thickBot="1" x14ac:dyDescent="0.3">
      <c r="A741" s="27" t="s">
        <v>111</v>
      </c>
      <c r="B741" s="25" t="s">
        <v>22</v>
      </c>
      <c r="C741" s="8" t="s">
        <v>25</v>
      </c>
      <c r="D741" s="7" t="s">
        <v>79</v>
      </c>
      <c r="E741" s="9" t="s">
        <v>70</v>
      </c>
      <c r="F741" s="10">
        <v>5</v>
      </c>
      <c r="G741" s="11" t="s">
        <v>27</v>
      </c>
      <c r="H741" s="7" t="s">
        <v>83</v>
      </c>
      <c r="I741" s="11" t="s">
        <v>9</v>
      </c>
      <c r="J741" s="11" t="s">
        <v>80</v>
      </c>
      <c r="K741" s="12">
        <v>4336.4128715999996</v>
      </c>
      <c r="L741" s="12">
        <v>0</v>
      </c>
      <c r="M741" s="12">
        <f t="shared" si="30"/>
        <v>4336.4128715999996</v>
      </c>
      <c r="N741" s="29">
        <v>25</v>
      </c>
    </row>
    <row r="742" spans="1:14" ht="16.5" thickTop="1" thickBot="1" x14ac:dyDescent="0.3">
      <c r="A742" s="27" t="s">
        <v>111</v>
      </c>
      <c r="B742" s="25" t="s">
        <v>22</v>
      </c>
      <c r="C742" s="8" t="s">
        <v>25</v>
      </c>
      <c r="D742" s="7" t="s">
        <v>79</v>
      </c>
      <c r="E742" s="9" t="s">
        <v>70</v>
      </c>
      <c r="F742" s="10">
        <v>5</v>
      </c>
      <c r="G742" s="11" t="s">
        <v>27</v>
      </c>
      <c r="H742" s="7" t="s">
        <v>83</v>
      </c>
      <c r="I742" s="11" t="s">
        <v>113</v>
      </c>
      <c r="J742" s="11" t="s">
        <v>80</v>
      </c>
      <c r="K742" s="12">
        <v>1823.589144</v>
      </c>
      <c r="L742" s="12">
        <v>0</v>
      </c>
      <c r="M742" s="12">
        <f t="shared" si="30"/>
        <v>1823.589144</v>
      </c>
      <c r="N742" s="29">
        <v>25</v>
      </c>
    </row>
    <row r="743" spans="1:14" ht="16.5" thickTop="1" thickBot="1" x14ac:dyDescent="0.3">
      <c r="A743" s="27"/>
      <c r="B743" s="25" t="s">
        <v>13</v>
      </c>
      <c r="C743" s="8" t="s">
        <v>25</v>
      </c>
      <c r="D743" s="7" t="s">
        <v>79</v>
      </c>
      <c r="E743" s="9" t="s">
        <v>70</v>
      </c>
      <c r="F743" s="10">
        <v>20</v>
      </c>
      <c r="G743" s="11" t="s">
        <v>28</v>
      </c>
      <c r="H743" s="7" t="s">
        <v>84</v>
      </c>
      <c r="I743" s="11" t="s">
        <v>9</v>
      </c>
      <c r="J743" s="11" t="s">
        <v>80</v>
      </c>
      <c r="K743" s="12">
        <v>4035.7539000000002</v>
      </c>
      <c r="L743" s="12">
        <f>K743*16%</f>
        <v>645.72062400000004</v>
      </c>
      <c r="M743" s="12">
        <f t="shared" si="30"/>
        <v>3390.0332760000001</v>
      </c>
      <c r="N743" s="29">
        <v>10</v>
      </c>
    </row>
    <row r="744" spans="1:14" ht="16.5" thickTop="1" thickBot="1" x14ac:dyDescent="0.3">
      <c r="A744" s="27"/>
      <c r="B744" s="25" t="s">
        <v>11</v>
      </c>
      <c r="C744" s="8" t="s">
        <v>25</v>
      </c>
      <c r="D744" s="7" t="s">
        <v>79</v>
      </c>
      <c r="E744" s="9" t="s">
        <v>70</v>
      </c>
      <c r="F744" s="10">
        <v>20</v>
      </c>
      <c r="G744" s="11" t="s">
        <v>29</v>
      </c>
      <c r="H744" s="7" t="s">
        <v>83</v>
      </c>
      <c r="I744" s="11" t="s">
        <v>30</v>
      </c>
      <c r="J744" s="11" t="s">
        <v>80</v>
      </c>
      <c r="K744" s="12">
        <v>500</v>
      </c>
      <c r="L744" s="12">
        <f>K744*5%</f>
        <v>25</v>
      </c>
      <c r="M744" s="12">
        <f t="shared" si="30"/>
        <v>475</v>
      </c>
      <c r="N744" s="29">
        <v>10</v>
      </c>
    </row>
    <row r="745" spans="1:14" ht="16.5" thickTop="1" thickBot="1" x14ac:dyDescent="0.3">
      <c r="A745" s="27"/>
      <c r="B745" s="25" t="s">
        <v>22</v>
      </c>
      <c r="C745" s="8" t="s">
        <v>25</v>
      </c>
      <c r="D745" s="7" t="s">
        <v>79</v>
      </c>
      <c r="E745" s="9" t="s">
        <v>70</v>
      </c>
      <c r="F745" s="10">
        <v>20</v>
      </c>
      <c r="G745" s="11" t="s">
        <v>29</v>
      </c>
      <c r="H745" s="7" t="s">
        <v>83</v>
      </c>
      <c r="I745" s="11" t="s">
        <v>9</v>
      </c>
      <c r="J745" s="11" t="s">
        <v>80</v>
      </c>
      <c r="K745" s="12">
        <v>3379.6440000000002</v>
      </c>
      <c r="L745" s="12">
        <v>0</v>
      </c>
      <c r="M745" s="12">
        <f t="shared" si="30"/>
        <v>3379.6440000000002</v>
      </c>
      <c r="N745" s="29">
        <v>10</v>
      </c>
    </row>
    <row r="746" spans="1:14" ht="16.5" thickTop="1" thickBot="1" x14ac:dyDescent="0.3">
      <c r="A746" s="27"/>
      <c r="B746" s="25" t="s">
        <v>22</v>
      </c>
      <c r="C746" s="8" t="s">
        <v>25</v>
      </c>
      <c r="D746" s="7" t="s">
        <v>79</v>
      </c>
      <c r="E746" s="9" t="s">
        <v>70</v>
      </c>
      <c r="F746" s="10">
        <v>20</v>
      </c>
      <c r="G746" s="13" t="s">
        <v>31</v>
      </c>
      <c r="H746" s="7" t="s">
        <v>83</v>
      </c>
      <c r="I746" s="11" t="s">
        <v>7</v>
      </c>
      <c r="J746" s="11" t="s">
        <v>80</v>
      </c>
      <c r="K746" s="12">
        <v>17800</v>
      </c>
      <c r="L746" s="12">
        <v>0</v>
      </c>
      <c r="M746" s="12">
        <f t="shared" si="30"/>
        <v>17800</v>
      </c>
      <c r="N746" s="29">
        <v>30</v>
      </c>
    </row>
    <row r="747" spans="1:14" ht="16.5" thickTop="1" thickBot="1" x14ac:dyDescent="0.3">
      <c r="A747" s="27"/>
      <c r="B747" s="25" t="s">
        <v>5</v>
      </c>
      <c r="C747" s="8" t="s">
        <v>25</v>
      </c>
      <c r="D747" s="7" t="s">
        <v>79</v>
      </c>
      <c r="E747" s="9" t="s">
        <v>70</v>
      </c>
      <c r="F747" s="10">
        <v>20</v>
      </c>
      <c r="G747" s="11" t="s">
        <v>32</v>
      </c>
      <c r="H747" s="7" t="s">
        <v>83</v>
      </c>
      <c r="I747" s="11" t="s">
        <v>7</v>
      </c>
      <c r="J747" s="11" t="s">
        <v>80</v>
      </c>
      <c r="K747" s="12">
        <v>20160.015344324998</v>
      </c>
      <c r="L747" s="12">
        <f>K747*5%</f>
        <v>1008.00076721625</v>
      </c>
      <c r="M747" s="12">
        <f t="shared" si="30"/>
        <v>19152.014577108748</v>
      </c>
      <c r="N747" s="29">
        <v>10</v>
      </c>
    </row>
    <row r="748" spans="1:14" ht="16.5" thickTop="1" thickBot="1" x14ac:dyDescent="0.3">
      <c r="A748" s="27"/>
      <c r="B748" s="25" t="s">
        <v>5</v>
      </c>
      <c r="C748" s="8" t="s">
        <v>25</v>
      </c>
      <c r="D748" s="7" t="s">
        <v>79</v>
      </c>
      <c r="E748" s="9" t="s">
        <v>70</v>
      </c>
      <c r="F748" s="10">
        <v>20</v>
      </c>
      <c r="G748" s="11" t="s">
        <v>32</v>
      </c>
      <c r="H748" s="7" t="s">
        <v>83</v>
      </c>
      <c r="I748" s="11" t="s">
        <v>97</v>
      </c>
      <c r="J748" s="11" t="s">
        <v>80</v>
      </c>
      <c r="K748" s="12">
        <v>10053.314351999999</v>
      </c>
      <c r="L748" s="12">
        <f>K748*5%</f>
        <v>502.66571759999999</v>
      </c>
      <c r="M748" s="12">
        <f t="shared" si="30"/>
        <v>9550.6486343999986</v>
      </c>
      <c r="N748" s="29">
        <v>10</v>
      </c>
    </row>
    <row r="749" spans="1:14" ht="16.5" thickTop="1" thickBot="1" x14ac:dyDescent="0.3">
      <c r="A749" s="27"/>
      <c r="B749" s="25" t="s">
        <v>11</v>
      </c>
      <c r="C749" s="8" t="s">
        <v>25</v>
      </c>
      <c r="D749" s="7" t="s">
        <v>79</v>
      </c>
      <c r="E749" s="9" t="s">
        <v>70</v>
      </c>
      <c r="F749" s="10">
        <v>20</v>
      </c>
      <c r="G749" s="11" t="s">
        <v>32</v>
      </c>
      <c r="H749" s="7" t="s">
        <v>83</v>
      </c>
      <c r="I749" s="11" t="s">
        <v>30</v>
      </c>
      <c r="J749" s="11" t="s">
        <v>80</v>
      </c>
      <c r="K749" s="12">
        <v>200</v>
      </c>
      <c r="L749" s="12">
        <f>K749*5%</f>
        <v>10</v>
      </c>
      <c r="M749" s="12">
        <f t="shared" si="30"/>
        <v>190</v>
      </c>
      <c r="N749" s="29">
        <v>10</v>
      </c>
    </row>
    <row r="750" spans="1:14" ht="16.5" thickTop="1" thickBot="1" x14ac:dyDescent="0.3">
      <c r="A750" s="27"/>
      <c r="B750" s="25" t="s">
        <v>5</v>
      </c>
      <c r="C750" s="8" t="s">
        <v>25</v>
      </c>
      <c r="D750" s="7" t="s">
        <v>79</v>
      </c>
      <c r="E750" s="9" t="s">
        <v>70</v>
      </c>
      <c r="F750" s="10">
        <v>20</v>
      </c>
      <c r="G750" s="11" t="s">
        <v>32</v>
      </c>
      <c r="H750" s="7" t="s">
        <v>83</v>
      </c>
      <c r="I750" s="11" t="s">
        <v>7</v>
      </c>
      <c r="J750" s="11" t="s">
        <v>80</v>
      </c>
      <c r="K750" s="12">
        <v>10106.5959</v>
      </c>
      <c r="L750" s="12">
        <f>K750*5%</f>
        <v>505.32979500000005</v>
      </c>
      <c r="M750" s="12">
        <f t="shared" si="30"/>
        <v>9601.2661050000006</v>
      </c>
      <c r="N750" s="29">
        <v>10</v>
      </c>
    </row>
    <row r="751" spans="1:14" ht="16.5" thickTop="1" thickBot="1" x14ac:dyDescent="0.3">
      <c r="A751" s="27"/>
      <c r="B751" s="25" t="s">
        <v>5</v>
      </c>
      <c r="C751" s="8" t="s">
        <v>25</v>
      </c>
      <c r="D751" s="7" t="s">
        <v>79</v>
      </c>
      <c r="E751" s="9" t="s">
        <v>70</v>
      </c>
      <c r="F751" s="10">
        <v>20</v>
      </c>
      <c r="G751" s="11" t="s">
        <v>32</v>
      </c>
      <c r="H751" s="7" t="s">
        <v>83</v>
      </c>
      <c r="I751" s="11" t="s">
        <v>98</v>
      </c>
      <c r="J751" s="11" t="s">
        <v>80</v>
      </c>
      <c r="K751" s="12">
        <v>12935</v>
      </c>
      <c r="L751" s="12">
        <f>K751*5%</f>
        <v>646.75</v>
      </c>
      <c r="M751" s="12">
        <f>K751-L751</f>
        <v>12288.25</v>
      </c>
      <c r="N751" s="29">
        <v>10</v>
      </c>
    </row>
    <row r="752" spans="1:14" ht="16.5" thickTop="1" thickBot="1" x14ac:dyDescent="0.3">
      <c r="A752" s="27"/>
      <c r="B752" s="25" t="s">
        <v>10</v>
      </c>
      <c r="C752" s="8" t="s">
        <v>25</v>
      </c>
      <c r="D752" s="7" t="s">
        <v>79</v>
      </c>
      <c r="E752" s="9" t="s">
        <v>70</v>
      </c>
      <c r="F752" s="10">
        <v>20</v>
      </c>
      <c r="G752" s="11" t="s">
        <v>32</v>
      </c>
      <c r="H752" s="7" t="s">
        <v>83</v>
      </c>
      <c r="I752" s="11" t="s">
        <v>96</v>
      </c>
      <c r="J752" s="11" t="s">
        <v>80</v>
      </c>
      <c r="K752" s="12">
        <v>2000</v>
      </c>
      <c r="L752" s="12">
        <f>0</f>
        <v>0</v>
      </c>
      <c r="M752" s="12">
        <f t="shared" si="30"/>
        <v>2000</v>
      </c>
      <c r="N752" s="29">
        <v>10</v>
      </c>
    </row>
    <row r="753" spans="1:14" ht="16.5" thickTop="1" thickBot="1" x14ac:dyDescent="0.3">
      <c r="A753" s="27" t="s">
        <v>111</v>
      </c>
      <c r="B753" s="25" t="s">
        <v>11</v>
      </c>
      <c r="C753" s="8" t="s">
        <v>25</v>
      </c>
      <c r="D753" s="7" t="s">
        <v>79</v>
      </c>
      <c r="E753" s="9" t="s">
        <v>70</v>
      </c>
      <c r="F753" s="10">
        <v>15</v>
      </c>
      <c r="G753" s="11" t="s">
        <v>33</v>
      </c>
      <c r="H753" s="7" t="s">
        <v>83</v>
      </c>
      <c r="I753" s="11" t="s">
        <v>7</v>
      </c>
      <c r="J753" s="11" t="s">
        <v>80</v>
      </c>
      <c r="K753" s="12">
        <v>20389.18</v>
      </c>
      <c r="L753" s="12">
        <f>K753*16%</f>
        <v>3262.2688000000003</v>
      </c>
      <c r="M753" s="12">
        <f t="shared" si="30"/>
        <v>17126.911199999999</v>
      </c>
      <c r="N753" s="29">
        <v>30</v>
      </c>
    </row>
    <row r="754" spans="1:14" ht="16.5" thickTop="1" thickBot="1" x14ac:dyDescent="0.3">
      <c r="A754" s="27" t="s">
        <v>111</v>
      </c>
      <c r="B754" s="25" t="s">
        <v>22</v>
      </c>
      <c r="C754" s="8" t="s">
        <v>25</v>
      </c>
      <c r="D754" s="7" t="s">
        <v>79</v>
      </c>
      <c r="E754" s="9" t="s">
        <v>70</v>
      </c>
      <c r="F754" s="10">
        <v>15</v>
      </c>
      <c r="G754" s="11" t="s">
        <v>120</v>
      </c>
      <c r="H754" s="7" t="s">
        <v>83</v>
      </c>
      <c r="I754" s="11" t="s">
        <v>9</v>
      </c>
      <c r="J754" s="11" t="s">
        <v>80</v>
      </c>
      <c r="K754" s="12">
        <v>3879.37</v>
      </c>
      <c r="L754" s="12">
        <v>0</v>
      </c>
      <c r="M754" s="12">
        <f>K754-L754</f>
        <v>3879.37</v>
      </c>
      <c r="N754" s="29">
        <v>30</v>
      </c>
    </row>
    <row r="755" spans="1:14" ht="16.5" thickTop="1" thickBot="1" x14ac:dyDescent="0.3">
      <c r="A755" s="27" t="s">
        <v>111</v>
      </c>
      <c r="B755" s="25" t="s">
        <v>22</v>
      </c>
      <c r="C755" s="8" t="s">
        <v>25</v>
      </c>
      <c r="D755" s="7" t="s">
        <v>79</v>
      </c>
      <c r="E755" s="9" t="s">
        <v>70</v>
      </c>
      <c r="F755" s="10">
        <v>15</v>
      </c>
      <c r="G755" s="11" t="s">
        <v>33</v>
      </c>
      <c r="H755" s="7" t="s">
        <v>83</v>
      </c>
      <c r="I755" s="11" t="s">
        <v>9</v>
      </c>
      <c r="J755" s="11" t="s">
        <v>80</v>
      </c>
      <c r="K755" s="12">
        <v>7758.74</v>
      </c>
      <c r="L755" s="12">
        <v>0</v>
      </c>
      <c r="M755" s="12">
        <f t="shared" si="30"/>
        <v>7758.74</v>
      </c>
      <c r="N755" s="29">
        <v>30</v>
      </c>
    </row>
    <row r="756" spans="1:14" ht="16.5" thickTop="1" thickBot="1" x14ac:dyDescent="0.3">
      <c r="A756" s="27" t="s">
        <v>111</v>
      </c>
      <c r="B756" s="25" t="s">
        <v>11</v>
      </c>
      <c r="C756" s="8" t="s">
        <v>25</v>
      </c>
      <c r="D756" s="7" t="s">
        <v>79</v>
      </c>
      <c r="E756" s="9" t="s">
        <v>70</v>
      </c>
      <c r="F756" s="10">
        <v>15</v>
      </c>
      <c r="G756" s="11" t="s">
        <v>33</v>
      </c>
      <c r="H756" s="7" t="s">
        <v>83</v>
      </c>
      <c r="I756" s="11" t="s">
        <v>30</v>
      </c>
      <c r="J756" s="11" t="s">
        <v>80</v>
      </c>
      <c r="K756" s="12">
        <v>200</v>
      </c>
      <c r="L756" s="12">
        <f>K756*5%</f>
        <v>10</v>
      </c>
      <c r="M756" s="12">
        <f t="shared" si="30"/>
        <v>190</v>
      </c>
      <c r="N756" s="29">
        <v>30</v>
      </c>
    </row>
    <row r="757" spans="1:14" ht="16.5" thickTop="1" thickBot="1" x14ac:dyDescent="0.3">
      <c r="A757" s="27" t="s">
        <v>111</v>
      </c>
      <c r="B757" s="25" t="s">
        <v>22</v>
      </c>
      <c r="C757" s="8" t="s">
        <v>60</v>
      </c>
      <c r="D757" s="7" t="s">
        <v>79</v>
      </c>
      <c r="E757" s="9" t="s">
        <v>70</v>
      </c>
      <c r="F757" s="10">
        <v>1</v>
      </c>
      <c r="G757" s="11" t="s">
        <v>34</v>
      </c>
      <c r="H757" s="7" t="s">
        <v>87</v>
      </c>
      <c r="I757" s="11" t="s">
        <v>20</v>
      </c>
      <c r="J757" s="11" t="s">
        <v>105</v>
      </c>
      <c r="K757" s="12">
        <v>36969.404166</v>
      </c>
      <c r="L757" s="12">
        <v>0</v>
      </c>
      <c r="M757" s="12">
        <f t="shared" si="30"/>
        <v>36969.404166</v>
      </c>
      <c r="N757" s="29">
        <v>30</v>
      </c>
    </row>
    <row r="758" spans="1:14" ht="16.5" thickTop="1" thickBot="1" x14ac:dyDescent="0.3">
      <c r="A758" s="27" t="s">
        <v>111</v>
      </c>
      <c r="B758" s="25" t="s">
        <v>22</v>
      </c>
      <c r="C758" s="8" t="s">
        <v>60</v>
      </c>
      <c r="D758" s="7" t="s">
        <v>79</v>
      </c>
      <c r="E758" s="9" t="s">
        <v>70</v>
      </c>
      <c r="F758" s="10">
        <v>1</v>
      </c>
      <c r="G758" s="11" t="s">
        <v>34</v>
      </c>
      <c r="H758" s="7" t="s">
        <v>87</v>
      </c>
      <c r="I758" s="11" t="s">
        <v>9</v>
      </c>
      <c r="J758" s="11" t="s">
        <v>105</v>
      </c>
      <c r="K758" s="12">
        <v>30185.123490000002</v>
      </c>
      <c r="L758" s="12">
        <v>0</v>
      </c>
      <c r="M758" s="12">
        <f t="shared" si="30"/>
        <v>30185.123490000002</v>
      </c>
      <c r="N758" s="29">
        <v>30</v>
      </c>
    </row>
    <row r="759" spans="1:14" ht="16.5" thickTop="1" thickBot="1" x14ac:dyDescent="0.3">
      <c r="A759" s="27" t="s">
        <v>111</v>
      </c>
      <c r="B759" s="25" t="s">
        <v>22</v>
      </c>
      <c r="C759" s="8" t="s">
        <v>60</v>
      </c>
      <c r="D759" s="7" t="s">
        <v>79</v>
      </c>
      <c r="E759" s="9" t="s">
        <v>70</v>
      </c>
      <c r="F759" s="10">
        <v>1</v>
      </c>
      <c r="G759" s="11" t="s">
        <v>35</v>
      </c>
      <c r="H759" s="7" t="s">
        <v>83</v>
      </c>
      <c r="I759" s="11" t="s">
        <v>9</v>
      </c>
      <c r="J759" s="11" t="s">
        <v>105</v>
      </c>
      <c r="K759" s="12">
        <v>21581.665982999999</v>
      </c>
      <c r="L759" s="12">
        <v>0</v>
      </c>
      <c r="M759" s="12">
        <f t="shared" si="30"/>
        <v>21581.665982999999</v>
      </c>
      <c r="N759" s="29">
        <v>30</v>
      </c>
    </row>
    <row r="760" spans="1:14" ht="16.5" thickTop="1" thickBot="1" x14ac:dyDescent="0.3">
      <c r="A760" s="27" t="s">
        <v>111</v>
      </c>
      <c r="B760" s="25" t="s">
        <v>22</v>
      </c>
      <c r="C760" s="8" t="s">
        <v>60</v>
      </c>
      <c r="D760" s="7" t="s">
        <v>79</v>
      </c>
      <c r="E760" s="9" t="s">
        <v>70</v>
      </c>
      <c r="F760" s="10">
        <v>1</v>
      </c>
      <c r="G760" s="11" t="s">
        <v>36</v>
      </c>
      <c r="H760" s="7" t="s">
        <v>89</v>
      </c>
      <c r="I760" s="11" t="s">
        <v>20</v>
      </c>
      <c r="J760" s="11" t="s">
        <v>105</v>
      </c>
      <c r="K760" s="12">
        <v>36969.404166</v>
      </c>
      <c r="L760" s="12">
        <v>0</v>
      </c>
      <c r="M760" s="12">
        <f t="shared" si="30"/>
        <v>36969.404166</v>
      </c>
      <c r="N760" s="29">
        <v>30</v>
      </c>
    </row>
    <row r="761" spans="1:14" ht="16.5" thickTop="1" thickBot="1" x14ac:dyDescent="0.3">
      <c r="A761" s="27" t="s">
        <v>111</v>
      </c>
      <c r="B761" s="25" t="s">
        <v>22</v>
      </c>
      <c r="C761" s="8" t="s">
        <v>60</v>
      </c>
      <c r="D761" s="7" t="s">
        <v>79</v>
      </c>
      <c r="E761" s="9" t="s">
        <v>70</v>
      </c>
      <c r="F761" s="10">
        <v>1</v>
      </c>
      <c r="G761" s="11" t="s">
        <v>36</v>
      </c>
      <c r="H761" s="7" t="s">
        <v>89</v>
      </c>
      <c r="I761" s="11" t="s">
        <v>9</v>
      </c>
      <c r="J761" s="11" t="s">
        <v>105</v>
      </c>
      <c r="K761" s="12">
        <v>30185.123490000002</v>
      </c>
      <c r="L761" s="12">
        <v>0</v>
      </c>
      <c r="M761" s="12">
        <f t="shared" si="30"/>
        <v>30185.123490000002</v>
      </c>
      <c r="N761" s="29">
        <v>30</v>
      </c>
    </row>
    <row r="762" spans="1:14" ht="16.5" thickTop="1" thickBot="1" x14ac:dyDescent="0.3">
      <c r="A762" s="27" t="s">
        <v>111</v>
      </c>
      <c r="B762" s="25" t="s">
        <v>22</v>
      </c>
      <c r="C762" s="8" t="s">
        <v>60</v>
      </c>
      <c r="D762" s="7" t="s">
        <v>79</v>
      </c>
      <c r="E762" s="9" t="s">
        <v>70</v>
      </c>
      <c r="F762" s="10">
        <v>1</v>
      </c>
      <c r="G762" s="11" t="s">
        <v>37</v>
      </c>
      <c r="H762" s="7" t="s">
        <v>85</v>
      </c>
      <c r="I762" s="11" t="s">
        <v>9</v>
      </c>
      <c r="J762" s="11" t="s">
        <v>105</v>
      </c>
      <c r="K762" s="12">
        <v>12949.001676</v>
      </c>
      <c r="L762" s="12">
        <v>0</v>
      </c>
      <c r="M762" s="12">
        <f t="shared" si="30"/>
        <v>12949.001676</v>
      </c>
      <c r="N762" s="29">
        <v>30</v>
      </c>
    </row>
    <row r="763" spans="1:14" ht="16.5" thickTop="1" thickBot="1" x14ac:dyDescent="0.3">
      <c r="A763" s="27" t="s">
        <v>111</v>
      </c>
      <c r="B763" s="25" t="s">
        <v>22</v>
      </c>
      <c r="C763" s="8" t="s">
        <v>60</v>
      </c>
      <c r="D763" s="7" t="s">
        <v>79</v>
      </c>
      <c r="E763" s="9" t="s">
        <v>70</v>
      </c>
      <c r="F763" s="10">
        <v>1</v>
      </c>
      <c r="G763" s="11" t="s">
        <v>93</v>
      </c>
      <c r="H763" s="7" t="s">
        <v>85</v>
      </c>
      <c r="I763" s="11" t="s">
        <v>9</v>
      </c>
      <c r="J763" s="11" t="s">
        <v>105</v>
      </c>
      <c r="K763" s="12">
        <v>17265.328613999998</v>
      </c>
      <c r="L763" s="12">
        <v>0</v>
      </c>
      <c r="M763" s="12">
        <f t="shared" si="30"/>
        <v>17265.328613999998</v>
      </c>
      <c r="N763" s="29">
        <v>30</v>
      </c>
    </row>
    <row r="764" spans="1:14" ht="16.5" thickTop="1" thickBot="1" x14ac:dyDescent="0.3">
      <c r="A764" s="27" t="s">
        <v>111</v>
      </c>
      <c r="B764" s="25" t="s">
        <v>22</v>
      </c>
      <c r="C764" s="8" t="s">
        <v>60</v>
      </c>
      <c r="D764" s="7" t="s">
        <v>79</v>
      </c>
      <c r="E764" s="9" t="s">
        <v>70</v>
      </c>
      <c r="F764" s="10">
        <v>1</v>
      </c>
      <c r="G764" s="11" t="s">
        <v>38</v>
      </c>
      <c r="H764" s="7" t="s">
        <v>85</v>
      </c>
      <c r="I764" s="11" t="s">
        <v>9</v>
      </c>
      <c r="J764" s="11" t="s">
        <v>105</v>
      </c>
      <c r="K764" s="12">
        <v>8632.6643069999991</v>
      </c>
      <c r="L764" s="12">
        <v>0</v>
      </c>
      <c r="M764" s="12">
        <f t="shared" si="30"/>
        <v>8632.6643069999991</v>
      </c>
      <c r="N764" s="29">
        <v>30</v>
      </c>
    </row>
    <row r="765" spans="1:14" ht="16.5" thickTop="1" thickBot="1" x14ac:dyDescent="0.3">
      <c r="A765" s="27"/>
      <c r="B765" s="25" t="s">
        <v>11</v>
      </c>
      <c r="C765" s="8" t="s">
        <v>60</v>
      </c>
      <c r="D765" s="7" t="s">
        <v>79</v>
      </c>
      <c r="E765" s="9" t="s">
        <v>70</v>
      </c>
      <c r="F765" s="10">
        <v>20</v>
      </c>
      <c r="G765" s="11" t="s">
        <v>119</v>
      </c>
      <c r="H765" s="7" t="s">
        <v>85</v>
      </c>
      <c r="I765" s="11" t="s">
        <v>7</v>
      </c>
      <c r="J765" s="11" t="s">
        <v>103</v>
      </c>
      <c r="K765" s="12">
        <v>17200</v>
      </c>
      <c r="L765" s="12">
        <f>K765*16%</f>
        <v>2752</v>
      </c>
      <c r="M765" s="12">
        <f t="shared" si="30"/>
        <v>14448</v>
      </c>
      <c r="N765" s="29">
        <v>20</v>
      </c>
    </row>
    <row r="766" spans="1:14" ht="16.5" thickTop="1" thickBot="1" x14ac:dyDescent="0.3">
      <c r="A766" s="27"/>
      <c r="B766" s="25" t="s">
        <v>13</v>
      </c>
      <c r="C766" s="8" t="s">
        <v>60</v>
      </c>
      <c r="D766" s="7" t="s">
        <v>79</v>
      </c>
      <c r="E766" s="9" t="s">
        <v>70</v>
      </c>
      <c r="F766" s="10">
        <v>20</v>
      </c>
      <c r="G766" s="11" t="s">
        <v>119</v>
      </c>
      <c r="H766" s="7" t="s">
        <v>85</v>
      </c>
      <c r="I766" s="11" t="s">
        <v>9</v>
      </c>
      <c r="J766" s="11" t="s">
        <v>103</v>
      </c>
      <c r="K766" s="12">
        <v>7800</v>
      </c>
      <c r="L766" s="12">
        <f>K766*16%</f>
        <v>1248</v>
      </c>
      <c r="M766" s="12">
        <f t="shared" si="30"/>
        <v>6552</v>
      </c>
      <c r="N766" s="29">
        <v>20</v>
      </c>
    </row>
    <row r="767" spans="1:14" ht="16.5" thickTop="1" thickBot="1" x14ac:dyDescent="0.3">
      <c r="A767" s="27"/>
      <c r="B767" s="25" t="s">
        <v>13</v>
      </c>
      <c r="C767" s="8" t="s">
        <v>60</v>
      </c>
      <c r="D767" s="7" t="s">
        <v>79</v>
      </c>
      <c r="E767" s="9" t="s">
        <v>70</v>
      </c>
      <c r="F767" s="10">
        <v>20</v>
      </c>
      <c r="G767" s="11" t="s">
        <v>119</v>
      </c>
      <c r="H767" s="7" t="s">
        <v>85</v>
      </c>
      <c r="I767" s="11" t="s">
        <v>15</v>
      </c>
      <c r="J767" s="11" t="s">
        <v>103</v>
      </c>
      <c r="K767" s="12">
        <v>4590</v>
      </c>
      <c r="L767" s="12">
        <f>K767*16%</f>
        <v>734.4</v>
      </c>
      <c r="M767" s="12">
        <f t="shared" si="30"/>
        <v>3855.6</v>
      </c>
      <c r="N767" s="29">
        <v>20</v>
      </c>
    </row>
    <row r="768" spans="1:14" ht="16.5" thickTop="1" thickBot="1" x14ac:dyDescent="0.3">
      <c r="A768" s="27"/>
      <c r="B768" s="25" t="s">
        <v>10</v>
      </c>
      <c r="C768" s="8" t="s">
        <v>60</v>
      </c>
      <c r="D768" s="7" t="s">
        <v>79</v>
      </c>
      <c r="E768" s="9" t="s">
        <v>70</v>
      </c>
      <c r="F768" s="10">
        <v>20</v>
      </c>
      <c r="G768" s="11" t="s">
        <v>119</v>
      </c>
      <c r="H768" s="7" t="s">
        <v>85</v>
      </c>
      <c r="I768" s="11" t="s">
        <v>96</v>
      </c>
      <c r="J768" s="11" t="s">
        <v>103</v>
      </c>
      <c r="K768" s="12">
        <v>1785.7</v>
      </c>
      <c r="L768" s="12">
        <v>0</v>
      </c>
      <c r="M768" s="12">
        <f t="shared" si="30"/>
        <v>1785.7</v>
      </c>
      <c r="N768" s="29">
        <v>20</v>
      </c>
    </row>
    <row r="769" spans="1:14" ht="16.5" thickTop="1" thickBot="1" x14ac:dyDescent="0.3">
      <c r="A769" s="27"/>
      <c r="B769" s="25" t="s">
        <v>11</v>
      </c>
      <c r="C769" s="8" t="s">
        <v>60</v>
      </c>
      <c r="D769" s="7" t="s">
        <v>79</v>
      </c>
      <c r="E769" s="9" t="s">
        <v>70</v>
      </c>
      <c r="F769" s="10">
        <v>20</v>
      </c>
      <c r="G769" s="11" t="s">
        <v>94</v>
      </c>
      <c r="H769" s="7" t="s">
        <v>86</v>
      </c>
      <c r="I769" s="11" t="s">
        <v>7</v>
      </c>
      <c r="J769" s="11" t="s">
        <v>103</v>
      </c>
      <c r="K769" s="12">
        <v>24767</v>
      </c>
      <c r="L769" s="12">
        <f>K769*16%</f>
        <v>3962.7200000000003</v>
      </c>
      <c r="M769" s="12">
        <f>K769-L769</f>
        <v>20804.28</v>
      </c>
      <c r="N769" s="29">
        <v>20</v>
      </c>
    </row>
    <row r="770" spans="1:14" ht="16.5" thickTop="1" thickBot="1" x14ac:dyDescent="0.3">
      <c r="A770" s="27"/>
      <c r="B770" s="25" t="s">
        <v>13</v>
      </c>
      <c r="C770" s="8" t="s">
        <v>60</v>
      </c>
      <c r="D770" s="7" t="s">
        <v>79</v>
      </c>
      <c r="E770" s="9" t="s">
        <v>68</v>
      </c>
      <c r="F770" s="10">
        <v>20</v>
      </c>
      <c r="G770" s="11" t="s">
        <v>94</v>
      </c>
      <c r="H770" s="7" t="s">
        <v>86</v>
      </c>
      <c r="I770" s="11" t="s">
        <v>15</v>
      </c>
      <c r="J770" s="11" t="s">
        <v>103</v>
      </c>
      <c r="K770" s="49">
        <v>6580</v>
      </c>
      <c r="L770" s="12">
        <v>723.8</v>
      </c>
      <c r="M770" s="49">
        <f>K770-L770</f>
        <v>5856.2</v>
      </c>
      <c r="N770" s="29">
        <v>20</v>
      </c>
    </row>
    <row r="771" spans="1:14" ht="16.5" thickTop="1" thickBot="1" x14ac:dyDescent="0.3">
      <c r="A771" s="27"/>
      <c r="B771" s="25" t="s">
        <v>13</v>
      </c>
      <c r="C771" s="8" t="s">
        <v>60</v>
      </c>
      <c r="D771" s="7" t="s">
        <v>79</v>
      </c>
      <c r="E771" s="9" t="s">
        <v>70</v>
      </c>
      <c r="F771" s="10">
        <v>20</v>
      </c>
      <c r="G771" s="11" t="s">
        <v>94</v>
      </c>
      <c r="H771" s="7" t="s">
        <v>86</v>
      </c>
      <c r="I771" s="11" t="s">
        <v>9</v>
      </c>
      <c r="J771" s="11" t="s">
        <v>103</v>
      </c>
      <c r="K771" s="12">
        <v>15476</v>
      </c>
      <c r="L771" s="12">
        <f>K771*16%</f>
        <v>2476.16</v>
      </c>
      <c r="M771" s="12">
        <f t="shared" ref="M771:M807" si="31">K771-L771</f>
        <v>12999.84</v>
      </c>
      <c r="N771" s="29">
        <v>20</v>
      </c>
    </row>
    <row r="772" spans="1:14" ht="15.75" customHeight="1" thickTop="1" thickBot="1" x14ac:dyDescent="0.3">
      <c r="A772" s="27"/>
      <c r="B772" s="25" t="s">
        <v>22</v>
      </c>
      <c r="C772" s="8" t="s">
        <v>61</v>
      </c>
      <c r="D772" s="7" t="s">
        <v>79</v>
      </c>
      <c r="E772" s="9" t="s">
        <v>70</v>
      </c>
      <c r="F772" s="10">
        <v>20</v>
      </c>
      <c r="G772" s="13" t="s">
        <v>39</v>
      </c>
      <c r="H772" s="7" t="s">
        <v>83</v>
      </c>
      <c r="I772" s="11" t="s">
        <v>7</v>
      </c>
      <c r="J772" s="11" t="s">
        <v>80</v>
      </c>
      <c r="K772" s="12">
        <v>18709.103873069998</v>
      </c>
      <c r="L772" s="12">
        <v>0</v>
      </c>
      <c r="M772" s="12">
        <f t="shared" si="31"/>
        <v>18709.103873069998</v>
      </c>
      <c r="N772" s="29">
        <v>17</v>
      </c>
    </row>
    <row r="773" spans="1:14" ht="15.75" customHeight="1" thickTop="1" thickBot="1" x14ac:dyDescent="0.3">
      <c r="A773" s="27"/>
      <c r="B773" s="25" t="s">
        <v>11</v>
      </c>
      <c r="C773" s="8" t="s">
        <v>61</v>
      </c>
      <c r="D773" s="7" t="s">
        <v>79</v>
      </c>
      <c r="E773" s="9" t="s">
        <v>70</v>
      </c>
      <c r="F773" s="10">
        <v>20</v>
      </c>
      <c r="G773" s="13" t="s">
        <v>40</v>
      </c>
      <c r="H773" s="7" t="s">
        <v>83</v>
      </c>
      <c r="I773" s="14" t="s">
        <v>30</v>
      </c>
      <c r="J773" s="14" t="s">
        <v>107</v>
      </c>
      <c r="K773" s="12">
        <v>200</v>
      </c>
      <c r="L773" s="12">
        <f>K773*5%</f>
        <v>10</v>
      </c>
      <c r="M773" s="12">
        <f t="shared" si="31"/>
        <v>190</v>
      </c>
      <c r="N773" s="29">
        <v>10</v>
      </c>
    </row>
    <row r="774" spans="1:14" ht="16.5" thickTop="1" thickBot="1" x14ac:dyDescent="0.3">
      <c r="A774" s="27"/>
      <c r="B774" s="25" t="s">
        <v>11</v>
      </c>
      <c r="C774" s="8" t="s">
        <v>61</v>
      </c>
      <c r="D774" s="7" t="s">
        <v>79</v>
      </c>
      <c r="E774" s="9" t="s">
        <v>70</v>
      </c>
      <c r="F774" s="10">
        <v>20</v>
      </c>
      <c r="G774" s="13" t="s">
        <v>41</v>
      </c>
      <c r="H774" s="7" t="s">
        <v>83</v>
      </c>
      <c r="I774" s="14" t="s">
        <v>30</v>
      </c>
      <c r="J774" s="11" t="s">
        <v>80</v>
      </c>
      <c r="K774" s="12">
        <v>600</v>
      </c>
      <c r="L774" s="12">
        <f>K774*5%</f>
        <v>30</v>
      </c>
      <c r="M774" s="12">
        <f t="shared" si="31"/>
        <v>570</v>
      </c>
      <c r="N774" s="29">
        <v>25</v>
      </c>
    </row>
    <row r="775" spans="1:14" ht="16.5" thickTop="1" thickBot="1" x14ac:dyDescent="0.3">
      <c r="A775" s="27"/>
      <c r="B775" s="25" t="s">
        <v>22</v>
      </c>
      <c r="C775" s="8" t="s">
        <v>61</v>
      </c>
      <c r="D775" s="7" t="s">
        <v>79</v>
      </c>
      <c r="E775" s="9" t="s">
        <v>70</v>
      </c>
      <c r="F775" s="10">
        <v>20</v>
      </c>
      <c r="G775" s="13" t="s">
        <v>92</v>
      </c>
      <c r="H775" s="7" t="s">
        <v>83</v>
      </c>
      <c r="I775" s="11" t="s">
        <v>9</v>
      </c>
      <c r="J775" s="11" t="s">
        <v>80</v>
      </c>
      <c r="K775" s="12">
        <v>9854.9500000000007</v>
      </c>
      <c r="L775" s="12">
        <v>0</v>
      </c>
      <c r="M775" s="12">
        <f t="shared" si="31"/>
        <v>9854.9500000000007</v>
      </c>
      <c r="N775" s="29">
        <v>15</v>
      </c>
    </row>
    <row r="776" spans="1:14" ht="16.5" thickTop="1" thickBot="1" x14ac:dyDescent="0.3">
      <c r="A776" s="27"/>
      <c r="B776" s="25" t="s">
        <v>22</v>
      </c>
      <c r="C776" s="8" t="s">
        <v>61</v>
      </c>
      <c r="D776" s="7" t="s">
        <v>79</v>
      </c>
      <c r="E776" s="9" t="s">
        <v>70</v>
      </c>
      <c r="F776" s="10">
        <v>20</v>
      </c>
      <c r="G776" s="13" t="s">
        <v>92</v>
      </c>
      <c r="H776" s="7" t="s">
        <v>83</v>
      </c>
      <c r="I776" s="11" t="s">
        <v>7</v>
      </c>
      <c r="J776" s="11" t="s">
        <v>80</v>
      </c>
      <c r="K776" s="12">
        <v>5625</v>
      </c>
      <c r="L776" s="12">
        <v>0</v>
      </c>
      <c r="M776" s="12">
        <f t="shared" si="31"/>
        <v>5625</v>
      </c>
      <c r="N776" s="29">
        <v>15</v>
      </c>
    </row>
    <row r="777" spans="1:14" ht="16.5" thickTop="1" thickBot="1" x14ac:dyDescent="0.3">
      <c r="A777" s="27"/>
      <c r="B777" s="25" t="s">
        <v>11</v>
      </c>
      <c r="C777" s="8" t="s">
        <v>61</v>
      </c>
      <c r="D777" s="7" t="s">
        <v>78</v>
      </c>
      <c r="E777" s="9" t="s">
        <v>70</v>
      </c>
      <c r="F777" s="10">
        <v>20</v>
      </c>
      <c r="G777" s="13" t="s">
        <v>92</v>
      </c>
      <c r="H777" s="7" t="s">
        <v>83</v>
      </c>
      <c r="I777" s="11" t="s">
        <v>30</v>
      </c>
      <c r="J777" s="11" t="s">
        <v>80</v>
      </c>
      <c r="K777" s="12">
        <v>600</v>
      </c>
      <c r="L777" s="12">
        <f>K777*5%</f>
        <v>30</v>
      </c>
      <c r="M777" s="12">
        <f t="shared" si="31"/>
        <v>570</v>
      </c>
      <c r="N777" s="29">
        <v>7</v>
      </c>
    </row>
    <row r="778" spans="1:14" ht="15.75" customHeight="1" thickTop="1" thickBot="1" x14ac:dyDescent="0.3">
      <c r="A778" s="27"/>
      <c r="B778" s="25" t="s">
        <v>22</v>
      </c>
      <c r="C778" s="8" t="s">
        <v>61</v>
      </c>
      <c r="D778" s="7" t="s">
        <v>79</v>
      </c>
      <c r="E778" s="9" t="s">
        <v>70</v>
      </c>
      <c r="F778" s="10">
        <v>20</v>
      </c>
      <c r="G778" s="13" t="s">
        <v>42</v>
      </c>
      <c r="H778" s="7" t="s">
        <v>83</v>
      </c>
      <c r="I778" s="11" t="s">
        <v>9</v>
      </c>
      <c r="J778" s="11" t="s">
        <v>108</v>
      </c>
      <c r="K778" s="12">
        <v>820.63201302000004</v>
      </c>
      <c r="L778" s="12">
        <v>0</v>
      </c>
      <c r="M778" s="12">
        <f t="shared" si="31"/>
        <v>820.63201302000004</v>
      </c>
      <c r="N778" s="29">
        <v>9</v>
      </c>
    </row>
    <row r="779" spans="1:14" ht="15.75" customHeight="1" thickTop="1" thickBot="1" x14ac:dyDescent="0.3">
      <c r="A779" s="27"/>
      <c r="B779" s="25" t="s">
        <v>11</v>
      </c>
      <c r="C779" s="8" t="s">
        <v>61</v>
      </c>
      <c r="D779" s="7" t="s">
        <v>79</v>
      </c>
      <c r="E779" s="9" t="s">
        <v>70</v>
      </c>
      <c r="F779" s="10">
        <v>20</v>
      </c>
      <c r="G779" s="13" t="s">
        <v>43</v>
      </c>
      <c r="H779" s="7" t="s">
        <v>83</v>
      </c>
      <c r="I779" s="14" t="s">
        <v>30</v>
      </c>
      <c r="J779" s="14" t="s">
        <v>106</v>
      </c>
      <c r="K779" s="12">
        <v>200</v>
      </c>
      <c r="L779" s="12">
        <f>K779*5%</f>
        <v>10</v>
      </c>
      <c r="M779" s="12">
        <f t="shared" si="31"/>
        <v>190</v>
      </c>
      <c r="N779" s="29">
        <v>15</v>
      </c>
    </row>
    <row r="780" spans="1:14" ht="16.5" thickTop="1" thickBot="1" x14ac:dyDescent="0.3">
      <c r="A780" s="27"/>
      <c r="B780" s="25" t="s">
        <v>11</v>
      </c>
      <c r="C780" s="8" t="s">
        <v>61</v>
      </c>
      <c r="D780" s="7" t="s">
        <v>79</v>
      </c>
      <c r="E780" s="9" t="s">
        <v>70</v>
      </c>
      <c r="F780" s="10">
        <v>20</v>
      </c>
      <c r="G780" s="13" t="s">
        <v>44</v>
      </c>
      <c r="H780" s="15" t="s">
        <v>85</v>
      </c>
      <c r="I780" s="14" t="s">
        <v>30</v>
      </c>
      <c r="J780" s="11" t="s">
        <v>80</v>
      </c>
      <c r="K780" s="12">
        <v>200</v>
      </c>
      <c r="L780" s="12">
        <f>K780*5%</f>
        <v>10</v>
      </c>
      <c r="M780" s="12">
        <f t="shared" si="31"/>
        <v>190</v>
      </c>
      <c r="N780" s="29">
        <v>16</v>
      </c>
    </row>
    <row r="781" spans="1:14" ht="16.5" thickTop="1" thickBot="1" x14ac:dyDescent="0.3">
      <c r="A781" s="27" t="s">
        <v>111</v>
      </c>
      <c r="B781" s="25" t="s">
        <v>5</v>
      </c>
      <c r="C781" s="8" t="s">
        <v>61</v>
      </c>
      <c r="D781" s="7" t="s">
        <v>79</v>
      </c>
      <c r="E781" s="9" t="s">
        <v>70</v>
      </c>
      <c r="F781" s="10">
        <v>1</v>
      </c>
      <c r="G781" s="11" t="s">
        <v>45</v>
      </c>
      <c r="H781" s="7" t="s">
        <v>91</v>
      </c>
      <c r="I781" s="11" t="s">
        <v>20</v>
      </c>
      <c r="J781" s="11" t="s">
        <v>105</v>
      </c>
      <c r="K781" s="16">
        <v>36757.832193000002</v>
      </c>
      <c r="L781" s="12">
        <f>K781*5%</f>
        <v>1837.8916096500002</v>
      </c>
      <c r="M781" s="12">
        <f t="shared" si="31"/>
        <v>34919.940583349999</v>
      </c>
      <c r="N781" s="29">
        <v>30</v>
      </c>
    </row>
    <row r="782" spans="1:14" ht="16.5" thickTop="1" thickBot="1" x14ac:dyDescent="0.3">
      <c r="A782" s="27" t="s">
        <v>111</v>
      </c>
      <c r="B782" s="25" t="s">
        <v>5</v>
      </c>
      <c r="C782" s="8" t="s">
        <v>61</v>
      </c>
      <c r="D782" s="7" t="s">
        <v>79</v>
      </c>
      <c r="E782" s="9" t="s">
        <v>70</v>
      </c>
      <c r="F782" s="10">
        <v>1</v>
      </c>
      <c r="G782" s="11" t="s">
        <v>45</v>
      </c>
      <c r="H782" s="7" t="s">
        <v>91</v>
      </c>
      <c r="I782" s="11" t="s">
        <v>9</v>
      </c>
      <c r="J782" s="11" t="s">
        <v>105</v>
      </c>
      <c r="K782" s="16">
        <v>25897.992921000001</v>
      </c>
      <c r="L782" s="12">
        <f>K782*5%</f>
        <v>1294.8996460500002</v>
      </c>
      <c r="M782" s="12">
        <f t="shared" si="31"/>
        <v>24603.093274949999</v>
      </c>
      <c r="N782" s="29">
        <v>30</v>
      </c>
    </row>
    <row r="783" spans="1:14" ht="16.5" thickTop="1" thickBot="1" x14ac:dyDescent="0.3">
      <c r="A783" s="27" t="s">
        <v>111</v>
      </c>
      <c r="B783" s="25" t="s">
        <v>22</v>
      </c>
      <c r="C783" s="8" t="s">
        <v>61</v>
      </c>
      <c r="D783" s="7" t="s">
        <v>79</v>
      </c>
      <c r="E783" s="9" t="s">
        <v>70</v>
      </c>
      <c r="F783" s="10">
        <v>1</v>
      </c>
      <c r="G783" s="11" t="s">
        <v>46</v>
      </c>
      <c r="H783" s="7" t="s">
        <v>85</v>
      </c>
      <c r="I783" s="11" t="s">
        <v>20</v>
      </c>
      <c r="J783" s="11" t="s">
        <v>105</v>
      </c>
      <c r="K783" s="16">
        <v>52934.258285999997</v>
      </c>
      <c r="L783" s="12">
        <v>0</v>
      </c>
      <c r="M783" s="12">
        <f t="shared" si="31"/>
        <v>52934.258285999997</v>
      </c>
      <c r="N783" s="29">
        <v>30</v>
      </c>
    </row>
    <row r="784" spans="1:14" ht="16.5" thickTop="1" thickBot="1" x14ac:dyDescent="0.3">
      <c r="A784" s="27" t="s">
        <v>111</v>
      </c>
      <c r="B784" s="25" t="s">
        <v>22</v>
      </c>
      <c r="C784" s="8" t="s">
        <v>61</v>
      </c>
      <c r="D784" s="7" t="s">
        <v>79</v>
      </c>
      <c r="E784" s="9" t="s">
        <v>70</v>
      </c>
      <c r="F784" s="10">
        <v>1</v>
      </c>
      <c r="G784" s="11" t="s">
        <v>46</v>
      </c>
      <c r="H784" s="7" t="s">
        <v>85</v>
      </c>
      <c r="I784" s="11" t="s">
        <v>98</v>
      </c>
      <c r="J784" s="11" t="s">
        <v>105</v>
      </c>
      <c r="K784" s="12">
        <v>3129.3</v>
      </c>
      <c r="L784" s="12">
        <v>0</v>
      </c>
      <c r="M784" s="12">
        <f t="shared" si="31"/>
        <v>3129.3</v>
      </c>
      <c r="N784" s="29">
        <v>30</v>
      </c>
    </row>
    <row r="785" spans="1:17" ht="16.5" thickTop="1" thickBot="1" x14ac:dyDescent="0.3">
      <c r="A785" s="27" t="s">
        <v>111</v>
      </c>
      <c r="B785" s="25" t="s">
        <v>22</v>
      </c>
      <c r="C785" s="8" t="s">
        <v>61</v>
      </c>
      <c r="D785" s="7" t="s">
        <v>79</v>
      </c>
      <c r="E785" s="9" t="s">
        <v>70</v>
      </c>
      <c r="F785" s="10">
        <v>1</v>
      </c>
      <c r="G785" s="11" t="s">
        <v>46</v>
      </c>
      <c r="H785" s="7" t="s">
        <v>85</v>
      </c>
      <c r="I785" s="11" t="s">
        <v>9</v>
      </c>
      <c r="J785" s="11" t="s">
        <v>105</v>
      </c>
      <c r="K785" s="12">
        <v>38846.994597000004</v>
      </c>
      <c r="L785" s="12">
        <v>0</v>
      </c>
      <c r="M785" s="12">
        <f t="shared" si="31"/>
        <v>38846.994597000004</v>
      </c>
      <c r="N785" s="29">
        <v>30</v>
      </c>
    </row>
    <row r="786" spans="1:17" ht="16.5" thickTop="1" thickBot="1" x14ac:dyDescent="0.3">
      <c r="A786" s="27" t="s">
        <v>111</v>
      </c>
      <c r="B786" s="25" t="s">
        <v>22</v>
      </c>
      <c r="C786" s="8" t="s">
        <v>61</v>
      </c>
      <c r="D786" s="7" t="s">
        <v>79</v>
      </c>
      <c r="E786" s="9" t="s">
        <v>70</v>
      </c>
      <c r="F786" s="10">
        <v>1</v>
      </c>
      <c r="G786" s="11" t="s">
        <v>46</v>
      </c>
      <c r="H786" s="7" t="s">
        <v>85</v>
      </c>
      <c r="I786" s="11" t="s">
        <v>97</v>
      </c>
      <c r="J786" s="11" t="s">
        <v>105</v>
      </c>
      <c r="K786" s="12">
        <v>6400</v>
      </c>
      <c r="L786" s="12">
        <v>0</v>
      </c>
      <c r="M786" s="12">
        <f t="shared" si="31"/>
        <v>6400</v>
      </c>
      <c r="N786" s="29">
        <v>30</v>
      </c>
    </row>
    <row r="787" spans="1:17" ht="16.5" thickTop="1" thickBot="1" x14ac:dyDescent="0.3">
      <c r="A787" s="27" t="s">
        <v>111</v>
      </c>
      <c r="B787" s="25" t="s">
        <v>22</v>
      </c>
      <c r="C787" s="8" t="s">
        <v>61</v>
      </c>
      <c r="D787" s="7" t="s">
        <v>79</v>
      </c>
      <c r="E787" s="9" t="s">
        <v>70</v>
      </c>
      <c r="F787" s="10">
        <v>1</v>
      </c>
      <c r="G787" s="11" t="s">
        <v>47</v>
      </c>
      <c r="H787" s="7" t="s">
        <v>85</v>
      </c>
      <c r="I787" s="11" t="s">
        <v>9</v>
      </c>
      <c r="J787" s="11" t="s">
        <v>105</v>
      </c>
      <c r="K787" s="12">
        <v>30185.123490000002</v>
      </c>
      <c r="L787" s="12">
        <v>0</v>
      </c>
      <c r="M787" s="12">
        <f t="shared" si="31"/>
        <v>30185.123490000002</v>
      </c>
      <c r="N787" s="29">
        <v>30</v>
      </c>
    </row>
    <row r="788" spans="1:17" ht="16.5" thickTop="1" thickBot="1" x14ac:dyDescent="0.3">
      <c r="A788" s="27" t="s">
        <v>111</v>
      </c>
      <c r="B788" s="25" t="s">
        <v>22</v>
      </c>
      <c r="C788" s="8" t="s">
        <v>61</v>
      </c>
      <c r="D788" s="7" t="s">
        <v>79</v>
      </c>
      <c r="E788" s="9" t="s">
        <v>70</v>
      </c>
      <c r="F788" s="10">
        <v>1</v>
      </c>
      <c r="G788" s="11" t="s">
        <v>48</v>
      </c>
      <c r="H788" s="7" t="s">
        <v>85</v>
      </c>
      <c r="I788" s="11" t="s">
        <v>9</v>
      </c>
      <c r="J788" s="11" t="s">
        <v>105</v>
      </c>
      <c r="K788" s="12">
        <v>21610.872782999999</v>
      </c>
      <c r="L788" s="12">
        <v>0</v>
      </c>
      <c r="M788" s="12">
        <f t="shared" si="31"/>
        <v>21610.872782999999</v>
      </c>
      <c r="N788" s="29">
        <v>30</v>
      </c>
    </row>
    <row r="789" spans="1:17" ht="15.75" customHeight="1" thickTop="1" thickBot="1" x14ac:dyDescent="0.3">
      <c r="A789" s="27" t="s">
        <v>111</v>
      </c>
      <c r="B789" s="25" t="s">
        <v>22</v>
      </c>
      <c r="C789" s="8" t="s">
        <v>62</v>
      </c>
      <c r="D789" s="7" t="s">
        <v>79</v>
      </c>
      <c r="E789" s="9" t="s">
        <v>70</v>
      </c>
      <c r="F789" s="10">
        <v>10</v>
      </c>
      <c r="G789" s="13" t="s">
        <v>49</v>
      </c>
      <c r="H789" s="7" t="s">
        <v>85</v>
      </c>
      <c r="I789" s="11" t="s">
        <v>9</v>
      </c>
      <c r="J789" s="11" t="s">
        <v>105</v>
      </c>
      <c r="K789" s="12">
        <v>17400</v>
      </c>
      <c r="L789" s="12">
        <v>0</v>
      </c>
      <c r="M789" s="12">
        <f>K789-L789</f>
        <v>17400</v>
      </c>
      <c r="N789" s="29">
        <v>10</v>
      </c>
    </row>
    <row r="790" spans="1:17" ht="15.75" customHeight="1" thickTop="1" thickBot="1" x14ac:dyDescent="0.3">
      <c r="A790" s="27" t="s">
        <v>111</v>
      </c>
      <c r="B790" s="25" t="s">
        <v>22</v>
      </c>
      <c r="C790" s="8" t="s">
        <v>62</v>
      </c>
      <c r="D790" s="7" t="s">
        <v>79</v>
      </c>
      <c r="E790" s="9" t="s">
        <v>70</v>
      </c>
      <c r="F790" s="10">
        <v>10</v>
      </c>
      <c r="G790" s="13" t="s">
        <v>49</v>
      </c>
      <c r="H790" s="7" t="s">
        <v>85</v>
      </c>
      <c r="I790" s="11" t="s">
        <v>98</v>
      </c>
      <c r="J790" s="11" t="s">
        <v>105</v>
      </c>
      <c r="K790" s="12">
        <v>4829.5529999999999</v>
      </c>
      <c r="L790" s="12">
        <v>0</v>
      </c>
      <c r="M790" s="12">
        <f t="shared" si="31"/>
        <v>4829.5529999999999</v>
      </c>
      <c r="N790" s="29">
        <v>10</v>
      </c>
    </row>
    <row r="791" spans="1:17" ht="16.5" thickTop="1" thickBot="1" x14ac:dyDescent="0.3">
      <c r="A791" s="27" t="s">
        <v>111</v>
      </c>
      <c r="B791" s="25" t="s">
        <v>11</v>
      </c>
      <c r="C791" s="8" t="s">
        <v>62</v>
      </c>
      <c r="D791" s="7" t="s">
        <v>78</v>
      </c>
      <c r="E791" s="9" t="s">
        <v>70</v>
      </c>
      <c r="F791" s="10">
        <v>10</v>
      </c>
      <c r="G791" s="13" t="s">
        <v>49</v>
      </c>
      <c r="H791" s="7" t="s">
        <v>85</v>
      </c>
      <c r="I791" s="14" t="s">
        <v>30</v>
      </c>
      <c r="J791" s="11" t="s">
        <v>105</v>
      </c>
      <c r="K791" s="12">
        <v>1200</v>
      </c>
      <c r="L791" s="12">
        <f>K791*5%</f>
        <v>60</v>
      </c>
      <c r="M791" s="12">
        <f t="shared" si="31"/>
        <v>1140</v>
      </c>
      <c r="N791" s="29">
        <v>7</v>
      </c>
    </row>
    <row r="792" spans="1:17" ht="15.75" customHeight="1" thickTop="1" thickBot="1" x14ac:dyDescent="0.3">
      <c r="A792" s="27" t="s">
        <v>111</v>
      </c>
      <c r="B792" s="25" t="s">
        <v>22</v>
      </c>
      <c r="C792" s="8" t="s">
        <v>62</v>
      </c>
      <c r="D792" s="7" t="s">
        <v>79</v>
      </c>
      <c r="E792" s="9" t="s">
        <v>70</v>
      </c>
      <c r="F792" s="10">
        <v>10</v>
      </c>
      <c r="G792" s="13" t="s">
        <v>50</v>
      </c>
      <c r="H792" s="7" t="s">
        <v>85</v>
      </c>
      <c r="I792" s="11" t="s">
        <v>9</v>
      </c>
      <c r="J792" s="11" t="s">
        <v>105</v>
      </c>
      <c r="K792" s="12">
        <v>17400</v>
      </c>
      <c r="L792" s="12">
        <v>0</v>
      </c>
      <c r="M792" s="12">
        <f>K792-L792</f>
        <v>17400</v>
      </c>
      <c r="N792" s="29">
        <v>10</v>
      </c>
    </row>
    <row r="793" spans="1:17" ht="15.75" customHeight="1" thickTop="1" thickBot="1" x14ac:dyDescent="0.3">
      <c r="A793" s="27" t="s">
        <v>111</v>
      </c>
      <c r="B793" s="25" t="s">
        <v>22</v>
      </c>
      <c r="C793" s="8" t="s">
        <v>62</v>
      </c>
      <c r="D793" s="7" t="s">
        <v>79</v>
      </c>
      <c r="E793" s="9" t="s">
        <v>70</v>
      </c>
      <c r="F793" s="10">
        <v>10</v>
      </c>
      <c r="G793" s="13" t="s">
        <v>50</v>
      </c>
      <c r="H793" s="7" t="s">
        <v>85</v>
      </c>
      <c r="I793" s="11" t="s">
        <v>98</v>
      </c>
      <c r="J793" s="11" t="s">
        <v>105</v>
      </c>
      <c r="K793" s="12">
        <v>4829.5529999999999</v>
      </c>
      <c r="L793" s="12">
        <v>0</v>
      </c>
      <c r="M793" s="12">
        <f t="shared" si="31"/>
        <v>4829.5529999999999</v>
      </c>
      <c r="N793" s="29">
        <v>10</v>
      </c>
    </row>
    <row r="794" spans="1:17" ht="16.5" thickTop="1" thickBot="1" x14ac:dyDescent="0.3">
      <c r="A794" s="27" t="s">
        <v>111</v>
      </c>
      <c r="B794" s="25" t="s">
        <v>11</v>
      </c>
      <c r="C794" s="8" t="s">
        <v>62</v>
      </c>
      <c r="D794" s="7" t="s">
        <v>78</v>
      </c>
      <c r="E794" s="9" t="s">
        <v>70</v>
      </c>
      <c r="F794" s="10">
        <v>10</v>
      </c>
      <c r="G794" s="13" t="s">
        <v>50</v>
      </c>
      <c r="H794" s="7" t="s">
        <v>85</v>
      </c>
      <c r="I794" s="14" t="s">
        <v>30</v>
      </c>
      <c r="J794" s="11" t="s">
        <v>105</v>
      </c>
      <c r="K794" s="12">
        <v>600</v>
      </c>
      <c r="L794" s="12">
        <f>K794*5%</f>
        <v>30</v>
      </c>
      <c r="M794" s="12">
        <f t="shared" si="31"/>
        <v>570</v>
      </c>
      <c r="N794" s="29">
        <v>7</v>
      </c>
    </row>
    <row r="795" spans="1:17" ht="16.5" thickTop="1" thickBot="1" x14ac:dyDescent="0.3">
      <c r="A795" s="27" t="s">
        <v>111</v>
      </c>
      <c r="B795" s="25" t="s">
        <v>11</v>
      </c>
      <c r="C795" s="8" t="s">
        <v>62</v>
      </c>
      <c r="D795" s="7" t="s">
        <v>79</v>
      </c>
      <c r="E795" s="9" t="s">
        <v>70</v>
      </c>
      <c r="F795" s="10">
        <v>16</v>
      </c>
      <c r="G795" s="13" t="s">
        <v>51</v>
      </c>
      <c r="H795" s="7" t="s">
        <v>83</v>
      </c>
      <c r="I795" s="11" t="s">
        <v>7</v>
      </c>
      <c r="J795" s="11" t="s">
        <v>80</v>
      </c>
      <c r="K795" s="12">
        <v>19124.839514250001</v>
      </c>
      <c r="L795" s="12">
        <f>K795*16%</f>
        <v>3059.9743222800003</v>
      </c>
      <c r="M795" s="12">
        <f t="shared" si="31"/>
        <v>16064.865191970001</v>
      </c>
      <c r="N795" s="29">
        <v>30</v>
      </c>
    </row>
    <row r="796" spans="1:17" ht="16.5" thickTop="1" thickBot="1" x14ac:dyDescent="0.3">
      <c r="A796" s="27" t="s">
        <v>111</v>
      </c>
      <c r="B796" s="25" t="s">
        <v>11</v>
      </c>
      <c r="C796" s="8" t="s">
        <v>62</v>
      </c>
      <c r="D796" s="7" t="s">
        <v>79</v>
      </c>
      <c r="E796" s="9" t="s">
        <v>70</v>
      </c>
      <c r="F796" s="10">
        <v>16</v>
      </c>
      <c r="G796" s="11" t="s">
        <v>52</v>
      </c>
      <c r="H796" s="7" t="s">
        <v>84</v>
      </c>
      <c r="I796" s="11" t="s">
        <v>7</v>
      </c>
      <c r="J796" s="11" t="s">
        <v>103</v>
      </c>
      <c r="K796" s="12">
        <v>70096.320000000007</v>
      </c>
      <c r="L796" s="12">
        <f>K796*16%</f>
        <v>11215.4112</v>
      </c>
      <c r="M796" s="12">
        <v>57706.080000000002</v>
      </c>
      <c r="N796" s="29">
        <v>15</v>
      </c>
    </row>
    <row r="797" spans="1:17" ht="16.5" thickTop="1" thickBot="1" x14ac:dyDescent="0.3">
      <c r="A797" s="27" t="s">
        <v>111</v>
      </c>
      <c r="B797" s="25" t="s">
        <v>5</v>
      </c>
      <c r="C797" s="8" t="s">
        <v>62</v>
      </c>
      <c r="D797" s="7" t="s">
        <v>79</v>
      </c>
      <c r="E797" s="9" t="s">
        <v>70</v>
      </c>
      <c r="F797" s="10">
        <v>16</v>
      </c>
      <c r="G797" s="11" t="s">
        <v>53</v>
      </c>
      <c r="H797" s="7" t="s">
        <v>85</v>
      </c>
      <c r="I797" s="11" t="s">
        <v>7</v>
      </c>
      <c r="J797" s="11" t="s">
        <v>103</v>
      </c>
      <c r="K797" s="12">
        <v>17410.382099999999</v>
      </c>
      <c r="L797" s="12">
        <f>K797*5%</f>
        <v>870.51910499999997</v>
      </c>
      <c r="M797" s="12">
        <f t="shared" si="31"/>
        <v>16539.862995</v>
      </c>
      <c r="N797" s="29">
        <v>15</v>
      </c>
    </row>
    <row r="798" spans="1:17" ht="16.5" thickTop="1" thickBot="1" x14ac:dyDescent="0.3">
      <c r="A798" s="27" t="s">
        <v>111</v>
      </c>
      <c r="B798" s="25" t="s">
        <v>5</v>
      </c>
      <c r="C798" s="8" t="s">
        <v>62</v>
      </c>
      <c r="D798" s="7" t="s">
        <v>79</v>
      </c>
      <c r="E798" s="9" t="s">
        <v>70</v>
      </c>
      <c r="F798" s="10">
        <v>16</v>
      </c>
      <c r="G798" s="11" t="s">
        <v>53</v>
      </c>
      <c r="H798" s="7" t="s">
        <v>85</v>
      </c>
      <c r="I798" s="11" t="s">
        <v>15</v>
      </c>
      <c r="J798" s="11" t="s">
        <v>103</v>
      </c>
      <c r="K798" s="12">
        <v>4509.3212999999996</v>
      </c>
      <c r="L798" s="12">
        <f>K798*5%</f>
        <v>225.46606499999999</v>
      </c>
      <c r="M798" s="12">
        <f t="shared" si="31"/>
        <v>4283.855235</v>
      </c>
      <c r="N798" s="29">
        <v>15</v>
      </c>
    </row>
    <row r="799" spans="1:17" ht="16.5" thickTop="1" thickBot="1" x14ac:dyDescent="0.3">
      <c r="A799" s="27" t="s">
        <v>111</v>
      </c>
      <c r="B799" s="25" t="s">
        <v>5</v>
      </c>
      <c r="C799" s="8" t="s">
        <v>62</v>
      </c>
      <c r="D799" s="7" t="s">
        <v>79</v>
      </c>
      <c r="E799" s="9" t="s">
        <v>70</v>
      </c>
      <c r="F799" s="10">
        <v>16</v>
      </c>
      <c r="G799" s="11" t="s">
        <v>53</v>
      </c>
      <c r="H799" s="7" t="s">
        <v>85</v>
      </c>
      <c r="I799" s="11" t="s">
        <v>9</v>
      </c>
      <c r="J799" s="11" t="s">
        <v>103</v>
      </c>
      <c r="K799" s="12">
        <v>7272.4931999999999</v>
      </c>
      <c r="L799" s="12">
        <f>K799*5%</f>
        <v>363.62466000000001</v>
      </c>
      <c r="M799" s="12">
        <f t="shared" si="31"/>
        <v>6908.8685399999995</v>
      </c>
      <c r="N799" s="29">
        <v>15</v>
      </c>
    </row>
    <row r="800" spans="1:17" ht="16.5" thickTop="1" thickBot="1" x14ac:dyDescent="0.3">
      <c r="A800" s="27" t="s">
        <v>111</v>
      </c>
      <c r="B800" s="25" t="s">
        <v>22</v>
      </c>
      <c r="C800" s="8" t="s">
        <v>62</v>
      </c>
      <c r="D800" s="7" t="s">
        <v>79</v>
      </c>
      <c r="E800" s="9" t="s">
        <v>70</v>
      </c>
      <c r="F800" s="10">
        <v>1</v>
      </c>
      <c r="G800" s="11" t="s">
        <v>54</v>
      </c>
      <c r="H800" s="7" t="s">
        <v>85</v>
      </c>
      <c r="I800" s="11" t="s">
        <v>20</v>
      </c>
      <c r="J800" s="11" t="s">
        <v>105</v>
      </c>
      <c r="K800" s="16">
        <v>36757.832193000002</v>
      </c>
      <c r="L800" s="12">
        <v>0</v>
      </c>
      <c r="M800" s="12">
        <f t="shared" si="31"/>
        <v>36757.832193000002</v>
      </c>
      <c r="N800" s="29">
        <v>30</v>
      </c>
    </row>
    <row r="801" spans="1:14" ht="16.5" thickTop="1" thickBot="1" x14ac:dyDescent="0.3">
      <c r="A801" s="27" t="s">
        <v>111</v>
      </c>
      <c r="B801" s="25" t="s">
        <v>22</v>
      </c>
      <c r="C801" s="8" t="s">
        <v>62</v>
      </c>
      <c r="D801" s="7" t="s">
        <v>79</v>
      </c>
      <c r="E801" s="9" t="s">
        <v>70</v>
      </c>
      <c r="F801" s="10">
        <v>1</v>
      </c>
      <c r="G801" s="11" t="s">
        <v>54</v>
      </c>
      <c r="H801" s="7" t="s">
        <v>85</v>
      </c>
      <c r="I801" s="11" t="s">
        <v>9</v>
      </c>
      <c r="J801" s="11" t="s">
        <v>105</v>
      </c>
      <c r="K801" s="16">
        <v>30185.123490000002</v>
      </c>
      <c r="L801" s="12">
        <v>0</v>
      </c>
      <c r="M801" s="12">
        <f t="shared" si="31"/>
        <v>30185.123490000002</v>
      </c>
      <c r="N801" s="29">
        <v>30</v>
      </c>
    </row>
    <row r="802" spans="1:14" ht="16.5" thickTop="1" thickBot="1" x14ac:dyDescent="0.3">
      <c r="A802" s="27" t="s">
        <v>111</v>
      </c>
      <c r="B802" s="25" t="s">
        <v>22</v>
      </c>
      <c r="C802" s="8" t="s">
        <v>62</v>
      </c>
      <c r="D802" s="7" t="s">
        <v>79</v>
      </c>
      <c r="E802" s="9" t="s">
        <v>70</v>
      </c>
      <c r="F802" s="10">
        <v>1</v>
      </c>
      <c r="G802" s="11" t="s">
        <v>55</v>
      </c>
      <c r="H802" s="7" t="s">
        <v>85</v>
      </c>
      <c r="I802" s="11" t="s">
        <v>20</v>
      </c>
      <c r="J802" s="11" t="s">
        <v>105</v>
      </c>
      <c r="K802" s="16">
        <v>31506.62688</v>
      </c>
      <c r="L802" s="12">
        <v>0</v>
      </c>
      <c r="M802" s="12">
        <f t="shared" si="31"/>
        <v>31506.62688</v>
      </c>
      <c r="N802" s="29">
        <v>30</v>
      </c>
    </row>
    <row r="803" spans="1:14" ht="16.5" thickTop="1" thickBot="1" x14ac:dyDescent="0.3">
      <c r="A803" s="27" t="s">
        <v>111</v>
      </c>
      <c r="B803" s="25" t="s">
        <v>22</v>
      </c>
      <c r="C803" s="8" t="s">
        <v>62</v>
      </c>
      <c r="D803" s="7" t="s">
        <v>79</v>
      </c>
      <c r="E803" s="9" t="s">
        <v>70</v>
      </c>
      <c r="F803" s="10">
        <v>1</v>
      </c>
      <c r="G803" s="11" t="s">
        <v>55</v>
      </c>
      <c r="H803" s="7" t="s">
        <v>85</v>
      </c>
      <c r="I803" s="11" t="s">
        <v>9</v>
      </c>
      <c r="J803" s="11" t="s">
        <v>105</v>
      </c>
      <c r="K803" s="12">
        <v>21581.665982999999</v>
      </c>
      <c r="L803" s="12">
        <v>0</v>
      </c>
      <c r="M803" s="12">
        <f t="shared" si="31"/>
        <v>21581.665982999999</v>
      </c>
      <c r="N803" s="29">
        <v>30</v>
      </c>
    </row>
    <row r="804" spans="1:14" ht="16.5" thickTop="1" thickBot="1" x14ac:dyDescent="0.3">
      <c r="A804" s="27" t="s">
        <v>111</v>
      </c>
      <c r="B804" s="25" t="s">
        <v>22</v>
      </c>
      <c r="C804" s="8" t="s">
        <v>62</v>
      </c>
      <c r="D804" s="7" t="s">
        <v>79</v>
      </c>
      <c r="E804" s="9" t="s">
        <v>70</v>
      </c>
      <c r="F804" s="10">
        <v>1</v>
      </c>
      <c r="G804" s="11" t="s">
        <v>56</v>
      </c>
      <c r="H804" s="7" t="s">
        <v>85</v>
      </c>
      <c r="I804" s="11" t="s">
        <v>9</v>
      </c>
      <c r="J804" s="11" t="s">
        <v>105</v>
      </c>
      <c r="K804" s="12">
        <v>30214.330290000002</v>
      </c>
      <c r="L804" s="12">
        <v>0</v>
      </c>
      <c r="M804" s="12">
        <f t="shared" si="31"/>
        <v>30214.330290000002</v>
      </c>
      <c r="N804" s="29">
        <v>30</v>
      </c>
    </row>
    <row r="805" spans="1:14" ht="16.5" thickTop="1" thickBot="1" x14ac:dyDescent="0.3">
      <c r="A805" s="27" t="s">
        <v>111</v>
      </c>
      <c r="B805" s="25" t="s">
        <v>22</v>
      </c>
      <c r="C805" s="8" t="s">
        <v>62</v>
      </c>
      <c r="D805" s="7" t="s">
        <v>79</v>
      </c>
      <c r="E805" s="9" t="s">
        <v>70</v>
      </c>
      <c r="F805" s="10">
        <v>1</v>
      </c>
      <c r="G805" s="11" t="s">
        <v>57</v>
      </c>
      <c r="H805" s="7" t="s">
        <v>85</v>
      </c>
      <c r="I805" s="11" t="s">
        <v>9</v>
      </c>
      <c r="J805" s="11" t="s">
        <v>105</v>
      </c>
      <c r="K805" s="12">
        <v>30185.123490000002</v>
      </c>
      <c r="L805" s="12">
        <v>0</v>
      </c>
      <c r="M805" s="12">
        <f t="shared" si="31"/>
        <v>30185.123490000002</v>
      </c>
      <c r="N805" s="29">
        <v>30</v>
      </c>
    </row>
    <row r="806" spans="1:14" ht="16.5" thickTop="1" thickBot="1" x14ac:dyDescent="0.3">
      <c r="A806" s="27" t="s">
        <v>111</v>
      </c>
      <c r="B806" s="25" t="s">
        <v>22</v>
      </c>
      <c r="C806" s="8" t="s">
        <v>62</v>
      </c>
      <c r="D806" s="7" t="s">
        <v>79</v>
      </c>
      <c r="E806" s="9" t="s">
        <v>70</v>
      </c>
      <c r="F806" s="10">
        <v>1</v>
      </c>
      <c r="G806" s="11" t="s">
        <v>58</v>
      </c>
      <c r="H806" s="7" t="s">
        <v>85</v>
      </c>
      <c r="I806" s="11" t="s">
        <v>9</v>
      </c>
      <c r="J806" s="11" t="s">
        <v>105</v>
      </c>
      <c r="K806" s="12">
        <v>17265.328613999998</v>
      </c>
      <c r="L806" s="12">
        <v>0</v>
      </c>
      <c r="M806" s="12">
        <f t="shared" si="31"/>
        <v>17265.328613999998</v>
      </c>
      <c r="N806" s="29">
        <v>30</v>
      </c>
    </row>
    <row r="807" spans="1:14" s="4" customFormat="1" ht="16.5" thickTop="1" thickBot="1" x14ac:dyDescent="0.3">
      <c r="A807" s="30" t="s">
        <v>111</v>
      </c>
      <c r="B807" s="31" t="s">
        <v>22</v>
      </c>
      <c r="C807" s="32" t="s">
        <v>62</v>
      </c>
      <c r="D807" s="33" t="s">
        <v>79</v>
      </c>
      <c r="E807" s="34" t="s">
        <v>70</v>
      </c>
      <c r="F807" s="35">
        <v>1</v>
      </c>
      <c r="G807" s="36" t="s">
        <v>59</v>
      </c>
      <c r="H807" s="33" t="s">
        <v>85</v>
      </c>
      <c r="I807" s="36" t="s">
        <v>9</v>
      </c>
      <c r="J807" s="36" t="s">
        <v>105</v>
      </c>
      <c r="K807" s="37">
        <v>4316.3373689999999</v>
      </c>
      <c r="L807" s="37">
        <v>0</v>
      </c>
      <c r="M807" s="37">
        <f t="shared" si="31"/>
        <v>4316.3373689999999</v>
      </c>
      <c r="N807" s="38">
        <v>30</v>
      </c>
    </row>
    <row r="808" spans="1:14" ht="15.75" thickBot="1" x14ac:dyDescent="0.3">
      <c r="A808" s="39"/>
      <c r="B808" s="40" t="s">
        <v>5</v>
      </c>
      <c r="C808" s="41" t="s">
        <v>0</v>
      </c>
      <c r="D808" s="42" t="s">
        <v>79</v>
      </c>
      <c r="E808" s="43" t="s">
        <v>71</v>
      </c>
      <c r="F808" s="44">
        <v>10</v>
      </c>
      <c r="G808" s="45" t="s">
        <v>6</v>
      </c>
      <c r="H808" s="42" t="s">
        <v>85</v>
      </c>
      <c r="I808" s="45" t="s">
        <v>7</v>
      </c>
      <c r="J808" s="45" t="s">
        <v>103</v>
      </c>
      <c r="K808" s="46">
        <v>37326.692723669999</v>
      </c>
      <c r="L808" s="46">
        <f>K808*5%</f>
        <v>1866.3346361835002</v>
      </c>
      <c r="M808" s="46">
        <f>K808-L808</f>
        <v>35460.3580874865</v>
      </c>
      <c r="N808" s="47">
        <v>10</v>
      </c>
    </row>
    <row r="809" spans="1:14" ht="16.5" thickTop="1" thickBot="1" x14ac:dyDescent="0.3">
      <c r="A809" s="27"/>
      <c r="B809" s="25" t="s">
        <v>5</v>
      </c>
      <c r="C809" s="8" t="s">
        <v>0</v>
      </c>
      <c r="D809" s="7" t="s">
        <v>79</v>
      </c>
      <c r="E809" s="9" t="s">
        <v>71</v>
      </c>
      <c r="F809" s="10">
        <v>10</v>
      </c>
      <c r="G809" s="11" t="s">
        <v>8</v>
      </c>
      <c r="H809" s="7" t="s">
        <v>85</v>
      </c>
      <c r="I809" s="11" t="s">
        <v>7</v>
      </c>
      <c r="J809" s="11" t="s">
        <v>103</v>
      </c>
      <c r="K809" s="12">
        <v>17490.966790500002</v>
      </c>
      <c r="L809" s="12">
        <f>K809*5%</f>
        <v>874.54833952500019</v>
      </c>
      <c r="M809" s="12">
        <f>K809-L809</f>
        <v>16616.418450975001</v>
      </c>
      <c r="N809" s="29">
        <v>10</v>
      </c>
    </row>
    <row r="810" spans="1:14" ht="16.5" thickTop="1" thickBot="1" x14ac:dyDescent="0.3">
      <c r="A810" s="27"/>
      <c r="B810" s="25" t="s">
        <v>5</v>
      </c>
      <c r="C810" s="8" t="s">
        <v>0</v>
      </c>
      <c r="D810" s="7" t="s">
        <v>79</v>
      </c>
      <c r="E810" s="9" t="s">
        <v>71</v>
      </c>
      <c r="F810" s="10">
        <v>10</v>
      </c>
      <c r="G810" s="11" t="s">
        <v>8</v>
      </c>
      <c r="H810" s="7" t="s">
        <v>85</v>
      </c>
      <c r="I810" s="11" t="s">
        <v>97</v>
      </c>
      <c r="J810" s="11" t="s">
        <v>103</v>
      </c>
      <c r="K810" s="12">
        <v>17490.966790500002</v>
      </c>
      <c r="L810" s="12">
        <f>K810*5%</f>
        <v>874.54833952500019</v>
      </c>
      <c r="M810" s="12">
        <f>K810-L810</f>
        <v>16616.418450975001</v>
      </c>
      <c r="N810" s="29">
        <v>10</v>
      </c>
    </row>
    <row r="811" spans="1:14" ht="16.5" thickTop="1" thickBot="1" x14ac:dyDescent="0.3">
      <c r="A811" s="27"/>
      <c r="B811" s="25" t="s">
        <v>5</v>
      </c>
      <c r="C811" s="8" t="s">
        <v>0</v>
      </c>
      <c r="D811" s="7" t="s">
        <v>79</v>
      </c>
      <c r="E811" s="9" t="s">
        <v>71</v>
      </c>
      <c r="F811" s="10">
        <v>10</v>
      </c>
      <c r="G811" s="11" t="s">
        <v>8</v>
      </c>
      <c r="H811" s="7" t="s">
        <v>85</v>
      </c>
      <c r="I811" s="11" t="s">
        <v>9</v>
      </c>
      <c r="J811" s="11" t="s">
        <v>103</v>
      </c>
      <c r="K811" s="12">
        <v>15318.197313750001</v>
      </c>
      <c r="L811" s="12">
        <f>K811*5%</f>
        <v>765.90986568750009</v>
      </c>
      <c r="M811" s="12">
        <f>K811-L811</f>
        <v>14552.287448062501</v>
      </c>
      <c r="N811" s="29">
        <v>10</v>
      </c>
    </row>
    <row r="812" spans="1:14" ht="16.5" thickTop="1" thickBot="1" x14ac:dyDescent="0.3">
      <c r="A812" s="27"/>
      <c r="B812" s="25" t="s">
        <v>5</v>
      </c>
      <c r="C812" s="8" t="s">
        <v>0</v>
      </c>
      <c r="D812" s="7" t="s">
        <v>79</v>
      </c>
      <c r="E812" s="9" t="s">
        <v>71</v>
      </c>
      <c r="F812" s="10">
        <v>10</v>
      </c>
      <c r="G812" s="11" t="s">
        <v>8</v>
      </c>
      <c r="H812" s="7" t="s">
        <v>85</v>
      </c>
      <c r="I812" s="11" t="s">
        <v>15</v>
      </c>
      <c r="J812" s="11" t="s">
        <v>103</v>
      </c>
      <c r="K812" s="12">
        <v>13061.815548749999</v>
      </c>
      <c r="L812" s="12">
        <f>K812*5%</f>
        <v>653.09077743750004</v>
      </c>
      <c r="M812" s="12">
        <f>K812-L812</f>
        <v>12408.7247713125</v>
      </c>
      <c r="N812" s="29">
        <v>10</v>
      </c>
    </row>
    <row r="813" spans="1:14" ht="16.5" thickTop="1" thickBot="1" x14ac:dyDescent="0.3">
      <c r="A813" s="27"/>
      <c r="B813" s="25" t="s">
        <v>10</v>
      </c>
      <c r="C813" s="8" t="s">
        <v>0</v>
      </c>
      <c r="D813" s="7" t="s">
        <v>79</v>
      </c>
      <c r="E813" s="9" t="s">
        <v>71</v>
      </c>
      <c r="F813" s="10">
        <v>10</v>
      </c>
      <c r="G813" s="11" t="s">
        <v>8</v>
      </c>
      <c r="H813" s="7" t="s">
        <v>85</v>
      </c>
      <c r="I813" s="11" t="s">
        <v>96</v>
      </c>
      <c r="J813" s="11" t="s">
        <v>103</v>
      </c>
      <c r="K813" s="12">
        <v>2000</v>
      </c>
      <c r="L813" s="12">
        <f>0</f>
        <v>0</v>
      </c>
      <c r="M813" s="12">
        <f>K813</f>
        <v>2000</v>
      </c>
      <c r="N813" s="29">
        <v>10</v>
      </c>
    </row>
    <row r="814" spans="1:14" ht="16.5" thickTop="1" thickBot="1" x14ac:dyDescent="0.3">
      <c r="A814" s="27"/>
      <c r="B814" s="25" t="s">
        <v>10</v>
      </c>
      <c r="C814" s="8" t="s">
        <v>0</v>
      </c>
      <c r="D814" s="7" t="s">
        <v>79</v>
      </c>
      <c r="E814" s="9" t="s">
        <v>71</v>
      </c>
      <c r="F814" s="10">
        <v>10</v>
      </c>
      <c r="G814" s="11" t="s">
        <v>8</v>
      </c>
      <c r="H814" s="7" t="s">
        <v>85</v>
      </c>
      <c r="I814" s="11" t="s">
        <v>96</v>
      </c>
      <c r="J814" s="11" t="s">
        <v>103</v>
      </c>
      <c r="K814" s="12">
        <v>200</v>
      </c>
      <c r="L814" s="12">
        <f>0</f>
        <v>0</v>
      </c>
      <c r="M814" s="12">
        <f>K814</f>
        <v>200</v>
      </c>
      <c r="N814" s="29">
        <v>10</v>
      </c>
    </row>
    <row r="815" spans="1:14" ht="16.5" thickTop="1" thickBot="1" x14ac:dyDescent="0.3">
      <c r="A815" s="27"/>
      <c r="B815" s="25" t="s">
        <v>11</v>
      </c>
      <c r="C815" s="8" t="s">
        <v>0</v>
      </c>
      <c r="D815" s="7" t="s">
        <v>79</v>
      </c>
      <c r="E815" s="9" t="s">
        <v>71</v>
      </c>
      <c r="F815" s="10">
        <v>16</v>
      </c>
      <c r="G815" s="11" t="s">
        <v>12</v>
      </c>
      <c r="H815" s="7" t="s">
        <v>85</v>
      </c>
      <c r="I815" s="11" t="s">
        <v>7</v>
      </c>
      <c r="J815" s="11" t="s">
        <v>103</v>
      </c>
      <c r="K815" s="12">
        <v>17013.380378354999</v>
      </c>
      <c r="L815" s="12">
        <f>K815*16%</f>
        <v>2722.1408605368001</v>
      </c>
      <c r="M815" s="12">
        <f t="shared" ref="M815:M831" si="32">K815-L815</f>
        <v>14291.2395178182</v>
      </c>
      <c r="N815" s="29">
        <v>15</v>
      </c>
    </row>
    <row r="816" spans="1:14" ht="16.5" thickTop="1" thickBot="1" x14ac:dyDescent="0.3">
      <c r="A816" s="27"/>
      <c r="B816" s="25" t="s">
        <v>13</v>
      </c>
      <c r="C816" s="8" t="s">
        <v>0</v>
      </c>
      <c r="D816" s="7" t="s">
        <v>79</v>
      </c>
      <c r="E816" s="9" t="s">
        <v>71</v>
      </c>
      <c r="F816" s="10">
        <v>16</v>
      </c>
      <c r="G816" s="11" t="s">
        <v>12</v>
      </c>
      <c r="H816" s="7" t="s">
        <v>85</v>
      </c>
      <c r="I816" s="11" t="s">
        <v>9</v>
      </c>
      <c r="J816" s="11" t="s">
        <v>103</v>
      </c>
      <c r="K816" s="12">
        <v>3729.6405063450002</v>
      </c>
      <c r="L816" s="12">
        <f>K816*16%</f>
        <v>596.74248101520004</v>
      </c>
      <c r="M816" s="12">
        <f t="shared" si="32"/>
        <v>3132.8980253298</v>
      </c>
      <c r="N816" s="29">
        <v>15</v>
      </c>
    </row>
    <row r="817" spans="1:14" ht="16.5" thickTop="1" thickBot="1" x14ac:dyDescent="0.3">
      <c r="A817" s="27"/>
      <c r="B817" s="25" t="s">
        <v>13</v>
      </c>
      <c r="C817" s="8" t="s">
        <v>0</v>
      </c>
      <c r="D817" s="7" t="s">
        <v>79</v>
      </c>
      <c r="E817" s="9" t="s">
        <v>71</v>
      </c>
      <c r="F817" s="10">
        <v>16</v>
      </c>
      <c r="G817" s="11" t="s">
        <v>12</v>
      </c>
      <c r="H817" s="7" t="s">
        <v>85</v>
      </c>
      <c r="I817" s="11" t="s">
        <v>99</v>
      </c>
      <c r="J817" s="11" t="s">
        <v>103</v>
      </c>
      <c r="K817" s="12">
        <v>4416.0016102200007</v>
      </c>
      <c r="L817" s="12">
        <f>K817*16%</f>
        <v>706.56025763520017</v>
      </c>
      <c r="M817" s="12">
        <f t="shared" si="32"/>
        <v>3709.4413525848004</v>
      </c>
      <c r="N817" s="29">
        <v>15</v>
      </c>
    </row>
    <row r="818" spans="1:14" ht="16.5" thickTop="1" thickBot="1" x14ac:dyDescent="0.3">
      <c r="A818" s="27"/>
      <c r="B818" s="25" t="s">
        <v>5</v>
      </c>
      <c r="C818" s="8" t="s">
        <v>0</v>
      </c>
      <c r="D818" s="7" t="s">
        <v>79</v>
      </c>
      <c r="E818" s="9" t="s">
        <v>71</v>
      </c>
      <c r="F818" s="10">
        <v>16</v>
      </c>
      <c r="G818" s="11" t="s">
        <v>139</v>
      </c>
      <c r="H818" s="7" t="s">
        <v>84</v>
      </c>
      <c r="I818" s="11" t="s">
        <v>7</v>
      </c>
      <c r="J818" s="11" t="s">
        <v>103</v>
      </c>
      <c r="K818" s="12">
        <v>14761.659131999999</v>
      </c>
      <c r="L818" s="12">
        <f>K818*5%</f>
        <v>738.08295659999999</v>
      </c>
      <c r="M818" s="12">
        <f t="shared" si="32"/>
        <v>14023.5761754</v>
      </c>
      <c r="N818" s="29">
        <v>15</v>
      </c>
    </row>
    <row r="819" spans="1:14" ht="16.5" thickTop="1" thickBot="1" x14ac:dyDescent="0.3">
      <c r="A819" s="27"/>
      <c r="B819" s="25" t="s">
        <v>5</v>
      </c>
      <c r="C819" s="8" t="s">
        <v>0</v>
      </c>
      <c r="D819" s="7" t="s">
        <v>79</v>
      </c>
      <c r="E819" s="9" t="s">
        <v>71</v>
      </c>
      <c r="F819" s="10">
        <v>16</v>
      </c>
      <c r="G819" s="11" t="s">
        <v>139</v>
      </c>
      <c r="H819" s="7" t="s">
        <v>84</v>
      </c>
      <c r="I819" s="11" t="s">
        <v>9</v>
      </c>
      <c r="J819" s="11" t="s">
        <v>103</v>
      </c>
      <c r="K819" s="12">
        <v>3763.01</v>
      </c>
      <c r="L819" s="12">
        <f>K819*5%</f>
        <v>188.15050000000002</v>
      </c>
      <c r="M819" s="12">
        <f t="shared" si="32"/>
        <v>3574.8595</v>
      </c>
      <c r="N819" s="29">
        <v>15</v>
      </c>
    </row>
    <row r="820" spans="1:14" ht="16.5" thickTop="1" thickBot="1" x14ac:dyDescent="0.3">
      <c r="A820" s="27"/>
      <c r="B820" s="25" t="s">
        <v>5</v>
      </c>
      <c r="C820" s="8" t="s">
        <v>0</v>
      </c>
      <c r="D820" s="7" t="s">
        <v>79</v>
      </c>
      <c r="E820" s="9" t="s">
        <v>71</v>
      </c>
      <c r="F820" s="10">
        <v>16</v>
      </c>
      <c r="G820" s="11" t="s">
        <v>139</v>
      </c>
      <c r="H820" s="7" t="s">
        <v>84</v>
      </c>
      <c r="I820" s="11" t="s">
        <v>15</v>
      </c>
      <c r="J820" s="11" t="s">
        <v>103</v>
      </c>
      <c r="K820" s="12">
        <v>4780.5638085000001</v>
      </c>
      <c r="L820" s="12">
        <f>K820*5%</f>
        <v>239.02819042500002</v>
      </c>
      <c r="M820" s="12">
        <f t="shared" si="32"/>
        <v>4541.5356180750005</v>
      </c>
      <c r="N820" s="29">
        <v>15</v>
      </c>
    </row>
    <row r="821" spans="1:14" ht="16.5" thickTop="1" thickBot="1" x14ac:dyDescent="0.3">
      <c r="A821" s="27"/>
      <c r="B821" s="25" t="s">
        <v>10</v>
      </c>
      <c r="C821" s="8" t="s">
        <v>0</v>
      </c>
      <c r="D821" s="7" t="s">
        <v>79</v>
      </c>
      <c r="E821" s="9" t="s">
        <v>71</v>
      </c>
      <c r="F821" s="10">
        <v>16</v>
      </c>
      <c r="G821" s="11" t="s">
        <v>139</v>
      </c>
      <c r="H821" s="7" t="s">
        <v>84</v>
      </c>
      <c r="I821" s="11" t="s">
        <v>96</v>
      </c>
      <c r="J821" s="11" t="s">
        <v>103</v>
      </c>
      <c r="K821" s="12">
        <v>500</v>
      </c>
      <c r="L821" s="12">
        <f>0</f>
        <v>0</v>
      </c>
      <c r="M821" s="12">
        <f t="shared" si="32"/>
        <v>500</v>
      </c>
      <c r="N821" s="29">
        <v>15</v>
      </c>
    </row>
    <row r="822" spans="1:14" ht="16.5" thickTop="1" thickBot="1" x14ac:dyDescent="0.3">
      <c r="A822" s="27"/>
      <c r="B822" s="25" t="s">
        <v>11</v>
      </c>
      <c r="C822" s="8" t="s">
        <v>0</v>
      </c>
      <c r="D822" s="7" t="s">
        <v>79</v>
      </c>
      <c r="E822" s="9" t="s">
        <v>71</v>
      </c>
      <c r="F822" s="10">
        <v>20</v>
      </c>
      <c r="G822" s="11" t="s">
        <v>16</v>
      </c>
      <c r="H822" s="7" t="s">
        <v>85</v>
      </c>
      <c r="I822" s="11" t="s">
        <v>7</v>
      </c>
      <c r="J822" s="11" t="s">
        <v>103</v>
      </c>
      <c r="K822" s="12">
        <v>15515</v>
      </c>
      <c r="L822" s="12">
        <f>K822*16%</f>
        <v>2482.4</v>
      </c>
      <c r="M822" s="12">
        <f t="shared" si="32"/>
        <v>13032.6</v>
      </c>
      <c r="N822" s="29">
        <v>15</v>
      </c>
    </row>
    <row r="823" spans="1:14" ht="16.5" thickTop="1" thickBot="1" x14ac:dyDescent="0.3">
      <c r="A823" s="27"/>
      <c r="B823" s="25" t="s">
        <v>13</v>
      </c>
      <c r="C823" s="8" t="s">
        <v>0</v>
      </c>
      <c r="D823" s="7" t="s">
        <v>79</v>
      </c>
      <c r="E823" s="9" t="s">
        <v>71</v>
      </c>
      <c r="F823" s="10">
        <v>20</v>
      </c>
      <c r="G823" s="11" t="s">
        <v>16</v>
      </c>
      <c r="H823" s="7" t="s">
        <v>85</v>
      </c>
      <c r="I823" s="11" t="s">
        <v>113</v>
      </c>
      <c r="J823" s="11" t="s">
        <v>103</v>
      </c>
      <c r="K823" s="12">
        <v>1500</v>
      </c>
      <c r="L823" s="12">
        <f>K823*16%</f>
        <v>240</v>
      </c>
      <c r="M823" s="12">
        <f t="shared" si="32"/>
        <v>1260</v>
      </c>
      <c r="N823" s="29">
        <v>15</v>
      </c>
    </row>
    <row r="824" spans="1:14" ht="16.5" thickTop="1" thickBot="1" x14ac:dyDescent="0.3">
      <c r="A824" s="27"/>
      <c r="B824" s="25" t="s">
        <v>13</v>
      </c>
      <c r="C824" s="8" t="s">
        <v>0</v>
      </c>
      <c r="D824" s="7" t="s">
        <v>79</v>
      </c>
      <c r="E824" s="9" t="s">
        <v>71</v>
      </c>
      <c r="F824" s="10">
        <v>20</v>
      </c>
      <c r="G824" s="11" t="s">
        <v>16</v>
      </c>
      <c r="H824" s="7" t="s">
        <v>85</v>
      </c>
      <c r="I824" s="11" t="s">
        <v>9</v>
      </c>
      <c r="J824" s="11" t="s">
        <v>103</v>
      </c>
      <c r="K824" s="12">
        <v>7480</v>
      </c>
      <c r="L824" s="12">
        <f>K824*16%</f>
        <v>1196.8</v>
      </c>
      <c r="M824" s="12">
        <f t="shared" si="32"/>
        <v>6283.2</v>
      </c>
      <c r="N824" s="29">
        <v>15</v>
      </c>
    </row>
    <row r="825" spans="1:14" ht="16.5" thickTop="1" thickBot="1" x14ac:dyDescent="0.3">
      <c r="A825" s="27"/>
      <c r="B825" s="25" t="s">
        <v>13</v>
      </c>
      <c r="C825" s="8" t="s">
        <v>0</v>
      </c>
      <c r="D825" s="7" t="s">
        <v>79</v>
      </c>
      <c r="E825" s="9" t="s">
        <v>71</v>
      </c>
      <c r="F825" s="10">
        <v>20</v>
      </c>
      <c r="G825" s="11" t="s">
        <v>16</v>
      </c>
      <c r="H825" s="7" t="s">
        <v>85</v>
      </c>
      <c r="I825" s="11" t="s">
        <v>15</v>
      </c>
      <c r="J825" s="11" t="s">
        <v>103</v>
      </c>
      <c r="K825" s="12">
        <v>6826</v>
      </c>
      <c r="L825" s="12">
        <f>K825*16%</f>
        <v>1092.1600000000001</v>
      </c>
      <c r="M825" s="12">
        <f t="shared" si="32"/>
        <v>5733.84</v>
      </c>
      <c r="N825" s="29">
        <v>15</v>
      </c>
    </row>
    <row r="826" spans="1:14" ht="16.5" thickTop="1" thickBot="1" x14ac:dyDescent="0.3">
      <c r="A826" s="27"/>
      <c r="B826" s="25" t="s">
        <v>5</v>
      </c>
      <c r="C826" s="8" t="s">
        <v>0</v>
      </c>
      <c r="D826" s="7" t="s">
        <v>79</v>
      </c>
      <c r="E826" s="9" t="s">
        <v>71</v>
      </c>
      <c r="F826" s="10">
        <v>5</v>
      </c>
      <c r="G826" s="11" t="s">
        <v>17</v>
      </c>
      <c r="H826" s="7" t="s">
        <v>85</v>
      </c>
      <c r="I826" s="11" t="s">
        <v>7</v>
      </c>
      <c r="J826" s="11" t="s">
        <v>103</v>
      </c>
      <c r="K826" s="12">
        <v>16574.890605929999</v>
      </c>
      <c r="L826" s="12">
        <f>K826*5%</f>
        <v>828.74453029649999</v>
      </c>
      <c r="M826" s="12">
        <f t="shared" si="32"/>
        <v>15746.146075633498</v>
      </c>
      <c r="N826" s="29">
        <v>10</v>
      </c>
    </row>
    <row r="827" spans="1:14" ht="16.5" thickTop="1" thickBot="1" x14ac:dyDescent="0.3">
      <c r="A827" s="27"/>
      <c r="B827" s="25" t="s">
        <v>5</v>
      </c>
      <c r="C827" s="8" t="s">
        <v>0</v>
      </c>
      <c r="D827" s="7" t="s">
        <v>79</v>
      </c>
      <c r="E827" s="9" t="s">
        <v>71</v>
      </c>
      <c r="F827" s="10">
        <v>5</v>
      </c>
      <c r="G827" s="11" t="s">
        <v>17</v>
      </c>
      <c r="H827" s="7" t="s">
        <v>85</v>
      </c>
      <c r="I827" s="11" t="s">
        <v>15</v>
      </c>
      <c r="J827" s="11" t="s">
        <v>103</v>
      </c>
      <c r="K827" s="12">
        <v>4086.3215625749995</v>
      </c>
      <c r="L827" s="12">
        <f>K827*5%</f>
        <v>204.31607812874998</v>
      </c>
      <c r="M827" s="12">
        <f t="shared" si="32"/>
        <v>3882.0054844462493</v>
      </c>
      <c r="N827" s="29">
        <v>10</v>
      </c>
    </row>
    <row r="828" spans="1:14" ht="16.5" thickTop="1" thickBot="1" x14ac:dyDescent="0.3">
      <c r="A828" s="27"/>
      <c r="B828" s="25" t="s">
        <v>5</v>
      </c>
      <c r="C828" s="8" t="s">
        <v>0</v>
      </c>
      <c r="D828" s="7" t="s">
        <v>79</v>
      </c>
      <c r="E828" s="9" t="s">
        <v>71</v>
      </c>
      <c r="F828" s="10">
        <v>10</v>
      </c>
      <c r="G828" s="11" t="s">
        <v>18</v>
      </c>
      <c r="H828" s="7" t="s">
        <v>85</v>
      </c>
      <c r="I828" s="11" t="s">
        <v>9</v>
      </c>
      <c r="J828" s="11" t="s">
        <v>103</v>
      </c>
      <c r="K828" s="12">
        <v>4153.3112700000001</v>
      </c>
      <c r="L828" s="12">
        <f>K828*5%</f>
        <v>207.66556350000002</v>
      </c>
      <c r="M828" s="12">
        <f t="shared" si="32"/>
        <v>3945.6457065</v>
      </c>
      <c r="N828" s="29">
        <v>10</v>
      </c>
    </row>
    <row r="829" spans="1:14" ht="16.5" thickTop="1" thickBot="1" x14ac:dyDescent="0.3">
      <c r="A829" s="27"/>
      <c r="B829" s="25" t="s">
        <v>11</v>
      </c>
      <c r="C829" s="8" t="s">
        <v>0</v>
      </c>
      <c r="D829" s="7" t="s">
        <v>79</v>
      </c>
      <c r="E829" s="9" t="s">
        <v>71</v>
      </c>
      <c r="F829" s="10">
        <v>20</v>
      </c>
      <c r="G829" s="11" t="s">
        <v>19</v>
      </c>
      <c r="H829" s="7" t="s">
        <v>88</v>
      </c>
      <c r="I829" s="11" t="s">
        <v>20</v>
      </c>
      <c r="J829" s="11" t="s">
        <v>105</v>
      </c>
      <c r="K829" s="12">
        <v>10635.19</v>
      </c>
      <c r="L829" s="12">
        <f>K829*16%</f>
        <v>1701.6304</v>
      </c>
      <c r="M829" s="12">
        <f t="shared" si="32"/>
        <v>8933.5596000000005</v>
      </c>
      <c r="N829" s="29">
        <v>15</v>
      </c>
    </row>
    <row r="830" spans="1:14" ht="16.5" thickTop="1" thickBot="1" x14ac:dyDescent="0.3">
      <c r="A830" s="27"/>
      <c r="B830" s="25" t="s">
        <v>13</v>
      </c>
      <c r="C830" s="8" t="s">
        <v>0</v>
      </c>
      <c r="D830" s="7" t="s">
        <v>79</v>
      </c>
      <c r="E830" s="9" t="s">
        <v>71</v>
      </c>
      <c r="F830" s="10">
        <v>5</v>
      </c>
      <c r="G830" s="11" t="s">
        <v>21</v>
      </c>
      <c r="H830" s="7" t="s">
        <v>85</v>
      </c>
      <c r="I830" s="11" t="s">
        <v>9</v>
      </c>
      <c r="J830" s="11" t="s">
        <v>105</v>
      </c>
      <c r="K830" s="12">
        <v>32256.26</v>
      </c>
      <c r="L830" s="12">
        <f>K830*16%</f>
        <v>5161.0015999999996</v>
      </c>
      <c r="M830" s="12">
        <f t="shared" si="32"/>
        <v>27095.258399999999</v>
      </c>
      <c r="N830" s="29">
        <v>10</v>
      </c>
    </row>
    <row r="831" spans="1:14" ht="15.75" customHeight="1" thickTop="1" thickBot="1" x14ac:dyDescent="0.3">
      <c r="A831" s="27"/>
      <c r="B831" s="25" t="s">
        <v>11</v>
      </c>
      <c r="C831" s="8" t="s">
        <v>0</v>
      </c>
      <c r="D831" s="7" t="s">
        <v>79</v>
      </c>
      <c r="E831" s="9" t="s">
        <v>71</v>
      </c>
      <c r="F831" s="10">
        <v>20</v>
      </c>
      <c r="G831" s="11" t="s">
        <v>21</v>
      </c>
      <c r="H831" s="7" t="s">
        <v>85</v>
      </c>
      <c r="I831" s="11" t="s">
        <v>20</v>
      </c>
      <c r="J831" s="11" t="s">
        <v>105</v>
      </c>
      <c r="K831" s="12">
        <v>37709</v>
      </c>
      <c r="L831" s="12">
        <f>K831*16%</f>
        <v>6033.4400000000005</v>
      </c>
      <c r="M831" s="12">
        <f t="shared" si="32"/>
        <v>31675.559999999998</v>
      </c>
      <c r="N831" s="29">
        <v>10</v>
      </c>
    </row>
    <row r="832" spans="1:14" ht="15.75" customHeight="1" thickTop="1" thickBot="1" x14ac:dyDescent="0.3">
      <c r="A832" s="27"/>
      <c r="B832" s="25" t="s">
        <v>22</v>
      </c>
      <c r="C832" s="8" t="s">
        <v>0</v>
      </c>
      <c r="D832" s="7" t="s">
        <v>79</v>
      </c>
      <c r="E832" s="9" t="s">
        <v>71</v>
      </c>
      <c r="F832" s="10">
        <v>20</v>
      </c>
      <c r="G832" s="11" t="s">
        <v>23</v>
      </c>
      <c r="H832" s="7" t="s">
        <v>83</v>
      </c>
      <c r="I832" s="11" t="s">
        <v>7</v>
      </c>
      <c r="J832" s="11" t="s">
        <v>80</v>
      </c>
      <c r="K832" s="12">
        <v>5000</v>
      </c>
      <c r="L832" s="12">
        <v>0</v>
      </c>
      <c r="M832" s="12">
        <v>10000</v>
      </c>
      <c r="N832" s="29">
        <v>15</v>
      </c>
    </row>
    <row r="833" spans="1:14" ht="16.5" thickTop="1" thickBot="1" x14ac:dyDescent="0.3">
      <c r="A833" s="27"/>
      <c r="B833" s="25" t="s">
        <v>11</v>
      </c>
      <c r="C833" s="8" t="s">
        <v>0</v>
      </c>
      <c r="D833" s="7" t="s">
        <v>79</v>
      </c>
      <c r="E833" s="9" t="s">
        <v>71</v>
      </c>
      <c r="F833" s="10">
        <v>5</v>
      </c>
      <c r="G833" s="11" t="s">
        <v>24</v>
      </c>
      <c r="H833" s="7" t="s">
        <v>83</v>
      </c>
      <c r="I833" s="11" t="s">
        <v>7</v>
      </c>
      <c r="J833" s="11" t="s">
        <v>80</v>
      </c>
      <c r="K833" s="12">
        <v>61581.403376595001</v>
      </c>
      <c r="L833" s="12">
        <f>K833*16%</f>
        <v>9853.0245402552009</v>
      </c>
      <c r="M833" s="12">
        <f>K833-L833</f>
        <v>51728.378836339798</v>
      </c>
      <c r="N833" s="29">
        <v>23</v>
      </c>
    </row>
    <row r="834" spans="1:14" ht="16.5" thickTop="1" thickBot="1" x14ac:dyDescent="0.3">
      <c r="A834" s="27"/>
      <c r="B834" s="25" t="s">
        <v>13</v>
      </c>
      <c r="C834" s="8" t="s">
        <v>0</v>
      </c>
      <c r="D834" s="7" t="s">
        <v>79</v>
      </c>
      <c r="E834" s="9" t="s">
        <v>71</v>
      </c>
      <c r="F834" s="10">
        <v>5</v>
      </c>
      <c r="G834" s="11" t="s">
        <v>24</v>
      </c>
      <c r="H834" s="7" t="s">
        <v>83</v>
      </c>
      <c r="I834" s="11" t="s">
        <v>9</v>
      </c>
      <c r="J834" s="11" t="s">
        <v>80</v>
      </c>
      <c r="K834" s="12">
        <v>12948.9964605</v>
      </c>
      <c r="L834" s="12">
        <f>K834*16%</f>
        <v>2071.8394336800002</v>
      </c>
      <c r="M834" s="12">
        <f>K834-L834</f>
        <v>10877.157026820001</v>
      </c>
      <c r="N834" s="29">
        <v>23</v>
      </c>
    </row>
    <row r="835" spans="1:14" ht="16.5" thickTop="1" thickBot="1" x14ac:dyDescent="0.3">
      <c r="A835" s="27"/>
      <c r="B835" s="25" t="s">
        <v>10</v>
      </c>
      <c r="C835" s="8" t="s">
        <v>0</v>
      </c>
      <c r="D835" s="7" t="s">
        <v>79</v>
      </c>
      <c r="E835" s="9" t="s">
        <v>71</v>
      </c>
      <c r="F835" s="10">
        <v>5</v>
      </c>
      <c r="G835" s="11" t="s">
        <v>24</v>
      </c>
      <c r="H835" s="7" t="s">
        <v>83</v>
      </c>
      <c r="I835" s="11" t="s">
        <v>96</v>
      </c>
      <c r="J835" s="11" t="s">
        <v>80</v>
      </c>
      <c r="K835" s="12">
        <v>1500</v>
      </c>
      <c r="L835" s="12">
        <f>0</f>
        <v>0</v>
      </c>
      <c r="M835" s="12">
        <f>K835</f>
        <v>1500</v>
      </c>
      <c r="N835" s="29">
        <v>23</v>
      </c>
    </row>
    <row r="836" spans="1:14" ht="16.5" thickTop="1" thickBot="1" x14ac:dyDescent="0.3">
      <c r="A836" s="27"/>
      <c r="B836" s="25" t="s">
        <v>22</v>
      </c>
      <c r="C836" s="8" t="s">
        <v>25</v>
      </c>
      <c r="D836" s="7" t="s">
        <v>79</v>
      </c>
      <c r="E836" s="9" t="s">
        <v>71</v>
      </c>
      <c r="F836" s="10">
        <v>5</v>
      </c>
      <c r="G836" s="11" t="s">
        <v>26</v>
      </c>
      <c r="H836" s="7" t="s">
        <v>83</v>
      </c>
      <c r="I836" s="11" t="s">
        <v>7</v>
      </c>
      <c r="J836" s="11" t="s">
        <v>80</v>
      </c>
      <c r="K836" s="12">
        <v>19790.640856350001</v>
      </c>
      <c r="L836" s="12">
        <v>0</v>
      </c>
      <c r="M836" s="12">
        <f t="shared" ref="M836:M864" si="33">K836-L836</f>
        <v>19790.640856350001</v>
      </c>
      <c r="N836" s="29">
        <v>30</v>
      </c>
    </row>
    <row r="837" spans="1:14" ht="16.5" thickTop="1" thickBot="1" x14ac:dyDescent="0.3">
      <c r="A837" s="27"/>
      <c r="B837" s="25" t="s">
        <v>22</v>
      </c>
      <c r="C837" s="8" t="s">
        <v>25</v>
      </c>
      <c r="D837" s="7" t="s">
        <v>79</v>
      </c>
      <c r="E837" s="9" t="s">
        <v>71</v>
      </c>
      <c r="F837" s="10">
        <v>5</v>
      </c>
      <c r="G837" s="11" t="s">
        <v>26</v>
      </c>
      <c r="H837" s="7" t="s">
        <v>83</v>
      </c>
      <c r="I837" s="11" t="s">
        <v>9</v>
      </c>
      <c r="J837" s="11" t="s">
        <v>80</v>
      </c>
      <c r="K837" s="12">
        <v>4336.4128715999996</v>
      </c>
      <c r="L837" s="12">
        <v>0</v>
      </c>
      <c r="M837" s="12">
        <f t="shared" si="33"/>
        <v>4336.4128715999996</v>
      </c>
      <c r="N837" s="29">
        <v>30</v>
      </c>
    </row>
    <row r="838" spans="1:14" ht="16.5" thickTop="1" thickBot="1" x14ac:dyDescent="0.3">
      <c r="A838" s="27"/>
      <c r="B838" s="25" t="s">
        <v>22</v>
      </c>
      <c r="C838" s="8" t="s">
        <v>25</v>
      </c>
      <c r="D838" s="7" t="s">
        <v>79</v>
      </c>
      <c r="E838" s="9" t="s">
        <v>71</v>
      </c>
      <c r="F838" s="10">
        <v>5</v>
      </c>
      <c r="G838" s="11" t="s">
        <v>27</v>
      </c>
      <c r="H838" s="7" t="s">
        <v>83</v>
      </c>
      <c r="I838" s="11" t="s">
        <v>7</v>
      </c>
      <c r="J838" s="11" t="s">
        <v>80</v>
      </c>
      <c r="K838" s="12">
        <v>19790.640856349997</v>
      </c>
      <c r="L838" s="12">
        <v>0</v>
      </c>
      <c r="M838" s="12">
        <f t="shared" si="33"/>
        <v>19790.640856349997</v>
      </c>
      <c r="N838" s="29">
        <v>30</v>
      </c>
    </row>
    <row r="839" spans="1:14" ht="16.5" thickTop="1" thickBot="1" x14ac:dyDescent="0.3">
      <c r="A839" s="27"/>
      <c r="B839" s="25" t="s">
        <v>22</v>
      </c>
      <c r="C839" s="8" t="s">
        <v>25</v>
      </c>
      <c r="D839" s="7" t="s">
        <v>79</v>
      </c>
      <c r="E839" s="9" t="s">
        <v>71</v>
      </c>
      <c r="F839" s="10">
        <v>5</v>
      </c>
      <c r="G839" s="11" t="s">
        <v>27</v>
      </c>
      <c r="H839" s="7" t="s">
        <v>83</v>
      </c>
      <c r="I839" s="11" t="s">
        <v>9</v>
      </c>
      <c r="J839" s="11" t="s">
        <v>80</v>
      </c>
      <c r="K839" s="12">
        <v>4336.4128715999996</v>
      </c>
      <c r="L839" s="12">
        <v>0</v>
      </c>
      <c r="M839" s="12">
        <f t="shared" si="33"/>
        <v>4336.4128715999996</v>
      </c>
      <c r="N839" s="29">
        <v>30</v>
      </c>
    </row>
    <row r="840" spans="1:14" ht="16.5" thickTop="1" thickBot="1" x14ac:dyDescent="0.3">
      <c r="A840" s="27"/>
      <c r="B840" s="25" t="s">
        <v>22</v>
      </c>
      <c r="C840" s="8" t="s">
        <v>25</v>
      </c>
      <c r="D840" s="7" t="s">
        <v>79</v>
      </c>
      <c r="E840" s="9" t="s">
        <v>71</v>
      </c>
      <c r="F840" s="10">
        <v>5</v>
      </c>
      <c r="G840" s="11" t="s">
        <v>27</v>
      </c>
      <c r="H840" s="7" t="s">
        <v>83</v>
      </c>
      <c r="I840" s="11" t="s">
        <v>113</v>
      </c>
      <c r="J840" s="11" t="s">
        <v>80</v>
      </c>
      <c r="K840" s="12">
        <v>1823.589144</v>
      </c>
      <c r="L840" s="12">
        <v>0</v>
      </c>
      <c r="M840" s="12">
        <f t="shared" si="33"/>
        <v>1823.589144</v>
      </c>
      <c r="N840" s="29">
        <v>30</v>
      </c>
    </row>
    <row r="841" spans="1:14" ht="16.5" thickTop="1" thickBot="1" x14ac:dyDescent="0.3">
      <c r="A841" s="27"/>
      <c r="B841" s="25" t="s">
        <v>11</v>
      </c>
      <c r="C841" s="8" t="s">
        <v>25</v>
      </c>
      <c r="D841" s="7" t="s">
        <v>79</v>
      </c>
      <c r="E841" s="9" t="s">
        <v>71</v>
      </c>
      <c r="F841" s="10">
        <v>20</v>
      </c>
      <c r="G841" s="11" t="s">
        <v>29</v>
      </c>
      <c r="H841" s="7" t="s">
        <v>83</v>
      </c>
      <c r="I841" s="11" t="s">
        <v>30</v>
      </c>
      <c r="J841" s="11" t="s">
        <v>80</v>
      </c>
      <c r="K841" s="12">
        <v>500</v>
      </c>
      <c r="L841" s="12">
        <f>K841*5%</f>
        <v>25</v>
      </c>
      <c r="M841" s="12">
        <f t="shared" si="33"/>
        <v>475</v>
      </c>
      <c r="N841" s="29">
        <v>10</v>
      </c>
    </row>
    <row r="842" spans="1:14" ht="16.5" thickTop="1" thickBot="1" x14ac:dyDescent="0.3">
      <c r="A842" s="27"/>
      <c r="B842" s="25" t="s">
        <v>22</v>
      </c>
      <c r="C842" s="8" t="s">
        <v>25</v>
      </c>
      <c r="D842" s="7" t="s">
        <v>79</v>
      </c>
      <c r="E842" s="9" t="s">
        <v>71</v>
      </c>
      <c r="F842" s="10">
        <v>20</v>
      </c>
      <c r="G842" s="11" t="s">
        <v>29</v>
      </c>
      <c r="H842" s="7" t="s">
        <v>83</v>
      </c>
      <c r="I842" s="11" t="s">
        <v>9</v>
      </c>
      <c r="J842" s="11" t="s">
        <v>80</v>
      </c>
      <c r="K842" s="12">
        <v>3379.6440000000002</v>
      </c>
      <c r="L842" s="12">
        <v>0</v>
      </c>
      <c r="M842" s="12">
        <f t="shared" si="33"/>
        <v>3379.6440000000002</v>
      </c>
      <c r="N842" s="29">
        <v>10</v>
      </c>
    </row>
    <row r="843" spans="1:14" ht="16.5" thickTop="1" thickBot="1" x14ac:dyDescent="0.3">
      <c r="A843" s="27"/>
      <c r="B843" s="25" t="s">
        <v>22</v>
      </c>
      <c r="C843" s="8" t="s">
        <v>25</v>
      </c>
      <c r="D843" s="7" t="s">
        <v>79</v>
      </c>
      <c r="E843" s="9" t="s">
        <v>71</v>
      </c>
      <c r="F843" s="10">
        <v>20</v>
      </c>
      <c r="G843" s="13" t="s">
        <v>31</v>
      </c>
      <c r="H843" s="7" t="s">
        <v>83</v>
      </c>
      <c r="I843" s="11" t="s">
        <v>7</v>
      </c>
      <c r="J843" s="11" t="s">
        <v>80</v>
      </c>
      <c r="K843" s="12">
        <v>17800</v>
      </c>
      <c r="L843" s="12">
        <v>0</v>
      </c>
      <c r="M843" s="12">
        <f t="shared" si="33"/>
        <v>17800</v>
      </c>
      <c r="N843" s="29">
        <v>30</v>
      </c>
    </row>
    <row r="844" spans="1:14" ht="16.5" thickTop="1" thickBot="1" x14ac:dyDescent="0.3">
      <c r="A844" s="27"/>
      <c r="B844" s="25" t="s">
        <v>5</v>
      </c>
      <c r="C844" s="8" t="s">
        <v>25</v>
      </c>
      <c r="D844" s="7" t="s">
        <v>79</v>
      </c>
      <c r="E844" s="9" t="s">
        <v>71</v>
      </c>
      <c r="F844" s="10">
        <v>20</v>
      </c>
      <c r="G844" s="11" t="s">
        <v>32</v>
      </c>
      <c r="H844" s="7" t="s">
        <v>83</v>
      </c>
      <c r="I844" s="11" t="s">
        <v>7</v>
      </c>
      <c r="J844" s="11" t="s">
        <v>80</v>
      </c>
      <c r="K844" s="12">
        <v>20160.015344324998</v>
      </c>
      <c r="L844" s="12">
        <f>K844*5%</f>
        <v>1008.00076721625</v>
      </c>
      <c r="M844" s="12">
        <f t="shared" si="33"/>
        <v>19152.014577108748</v>
      </c>
      <c r="N844" s="29">
        <v>10</v>
      </c>
    </row>
    <row r="845" spans="1:14" ht="16.5" thickTop="1" thickBot="1" x14ac:dyDescent="0.3">
      <c r="A845" s="27"/>
      <c r="B845" s="25" t="s">
        <v>5</v>
      </c>
      <c r="C845" s="8" t="s">
        <v>25</v>
      </c>
      <c r="D845" s="7" t="s">
        <v>79</v>
      </c>
      <c r="E845" s="9" t="s">
        <v>71</v>
      </c>
      <c r="F845" s="10">
        <v>20</v>
      </c>
      <c r="G845" s="11" t="s">
        <v>32</v>
      </c>
      <c r="H845" s="7" t="s">
        <v>83</v>
      </c>
      <c r="I845" s="11" t="s">
        <v>97</v>
      </c>
      <c r="J845" s="11" t="s">
        <v>80</v>
      </c>
      <c r="K845" s="12">
        <v>10053.314351999999</v>
      </c>
      <c r="L845" s="12">
        <f>K845*5%</f>
        <v>502.66571759999999</v>
      </c>
      <c r="M845" s="12">
        <f t="shared" si="33"/>
        <v>9550.6486343999986</v>
      </c>
      <c r="N845" s="29">
        <v>10</v>
      </c>
    </row>
    <row r="846" spans="1:14" ht="16.5" thickTop="1" thickBot="1" x14ac:dyDescent="0.3">
      <c r="A846" s="27"/>
      <c r="B846" s="25" t="s">
        <v>11</v>
      </c>
      <c r="C846" s="8" t="s">
        <v>25</v>
      </c>
      <c r="D846" s="7" t="s">
        <v>79</v>
      </c>
      <c r="E846" s="9" t="s">
        <v>71</v>
      </c>
      <c r="F846" s="10">
        <v>20</v>
      </c>
      <c r="G846" s="11" t="s">
        <v>32</v>
      </c>
      <c r="H846" s="7" t="s">
        <v>83</v>
      </c>
      <c r="I846" s="11" t="s">
        <v>30</v>
      </c>
      <c r="J846" s="11" t="s">
        <v>80</v>
      </c>
      <c r="K846" s="12">
        <v>200</v>
      </c>
      <c r="L846" s="12">
        <f>K846*5%</f>
        <v>10</v>
      </c>
      <c r="M846" s="12">
        <f t="shared" si="33"/>
        <v>190</v>
      </c>
      <c r="N846" s="29">
        <v>10</v>
      </c>
    </row>
    <row r="847" spans="1:14" ht="16.5" thickTop="1" thickBot="1" x14ac:dyDescent="0.3">
      <c r="A847" s="27"/>
      <c r="B847" s="25" t="s">
        <v>5</v>
      </c>
      <c r="C847" s="8" t="s">
        <v>25</v>
      </c>
      <c r="D847" s="7" t="s">
        <v>79</v>
      </c>
      <c r="E847" s="9" t="s">
        <v>71</v>
      </c>
      <c r="F847" s="10">
        <v>20</v>
      </c>
      <c r="G847" s="11" t="s">
        <v>32</v>
      </c>
      <c r="H847" s="7" t="s">
        <v>83</v>
      </c>
      <c r="I847" s="11" t="s">
        <v>7</v>
      </c>
      <c r="J847" s="11" t="s">
        <v>80</v>
      </c>
      <c r="K847" s="12">
        <v>10106.5959</v>
      </c>
      <c r="L847" s="12">
        <f>K847*5%</f>
        <v>505.32979500000005</v>
      </c>
      <c r="M847" s="12">
        <f t="shared" si="33"/>
        <v>9601.2661050000006</v>
      </c>
      <c r="N847" s="29">
        <v>10</v>
      </c>
    </row>
    <row r="848" spans="1:14" ht="16.5" thickTop="1" thickBot="1" x14ac:dyDescent="0.3">
      <c r="A848" s="27"/>
      <c r="B848" s="25" t="s">
        <v>5</v>
      </c>
      <c r="C848" s="8" t="s">
        <v>25</v>
      </c>
      <c r="D848" s="7" t="s">
        <v>79</v>
      </c>
      <c r="E848" s="9" t="s">
        <v>71</v>
      </c>
      <c r="F848" s="10">
        <v>20</v>
      </c>
      <c r="G848" s="11" t="s">
        <v>32</v>
      </c>
      <c r="H848" s="7" t="s">
        <v>83</v>
      </c>
      <c r="I848" s="11" t="s">
        <v>98</v>
      </c>
      <c r="J848" s="11" t="s">
        <v>80</v>
      </c>
      <c r="K848" s="12">
        <v>12935</v>
      </c>
      <c r="L848" s="12">
        <f>K848*5%</f>
        <v>646.75</v>
      </c>
      <c r="M848" s="12">
        <f>K848-L848</f>
        <v>12288.25</v>
      </c>
      <c r="N848" s="29">
        <v>10</v>
      </c>
    </row>
    <row r="849" spans="1:17" ht="16.5" thickTop="1" thickBot="1" x14ac:dyDescent="0.3">
      <c r="A849" s="27"/>
      <c r="B849" s="25" t="s">
        <v>10</v>
      </c>
      <c r="C849" s="8" t="s">
        <v>25</v>
      </c>
      <c r="D849" s="7" t="s">
        <v>79</v>
      </c>
      <c r="E849" s="9" t="s">
        <v>71</v>
      </c>
      <c r="F849" s="10">
        <v>20</v>
      </c>
      <c r="G849" s="11" t="s">
        <v>32</v>
      </c>
      <c r="H849" s="7" t="s">
        <v>83</v>
      </c>
      <c r="I849" s="11" t="s">
        <v>96</v>
      </c>
      <c r="J849" s="11" t="s">
        <v>80</v>
      </c>
      <c r="K849" s="12">
        <v>2000</v>
      </c>
      <c r="L849" s="12">
        <f>0</f>
        <v>0</v>
      </c>
      <c r="M849" s="12">
        <f t="shared" si="33"/>
        <v>2000</v>
      </c>
      <c r="N849" s="29">
        <v>10</v>
      </c>
    </row>
    <row r="850" spans="1:17" ht="16.5" thickTop="1" thickBot="1" x14ac:dyDescent="0.3">
      <c r="A850" s="27"/>
      <c r="B850" s="25" t="s">
        <v>11</v>
      </c>
      <c r="C850" s="8" t="s">
        <v>25</v>
      </c>
      <c r="D850" s="7" t="s">
        <v>79</v>
      </c>
      <c r="E850" s="9" t="s">
        <v>71</v>
      </c>
      <c r="F850" s="10">
        <v>15</v>
      </c>
      <c r="G850" s="11" t="s">
        <v>33</v>
      </c>
      <c r="H850" s="7" t="s">
        <v>83</v>
      </c>
      <c r="I850" s="11" t="s">
        <v>7</v>
      </c>
      <c r="J850" s="11" t="s">
        <v>80</v>
      </c>
      <c r="K850" s="12">
        <v>20389.18</v>
      </c>
      <c r="L850" s="12">
        <f>K850*16%</f>
        <v>3262.2688000000003</v>
      </c>
      <c r="M850" s="12">
        <f t="shared" si="33"/>
        <v>17126.911199999999</v>
      </c>
      <c r="N850" s="29">
        <v>30</v>
      </c>
    </row>
    <row r="851" spans="1:17" ht="16.5" thickTop="1" thickBot="1" x14ac:dyDescent="0.3">
      <c r="A851" s="27"/>
      <c r="B851" s="25" t="s">
        <v>22</v>
      </c>
      <c r="C851" s="8" t="s">
        <v>25</v>
      </c>
      <c r="D851" s="7" t="s">
        <v>79</v>
      </c>
      <c r="E851" s="9" t="s">
        <v>71</v>
      </c>
      <c r="F851" s="10">
        <v>15</v>
      </c>
      <c r="G851" s="11" t="s">
        <v>120</v>
      </c>
      <c r="H851" s="7" t="s">
        <v>83</v>
      </c>
      <c r="I851" s="11" t="s">
        <v>9</v>
      </c>
      <c r="J851" s="11" t="s">
        <v>80</v>
      </c>
      <c r="K851" s="12">
        <v>3879.37</v>
      </c>
      <c r="L851" s="12">
        <v>0</v>
      </c>
      <c r="M851" s="12">
        <f>K851-L851</f>
        <v>3879.37</v>
      </c>
      <c r="N851" s="29">
        <v>30</v>
      </c>
    </row>
    <row r="852" spans="1:17" ht="16.5" thickTop="1" thickBot="1" x14ac:dyDescent="0.3">
      <c r="A852" s="27"/>
      <c r="B852" s="25" t="s">
        <v>22</v>
      </c>
      <c r="C852" s="8" t="s">
        <v>25</v>
      </c>
      <c r="D852" s="7" t="s">
        <v>79</v>
      </c>
      <c r="E852" s="9" t="s">
        <v>71</v>
      </c>
      <c r="F852" s="10">
        <v>15</v>
      </c>
      <c r="G852" s="11" t="s">
        <v>33</v>
      </c>
      <c r="H852" s="7" t="s">
        <v>83</v>
      </c>
      <c r="I852" s="11" t="s">
        <v>9</v>
      </c>
      <c r="J852" s="11" t="s">
        <v>80</v>
      </c>
      <c r="K852" s="12">
        <v>7758.74</v>
      </c>
      <c r="L852" s="12">
        <v>0</v>
      </c>
      <c r="M852" s="12">
        <f t="shared" si="33"/>
        <v>7758.74</v>
      </c>
      <c r="N852" s="29">
        <v>30</v>
      </c>
    </row>
    <row r="853" spans="1:17" ht="16.5" thickTop="1" thickBot="1" x14ac:dyDescent="0.3">
      <c r="A853" s="27"/>
      <c r="B853" s="25" t="s">
        <v>11</v>
      </c>
      <c r="C853" s="8" t="s">
        <v>25</v>
      </c>
      <c r="D853" s="7" t="s">
        <v>79</v>
      </c>
      <c r="E853" s="9" t="s">
        <v>71</v>
      </c>
      <c r="F853" s="10">
        <v>15</v>
      </c>
      <c r="G853" s="11" t="s">
        <v>33</v>
      </c>
      <c r="H853" s="7" t="s">
        <v>83</v>
      </c>
      <c r="I853" s="11" t="s">
        <v>30</v>
      </c>
      <c r="J853" s="11" t="s">
        <v>80</v>
      </c>
      <c r="K853" s="12">
        <v>200</v>
      </c>
      <c r="L853" s="12">
        <f>K853*5%</f>
        <v>10</v>
      </c>
      <c r="M853" s="12">
        <f t="shared" si="33"/>
        <v>190</v>
      </c>
      <c r="N853" s="29">
        <v>30</v>
      </c>
    </row>
    <row r="854" spans="1:17" ht="16.5" thickTop="1" thickBot="1" x14ac:dyDescent="0.3">
      <c r="A854" s="27"/>
      <c r="B854" s="25" t="s">
        <v>22</v>
      </c>
      <c r="C854" s="8" t="s">
        <v>60</v>
      </c>
      <c r="D854" s="7" t="s">
        <v>79</v>
      </c>
      <c r="E854" s="9" t="s">
        <v>71</v>
      </c>
      <c r="F854" s="10">
        <v>1</v>
      </c>
      <c r="G854" s="11" t="s">
        <v>34</v>
      </c>
      <c r="H854" s="7" t="s">
        <v>87</v>
      </c>
      <c r="I854" s="11" t="s">
        <v>20</v>
      </c>
      <c r="J854" s="11" t="s">
        <v>105</v>
      </c>
      <c r="K854" s="12">
        <v>36969.404166</v>
      </c>
      <c r="L854" s="12">
        <v>0</v>
      </c>
      <c r="M854" s="12">
        <f t="shared" si="33"/>
        <v>36969.404166</v>
      </c>
      <c r="N854" s="54">
        <v>30</v>
      </c>
      <c r="O854" s="57">
        <f t="shared" ref="O854:O861" si="34">K854*10.5%</f>
        <v>3881.78743743</v>
      </c>
      <c r="P854" s="57">
        <f t="shared" ref="P854:P861" si="35">O854*60%</f>
        <v>2329.0724624579998</v>
      </c>
      <c r="Q854" s="57">
        <f t="shared" ref="Q854:Q861" si="36">O854*40%</f>
        <v>1552.7149749720002</v>
      </c>
    </row>
    <row r="855" spans="1:17" ht="16.5" thickTop="1" thickBot="1" x14ac:dyDescent="0.3">
      <c r="A855" s="27"/>
      <c r="B855" s="25" t="s">
        <v>22</v>
      </c>
      <c r="C855" s="8" t="s">
        <v>60</v>
      </c>
      <c r="D855" s="7" t="s">
        <v>79</v>
      </c>
      <c r="E855" s="9" t="s">
        <v>71</v>
      </c>
      <c r="F855" s="10">
        <v>1</v>
      </c>
      <c r="G855" s="11" t="s">
        <v>34</v>
      </c>
      <c r="H855" s="7" t="s">
        <v>87</v>
      </c>
      <c r="I855" s="11" t="s">
        <v>9</v>
      </c>
      <c r="J855" s="11" t="s">
        <v>105</v>
      </c>
      <c r="K855" s="12">
        <v>30185.123490000002</v>
      </c>
      <c r="L855" s="12">
        <v>0</v>
      </c>
      <c r="M855" s="12">
        <f t="shared" si="33"/>
        <v>30185.123490000002</v>
      </c>
      <c r="N855" s="54">
        <v>30</v>
      </c>
      <c r="O855" s="57">
        <f t="shared" si="34"/>
        <v>3169.4379664500002</v>
      </c>
      <c r="P855" s="57">
        <f t="shared" si="35"/>
        <v>1901.6627798700001</v>
      </c>
      <c r="Q855" s="57">
        <f t="shared" si="36"/>
        <v>1267.7751865800001</v>
      </c>
    </row>
    <row r="856" spans="1:17" ht="16.5" thickTop="1" thickBot="1" x14ac:dyDescent="0.3">
      <c r="A856" s="27"/>
      <c r="B856" s="25" t="s">
        <v>22</v>
      </c>
      <c r="C856" s="8" t="s">
        <v>60</v>
      </c>
      <c r="D856" s="7" t="s">
        <v>79</v>
      </c>
      <c r="E856" s="9" t="s">
        <v>71</v>
      </c>
      <c r="F856" s="10">
        <v>1</v>
      </c>
      <c r="G856" s="11" t="s">
        <v>35</v>
      </c>
      <c r="H856" s="7" t="s">
        <v>83</v>
      </c>
      <c r="I856" s="11" t="s">
        <v>9</v>
      </c>
      <c r="J856" s="11" t="s">
        <v>105</v>
      </c>
      <c r="K856" s="12">
        <v>21581.665982999999</v>
      </c>
      <c r="L856" s="12">
        <v>0</v>
      </c>
      <c r="M856" s="12">
        <f t="shared" si="33"/>
        <v>21581.665982999999</v>
      </c>
      <c r="N856" s="54">
        <v>30</v>
      </c>
      <c r="O856" s="57">
        <f t="shared" si="34"/>
        <v>2266.074928215</v>
      </c>
      <c r="P856" s="57">
        <f t="shared" si="35"/>
        <v>1359.644956929</v>
      </c>
      <c r="Q856" s="57">
        <f t="shared" si="36"/>
        <v>906.42997128600007</v>
      </c>
    </row>
    <row r="857" spans="1:17" ht="16.5" thickTop="1" thickBot="1" x14ac:dyDescent="0.3">
      <c r="A857" s="27"/>
      <c r="B857" s="25" t="s">
        <v>22</v>
      </c>
      <c r="C857" s="8" t="s">
        <v>60</v>
      </c>
      <c r="D857" s="7" t="s">
        <v>79</v>
      </c>
      <c r="E857" s="9" t="s">
        <v>71</v>
      </c>
      <c r="F857" s="10">
        <v>1</v>
      </c>
      <c r="G857" s="11" t="s">
        <v>36</v>
      </c>
      <c r="H857" s="7" t="s">
        <v>89</v>
      </c>
      <c r="I857" s="11" t="s">
        <v>20</v>
      </c>
      <c r="J857" s="11" t="s">
        <v>105</v>
      </c>
      <c r="K857" s="12">
        <v>36969.404166</v>
      </c>
      <c r="L857" s="12">
        <v>0</v>
      </c>
      <c r="M857" s="12">
        <f t="shared" si="33"/>
        <v>36969.404166</v>
      </c>
      <c r="N857" s="54">
        <v>30</v>
      </c>
      <c r="O857" s="57">
        <f t="shared" si="34"/>
        <v>3881.78743743</v>
      </c>
      <c r="P857" s="57">
        <f t="shared" si="35"/>
        <v>2329.0724624579998</v>
      </c>
      <c r="Q857" s="57">
        <f t="shared" si="36"/>
        <v>1552.7149749720002</v>
      </c>
    </row>
    <row r="858" spans="1:17" ht="16.5" thickTop="1" thickBot="1" x14ac:dyDescent="0.3">
      <c r="A858" s="27"/>
      <c r="B858" s="25" t="s">
        <v>22</v>
      </c>
      <c r="C858" s="8" t="s">
        <v>60</v>
      </c>
      <c r="D858" s="7" t="s">
        <v>79</v>
      </c>
      <c r="E858" s="9" t="s">
        <v>71</v>
      </c>
      <c r="F858" s="10">
        <v>1</v>
      </c>
      <c r="G858" s="11" t="s">
        <v>36</v>
      </c>
      <c r="H858" s="7" t="s">
        <v>89</v>
      </c>
      <c r="I858" s="11" t="s">
        <v>9</v>
      </c>
      <c r="J858" s="11" t="s">
        <v>105</v>
      </c>
      <c r="K858" s="12">
        <v>30185.123490000002</v>
      </c>
      <c r="L858" s="12">
        <v>0</v>
      </c>
      <c r="M858" s="12">
        <f t="shared" si="33"/>
        <v>30185.123490000002</v>
      </c>
      <c r="N858" s="54">
        <v>30</v>
      </c>
      <c r="O858" s="57">
        <f t="shared" si="34"/>
        <v>3169.4379664500002</v>
      </c>
      <c r="P858" s="57">
        <f t="shared" si="35"/>
        <v>1901.6627798700001</v>
      </c>
      <c r="Q858" s="57">
        <f t="shared" si="36"/>
        <v>1267.7751865800001</v>
      </c>
    </row>
    <row r="859" spans="1:17" ht="16.5" thickTop="1" thickBot="1" x14ac:dyDescent="0.3">
      <c r="A859" s="27"/>
      <c r="B859" s="25" t="s">
        <v>22</v>
      </c>
      <c r="C859" s="8" t="s">
        <v>60</v>
      </c>
      <c r="D859" s="7" t="s">
        <v>79</v>
      </c>
      <c r="E859" s="9" t="s">
        <v>71</v>
      </c>
      <c r="F859" s="10">
        <v>1</v>
      </c>
      <c r="G859" s="11" t="s">
        <v>37</v>
      </c>
      <c r="H859" s="7" t="s">
        <v>85</v>
      </c>
      <c r="I859" s="11" t="s">
        <v>9</v>
      </c>
      <c r="J859" s="11" t="s">
        <v>105</v>
      </c>
      <c r="K859" s="12">
        <v>12949.001676</v>
      </c>
      <c r="L859" s="12">
        <v>0</v>
      </c>
      <c r="M859" s="12">
        <f t="shared" si="33"/>
        <v>12949.001676</v>
      </c>
      <c r="N859" s="54">
        <v>30</v>
      </c>
      <c r="O859" s="57">
        <f t="shared" si="34"/>
        <v>1359.64517598</v>
      </c>
      <c r="P859" s="57">
        <f t="shared" si="35"/>
        <v>815.78710558799992</v>
      </c>
      <c r="Q859" s="57">
        <f t="shared" si="36"/>
        <v>543.85807039200006</v>
      </c>
    </row>
    <row r="860" spans="1:17" ht="16.5" thickTop="1" thickBot="1" x14ac:dyDescent="0.3">
      <c r="A860" s="27"/>
      <c r="B860" s="25" t="s">
        <v>22</v>
      </c>
      <c r="C860" s="8" t="s">
        <v>60</v>
      </c>
      <c r="D860" s="7" t="s">
        <v>79</v>
      </c>
      <c r="E860" s="9" t="s">
        <v>71</v>
      </c>
      <c r="F860" s="10">
        <v>1</v>
      </c>
      <c r="G860" s="11" t="s">
        <v>93</v>
      </c>
      <c r="H860" s="7" t="s">
        <v>85</v>
      </c>
      <c r="I860" s="11" t="s">
        <v>9</v>
      </c>
      <c r="J860" s="11" t="s">
        <v>105</v>
      </c>
      <c r="K860" s="12">
        <v>17265.328613999998</v>
      </c>
      <c r="L860" s="12">
        <v>0</v>
      </c>
      <c r="M860" s="12">
        <f t="shared" si="33"/>
        <v>17265.328613999998</v>
      </c>
      <c r="N860" s="54">
        <v>30</v>
      </c>
      <c r="O860" s="57">
        <f t="shared" si="34"/>
        <v>1812.8595044699998</v>
      </c>
      <c r="P860" s="57">
        <f t="shared" si="35"/>
        <v>1087.7157026819998</v>
      </c>
      <c r="Q860" s="57">
        <f t="shared" si="36"/>
        <v>725.14380178800002</v>
      </c>
    </row>
    <row r="861" spans="1:17" ht="16.5" thickTop="1" thickBot="1" x14ac:dyDescent="0.3">
      <c r="A861" s="27"/>
      <c r="B861" s="25" t="s">
        <v>22</v>
      </c>
      <c r="C861" s="8" t="s">
        <v>60</v>
      </c>
      <c r="D861" s="7" t="s">
        <v>79</v>
      </c>
      <c r="E861" s="9" t="s">
        <v>71</v>
      </c>
      <c r="F861" s="10">
        <v>1</v>
      </c>
      <c r="G861" s="11" t="s">
        <v>38</v>
      </c>
      <c r="H861" s="7" t="s">
        <v>85</v>
      </c>
      <c r="I861" s="11" t="s">
        <v>9</v>
      </c>
      <c r="J861" s="11" t="s">
        <v>105</v>
      </c>
      <c r="K861" s="12">
        <v>8632.6643069999991</v>
      </c>
      <c r="L861" s="12">
        <v>0</v>
      </c>
      <c r="M861" s="12">
        <f t="shared" si="33"/>
        <v>8632.6643069999991</v>
      </c>
      <c r="N861" s="54">
        <v>30</v>
      </c>
      <c r="O861" s="57">
        <f t="shared" si="34"/>
        <v>906.42975223499991</v>
      </c>
      <c r="P861" s="57">
        <f t="shared" si="35"/>
        <v>543.8578513409999</v>
      </c>
      <c r="Q861" s="57">
        <f t="shared" si="36"/>
        <v>362.57190089400001</v>
      </c>
    </row>
    <row r="862" spans="1:17" ht="16.5" thickTop="1" thickBot="1" x14ac:dyDescent="0.3">
      <c r="A862" s="27"/>
      <c r="B862" s="25" t="s">
        <v>11</v>
      </c>
      <c r="C862" s="8" t="s">
        <v>60</v>
      </c>
      <c r="D862" s="7" t="s">
        <v>79</v>
      </c>
      <c r="E862" s="9" t="s">
        <v>71</v>
      </c>
      <c r="F862" s="10">
        <v>20</v>
      </c>
      <c r="G862" s="11" t="s">
        <v>119</v>
      </c>
      <c r="H862" s="7" t="s">
        <v>85</v>
      </c>
      <c r="I862" s="11" t="s">
        <v>7</v>
      </c>
      <c r="J862" s="11" t="s">
        <v>103</v>
      </c>
      <c r="K862" s="12">
        <v>17200</v>
      </c>
      <c r="L862" s="12">
        <f>K862*16%</f>
        <v>2752</v>
      </c>
      <c r="M862" s="12">
        <f t="shared" si="33"/>
        <v>14448</v>
      </c>
      <c r="N862" s="29">
        <v>20</v>
      </c>
    </row>
    <row r="863" spans="1:17" ht="16.5" thickTop="1" thickBot="1" x14ac:dyDescent="0.3">
      <c r="A863" s="27"/>
      <c r="B863" s="25" t="s">
        <v>13</v>
      </c>
      <c r="C863" s="8" t="s">
        <v>60</v>
      </c>
      <c r="D863" s="7" t="s">
        <v>79</v>
      </c>
      <c r="E863" s="9" t="s">
        <v>71</v>
      </c>
      <c r="F863" s="10">
        <v>20</v>
      </c>
      <c r="G863" s="11" t="s">
        <v>119</v>
      </c>
      <c r="H863" s="7" t="s">
        <v>85</v>
      </c>
      <c r="I863" s="11" t="s">
        <v>9</v>
      </c>
      <c r="J863" s="11" t="s">
        <v>103</v>
      </c>
      <c r="K863" s="12">
        <v>7800</v>
      </c>
      <c r="L863" s="12">
        <f>K863*16%</f>
        <v>1248</v>
      </c>
      <c r="M863" s="12">
        <f t="shared" si="33"/>
        <v>6552</v>
      </c>
      <c r="N863" s="29">
        <v>20</v>
      </c>
    </row>
    <row r="864" spans="1:17" ht="16.5" thickTop="1" thickBot="1" x14ac:dyDescent="0.3">
      <c r="A864" s="27"/>
      <c r="B864" s="25" t="s">
        <v>10</v>
      </c>
      <c r="C864" s="8" t="s">
        <v>60</v>
      </c>
      <c r="D864" s="7" t="s">
        <v>79</v>
      </c>
      <c r="E864" s="9" t="s">
        <v>71</v>
      </c>
      <c r="F864" s="10">
        <v>20</v>
      </c>
      <c r="G864" s="11" t="s">
        <v>119</v>
      </c>
      <c r="H864" s="7" t="s">
        <v>85</v>
      </c>
      <c r="I864" s="11" t="s">
        <v>96</v>
      </c>
      <c r="J864" s="11" t="s">
        <v>103</v>
      </c>
      <c r="K864" s="12">
        <v>1785.7</v>
      </c>
      <c r="L864" s="12">
        <v>0</v>
      </c>
      <c r="M864" s="12">
        <f t="shared" si="33"/>
        <v>1785.7</v>
      </c>
      <c r="N864" s="29">
        <v>20</v>
      </c>
    </row>
    <row r="865" spans="1:17" ht="16.5" thickTop="1" thickBot="1" x14ac:dyDescent="0.3">
      <c r="A865" s="27"/>
      <c r="B865" s="25" t="s">
        <v>11</v>
      </c>
      <c r="C865" s="8" t="s">
        <v>60</v>
      </c>
      <c r="D865" s="7" t="s">
        <v>79</v>
      </c>
      <c r="E865" s="9" t="s">
        <v>71</v>
      </c>
      <c r="F865" s="10">
        <v>20</v>
      </c>
      <c r="G865" s="11" t="s">
        <v>94</v>
      </c>
      <c r="H865" s="7" t="s">
        <v>86</v>
      </c>
      <c r="I865" s="11" t="s">
        <v>7</v>
      </c>
      <c r="J865" s="11" t="s">
        <v>103</v>
      </c>
      <c r="K865" s="12">
        <v>24767</v>
      </c>
      <c r="L865" s="12">
        <f>K865*16%</f>
        <v>3962.7200000000003</v>
      </c>
      <c r="M865" s="12">
        <f>K865-L865</f>
        <v>20804.28</v>
      </c>
      <c r="N865" s="29">
        <v>20</v>
      </c>
    </row>
    <row r="866" spans="1:17" ht="16.5" thickTop="1" thickBot="1" x14ac:dyDescent="0.3">
      <c r="A866" s="27"/>
      <c r="B866" s="25" t="s">
        <v>13</v>
      </c>
      <c r="C866" s="8" t="s">
        <v>60</v>
      </c>
      <c r="D866" s="7" t="s">
        <v>79</v>
      </c>
      <c r="E866" s="9" t="s">
        <v>68</v>
      </c>
      <c r="F866" s="10">
        <v>20</v>
      </c>
      <c r="G866" s="11" t="s">
        <v>94</v>
      </c>
      <c r="H866" s="7" t="s">
        <v>86</v>
      </c>
      <c r="I866" s="11" t="s">
        <v>15</v>
      </c>
      <c r="J866" s="11" t="s">
        <v>103</v>
      </c>
      <c r="K866" s="49">
        <v>6580</v>
      </c>
      <c r="L866" s="12">
        <v>723.8</v>
      </c>
      <c r="M866" s="49">
        <f>K866-L866</f>
        <v>5856.2</v>
      </c>
      <c r="N866" s="29">
        <v>20</v>
      </c>
    </row>
    <row r="867" spans="1:17" ht="16.5" thickTop="1" thickBot="1" x14ac:dyDescent="0.3">
      <c r="A867" s="27"/>
      <c r="B867" s="25"/>
      <c r="C867" s="8"/>
      <c r="D867" s="7"/>
      <c r="E867" s="9"/>
      <c r="F867" s="10"/>
      <c r="G867" s="11" t="s">
        <v>94</v>
      </c>
      <c r="H867" s="7" t="s">
        <v>86</v>
      </c>
      <c r="I867" s="11"/>
      <c r="J867" s="11"/>
      <c r="K867" s="49">
        <v>6580</v>
      </c>
      <c r="L867" s="12"/>
      <c r="M867" s="49"/>
      <c r="N867" s="29"/>
    </row>
    <row r="868" spans="1:17" ht="16.5" thickTop="1" thickBot="1" x14ac:dyDescent="0.3">
      <c r="A868" s="27"/>
      <c r="B868" s="25" t="s">
        <v>13</v>
      </c>
      <c r="C868" s="8" t="s">
        <v>60</v>
      </c>
      <c r="D868" s="7" t="s">
        <v>79</v>
      </c>
      <c r="E868" s="9" t="s">
        <v>71</v>
      </c>
      <c r="F868" s="10">
        <v>20</v>
      </c>
      <c r="G868" s="11" t="s">
        <v>94</v>
      </c>
      <c r="H868" s="7" t="s">
        <v>86</v>
      </c>
      <c r="I868" s="11" t="s">
        <v>9</v>
      </c>
      <c r="J868" s="11" t="s">
        <v>103</v>
      </c>
      <c r="K868" s="12">
        <v>15476</v>
      </c>
      <c r="L868" s="12">
        <f>K868*16%</f>
        <v>2476.16</v>
      </c>
      <c r="M868" s="12">
        <f t="shared" ref="M868:M899" si="37">K868-L868</f>
        <v>12999.84</v>
      </c>
      <c r="N868" s="29">
        <v>20</v>
      </c>
    </row>
    <row r="869" spans="1:17" ht="15.75" customHeight="1" thickTop="1" thickBot="1" x14ac:dyDescent="0.3">
      <c r="A869" s="27"/>
      <c r="B869" s="25" t="s">
        <v>22</v>
      </c>
      <c r="C869" s="8" t="s">
        <v>61</v>
      </c>
      <c r="D869" s="7" t="s">
        <v>79</v>
      </c>
      <c r="E869" s="9" t="s">
        <v>71</v>
      </c>
      <c r="F869" s="10">
        <v>20</v>
      </c>
      <c r="G869" s="13" t="s">
        <v>39</v>
      </c>
      <c r="H869" s="7" t="s">
        <v>83</v>
      </c>
      <c r="I869" s="11" t="s">
        <v>7</v>
      </c>
      <c r="J869" s="11" t="s">
        <v>80</v>
      </c>
      <c r="K869" s="12">
        <v>18709.103873069998</v>
      </c>
      <c r="L869" s="12">
        <v>0</v>
      </c>
      <c r="M869" s="12">
        <f t="shared" si="37"/>
        <v>18709.103873069998</v>
      </c>
      <c r="N869" s="29">
        <v>17</v>
      </c>
    </row>
    <row r="870" spans="1:17" ht="15.75" customHeight="1" thickTop="1" thickBot="1" x14ac:dyDescent="0.3">
      <c r="A870" s="27"/>
      <c r="B870" s="25" t="s">
        <v>11</v>
      </c>
      <c r="C870" s="8" t="s">
        <v>61</v>
      </c>
      <c r="D870" s="7" t="s">
        <v>79</v>
      </c>
      <c r="E870" s="9" t="s">
        <v>71</v>
      </c>
      <c r="F870" s="10">
        <v>20</v>
      </c>
      <c r="G870" s="13" t="s">
        <v>40</v>
      </c>
      <c r="H870" s="7" t="s">
        <v>83</v>
      </c>
      <c r="I870" s="14" t="s">
        <v>30</v>
      </c>
      <c r="J870" s="14" t="s">
        <v>107</v>
      </c>
      <c r="K870" s="12">
        <v>200</v>
      </c>
      <c r="L870" s="12">
        <f>K870*5%</f>
        <v>10</v>
      </c>
      <c r="M870" s="12">
        <f t="shared" si="37"/>
        <v>190</v>
      </c>
      <c r="N870" s="29">
        <v>10</v>
      </c>
    </row>
    <row r="871" spans="1:17" ht="16.5" thickTop="1" thickBot="1" x14ac:dyDescent="0.3">
      <c r="A871" s="27"/>
      <c r="B871" s="25" t="s">
        <v>11</v>
      </c>
      <c r="C871" s="8" t="s">
        <v>61</v>
      </c>
      <c r="D871" s="7" t="s">
        <v>79</v>
      </c>
      <c r="E871" s="9" t="s">
        <v>71</v>
      </c>
      <c r="F871" s="10">
        <v>20</v>
      </c>
      <c r="G871" s="13" t="s">
        <v>41</v>
      </c>
      <c r="H871" s="7" t="s">
        <v>83</v>
      </c>
      <c r="I871" s="14" t="s">
        <v>30</v>
      </c>
      <c r="J871" s="11" t="s">
        <v>80</v>
      </c>
      <c r="K871" s="12">
        <v>600</v>
      </c>
      <c r="L871" s="12">
        <f>K871*5%</f>
        <v>30</v>
      </c>
      <c r="M871" s="12">
        <f t="shared" si="37"/>
        <v>570</v>
      </c>
      <c r="N871" s="29">
        <v>25</v>
      </c>
    </row>
    <row r="872" spans="1:17" ht="16.5" thickTop="1" thickBot="1" x14ac:dyDescent="0.3">
      <c r="A872" s="27"/>
      <c r="B872" s="25" t="s">
        <v>22</v>
      </c>
      <c r="C872" s="8" t="s">
        <v>61</v>
      </c>
      <c r="D872" s="7" t="s">
        <v>79</v>
      </c>
      <c r="E872" s="9" t="s">
        <v>71</v>
      </c>
      <c r="F872" s="10">
        <v>20</v>
      </c>
      <c r="G872" s="13" t="s">
        <v>92</v>
      </c>
      <c r="H872" s="7" t="s">
        <v>83</v>
      </c>
      <c r="I872" s="11" t="s">
        <v>7</v>
      </c>
      <c r="J872" s="11" t="s">
        <v>80</v>
      </c>
      <c r="K872" s="12">
        <v>5625</v>
      </c>
      <c r="L872" s="12">
        <v>0</v>
      </c>
      <c r="M872" s="12">
        <f t="shared" si="37"/>
        <v>5625</v>
      </c>
      <c r="N872" s="29">
        <v>15</v>
      </c>
    </row>
    <row r="873" spans="1:17" ht="15.75" customHeight="1" thickTop="1" thickBot="1" x14ac:dyDescent="0.3">
      <c r="A873" s="27"/>
      <c r="B873" s="25" t="s">
        <v>11</v>
      </c>
      <c r="C873" s="8" t="s">
        <v>61</v>
      </c>
      <c r="D873" s="7" t="s">
        <v>79</v>
      </c>
      <c r="E873" s="9" t="s">
        <v>71</v>
      </c>
      <c r="F873" s="10">
        <v>20</v>
      </c>
      <c r="G873" s="13" t="s">
        <v>43</v>
      </c>
      <c r="H873" s="7" t="s">
        <v>83</v>
      </c>
      <c r="I873" s="14" t="s">
        <v>30</v>
      </c>
      <c r="J873" s="14" t="s">
        <v>106</v>
      </c>
      <c r="K873" s="12">
        <v>200</v>
      </c>
      <c r="L873" s="12">
        <f>K873*5%</f>
        <v>10</v>
      </c>
      <c r="M873" s="12">
        <f t="shared" si="37"/>
        <v>190</v>
      </c>
      <c r="N873" s="29">
        <v>15</v>
      </c>
    </row>
    <row r="874" spans="1:17" ht="16.5" thickTop="1" thickBot="1" x14ac:dyDescent="0.3">
      <c r="A874" s="27"/>
      <c r="B874" s="25" t="s">
        <v>11</v>
      </c>
      <c r="C874" s="8" t="s">
        <v>61</v>
      </c>
      <c r="D874" s="7" t="s">
        <v>79</v>
      </c>
      <c r="E874" s="9" t="s">
        <v>71</v>
      </c>
      <c r="F874" s="10">
        <v>20</v>
      </c>
      <c r="G874" s="13" t="s">
        <v>44</v>
      </c>
      <c r="H874" s="15" t="s">
        <v>85</v>
      </c>
      <c r="I874" s="14" t="s">
        <v>30</v>
      </c>
      <c r="J874" s="11" t="s">
        <v>80</v>
      </c>
      <c r="K874" s="12">
        <v>200</v>
      </c>
      <c r="L874" s="12">
        <f>K874*5%</f>
        <v>10</v>
      </c>
      <c r="M874" s="12">
        <f t="shared" si="37"/>
        <v>190</v>
      </c>
      <c r="N874" s="29">
        <v>16</v>
      </c>
    </row>
    <row r="875" spans="1:17" ht="16.5" thickTop="1" thickBot="1" x14ac:dyDescent="0.3">
      <c r="A875" s="27"/>
      <c r="B875" s="25" t="s">
        <v>5</v>
      </c>
      <c r="C875" s="8" t="s">
        <v>61</v>
      </c>
      <c r="D875" s="7" t="s">
        <v>79</v>
      </c>
      <c r="E875" s="9" t="s">
        <v>71</v>
      </c>
      <c r="F875" s="10">
        <v>1</v>
      </c>
      <c r="G875" s="11" t="s">
        <v>45</v>
      </c>
      <c r="H875" s="7" t="s">
        <v>91</v>
      </c>
      <c r="I875" s="11" t="s">
        <v>20</v>
      </c>
      <c r="J875" s="11" t="s">
        <v>105</v>
      </c>
      <c r="K875" s="16">
        <v>36757.832193000002</v>
      </c>
      <c r="L875" s="12">
        <f>K875*5%</f>
        <v>1837.8916096500002</v>
      </c>
      <c r="M875" s="12">
        <f t="shared" si="37"/>
        <v>34919.940583349999</v>
      </c>
      <c r="N875" s="54">
        <v>30</v>
      </c>
      <c r="O875" s="57">
        <f t="shared" ref="O875:O882" si="38">K875*10.5%</f>
        <v>3859.572380265</v>
      </c>
      <c r="P875" s="57">
        <f t="shared" ref="P875:P882" si="39">O875*60%</f>
        <v>2315.7434281589999</v>
      </c>
      <c r="Q875" s="57">
        <f t="shared" ref="Q875:Q882" si="40">O875*40%</f>
        <v>1543.8289521060001</v>
      </c>
    </row>
    <row r="876" spans="1:17" ht="16.5" thickTop="1" thickBot="1" x14ac:dyDescent="0.3">
      <c r="A876" s="27"/>
      <c r="B876" s="25" t="s">
        <v>5</v>
      </c>
      <c r="C876" s="8" t="s">
        <v>61</v>
      </c>
      <c r="D876" s="7" t="s">
        <v>79</v>
      </c>
      <c r="E876" s="9" t="s">
        <v>71</v>
      </c>
      <c r="F876" s="10">
        <v>1</v>
      </c>
      <c r="G876" s="11" t="s">
        <v>45</v>
      </c>
      <c r="H876" s="7" t="s">
        <v>91</v>
      </c>
      <c r="I876" s="11" t="s">
        <v>9</v>
      </c>
      <c r="J876" s="11" t="s">
        <v>105</v>
      </c>
      <c r="K876" s="16">
        <v>25897.992921000001</v>
      </c>
      <c r="L876" s="12">
        <f>K876*5%</f>
        <v>1294.8996460500002</v>
      </c>
      <c r="M876" s="12">
        <f t="shared" si="37"/>
        <v>24603.093274949999</v>
      </c>
      <c r="N876" s="54">
        <v>30</v>
      </c>
      <c r="O876" s="57">
        <f t="shared" si="38"/>
        <v>2719.2892567049998</v>
      </c>
      <c r="P876" s="57">
        <f t="shared" si="39"/>
        <v>1631.5735540229998</v>
      </c>
      <c r="Q876" s="57">
        <f t="shared" si="40"/>
        <v>1087.715702682</v>
      </c>
    </row>
    <row r="877" spans="1:17" ht="16.5" thickTop="1" thickBot="1" x14ac:dyDescent="0.3">
      <c r="A877" s="27"/>
      <c r="B877" s="25" t="s">
        <v>22</v>
      </c>
      <c r="C877" s="8" t="s">
        <v>61</v>
      </c>
      <c r="D877" s="7" t="s">
        <v>79</v>
      </c>
      <c r="E877" s="9" t="s">
        <v>71</v>
      </c>
      <c r="F877" s="10">
        <v>1</v>
      </c>
      <c r="G877" s="11" t="s">
        <v>46</v>
      </c>
      <c r="H877" s="7" t="s">
        <v>85</v>
      </c>
      <c r="I877" s="11" t="s">
        <v>20</v>
      </c>
      <c r="J877" s="11" t="s">
        <v>105</v>
      </c>
      <c r="K877" s="16">
        <v>52934.258285999997</v>
      </c>
      <c r="L877" s="12">
        <v>0</v>
      </c>
      <c r="M877" s="12">
        <f t="shared" si="37"/>
        <v>52934.258285999997</v>
      </c>
      <c r="N877" s="54">
        <v>30</v>
      </c>
      <c r="O877" s="57">
        <f t="shared" si="38"/>
        <v>5558.0971200299991</v>
      </c>
      <c r="P877" s="57">
        <f t="shared" si="39"/>
        <v>3334.8582720179993</v>
      </c>
      <c r="Q877" s="57">
        <f t="shared" si="40"/>
        <v>2223.2388480119998</v>
      </c>
    </row>
    <row r="878" spans="1:17" ht="16.5" thickTop="1" thickBot="1" x14ac:dyDescent="0.3">
      <c r="A878" s="27"/>
      <c r="B878" s="25" t="s">
        <v>22</v>
      </c>
      <c r="C878" s="8" t="s">
        <v>61</v>
      </c>
      <c r="D878" s="7" t="s">
        <v>79</v>
      </c>
      <c r="E878" s="9" t="s">
        <v>71</v>
      </c>
      <c r="F878" s="10">
        <v>1</v>
      </c>
      <c r="G878" s="11" t="s">
        <v>46</v>
      </c>
      <c r="H878" s="7" t="s">
        <v>85</v>
      </c>
      <c r="I878" s="11" t="s">
        <v>98</v>
      </c>
      <c r="J878" s="11" t="s">
        <v>105</v>
      </c>
      <c r="K878" s="12">
        <v>3129.3</v>
      </c>
      <c r="L878" s="12">
        <v>0</v>
      </c>
      <c r="M878" s="12">
        <f t="shared" si="37"/>
        <v>3129.3</v>
      </c>
      <c r="N878" s="54">
        <v>30</v>
      </c>
      <c r="O878" s="57">
        <f t="shared" si="38"/>
        <v>328.57650000000001</v>
      </c>
      <c r="P878" s="57">
        <f t="shared" si="39"/>
        <v>197.14590000000001</v>
      </c>
      <c r="Q878" s="57">
        <f t="shared" si="40"/>
        <v>131.4306</v>
      </c>
    </row>
    <row r="879" spans="1:17" ht="16.5" thickTop="1" thickBot="1" x14ac:dyDescent="0.3">
      <c r="A879" s="27"/>
      <c r="B879" s="25" t="s">
        <v>22</v>
      </c>
      <c r="C879" s="8" t="s">
        <v>61</v>
      </c>
      <c r="D879" s="7" t="s">
        <v>79</v>
      </c>
      <c r="E879" s="9" t="s">
        <v>71</v>
      </c>
      <c r="F879" s="10">
        <v>1</v>
      </c>
      <c r="G879" s="11" t="s">
        <v>46</v>
      </c>
      <c r="H879" s="7" t="s">
        <v>85</v>
      </c>
      <c r="I879" s="11" t="s">
        <v>9</v>
      </c>
      <c r="J879" s="11" t="s">
        <v>105</v>
      </c>
      <c r="K879" s="12">
        <v>38846.994597000004</v>
      </c>
      <c r="L879" s="12">
        <v>0</v>
      </c>
      <c r="M879" s="12">
        <f t="shared" si="37"/>
        <v>38846.994597000004</v>
      </c>
      <c r="N879" s="54">
        <v>30</v>
      </c>
      <c r="O879" s="57">
        <f t="shared" si="38"/>
        <v>4078.9344326850005</v>
      </c>
      <c r="P879" s="57">
        <f t="shared" si="39"/>
        <v>2447.3606596110003</v>
      </c>
      <c r="Q879" s="57">
        <f t="shared" si="40"/>
        <v>1631.5737730740002</v>
      </c>
    </row>
    <row r="880" spans="1:17" ht="16.5" thickTop="1" thickBot="1" x14ac:dyDescent="0.3">
      <c r="A880" s="27"/>
      <c r="B880" s="25" t="s">
        <v>22</v>
      </c>
      <c r="C880" s="8" t="s">
        <v>61</v>
      </c>
      <c r="D880" s="7" t="s">
        <v>79</v>
      </c>
      <c r="E880" s="9" t="s">
        <v>71</v>
      </c>
      <c r="F880" s="10">
        <v>1</v>
      </c>
      <c r="G880" s="11" t="s">
        <v>46</v>
      </c>
      <c r="H880" s="7" t="s">
        <v>85</v>
      </c>
      <c r="I880" s="11" t="s">
        <v>97</v>
      </c>
      <c r="J880" s="11" t="s">
        <v>105</v>
      </c>
      <c r="K880" s="12">
        <v>6400</v>
      </c>
      <c r="L880" s="12">
        <v>0</v>
      </c>
      <c r="M880" s="12">
        <f t="shared" si="37"/>
        <v>6400</v>
      </c>
      <c r="N880" s="54">
        <v>30</v>
      </c>
      <c r="O880" s="57">
        <f t="shared" si="38"/>
        <v>672</v>
      </c>
      <c r="P880" s="57">
        <f t="shared" si="39"/>
        <v>403.2</v>
      </c>
      <c r="Q880" s="57">
        <f t="shared" si="40"/>
        <v>268.8</v>
      </c>
    </row>
    <row r="881" spans="1:17" ht="16.5" thickTop="1" thickBot="1" x14ac:dyDescent="0.3">
      <c r="A881" s="27"/>
      <c r="B881" s="25" t="s">
        <v>22</v>
      </c>
      <c r="C881" s="8" t="s">
        <v>61</v>
      </c>
      <c r="D881" s="7" t="s">
        <v>79</v>
      </c>
      <c r="E881" s="9" t="s">
        <v>71</v>
      </c>
      <c r="F881" s="10">
        <v>1</v>
      </c>
      <c r="G881" s="11" t="s">
        <v>47</v>
      </c>
      <c r="H881" s="7" t="s">
        <v>85</v>
      </c>
      <c r="I881" s="11" t="s">
        <v>9</v>
      </c>
      <c r="J881" s="11" t="s">
        <v>105</v>
      </c>
      <c r="K881" s="12">
        <v>30185.123490000002</v>
      </c>
      <c r="L881" s="12">
        <v>0</v>
      </c>
      <c r="M881" s="12">
        <f t="shared" si="37"/>
        <v>30185.123490000002</v>
      </c>
      <c r="N881" s="54">
        <v>30</v>
      </c>
      <c r="O881" s="57">
        <f t="shared" si="38"/>
        <v>3169.4379664500002</v>
      </c>
      <c r="P881" s="57">
        <f t="shared" si="39"/>
        <v>1901.6627798700001</v>
      </c>
      <c r="Q881" s="57">
        <f t="shared" si="40"/>
        <v>1267.7751865800001</v>
      </c>
    </row>
    <row r="882" spans="1:17" ht="16.5" thickTop="1" thickBot="1" x14ac:dyDescent="0.3">
      <c r="A882" s="27"/>
      <c r="B882" s="25" t="s">
        <v>22</v>
      </c>
      <c r="C882" s="8" t="s">
        <v>61</v>
      </c>
      <c r="D882" s="7" t="s">
        <v>79</v>
      </c>
      <c r="E882" s="9" t="s">
        <v>71</v>
      </c>
      <c r="F882" s="10">
        <v>1</v>
      </c>
      <c r="G882" s="11" t="s">
        <v>48</v>
      </c>
      <c r="H882" s="7" t="s">
        <v>85</v>
      </c>
      <c r="I882" s="11" t="s">
        <v>9</v>
      </c>
      <c r="J882" s="11" t="s">
        <v>105</v>
      </c>
      <c r="K882" s="12">
        <v>21610.872782999999</v>
      </c>
      <c r="L882" s="12">
        <v>0</v>
      </c>
      <c r="M882" s="12">
        <f t="shared" si="37"/>
        <v>21610.872782999999</v>
      </c>
      <c r="N882" s="54">
        <v>30</v>
      </c>
      <c r="O882" s="57">
        <f t="shared" si="38"/>
        <v>2269.1416422149996</v>
      </c>
      <c r="P882" s="57">
        <f t="shared" si="39"/>
        <v>1361.4849853289998</v>
      </c>
      <c r="Q882" s="57">
        <f t="shared" si="40"/>
        <v>907.65665688599984</v>
      </c>
    </row>
    <row r="883" spans="1:17" ht="15.75" customHeight="1" thickTop="1" thickBot="1" x14ac:dyDescent="0.3">
      <c r="A883" s="27"/>
      <c r="B883" s="25" t="s">
        <v>22</v>
      </c>
      <c r="C883" s="8" t="s">
        <v>62</v>
      </c>
      <c r="D883" s="7" t="s">
        <v>79</v>
      </c>
      <c r="E883" s="9" t="s">
        <v>71</v>
      </c>
      <c r="F883" s="10">
        <v>10</v>
      </c>
      <c r="G883" s="13" t="s">
        <v>49</v>
      </c>
      <c r="H883" s="7" t="s">
        <v>85</v>
      </c>
      <c r="I883" s="11" t="s">
        <v>9</v>
      </c>
      <c r="J883" s="11" t="s">
        <v>105</v>
      </c>
      <c r="K883" s="12">
        <v>17400</v>
      </c>
      <c r="L883" s="12">
        <v>0</v>
      </c>
      <c r="M883" s="12">
        <f>K883-L883</f>
        <v>17400</v>
      </c>
      <c r="N883" s="29">
        <v>10</v>
      </c>
    </row>
    <row r="884" spans="1:17" ht="16.5" thickTop="1" thickBot="1" x14ac:dyDescent="0.3">
      <c r="A884" s="27"/>
      <c r="B884" s="25" t="s">
        <v>22</v>
      </c>
      <c r="C884" s="8" t="s">
        <v>62</v>
      </c>
      <c r="D884" s="7" t="s">
        <v>79</v>
      </c>
      <c r="E884" s="9" t="s">
        <v>71</v>
      </c>
      <c r="F884" s="10">
        <v>10</v>
      </c>
      <c r="G884" s="13" t="s">
        <v>49</v>
      </c>
      <c r="H884" s="7" t="s">
        <v>85</v>
      </c>
      <c r="I884" s="11" t="s">
        <v>98</v>
      </c>
      <c r="J884" s="11" t="s">
        <v>105</v>
      </c>
      <c r="K884" s="12">
        <v>4829.5529999999999</v>
      </c>
      <c r="L884" s="12">
        <v>0</v>
      </c>
      <c r="M884" s="12">
        <f t="shared" si="37"/>
        <v>4829.5529999999999</v>
      </c>
      <c r="N884" s="29">
        <v>10</v>
      </c>
    </row>
    <row r="885" spans="1:17" ht="15.75" customHeight="1" thickTop="1" thickBot="1" x14ac:dyDescent="0.3">
      <c r="A885" s="27"/>
      <c r="B885" s="25" t="s">
        <v>22</v>
      </c>
      <c r="C885" s="8" t="s">
        <v>62</v>
      </c>
      <c r="D885" s="7" t="s">
        <v>79</v>
      </c>
      <c r="E885" s="9" t="s">
        <v>71</v>
      </c>
      <c r="F885" s="10">
        <v>10</v>
      </c>
      <c r="G885" s="13" t="s">
        <v>50</v>
      </c>
      <c r="H885" s="7" t="s">
        <v>85</v>
      </c>
      <c r="I885" s="11" t="s">
        <v>9</v>
      </c>
      <c r="J885" s="11" t="s">
        <v>105</v>
      </c>
      <c r="K885" s="12">
        <v>17400</v>
      </c>
      <c r="L885" s="12">
        <v>0</v>
      </c>
      <c r="M885" s="12">
        <f>K885-L885</f>
        <v>17400</v>
      </c>
      <c r="N885" s="29">
        <v>10</v>
      </c>
    </row>
    <row r="886" spans="1:17" ht="16.5" thickTop="1" thickBot="1" x14ac:dyDescent="0.3">
      <c r="A886" s="27"/>
      <c r="B886" s="25" t="s">
        <v>22</v>
      </c>
      <c r="C886" s="8" t="s">
        <v>62</v>
      </c>
      <c r="D886" s="7" t="s">
        <v>79</v>
      </c>
      <c r="E886" s="9" t="s">
        <v>71</v>
      </c>
      <c r="F886" s="10">
        <v>10</v>
      </c>
      <c r="G886" s="13" t="s">
        <v>50</v>
      </c>
      <c r="H886" s="7" t="s">
        <v>85</v>
      </c>
      <c r="I886" s="11" t="s">
        <v>98</v>
      </c>
      <c r="J886" s="11" t="s">
        <v>105</v>
      </c>
      <c r="K886" s="12">
        <v>4829.5529999999999</v>
      </c>
      <c r="L886" s="12">
        <v>0</v>
      </c>
      <c r="M886" s="12">
        <f t="shared" si="37"/>
        <v>4829.5529999999999</v>
      </c>
      <c r="N886" s="29">
        <v>10</v>
      </c>
    </row>
    <row r="887" spans="1:17" ht="16.5" thickTop="1" thickBot="1" x14ac:dyDescent="0.3">
      <c r="A887" s="27"/>
      <c r="B887" s="25" t="s">
        <v>11</v>
      </c>
      <c r="C887" s="8" t="s">
        <v>62</v>
      </c>
      <c r="D887" s="7" t="s">
        <v>79</v>
      </c>
      <c r="E887" s="9" t="s">
        <v>71</v>
      </c>
      <c r="F887" s="10">
        <v>16</v>
      </c>
      <c r="G887" s="13" t="s">
        <v>51</v>
      </c>
      <c r="H887" s="7" t="s">
        <v>83</v>
      </c>
      <c r="I887" s="11" t="s">
        <v>7</v>
      </c>
      <c r="J887" s="11" t="s">
        <v>80</v>
      </c>
      <c r="K887" s="12">
        <v>19124.839514250001</v>
      </c>
      <c r="L887" s="12">
        <f>K887*16%</f>
        <v>3059.9743222800003</v>
      </c>
      <c r="M887" s="12">
        <f t="shared" si="37"/>
        <v>16064.865191970001</v>
      </c>
      <c r="N887" s="29">
        <v>30</v>
      </c>
    </row>
    <row r="888" spans="1:17" ht="16.5" thickTop="1" thickBot="1" x14ac:dyDescent="0.3">
      <c r="A888" s="27"/>
      <c r="B888" s="25" t="s">
        <v>11</v>
      </c>
      <c r="C888" s="8" t="s">
        <v>62</v>
      </c>
      <c r="D888" s="7" t="s">
        <v>79</v>
      </c>
      <c r="E888" s="9" t="s">
        <v>71</v>
      </c>
      <c r="F888" s="10">
        <v>16</v>
      </c>
      <c r="G888" s="11" t="s">
        <v>52</v>
      </c>
      <c r="H888" s="7" t="s">
        <v>84</v>
      </c>
      <c r="I888" s="11" t="s">
        <v>7</v>
      </c>
      <c r="J888" s="11" t="s">
        <v>103</v>
      </c>
      <c r="K888" s="12">
        <v>72596.33</v>
      </c>
      <c r="L888" s="12">
        <f>K888*16%</f>
        <v>11615.4128</v>
      </c>
      <c r="M888" s="12">
        <v>57706.080000000002</v>
      </c>
      <c r="N888" s="29">
        <v>15</v>
      </c>
    </row>
    <row r="889" spans="1:17" ht="16.5" thickTop="1" thickBot="1" x14ac:dyDescent="0.3">
      <c r="A889" s="27"/>
      <c r="B889" s="25" t="s">
        <v>5</v>
      </c>
      <c r="C889" s="8" t="s">
        <v>62</v>
      </c>
      <c r="D889" s="7" t="s">
        <v>79</v>
      </c>
      <c r="E889" s="9" t="s">
        <v>71</v>
      </c>
      <c r="F889" s="10">
        <v>16</v>
      </c>
      <c r="G889" s="11" t="s">
        <v>53</v>
      </c>
      <c r="H889" s="7" t="s">
        <v>85</v>
      </c>
      <c r="I889" s="11" t="s">
        <v>7</v>
      </c>
      <c r="J889" s="11" t="s">
        <v>103</v>
      </c>
      <c r="K889" s="12">
        <v>17410.382099999999</v>
      </c>
      <c r="L889" s="12">
        <f>K889*5%</f>
        <v>870.51910499999997</v>
      </c>
      <c r="M889" s="12">
        <f t="shared" si="37"/>
        <v>16539.862995</v>
      </c>
      <c r="N889" s="29">
        <v>15</v>
      </c>
    </row>
    <row r="890" spans="1:17" ht="16.5" thickTop="1" thickBot="1" x14ac:dyDescent="0.3">
      <c r="A890" s="27"/>
      <c r="B890" s="25" t="s">
        <v>5</v>
      </c>
      <c r="C890" s="8" t="s">
        <v>62</v>
      </c>
      <c r="D890" s="7" t="s">
        <v>79</v>
      </c>
      <c r="E890" s="9" t="s">
        <v>71</v>
      </c>
      <c r="F890" s="10">
        <v>16</v>
      </c>
      <c r="G890" s="11" t="s">
        <v>53</v>
      </c>
      <c r="H890" s="7" t="s">
        <v>85</v>
      </c>
      <c r="I890" s="11" t="s">
        <v>15</v>
      </c>
      <c r="J890" s="11" t="s">
        <v>103</v>
      </c>
      <c r="K890" s="12">
        <v>4509.3212999999996</v>
      </c>
      <c r="L890" s="12">
        <f>K890*5%</f>
        <v>225.46606499999999</v>
      </c>
      <c r="M890" s="12">
        <f t="shared" si="37"/>
        <v>4283.855235</v>
      </c>
      <c r="N890" s="29">
        <v>15</v>
      </c>
    </row>
    <row r="891" spans="1:17" ht="16.5" thickTop="1" thickBot="1" x14ac:dyDescent="0.3">
      <c r="A891" s="27"/>
      <c r="B891" s="25" t="s">
        <v>5</v>
      </c>
      <c r="C891" s="8" t="s">
        <v>62</v>
      </c>
      <c r="D891" s="7" t="s">
        <v>79</v>
      </c>
      <c r="E891" s="9" t="s">
        <v>71</v>
      </c>
      <c r="F891" s="10">
        <v>16</v>
      </c>
      <c r="G891" s="11" t="s">
        <v>53</v>
      </c>
      <c r="H891" s="7" t="s">
        <v>85</v>
      </c>
      <c r="I891" s="11" t="s">
        <v>9</v>
      </c>
      <c r="J891" s="11" t="s">
        <v>103</v>
      </c>
      <c r="K891" s="12">
        <v>7272.4931999999999</v>
      </c>
      <c r="L891" s="12">
        <f>K891*5%</f>
        <v>363.62466000000001</v>
      </c>
      <c r="M891" s="12">
        <f t="shared" si="37"/>
        <v>6908.8685399999995</v>
      </c>
      <c r="N891" s="29">
        <v>15</v>
      </c>
    </row>
    <row r="892" spans="1:17" ht="16.5" thickTop="1" thickBot="1" x14ac:dyDescent="0.3">
      <c r="A892" s="27"/>
      <c r="B892" s="25" t="s">
        <v>22</v>
      </c>
      <c r="C892" s="8" t="s">
        <v>62</v>
      </c>
      <c r="D892" s="7" t="s">
        <v>79</v>
      </c>
      <c r="E892" s="9" t="s">
        <v>71</v>
      </c>
      <c r="F892" s="10">
        <v>1</v>
      </c>
      <c r="G892" s="11" t="s">
        <v>54</v>
      </c>
      <c r="H892" s="7" t="s">
        <v>85</v>
      </c>
      <c r="I892" s="11" t="s">
        <v>20</v>
      </c>
      <c r="J892" s="11" t="s">
        <v>105</v>
      </c>
      <c r="K892" s="16">
        <v>36757.832193000002</v>
      </c>
      <c r="L892" s="12">
        <v>0</v>
      </c>
      <c r="M892" s="12">
        <f t="shared" si="37"/>
        <v>36757.832193000002</v>
      </c>
      <c r="N892" s="54">
        <v>30</v>
      </c>
      <c r="O892" s="57">
        <f t="shared" ref="O892:O899" si="41">K892*10.5%</f>
        <v>3859.572380265</v>
      </c>
      <c r="P892" s="57">
        <f t="shared" ref="P892:P899" si="42">O892*60%</f>
        <v>2315.7434281589999</v>
      </c>
      <c r="Q892" s="57">
        <f t="shared" ref="Q892:Q899" si="43">O892*40%</f>
        <v>1543.8289521060001</v>
      </c>
    </row>
    <row r="893" spans="1:17" ht="16.5" thickTop="1" thickBot="1" x14ac:dyDescent="0.3">
      <c r="A893" s="27"/>
      <c r="B893" s="25" t="s">
        <v>22</v>
      </c>
      <c r="C893" s="8" t="s">
        <v>62</v>
      </c>
      <c r="D893" s="7" t="s">
        <v>79</v>
      </c>
      <c r="E893" s="9" t="s">
        <v>71</v>
      </c>
      <c r="F893" s="10">
        <v>1</v>
      </c>
      <c r="G893" s="11" t="s">
        <v>54</v>
      </c>
      <c r="H893" s="7" t="s">
        <v>85</v>
      </c>
      <c r="I893" s="11" t="s">
        <v>9</v>
      </c>
      <c r="J893" s="11" t="s">
        <v>105</v>
      </c>
      <c r="K893" s="16">
        <v>30185.123490000002</v>
      </c>
      <c r="L893" s="12">
        <v>0</v>
      </c>
      <c r="M893" s="12">
        <f t="shared" si="37"/>
        <v>30185.123490000002</v>
      </c>
      <c r="N893" s="54">
        <v>30</v>
      </c>
      <c r="O893" s="57">
        <f t="shared" si="41"/>
        <v>3169.4379664500002</v>
      </c>
      <c r="P893" s="57">
        <f t="shared" si="42"/>
        <v>1901.6627798700001</v>
      </c>
      <c r="Q893" s="57">
        <f t="shared" si="43"/>
        <v>1267.7751865800001</v>
      </c>
    </row>
    <row r="894" spans="1:17" ht="16.5" thickTop="1" thickBot="1" x14ac:dyDescent="0.3">
      <c r="A894" s="27"/>
      <c r="B894" s="25" t="s">
        <v>22</v>
      </c>
      <c r="C894" s="8" t="s">
        <v>62</v>
      </c>
      <c r="D894" s="7" t="s">
        <v>79</v>
      </c>
      <c r="E894" s="9" t="s">
        <v>71</v>
      </c>
      <c r="F894" s="10">
        <v>1</v>
      </c>
      <c r="G894" s="11" t="s">
        <v>55</v>
      </c>
      <c r="H894" s="7" t="s">
        <v>85</v>
      </c>
      <c r="I894" s="11" t="s">
        <v>20</v>
      </c>
      <c r="J894" s="11" t="s">
        <v>105</v>
      </c>
      <c r="K894" s="16">
        <v>31506.62688</v>
      </c>
      <c r="L894" s="12">
        <v>0</v>
      </c>
      <c r="M894" s="12">
        <f t="shared" si="37"/>
        <v>31506.62688</v>
      </c>
      <c r="N894" s="54">
        <v>30</v>
      </c>
      <c r="O894" s="57">
        <f t="shared" si="41"/>
        <v>3308.1958224</v>
      </c>
      <c r="P894" s="57">
        <f t="shared" si="42"/>
        <v>1984.9174934399998</v>
      </c>
      <c r="Q894" s="57">
        <f t="shared" si="43"/>
        <v>1323.2783289600002</v>
      </c>
    </row>
    <row r="895" spans="1:17" ht="16.5" thickTop="1" thickBot="1" x14ac:dyDescent="0.3">
      <c r="A895" s="27"/>
      <c r="B895" s="25" t="s">
        <v>22</v>
      </c>
      <c r="C895" s="8" t="s">
        <v>62</v>
      </c>
      <c r="D895" s="7" t="s">
        <v>79</v>
      </c>
      <c r="E895" s="9" t="s">
        <v>71</v>
      </c>
      <c r="F895" s="10">
        <v>1</v>
      </c>
      <c r="G895" s="11" t="s">
        <v>55</v>
      </c>
      <c r="H895" s="7" t="s">
        <v>85</v>
      </c>
      <c r="I895" s="11" t="s">
        <v>9</v>
      </c>
      <c r="J895" s="11" t="s">
        <v>105</v>
      </c>
      <c r="K895" s="12">
        <v>21581.665982999999</v>
      </c>
      <c r="L895" s="12">
        <v>0</v>
      </c>
      <c r="M895" s="12">
        <f t="shared" si="37"/>
        <v>21581.665982999999</v>
      </c>
      <c r="N895" s="54">
        <v>30</v>
      </c>
      <c r="O895" s="57">
        <f t="shared" si="41"/>
        <v>2266.074928215</v>
      </c>
      <c r="P895" s="57">
        <f t="shared" si="42"/>
        <v>1359.644956929</v>
      </c>
      <c r="Q895" s="57">
        <f t="shared" si="43"/>
        <v>906.42997128600007</v>
      </c>
    </row>
    <row r="896" spans="1:17" ht="16.5" thickTop="1" thickBot="1" x14ac:dyDescent="0.3">
      <c r="A896" s="27"/>
      <c r="B896" s="25" t="s">
        <v>22</v>
      </c>
      <c r="C896" s="8" t="s">
        <v>62</v>
      </c>
      <c r="D896" s="7" t="s">
        <v>79</v>
      </c>
      <c r="E896" s="9" t="s">
        <v>71</v>
      </c>
      <c r="F896" s="10">
        <v>1</v>
      </c>
      <c r="G896" s="11" t="s">
        <v>56</v>
      </c>
      <c r="H896" s="7" t="s">
        <v>85</v>
      </c>
      <c r="I896" s="11" t="s">
        <v>9</v>
      </c>
      <c r="J896" s="11" t="s">
        <v>105</v>
      </c>
      <c r="K896" s="12">
        <v>30214.330290000002</v>
      </c>
      <c r="L896" s="12">
        <v>0</v>
      </c>
      <c r="M896" s="12">
        <f t="shared" si="37"/>
        <v>30214.330290000002</v>
      </c>
      <c r="N896" s="54">
        <v>30</v>
      </c>
      <c r="O896" s="57">
        <f t="shared" si="41"/>
        <v>3172.5046804500003</v>
      </c>
      <c r="P896" s="57">
        <f t="shared" si="42"/>
        <v>1903.5028082700001</v>
      </c>
      <c r="Q896" s="57">
        <f t="shared" si="43"/>
        <v>1269.0018721800002</v>
      </c>
    </row>
    <row r="897" spans="1:17" ht="16.5" thickTop="1" thickBot="1" x14ac:dyDescent="0.3">
      <c r="A897" s="27"/>
      <c r="B897" s="25" t="s">
        <v>22</v>
      </c>
      <c r="C897" s="8" t="s">
        <v>62</v>
      </c>
      <c r="D897" s="7" t="s">
        <v>79</v>
      </c>
      <c r="E897" s="9" t="s">
        <v>71</v>
      </c>
      <c r="F897" s="10">
        <v>1</v>
      </c>
      <c r="G897" s="11" t="s">
        <v>57</v>
      </c>
      <c r="H897" s="7" t="s">
        <v>85</v>
      </c>
      <c r="I897" s="11" t="s">
        <v>9</v>
      </c>
      <c r="J897" s="11" t="s">
        <v>105</v>
      </c>
      <c r="K897" s="12">
        <v>30185.123490000002</v>
      </c>
      <c r="L897" s="12">
        <v>0</v>
      </c>
      <c r="M897" s="12">
        <f t="shared" si="37"/>
        <v>30185.123490000002</v>
      </c>
      <c r="N897" s="54">
        <v>30</v>
      </c>
      <c r="O897" s="57">
        <f t="shared" si="41"/>
        <v>3169.4379664500002</v>
      </c>
      <c r="P897" s="57">
        <f t="shared" si="42"/>
        <v>1901.6627798700001</v>
      </c>
      <c r="Q897" s="57">
        <f t="shared" si="43"/>
        <v>1267.7751865800001</v>
      </c>
    </row>
    <row r="898" spans="1:17" ht="16.5" thickTop="1" thickBot="1" x14ac:dyDescent="0.3">
      <c r="A898" s="27"/>
      <c r="B898" s="25" t="s">
        <v>22</v>
      </c>
      <c r="C898" s="8" t="s">
        <v>62</v>
      </c>
      <c r="D898" s="7" t="s">
        <v>79</v>
      </c>
      <c r="E898" s="9" t="s">
        <v>71</v>
      </c>
      <c r="F898" s="10">
        <v>1</v>
      </c>
      <c r="G898" s="11" t="s">
        <v>58</v>
      </c>
      <c r="H898" s="7" t="s">
        <v>85</v>
      </c>
      <c r="I898" s="11" t="s">
        <v>9</v>
      </c>
      <c r="J898" s="11" t="s">
        <v>105</v>
      </c>
      <c r="K898" s="12">
        <v>17265.328613999998</v>
      </c>
      <c r="L898" s="12">
        <v>0</v>
      </c>
      <c r="M898" s="12">
        <f t="shared" si="37"/>
        <v>17265.328613999998</v>
      </c>
      <c r="N898" s="54">
        <v>30</v>
      </c>
      <c r="O898" s="57">
        <f t="shared" si="41"/>
        <v>1812.8595044699998</v>
      </c>
      <c r="P898" s="57">
        <f t="shared" si="42"/>
        <v>1087.7157026819998</v>
      </c>
      <c r="Q898" s="57">
        <f t="shared" si="43"/>
        <v>725.14380178800002</v>
      </c>
    </row>
    <row r="899" spans="1:17" ht="16.5" thickTop="1" thickBot="1" x14ac:dyDescent="0.3">
      <c r="A899" s="30"/>
      <c r="B899" s="31" t="s">
        <v>22</v>
      </c>
      <c r="C899" s="32" t="s">
        <v>62</v>
      </c>
      <c r="D899" s="33" t="s">
        <v>79</v>
      </c>
      <c r="E899" s="34" t="s">
        <v>71</v>
      </c>
      <c r="F899" s="35">
        <v>1</v>
      </c>
      <c r="G899" s="36" t="s">
        <v>59</v>
      </c>
      <c r="H899" s="33" t="s">
        <v>85</v>
      </c>
      <c r="I899" s="36" t="s">
        <v>9</v>
      </c>
      <c r="J899" s="36" t="s">
        <v>105</v>
      </c>
      <c r="K899" s="37">
        <v>4316.3373689999999</v>
      </c>
      <c r="L899" s="37">
        <v>0</v>
      </c>
      <c r="M899" s="37">
        <f t="shared" si="37"/>
        <v>4316.3373689999999</v>
      </c>
      <c r="N899" s="55">
        <v>30</v>
      </c>
      <c r="O899" s="57">
        <f t="shared" si="41"/>
        <v>453.21542374499995</v>
      </c>
      <c r="P899" s="57">
        <f t="shared" si="42"/>
        <v>271.92925424699996</v>
      </c>
      <c r="Q899" s="57">
        <f t="shared" si="43"/>
        <v>181.28616949799999</v>
      </c>
    </row>
    <row r="900" spans="1:17" ht="16.5" thickTop="1" thickBot="1" x14ac:dyDescent="0.3">
      <c r="A900" s="27" t="s">
        <v>111</v>
      </c>
      <c r="B900" s="25" t="s">
        <v>22</v>
      </c>
      <c r="C900" s="8" t="s">
        <v>61</v>
      </c>
      <c r="D900" s="7" t="s">
        <v>79</v>
      </c>
      <c r="E900" s="9" t="s">
        <v>69</v>
      </c>
      <c r="F900" s="10">
        <v>20</v>
      </c>
      <c r="G900" s="13" t="s">
        <v>92</v>
      </c>
      <c r="H900" s="7" t="s">
        <v>83</v>
      </c>
      <c r="I900" s="11" t="s">
        <v>9</v>
      </c>
      <c r="J900" s="11" t="s">
        <v>80</v>
      </c>
      <c r="K900" s="12">
        <v>4589.6400000000003</v>
      </c>
      <c r="L900" s="12">
        <v>0</v>
      </c>
      <c r="M900" s="12">
        <f>K900-L900</f>
        <v>4589.6400000000003</v>
      </c>
      <c r="N900" s="29">
        <v>15</v>
      </c>
    </row>
    <row r="901" spans="1:17" ht="16.5" thickTop="1" thickBot="1" x14ac:dyDescent="0.3">
      <c r="A901" s="27" t="s">
        <v>111</v>
      </c>
      <c r="B901" s="25" t="s">
        <v>22</v>
      </c>
      <c r="C901" s="8" t="s">
        <v>61</v>
      </c>
      <c r="D901" s="7" t="s">
        <v>79</v>
      </c>
      <c r="E901" s="9" t="s">
        <v>69</v>
      </c>
      <c r="F901" s="10">
        <v>20</v>
      </c>
      <c r="G901" s="13" t="s">
        <v>92</v>
      </c>
      <c r="H901" s="7" t="s">
        <v>83</v>
      </c>
      <c r="I901" s="11" t="s">
        <v>7</v>
      </c>
      <c r="J901" s="11" t="s">
        <v>80</v>
      </c>
      <c r="K901" s="12">
        <v>18000</v>
      </c>
      <c r="L901" s="12">
        <v>0</v>
      </c>
      <c r="M901" s="12">
        <f>K901-L901</f>
        <v>18000</v>
      </c>
      <c r="N901" s="29">
        <v>15</v>
      </c>
    </row>
    <row r="902" spans="1:17" ht="16.5" thickTop="1" thickBot="1" x14ac:dyDescent="0.3">
      <c r="A902" s="27"/>
      <c r="B902" s="25" t="s">
        <v>22</v>
      </c>
      <c r="C902" s="8" t="s">
        <v>61</v>
      </c>
      <c r="D902" s="7" t="s">
        <v>79</v>
      </c>
      <c r="E902" s="9" t="s">
        <v>70</v>
      </c>
      <c r="F902" s="10">
        <v>20</v>
      </c>
      <c r="G902" s="13" t="s">
        <v>92</v>
      </c>
      <c r="H902" s="7" t="s">
        <v>83</v>
      </c>
      <c r="I902" s="11" t="s">
        <v>9</v>
      </c>
      <c r="J902" s="11" t="s">
        <v>80</v>
      </c>
      <c r="K902" s="12">
        <v>4589.6400000000003</v>
      </c>
      <c r="L902" s="12">
        <v>0</v>
      </c>
      <c r="M902" s="12">
        <f>K902-L902</f>
        <v>4589.6400000000003</v>
      </c>
      <c r="N902" s="29">
        <v>15</v>
      </c>
    </row>
    <row r="903" spans="1:17" ht="16.5" thickTop="1" thickBot="1" x14ac:dyDescent="0.3">
      <c r="A903" s="27"/>
      <c r="B903" s="25" t="s">
        <v>22</v>
      </c>
      <c r="C903" s="8" t="s">
        <v>61</v>
      </c>
      <c r="D903" s="7" t="s">
        <v>79</v>
      </c>
      <c r="E903" s="9" t="s">
        <v>71</v>
      </c>
      <c r="F903" s="10">
        <v>20</v>
      </c>
      <c r="G903" s="13" t="s">
        <v>92</v>
      </c>
      <c r="H903" s="7" t="s">
        <v>83</v>
      </c>
      <c r="I903" s="11" t="s">
        <v>7</v>
      </c>
      <c r="J903" s="11" t="s">
        <v>80</v>
      </c>
      <c r="K903" s="12">
        <v>18000</v>
      </c>
      <c r="L903" s="12">
        <v>0</v>
      </c>
      <c r="M903" s="12">
        <f>K903-L903</f>
        <v>18000</v>
      </c>
      <c r="N903" s="29">
        <v>15</v>
      </c>
    </row>
    <row r="904" spans="1:17" ht="15.75" thickTop="1" x14ac:dyDescent="0.25"/>
  </sheetData>
  <autoFilter ref="A1:Q903"/>
  <phoneticPr fontId="3" type="noConversion"/>
  <pageMargins left="0.511811024" right="0.511811024" top="0.78740157499999996" bottom="0.78740157499999996" header="0.31496062000000002" footer="0.31496062000000002"/>
  <pageSetup paperSize="9" scale="52" fitToHeight="0" orientation="landscape" r:id="rId1"/>
  <ignoredErrors>
    <ignoredError sqref="L771:L773 L166:L188 L291:L305 L366:L400 L467:L504 L673:L676 L594:L611 L217:L241 L322:L346 L417:L447 L543:L550 L628:L652 L720:L750 L247:L256 L351:L360 L452:L461 L555:L564 L657:L666 L755:L764 L190:L200 L243:L244 L348:L349 L449:L450 L552:L553 L654:L655 L752:L753 L263:L265 L288:L289 L273:L286 L261 L569 L671 L769 L571:L586 L521:L537 L677:L703 L704:L718 L612:L626 L505:L519 L401:L415 L306:L320 L201:L2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Q1326"/>
  <sheetViews>
    <sheetView tabSelected="1" zoomScale="90" zoomScaleNormal="90" workbookViewId="0">
      <selection activeCell="A1211" sqref="A1211:A1312"/>
    </sheetView>
  </sheetViews>
  <sheetFormatPr defaultRowHeight="15" x14ac:dyDescent="0.25"/>
  <cols>
    <col min="1" max="1" width="9.140625" style="103"/>
    <col min="2" max="2" width="13.140625" bestFit="1" customWidth="1"/>
    <col min="3" max="3" width="18.85546875" bestFit="1" customWidth="1"/>
    <col min="4" max="4" width="12.7109375" bestFit="1" customWidth="1"/>
    <col min="5" max="5" width="12" bestFit="1" customWidth="1"/>
    <col min="6" max="6" width="13" customWidth="1"/>
    <col min="7" max="7" width="74" bestFit="1" customWidth="1"/>
    <col min="8" max="8" width="20" bestFit="1" customWidth="1"/>
    <col min="9" max="9" width="28.85546875" bestFit="1" customWidth="1"/>
    <col min="10" max="10" width="13.7109375" bestFit="1" customWidth="1"/>
    <col min="11" max="11" width="15.85546875" bestFit="1" customWidth="1"/>
    <col min="12" max="12" width="18" bestFit="1" customWidth="1"/>
    <col min="13" max="13" width="14.28515625" bestFit="1" customWidth="1"/>
    <col min="14" max="14" width="19.42578125" customWidth="1"/>
    <col min="15" max="15" width="21.42578125" bestFit="1" customWidth="1"/>
    <col min="16" max="16" width="13.28515625" bestFit="1" customWidth="1"/>
  </cols>
  <sheetData>
    <row r="1" spans="1:17" ht="33" thickTop="1" thickBot="1" x14ac:dyDescent="0.3">
      <c r="A1" s="102" t="s">
        <v>112</v>
      </c>
      <c r="B1" s="59" t="s">
        <v>100</v>
      </c>
      <c r="C1" s="59" t="s">
        <v>80</v>
      </c>
      <c r="D1" s="59" t="s">
        <v>81</v>
      </c>
      <c r="E1" s="59" t="s">
        <v>82</v>
      </c>
      <c r="F1" s="59" t="s">
        <v>101</v>
      </c>
      <c r="G1" s="60" t="s">
        <v>1</v>
      </c>
      <c r="H1" s="60" t="s">
        <v>102</v>
      </c>
      <c r="I1" s="61" t="s">
        <v>138</v>
      </c>
      <c r="J1" s="60" t="s">
        <v>104</v>
      </c>
      <c r="K1" s="59" t="s">
        <v>2</v>
      </c>
      <c r="L1" s="59" t="s">
        <v>136</v>
      </c>
      <c r="M1" s="59" t="s">
        <v>137</v>
      </c>
      <c r="N1" s="62" t="s">
        <v>95</v>
      </c>
      <c r="O1" s="60" t="s">
        <v>3</v>
      </c>
      <c r="P1" s="63" t="s">
        <v>4</v>
      </c>
    </row>
    <row r="2" spans="1:17" s="85" customFormat="1" ht="16.5" hidden="1" thickTop="1" thickBot="1" x14ac:dyDescent="0.3">
      <c r="A2" s="58" t="s">
        <v>111</v>
      </c>
      <c r="B2" s="25" t="s">
        <v>13</v>
      </c>
      <c r="C2" s="8" t="s">
        <v>61</v>
      </c>
      <c r="D2" s="7" t="s">
        <v>79</v>
      </c>
      <c r="E2" s="9" t="s">
        <v>140</v>
      </c>
      <c r="F2" s="10">
        <v>20</v>
      </c>
      <c r="G2" s="13" t="s">
        <v>90</v>
      </c>
      <c r="H2" s="15" t="s">
        <v>83</v>
      </c>
      <c r="I2" s="14" t="s">
        <v>9</v>
      </c>
      <c r="J2" s="11" t="s">
        <v>103</v>
      </c>
      <c r="K2" s="12">
        <v>4536.0249999999996</v>
      </c>
      <c r="L2" s="12">
        <f t="shared" ref="L2:L40" si="0">K2</f>
        <v>4536.0249999999996</v>
      </c>
      <c r="M2" s="12">
        <v>0</v>
      </c>
      <c r="N2" s="12">
        <f>K2*16%</f>
        <v>725.76400000000001</v>
      </c>
      <c r="O2" s="12">
        <f>L2+M2-N2</f>
        <v>3810.2609999999995</v>
      </c>
      <c r="P2" s="29">
        <v>10</v>
      </c>
    </row>
    <row r="3" spans="1:17" s="85" customFormat="1" ht="16.5" hidden="1" thickTop="1" thickBot="1" x14ac:dyDescent="0.3">
      <c r="A3" s="58" t="s">
        <v>111</v>
      </c>
      <c r="B3" s="25" t="s">
        <v>22</v>
      </c>
      <c r="C3" s="8" t="s">
        <v>25</v>
      </c>
      <c r="D3" s="7" t="s">
        <v>79</v>
      </c>
      <c r="E3" s="9" t="s">
        <v>140</v>
      </c>
      <c r="F3" s="10">
        <v>30</v>
      </c>
      <c r="G3" s="11" t="s">
        <v>135</v>
      </c>
      <c r="H3" s="7" t="s">
        <v>83</v>
      </c>
      <c r="I3" s="11" t="s">
        <v>7</v>
      </c>
      <c r="J3" s="11" t="s">
        <v>80</v>
      </c>
      <c r="K3" s="12">
        <v>17695.12745</v>
      </c>
      <c r="L3" s="12">
        <f t="shared" si="0"/>
        <v>17695.12745</v>
      </c>
      <c r="M3" s="12">
        <v>0</v>
      </c>
      <c r="N3" s="12">
        <v>0</v>
      </c>
      <c r="O3" s="12">
        <f t="shared" ref="O3:O8" si="1">L3+M3-N3</f>
        <v>17695.12745</v>
      </c>
      <c r="P3" s="29">
        <v>18</v>
      </c>
    </row>
    <row r="4" spans="1:17" s="85" customFormat="1" ht="16.5" hidden="1" thickTop="1" thickBot="1" x14ac:dyDescent="0.3">
      <c r="A4" s="58" t="s">
        <v>111</v>
      </c>
      <c r="B4" s="40" t="s">
        <v>5</v>
      </c>
      <c r="C4" s="41" t="s">
        <v>0</v>
      </c>
      <c r="D4" s="42" t="s">
        <v>79</v>
      </c>
      <c r="E4" s="9" t="s">
        <v>140</v>
      </c>
      <c r="F4" s="44">
        <v>10</v>
      </c>
      <c r="G4" s="45" t="s">
        <v>6</v>
      </c>
      <c r="H4" s="42" t="s">
        <v>85</v>
      </c>
      <c r="I4" s="45" t="s">
        <v>7</v>
      </c>
      <c r="J4" s="45" t="s">
        <v>103</v>
      </c>
      <c r="K4" s="46">
        <v>41245.995459655351</v>
      </c>
      <c r="L4" s="12">
        <f t="shared" si="0"/>
        <v>41245.995459655351</v>
      </c>
      <c r="M4" s="12">
        <v>0</v>
      </c>
      <c r="N4" s="46">
        <v>1866.3346361835002</v>
      </c>
      <c r="O4" s="12">
        <f t="shared" si="1"/>
        <v>39379.660823471851</v>
      </c>
      <c r="P4" s="47">
        <v>10</v>
      </c>
    </row>
    <row r="5" spans="1:17" s="85" customFormat="1" ht="16.5" hidden="1" thickTop="1" thickBot="1" x14ac:dyDescent="0.3">
      <c r="A5" s="58" t="s">
        <v>111</v>
      </c>
      <c r="B5" s="25" t="s">
        <v>5</v>
      </c>
      <c r="C5" s="8" t="s">
        <v>0</v>
      </c>
      <c r="D5" s="7" t="s">
        <v>79</v>
      </c>
      <c r="E5" s="9" t="s">
        <v>140</v>
      </c>
      <c r="F5" s="10">
        <v>10</v>
      </c>
      <c r="G5" s="11" t="s">
        <v>8</v>
      </c>
      <c r="H5" s="7" t="s">
        <v>85</v>
      </c>
      <c r="I5" s="11" t="s">
        <v>7</v>
      </c>
      <c r="J5" s="11" t="s">
        <v>103</v>
      </c>
      <c r="K5" s="12">
        <v>19327.518303502504</v>
      </c>
      <c r="L5" s="12">
        <f t="shared" si="0"/>
        <v>19327.518303502504</v>
      </c>
      <c r="M5" s="12">
        <v>0</v>
      </c>
      <c r="N5" s="12">
        <v>874.54833952500019</v>
      </c>
      <c r="O5" s="12">
        <f t="shared" si="1"/>
        <v>18452.969963977503</v>
      </c>
      <c r="P5" s="29">
        <v>10</v>
      </c>
    </row>
    <row r="6" spans="1:17" s="85" customFormat="1" ht="16.5" hidden="1" thickTop="1" thickBot="1" x14ac:dyDescent="0.3">
      <c r="A6" s="58" t="s">
        <v>111</v>
      </c>
      <c r="B6" s="25" t="s">
        <v>5</v>
      </c>
      <c r="C6" s="8" t="s">
        <v>0</v>
      </c>
      <c r="D6" s="7" t="s">
        <v>79</v>
      </c>
      <c r="E6" s="9" t="s">
        <v>140</v>
      </c>
      <c r="F6" s="10">
        <v>10</v>
      </c>
      <c r="G6" s="11" t="s">
        <v>8</v>
      </c>
      <c r="H6" s="7" t="s">
        <v>85</v>
      </c>
      <c r="I6" s="11" t="s">
        <v>97</v>
      </c>
      <c r="J6" s="11" t="s">
        <v>103</v>
      </c>
      <c r="K6" s="12">
        <v>19327.518303502504</v>
      </c>
      <c r="L6" s="12">
        <f t="shared" si="0"/>
        <v>19327.518303502504</v>
      </c>
      <c r="M6" s="12">
        <v>0</v>
      </c>
      <c r="N6" s="12">
        <v>874.54833952500019</v>
      </c>
      <c r="O6" s="12">
        <f t="shared" si="1"/>
        <v>18452.969963977503</v>
      </c>
      <c r="P6" s="29">
        <v>10</v>
      </c>
    </row>
    <row r="7" spans="1:17" s="85" customFormat="1" ht="16.5" hidden="1" thickTop="1" thickBot="1" x14ac:dyDescent="0.3">
      <c r="A7" s="58" t="s">
        <v>111</v>
      </c>
      <c r="B7" s="25" t="s">
        <v>5</v>
      </c>
      <c r="C7" s="8" t="s">
        <v>0</v>
      </c>
      <c r="D7" s="7" t="s">
        <v>79</v>
      </c>
      <c r="E7" s="9" t="s">
        <v>140</v>
      </c>
      <c r="F7" s="10">
        <v>10</v>
      </c>
      <c r="G7" s="11" t="s">
        <v>180</v>
      </c>
      <c r="H7" s="7" t="s">
        <v>85</v>
      </c>
      <c r="I7" s="11" t="s">
        <v>9</v>
      </c>
      <c r="J7" s="11" t="s">
        <v>103</v>
      </c>
      <c r="K7" s="12">
        <v>16926.608031693751</v>
      </c>
      <c r="L7" s="12">
        <f t="shared" si="0"/>
        <v>16926.608031693751</v>
      </c>
      <c r="M7" s="12">
        <v>0</v>
      </c>
      <c r="N7" s="12">
        <v>765.90986568750009</v>
      </c>
      <c r="O7" s="12">
        <f t="shared" si="1"/>
        <v>16160.698166006252</v>
      </c>
      <c r="P7" s="29">
        <v>10</v>
      </c>
    </row>
    <row r="8" spans="1:17" s="85" customFormat="1" ht="16.5" hidden="1" thickTop="1" thickBot="1" x14ac:dyDescent="0.3">
      <c r="A8" s="58" t="s">
        <v>111</v>
      </c>
      <c r="B8" s="25" t="s">
        <v>5</v>
      </c>
      <c r="C8" s="8" t="s">
        <v>0</v>
      </c>
      <c r="D8" s="7" t="s">
        <v>79</v>
      </c>
      <c r="E8" s="9" t="s">
        <v>140</v>
      </c>
      <c r="F8" s="10">
        <v>10</v>
      </c>
      <c r="G8" s="11" t="s">
        <v>8</v>
      </c>
      <c r="H8" s="7" t="s">
        <v>85</v>
      </c>
      <c r="I8" s="11" t="s">
        <v>15</v>
      </c>
      <c r="J8" s="11" t="s">
        <v>103</v>
      </c>
      <c r="K8" s="12">
        <v>14433.306181368749</v>
      </c>
      <c r="L8" s="12">
        <f t="shared" si="0"/>
        <v>14433.306181368749</v>
      </c>
      <c r="M8" s="12">
        <v>0</v>
      </c>
      <c r="N8" s="12">
        <v>653.09077743750004</v>
      </c>
      <c r="O8" s="12">
        <f t="shared" si="1"/>
        <v>13780.215403931248</v>
      </c>
      <c r="P8" s="29">
        <v>10</v>
      </c>
    </row>
    <row r="9" spans="1:17" s="85" customFormat="1" ht="16.5" hidden="1" thickTop="1" thickBot="1" x14ac:dyDescent="0.3">
      <c r="A9" s="58" t="s">
        <v>111</v>
      </c>
      <c r="B9" s="25" t="s">
        <v>10</v>
      </c>
      <c r="C9" s="8" t="s">
        <v>0</v>
      </c>
      <c r="D9" s="7" t="s">
        <v>79</v>
      </c>
      <c r="E9" s="9" t="s">
        <v>140</v>
      </c>
      <c r="F9" s="10">
        <v>10</v>
      </c>
      <c r="G9" s="11" t="s">
        <v>8</v>
      </c>
      <c r="H9" s="7" t="s">
        <v>85</v>
      </c>
      <c r="I9" s="11" t="s">
        <v>96</v>
      </c>
      <c r="J9" s="11" t="s">
        <v>103</v>
      </c>
      <c r="K9" s="12">
        <v>2000</v>
      </c>
      <c r="L9" s="12">
        <f t="shared" si="0"/>
        <v>2000</v>
      </c>
      <c r="M9" s="12">
        <v>0</v>
      </c>
      <c r="N9" s="12">
        <v>0</v>
      </c>
      <c r="O9" s="12">
        <v>2000</v>
      </c>
      <c r="P9" s="29">
        <v>10</v>
      </c>
    </row>
    <row r="10" spans="1:17" s="85" customFormat="1" ht="16.5" hidden="1" thickTop="1" thickBot="1" x14ac:dyDescent="0.3">
      <c r="A10" s="58" t="s">
        <v>111</v>
      </c>
      <c r="B10" s="25" t="s">
        <v>10</v>
      </c>
      <c r="C10" s="8" t="s">
        <v>0</v>
      </c>
      <c r="D10" s="7" t="s">
        <v>79</v>
      </c>
      <c r="E10" s="9" t="s">
        <v>140</v>
      </c>
      <c r="F10" s="10">
        <v>10</v>
      </c>
      <c r="G10" s="11" t="s">
        <v>8</v>
      </c>
      <c r="H10" s="7" t="s">
        <v>85</v>
      </c>
      <c r="I10" s="11" t="s">
        <v>96</v>
      </c>
      <c r="J10" s="11" t="s">
        <v>103</v>
      </c>
      <c r="K10" s="12">
        <v>200</v>
      </c>
      <c r="L10" s="12">
        <f t="shared" si="0"/>
        <v>200</v>
      </c>
      <c r="M10" s="12">
        <v>0</v>
      </c>
      <c r="N10" s="12">
        <v>0</v>
      </c>
      <c r="O10" s="12">
        <v>200</v>
      </c>
      <c r="P10" s="29">
        <v>10</v>
      </c>
    </row>
    <row r="11" spans="1:17" s="85" customFormat="1" ht="16.5" hidden="1" thickTop="1" thickBot="1" x14ac:dyDescent="0.3">
      <c r="A11" s="58" t="s">
        <v>111</v>
      </c>
      <c r="B11" s="25" t="s">
        <v>11</v>
      </c>
      <c r="C11" s="8" t="s">
        <v>0</v>
      </c>
      <c r="D11" s="7" t="s">
        <v>79</v>
      </c>
      <c r="E11" s="9" t="s">
        <v>140</v>
      </c>
      <c r="F11" s="10">
        <v>16</v>
      </c>
      <c r="G11" s="11" t="s">
        <v>12</v>
      </c>
      <c r="H11" s="7" t="s">
        <v>85</v>
      </c>
      <c r="I11" s="11" t="s">
        <v>7</v>
      </c>
      <c r="J11" s="11" t="s">
        <v>103</v>
      </c>
      <c r="K11" s="12">
        <v>18799.785318082275</v>
      </c>
      <c r="L11" s="12">
        <f t="shared" si="0"/>
        <v>18799.785318082275</v>
      </c>
      <c r="M11" s="12">
        <v>0</v>
      </c>
      <c r="N11" s="12">
        <f>L11*16%</f>
        <v>3007.9656508931639</v>
      </c>
      <c r="O11" s="12">
        <f t="shared" ref="O11:O16" si="2">L11+M11-N11</f>
        <v>15791.819667189111</v>
      </c>
      <c r="P11" s="29">
        <v>15</v>
      </c>
      <c r="Q11" s="85" t="s">
        <v>127</v>
      </c>
    </row>
    <row r="12" spans="1:17" s="85" customFormat="1" ht="16.5" hidden="1" thickTop="1" thickBot="1" x14ac:dyDescent="0.3">
      <c r="A12" s="58" t="s">
        <v>111</v>
      </c>
      <c r="B12" s="25" t="s">
        <v>13</v>
      </c>
      <c r="C12" s="8" t="s">
        <v>0</v>
      </c>
      <c r="D12" s="7" t="s">
        <v>79</v>
      </c>
      <c r="E12" s="9" t="s">
        <v>140</v>
      </c>
      <c r="F12" s="10">
        <v>16</v>
      </c>
      <c r="G12" s="11" t="s">
        <v>12</v>
      </c>
      <c r="H12" s="7" t="s">
        <v>85</v>
      </c>
      <c r="I12" s="11" t="s">
        <v>9</v>
      </c>
      <c r="J12" s="11" t="s">
        <v>103</v>
      </c>
      <c r="K12" s="12">
        <v>4121.2527595112251</v>
      </c>
      <c r="L12" s="12">
        <f t="shared" si="0"/>
        <v>4121.2527595112251</v>
      </c>
      <c r="M12" s="12">
        <v>0</v>
      </c>
      <c r="N12" s="12">
        <f>L12*16%</f>
        <v>659.40044152179598</v>
      </c>
      <c r="O12" s="12">
        <f t="shared" si="2"/>
        <v>3461.8523179894291</v>
      </c>
      <c r="P12" s="29">
        <v>15</v>
      </c>
      <c r="Q12" s="85" t="s">
        <v>127</v>
      </c>
    </row>
    <row r="13" spans="1:17" s="85" customFormat="1" ht="16.5" hidden="1" thickTop="1" thickBot="1" x14ac:dyDescent="0.3">
      <c r="A13" s="58" t="s">
        <v>111</v>
      </c>
      <c r="B13" s="25" t="s">
        <v>13</v>
      </c>
      <c r="C13" s="8" t="s">
        <v>0</v>
      </c>
      <c r="D13" s="7" t="s">
        <v>79</v>
      </c>
      <c r="E13" s="9" t="s">
        <v>140</v>
      </c>
      <c r="F13" s="10">
        <v>16</v>
      </c>
      <c r="G13" s="11" t="s">
        <v>12</v>
      </c>
      <c r="H13" s="7" t="s">
        <v>85</v>
      </c>
      <c r="I13" s="11" t="s">
        <v>99</v>
      </c>
      <c r="J13" s="11" t="s">
        <v>103</v>
      </c>
      <c r="K13" s="12">
        <v>4879.6817792930997</v>
      </c>
      <c r="L13" s="12">
        <f t="shared" si="0"/>
        <v>4879.6817792930997</v>
      </c>
      <c r="M13" s="12">
        <v>0</v>
      </c>
      <c r="N13" s="12">
        <f>L13*16%</f>
        <v>780.74908468689591</v>
      </c>
      <c r="O13" s="12">
        <f t="shared" si="2"/>
        <v>4098.9326946062038</v>
      </c>
      <c r="P13" s="29">
        <v>15</v>
      </c>
      <c r="Q13" s="85" t="s">
        <v>127</v>
      </c>
    </row>
    <row r="14" spans="1:17" s="85" customFormat="1" ht="16.5" hidden="1" thickTop="1" thickBot="1" x14ac:dyDescent="0.3">
      <c r="A14" s="58" t="s">
        <v>111</v>
      </c>
      <c r="B14" s="25" t="s">
        <v>5</v>
      </c>
      <c r="C14" s="8" t="s">
        <v>0</v>
      </c>
      <c r="D14" s="7" t="s">
        <v>79</v>
      </c>
      <c r="E14" s="9" t="s">
        <v>140</v>
      </c>
      <c r="F14" s="10">
        <v>16</v>
      </c>
      <c r="G14" s="11" t="s">
        <v>139</v>
      </c>
      <c r="H14" s="7" t="s">
        <v>84</v>
      </c>
      <c r="I14" s="11" t="s">
        <v>7</v>
      </c>
      <c r="J14" s="11" t="s">
        <v>103</v>
      </c>
      <c r="K14" s="12">
        <v>16311.633340859998</v>
      </c>
      <c r="L14" s="12">
        <f t="shared" si="0"/>
        <v>16311.633340859998</v>
      </c>
      <c r="M14" s="12">
        <v>0</v>
      </c>
      <c r="N14" s="12">
        <v>738.08295659999999</v>
      </c>
      <c r="O14" s="12">
        <f t="shared" si="2"/>
        <v>15573.550384259999</v>
      </c>
      <c r="P14" s="29">
        <v>15</v>
      </c>
      <c r="Q14" s="85" t="s">
        <v>127</v>
      </c>
    </row>
    <row r="15" spans="1:17" s="85" customFormat="1" ht="16.5" hidden="1" thickTop="1" thickBot="1" x14ac:dyDescent="0.3">
      <c r="A15" s="58" t="s">
        <v>111</v>
      </c>
      <c r="B15" s="25" t="s">
        <v>5</v>
      </c>
      <c r="C15" s="8" t="s">
        <v>0</v>
      </c>
      <c r="D15" s="7" t="s">
        <v>79</v>
      </c>
      <c r="E15" s="9" t="s">
        <v>140</v>
      </c>
      <c r="F15" s="10">
        <v>16</v>
      </c>
      <c r="G15" s="11" t="s">
        <v>139</v>
      </c>
      <c r="H15" s="7" t="s">
        <v>84</v>
      </c>
      <c r="I15" s="11" t="s">
        <v>9</v>
      </c>
      <c r="J15" s="11" t="s">
        <v>103</v>
      </c>
      <c r="K15" s="12">
        <v>4158.1260499999999</v>
      </c>
      <c r="L15" s="12">
        <f t="shared" si="0"/>
        <v>4158.1260499999999</v>
      </c>
      <c r="M15" s="12">
        <v>0</v>
      </c>
      <c r="N15" s="12">
        <v>188.15050000000002</v>
      </c>
      <c r="O15" s="12">
        <f t="shared" si="2"/>
        <v>3969.9755499999997</v>
      </c>
      <c r="P15" s="29">
        <v>15</v>
      </c>
      <c r="Q15" s="85" t="s">
        <v>127</v>
      </c>
    </row>
    <row r="16" spans="1:17" s="85" customFormat="1" ht="16.5" hidden="1" thickTop="1" thickBot="1" x14ac:dyDescent="0.3">
      <c r="A16" s="58" t="s">
        <v>111</v>
      </c>
      <c r="B16" s="25" t="s">
        <v>5</v>
      </c>
      <c r="C16" s="8" t="s">
        <v>0</v>
      </c>
      <c r="D16" s="7" t="s">
        <v>79</v>
      </c>
      <c r="E16" s="9" t="s">
        <v>140</v>
      </c>
      <c r="F16" s="10">
        <v>16</v>
      </c>
      <c r="G16" s="11" t="s">
        <v>139</v>
      </c>
      <c r="H16" s="7" t="s">
        <v>84</v>
      </c>
      <c r="I16" s="11" t="s">
        <v>15</v>
      </c>
      <c r="J16" s="11" t="s">
        <v>103</v>
      </c>
      <c r="K16" s="12">
        <v>5282.5230083924998</v>
      </c>
      <c r="L16" s="12">
        <f t="shared" si="0"/>
        <v>5282.5230083924998</v>
      </c>
      <c r="M16" s="12">
        <v>0</v>
      </c>
      <c r="N16" s="12">
        <v>239.02819042500002</v>
      </c>
      <c r="O16" s="12">
        <f t="shared" si="2"/>
        <v>5043.4948179675002</v>
      </c>
      <c r="P16" s="29">
        <v>15</v>
      </c>
      <c r="Q16" s="85" t="s">
        <v>127</v>
      </c>
    </row>
    <row r="17" spans="1:17" s="85" customFormat="1" ht="16.5" hidden="1" thickTop="1" thickBot="1" x14ac:dyDescent="0.3">
      <c r="A17" s="58" t="s">
        <v>111</v>
      </c>
      <c r="B17" s="25" t="s">
        <v>10</v>
      </c>
      <c r="C17" s="8" t="s">
        <v>0</v>
      </c>
      <c r="D17" s="7" t="s">
        <v>79</v>
      </c>
      <c r="E17" s="9" t="s">
        <v>140</v>
      </c>
      <c r="F17" s="10">
        <v>16</v>
      </c>
      <c r="G17" s="11" t="s">
        <v>139</v>
      </c>
      <c r="H17" s="7" t="s">
        <v>84</v>
      </c>
      <c r="I17" s="11" t="s">
        <v>96</v>
      </c>
      <c r="J17" s="11" t="s">
        <v>103</v>
      </c>
      <c r="K17" s="12">
        <v>500</v>
      </c>
      <c r="L17" s="12">
        <f t="shared" si="0"/>
        <v>500</v>
      </c>
      <c r="M17" s="12">
        <v>0</v>
      </c>
      <c r="N17" s="12">
        <v>0</v>
      </c>
      <c r="O17" s="12">
        <v>500</v>
      </c>
      <c r="P17" s="29">
        <v>15</v>
      </c>
      <c r="Q17" s="85" t="s">
        <v>127</v>
      </c>
    </row>
    <row r="18" spans="1:17" s="85" customFormat="1" ht="16.5" hidden="1" thickTop="1" thickBot="1" x14ac:dyDescent="0.3">
      <c r="A18" s="58" t="s">
        <v>111</v>
      </c>
      <c r="B18" s="25" t="s">
        <v>11</v>
      </c>
      <c r="C18" s="8" t="s">
        <v>0</v>
      </c>
      <c r="D18" s="7" t="s">
        <v>79</v>
      </c>
      <c r="E18" s="9" t="s">
        <v>140</v>
      </c>
      <c r="F18" s="10">
        <v>20</v>
      </c>
      <c r="G18" s="11" t="s">
        <v>16</v>
      </c>
      <c r="H18" s="7" t="s">
        <v>85</v>
      </c>
      <c r="I18" s="11" t="s">
        <v>7</v>
      </c>
      <c r="J18" s="11" t="s">
        <v>103</v>
      </c>
      <c r="K18" s="12">
        <v>17144.075000000001</v>
      </c>
      <c r="L18" s="12">
        <f t="shared" si="0"/>
        <v>17144.075000000001</v>
      </c>
      <c r="M18" s="12">
        <v>0</v>
      </c>
      <c r="N18" s="12">
        <f>L18*16%</f>
        <v>2743.0520000000001</v>
      </c>
      <c r="O18" s="12">
        <f t="shared" ref="O18:O39" si="3">L18+M18-N18</f>
        <v>14401.023000000001</v>
      </c>
      <c r="P18" s="29">
        <v>15</v>
      </c>
    </row>
    <row r="19" spans="1:17" s="85" customFormat="1" ht="16.5" hidden="1" thickTop="1" thickBot="1" x14ac:dyDescent="0.3">
      <c r="A19" s="58" t="s">
        <v>111</v>
      </c>
      <c r="B19" s="25" t="s">
        <v>13</v>
      </c>
      <c r="C19" s="8" t="s">
        <v>0</v>
      </c>
      <c r="D19" s="7" t="s">
        <v>79</v>
      </c>
      <c r="E19" s="9" t="s">
        <v>140</v>
      </c>
      <c r="F19" s="10">
        <v>20</v>
      </c>
      <c r="G19" s="11" t="s">
        <v>16</v>
      </c>
      <c r="H19" s="7" t="s">
        <v>85</v>
      </c>
      <c r="I19" s="11" t="s">
        <v>113</v>
      </c>
      <c r="J19" s="11" t="s">
        <v>103</v>
      </c>
      <c r="K19" s="12">
        <v>1657.5</v>
      </c>
      <c r="L19" s="12">
        <f t="shared" si="0"/>
        <v>1657.5</v>
      </c>
      <c r="M19" s="12">
        <v>0</v>
      </c>
      <c r="N19" s="12">
        <f>L19*16%</f>
        <v>265.2</v>
      </c>
      <c r="O19" s="12">
        <f t="shared" si="3"/>
        <v>1392.3</v>
      </c>
      <c r="P19" s="29">
        <v>15</v>
      </c>
    </row>
    <row r="20" spans="1:17" s="85" customFormat="1" ht="16.5" hidden="1" thickTop="1" thickBot="1" x14ac:dyDescent="0.3">
      <c r="A20" s="58" t="s">
        <v>111</v>
      </c>
      <c r="B20" s="25" t="s">
        <v>13</v>
      </c>
      <c r="C20" s="8" t="s">
        <v>0</v>
      </c>
      <c r="D20" s="7" t="s">
        <v>79</v>
      </c>
      <c r="E20" s="9" t="s">
        <v>140</v>
      </c>
      <c r="F20" s="10">
        <v>20</v>
      </c>
      <c r="G20" s="11" t="s">
        <v>16</v>
      </c>
      <c r="H20" s="7" t="s">
        <v>85</v>
      </c>
      <c r="I20" s="11" t="s">
        <v>9</v>
      </c>
      <c r="J20" s="11" t="s">
        <v>103</v>
      </c>
      <c r="K20" s="12">
        <v>8265.4</v>
      </c>
      <c r="L20" s="12">
        <f t="shared" si="0"/>
        <v>8265.4</v>
      </c>
      <c r="M20" s="12">
        <v>0</v>
      </c>
      <c r="N20" s="12">
        <f>L20*16%</f>
        <v>1322.4639999999999</v>
      </c>
      <c r="O20" s="12">
        <f t="shared" si="3"/>
        <v>6942.9359999999997</v>
      </c>
      <c r="P20" s="29">
        <v>15</v>
      </c>
    </row>
    <row r="21" spans="1:17" s="85" customFormat="1" ht="16.5" hidden="1" thickTop="1" thickBot="1" x14ac:dyDescent="0.3">
      <c r="A21" s="58" t="s">
        <v>111</v>
      </c>
      <c r="B21" s="25" t="s">
        <v>13</v>
      </c>
      <c r="C21" s="8" t="s">
        <v>0</v>
      </c>
      <c r="D21" s="7" t="s">
        <v>79</v>
      </c>
      <c r="E21" s="9" t="s">
        <v>140</v>
      </c>
      <c r="F21" s="10">
        <v>20</v>
      </c>
      <c r="G21" s="11" t="s">
        <v>16</v>
      </c>
      <c r="H21" s="7" t="s">
        <v>85</v>
      </c>
      <c r="I21" s="11" t="s">
        <v>15</v>
      </c>
      <c r="J21" s="11" t="s">
        <v>103</v>
      </c>
      <c r="K21" s="12">
        <v>7542.73</v>
      </c>
      <c r="L21" s="12">
        <f t="shared" si="0"/>
        <v>7542.73</v>
      </c>
      <c r="M21" s="12">
        <v>0</v>
      </c>
      <c r="N21" s="12">
        <f>L21*16%</f>
        <v>1206.8368</v>
      </c>
      <c r="O21" s="12">
        <f t="shared" si="3"/>
        <v>6335.8931999999995</v>
      </c>
      <c r="P21" s="29">
        <v>15</v>
      </c>
    </row>
    <row r="22" spans="1:17" s="85" customFormat="1" ht="16.5" hidden="1" thickTop="1" thickBot="1" x14ac:dyDescent="0.3">
      <c r="A22" s="58" t="s">
        <v>111</v>
      </c>
      <c r="B22" s="25" t="s">
        <v>5</v>
      </c>
      <c r="C22" s="8" t="s">
        <v>0</v>
      </c>
      <c r="D22" s="7" t="s">
        <v>79</v>
      </c>
      <c r="E22" s="9" t="s">
        <v>140</v>
      </c>
      <c r="F22" s="10">
        <v>5</v>
      </c>
      <c r="G22" s="11" t="s">
        <v>17</v>
      </c>
      <c r="H22" s="7" t="s">
        <v>85</v>
      </c>
      <c r="I22" s="11" t="s">
        <v>7</v>
      </c>
      <c r="J22" s="11" t="s">
        <v>103</v>
      </c>
      <c r="K22" s="12">
        <v>18315.25411955265</v>
      </c>
      <c r="L22" s="12">
        <f t="shared" si="0"/>
        <v>18315.25411955265</v>
      </c>
      <c r="M22" s="12">
        <v>0</v>
      </c>
      <c r="N22" s="12">
        <v>828.74453029649999</v>
      </c>
      <c r="O22" s="12">
        <f t="shared" si="3"/>
        <v>17486.509589256151</v>
      </c>
      <c r="P22" s="29">
        <v>10</v>
      </c>
    </row>
    <row r="23" spans="1:17" s="85" customFormat="1" ht="16.5" hidden="1" thickTop="1" thickBot="1" x14ac:dyDescent="0.3">
      <c r="A23" s="58" t="s">
        <v>111</v>
      </c>
      <c r="B23" s="25" t="s">
        <v>5</v>
      </c>
      <c r="C23" s="8" t="s">
        <v>0</v>
      </c>
      <c r="D23" s="7" t="s">
        <v>79</v>
      </c>
      <c r="E23" s="9" t="s">
        <v>140</v>
      </c>
      <c r="F23" s="10">
        <v>5</v>
      </c>
      <c r="G23" s="11" t="s">
        <v>17</v>
      </c>
      <c r="H23" s="7" t="s">
        <v>85</v>
      </c>
      <c r="I23" s="11" t="s">
        <v>15</v>
      </c>
      <c r="J23" s="11" t="s">
        <v>103</v>
      </c>
      <c r="K23" s="12">
        <v>4515.3853266453743</v>
      </c>
      <c r="L23" s="12">
        <f t="shared" si="0"/>
        <v>4515.3853266453743</v>
      </c>
      <c r="M23" s="12">
        <v>0</v>
      </c>
      <c r="N23" s="12">
        <v>204.31607812874998</v>
      </c>
      <c r="O23" s="12">
        <f t="shared" si="3"/>
        <v>4311.0692485166246</v>
      </c>
      <c r="P23" s="29">
        <v>10</v>
      </c>
    </row>
    <row r="24" spans="1:17" s="85" customFormat="1" ht="16.5" hidden="1" thickTop="1" thickBot="1" x14ac:dyDescent="0.3">
      <c r="A24" s="58" t="s">
        <v>111</v>
      </c>
      <c r="B24" s="25" t="s">
        <v>5</v>
      </c>
      <c r="C24" s="8" t="s">
        <v>0</v>
      </c>
      <c r="D24" s="7" t="s">
        <v>79</v>
      </c>
      <c r="E24" s="9" t="s">
        <v>140</v>
      </c>
      <c r="F24" s="10">
        <v>10</v>
      </c>
      <c r="G24" s="11" t="s">
        <v>18</v>
      </c>
      <c r="H24" s="7" t="s">
        <v>85</v>
      </c>
      <c r="I24" s="11" t="s">
        <v>9</v>
      </c>
      <c r="J24" s="11" t="s">
        <v>103</v>
      </c>
      <c r="K24" s="12">
        <v>4589.40895335</v>
      </c>
      <c r="L24" s="12">
        <f t="shared" si="0"/>
        <v>4589.40895335</v>
      </c>
      <c r="M24" s="12">
        <v>0</v>
      </c>
      <c r="N24" s="12">
        <v>207.66556350000002</v>
      </c>
      <c r="O24" s="12">
        <f t="shared" si="3"/>
        <v>4381.7433898500003</v>
      </c>
      <c r="P24" s="29">
        <v>10</v>
      </c>
    </row>
    <row r="25" spans="1:17" s="85" customFormat="1" ht="16.5" hidden="1" thickTop="1" thickBot="1" x14ac:dyDescent="0.3">
      <c r="A25" s="58" t="s">
        <v>111</v>
      </c>
      <c r="B25" s="25" t="s">
        <v>11</v>
      </c>
      <c r="C25" s="8" t="s">
        <v>0</v>
      </c>
      <c r="D25" s="7" t="s">
        <v>79</v>
      </c>
      <c r="E25" s="9" t="s">
        <v>140</v>
      </c>
      <c r="F25" s="10">
        <v>20</v>
      </c>
      <c r="G25" s="11" t="s">
        <v>19</v>
      </c>
      <c r="H25" s="7" t="s">
        <v>88</v>
      </c>
      <c r="I25" s="11" t="s">
        <v>20</v>
      </c>
      <c r="J25" s="11" t="s">
        <v>105</v>
      </c>
      <c r="K25" s="12">
        <v>11166.95</v>
      </c>
      <c r="L25" s="12">
        <f t="shared" si="0"/>
        <v>11166.95</v>
      </c>
      <c r="M25" s="12">
        <v>0</v>
      </c>
      <c r="N25" s="12">
        <f>L25*16%</f>
        <v>1786.7120000000002</v>
      </c>
      <c r="O25" s="12">
        <f t="shared" si="3"/>
        <v>9380.2380000000012</v>
      </c>
      <c r="P25" s="29">
        <v>15</v>
      </c>
    </row>
    <row r="26" spans="1:17" s="85" customFormat="1" ht="16.5" hidden="1" thickTop="1" thickBot="1" x14ac:dyDescent="0.3">
      <c r="A26" s="58" t="s">
        <v>111</v>
      </c>
      <c r="B26" s="25" t="s">
        <v>13</v>
      </c>
      <c r="C26" s="8" t="s">
        <v>0</v>
      </c>
      <c r="D26" s="7" t="s">
        <v>79</v>
      </c>
      <c r="E26" s="9" t="s">
        <v>140</v>
      </c>
      <c r="F26" s="10">
        <v>5</v>
      </c>
      <c r="G26" s="11" t="s">
        <v>21</v>
      </c>
      <c r="H26" s="7" t="s">
        <v>85</v>
      </c>
      <c r="I26" s="11" t="s">
        <v>9</v>
      </c>
      <c r="J26" s="11" t="s">
        <v>105</v>
      </c>
      <c r="K26" s="12">
        <v>35643.167300000001</v>
      </c>
      <c r="L26" s="12">
        <f t="shared" si="0"/>
        <v>35643.167300000001</v>
      </c>
      <c r="M26" s="12">
        <v>0</v>
      </c>
      <c r="N26" s="12">
        <f>L26*16%</f>
        <v>5702.9067679999998</v>
      </c>
      <c r="O26" s="12">
        <f t="shared" si="3"/>
        <v>29940.260532</v>
      </c>
      <c r="P26" s="29">
        <v>10</v>
      </c>
    </row>
    <row r="27" spans="1:17" s="85" customFormat="1" ht="16.5" hidden="1" thickTop="1" thickBot="1" x14ac:dyDescent="0.3">
      <c r="A27" s="58" t="s">
        <v>111</v>
      </c>
      <c r="B27" s="25" t="s">
        <v>11</v>
      </c>
      <c r="C27" s="8" t="s">
        <v>0</v>
      </c>
      <c r="D27" s="7" t="s">
        <v>79</v>
      </c>
      <c r="E27" s="9" t="s">
        <v>140</v>
      </c>
      <c r="F27" s="10">
        <v>20</v>
      </c>
      <c r="G27" s="11" t="s">
        <v>21</v>
      </c>
      <c r="H27" s="7" t="s">
        <v>85</v>
      </c>
      <c r="I27" s="11" t="s">
        <v>20</v>
      </c>
      <c r="J27" s="11" t="s">
        <v>105</v>
      </c>
      <c r="K27" s="12">
        <v>39594.449999999997</v>
      </c>
      <c r="L27" s="12">
        <f t="shared" si="0"/>
        <v>39594.449999999997</v>
      </c>
      <c r="M27" s="12">
        <v>0</v>
      </c>
      <c r="N27" s="12">
        <f>L27*16%</f>
        <v>6335.1120000000001</v>
      </c>
      <c r="O27" s="12">
        <f t="shared" si="3"/>
        <v>33259.337999999996</v>
      </c>
      <c r="P27" s="29">
        <v>10</v>
      </c>
    </row>
    <row r="28" spans="1:17" s="85" customFormat="1" ht="16.5" hidden="1" thickTop="1" thickBot="1" x14ac:dyDescent="0.3">
      <c r="A28" s="58" t="s">
        <v>111</v>
      </c>
      <c r="B28" s="25" t="s">
        <v>11</v>
      </c>
      <c r="C28" s="8" t="s">
        <v>0</v>
      </c>
      <c r="D28" s="7" t="s">
        <v>147</v>
      </c>
      <c r="E28" s="9" t="s">
        <v>140</v>
      </c>
      <c r="F28" s="10">
        <v>20</v>
      </c>
      <c r="G28" s="11" t="s">
        <v>148</v>
      </c>
      <c r="H28" s="7" t="s">
        <v>83</v>
      </c>
      <c r="I28" s="11" t="s">
        <v>30</v>
      </c>
      <c r="J28" s="11" t="s">
        <v>80</v>
      </c>
      <c r="K28" s="12">
        <v>690</v>
      </c>
      <c r="L28" s="12">
        <v>690</v>
      </c>
      <c r="M28" s="12">
        <v>0</v>
      </c>
      <c r="N28" s="12">
        <v>34.5</v>
      </c>
      <c r="O28" s="12">
        <f>K28-N28</f>
        <v>655.5</v>
      </c>
      <c r="P28" s="29">
        <v>7</v>
      </c>
    </row>
    <row r="29" spans="1:17" s="85" customFormat="1" ht="16.5" hidden="1" thickTop="1" thickBot="1" x14ac:dyDescent="0.3">
      <c r="A29" s="58" t="s">
        <v>111</v>
      </c>
      <c r="B29" s="25" t="s">
        <v>11</v>
      </c>
      <c r="C29" s="8" t="s">
        <v>0</v>
      </c>
      <c r="D29" s="7" t="s">
        <v>147</v>
      </c>
      <c r="E29" s="9" t="s">
        <v>140</v>
      </c>
      <c r="F29" s="10">
        <v>20</v>
      </c>
      <c r="G29" s="11" t="s">
        <v>149</v>
      </c>
      <c r="H29" s="7" t="s">
        <v>83</v>
      </c>
      <c r="I29" s="11" t="s">
        <v>30</v>
      </c>
      <c r="J29" s="11" t="s">
        <v>110</v>
      </c>
      <c r="K29" s="12">
        <v>690</v>
      </c>
      <c r="L29" s="12">
        <v>690</v>
      </c>
      <c r="M29" s="12">
        <v>0</v>
      </c>
      <c r="N29" s="12">
        <v>34.5</v>
      </c>
      <c r="O29" s="12">
        <f t="shared" ref="O29:O36" si="4">K29-N29</f>
        <v>655.5</v>
      </c>
      <c r="P29" s="29">
        <v>7</v>
      </c>
    </row>
    <row r="30" spans="1:17" s="85" customFormat="1" ht="16.5" hidden="1" thickTop="1" thickBot="1" x14ac:dyDescent="0.3">
      <c r="A30" s="58" t="s">
        <v>111</v>
      </c>
      <c r="B30" s="25" t="s">
        <v>11</v>
      </c>
      <c r="C30" s="8" t="s">
        <v>0</v>
      </c>
      <c r="D30" s="7" t="s">
        <v>147</v>
      </c>
      <c r="E30" s="9" t="s">
        <v>140</v>
      </c>
      <c r="F30" s="10">
        <v>20</v>
      </c>
      <c r="G30" s="11" t="s">
        <v>150</v>
      </c>
      <c r="H30" s="7" t="s">
        <v>83</v>
      </c>
      <c r="I30" s="11" t="s">
        <v>30</v>
      </c>
      <c r="J30" s="11" t="s">
        <v>110</v>
      </c>
      <c r="K30" s="12">
        <v>690</v>
      </c>
      <c r="L30" s="12">
        <v>690</v>
      </c>
      <c r="M30" s="12">
        <v>0</v>
      </c>
      <c r="N30" s="12">
        <v>34.5</v>
      </c>
      <c r="O30" s="12">
        <f t="shared" si="4"/>
        <v>655.5</v>
      </c>
      <c r="P30" s="29">
        <v>7</v>
      </c>
    </row>
    <row r="31" spans="1:17" s="85" customFormat="1" ht="16.5" hidden="1" thickTop="1" thickBot="1" x14ac:dyDescent="0.3">
      <c r="A31" s="58" t="s">
        <v>111</v>
      </c>
      <c r="B31" s="25" t="s">
        <v>11</v>
      </c>
      <c r="C31" s="8" t="s">
        <v>0</v>
      </c>
      <c r="D31" s="7" t="s">
        <v>147</v>
      </c>
      <c r="E31" s="9" t="s">
        <v>140</v>
      </c>
      <c r="F31" s="10">
        <v>20</v>
      </c>
      <c r="G31" s="11" t="s">
        <v>151</v>
      </c>
      <c r="H31" s="7" t="s">
        <v>83</v>
      </c>
      <c r="I31" s="11" t="s">
        <v>30</v>
      </c>
      <c r="J31" s="11" t="s">
        <v>105</v>
      </c>
      <c r="K31" s="12">
        <v>690</v>
      </c>
      <c r="L31" s="12">
        <v>690</v>
      </c>
      <c r="M31" s="12">
        <v>0</v>
      </c>
      <c r="N31" s="12">
        <v>34.5</v>
      </c>
      <c r="O31" s="12">
        <f t="shared" si="4"/>
        <v>655.5</v>
      </c>
      <c r="P31" s="29">
        <v>7</v>
      </c>
    </row>
    <row r="32" spans="1:17" s="85" customFormat="1" ht="16.5" hidden="1" thickTop="1" thickBot="1" x14ac:dyDescent="0.3">
      <c r="A32" s="58" t="s">
        <v>111</v>
      </c>
      <c r="B32" s="25" t="s">
        <v>11</v>
      </c>
      <c r="C32" s="8" t="s">
        <v>0</v>
      </c>
      <c r="D32" s="7" t="s">
        <v>147</v>
      </c>
      <c r="E32" s="9" t="s">
        <v>140</v>
      </c>
      <c r="F32" s="10">
        <v>20</v>
      </c>
      <c r="G32" s="11" t="s">
        <v>152</v>
      </c>
      <c r="H32" s="7" t="s">
        <v>83</v>
      </c>
      <c r="I32" s="11" t="s">
        <v>30</v>
      </c>
      <c r="J32" s="11" t="s">
        <v>105</v>
      </c>
      <c r="K32" s="12">
        <v>690</v>
      </c>
      <c r="L32" s="12">
        <v>690</v>
      </c>
      <c r="M32" s="12">
        <v>0</v>
      </c>
      <c r="N32" s="12">
        <v>34.5</v>
      </c>
      <c r="O32" s="12">
        <f t="shared" si="4"/>
        <v>655.5</v>
      </c>
      <c r="P32" s="29">
        <v>7</v>
      </c>
    </row>
    <row r="33" spans="1:16" s="85" customFormat="1" ht="16.5" hidden="1" thickTop="1" thickBot="1" x14ac:dyDescent="0.3">
      <c r="A33" s="74" t="s">
        <v>111</v>
      </c>
      <c r="B33" s="25" t="s">
        <v>11</v>
      </c>
      <c r="C33" s="8" t="s">
        <v>61</v>
      </c>
      <c r="D33" s="7" t="s">
        <v>147</v>
      </c>
      <c r="E33" s="9" t="s">
        <v>153</v>
      </c>
      <c r="F33" s="10">
        <v>20</v>
      </c>
      <c r="G33" s="11" t="s">
        <v>92</v>
      </c>
      <c r="H33" s="7" t="s">
        <v>83</v>
      </c>
      <c r="I33" s="11" t="s">
        <v>30</v>
      </c>
      <c r="J33" s="11" t="s">
        <v>80</v>
      </c>
      <c r="K33" s="72">
        <v>690</v>
      </c>
      <c r="L33" s="12">
        <v>690</v>
      </c>
      <c r="M33" s="12">
        <v>0</v>
      </c>
      <c r="N33" s="12">
        <v>34.5</v>
      </c>
      <c r="O33" s="12">
        <f t="shared" si="4"/>
        <v>655.5</v>
      </c>
      <c r="P33" s="29">
        <v>7</v>
      </c>
    </row>
    <row r="34" spans="1:16" s="85" customFormat="1" ht="16.5" hidden="1" thickTop="1" thickBot="1" x14ac:dyDescent="0.3">
      <c r="A34" s="58" t="s">
        <v>111</v>
      </c>
      <c r="B34" s="25" t="s">
        <v>11</v>
      </c>
      <c r="C34" s="8" t="s">
        <v>62</v>
      </c>
      <c r="D34" s="7" t="s">
        <v>147</v>
      </c>
      <c r="E34" s="9" t="s">
        <v>140</v>
      </c>
      <c r="F34" s="10">
        <v>20</v>
      </c>
      <c r="G34" s="11" t="s">
        <v>49</v>
      </c>
      <c r="H34" s="7" t="s">
        <v>85</v>
      </c>
      <c r="I34" s="11" t="s">
        <v>30</v>
      </c>
      <c r="J34" s="11" t="s">
        <v>105</v>
      </c>
      <c r="K34" s="12">
        <v>1290</v>
      </c>
      <c r="L34" s="12">
        <v>1290</v>
      </c>
      <c r="M34" s="12">
        <v>0</v>
      </c>
      <c r="N34" s="12">
        <v>64.5</v>
      </c>
      <c r="O34" s="12">
        <f t="shared" si="4"/>
        <v>1225.5</v>
      </c>
      <c r="P34" s="29">
        <v>7</v>
      </c>
    </row>
    <row r="35" spans="1:16" s="85" customFormat="1" ht="16.5" hidden="1" thickTop="1" thickBot="1" x14ac:dyDescent="0.3">
      <c r="A35" s="58" t="s">
        <v>111</v>
      </c>
      <c r="B35" s="25" t="s">
        <v>11</v>
      </c>
      <c r="C35" s="8" t="s">
        <v>62</v>
      </c>
      <c r="D35" s="7" t="s">
        <v>147</v>
      </c>
      <c r="E35" s="9" t="s">
        <v>140</v>
      </c>
      <c r="F35" s="10">
        <v>20</v>
      </c>
      <c r="G35" s="11" t="s">
        <v>50</v>
      </c>
      <c r="H35" s="7" t="s">
        <v>85</v>
      </c>
      <c r="I35" s="11" t="s">
        <v>30</v>
      </c>
      <c r="J35" s="11" t="s">
        <v>105</v>
      </c>
      <c r="K35" s="12">
        <v>690</v>
      </c>
      <c r="L35" s="12">
        <v>690</v>
      </c>
      <c r="M35" s="12">
        <v>0</v>
      </c>
      <c r="N35" s="12">
        <v>34.5</v>
      </c>
      <c r="O35" s="12">
        <f t="shared" si="4"/>
        <v>655.5</v>
      </c>
      <c r="P35" s="29">
        <v>7</v>
      </c>
    </row>
    <row r="36" spans="1:16" s="85" customFormat="1" ht="16.5" hidden="1" thickTop="1" thickBot="1" x14ac:dyDescent="0.3">
      <c r="A36" s="58" t="s">
        <v>111</v>
      </c>
      <c r="B36" s="25" t="s">
        <v>11</v>
      </c>
      <c r="C36" s="8" t="s">
        <v>0</v>
      </c>
      <c r="D36" s="7" t="s">
        <v>147</v>
      </c>
      <c r="E36" s="9" t="s">
        <v>140</v>
      </c>
      <c r="F36" s="10">
        <v>20</v>
      </c>
      <c r="G36" s="11" t="s">
        <v>72</v>
      </c>
      <c r="H36" s="7" t="s">
        <v>83</v>
      </c>
      <c r="I36" s="11" t="s">
        <v>30</v>
      </c>
      <c r="J36" s="11" t="s">
        <v>109</v>
      </c>
      <c r="K36" s="12">
        <v>690</v>
      </c>
      <c r="L36" s="12">
        <f t="shared" si="0"/>
        <v>690</v>
      </c>
      <c r="M36" s="12">
        <v>0</v>
      </c>
      <c r="N36" s="12">
        <v>34.5</v>
      </c>
      <c r="O36" s="12">
        <f t="shared" si="4"/>
        <v>655.5</v>
      </c>
      <c r="P36" s="29">
        <v>7</v>
      </c>
    </row>
    <row r="37" spans="1:16" s="85" customFormat="1" ht="16.5" hidden="1" thickTop="1" thickBot="1" x14ac:dyDescent="0.3">
      <c r="A37" s="58" t="s">
        <v>111</v>
      </c>
      <c r="B37" s="25" t="s">
        <v>22</v>
      </c>
      <c r="C37" s="8" t="s">
        <v>0</v>
      </c>
      <c r="D37" s="7" t="s">
        <v>79</v>
      </c>
      <c r="E37" s="9" t="s">
        <v>140</v>
      </c>
      <c r="F37" s="10">
        <v>20</v>
      </c>
      <c r="G37" s="11" t="s">
        <v>23</v>
      </c>
      <c r="H37" s="7" t="s">
        <v>83</v>
      </c>
      <c r="I37" s="11" t="s">
        <v>7</v>
      </c>
      <c r="J37" s="11" t="s">
        <v>80</v>
      </c>
      <c r="K37" s="12">
        <v>11050</v>
      </c>
      <c r="L37" s="12">
        <f>K37/2</f>
        <v>5525</v>
      </c>
      <c r="M37" s="12">
        <f>K37/2</f>
        <v>5525</v>
      </c>
      <c r="N37" s="12">
        <v>0</v>
      </c>
      <c r="O37" s="12">
        <f t="shared" si="3"/>
        <v>11050</v>
      </c>
      <c r="P37" s="29">
        <v>15</v>
      </c>
    </row>
    <row r="38" spans="1:16" s="85" customFormat="1" ht="16.5" hidden="1" thickTop="1" thickBot="1" x14ac:dyDescent="0.3">
      <c r="A38" s="58" t="s">
        <v>111</v>
      </c>
      <c r="B38" s="25" t="s">
        <v>11</v>
      </c>
      <c r="C38" s="8" t="s">
        <v>0</v>
      </c>
      <c r="D38" s="7" t="s">
        <v>79</v>
      </c>
      <c r="E38" s="9" t="s">
        <v>140</v>
      </c>
      <c r="F38" s="10">
        <v>5</v>
      </c>
      <c r="G38" s="11" t="s">
        <v>24</v>
      </c>
      <c r="H38" s="7" t="s">
        <v>83</v>
      </c>
      <c r="I38" s="11" t="s">
        <v>7</v>
      </c>
      <c r="J38" s="11" t="s">
        <v>80</v>
      </c>
      <c r="K38" s="12">
        <v>61581.4</v>
      </c>
      <c r="L38" s="12">
        <f t="shared" si="0"/>
        <v>61581.4</v>
      </c>
      <c r="M38" s="12">
        <v>0</v>
      </c>
      <c r="N38" s="12">
        <f>L38*16%</f>
        <v>9853.0240000000013</v>
      </c>
      <c r="O38" s="12">
        <f t="shared" si="3"/>
        <v>51728.376000000004</v>
      </c>
      <c r="P38" s="29">
        <v>23</v>
      </c>
    </row>
    <row r="39" spans="1:16" s="85" customFormat="1" ht="16.5" hidden="1" thickTop="1" thickBot="1" x14ac:dyDescent="0.3">
      <c r="A39" s="58" t="s">
        <v>111</v>
      </c>
      <c r="B39" s="25" t="s">
        <v>13</v>
      </c>
      <c r="C39" s="8" t="s">
        <v>0</v>
      </c>
      <c r="D39" s="7" t="s">
        <v>79</v>
      </c>
      <c r="E39" s="9" t="s">
        <v>140</v>
      </c>
      <c r="F39" s="10">
        <v>5</v>
      </c>
      <c r="G39" s="11" t="s">
        <v>24</v>
      </c>
      <c r="H39" s="7" t="s">
        <v>83</v>
      </c>
      <c r="I39" s="11" t="s">
        <v>9</v>
      </c>
      <c r="J39" s="11" t="s">
        <v>80</v>
      </c>
      <c r="K39" s="12">
        <v>12949</v>
      </c>
      <c r="L39" s="12">
        <f t="shared" si="0"/>
        <v>12949</v>
      </c>
      <c r="M39" s="12">
        <v>0</v>
      </c>
      <c r="N39" s="12">
        <f>L39*16%</f>
        <v>2071.84</v>
      </c>
      <c r="O39" s="12">
        <f t="shared" si="3"/>
        <v>10877.16</v>
      </c>
      <c r="P39" s="29">
        <v>23</v>
      </c>
    </row>
    <row r="40" spans="1:16" s="85" customFormat="1" ht="16.5" hidden="1" thickTop="1" thickBot="1" x14ac:dyDescent="0.3">
      <c r="A40" s="58" t="s">
        <v>111</v>
      </c>
      <c r="B40" s="25" t="s">
        <v>10</v>
      </c>
      <c r="C40" s="8" t="s">
        <v>0</v>
      </c>
      <c r="D40" s="7" t="s">
        <v>79</v>
      </c>
      <c r="E40" s="9" t="s">
        <v>140</v>
      </c>
      <c r="F40" s="10">
        <v>5</v>
      </c>
      <c r="G40" s="11" t="s">
        <v>24</v>
      </c>
      <c r="H40" s="7" t="s">
        <v>83</v>
      </c>
      <c r="I40" s="11" t="s">
        <v>96</v>
      </c>
      <c r="J40" s="11" t="s">
        <v>80</v>
      </c>
      <c r="K40" s="12">
        <v>1500</v>
      </c>
      <c r="L40" s="12">
        <f t="shared" si="0"/>
        <v>1500</v>
      </c>
      <c r="M40" s="12">
        <v>0</v>
      </c>
      <c r="N40" s="12">
        <v>0</v>
      </c>
      <c r="O40" s="12">
        <v>1500</v>
      </c>
      <c r="P40" s="29">
        <v>23</v>
      </c>
    </row>
    <row r="41" spans="1:16" s="85" customFormat="1" ht="16.5" hidden="1" thickTop="1" thickBot="1" x14ac:dyDescent="0.3">
      <c r="A41" s="58" t="s">
        <v>111</v>
      </c>
      <c r="B41" s="25" t="s">
        <v>5</v>
      </c>
      <c r="C41" s="8" t="s">
        <v>25</v>
      </c>
      <c r="D41" s="7" t="s">
        <v>79</v>
      </c>
      <c r="E41" s="9" t="s">
        <v>140</v>
      </c>
      <c r="F41" s="10">
        <v>5</v>
      </c>
      <c r="G41" s="11" t="s">
        <v>26</v>
      </c>
      <c r="H41" s="7" t="s">
        <v>83</v>
      </c>
      <c r="I41" s="11" t="s">
        <v>7</v>
      </c>
      <c r="J41" s="11" t="s">
        <v>80</v>
      </c>
      <c r="K41" s="12">
        <v>21868.658146266753</v>
      </c>
      <c r="L41" s="12">
        <f t="shared" ref="L41:L46" si="5">K41*60%</f>
        <v>13121.194887760052</v>
      </c>
      <c r="M41" s="12">
        <f t="shared" ref="M41:M46" si="6">K41*40%</f>
        <v>8747.4632585067011</v>
      </c>
      <c r="N41" s="12">
        <v>0</v>
      </c>
      <c r="O41" s="12">
        <f t="shared" ref="O41:O46" si="7">L41+M41-N41</f>
        <v>21868.658146266753</v>
      </c>
      <c r="P41" s="29">
        <v>27</v>
      </c>
    </row>
    <row r="42" spans="1:16" s="85" customFormat="1" ht="16.5" hidden="1" thickTop="1" thickBot="1" x14ac:dyDescent="0.3">
      <c r="A42" s="58" t="s">
        <v>111</v>
      </c>
      <c r="B42" s="25" t="s">
        <v>5</v>
      </c>
      <c r="C42" s="8" t="s">
        <v>25</v>
      </c>
      <c r="D42" s="7" t="s">
        <v>79</v>
      </c>
      <c r="E42" s="9" t="s">
        <v>140</v>
      </c>
      <c r="F42" s="10">
        <v>5</v>
      </c>
      <c r="G42" s="11" t="s">
        <v>26</v>
      </c>
      <c r="H42" s="7" t="s">
        <v>83</v>
      </c>
      <c r="I42" s="11" t="s">
        <v>9</v>
      </c>
      <c r="J42" s="11" t="s">
        <v>80</v>
      </c>
      <c r="K42" s="12">
        <v>4791.7362231179995</v>
      </c>
      <c r="L42" s="12">
        <f t="shared" si="5"/>
        <v>2875.0417338707998</v>
      </c>
      <c r="M42" s="12">
        <f t="shared" si="6"/>
        <v>1916.6944892472</v>
      </c>
      <c r="N42" s="12">
        <v>0</v>
      </c>
      <c r="O42" s="12">
        <f t="shared" si="7"/>
        <v>4791.7362231179995</v>
      </c>
      <c r="P42" s="29">
        <v>27</v>
      </c>
    </row>
    <row r="43" spans="1:16" s="85" customFormat="1" ht="16.5" hidden="1" thickTop="1" thickBot="1" x14ac:dyDescent="0.3">
      <c r="A43" s="58" t="s">
        <v>111</v>
      </c>
      <c r="B43" s="25" t="s">
        <v>5</v>
      </c>
      <c r="C43" s="8" t="s">
        <v>25</v>
      </c>
      <c r="D43" s="7" t="s">
        <v>79</v>
      </c>
      <c r="E43" s="9" t="s">
        <v>140</v>
      </c>
      <c r="F43" s="10">
        <v>5</v>
      </c>
      <c r="G43" s="11" t="s">
        <v>27</v>
      </c>
      <c r="H43" s="7" t="s">
        <v>83</v>
      </c>
      <c r="I43" s="11" t="s">
        <v>141</v>
      </c>
      <c r="J43" s="11" t="s">
        <v>80</v>
      </c>
      <c r="K43" s="12">
        <v>6193.06</v>
      </c>
      <c r="L43" s="12">
        <f t="shared" si="5"/>
        <v>3715.8360000000002</v>
      </c>
      <c r="M43" s="12">
        <f t="shared" si="6"/>
        <v>2477.2240000000002</v>
      </c>
      <c r="N43" s="12">
        <v>0</v>
      </c>
      <c r="O43" s="12">
        <f t="shared" si="7"/>
        <v>6193.06</v>
      </c>
      <c r="P43" s="29">
        <v>27</v>
      </c>
    </row>
    <row r="44" spans="1:16" s="85" customFormat="1" ht="16.5" hidden="1" thickTop="1" thickBot="1" x14ac:dyDescent="0.3">
      <c r="A44" s="58" t="s">
        <v>111</v>
      </c>
      <c r="B44" s="25" t="s">
        <v>5</v>
      </c>
      <c r="C44" s="8" t="s">
        <v>25</v>
      </c>
      <c r="D44" s="7" t="s">
        <v>79</v>
      </c>
      <c r="E44" s="9" t="s">
        <v>140</v>
      </c>
      <c r="F44" s="10">
        <v>5</v>
      </c>
      <c r="G44" s="11" t="s">
        <v>27</v>
      </c>
      <c r="H44" s="7" t="s">
        <v>83</v>
      </c>
      <c r="I44" s="11" t="s">
        <v>7</v>
      </c>
      <c r="J44" s="11" t="s">
        <v>80</v>
      </c>
      <c r="K44" s="12">
        <v>21868.658146266745</v>
      </c>
      <c r="L44" s="12">
        <f t="shared" si="5"/>
        <v>13121.194887760046</v>
      </c>
      <c r="M44" s="12">
        <f t="shared" si="6"/>
        <v>8747.4632585066993</v>
      </c>
      <c r="N44" s="12">
        <v>0</v>
      </c>
      <c r="O44" s="12">
        <f t="shared" si="7"/>
        <v>21868.658146266745</v>
      </c>
      <c r="P44" s="29">
        <v>27</v>
      </c>
    </row>
    <row r="45" spans="1:16" s="85" customFormat="1" ht="16.5" hidden="1" thickTop="1" thickBot="1" x14ac:dyDescent="0.3">
      <c r="A45" s="58" t="s">
        <v>111</v>
      </c>
      <c r="B45" s="25" t="s">
        <v>5</v>
      </c>
      <c r="C45" s="8" t="s">
        <v>25</v>
      </c>
      <c r="D45" s="7" t="s">
        <v>79</v>
      </c>
      <c r="E45" s="9" t="s">
        <v>140</v>
      </c>
      <c r="F45" s="10">
        <v>5</v>
      </c>
      <c r="G45" s="11" t="s">
        <v>27</v>
      </c>
      <c r="H45" s="7" t="s">
        <v>83</v>
      </c>
      <c r="I45" s="11" t="s">
        <v>9</v>
      </c>
      <c r="J45" s="11" t="s">
        <v>80</v>
      </c>
      <c r="K45" s="12">
        <v>4791.7362231179995</v>
      </c>
      <c r="L45" s="12">
        <f t="shared" si="5"/>
        <v>2875.0417338707998</v>
      </c>
      <c r="M45" s="12">
        <f t="shared" si="6"/>
        <v>1916.6944892472</v>
      </c>
      <c r="N45" s="12">
        <v>0</v>
      </c>
      <c r="O45" s="12">
        <f t="shared" si="7"/>
        <v>4791.7362231179995</v>
      </c>
      <c r="P45" s="29">
        <v>27</v>
      </c>
    </row>
    <row r="46" spans="1:16" s="85" customFormat="1" ht="16.5" hidden="1" thickTop="1" thickBot="1" x14ac:dyDescent="0.3">
      <c r="A46" s="58" t="s">
        <v>111</v>
      </c>
      <c r="B46" s="25" t="s">
        <v>5</v>
      </c>
      <c r="C46" s="8" t="s">
        <v>25</v>
      </c>
      <c r="D46" s="7" t="s">
        <v>79</v>
      </c>
      <c r="E46" s="9" t="s">
        <v>140</v>
      </c>
      <c r="F46" s="10">
        <v>5</v>
      </c>
      <c r="G46" s="11" t="s">
        <v>27</v>
      </c>
      <c r="H46" s="7" t="s">
        <v>83</v>
      </c>
      <c r="I46" s="11" t="s">
        <v>113</v>
      </c>
      <c r="J46" s="11" t="s">
        <v>80</v>
      </c>
      <c r="K46" s="12">
        <v>2015.0660041200001</v>
      </c>
      <c r="L46" s="12">
        <f t="shared" si="5"/>
        <v>1209.0396024720001</v>
      </c>
      <c r="M46" s="12">
        <f t="shared" si="6"/>
        <v>806.02640164800005</v>
      </c>
      <c r="N46" s="12">
        <v>0</v>
      </c>
      <c r="O46" s="12">
        <f t="shared" si="7"/>
        <v>2015.0660041200001</v>
      </c>
      <c r="P46" s="29">
        <v>27</v>
      </c>
    </row>
    <row r="47" spans="1:16" s="85" customFormat="1" ht="16.5" hidden="1" thickTop="1" thickBot="1" x14ac:dyDescent="0.3">
      <c r="A47" s="58"/>
      <c r="B47" s="25" t="s">
        <v>11</v>
      </c>
      <c r="C47" s="8" t="s">
        <v>25</v>
      </c>
      <c r="D47" s="7" t="s">
        <v>79</v>
      </c>
      <c r="E47" s="9" t="s">
        <v>140</v>
      </c>
      <c r="F47" s="10">
        <v>20</v>
      </c>
      <c r="G47" s="11" t="s">
        <v>29</v>
      </c>
      <c r="H47" s="7" t="s">
        <v>83</v>
      </c>
      <c r="I47" s="11" t="s">
        <v>30</v>
      </c>
      <c r="J47" s="11" t="s">
        <v>80</v>
      </c>
      <c r="K47" s="12">
        <v>530</v>
      </c>
      <c r="L47" s="12">
        <v>530</v>
      </c>
      <c r="M47" s="12">
        <v>0</v>
      </c>
      <c r="N47" s="12">
        <v>25</v>
      </c>
      <c r="O47" s="12">
        <v>475</v>
      </c>
      <c r="P47" s="29">
        <v>10</v>
      </c>
    </row>
    <row r="48" spans="1:16" s="85" customFormat="1" ht="16.5" hidden="1" thickTop="1" thickBot="1" x14ac:dyDescent="0.3">
      <c r="A48" s="58"/>
      <c r="B48" s="25" t="s">
        <v>11</v>
      </c>
      <c r="C48" s="8" t="s">
        <v>25</v>
      </c>
      <c r="D48" s="7" t="s">
        <v>79</v>
      </c>
      <c r="E48" s="9" t="s">
        <v>140</v>
      </c>
      <c r="F48" s="10">
        <v>20</v>
      </c>
      <c r="G48" s="11" t="s">
        <v>32</v>
      </c>
      <c r="H48" s="7" t="s">
        <v>83</v>
      </c>
      <c r="I48" s="11" t="s">
        <v>30</v>
      </c>
      <c r="J48" s="11" t="s">
        <v>80</v>
      </c>
      <c r="K48" s="12">
        <v>230</v>
      </c>
      <c r="L48" s="12">
        <v>230</v>
      </c>
      <c r="M48" s="12">
        <v>0</v>
      </c>
      <c r="N48" s="12">
        <v>10</v>
      </c>
      <c r="O48" s="12">
        <v>190</v>
      </c>
      <c r="P48" s="29">
        <v>10</v>
      </c>
    </row>
    <row r="49" spans="1:16" s="85" customFormat="1" ht="16.5" hidden="1" thickTop="1" thickBot="1" x14ac:dyDescent="0.3">
      <c r="A49" s="58"/>
      <c r="B49" s="25" t="s">
        <v>11</v>
      </c>
      <c r="C49" s="8" t="s">
        <v>25</v>
      </c>
      <c r="D49" s="7" t="s">
        <v>79</v>
      </c>
      <c r="E49" s="9" t="s">
        <v>140</v>
      </c>
      <c r="F49" s="10">
        <v>15</v>
      </c>
      <c r="G49" s="11" t="s">
        <v>33</v>
      </c>
      <c r="H49" s="7" t="s">
        <v>83</v>
      </c>
      <c r="I49" s="11" t="s">
        <v>30</v>
      </c>
      <c r="J49" s="11" t="s">
        <v>80</v>
      </c>
      <c r="K49" s="12">
        <v>200</v>
      </c>
      <c r="L49" s="12">
        <v>230</v>
      </c>
      <c r="M49" s="12">
        <v>0</v>
      </c>
      <c r="N49" s="12">
        <v>10</v>
      </c>
      <c r="O49" s="12">
        <v>190</v>
      </c>
      <c r="P49" s="29">
        <v>30</v>
      </c>
    </row>
    <row r="50" spans="1:16" s="85" customFormat="1" ht="16.5" hidden="1" thickTop="1" thickBot="1" x14ac:dyDescent="0.3">
      <c r="A50" s="58"/>
      <c r="B50" s="25" t="s">
        <v>11</v>
      </c>
      <c r="C50" s="8" t="s">
        <v>61</v>
      </c>
      <c r="D50" s="7" t="s">
        <v>79</v>
      </c>
      <c r="E50" s="9" t="s">
        <v>140</v>
      </c>
      <c r="F50" s="10">
        <v>20</v>
      </c>
      <c r="G50" s="13" t="s">
        <v>40</v>
      </c>
      <c r="H50" s="7" t="s">
        <v>83</v>
      </c>
      <c r="I50" s="14" t="s">
        <v>30</v>
      </c>
      <c r="J50" s="14" t="s">
        <v>107</v>
      </c>
      <c r="K50" s="12">
        <v>230</v>
      </c>
      <c r="L50" s="12">
        <v>230</v>
      </c>
      <c r="M50" s="12">
        <v>0</v>
      </c>
      <c r="N50" s="12">
        <v>10</v>
      </c>
      <c r="O50" s="12">
        <v>190</v>
      </c>
      <c r="P50" s="29">
        <v>10</v>
      </c>
    </row>
    <row r="51" spans="1:16" s="85" customFormat="1" ht="16.5" hidden="1" thickTop="1" thickBot="1" x14ac:dyDescent="0.3">
      <c r="A51" s="58"/>
      <c r="B51" s="25" t="s">
        <v>11</v>
      </c>
      <c r="C51" s="8" t="s">
        <v>61</v>
      </c>
      <c r="D51" s="7" t="s">
        <v>79</v>
      </c>
      <c r="E51" s="9" t="s">
        <v>140</v>
      </c>
      <c r="F51" s="10">
        <v>20</v>
      </c>
      <c r="G51" s="13" t="s">
        <v>41</v>
      </c>
      <c r="H51" s="7" t="s">
        <v>83</v>
      </c>
      <c r="I51" s="14" t="s">
        <v>30</v>
      </c>
      <c r="J51" s="11" t="s">
        <v>80</v>
      </c>
      <c r="K51" s="12">
        <v>630</v>
      </c>
      <c r="L51" s="12">
        <v>630</v>
      </c>
      <c r="M51" s="12">
        <v>0</v>
      </c>
      <c r="N51" s="12">
        <v>30</v>
      </c>
      <c r="O51" s="12">
        <v>570</v>
      </c>
      <c r="P51" s="29">
        <v>25</v>
      </c>
    </row>
    <row r="52" spans="1:16" s="85" customFormat="1" ht="16.5" hidden="1" thickTop="1" thickBot="1" x14ac:dyDescent="0.3">
      <c r="A52" s="58"/>
      <c r="B52" s="25" t="s">
        <v>11</v>
      </c>
      <c r="C52" s="8" t="s">
        <v>61</v>
      </c>
      <c r="D52" s="7" t="s">
        <v>79</v>
      </c>
      <c r="E52" s="9" t="s">
        <v>140</v>
      </c>
      <c r="F52" s="10">
        <v>20</v>
      </c>
      <c r="G52" s="13" t="s">
        <v>43</v>
      </c>
      <c r="H52" s="7" t="s">
        <v>83</v>
      </c>
      <c r="I52" s="14" t="s">
        <v>30</v>
      </c>
      <c r="J52" s="14" t="s">
        <v>106</v>
      </c>
      <c r="K52" s="12">
        <v>230</v>
      </c>
      <c r="L52" s="12">
        <v>230</v>
      </c>
      <c r="M52" s="12">
        <v>0</v>
      </c>
      <c r="N52" s="12">
        <v>10</v>
      </c>
      <c r="O52" s="12">
        <v>190</v>
      </c>
      <c r="P52" s="29">
        <v>15</v>
      </c>
    </row>
    <row r="53" spans="1:16" s="85" customFormat="1" ht="16.5" hidden="1" thickTop="1" thickBot="1" x14ac:dyDescent="0.3">
      <c r="A53" s="58" t="s">
        <v>111</v>
      </c>
      <c r="B53" s="25" t="s">
        <v>11</v>
      </c>
      <c r="C53" s="8" t="s">
        <v>61</v>
      </c>
      <c r="D53" s="7" t="s">
        <v>79</v>
      </c>
      <c r="E53" s="9" t="s">
        <v>140</v>
      </c>
      <c r="F53" s="10">
        <v>20</v>
      </c>
      <c r="G53" s="13" t="s">
        <v>44</v>
      </c>
      <c r="H53" s="15" t="s">
        <v>85</v>
      </c>
      <c r="I53" s="14" t="s">
        <v>30</v>
      </c>
      <c r="J53" s="11" t="s">
        <v>80</v>
      </c>
      <c r="K53" s="12">
        <v>230</v>
      </c>
      <c r="L53" s="12">
        <v>230</v>
      </c>
      <c r="M53" s="12">
        <v>0</v>
      </c>
      <c r="N53" s="12">
        <v>10</v>
      </c>
      <c r="O53" s="12">
        <v>190</v>
      </c>
      <c r="P53" s="29">
        <v>16</v>
      </c>
    </row>
    <row r="54" spans="1:16" s="85" customFormat="1" ht="16.5" hidden="1" thickTop="1" thickBot="1" x14ac:dyDescent="0.3">
      <c r="A54" s="58" t="s">
        <v>111</v>
      </c>
      <c r="B54" s="25" t="s">
        <v>11</v>
      </c>
      <c r="C54" s="8" t="s">
        <v>25</v>
      </c>
      <c r="D54" s="7" t="s">
        <v>79</v>
      </c>
      <c r="E54" s="9" t="s">
        <v>153</v>
      </c>
      <c r="F54" s="10">
        <v>20</v>
      </c>
      <c r="G54" s="11" t="s">
        <v>29</v>
      </c>
      <c r="H54" s="7" t="s">
        <v>83</v>
      </c>
      <c r="I54" s="11" t="s">
        <v>30</v>
      </c>
      <c r="J54" s="11" t="s">
        <v>80</v>
      </c>
      <c r="K54" s="12">
        <v>530</v>
      </c>
      <c r="L54" s="12">
        <f>K54</f>
        <v>530</v>
      </c>
      <c r="M54" s="12">
        <v>0</v>
      </c>
      <c r="N54" s="12">
        <v>25</v>
      </c>
      <c r="O54" s="12">
        <v>475</v>
      </c>
      <c r="P54" s="29">
        <v>10</v>
      </c>
    </row>
    <row r="55" spans="1:16" s="85" customFormat="1" ht="16.5" hidden="1" thickTop="1" thickBot="1" x14ac:dyDescent="0.3">
      <c r="A55" s="58" t="s">
        <v>111</v>
      </c>
      <c r="B55" s="25" t="s">
        <v>22</v>
      </c>
      <c r="C55" s="8" t="s">
        <v>25</v>
      </c>
      <c r="D55" s="7" t="s">
        <v>79</v>
      </c>
      <c r="E55" s="9" t="s">
        <v>140</v>
      </c>
      <c r="F55" s="10">
        <v>20</v>
      </c>
      <c r="G55" s="11" t="s">
        <v>29</v>
      </c>
      <c r="H55" s="7" t="s">
        <v>83</v>
      </c>
      <c r="I55" s="11" t="s">
        <v>9</v>
      </c>
      <c r="J55" s="11" t="s">
        <v>80</v>
      </c>
      <c r="K55" s="12">
        <v>4126.63</v>
      </c>
      <c r="L55" s="12"/>
      <c r="M55" s="12">
        <v>0</v>
      </c>
      <c r="N55" s="12">
        <v>0</v>
      </c>
      <c r="O55" s="12">
        <f>K55*10.5%</f>
        <v>433.29615000000001</v>
      </c>
      <c r="P55" s="29">
        <v>10</v>
      </c>
    </row>
    <row r="56" spans="1:16" s="85" customFormat="1" ht="16.5" hidden="1" thickTop="1" thickBot="1" x14ac:dyDescent="0.3">
      <c r="A56" s="58" t="s">
        <v>111</v>
      </c>
      <c r="B56" s="25" t="s">
        <v>22</v>
      </c>
      <c r="C56" s="8" t="s">
        <v>25</v>
      </c>
      <c r="D56" s="7" t="s">
        <v>79</v>
      </c>
      <c r="E56" s="9" t="s">
        <v>140</v>
      </c>
      <c r="F56" s="10">
        <v>20</v>
      </c>
      <c r="G56" s="13" t="s">
        <v>31</v>
      </c>
      <c r="H56" s="7" t="s">
        <v>83</v>
      </c>
      <c r="I56" s="11" t="s">
        <v>7</v>
      </c>
      <c r="J56" s="11" t="s">
        <v>80</v>
      </c>
      <c r="K56" s="12">
        <v>19669</v>
      </c>
      <c r="L56" s="12">
        <f t="shared" ref="L56:L67" si="8">K56</f>
        <v>19669</v>
      </c>
      <c r="M56" s="12">
        <v>0</v>
      </c>
      <c r="N56" s="12">
        <v>0</v>
      </c>
      <c r="O56" s="12">
        <f>L56+M56-N56</f>
        <v>19669</v>
      </c>
      <c r="P56" s="29">
        <v>30</v>
      </c>
    </row>
    <row r="57" spans="1:16" s="85" customFormat="1" ht="16.5" hidden="1" thickTop="1" thickBot="1" x14ac:dyDescent="0.3">
      <c r="A57" s="58" t="s">
        <v>111</v>
      </c>
      <c r="B57" s="25" t="s">
        <v>5</v>
      </c>
      <c r="C57" s="8" t="s">
        <v>25</v>
      </c>
      <c r="D57" s="7" t="s">
        <v>79</v>
      </c>
      <c r="E57" s="9" t="s">
        <v>140</v>
      </c>
      <c r="F57" s="10">
        <v>20</v>
      </c>
      <c r="G57" s="11" t="s">
        <v>32</v>
      </c>
      <c r="H57" s="7" t="s">
        <v>83</v>
      </c>
      <c r="I57" s="11" t="s">
        <v>7</v>
      </c>
      <c r="J57" s="11" t="s">
        <v>80</v>
      </c>
      <c r="K57" s="12">
        <v>21216.65</v>
      </c>
      <c r="L57" s="12">
        <f t="shared" si="8"/>
        <v>21216.65</v>
      </c>
      <c r="M57" s="12">
        <v>0</v>
      </c>
      <c r="N57" s="12">
        <v>1008.00076721625</v>
      </c>
      <c r="O57" s="12">
        <f>L57+M57-N57</f>
        <v>20208.649232783751</v>
      </c>
      <c r="P57" s="29">
        <v>10</v>
      </c>
    </row>
    <row r="58" spans="1:16" s="85" customFormat="1" ht="16.5" hidden="1" thickTop="1" thickBot="1" x14ac:dyDescent="0.3">
      <c r="A58" s="58" t="s">
        <v>111</v>
      </c>
      <c r="B58" s="25" t="s">
        <v>5</v>
      </c>
      <c r="C58" s="8" t="s">
        <v>25</v>
      </c>
      <c r="D58" s="7" t="s">
        <v>79</v>
      </c>
      <c r="E58" s="9" t="s">
        <v>140</v>
      </c>
      <c r="F58" s="10">
        <v>20</v>
      </c>
      <c r="G58" s="11" t="s">
        <v>32</v>
      </c>
      <c r="H58" s="7" t="s">
        <v>83</v>
      </c>
      <c r="I58" s="11" t="s">
        <v>97</v>
      </c>
      <c r="J58" s="11" t="s">
        <v>80</v>
      </c>
      <c r="K58" s="12">
        <v>10578.83</v>
      </c>
      <c r="L58" s="12">
        <f t="shared" si="8"/>
        <v>10578.83</v>
      </c>
      <c r="M58" s="12">
        <v>0</v>
      </c>
      <c r="N58" s="12">
        <v>502.66571759999999</v>
      </c>
      <c r="O58" s="12">
        <f>L58+M58-N58</f>
        <v>10076.164282399999</v>
      </c>
      <c r="P58" s="29">
        <v>10</v>
      </c>
    </row>
    <row r="59" spans="1:16" s="85" customFormat="1" ht="16.5" hidden="1" thickTop="1" thickBot="1" x14ac:dyDescent="0.3">
      <c r="A59" s="58" t="s">
        <v>111</v>
      </c>
      <c r="B59" s="25" t="s">
        <v>11</v>
      </c>
      <c r="C59" s="8" t="s">
        <v>25</v>
      </c>
      <c r="D59" s="7" t="s">
        <v>79</v>
      </c>
      <c r="E59" s="9" t="s">
        <v>153</v>
      </c>
      <c r="F59" s="10">
        <v>20</v>
      </c>
      <c r="G59" s="11" t="s">
        <v>32</v>
      </c>
      <c r="H59" s="7" t="s">
        <v>83</v>
      </c>
      <c r="I59" s="11" t="s">
        <v>30</v>
      </c>
      <c r="J59" s="11" t="s">
        <v>80</v>
      </c>
      <c r="K59" s="12">
        <v>230</v>
      </c>
      <c r="L59" s="12">
        <f t="shared" si="8"/>
        <v>230</v>
      </c>
      <c r="M59" s="12">
        <v>0</v>
      </c>
      <c r="N59" s="12">
        <v>10</v>
      </c>
      <c r="O59" s="12">
        <v>190</v>
      </c>
      <c r="P59" s="29">
        <v>10</v>
      </c>
    </row>
    <row r="60" spans="1:16" s="85" customFormat="1" ht="16.5" hidden="1" thickTop="1" thickBot="1" x14ac:dyDescent="0.3">
      <c r="A60" s="58" t="s">
        <v>111</v>
      </c>
      <c r="B60" s="25" t="s">
        <v>5</v>
      </c>
      <c r="C60" s="8" t="s">
        <v>25</v>
      </c>
      <c r="D60" s="7" t="s">
        <v>79</v>
      </c>
      <c r="E60" s="9" t="s">
        <v>140</v>
      </c>
      <c r="F60" s="10">
        <v>20</v>
      </c>
      <c r="G60" s="11" t="s">
        <v>146</v>
      </c>
      <c r="H60" s="7" t="s">
        <v>83</v>
      </c>
      <c r="I60" s="11" t="s">
        <v>145</v>
      </c>
      <c r="J60" s="11" t="s">
        <v>80</v>
      </c>
      <c r="K60" s="12">
        <v>10637.82</v>
      </c>
      <c r="L60" s="12">
        <f t="shared" si="8"/>
        <v>10637.82</v>
      </c>
      <c r="M60" s="12">
        <v>0</v>
      </c>
      <c r="N60" s="12">
        <v>505.32979499999999</v>
      </c>
      <c r="O60" s="12">
        <f>L60+M60-N60</f>
        <v>10132.490205</v>
      </c>
      <c r="P60" s="29">
        <v>10</v>
      </c>
    </row>
    <row r="61" spans="1:16" s="85" customFormat="1" ht="16.5" hidden="1" thickTop="1" thickBot="1" x14ac:dyDescent="0.3">
      <c r="A61" s="58" t="s">
        <v>111</v>
      </c>
      <c r="B61" s="25" t="s">
        <v>5</v>
      </c>
      <c r="C61" s="8" t="s">
        <v>25</v>
      </c>
      <c r="D61" s="7" t="s">
        <v>79</v>
      </c>
      <c r="E61" s="9" t="s">
        <v>140</v>
      </c>
      <c r="F61" s="10">
        <v>20</v>
      </c>
      <c r="G61" s="11" t="s">
        <v>146</v>
      </c>
      <c r="H61" s="7" t="s">
        <v>83</v>
      </c>
      <c r="I61" s="11" t="s">
        <v>7</v>
      </c>
      <c r="J61" s="11" t="s">
        <v>80</v>
      </c>
      <c r="K61" s="12">
        <v>10048.870000000001</v>
      </c>
      <c r="L61" s="12">
        <f t="shared" si="8"/>
        <v>10048.870000000001</v>
      </c>
      <c r="M61" s="12">
        <v>0</v>
      </c>
      <c r="N61" s="12">
        <v>481.34</v>
      </c>
      <c r="O61" s="12">
        <f>K61-N61</f>
        <v>9567.5300000000007</v>
      </c>
      <c r="P61" s="29">
        <v>10</v>
      </c>
    </row>
    <row r="62" spans="1:16" s="85" customFormat="1" ht="16.5" hidden="1" thickTop="1" thickBot="1" x14ac:dyDescent="0.3">
      <c r="A62" s="58" t="s">
        <v>111</v>
      </c>
      <c r="B62" s="25" t="s">
        <v>5</v>
      </c>
      <c r="C62" s="8" t="s">
        <v>25</v>
      </c>
      <c r="D62" s="7" t="s">
        <v>79</v>
      </c>
      <c r="E62" s="9" t="s">
        <v>140</v>
      </c>
      <c r="F62" s="10">
        <v>20</v>
      </c>
      <c r="G62" s="11" t="s">
        <v>32</v>
      </c>
      <c r="H62" s="7" t="s">
        <v>83</v>
      </c>
      <c r="I62" s="11" t="s">
        <v>98</v>
      </c>
      <c r="J62" s="11" t="s">
        <v>80</v>
      </c>
      <c r="K62" s="12">
        <v>14293.174999999999</v>
      </c>
      <c r="L62" s="12">
        <f t="shared" si="8"/>
        <v>14293.174999999999</v>
      </c>
      <c r="M62" s="12">
        <v>0</v>
      </c>
      <c r="N62" s="12">
        <v>646.75</v>
      </c>
      <c r="O62" s="12">
        <f>L62+M62-N62</f>
        <v>13646.424999999999</v>
      </c>
      <c r="P62" s="29">
        <v>10</v>
      </c>
    </row>
    <row r="63" spans="1:16" s="85" customFormat="1" ht="16.5" hidden="1" thickTop="1" thickBot="1" x14ac:dyDescent="0.3">
      <c r="A63" s="58" t="s">
        <v>111</v>
      </c>
      <c r="B63" s="25" t="s">
        <v>10</v>
      </c>
      <c r="C63" s="8" t="s">
        <v>25</v>
      </c>
      <c r="D63" s="7" t="s">
        <v>79</v>
      </c>
      <c r="E63" s="9" t="s">
        <v>140</v>
      </c>
      <c r="F63" s="10">
        <v>20</v>
      </c>
      <c r="G63" s="11" t="s">
        <v>32</v>
      </c>
      <c r="H63" s="7" t="s">
        <v>83</v>
      </c>
      <c r="I63" s="11" t="s">
        <v>96</v>
      </c>
      <c r="J63" s="11" t="s">
        <v>80</v>
      </c>
      <c r="K63" s="12">
        <v>2000</v>
      </c>
      <c r="L63" s="12">
        <f t="shared" si="8"/>
        <v>2000</v>
      </c>
      <c r="M63" s="12">
        <v>0</v>
      </c>
      <c r="N63" s="12">
        <v>0</v>
      </c>
      <c r="O63" s="12">
        <v>2000</v>
      </c>
      <c r="P63" s="29">
        <v>10</v>
      </c>
    </row>
    <row r="64" spans="1:16" s="85" customFormat="1" ht="16.5" hidden="1" thickTop="1" thickBot="1" x14ac:dyDescent="0.3">
      <c r="A64" s="58" t="s">
        <v>111</v>
      </c>
      <c r="B64" s="25" t="s">
        <v>11</v>
      </c>
      <c r="C64" s="8" t="s">
        <v>25</v>
      </c>
      <c r="D64" s="7" t="s">
        <v>79</v>
      </c>
      <c r="E64" s="9" t="s">
        <v>140</v>
      </c>
      <c r="F64" s="10">
        <v>15</v>
      </c>
      <c r="G64" s="11" t="s">
        <v>33</v>
      </c>
      <c r="H64" s="7" t="s">
        <v>83</v>
      </c>
      <c r="I64" s="11" t="s">
        <v>7</v>
      </c>
      <c r="J64" s="11" t="s">
        <v>80</v>
      </c>
      <c r="K64" s="12">
        <v>22528.080000000002</v>
      </c>
      <c r="L64" s="12">
        <f t="shared" si="8"/>
        <v>22528.080000000002</v>
      </c>
      <c r="M64" s="12">
        <v>0</v>
      </c>
      <c r="N64" s="12">
        <f>L64*16%</f>
        <v>3604.4928000000004</v>
      </c>
      <c r="O64" s="12">
        <f>L64+M64-N64</f>
        <v>18923.587200000002</v>
      </c>
      <c r="P64" s="29">
        <v>30</v>
      </c>
    </row>
    <row r="65" spans="1:16" s="85" customFormat="1" ht="16.5" hidden="1" thickTop="1" thickBot="1" x14ac:dyDescent="0.3">
      <c r="A65" s="58" t="s">
        <v>111</v>
      </c>
      <c r="B65" s="25" t="s">
        <v>22</v>
      </c>
      <c r="C65" s="8" t="s">
        <v>25</v>
      </c>
      <c r="D65" s="7" t="s">
        <v>79</v>
      </c>
      <c r="E65" s="9" t="s">
        <v>140</v>
      </c>
      <c r="F65" s="10">
        <v>15</v>
      </c>
      <c r="G65" s="11" t="s">
        <v>120</v>
      </c>
      <c r="H65" s="7" t="s">
        <v>83</v>
      </c>
      <c r="I65" s="11" t="s">
        <v>9</v>
      </c>
      <c r="J65" s="11" t="s">
        <v>80</v>
      </c>
      <c r="K65" s="12">
        <v>4286.7038499999999</v>
      </c>
      <c r="L65" s="12">
        <f t="shared" si="8"/>
        <v>4286.7038499999999</v>
      </c>
      <c r="M65" s="12">
        <v>0</v>
      </c>
      <c r="N65" s="12">
        <v>0</v>
      </c>
      <c r="O65" s="12">
        <f>L65+M65-N65</f>
        <v>4286.7038499999999</v>
      </c>
      <c r="P65" s="29">
        <v>30</v>
      </c>
    </row>
    <row r="66" spans="1:16" s="85" customFormat="1" ht="16.5" hidden="1" thickTop="1" thickBot="1" x14ac:dyDescent="0.3">
      <c r="A66" s="58" t="s">
        <v>111</v>
      </c>
      <c r="B66" s="25" t="s">
        <v>22</v>
      </c>
      <c r="C66" s="8" t="s">
        <v>25</v>
      </c>
      <c r="D66" s="7" t="s">
        <v>79</v>
      </c>
      <c r="E66" s="9" t="s">
        <v>140</v>
      </c>
      <c r="F66" s="10">
        <v>15</v>
      </c>
      <c r="G66" s="11" t="s">
        <v>33</v>
      </c>
      <c r="H66" s="7" t="s">
        <v>83</v>
      </c>
      <c r="I66" s="11" t="s">
        <v>9</v>
      </c>
      <c r="J66" s="11" t="s">
        <v>80</v>
      </c>
      <c r="K66" s="12">
        <v>8573.4076999999997</v>
      </c>
      <c r="L66" s="12">
        <f t="shared" si="8"/>
        <v>8573.4076999999997</v>
      </c>
      <c r="M66" s="12">
        <v>0</v>
      </c>
      <c r="N66" s="12">
        <v>0</v>
      </c>
      <c r="O66" s="12">
        <f>L66+M66-N66</f>
        <v>8573.4076999999997</v>
      </c>
      <c r="P66" s="29">
        <v>30</v>
      </c>
    </row>
    <row r="67" spans="1:16" s="85" customFormat="1" ht="16.5" hidden="1" thickTop="1" thickBot="1" x14ac:dyDescent="0.3">
      <c r="A67" s="58" t="s">
        <v>111</v>
      </c>
      <c r="B67" s="25" t="s">
        <v>11</v>
      </c>
      <c r="C67" s="8" t="s">
        <v>25</v>
      </c>
      <c r="D67" s="7" t="s">
        <v>79</v>
      </c>
      <c r="E67" s="9" t="s">
        <v>153</v>
      </c>
      <c r="F67" s="10">
        <v>15</v>
      </c>
      <c r="G67" s="11" t="s">
        <v>33</v>
      </c>
      <c r="H67" s="7" t="s">
        <v>83</v>
      </c>
      <c r="I67" s="11" t="s">
        <v>30</v>
      </c>
      <c r="J67" s="11" t="s">
        <v>80</v>
      </c>
      <c r="K67" s="12">
        <v>200</v>
      </c>
      <c r="L67" s="12">
        <f t="shared" si="8"/>
        <v>200</v>
      </c>
      <c r="M67" s="12">
        <v>0</v>
      </c>
      <c r="N67" s="12">
        <v>10</v>
      </c>
      <c r="O67" s="12">
        <v>190</v>
      </c>
      <c r="P67" s="29">
        <v>30</v>
      </c>
    </row>
    <row r="68" spans="1:16" s="85" customFormat="1" ht="16.5" hidden="1" thickTop="1" thickBot="1" x14ac:dyDescent="0.3">
      <c r="A68" s="58" t="s">
        <v>111</v>
      </c>
      <c r="B68" s="25" t="s">
        <v>22</v>
      </c>
      <c r="C68" s="8" t="s">
        <v>60</v>
      </c>
      <c r="D68" s="7" t="s">
        <v>79</v>
      </c>
      <c r="E68" s="9" t="s">
        <v>140</v>
      </c>
      <c r="F68" s="10">
        <v>1</v>
      </c>
      <c r="G68" s="11" t="s">
        <v>34</v>
      </c>
      <c r="H68" s="7" t="s">
        <v>87</v>
      </c>
      <c r="I68" s="11" t="s">
        <v>20</v>
      </c>
      <c r="J68" s="11" t="s">
        <v>105</v>
      </c>
      <c r="K68" s="12">
        <v>40851.191603430001</v>
      </c>
      <c r="L68" s="12">
        <f t="shared" ref="L68:L75" si="9">K68*60%</f>
        <v>24510.714962057998</v>
      </c>
      <c r="M68" s="12">
        <f t="shared" ref="M68:M75" si="10">K68*40%</f>
        <v>16340.476641372001</v>
      </c>
      <c r="N68" s="12">
        <v>0</v>
      </c>
      <c r="O68" s="12">
        <f t="shared" ref="O68:O77" si="11">L68+M68-N68</f>
        <v>40851.191603430001</v>
      </c>
      <c r="P68" s="29">
        <v>30</v>
      </c>
    </row>
    <row r="69" spans="1:16" s="85" customFormat="1" ht="16.5" hidden="1" thickTop="1" thickBot="1" x14ac:dyDescent="0.3">
      <c r="A69" s="58" t="s">
        <v>111</v>
      </c>
      <c r="B69" s="25" t="s">
        <v>22</v>
      </c>
      <c r="C69" s="8" t="s">
        <v>60</v>
      </c>
      <c r="D69" s="7" t="s">
        <v>79</v>
      </c>
      <c r="E69" s="9" t="s">
        <v>140</v>
      </c>
      <c r="F69" s="10">
        <v>1</v>
      </c>
      <c r="G69" s="11" t="s">
        <v>34</v>
      </c>
      <c r="H69" s="7" t="s">
        <v>87</v>
      </c>
      <c r="I69" s="11" t="s">
        <v>9</v>
      </c>
      <c r="J69" s="11" t="s">
        <v>105</v>
      </c>
      <c r="K69" s="12">
        <v>33354.561456449999</v>
      </c>
      <c r="L69" s="12">
        <f t="shared" si="9"/>
        <v>20012.736873869999</v>
      </c>
      <c r="M69" s="12">
        <f t="shared" si="10"/>
        <v>13341.82458258</v>
      </c>
      <c r="N69" s="12">
        <v>0</v>
      </c>
      <c r="O69" s="12">
        <f t="shared" si="11"/>
        <v>33354.561456449999</v>
      </c>
      <c r="P69" s="29">
        <v>30</v>
      </c>
    </row>
    <row r="70" spans="1:16" s="85" customFormat="1" ht="16.5" hidden="1" thickTop="1" thickBot="1" x14ac:dyDescent="0.3">
      <c r="A70" s="58" t="s">
        <v>111</v>
      </c>
      <c r="B70" s="25" t="s">
        <v>22</v>
      </c>
      <c r="C70" s="8" t="s">
        <v>60</v>
      </c>
      <c r="D70" s="7" t="s">
        <v>79</v>
      </c>
      <c r="E70" s="9" t="s">
        <v>140</v>
      </c>
      <c r="F70" s="10">
        <v>1</v>
      </c>
      <c r="G70" s="11" t="s">
        <v>35</v>
      </c>
      <c r="H70" s="7" t="s">
        <v>83</v>
      </c>
      <c r="I70" s="11" t="s">
        <v>9</v>
      </c>
      <c r="J70" s="11" t="s">
        <v>105</v>
      </c>
      <c r="K70" s="12">
        <v>23847.740911214998</v>
      </c>
      <c r="L70" s="12">
        <f t="shared" si="9"/>
        <v>14308.644546728998</v>
      </c>
      <c r="M70" s="12">
        <f t="shared" si="10"/>
        <v>9539.0963644860003</v>
      </c>
      <c r="N70" s="12">
        <v>0</v>
      </c>
      <c r="O70" s="12">
        <f t="shared" si="11"/>
        <v>23847.740911214998</v>
      </c>
      <c r="P70" s="29">
        <v>30</v>
      </c>
    </row>
    <row r="71" spans="1:16" s="85" customFormat="1" ht="16.5" hidden="1" thickTop="1" thickBot="1" x14ac:dyDescent="0.3">
      <c r="A71" s="58" t="s">
        <v>111</v>
      </c>
      <c r="B71" s="25" t="s">
        <v>22</v>
      </c>
      <c r="C71" s="8" t="s">
        <v>60</v>
      </c>
      <c r="D71" s="7" t="s">
        <v>79</v>
      </c>
      <c r="E71" s="9" t="s">
        <v>140</v>
      </c>
      <c r="F71" s="10">
        <v>1</v>
      </c>
      <c r="G71" s="11" t="s">
        <v>36</v>
      </c>
      <c r="H71" s="7" t="s">
        <v>89</v>
      </c>
      <c r="I71" s="11" t="s">
        <v>20</v>
      </c>
      <c r="J71" s="11" t="s">
        <v>105</v>
      </c>
      <c r="K71" s="12">
        <v>40851.191603430001</v>
      </c>
      <c r="L71" s="12">
        <f t="shared" si="9"/>
        <v>24510.714962057998</v>
      </c>
      <c r="M71" s="12">
        <f t="shared" si="10"/>
        <v>16340.476641372001</v>
      </c>
      <c r="N71" s="12">
        <v>0</v>
      </c>
      <c r="O71" s="12">
        <f t="shared" si="11"/>
        <v>40851.191603430001</v>
      </c>
      <c r="P71" s="29">
        <v>30</v>
      </c>
    </row>
    <row r="72" spans="1:16" s="85" customFormat="1" ht="16.5" hidden="1" thickTop="1" thickBot="1" x14ac:dyDescent="0.3">
      <c r="A72" s="58" t="s">
        <v>111</v>
      </c>
      <c r="B72" s="25" t="s">
        <v>22</v>
      </c>
      <c r="C72" s="8" t="s">
        <v>60</v>
      </c>
      <c r="D72" s="7" t="s">
        <v>79</v>
      </c>
      <c r="E72" s="9" t="s">
        <v>140</v>
      </c>
      <c r="F72" s="10">
        <v>1</v>
      </c>
      <c r="G72" s="11" t="s">
        <v>36</v>
      </c>
      <c r="H72" s="7" t="s">
        <v>89</v>
      </c>
      <c r="I72" s="11" t="s">
        <v>9</v>
      </c>
      <c r="J72" s="11" t="s">
        <v>105</v>
      </c>
      <c r="K72" s="12">
        <v>33354.561456449999</v>
      </c>
      <c r="L72" s="12">
        <f t="shared" si="9"/>
        <v>20012.736873869999</v>
      </c>
      <c r="M72" s="12">
        <f t="shared" si="10"/>
        <v>13341.82458258</v>
      </c>
      <c r="N72" s="12">
        <v>0</v>
      </c>
      <c r="O72" s="12">
        <f t="shared" si="11"/>
        <v>33354.561456449999</v>
      </c>
      <c r="P72" s="29">
        <v>30</v>
      </c>
    </row>
    <row r="73" spans="1:16" s="85" customFormat="1" ht="16.5" hidden="1" thickTop="1" thickBot="1" x14ac:dyDescent="0.3">
      <c r="A73" s="58" t="s">
        <v>111</v>
      </c>
      <c r="B73" s="25" t="s">
        <v>22</v>
      </c>
      <c r="C73" s="8" t="s">
        <v>60</v>
      </c>
      <c r="D73" s="7" t="s">
        <v>79</v>
      </c>
      <c r="E73" s="9" t="s">
        <v>140</v>
      </c>
      <c r="F73" s="10">
        <v>1</v>
      </c>
      <c r="G73" s="11" t="s">
        <v>37</v>
      </c>
      <c r="H73" s="7" t="s">
        <v>85</v>
      </c>
      <c r="I73" s="11" t="s">
        <v>9</v>
      </c>
      <c r="J73" s="11" t="s">
        <v>105</v>
      </c>
      <c r="K73" s="12">
        <v>14308.64685198</v>
      </c>
      <c r="L73" s="12">
        <f t="shared" si="9"/>
        <v>8585.1881111879993</v>
      </c>
      <c r="M73" s="12">
        <f t="shared" si="10"/>
        <v>5723.4587407920008</v>
      </c>
      <c r="N73" s="12">
        <v>0</v>
      </c>
      <c r="O73" s="12">
        <f t="shared" si="11"/>
        <v>14308.64685198</v>
      </c>
      <c r="P73" s="29">
        <v>30</v>
      </c>
    </row>
    <row r="74" spans="1:16" s="85" customFormat="1" ht="16.5" hidden="1" thickTop="1" thickBot="1" x14ac:dyDescent="0.3">
      <c r="A74" s="58" t="s">
        <v>111</v>
      </c>
      <c r="B74" s="25" t="s">
        <v>22</v>
      </c>
      <c r="C74" s="8" t="s">
        <v>60</v>
      </c>
      <c r="D74" s="7" t="s">
        <v>79</v>
      </c>
      <c r="E74" s="9" t="s">
        <v>140</v>
      </c>
      <c r="F74" s="10">
        <v>1</v>
      </c>
      <c r="G74" s="11" t="s">
        <v>93</v>
      </c>
      <c r="H74" s="7" t="s">
        <v>85</v>
      </c>
      <c r="I74" s="11" t="s">
        <v>9</v>
      </c>
      <c r="J74" s="11" t="s">
        <v>105</v>
      </c>
      <c r="K74" s="12">
        <v>19078.18811847</v>
      </c>
      <c r="L74" s="12">
        <f t="shared" si="9"/>
        <v>11446.912871081999</v>
      </c>
      <c r="M74" s="12">
        <f t="shared" si="10"/>
        <v>7631.275247388</v>
      </c>
      <c r="N74" s="12">
        <v>0</v>
      </c>
      <c r="O74" s="12">
        <f t="shared" si="11"/>
        <v>19078.18811847</v>
      </c>
      <c r="P74" s="29">
        <v>30</v>
      </c>
    </row>
    <row r="75" spans="1:16" s="85" customFormat="1" ht="16.5" hidden="1" thickTop="1" thickBot="1" x14ac:dyDescent="0.3">
      <c r="A75" s="58" t="s">
        <v>111</v>
      </c>
      <c r="B75" s="25" t="s">
        <v>22</v>
      </c>
      <c r="C75" s="8" t="s">
        <v>60</v>
      </c>
      <c r="D75" s="7" t="s">
        <v>79</v>
      </c>
      <c r="E75" s="9" t="s">
        <v>140</v>
      </c>
      <c r="F75" s="10">
        <v>1</v>
      </c>
      <c r="G75" s="11" t="s">
        <v>38</v>
      </c>
      <c r="H75" s="7" t="s">
        <v>85</v>
      </c>
      <c r="I75" s="11" t="s">
        <v>9</v>
      </c>
      <c r="J75" s="11" t="s">
        <v>105</v>
      </c>
      <c r="K75" s="12">
        <v>9539.0940592349998</v>
      </c>
      <c r="L75" s="12">
        <f t="shared" si="9"/>
        <v>5723.4564355409993</v>
      </c>
      <c r="M75" s="12">
        <f t="shared" si="10"/>
        <v>3815.637623694</v>
      </c>
      <c r="N75" s="12">
        <v>0</v>
      </c>
      <c r="O75" s="12">
        <f t="shared" si="11"/>
        <v>9539.0940592349998</v>
      </c>
      <c r="P75" s="29">
        <v>30</v>
      </c>
    </row>
    <row r="76" spans="1:16" s="85" customFormat="1" ht="16.5" hidden="1" thickTop="1" thickBot="1" x14ac:dyDescent="0.3">
      <c r="A76" s="58" t="s">
        <v>111</v>
      </c>
      <c r="B76" s="25" t="s">
        <v>11</v>
      </c>
      <c r="C76" s="8" t="s">
        <v>60</v>
      </c>
      <c r="D76" s="7" t="s">
        <v>79</v>
      </c>
      <c r="E76" s="9" t="s">
        <v>140</v>
      </c>
      <c r="F76" s="10">
        <v>20</v>
      </c>
      <c r="G76" s="11" t="s">
        <v>119</v>
      </c>
      <c r="H76" s="7" t="s">
        <v>85</v>
      </c>
      <c r="I76" s="11" t="s">
        <v>7</v>
      </c>
      <c r="J76" s="11" t="s">
        <v>103</v>
      </c>
      <c r="K76" s="12">
        <v>19006</v>
      </c>
      <c r="L76" s="12">
        <f t="shared" ref="L76:L82" si="12">K76</f>
        <v>19006</v>
      </c>
      <c r="M76" s="12">
        <v>0</v>
      </c>
      <c r="N76" s="12">
        <f>L76*16%</f>
        <v>3040.96</v>
      </c>
      <c r="O76" s="12">
        <f t="shared" si="11"/>
        <v>15965.04</v>
      </c>
      <c r="P76" s="29">
        <v>20</v>
      </c>
    </row>
    <row r="77" spans="1:16" s="85" customFormat="1" ht="16.5" hidden="1" thickTop="1" thickBot="1" x14ac:dyDescent="0.3">
      <c r="A77" s="58" t="s">
        <v>111</v>
      </c>
      <c r="B77" s="25" t="s">
        <v>13</v>
      </c>
      <c r="C77" s="8" t="s">
        <v>60</v>
      </c>
      <c r="D77" s="7" t="s">
        <v>79</v>
      </c>
      <c r="E77" s="9" t="s">
        <v>140</v>
      </c>
      <c r="F77" s="10">
        <v>20</v>
      </c>
      <c r="G77" s="11" t="s">
        <v>119</v>
      </c>
      <c r="H77" s="7" t="s">
        <v>85</v>
      </c>
      <c r="I77" s="11" t="s">
        <v>9</v>
      </c>
      <c r="J77" s="11" t="s">
        <v>103</v>
      </c>
      <c r="K77" s="12">
        <v>8619</v>
      </c>
      <c r="L77" s="12">
        <f t="shared" si="12"/>
        <v>8619</v>
      </c>
      <c r="M77" s="12">
        <v>0</v>
      </c>
      <c r="N77" s="12">
        <f>L77*16%</f>
        <v>1379.04</v>
      </c>
      <c r="O77" s="12">
        <f t="shared" si="11"/>
        <v>7239.96</v>
      </c>
      <c r="P77" s="29">
        <v>20</v>
      </c>
    </row>
    <row r="78" spans="1:16" s="85" customFormat="1" ht="16.5" hidden="1" thickTop="1" thickBot="1" x14ac:dyDescent="0.3">
      <c r="A78" s="58" t="s">
        <v>111</v>
      </c>
      <c r="B78" s="25" t="s">
        <v>10</v>
      </c>
      <c r="C78" s="8" t="s">
        <v>60</v>
      </c>
      <c r="D78" s="7" t="s">
        <v>79</v>
      </c>
      <c r="E78" s="9" t="s">
        <v>140</v>
      </c>
      <c r="F78" s="10">
        <v>20</v>
      </c>
      <c r="G78" s="11" t="s">
        <v>119</v>
      </c>
      <c r="H78" s="7" t="s">
        <v>85</v>
      </c>
      <c r="I78" s="11" t="s">
        <v>96</v>
      </c>
      <c r="J78" s="11" t="s">
        <v>103</v>
      </c>
      <c r="K78" s="12">
        <v>1785.7</v>
      </c>
      <c r="L78" s="12">
        <f t="shared" si="12"/>
        <v>1785.7</v>
      </c>
      <c r="M78" s="12">
        <v>0</v>
      </c>
      <c r="N78" s="12">
        <v>0</v>
      </c>
      <c r="O78" s="12">
        <v>1785.7</v>
      </c>
      <c r="P78" s="29">
        <v>20</v>
      </c>
    </row>
    <row r="79" spans="1:16" s="85" customFormat="1" ht="16.5" hidden="1" thickTop="1" thickBot="1" x14ac:dyDescent="0.3">
      <c r="A79" s="58" t="s">
        <v>111</v>
      </c>
      <c r="B79" s="25" t="s">
        <v>11</v>
      </c>
      <c r="C79" s="8" t="s">
        <v>60</v>
      </c>
      <c r="D79" s="7" t="s">
        <v>79</v>
      </c>
      <c r="E79" s="9" t="s">
        <v>140</v>
      </c>
      <c r="F79" s="10">
        <v>20</v>
      </c>
      <c r="G79" s="11" t="s">
        <v>94</v>
      </c>
      <c r="H79" s="7" t="s">
        <v>86</v>
      </c>
      <c r="I79" s="11" t="s">
        <v>7</v>
      </c>
      <c r="J79" s="11" t="s">
        <v>103</v>
      </c>
      <c r="K79" s="12">
        <v>27367.535</v>
      </c>
      <c r="L79" s="12">
        <f t="shared" si="12"/>
        <v>27367.535</v>
      </c>
      <c r="M79" s="12">
        <v>0</v>
      </c>
      <c r="N79" s="12">
        <f>L79*16%</f>
        <v>4378.8055999999997</v>
      </c>
      <c r="O79" s="12">
        <f>L79+M79-N79</f>
        <v>22988.7294</v>
      </c>
      <c r="P79" s="29">
        <v>20</v>
      </c>
    </row>
    <row r="80" spans="1:16" s="85" customFormat="1" ht="16.5" hidden="1" thickTop="1" thickBot="1" x14ac:dyDescent="0.3">
      <c r="A80" s="58" t="s">
        <v>111</v>
      </c>
      <c r="B80" s="25" t="s">
        <v>13</v>
      </c>
      <c r="C80" s="8" t="s">
        <v>60</v>
      </c>
      <c r="D80" s="7" t="s">
        <v>79</v>
      </c>
      <c r="E80" s="9" t="s">
        <v>140</v>
      </c>
      <c r="F80" s="10">
        <v>20</v>
      </c>
      <c r="G80" s="11" t="s">
        <v>94</v>
      </c>
      <c r="H80" s="7" t="s">
        <v>86</v>
      </c>
      <c r="I80" s="11" t="s">
        <v>15</v>
      </c>
      <c r="J80" s="11" t="s">
        <v>103</v>
      </c>
      <c r="K80" s="12">
        <v>7270.9</v>
      </c>
      <c r="L80" s="12">
        <f t="shared" si="12"/>
        <v>7270.9</v>
      </c>
      <c r="M80" s="12">
        <v>0</v>
      </c>
      <c r="N80" s="12">
        <f>L80*16%</f>
        <v>1163.3440000000001</v>
      </c>
      <c r="O80" s="12">
        <f>L80+M80-N80</f>
        <v>6107.5559999999996</v>
      </c>
      <c r="P80" s="29">
        <v>20</v>
      </c>
    </row>
    <row r="81" spans="1:16" s="85" customFormat="1" ht="16.5" hidden="1" thickTop="1" thickBot="1" x14ac:dyDescent="0.3">
      <c r="A81" s="58" t="s">
        <v>111</v>
      </c>
      <c r="B81" s="25" t="s">
        <v>22</v>
      </c>
      <c r="C81" s="8" t="s">
        <v>60</v>
      </c>
      <c r="D81" s="7" t="s">
        <v>157</v>
      </c>
      <c r="E81" s="9" t="s">
        <v>153</v>
      </c>
      <c r="F81" s="10">
        <v>10</v>
      </c>
      <c r="G81" s="11" t="s">
        <v>158</v>
      </c>
      <c r="H81" s="7" t="s">
        <v>84</v>
      </c>
      <c r="I81" s="11" t="s">
        <v>7</v>
      </c>
      <c r="J81" s="11" t="s">
        <v>80</v>
      </c>
      <c r="K81" s="12">
        <v>6240</v>
      </c>
      <c r="L81" s="12">
        <f t="shared" si="12"/>
        <v>6240</v>
      </c>
      <c r="M81" s="12"/>
      <c r="N81" s="12">
        <v>0</v>
      </c>
      <c r="O81" s="12">
        <f>L81</f>
        <v>6240</v>
      </c>
      <c r="P81" s="29">
        <v>7</v>
      </c>
    </row>
    <row r="82" spans="1:16" s="85" customFormat="1" ht="16.5" hidden="1" thickTop="1" thickBot="1" x14ac:dyDescent="0.3">
      <c r="A82" s="58" t="s">
        <v>111</v>
      </c>
      <c r="B82" s="25" t="s">
        <v>13</v>
      </c>
      <c r="C82" s="8" t="s">
        <v>60</v>
      </c>
      <c r="D82" s="7" t="s">
        <v>79</v>
      </c>
      <c r="E82" s="9" t="s">
        <v>140</v>
      </c>
      <c r="F82" s="10">
        <v>20</v>
      </c>
      <c r="G82" s="11" t="s">
        <v>94</v>
      </c>
      <c r="H82" s="7" t="s">
        <v>86</v>
      </c>
      <c r="I82" s="11" t="s">
        <v>9</v>
      </c>
      <c r="J82" s="11" t="s">
        <v>103</v>
      </c>
      <c r="K82" s="12">
        <v>17100.98</v>
      </c>
      <c r="L82" s="12">
        <f t="shared" si="12"/>
        <v>17100.98</v>
      </c>
      <c r="M82" s="12">
        <v>0</v>
      </c>
      <c r="N82" s="12">
        <f>L82*16%</f>
        <v>2736.1568000000002</v>
      </c>
      <c r="O82" s="12">
        <f>L82+M82-N82</f>
        <v>14364.823199999999</v>
      </c>
      <c r="P82" s="29">
        <v>20</v>
      </c>
    </row>
    <row r="83" spans="1:16" s="85" customFormat="1" ht="16.5" hidden="1" thickTop="1" thickBot="1" x14ac:dyDescent="0.3">
      <c r="A83" s="51"/>
      <c r="B83" s="25" t="s">
        <v>137</v>
      </c>
      <c r="C83" s="8" t="s">
        <v>61</v>
      </c>
      <c r="D83" s="7" t="s">
        <v>79</v>
      </c>
      <c r="E83" s="9" t="s">
        <v>71</v>
      </c>
      <c r="F83" s="10">
        <v>20</v>
      </c>
      <c r="G83" s="13" t="s">
        <v>39</v>
      </c>
      <c r="H83" s="7" t="s">
        <v>83</v>
      </c>
      <c r="I83" s="11" t="s">
        <v>96</v>
      </c>
      <c r="J83" s="11" t="s">
        <v>80</v>
      </c>
      <c r="K83" s="12">
        <v>130</v>
      </c>
      <c r="L83" s="12">
        <v>0</v>
      </c>
      <c r="M83" s="12">
        <f t="shared" ref="M83:M88" si="13">K83</f>
        <v>130</v>
      </c>
      <c r="N83" s="12">
        <v>0</v>
      </c>
      <c r="O83" s="12">
        <f t="shared" ref="O83:O88" si="14">M83</f>
        <v>130</v>
      </c>
      <c r="P83" s="29">
        <v>17</v>
      </c>
    </row>
    <row r="84" spans="1:16" s="85" customFormat="1" ht="16.5" hidden="1" thickTop="1" thickBot="1" x14ac:dyDescent="0.3">
      <c r="A84" s="51"/>
      <c r="B84" s="25" t="s">
        <v>137</v>
      </c>
      <c r="C84" s="8" t="s">
        <v>61</v>
      </c>
      <c r="D84" s="7" t="s">
        <v>79</v>
      </c>
      <c r="E84" s="9" t="s">
        <v>70</v>
      </c>
      <c r="F84" s="10">
        <v>20</v>
      </c>
      <c r="G84" s="13" t="s">
        <v>39</v>
      </c>
      <c r="H84" s="7" t="s">
        <v>83</v>
      </c>
      <c r="I84" s="11" t="s">
        <v>96</v>
      </c>
      <c r="J84" s="11" t="s">
        <v>80</v>
      </c>
      <c r="K84" s="12">
        <v>130</v>
      </c>
      <c r="L84" s="12">
        <v>0</v>
      </c>
      <c r="M84" s="12">
        <f t="shared" si="13"/>
        <v>130</v>
      </c>
      <c r="N84" s="12">
        <v>0</v>
      </c>
      <c r="O84" s="12">
        <f t="shared" si="14"/>
        <v>130</v>
      </c>
      <c r="P84" s="29">
        <v>17</v>
      </c>
    </row>
    <row r="85" spans="1:16" s="85" customFormat="1" ht="16.5" hidden="1" thickTop="1" thickBot="1" x14ac:dyDescent="0.3">
      <c r="A85" s="51"/>
      <c r="B85" s="25" t="s">
        <v>137</v>
      </c>
      <c r="C85" s="8" t="s">
        <v>61</v>
      </c>
      <c r="D85" s="7" t="s">
        <v>79</v>
      </c>
      <c r="E85" s="9" t="s">
        <v>69</v>
      </c>
      <c r="F85" s="10">
        <v>20</v>
      </c>
      <c r="G85" s="13" t="s">
        <v>39</v>
      </c>
      <c r="H85" s="7" t="s">
        <v>83</v>
      </c>
      <c r="I85" s="11" t="s">
        <v>96</v>
      </c>
      <c r="J85" s="11" t="s">
        <v>80</v>
      </c>
      <c r="K85" s="12">
        <v>130</v>
      </c>
      <c r="L85" s="12">
        <v>0</v>
      </c>
      <c r="M85" s="12">
        <f t="shared" si="13"/>
        <v>130</v>
      </c>
      <c r="N85" s="12">
        <v>0</v>
      </c>
      <c r="O85" s="12">
        <f t="shared" si="14"/>
        <v>130</v>
      </c>
      <c r="P85" s="29">
        <v>17</v>
      </c>
    </row>
    <row r="86" spans="1:16" s="85" customFormat="1" ht="16.5" thickTop="1" thickBot="1" x14ac:dyDescent="0.3">
      <c r="A86" s="51"/>
      <c r="B86" s="25" t="s">
        <v>137</v>
      </c>
      <c r="C86" s="8" t="s">
        <v>61</v>
      </c>
      <c r="D86" s="7" t="s">
        <v>79</v>
      </c>
      <c r="E86" s="9" t="s">
        <v>68</v>
      </c>
      <c r="F86" s="10">
        <v>20</v>
      </c>
      <c r="G86" s="13" t="s">
        <v>39</v>
      </c>
      <c r="H86" s="7" t="s">
        <v>83</v>
      </c>
      <c r="I86" s="11" t="s">
        <v>96</v>
      </c>
      <c r="J86" s="11" t="s">
        <v>80</v>
      </c>
      <c r="K86" s="12">
        <v>130</v>
      </c>
      <c r="L86" s="12">
        <v>0</v>
      </c>
      <c r="M86" s="12">
        <f t="shared" si="13"/>
        <v>130</v>
      </c>
      <c r="N86" s="12">
        <v>0</v>
      </c>
      <c r="O86" s="12">
        <f t="shared" si="14"/>
        <v>130</v>
      </c>
      <c r="P86" s="29">
        <v>17</v>
      </c>
    </row>
    <row r="87" spans="1:16" s="85" customFormat="1" ht="16.5" hidden="1" thickTop="1" thickBot="1" x14ac:dyDescent="0.3">
      <c r="A87" s="74" t="s">
        <v>111</v>
      </c>
      <c r="B87" s="25" t="s">
        <v>137</v>
      </c>
      <c r="C87" s="8" t="s">
        <v>61</v>
      </c>
      <c r="D87" s="7" t="s">
        <v>79</v>
      </c>
      <c r="E87" s="9" t="s">
        <v>67</v>
      </c>
      <c r="F87" s="10">
        <v>20</v>
      </c>
      <c r="G87" s="13" t="s">
        <v>39</v>
      </c>
      <c r="H87" s="7" t="s">
        <v>83</v>
      </c>
      <c r="I87" s="11" t="s">
        <v>96</v>
      </c>
      <c r="J87" s="11" t="s">
        <v>80</v>
      </c>
      <c r="K87" s="12">
        <v>130</v>
      </c>
      <c r="L87" s="12">
        <v>0</v>
      </c>
      <c r="M87" s="12">
        <f t="shared" si="13"/>
        <v>130</v>
      </c>
      <c r="N87" s="12">
        <v>0</v>
      </c>
      <c r="O87" s="12">
        <f t="shared" si="14"/>
        <v>130</v>
      </c>
      <c r="P87" s="29">
        <v>17</v>
      </c>
    </row>
    <row r="88" spans="1:16" s="85" customFormat="1" ht="16.5" hidden="1" thickTop="1" thickBot="1" x14ac:dyDescent="0.3">
      <c r="A88" s="74" t="s">
        <v>111</v>
      </c>
      <c r="B88" s="25" t="s">
        <v>137</v>
      </c>
      <c r="C88" s="8" t="s">
        <v>61</v>
      </c>
      <c r="D88" s="7" t="s">
        <v>79</v>
      </c>
      <c r="E88" s="9" t="s">
        <v>66</v>
      </c>
      <c r="F88" s="10">
        <v>20</v>
      </c>
      <c r="G88" s="13" t="s">
        <v>39</v>
      </c>
      <c r="H88" s="7" t="s">
        <v>83</v>
      </c>
      <c r="I88" s="11" t="s">
        <v>96</v>
      </c>
      <c r="J88" s="11" t="s">
        <v>80</v>
      </c>
      <c r="K88" s="12">
        <v>130</v>
      </c>
      <c r="L88" s="12">
        <v>0</v>
      </c>
      <c r="M88" s="12">
        <f t="shared" si="13"/>
        <v>130</v>
      </c>
      <c r="N88" s="12">
        <v>0</v>
      </c>
      <c r="O88" s="12">
        <f t="shared" si="14"/>
        <v>130</v>
      </c>
      <c r="P88" s="29">
        <v>17</v>
      </c>
    </row>
    <row r="89" spans="1:16" s="85" customFormat="1" ht="16.5" hidden="1" thickTop="1" thickBot="1" x14ac:dyDescent="0.3">
      <c r="A89" s="74" t="s">
        <v>111</v>
      </c>
      <c r="B89" s="25" t="s">
        <v>11</v>
      </c>
      <c r="C89" s="8" t="s">
        <v>62</v>
      </c>
      <c r="D89" s="7" t="s">
        <v>79</v>
      </c>
      <c r="E89" s="9" t="s">
        <v>64</v>
      </c>
      <c r="F89" s="10">
        <v>16</v>
      </c>
      <c r="G89" s="11" t="s">
        <v>52</v>
      </c>
      <c r="H89" s="7" t="s">
        <v>84</v>
      </c>
      <c r="I89" s="11" t="s">
        <v>7</v>
      </c>
      <c r="J89" s="11" t="s">
        <v>103</v>
      </c>
      <c r="K89" s="12">
        <v>80218.94</v>
      </c>
      <c r="L89" s="12">
        <f>K89*60%</f>
        <v>48131.364000000001</v>
      </c>
      <c r="M89" s="70">
        <f>K89*40%</f>
        <v>32087.576000000001</v>
      </c>
      <c r="N89" s="12">
        <v>4620.6099999999997</v>
      </c>
      <c r="O89" s="12">
        <f>L89+M89-N89</f>
        <v>75598.33</v>
      </c>
      <c r="P89" s="29">
        <v>15</v>
      </c>
    </row>
    <row r="90" spans="1:16" s="85" customFormat="1" ht="16.5" hidden="1" thickTop="1" thickBot="1" x14ac:dyDescent="0.3">
      <c r="A90" s="74" t="s">
        <v>111</v>
      </c>
      <c r="B90" s="25" t="s">
        <v>137</v>
      </c>
      <c r="C90" s="8" t="s">
        <v>61</v>
      </c>
      <c r="D90" s="7" t="s">
        <v>79</v>
      </c>
      <c r="E90" s="9" t="s">
        <v>63</v>
      </c>
      <c r="F90" s="10">
        <v>20</v>
      </c>
      <c r="G90" s="13" t="s">
        <v>39</v>
      </c>
      <c r="H90" s="7" t="s">
        <v>83</v>
      </c>
      <c r="I90" s="11" t="s">
        <v>96</v>
      </c>
      <c r="J90" s="11" t="s">
        <v>80</v>
      </c>
      <c r="K90" s="12">
        <v>130</v>
      </c>
      <c r="L90" s="12">
        <v>0</v>
      </c>
      <c r="M90" s="12">
        <f>K90</f>
        <v>130</v>
      </c>
      <c r="N90" s="12">
        <v>0</v>
      </c>
      <c r="O90" s="12">
        <f>M90</f>
        <v>130</v>
      </c>
      <c r="P90" s="29">
        <v>17</v>
      </c>
    </row>
    <row r="91" spans="1:16" s="85" customFormat="1" ht="16.5" hidden="1" thickTop="1" thickBot="1" x14ac:dyDescent="0.3">
      <c r="A91" s="58" t="s">
        <v>111</v>
      </c>
      <c r="B91" s="25" t="s">
        <v>137</v>
      </c>
      <c r="C91" s="8" t="s">
        <v>61</v>
      </c>
      <c r="D91" s="7" t="s">
        <v>79</v>
      </c>
      <c r="E91" s="9" t="s">
        <v>154</v>
      </c>
      <c r="F91" s="10">
        <v>20</v>
      </c>
      <c r="G91" s="13" t="s">
        <v>39</v>
      </c>
      <c r="H91" s="7" t="s">
        <v>83</v>
      </c>
      <c r="I91" s="11" t="s">
        <v>96</v>
      </c>
      <c r="J91" s="11" t="s">
        <v>80</v>
      </c>
      <c r="K91" s="12">
        <v>130</v>
      </c>
      <c r="L91" s="12">
        <v>0</v>
      </c>
      <c r="M91" s="12">
        <f>K91</f>
        <v>130</v>
      </c>
      <c r="N91" s="12">
        <v>0</v>
      </c>
      <c r="O91" s="12">
        <f>M91</f>
        <v>130</v>
      </c>
      <c r="P91" s="29">
        <v>17</v>
      </c>
    </row>
    <row r="92" spans="1:16" s="85" customFormat="1" ht="16.5" hidden="1" thickTop="1" thickBot="1" x14ac:dyDescent="0.3">
      <c r="A92" s="58" t="s">
        <v>111</v>
      </c>
      <c r="B92" s="25" t="s">
        <v>137</v>
      </c>
      <c r="C92" s="8" t="s">
        <v>61</v>
      </c>
      <c r="D92" s="7" t="s">
        <v>79</v>
      </c>
      <c r="E92" s="9" t="s">
        <v>153</v>
      </c>
      <c r="F92" s="10">
        <v>20</v>
      </c>
      <c r="G92" s="13" t="s">
        <v>39</v>
      </c>
      <c r="H92" s="7" t="s">
        <v>83</v>
      </c>
      <c r="I92" s="11" t="s">
        <v>96</v>
      </c>
      <c r="J92" s="11" t="s">
        <v>80</v>
      </c>
      <c r="K92" s="12">
        <v>130</v>
      </c>
      <c r="L92" s="12">
        <v>0</v>
      </c>
      <c r="M92" s="12">
        <f>K92</f>
        <v>130</v>
      </c>
      <c r="N92" s="12">
        <v>0</v>
      </c>
      <c r="O92" s="12">
        <f>M92</f>
        <v>130</v>
      </c>
      <c r="P92" s="29">
        <v>17</v>
      </c>
    </row>
    <row r="93" spans="1:16" s="85" customFormat="1" ht="16.5" hidden="1" thickTop="1" thickBot="1" x14ac:dyDescent="0.3">
      <c r="A93" s="58" t="s">
        <v>111</v>
      </c>
      <c r="B93" s="25" t="s">
        <v>137</v>
      </c>
      <c r="C93" s="8" t="s">
        <v>61</v>
      </c>
      <c r="D93" s="7" t="s">
        <v>79</v>
      </c>
      <c r="E93" s="9" t="s">
        <v>140</v>
      </c>
      <c r="F93" s="10">
        <v>20</v>
      </c>
      <c r="G93" s="13" t="s">
        <v>39</v>
      </c>
      <c r="H93" s="7" t="s">
        <v>83</v>
      </c>
      <c r="I93" s="11" t="s">
        <v>96</v>
      </c>
      <c r="J93" s="11" t="s">
        <v>80</v>
      </c>
      <c r="K93" s="12">
        <v>130</v>
      </c>
      <c r="L93" s="12">
        <v>0</v>
      </c>
      <c r="M93" s="12">
        <f>K93</f>
        <v>130</v>
      </c>
      <c r="N93" s="12">
        <v>0</v>
      </c>
      <c r="O93" s="12">
        <f>M93</f>
        <v>130</v>
      </c>
      <c r="P93" s="29">
        <v>17</v>
      </c>
    </row>
    <row r="94" spans="1:16" s="85" customFormat="1" ht="16.5" hidden="1" thickTop="1" thickBot="1" x14ac:dyDescent="0.3">
      <c r="A94" s="58" t="s">
        <v>111</v>
      </c>
      <c r="B94" s="25" t="s">
        <v>22</v>
      </c>
      <c r="C94" s="8" t="s">
        <v>61</v>
      </c>
      <c r="D94" s="7" t="s">
        <v>79</v>
      </c>
      <c r="E94" s="9" t="s">
        <v>140</v>
      </c>
      <c r="F94" s="10">
        <v>20</v>
      </c>
      <c r="G94" s="13" t="s">
        <v>39</v>
      </c>
      <c r="H94" s="7" t="s">
        <v>83</v>
      </c>
      <c r="I94" s="11" t="s">
        <v>7</v>
      </c>
      <c r="J94" s="11" t="s">
        <v>80</v>
      </c>
      <c r="K94" s="12">
        <v>20673.5597797423</v>
      </c>
      <c r="L94" s="12">
        <f>K94*60%</f>
        <v>12404.13586784538</v>
      </c>
      <c r="M94" s="12">
        <f>K94*40%</f>
        <v>8269.4239118969199</v>
      </c>
      <c r="N94" s="12">
        <v>0</v>
      </c>
      <c r="O94" s="12">
        <f>L94+M94-N94</f>
        <v>20673.5597797423</v>
      </c>
      <c r="P94" s="29">
        <v>17</v>
      </c>
    </row>
    <row r="95" spans="1:16" s="85" customFormat="1" ht="16.5" hidden="1" thickTop="1" thickBot="1" x14ac:dyDescent="0.3">
      <c r="A95" s="58" t="s">
        <v>111</v>
      </c>
      <c r="B95" s="25" t="s">
        <v>11</v>
      </c>
      <c r="C95" s="8" t="s">
        <v>61</v>
      </c>
      <c r="D95" s="7" t="s">
        <v>79</v>
      </c>
      <c r="E95" s="9" t="s">
        <v>153</v>
      </c>
      <c r="F95" s="10">
        <v>20</v>
      </c>
      <c r="G95" s="13" t="s">
        <v>40</v>
      </c>
      <c r="H95" s="7" t="s">
        <v>83</v>
      </c>
      <c r="I95" s="14" t="s">
        <v>30</v>
      </c>
      <c r="J95" s="14" t="s">
        <v>107</v>
      </c>
      <c r="K95" s="12">
        <v>230</v>
      </c>
      <c r="L95" s="12">
        <f>K95</f>
        <v>230</v>
      </c>
      <c r="M95" s="12">
        <v>0</v>
      </c>
      <c r="N95" s="12">
        <v>10</v>
      </c>
      <c r="O95" s="12">
        <v>190</v>
      </c>
      <c r="P95" s="29">
        <v>10</v>
      </c>
    </row>
    <row r="96" spans="1:16" s="85" customFormat="1" ht="16.5" hidden="1" thickTop="1" thickBot="1" x14ac:dyDescent="0.3">
      <c r="A96" s="58" t="s">
        <v>111</v>
      </c>
      <c r="B96" s="25" t="s">
        <v>11</v>
      </c>
      <c r="C96" s="8" t="s">
        <v>61</v>
      </c>
      <c r="D96" s="7" t="s">
        <v>79</v>
      </c>
      <c r="E96" s="9" t="s">
        <v>153</v>
      </c>
      <c r="F96" s="10">
        <v>20</v>
      </c>
      <c r="G96" s="13" t="s">
        <v>41</v>
      </c>
      <c r="H96" s="7" t="s">
        <v>83</v>
      </c>
      <c r="I96" s="14" t="s">
        <v>30</v>
      </c>
      <c r="J96" s="11" t="s">
        <v>80</v>
      </c>
      <c r="K96" s="12">
        <v>630</v>
      </c>
      <c r="L96" s="12">
        <f>K96</f>
        <v>630</v>
      </c>
      <c r="M96" s="12">
        <v>0</v>
      </c>
      <c r="N96" s="12">
        <v>30</v>
      </c>
      <c r="O96" s="12">
        <v>570</v>
      </c>
      <c r="P96" s="29">
        <v>25</v>
      </c>
    </row>
    <row r="97" spans="1:16" s="85" customFormat="1" ht="16.5" hidden="1" thickTop="1" thickBot="1" x14ac:dyDescent="0.3">
      <c r="A97" s="58" t="s">
        <v>111</v>
      </c>
      <c r="B97" s="25" t="s">
        <v>22</v>
      </c>
      <c r="C97" s="8" t="s">
        <v>61</v>
      </c>
      <c r="D97" s="7" t="s">
        <v>79</v>
      </c>
      <c r="E97" s="9" t="s">
        <v>140</v>
      </c>
      <c r="F97" s="10">
        <v>20</v>
      </c>
      <c r="G97" s="13" t="s">
        <v>92</v>
      </c>
      <c r="H97" s="7" t="s">
        <v>83</v>
      </c>
      <c r="I97" s="11" t="s">
        <v>9</v>
      </c>
      <c r="J97" s="11" t="s">
        <v>80</v>
      </c>
      <c r="K97" s="12">
        <v>5071.55</v>
      </c>
      <c r="L97" s="12">
        <f>K97</f>
        <v>5071.55</v>
      </c>
      <c r="M97" s="12">
        <v>0</v>
      </c>
      <c r="N97" s="12">
        <v>0</v>
      </c>
      <c r="O97" s="12">
        <f>L97+M97-N97</f>
        <v>5071.55</v>
      </c>
      <c r="P97" s="29">
        <v>15</v>
      </c>
    </row>
    <row r="98" spans="1:16" s="85" customFormat="1" ht="16.5" hidden="1" thickTop="1" thickBot="1" x14ac:dyDescent="0.3">
      <c r="A98" s="58" t="s">
        <v>111</v>
      </c>
      <c r="B98" s="25" t="s">
        <v>11</v>
      </c>
      <c r="C98" s="8" t="s">
        <v>61</v>
      </c>
      <c r="D98" s="7" t="s">
        <v>79</v>
      </c>
      <c r="E98" s="9" t="s">
        <v>153</v>
      </c>
      <c r="F98" s="10">
        <v>20</v>
      </c>
      <c r="G98" s="13" t="s">
        <v>43</v>
      </c>
      <c r="H98" s="7" t="s">
        <v>83</v>
      </c>
      <c r="I98" s="14" t="s">
        <v>30</v>
      </c>
      <c r="J98" s="14" t="s">
        <v>106</v>
      </c>
      <c r="K98" s="12">
        <v>230</v>
      </c>
      <c r="L98" s="12">
        <f>K98</f>
        <v>230</v>
      </c>
      <c r="M98" s="12">
        <v>0</v>
      </c>
      <c r="N98" s="12">
        <v>10</v>
      </c>
      <c r="O98" s="12">
        <v>190</v>
      </c>
      <c r="P98" s="29">
        <v>15</v>
      </c>
    </row>
    <row r="99" spans="1:16" s="85" customFormat="1" ht="16.5" hidden="1" thickTop="1" thickBot="1" x14ac:dyDescent="0.3">
      <c r="A99" s="58" t="s">
        <v>111</v>
      </c>
      <c r="B99" s="25" t="s">
        <v>11</v>
      </c>
      <c r="C99" s="8" t="s">
        <v>61</v>
      </c>
      <c r="D99" s="7" t="s">
        <v>79</v>
      </c>
      <c r="E99" s="9" t="s">
        <v>153</v>
      </c>
      <c r="F99" s="10">
        <v>20</v>
      </c>
      <c r="G99" s="73" t="s">
        <v>44</v>
      </c>
      <c r="H99" s="15" t="s">
        <v>85</v>
      </c>
      <c r="I99" s="14" t="s">
        <v>30</v>
      </c>
      <c r="J99" s="11" t="s">
        <v>80</v>
      </c>
      <c r="K99" s="12">
        <v>230</v>
      </c>
      <c r="L99" s="12">
        <f>K99</f>
        <v>230</v>
      </c>
      <c r="M99" s="12">
        <v>0</v>
      </c>
      <c r="N99" s="12">
        <v>10</v>
      </c>
      <c r="O99" s="12">
        <v>190</v>
      </c>
      <c r="P99" s="29">
        <v>16</v>
      </c>
    </row>
    <row r="100" spans="1:16" s="85" customFormat="1" ht="16.5" hidden="1" thickTop="1" thickBot="1" x14ac:dyDescent="0.3">
      <c r="A100" s="58" t="s">
        <v>111</v>
      </c>
      <c r="B100" s="25" t="s">
        <v>5</v>
      </c>
      <c r="C100" s="8" t="s">
        <v>61</v>
      </c>
      <c r="D100" s="7" t="s">
        <v>79</v>
      </c>
      <c r="E100" s="9" t="s">
        <v>140</v>
      </c>
      <c r="F100" s="10">
        <v>1</v>
      </c>
      <c r="G100" s="11" t="s">
        <v>45</v>
      </c>
      <c r="H100" s="7" t="s">
        <v>91</v>
      </c>
      <c r="I100" s="11" t="s">
        <v>20</v>
      </c>
      <c r="J100" s="11" t="s">
        <v>105</v>
      </c>
      <c r="K100" s="16">
        <v>40617.404573265005</v>
      </c>
      <c r="L100" s="12">
        <f t="shared" ref="L100:L113" si="15">K100*60%</f>
        <v>24370.442743959004</v>
      </c>
      <c r="M100" s="12">
        <f t="shared" ref="M100:M113" si="16">K100*40%</f>
        <v>16246.961829306003</v>
      </c>
      <c r="N100" s="12">
        <v>1837.8916096500002</v>
      </c>
      <c r="O100" s="12">
        <f>L100+M100-N100</f>
        <v>38779.512963615001</v>
      </c>
      <c r="P100" s="29">
        <v>30</v>
      </c>
    </row>
    <row r="101" spans="1:16" s="85" customFormat="1" ht="16.5" hidden="1" thickTop="1" thickBot="1" x14ac:dyDescent="0.3">
      <c r="A101" s="58" t="s">
        <v>111</v>
      </c>
      <c r="B101" s="25" t="s">
        <v>22</v>
      </c>
      <c r="C101" s="8" t="s">
        <v>61</v>
      </c>
      <c r="D101" s="7" t="s">
        <v>79</v>
      </c>
      <c r="E101" s="9" t="s">
        <v>140</v>
      </c>
      <c r="F101" s="10">
        <v>1</v>
      </c>
      <c r="G101" s="11" t="s">
        <v>132</v>
      </c>
      <c r="H101" s="7" t="s">
        <v>88</v>
      </c>
      <c r="I101" s="11" t="s">
        <v>9</v>
      </c>
      <c r="J101" s="11" t="s">
        <v>105</v>
      </c>
      <c r="K101" s="12">
        <v>33386.834650000004</v>
      </c>
      <c r="L101" s="12">
        <f t="shared" si="15"/>
        <v>20032.10079</v>
      </c>
      <c r="M101" s="12">
        <f t="shared" si="16"/>
        <v>13354.733860000002</v>
      </c>
      <c r="N101" s="12">
        <v>0</v>
      </c>
      <c r="O101" s="12">
        <f>L101+M101</f>
        <v>33386.834650000004</v>
      </c>
      <c r="P101" s="29">
        <v>30</v>
      </c>
    </row>
    <row r="102" spans="1:16" s="85" customFormat="1" ht="16.5" hidden="1" thickTop="1" thickBot="1" x14ac:dyDescent="0.3">
      <c r="A102" s="58" t="s">
        <v>111</v>
      </c>
      <c r="B102" s="25" t="s">
        <v>22</v>
      </c>
      <c r="C102" s="8" t="s">
        <v>61</v>
      </c>
      <c r="D102" s="7" t="s">
        <v>79</v>
      </c>
      <c r="E102" s="9" t="s">
        <v>140</v>
      </c>
      <c r="F102" s="10">
        <v>1</v>
      </c>
      <c r="G102" s="11" t="s">
        <v>129</v>
      </c>
      <c r="H102" s="7" t="s">
        <v>85</v>
      </c>
      <c r="I102" s="11" t="s">
        <v>9</v>
      </c>
      <c r="J102" s="11" t="s">
        <v>105</v>
      </c>
      <c r="K102" s="12">
        <v>28617.27895</v>
      </c>
      <c r="L102" s="12">
        <f t="shared" si="15"/>
        <v>17170.36737</v>
      </c>
      <c r="M102" s="12">
        <f t="shared" si="16"/>
        <v>11446.91158</v>
      </c>
      <c r="N102" s="12">
        <v>0</v>
      </c>
      <c r="O102" s="12">
        <f>L102+M102</f>
        <v>28617.27895</v>
      </c>
      <c r="P102" s="29">
        <v>30</v>
      </c>
    </row>
    <row r="103" spans="1:16" s="85" customFormat="1" ht="16.5" hidden="1" thickTop="1" thickBot="1" x14ac:dyDescent="0.3">
      <c r="A103" s="58" t="s">
        <v>111</v>
      </c>
      <c r="B103" s="25" t="s">
        <v>5</v>
      </c>
      <c r="C103" s="8" t="s">
        <v>61</v>
      </c>
      <c r="D103" s="7" t="s">
        <v>79</v>
      </c>
      <c r="E103" s="9" t="s">
        <v>140</v>
      </c>
      <c r="F103" s="10">
        <v>1</v>
      </c>
      <c r="G103" s="11" t="s">
        <v>45</v>
      </c>
      <c r="H103" s="7" t="s">
        <v>91</v>
      </c>
      <c r="I103" s="11" t="s">
        <v>9</v>
      </c>
      <c r="J103" s="11" t="s">
        <v>105</v>
      </c>
      <c r="K103" s="16">
        <v>28617.282177705001</v>
      </c>
      <c r="L103" s="12">
        <f t="shared" si="15"/>
        <v>17170.369306623001</v>
      </c>
      <c r="M103" s="12">
        <f t="shared" si="16"/>
        <v>11446.912871082</v>
      </c>
      <c r="N103" s="12">
        <v>1294.8996460500002</v>
      </c>
      <c r="O103" s="12">
        <f t="shared" ref="O103:O134" si="17">L103+M103-N103</f>
        <v>27322.382531654999</v>
      </c>
      <c r="P103" s="29">
        <v>30</v>
      </c>
    </row>
    <row r="104" spans="1:16" s="85" customFormat="1" ht="16.5" hidden="1" thickTop="1" thickBot="1" x14ac:dyDescent="0.3">
      <c r="A104" s="58" t="s">
        <v>111</v>
      </c>
      <c r="B104" s="25" t="s">
        <v>22</v>
      </c>
      <c r="C104" s="8" t="s">
        <v>61</v>
      </c>
      <c r="D104" s="7" t="s">
        <v>79</v>
      </c>
      <c r="E104" s="9" t="s">
        <v>140</v>
      </c>
      <c r="F104" s="10">
        <v>1</v>
      </c>
      <c r="G104" s="11" t="s">
        <v>46</v>
      </c>
      <c r="H104" s="7" t="s">
        <v>85</v>
      </c>
      <c r="I104" s="11" t="s">
        <v>20</v>
      </c>
      <c r="J104" s="11" t="s">
        <v>105</v>
      </c>
      <c r="K104" s="16">
        <v>58492.355406029994</v>
      </c>
      <c r="L104" s="12">
        <f t="shared" si="15"/>
        <v>35095.413243617993</v>
      </c>
      <c r="M104" s="12">
        <f t="shared" si="16"/>
        <v>23396.942162412</v>
      </c>
      <c r="N104" s="12">
        <v>0</v>
      </c>
      <c r="O104" s="12">
        <f t="shared" si="17"/>
        <v>58492.355406029994</v>
      </c>
      <c r="P104" s="29">
        <v>30</v>
      </c>
    </row>
    <row r="105" spans="1:16" s="85" customFormat="1" ht="16.5" hidden="1" thickTop="1" thickBot="1" x14ac:dyDescent="0.3">
      <c r="A105" s="58" t="s">
        <v>111</v>
      </c>
      <c r="B105" s="25" t="s">
        <v>22</v>
      </c>
      <c r="C105" s="8" t="s">
        <v>61</v>
      </c>
      <c r="D105" s="7" t="s">
        <v>79</v>
      </c>
      <c r="E105" s="9" t="s">
        <v>140</v>
      </c>
      <c r="F105" s="10">
        <v>1</v>
      </c>
      <c r="G105" s="11" t="s">
        <v>46</v>
      </c>
      <c r="H105" s="7" t="s">
        <v>85</v>
      </c>
      <c r="I105" s="11" t="s">
        <v>98</v>
      </c>
      <c r="J105" s="11" t="s">
        <v>105</v>
      </c>
      <c r="K105" s="12">
        <v>3457.8765000000003</v>
      </c>
      <c r="L105" s="12">
        <f t="shared" si="15"/>
        <v>2074.7258999999999</v>
      </c>
      <c r="M105" s="12">
        <f t="shared" si="16"/>
        <v>1383.1506000000002</v>
      </c>
      <c r="N105" s="12">
        <v>0</v>
      </c>
      <c r="O105" s="12">
        <f t="shared" si="17"/>
        <v>3457.8765000000003</v>
      </c>
      <c r="P105" s="29">
        <v>30</v>
      </c>
    </row>
    <row r="106" spans="1:16" s="85" customFormat="1" ht="16.5" hidden="1" thickTop="1" thickBot="1" x14ac:dyDescent="0.3">
      <c r="A106" s="58" t="s">
        <v>111</v>
      </c>
      <c r="B106" s="25" t="s">
        <v>22</v>
      </c>
      <c r="C106" s="8" t="s">
        <v>61</v>
      </c>
      <c r="D106" s="7" t="s">
        <v>79</v>
      </c>
      <c r="E106" s="9" t="s">
        <v>140</v>
      </c>
      <c r="F106" s="10">
        <v>1</v>
      </c>
      <c r="G106" s="11" t="s">
        <v>46</v>
      </c>
      <c r="H106" s="7" t="s">
        <v>85</v>
      </c>
      <c r="I106" s="11" t="s">
        <v>9</v>
      </c>
      <c r="J106" s="11" t="s">
        <v>105</v>
      </c>
      <c r="K106" s="12">
        <v>42925.929029685009</v>
      </c>
      <c r="L106" s="12">
        <f t="shared" si="15"/>
        <v>25755.557417811004</v>
      </c>
      <c r="M106" s="12">
        <f t="shared" si="16"/>
        <v>17170.371611874005</v>
      </c>
      <c r="N106" s="12">
        <v>0</v>
      </c>
      <c r="O106" s="12">
        <f t="shared" si="17"/>
        <v>42925.929029685009</v>
      </c>
      <c r="P106" s="29">
        <v>30</v>
      </c>
    </row>
    <row r="107" spans="1:16" s="85" customFormat="1" ht="16.5" hidden="1" thickTop="1" thickBot="1" x14ac:dyDescent="0.3">
      <c r="A107" s="58" t="s">
        <v>111</v>
      </c>
      <c r="B107" s="25" t="s">
        <v>22</v>
      </c>
      <c r="C107" s="8" t="s">
        <v>61</v>
      </c>
      <c r="D107" s="7" t="s">
        <v>79</v>
      </c>
      <c r="E107" s="9" t="s">
        <v>140</v>
      </c>
      <c r="F107" s="10">
        <v>1</v>
      </c>
      <c r="G107" s="11" t="s">
        <v>46</v>
      </c>
      <c r="H107" s="7" t="s">
        <v>85</v>
      </c>
      <c r="I107" s="11" t="s">
        <v>97</v>
      </c>
      <c r="J107" s="11" t="s">
        <v>105</v>
      </c>
      <c r="K107" s="12">
        <v>7072</v>
      </c>
      <c r="L107" s="12">
        <f t="shared" si="15"/>
        <v>4243.2</v>
      </c>
      <c r="M107" s="12">
        <f t="shared" si="16"/>
        <v>2828.8</v>
      </c>
      <c r="N107" s="12">
        <v>0</v>
      </c>
      <c r="O107" s="12">
        <f t="shared" si="17"/>
        <v>7072</v>
      </c>
      <c r="P107" s="29">
        <v>30</v>
      </c>
    </row>
    <row r="108" spans="1:16" s="85" customFormat="1" ht="16.5" hidden="1" thickTop="1" thickBot="1" x14ac:dyDescent="0.3">
      <c r="A108" s="58" t="s">
        <v>111</v>
      </c>
      <c r="B108" s="25" t="s">
        <v>22</v>
      </c>
      <c r="C108" s="8" t="s">
        <v>61</v>
      </c>
      <c r="D108" s="7" t="s">
        <v>79</v>
      </c>
      <c r="E108" s="9" t="s">
        <v>140</v>
      </c>
      <c r="F108" s="10">
        <v>1</v>
      </c>
      <c r="G108" s="11" t="s">
        <v>47</v>
      </c>
      <c r="H108" s="7" t="s">
        <v>85</v>
      </c>
      <c r="I108" s="11" t="s">
        <v>9</v>
      </c>
      <c r="J108" s="11" t="s">
        <v>105</v>
      </c>
      <c r="K108" s="12">
        <v>33354.561456449999</v>
      </c>
      <c r="L108" s="12">
        <f t="shared" si="15"/>
        <v>20012.736873869999</v>
      </c>
      <c r="M108" s="12">
        <f t="shared" si="16"/>
        <v>13341.82458258</v>
      </c>
      <c r="N108" s="12">
        <v>0</v>
      </c>
      <c r="O108" s="12">
        <f t="shared" si="17"/>
        <v>33354.561456449999</v>
      </c>
      <c r="P108" s="29">
        <v>30</v>
      </c>
    </row>
    <row r="109" spans="1:16" s="85" customFormat="1" ht="16.5" hidden="1" thickTop="1" thickBot="1" x14ac:dyDescent="0.3">
      <c r="A109" s="58" t="s">
        <v>111</v>
      </c>
      <c r="B109" s="25" t="s">
        <v>22</v>
      </c>
      <c r="C109" s="8" t="s">
        <v>61</v>
      </c>
      <c r="D109" s="7" t="s">
        <v>79</v>
      </c>
      <c r="E109" s="9" t="s">
        <v>140</v>
      </c>
      <c r="F109" s="10">
        <v>1</v>
      </c>
      <c r="G109" s="11" t="s">
        <v>48</v>
      </c>
      <c r="H109" s="7" t="s">
        <v>85</v>
      </c>
      <c r="I109" s="11" t="s">
        <v>9</v>
      </c>
      <c r="J109" s="11" t="s">
        <v>105</v>
      </c>
      <c r="K109" s="12">
        <v>23880.014425214998</v>
      </c>
      <c r="L109" s="12">
        <f t="shared" si="15"/>
        <v>14328.008655128999</v>
      </c>
      <c r="M109" s="12">
        <f t="shared" si="16"/>
        <v>9552.0057700859998</v>
      </c>
      <c r="N109" s="12">
        <v>0</v>
      </c>
      <c r="O109" s="12">
        <f t="shared" si="17"/>
        <v>23880.014425214998</v>
      </c>
      <c r="P109" s="29">
        <v>30</v>
      </c>
    </row>
    <row r="110" spans="1:16" s="85" customFormat="1" ht="16.5" hidden="1" thickTop="1" thickBot="1" x14ac:dyDescent="0.3">
      <c r="A110" s="58" t="s">
        <v>111</v>
      </c>
      <c r="B110" s="25" t="s">
        <v>22</v>
      </c>
      <c r="C110" s="8" t="s">
        <v>62</v>
      </c>
      <c r="D110" s="7" t="s">
        <v>79</v>
      </c>
      <c r="E110" s="9" t="s">
        <v>140</v>
      </c>
      <c r="F110" s="10">
        <v>10</v>
      </c>
      <c r="G110" s="13" t="s">
        <v>49</v>
      </c>
      <c r="H110" s="7" t="s">
        <v>85</v>
      </c>
      <c r="I110" s="11" t="s">
        <v>9</v>
      </c>
      <c r="J110" s="11" t="s">
        <v>105</v>
      </c>
      <c r="K110" s="12">
        <v>19227</v>
      </c>
      <c r="L110" s="12">
        <f t="shared" si="15"/>
        <v>11536.199999999999</v>
      </c>
      <c r="M110" s="12">
        <f t="shared" si="16"/>
        <v>7690.8</v>
      </c>
      <c r="N110" s="12">
        <v>0</v>
      </c>
      <c r="O110" s="12">
        <f t="shared" si="17"/>
        <v>19227</v>
      </c>
      <c r="P110" s="29">
        <v>10</v>
      </c>
    </row>
    <row r="111" spans="1:16" s="85" customFormat="1" ht="16.5" hidden="1" thickTop="1" thickBot="1" x14ac:dyDescent="0.3">
      <c r="A111" s="58" t="s">
        <v>111</v>
      </c>
      <c r="B111" s="25" t="s">
        <v>22</v>
      </c>
      <c r="C111" s="8" t="s">
        <v>62</v>
      </c>
      <c r="D111" s="7" t="s">
        <v>79</v>
      </c>
      <c r="E111" s="9" t="s">
        <v>140</v>
      </c>
      <c r="F111" s="10">
        <v>10</v>
      </c>
      <c r="G111" s="13" t="s">
        <v>49</v>
      </c>
      <c r="H111" s="7" t="s">
        <v>85</v>
      </c>
      <c r="I111" s="11" t="s">
        <v>98</v>
      </c>
      <c r="J111" s="11" t="s">
        <v>105</v>
      </c>
      <c r="K111" s="12">
        <v>5336.6560650000001</v>
      </c>
      <c r="L111" s="12">
        <f t="shared" si="15"/>
        <v>3201.9936389999998</v>
      </c>
      <c r="M111" s="12">
        <f t="shared" si="16"/>
        <v>2134.6624260000003</v>
      </c>
      <c r="N111" s="12">
        <v>0</v>
      </c>
      <c r="O111" s="12">
        <f t="shared" si="17"/>
        <v>5336.6560650000001</v>
      </c>
      <c r="P111" s="29">
        <v>10</v>
      </c>
    </row>
    <row r="112" spans="1:16" s="85" customFormat="1" ht="16.5" hidden="1" thickTop="1" thickBot="1" x14ac:dyDescent="0.3">
      <c r="A112" s="58" t="s">
        <v>111</v>
      </c>
      <c r="B112" s="25" t="s">
        <v>22</v>
      </c>
      <c r="C112" s="8" t="s">
        <v>62</v>
      </c>
      <c r="D112" s="7" t="s">
        <v>79</v>
      </c>
      <c r="E112" s="9" t="s">
        <v>140</v>
      </c>
      <c r="F112" s="10">
        <v>10</v>
      </c>
      <c r="G112" s="13" t="s">
        <v>50</v>
      </c>
      <c r="H112" s="7" t="s">
        <v>85</v>
      </c>
      <c r="I112" s="11" t="s">
        <v>9</v>
      </c>
      <c r="J112" s="11" t="s">
        <v>105</v>
      </c>
      <c r="K112" s="12">
        <v>19227</v>
      </c>
      <c r="L112" s="12">
        <f t="shared" si="15"/>
        <v>11536.199999999999</v>
      </c>
      <c r="M112" s="12">
        <f t="shared" si="16"/>
        <v>7690.8</v>
      </c>
      <c r="N112" s="12">
        <v>0</v>
      </c>
      <c r="O112" s="12">
        <f t="shared" si="17"/>
        <v>19227</v>
      </c>
      <c r="P112" s="29">
        <v>10</v>
      </c>
    </row>
    <row r="113" spans="1:17" s="85" customFormat="1" ht="16.5" hidden="1" thickTop="1" thickBot="1" x14ac:dyDescent="0.3">
      <c r="A113" s="58" t="s">
        <v>111</v>
      </c>
      <c r="B113" s="25" t="s">
        <v>22</v>
      </c>
      <c r="C113" s="8" t="s">
        <v>62</v>
      </c>
      <c r="D113" s="7" t="s">
        <v>79</v>
      </c>
      <c r="E113" s="9" t="s">
        <v>140</v>
      </c>
      <c r="F113" s="10">
        <v>10</v>
      </c>
      <c r="G113" s="13" t="s">
        <v>50</v>
      </c>
      <c r="H113" s="7" t="s">
        <v>85</v>
      </c>
      <c r="I113" s="11" t="s">
        <v>98</v>
      </c>
      <c r="J113" s="11" t="s">
        <v>105</v>
      </c>
      <c r="K113" s="12">
        <v>5336.6560650000001</v>
      </c>
      <c r="L113" s="12">
        <f t="shared" si="15"/>
        <v>3201.9936389999998</v>
      </c>
      <c r="M113" s="12">
        <f t="shared" si="16"/>
        <v>2134.6624260000003</v>
      </c>
      <c r="N113" s="12">
        <v>0</v>
      </c>
      <c r="O113" s="12">
        <f t="shared" si="17"/>
        <v>5336.6560650000001</v>
      </c>
      <c r="P113" s="29">
        <v>10</v>
      </c>
    </row>
    <row r="114" spans="1:17" s="85" customFormat="1" ht="16.5" hidden="1" thickTop="1" thickBot="1" x14ac:dyDescent="0.3">
      <c r="A114" s="58" t="s">
        <v>111</v>
      </c>
      <c r="B114" s="25" t="s">
        <v>11</v>
      </c>
      <c r="C114" s="8" t="s">
        <v>62</v>
      </c>
      <c r="D114" s="7" t="s">
        <v>79</v>
      </c>
      <c r="E114" s="9" t="s">
        <v>140</v>
      </c>
      <c r="F114" s="10">
        <v>16</v>
      </c>
      <c r="G114" s="13" t="s">
        <v>51</v>
      </c>
      <c r="H114" s="7" t="s">
        <v>83</v>
      </c>
      <c r="I114" s="11" t="s">
        <v>7</v>
      </c>
      <c r="J114" s="11" t="s">
        <v>80</v>
      </c>
      <c r="K114" s="12">
        <v>21132.94766324625</v>
      </c>
      <c r="L114" s="12">
        <f>K114</f>
        <v>21132.94766324625</v>
      </c>
      <c r="M114" s="12">
        <v>0</v>
      </c>
      <c r="N114" s="12">
        <f>L114*16%</f>
        <v>3381.2716261194</v>
      </c>
      <c r="O114" s="12">
        <f t="shared" si="17"/>
        <v>17751.67603712685</v>
      </c>
      <c r="P114" s="29">
        <v>28</v>
      </c>
      <c r="Q114" s="85" t="s">
        <v>127</v>
      </c>
    </row>
    <row r="115" spans="1:17" s="85" customFormat="1" ht="16.5" hidden="1" thickTop="1" thickBot="1" x14ac:dyDescent="0.3">
      <c r="A115" s="58" t="s">
        <v>111</v>
      </c>
      <c r="B115" s="25" t="s">
        <v>11</v>
      </c>
      <c r="C115" s="8" t="s">
        <v>62</v>
      </c>
      <c r="D115" s="7" t="s">
        <v>79</v>
      </c>
      <c r="E115" s="9" t="s">
        <v>140</v>
      </c>
      <c r="F115" s="10">
        <v>16</v>
      </c>
      <c r="G115" s="11" t="s">
        <v>52</v>
      </c>
      <c r="H115" s="7" t="s">
        <v>84</v>
      </c>
      <c r="I115" s="11" t="s">
        <v>7</v>
      </c>
      <c r="J115" s="11" t="s">
        <v>103</v>
      </c>
      <c r="K115" s="12">
        <v>80218.94</v>
      </c>
      <c r="L115" s="12">
        <f>K115*60%</f>
        <v>48131.364000000001</v>
      </c>
      <c r="M115" s="12">
        <f>K115*40%</f>
        <v>32087.576000000001</v>
      </c>
      <c r="N115" s="12">
        <v>4620.6099999999997</v>
      </c>
      <c r="O115" s="12">
        <f t="shared" si="17"/>
        <v>75598.33</v>
      </c>
      <c r="P115" s="29">
        <v>15</v>
      </c>
      <c r="Q115" s="85" t="s">
        <v>127</v>
      </c>
    </row>
    <row r="116" spans="1:17" s="85" customFormat="1" ht="16.5" hidden="1" thickTop="1" thickBot="1" x14ac:dyDescent="0.3">
      <c r="A116" s="58" t="s">
        <v>111</v>
      </c>
      <c r="B116" s="25" t="s">
        <v>5</v>
      </c>
      <c r="C116" s="8" t="s">
        <v>62</v>
      </c>
      <c r="D116" s="7" t="s">
        <v>79</v>
      </c>
      <c r="E116" s="9" t="s">
        <v>140</v>
      </c>
      <c r="F116" s="10">
        <v>16</v>
      </c>
      <c r="G116" s="11" t="s">
        <v>53</v>
      </c>
      <c r="H116" s="7" t="s">
        <v>85</v>
      </c>
      <c r="I116" s="11" t="s">
        <v>7</v>
      </c>
      <c r="J116" s="11" t="s">
        <v>103</v>
      </c>
      <c r="K116" s="12">
        <v>19238.4722205</v>
      </c>
      <c r="L116" s="12">
        <f>K116</f>
        <v>19238.4722205</v>
      </c>
      <c r="M116" s="12">
        <v>0</v>
      </c>
      <c r="N116" s="12">
        <v>870.51910499999997</v>
      </c>
      <c r="O116" s="12">
        <f t="shared" si="17"/>
        <v>18367.9531155</v>
      </c>
      <c r="P116" s="29">
        <v>15</v>
      </c>
      <c r="Q116" s="85" t="s">
        <v>127</v>
      </c>
    </row>
    <row r="117" spans="1:17" s="85" customFormat="1" ht="16.5" hidden="1" thickTop="1" thickBot="1" x14ac:dyDescent="0.3">
      <c r="A117" s="58" t="s">
        <v>111</v>
      </c>
      <c r="B117" s="25" t="s">
        <v>5</v>
      </c>
      <c r="C117" s="8" t="s">
        <v>62</v>
      </c>
      <c r="D117" s="7" t="s">
        <v>79</v>
      </c>
      <c r="E117" s="9" t="s">
        <v>140</v>
      </c>
      <c r="F117" s="10">
        <v>16</v>
      </c>
      <c r="G117" s="11" t="s">
        <v>53</v>
      </c>
      <c r="H117" s="7" t="s">
        <v>85</v>
      </c>
      <c r="I117" s="11" t="s">
        <v>15</v>
      </c>
      <c r="J117" s="11" t="s">
        <v>103</v>
      </c>
      <c r="K117" s="12">
        <v>4982.8000364999998</v>
      </c>
      <c r="L117" s="12">
        <f>K117</f>
        <v>4982.8000364999998</v>
      </c>
      <c r="M117" s="12">
        <v>0</v>
      </c>
      <c r="N117" s="12">
        <v>225.46606499999999</v>
      </c>
      <c r="O117" s="12">
        <f t="shared" si="17"/>
        <v>4757.3339715000002</v>
      </c>
      <c r="P117" s="29">
        <v>15</v>
      </c>
      <c r="Q117" s="85" t="s">
        <v>127</v>
      </c>
    </row>
    <row r="118" spans="1:17" s="85" customFormat="1" ht="16.5" hidden="1" thickTop="1" thickBot="1" x14ac:dyDescent="0.3">
      <c r="A118" s="58" t="s">
        <v>111</v>
      </c>
      <c r="B118" s="25" t="s">
        <v>5</v>
      </c>
      <c r="C118" s="8" t="s">
        <v>62</v>
      </c>
      <c r="D118" s="7" t="s">
        <v>79</v>
      </c>
      <c r="E118" s="9" t="s">
        <v>140</v>
      </c>
      <c r="F118" s="10">
        <v>16</v>
      </c>
      <c r="G118" s="11" t="s">
        <v>53</v>
      </c>
      <c r="H118" s="7" t="s">
        <v>85</v>
      </c>
      <c r="I118" s="11" t="s">
        <v>9</v>
      </c>
      <c r="J118" s="11" t="s">
        <v>103</v>
      </c>
      <c r="K118" s="12">
        <v>8036.1049860000003</v>
      </c>
      <c r="L118" s="12">
        <f>K118</f>
        <v>8036.1049860000003</v>
      </c>
      <c r="M118" s="12">
        <v>0</v>
      </c>
      <c r="N118" s="12">
        <v>363.62466000000001</v>
      </c>
      <c r="O118" s="12">
        <f t="shared" si="17"/>
        <v>7672.4803259999999</v>
      </c>
      <c r="P118" s="29">
        <v>15</v>
      </c>
      <c r="Q118" s="85" t="s">
        <v>127</v>
      </c>
    </row>
    <row r="119" spans="1:17" s="85" customFormat="1" ht="16.5" hidden="1" thickTop="1" thickBot="1" x14ac:dyDescent="0.3">
      <c r="A119" s="58" t="s">
        <v>111</v>
      </c>
      <c r="B119" s="25" t="s">
        <v>22</v>
      </c>
      <c r="C119" s="8" t="s">
        <v>62</v>
      </c>
      <c r="D119" s="7" t="s">
        <v>79</v>
      </c>
      <c r="E119" s="9" t="s">
        <v>140</v>
      </c>
      <c r="F119" s="10">
        <v>1</v>
      </c>
      <c r="G119" s="11" t="s">
        <v>54</v>
      </c>
      <c r="H119" s="7" t="s">
        <v>85</v>
      </c>
      <c r="I119" s="11" t="s">
        <v>20</v>
      </c>
      <c r="J119" s="11" t="s">
        <v>105</v>
      </c>
      <c r="K119" s="16">
        <v>40617.404573265005</v>
      </c>
      <c r="L119" s="12">
        <f t="shared" ref="L119:L126" si="18">K119*60%</f>
        <v>24370.442743959004</v>
      </c>
      <c r="M119" s="12">
        <f t="shared" ref="M119:M126" si="19">K119*40%</f>
        <v>16246.961829306003</v>
      </c>
      <c r="N119" s="12">
        <v>0</v>
      </c>
      <c r="O119" s="12">
        <f t="shared" si="17"/>
        <v>40617.404573265005</v>
      </c>
      <c r="P119" s="29">
        <v>30</v>
      </c>
    </row>
    <row r="120" spans="1:17" s="85" customFormat="1" ht="16.5" hidden="1" thickTop="1" thickBot="1" x14ac:dyDescent="0.3">
      <c r="A120" s="58" t="s">
        <v>111</v>
      </c>
      <c r="B120" s="25" t="s">
        <v>22</v>
      </c>
      <c r="C120" s="8" t="s">
        <v>62</v>
      </c>
      <c r="D120" s="7" t="s">
        <v>79</v>
      </c>
      <c r="E120" s="9" t="s">
        <v>140</v>
      </c>
      <c r="F120" s="10">
        <v>1</v>
      </c>
      <c r="G120" s="11" t="s">
        <v>54</v>
      </c>
      <c r="H120" s="7" t="s">
        <v>85</v>
      </c>
      <c r="I120" s="11" t="s">
        <v>9</v>
      </c>
      <c r="J120" s="11" t="s">
        <v>105</v>
      </c>
      <c r="K120" s="16">
        <v>33354.561456449999</v>
      </c>
      <c r="L120" s="12">
        <f t="shared" si="18"/>
        <v>20012.736873869999</v>
      </c>
      <c r="M120" s="12">
        <f t="shared" si="19"/>
        <v>13341.82458258</v>
      </c>
      <c r="N120" s="12">
        <v>0</v>
      </c>
      <c r="O120" s="12">
        <f t="shared" si="17"/>
        <v>33354.561456449999</v>
      </c>
      <c r="P120" s="29">
        <v>30</v>
      </c>
    </row>
    <row r="121" spans="1:17" s="85" customFormat="1" ht="16.5" hidden="1" thickTop="1" thickBot="1" x14ac:dyDescent="0.3">
      <c r="A121" s="58" t="s">
        <v>111</v>
      </c>
      <c r="B121" s="25" t="s">
        <v>22</v>
      </c>
      <c r="C121" s="8" t="s">
        <v>62</v>
      </c>
      <c r="D121" s="7" t="s">
        <v>79</v>
      </c>
      <c r="E121" s="9" t="s">
        <v>140</v>
      </c>
      <c r="F121" s="10">
        <v>1</v>
      </c>
      <c r="G121" s="11" t="s">
        <v>55</v>
      </c>
      <c r="H121" s="7" t="s">
        <v>85</v>
      </c>
      <c r="I121" s="11" t="s">
        <v>20</v>
      </c>
      <c r="J121" s="11" t="s">
        <v>105</v>
      </c>
      <c r="K121" s="16">
        <v>34814.822702400001</v>
      </c>
      <c r="L121" s="12">
        <f t="shared" si="18"/>
        <v>20888.893621439998</v>
      </c>
      <c r="M121" s="12">
        <f t="shared" si="19"/>
        <v>13925.929080960001</v>
      </c>
      <c r="N121" s="12">
        <v>0</v>
      </c>
      <c r="O121" s="12">
        <f t="shared" si="17"/>
        <v>34814.822702400001</v>
      </c>
      <c r="P121" s="29">
        <v>30</v>
      </c>
    </row>
    <row r="122" spans="1:17" s="85" customFormat="1" ht="16.5" hidden="1" thickTop="1" thickBot="1" x14ac:dyDescent="0.3">
      <c r="A122" s="58" t="s">
        <v>111</v>
      </c>
      <c r="B122" s="25" t="s">
        <v>22</v>
      </c>
      <c r="C122" s="8" t="s">
        <v>62</v>
      </c>
      <c r="D122" s="7" t="s">
        <v>79</v>
      </c>
      <c r="E122" s="9" t="s">
        <v>140</v>
      </c>
      <c r="F122" s="10">
        <v>1</v>
      </c>
      <c r="G122" s="11" t="s">
        <v>55</v>
      </c>
      <c r="H122" s="7" t="s">
        <v>85</v>
      </c>
      <c r="I122" s="11" t="s">
        <v>9</v>
      </c>
      <c r="J122" s="11" t="s">
        <v>105</v>
      </c>
      <c r="K122" s="12">
        <v>23847.740911214998</v>
      </c>
      <c r="L122" s="12">
        <f t="shared" si="18"/>
        <v>14308.644546728998</v>
      </c>
      <c r="M122" s="12">
        <f t="shared" si="19"/>
        <v>9539.0963644860003</v>
      </c>
      <c r="N122" s="12">
        <v>0</v>
      </c>
      <c r="O122" s="12">
        <f t="shared" si="17"/>
        <v>23847.740911214998</v>
      </c>
      <c r="P122" s="29">
        <v>30</v>
      </c>
    </row>
    <row r="123" spans="1:17" s="85" customFormat="1" ht="16.5" hidden="1" thickTop="1" thickBot="1" x14ac:dyDescent="0.3">
      <c r="A123" s="58" t="s">
        <v>111</v>
      </c>
      <c r="B123" s="25" t="s">
        <v>22</v>
      </c>
      <c r="C123" s="8" t="s">
        <v>62</v>
      </c>
      <c r="D123" s="7" t="s">
        <v>79</v>
      </c>
      <c r="E123" s="9" t="s">
        <v>140</v>
      </c>
      <c r="F123" s="10">
        <v>1</v>
      </c>
      <c r="G123" s="11" t="s">
        <v>56</v>
      </c>
      <c r="H123" s="7" t="s">
        <v>85</v>
      </c>
      <c r="I123" s="11" t="s">
        <v>9</v>
      </c>
      <c r="J123" s="11" t="s">
        <v>105</v>
      </c>
      <c r="K123" s="12">
        <v>33386.83497045</v>
      </c>
      <c r="L123" s="12">
        <f t="shared" si="18"/>
        <v>20032.10098227</v>
      </c>
      <c r="M123" s="12">
        <f t="shared" si="19"/>
        <v>13354.73398818</v>
      </c>
      <c r="N123" s="12">
        <v>0</v>
      </c>
      <c r="O123" s="12">
        <f t="shared" si="17"/>
        <v>33386.83497045</v>
      </c>
      <c r="P123" s="29">
        <v>30</v>
      </c>
    </row>
    <row r="124" spans="1:17" s="85" customFormat="1" ht="16.5" hidden="1" thickTop="1" thickBot="1" x14ac:dyDescent="0.3">
      <c r="A124" s="58" t="s">
        <v>111</v>
      </c>
      <c r="B124" s="25" t="s">
        <v>22</v>
      </c>
      <c r="C124" s="8" t="s">
        <v>62</v>
      </c>
      <c r="D124" s="7" t="s">
        <v>79</v>
      </c>
      <c r="E124" s="9" t="s">
        <v>140</v>
      </c>
      <c r="F124" s="10">
        <v>1</v>
      </c>
      <c r="G124" s="11" t="s">
        <v>57</v>
      </c>
      <c r="H124" s="7" t="s">
        <v>85</v>
      </c>
      <c r="I124" s="11" t="s">
        <v>9</v>
      </c>
      <c r="J124" s="11" t="s">
        <v>105</v>
      </c>
      <c r="K124" s="12">
        <v>33354.561456449999</v>
      </c>
      <c r="L124" s="12">
        <f t="shared" si="18"/>
        <v>20012.736873869999</v>
      </c>
      <c r="M124" s="12">
        <f t="shared" si="19"/>
        <v>13341.82458258</v>
      </c>
      <c r="N124" s="12">
        <v>0</v>
      </c>
      <c r="O124" s="12">
        <f t="shared" si="17"/>
        <v>33354.561456449999</v>
      </c>
      <c r="P124" s="29">
        <v>30</v>
      </c>
    </row>
    <row r="125" spans="1:17" s="85" customFormat="1" ht="16.5" hidden="1" thickTop="1" thickBot="1" x14ac:dyDescent="0.3">
      <c r="A125" s="58" t="s">
        <v>111</v>
      </c>
      <c r="B125" s="25" t="s">
        <v>22</v>
      </c>
      <c r="C125" s="8" t="s">
        <v>62</v>
      </c>
      <c r="D125" s="7" t="s">
        <v>79</v>
      </c>
      <c r="E125" s="9" t="s">
        <v>140</v>
      </c>
      <c r="F125" s="10">
        <v>1</v>
      </c>
      <c r="G125" s="11" t="s">
        <v>58</v>
      </c>
      <c r="H125" s="7" t="s">
        <v>85</v>
      </c>
      <c r="I125" s="11" t="s">
        <v>9</v>
      </c>
      <c r="J125" s="11" t="s">
        <v>105</v>
      </c>
      <c r="K125" s="12">
        <v>19078.18811847</v>
      </c>
      <c r="L125" s="12">
        <f t="shared" si="18"/>
        <v>11446.912871081999</v>
      </c>
      <c r="M125" s="12">
        <f t="shared" si="19"/>
        <v>7631.275247388</v>
      </c>
      <c r="N125" s="12">
        <v>0</v>
      </c>
      <c r="O125" s="12">
        <f t="shared" si="17"/>
        <v>19078.18811847</v>
      </c>
      <c r="P125" s="29">
        <v>30</v>
      </c>
    </row>
    <row r="126" spans="1:17" s="85" customFormat="1" ht="16.5" hidden="1" thickTop="1" thickBot="1" x14ac:dyDescent="0.3">
      <c r="A126" s="58" t="s">
        <v>111</v>
      </c>
      <c r="B126" s="31" t="s">
        <v>22</v>
      </c>
      <c r="C126" s="32" t="s">
        <v>62</v>
      </c>
      <c r="D126" s="33" t="s">
        <v>79</v>
      </c>
      <c r="E126" s="9" t="s">
        <v>140</v>
      </c>
      <c r="F126" s="35">
        <v>1</v>
      </c>
      <c r="G126" s="36" t="s">
        <v>59</v>
      </c>
      <c r="H126" s="33" t="s">
        <v>85</v>
      </c>
      <c r="I126" s="36" t="s">
        <v>9</v>
      </c>
      <c r="J126" s="36" t="s">
        <v>105</v>
      </c>
      <c r="K126" s="37">
        <v>4769.5527927450003</v>
      </c>
      <c r="L126" s="12">
        <f t="shared" si="18"/>
        <v>2861.731675647</v>
      </c>
      <c r="M126" s="12">
        <f t="shared" si="19"/>
        <v>1907.8211170980003</v>
      </c>
      <c r="N126" s="37">
        <v>0</v>
      </c>
      <c r="O126" s="12">
        <f t="shared" si="17"/>
        <v>4769.5527927450003</v>
      </c>
      <c r="P126" s="38">
        <v>30</v>
      </c>
    </row>
    <row r="127" spans="1:17" s="85" customFormat="1" ht="16.5" hidden="1" thickTop="1" thickBot="1" x14ac:dyDescent="0.3">
      <c r="A127" s="58" t="s">
        <v>111</v>
      </c>
      <c r="B127" s="25" t="s">
        <v>22</v>
      </c>
      <c r="C127" s="8" t="s">
        <v>61</v>
      </c>
      <c r="D127" s="7" t="s">
        <v>79</v>
      </c>
      <c r="E127" s="9" t="s">
        <v>140</v>
      </c>
      <c r="F127" s="10">
        <v>20</v>
      </c>
      <c r="G127" s="13" t="s">
        <v>92</v>
      </c>
      <c r="H127" s="7" t="s">
        <v>83</v>
      </c>
      <c r="I127" s="11" t="s">
        <v>7</v>
      </c>
      <c r="J127" s="11" t="s">
        <v>80</v>
      </c>
      <c r="K127" s="12">
        <v>19890</v>
      </c>
      <c r="L127" s="12">
        <f t="shared" ref="L127:L152" si="20">K127</f>
        <v>19890</v>
      </c>
      <c r="M127" s="12">
        <v>0</v>
      </c>
      <c r="N127" s="12">
        <v>0</v>
      </c>
      <c r="O127" s="12">
        <f t="shared" si="17"/>
        <v>19890</v>
      </c>
      <c r="P127" s="29">
        <v>15</v>
      </c>
    </row>
    <row r="128" spans="1:17" s="85" customFormat="1" ht="16.5" hidden="1" thickTop="1" thickBot="1" x14ac:dyDescent="0.3">
      <c r="A128" s="58" t="s">
        <v>111</v>
      </c>
      <c r="B128" s="25" t="s">
        <v>13</v>
      </c>
      <c r="C128" s="8" t="s">
        <v>61</v>
      </c>
      <c r="D128" s="7" t="s">
        <v>79</v>
      </c>
      <c r="E128" s="9" t="s">
        <v>153</v>
      </c>
      <c r="F128" s="10">
        <v>20</v>
      </c>
      <c r="G128" s="13" t="s">
        <v>90</v>
      </c>
      <c r="H128" s="15" t="s">
        <v>83</v>
      </c>
      <c r="I128" s="14" t="s">
        <v>9</v>
      </c>
      <c r="J128" s="11" t="s">
        <v>103</v>
      </c>
      <c r="K128" s="12">
        <v>4536.0249999999996</v>
      </c>
      <c r="L128" s="12">
        <f t="shared" si="20"/>
        <v>4536.0249999999996</v>
      </c>
      <c r="M128" s="12">
        <v>0</v>
      </c>
      <c r="N128" s="12">
        <f>L128*16%</f>
        <v>725.76400000000001</v>
      </c>
      <c r="O128" s="12">
        <f t="shared" si="17"/>
        <v>3810.2609999999995</v>
      </c>
      <c r="P128" s="29">
        <v>10</v>
      </c>
    </row>
    <row r="129" spans="1:17" s="85" customFormat="1" ht="16.5" hidden="1" thickTop="1" thickBot="1" x14ac:dyDescent="0.3">
      <c r="A129" s="58" t="s">
        <v>111</v>
      </c>
      <c r="B129" s="25" t="s">
        <v>22</v>
      </c>
      <c r="C129" s="8" t="s">
        <v>25</v>
      </c>
      <c r="D129" s="7" t="s">
        <v>79</v>
      </c>
      <c r="E129" s="9" t="s">
        <v>153</v>
      </c>
      <c r="F129" s="10">
        <v>28</v>
      </c>
      <c r="G129" s="11" t="s">
        <v>135</v>
      </c>
      <c r="H129" s="7" t="s">
        <v>83</v>
      </c>
      <c r="I129" s="11" t="s">
        <v>7</v>
      </c>
      <c r="J129" s="11" t="s">
        <v>80</v>
      </c>
      <c r="K129" s="12">
        <v>17695.12745</v>
      </c>
      <c r="L129" s="12">
        <f t="shared" si="20"/>
        <v>17695.12745</v>
      </c>
      <c r="M129" s="12">
        <v>0</v>
      </c>
      <c r="N129" s="12">
        <v>0</v>
      </c>
      <c r="O129" s="12">
        <f t="shared" si="17"/>
        <v>17695.12745</v>
      </c>
      <c r="P129" s="29">
        <v>18</v>
      </c>
    </row>
    <row r="130" spans="1:17" s="85" customFormat="1" ht="16.5" hidden="1" thickTop="1" thickBot="1" x14ac:dyDescent="0.3">
      <c r="A130" s="58" t="s">
        <v>111</v>
      </c>
      <c r="B130" s="40" t="s">
        <v>5</v>
      </c>
      <c r="C130" s="41" t="s">
        <v>0</v>
      </c>
      <c r="D130" s="42" t="s">
        <v>79</v>
      </c>
      <c r="E130" s="9" t="s">
        <v>153</v>
      </c>
      <c r="F130" s="44">
        <v>10</v>
      </c>
      <c r="G130" s="45" t="s">
        <v>6</v>
      </c>
      <c r="H130" s="42" t="s">
        <v>85</v>
      </c>
      <c r="I130" s="45" t="s">
        <v>7</v>
      </c>
      <c r="J130" s="45" t="s">
        <v>103</v>
      </c>
      <c r="K130" s="46">
        <v>41245.995459655351</v>
      </c>
      <c r="L130" s="12">
        <f t="shared" si="20"/>
        <v>41245.995459655351</v>
      </c>
      <c r="M130" s="12">
        <v>0</v>
      </c>
      <c r="N130" s="46">
        <v>1866.3346361835002</v>
      </c>
      <c r="O130" s="12">
        <f t="shared" si="17"/>
        <v>39379.660823471851</v>
      </c>
      <c r="P130" s="47">
        <v>10</v>
      </c>
      <c r="Q130" s="85" t="s">
        <v>156</v>
      </c>
    </row>
    <row r="131" spans="1:17" s="85" customFormat="1" ht="16.5" hidden="1" thickTop="1" thickBot="1" x14ac:dyDescent="0.3">
      <c r="A131" s="58" t="s">
        <v>111</v>
      </c>
      <c r="B131" s="25" t="s">
        <v>5</v>
      </c>
      <c r="C131" s="8" t="s">
        <v>0</v>
      </c>
      <c r="D131" s="7" t="s">
        <v>79</v>
      </c>
      <c r="E131" s="9" t="s">
        <v>153</v>
      </c>
      <c r="F131" s="10">
        <v>10</v>
      </c>
      <c r="G131" s="11" t="s">
        <v>8</v>
      </c>
      <c r="H131" s="7" t="s">
        <v>85</v>
      </c>
      <c r="I131" s="11" t="s">
        <v>7</v>
      </c>
      <c r="J131" s="11" t="s">
        <v>103</v>
      </c>
      <c r="K131" s="12">
        <v>19327.518303502504</v>
      </c>
      <c r="L131" s="12">
        <f t="shared" si="20"/>
        <v>19327.518303502504</v>
      </c>
      <c r="M131" s="12">
        <v>0</v>
      </c>
      <c r="N131" s="12">
        <v>874.54833952500019</v>
      </c>
      <c r="O131" s="12">
        <f t="shared" si="17"/>
        <v>18452.969963977503</v>
      </c>
      <c r="P131" s="29">
        <v>10</v>
      </c>
      <c r="Q131" s="85" t="s">
        <v>156</v>
      </c>
    </row>
    <row r="132" spans="1:17" s="85" customFormat="1" ht="16.5" hidden="1" thickTop="1" thickBot="1" x14ac:dyDescent="0.3">
      <c r="A132" s="58" t="s">
        <v>111</v>
      </c>
      <c r="B132" s="25" t="s">
        <v>5</v>
      </c>
      <c r="C132" s="8" t="s">
        <v>0</v>
      </c>
      <c r="D132" s="7" t="s">
        <v>79</v>
      </c>
      <c r="E132" s="9" t="s">
        <v>153</v>
      </c>
      <c r="F132" s="10">
        <v>10</v>
      </c>
      <c r="G132" s="11" t="s">
        <v>8</v>
      </c>
      <c r="H132" s="7" t="s">
        <v>85</v>
      </c>
      <c r="I132" s="11" t="s">
        <v>97</v>
      </c>
      <c r="J132" s="11" t="s">
        <v>103</v>
      </c>
      <c r="K132" s="12">
        <v>19327.518303502504</v>
      </c>
      <c r="L132" s="12">
        <f t="shared" si="20"/>
        <v>19327.518303502504</v>
      </c>
      <c r="M132" s="12">
        <v>0</v>
      </c>
      <c r="N132" s="12">
        <v>874.54833952500019</v>
      </c>
      <c r="O132" s="12">
        <f t="shared" si="17"/>
        <v>18452.969963977503</v>
      </c>
      <c r="P132" s="29">
        <v>10</v>
      </c>
      <c r="Q132" s="85" t="s">
        <v>156</v>
      </c>
    </row>
    <row r="133" spans="1:17" s="85" customFormat="1" ht="16.5" hidden="1" thickTop="1" thickBot="1" x14ac:dyDescent="0.3">
      <c r="A133" s="58" t="s">
        <v>111</v>
      </c>
      <c r="B133" s="25" t="s">
        <v>5</v>
      </c>
      <c r="C133" s="8" t="s">
        <v>0</v>
      </c>
      <c r="D133" s="7" t="s">
        <v>79</v>
      </c>
      <c r="E133" s="9" t="s">
        <v>153</v>
      </c>
      <c r="F133" s="10">
        <v>10</v>
      </c>
      <c r="G133" s="11" t="s">
        <v>8</v>
      </c>
      <c r="H133" s="7" t="s">
        <v>85</v>
      </c>
      <c r="I133" s="11" t="s">
        <v>9</v>
      </c>
      <c r="J133" s="11" t="s">
        <v>103</v>
      </c>
      <c r="K133" s="12">
        <v>16926.608031693751</v>
      </c>
      <c r="L133" s="12">
        <f t="shared" si="20"/>
        <v>16926.608031693751</v>
      </c>
      <c r="M133" s="12">
        <v>0</v>
      </c>
      <c r="N133" s="12">
        <v>765.90986568750009</v>
      </c>
      <c r="O133" s="12">
        <f t="shared" si="17"/>
        <v>16160.698166006252</v>
      </c>
      <c r="P133" s="29">
        <v>10</v>
      </c>
      <c r="Q133" s="85" t="s">
        <v>156</v>
      </c>
    </row>
    <row r="134" spans="1:17" s="85" customFormat="1" ht="16.5" hidden="1" thickTop="1" thickBot="1" x14ac:dyDescent="0.3">
      <c r="A134" s="58" t="s">
        <v>111</v>
      </c>
      <c r="B134" s="25" t="s">
        <v>5</v>
      </c>
      <c r="C134" s="8" t="s">
        <v>0</v>
      </c>
      <c r="D134" s="7" t="s">
        <v>79</v>
      </c>
      <c r="E134" s="9" t="s">
        <v>153</v>
      </c>
      <c r="F134" s="10">
        <v>10</v>
      </c>
      <c r="G134" s="11" t="s">
        <v>8</v>
      </c>
      <c r="H134" s="7" t="s">
        <v>85</v>
      </c>
      <c r="I134" s="11" t="s">
        <v>15</v>
      </c>
      <c r="J134" s="11" t="s">
        <v>103</v>
      </c>
      <c r="K134" s="12">
        <v>14433.306181368749</v>
      </c>
      <c r="L134" s="12">
        <f t="shared" si="20"/>
        <v>14433.306181368749</v>
      </c>
      <c r="M134" s="12">
        <v>0</v>
      </c>
      <c r="N134" s="12">
        <v>653.09077743750004</v>
      </c>
      <c r="O134" s="12">
        <f t="shared" si="17"/>
        <v>13780.215403931248</v>
      </c>
      <c r="P134" s="29">
        <v>10</v>
      </c>
      <c r="Q134" s="85" t="s">
        <v>156</v>
      </c>
    </row>
    <row r="135" spans="1:17" s="85" customFormat="1" ht="16.5" hidden="1" thickTop="1" thickBot="1" x14ac:dyDescent="0.3">
      <c r="A135" s="58" t="s">
        <v>111</v>
      </c>
      <c r="B135" s="25" t="s">
        <v>10</v>
      </c>
      <c r="C135" s="8" t="s">
        <v>0</v>
      </c>
      <c r="D135" s="7" t="s">
        <v>79</v>
      </c>
      <c r="E135" s="9" t="s">
        <v>153</v>
      </c>
      <c r="F135" s="10">
        <v>10</v>
      </c>
      <c r="G135" s="11" t="s">
        <v>8</v>
      </c>
      <c r="H135" s="7" t="s">
        <v>85</v>
      </c>
      <c r="I135" s="11" t="s">
        <v>96</v>
      </c>
      <c r="J135" s="11" t="s">
        <v>103</v>
      </c>
      <c r="K135" s="12">
        <v>2000</v>
      </c>
      <c r="L135" s="12">
        <f t="shared" si="20"/>
        <v>2000</v>
      </c>
      <c r="M135" s="12">
        <v>0</v>
      </c>
      <c r="N135" s="12">
        <v>0</v>
      </c>
      <c r="O135" s="12">
        <v>2000</v>
      </c>
      <c r="P135" s="29">
        <v>10</v>
      </c>
      <c r="Q135" s="85" t="s">
        <v>156</v>
      </c>
    </row>
    <row r="136" spans="1:17" s="85" customFormat="1" ht="16.5" hidden="1" thickTop="1" thickBot="1" x14ac:dyDescent="0.3">
      <c r="A136" s="58" t="s">
        <v>111</v>
      </c>
      <c r="B136" s="25" t="s">
        <v>10</v>
      </c>
      <c r="C136" s="8" t="s">
        <v>0</v>
      </c>
      <c r="D136" s="7" t="s">
        <v>79</v>
      </c>
      <c r="E136" s="9" t="s">
        <v>153</v>
      </c>
      <c r="F136" s="10">
        <v>10</v>
      </c>
      <c r="G136" s="11" t="s">
        <v>8</v>
      </c>
      <c r="H136" s="7" t="s">
        <v>85</v>
      </c>
      <c r="I136" s="11" t="s">
        <v>96</v>
      </c>
      <c r="J136" s="11" t="s">
        <v>103</v>
      </c>
      <c r="K136" s="12">
        <v>200</v>
      </c>
      <c r="L136" s="12">
        <f t="shared" si="20"/>
        <v>200</v>
      </c>
      <c r="M136" s="12">
        <v>0</v>
      </c>
      <c r="N136" s="12">
        <v>0</v>
      </c>
      <c r="O136" s="12">
        <v>200</v>
      </c>
      <c r="P136" s="29">
        <v>10</v>
      </c>
      <c r="Q136" s="85" t="s">
        <v>156</v>
      </c>
    </row>
    <row r="137" spans="1:17" s="85" customFormat="1" ht="16.5" hidden="1" thickTop="1" thickBot="1" x14ac:dyDescent="0.3">
      <c r="A137" s="58" t="s">
        <v>111</v>
      </c>
      <c r="B137" s="25" t="s">
        <v>11</v>
      </c>
      <c r="C137" s="8" t="s">
        <v>0</v>
      </c>
      <c r="D137" s="7" t="s">
        <v>79</v>
      </c>
      <c r="E137" s="9" t="s">
        <v>153</v>
      </c>
      <c r="F137" s="10">
        <v>16</v>
      </c>
      <c r="G137" s="11" t="s">
        <v>12</v>
      </c>
      <c r="H137" s="7" t="s">
        <v>85</v>
      </c>
      <c r="I137" s="11" t="s">
        <v>7</v>
      </c>
      <c r="J137" s="11" t="s">
        <v>103</v>
      </c>
      <c r="K137" s="12">
        <v>18799.785318082275</v>
      </c>
      <c r="L137" s="12">
        <f t="shared" si="20"/>
        <v>18799.785318082275</v>
      </c>
      <c r="M137" s="12">
        <v>0</v>
      </c>
      <c r="N137" s="12">
        <f>L137*16%</f>
        <v>3007.9656508931639</v>
      </c>
      <c r="O137" s="12">
        <f t="shared" ref="O137:O142" si="21">L137+M137-N137</f>
        <v>15791.819667189111</v>
      </c>
      <c r="P137" s="29">
        <v>15</v>
      </c>
      <c r="Q137" s="85" t="s">
        <v>156</v>
      </c>
    </row>
    <row r="138" spans="1:17" s="85" customFormat="1" ht="16.5" hidden="1" thickTop="1" thickBot="1" x14ac:dyDescent="0.3">
      <c r="A138" s="58" t="s">
        <v>111</v>
      </c>
      <c r="B138" s="25" t="s">
        <v>13</v>
      </c>
      <c r="C138" s="8" t="s">
        <v>0</v>
      </c>
      <c r="D138" s="7" t="s">
        <v>79</v>
      </c>
      <c r="E138" s="9" t="s">
        <v>153</v>
      </c>
      <c r="F138" s="10">
        <v>16</v>
      </c>
      <c r="G138" s="11" t="s">
        <v>12</v>
      </c>
      <c r="H138" s="7" t="s">
        <v>85</v>
      </c>
      <c r="I138" s="11" t="s">
        <v>9</v>
      </c>
      <c r="J138" s="11" t="s">
        <v>103</v>
      </c>
      <c r="K138" s="12">
        <v>4121.2527595112251</v>
      </c>
      <c r="L138" s="12">
        <f t="shared" si="20"/>
        <v>4121.2527595112251</v>
      </c>
      <c r="M138" s="12">
        <v>0</v>
      </c>
      <c r="N138" s="12">
        <f>L138*16%</f>
        <v>659.40044152179598</v>
      </c>
      <c r="O138" s="12">
        <f t="shared" si="21"/>
        <v>3461.8523179894291</v>
      </c>
      <c r="P138" s="29">
        <v>15</v>
      </c>
      <c r="Q138" s="85" t="s">
        <v>156</v>
      </c>
    </row>
    <row r="139" spans="1:17" s="85" customFormat="1" ht="16.5" hidden="1" thickTop="1" thickBot="1" x14ac:dyDescent="0.3">
      <c r="A139" s="58" t="s">
        <v>111</v>
      </c>
      <c r="B139" s="25" t="s">
        <v>13</v>
      </c>
      <c r="C139" s="8" t="s">
        <v>0</v>
      </c>
      <c r="D139" s="7" t="s">
        <v>79</v>
      </c>
      <c r="E139" s="9" t="s">
        <v>153</v>
      </c>
      <c r="F139" s="10">
        <v>16</v>
      </c>
      <c r="G139" s="11" t="s">
        <v>12</v>
      </c>
      <c r="H139" s="7" t="s">
        <v>85</v>
      </c>
      <c r="I139" s="11" t="s">
        <v>99</v>
      </c>
      <c r="J139" s="11" t="s">
        <v>103</v>
      </c>
      <c r="K139" s="12">
        <v>4879.6817792930997</v>
      </c>
      <c r="L139" s="12">
        <f t="shared" si="20"/>
        <v>4879.6817792930997</v>
      </c>
      <c r="M139" s="12">
        <v>0</v>
      </c>
      <c r="N139" s="12">
        <f>L139*16%</f>
        <v>780.74908468689591</v>
      </c>
      <c r="O139" s="12">
        <f t="shared" si="21"/>
        <v>4098.9326946062038</v>
      </c>
      <c r="P139" s="29">
        <v>15</v>
      </c>
      <c r="Q139" s="85" t="s">
        <v>156</v>
      </c>
    </row>
    <row r="140" spans="1:17" s="85" customFormat="1" ht="16.5" hidden="1" thickTop="1" thickBot="1" x14ac:dyDescent="0.3">
      <c r="A140" s="58" t="s">
        <v>111</v>
      </c>
      <c r="B140" s="25" t="s">
        <v>5</v>
      </c>
      <c r="C140" s="8" t="s">
        <v>0</v>
      </c>
      <c r="D140" s="7" t="s">
        <v>79</v>
      </c>
      <c r="E140" s="9" t="s">
        <v>153</v>
      </c>
      <c r="F140" s="10">
        <v>16</v>
      </c>
      <c r="G140" s="11" t="s">
        <v>139</v>
      </c>
      <c r="H140" s="7" t="s">
        <v>84</v>
      </c>
      <c r="I140" s="11" t="s">
        <v>7</v>
      </c>
      <c r="J140" s="11" t="s">
        <v>103</v>
      </c>
      <c r="K140" s="12">
        <v>16311.633340859998</v>
      </c>
      <c r="L140" s="12">
        <f t="shared" si="20"/>
        <v>16311.633340859998</v>
      </c>
      <c r="M140" s="12">
        <v>0</v>
      </c>
      <c r="N140" s="12">
        <v>738.08295659999999</v>
      </c>
      <c r="O140" s="12">
        <f t="shared" si="21"/>
        <v>15573.550384259999</v>
      </c>
      <c r="P140" s="29">
        <v>15</v>
      </c>
      <c r="Q140" s="85" t="s">
        <v>156</v>
      </c>
    </row>
    <row r="141" spans="1:17" s="85" customFormat="1" ht="16.5" hidden="1" thickTop="1" thickBot="1" x14ac:dyDescent="0.3">
      <c r="A141" s="58" t="s">
        <v>111</v>
      </c>
      <c r="B141" s="25" t="s">
        <v>5</v>
      </c>
      <c r="C141" s="8" t="s">
        <v>0</v>
      </c>
      <c r="D141" s="7" t="s">
        <v>79</v>
      </c>
      <c r="E141" s="9" t="s">
        <v>153</v>
      </c>
      <c r="F141" s="10">
        <v>16</v>
      </c>
      <c r="G141" s="11" t="s">
        <v>139</v>
      </c>
      <c r="H141" s="7" t="s">
        <v>84</v>
      </c>
      <c r="I141" s="11" t="s">
        <v>9</v>
      </c>
      <c r="J141" s="11" t="s">
        <v>103</v>
      </c>
      <c r="K141" s="12">
        <v>4158.1260499999999</v>
      </c>
      <c r="L141" s="12">
        <f t="shared" si="20"/>
        <v>4158.1260499999999</v>
      </c>
      <c r="M141" s="12">
        <v>0</v>
      </c>
      <c r="N141" s="12">
        <v>188.15050000000002</v>
      </c>
      <c r="O141" s="12">
        <f t="shared" si="21"/>
        <v>3969.9755499999997</v>
      </c>
      <c r="P141" s="29">
        <v>15</v>
      </c>
      <c r="Q141" s="85" t="s">
        <v>156</v>
      </c>
    </row>
    <row r="142" spans="1:17" s="85" customFormat="1" ht="16.5" hidden="1" thickTop="1" thickBot="1" x14ac:dyDescent="0.3">
      <c r="A142" s="58" t="s">
        <v>111</v>
      </c>
      <c r="B142" s="25" t="s">
        <v>5</v>
      </c>
      <c r="C142" s="8" t="s">
        <v>0</v>
      </c>
      <c r="D142" s="7" t="s">
        <v>79</v>
      </c>
      <c r="E142" s="9" t="s">
        <v>153</v>
      </c>
      <c r="F142" s="10">
        <v>16</v>
      </c>
      <c r="G142" s="11" t="s">
        <v>139</v>
      </c>
      <c r="H142" s="7" t="s">
        <v>84</v>
      </c>
      <c r="I142" s="11" t="s">
        <v>15</v>
      </c>
      <c r="J142" s="11" t="s">
        <v>103</v>
      </c>
      <c r="K142" s="12">
        <v>5282.5230083924998</v>
      </c>
      <c r="L142" s="12">
        <f t="shared" si="20"/>
        <v>5282.5230083924998</v>
      </c>
      <c r="M142" s="12">
        <v>0</v>
      </c>
      <c r="N142" s="12">
        <v>239.02819042500002</v>
      </c>
      <c r="O142" s="12">
        <f t="shared" si="21"/>
        <v>5043.4948179675002</v>
      </c>
      <c r="P142" s="29">
        <v>15</v>
      </c>
      <c r="Q142" s="85" t="s">
        <v>156</v>
      </c>
    </row>
    <row r="143" spans="1:17" s="85" customFormat="1" ht="16.5" hidden="1" thickTop="1" thickBot="1" x14ac:dyDescent="0.3">
      <c r="A143" s="58" t="s">
        <v>111</v>
      </c>
      <c r="B143" s="25" t="s">
        <v>10</v>
      </c>
      <c r="C143" s="8" t="s">
        <v>0</v>
      </c>
      <c r="D143" s="7" t="s">
        <v>79</v>
      </c>
      <c r="E143" s="9" t="s">
        <v>153</v>
      </c>
      <c r="F143" s="10">
        <v>16</v>
      </c>
      <c r="G143" s="11" t="s">
        <v>139</v>
      </c>
      <c r="H143" s="7" t="s">
        <v>84</v>
      </c>
      <c r="I143" s="11" t="s">
        <v>96</v>
      </c>
      <c r="J143" s="11" t="s">
        <v>103</v>
      </c>
      <c r="K143" s="12">
        <v>500</v>
      </c>
      <c r="L143" s="12">
        <f t="shared" si="20"/>
        <v>500</v>
      </c>
      <c r="M143" s="12">
        <v>0</v>
      </c>
      <c r="N143" s="12">
        <v>0</v>
      </c>
      <c r="O143" s="12">
        <v>500</v>
      </c>
      <c r="P143" s="29">
        <v>15</v>
      </c>
      <c r="Q143" s="85" t="s">
        <v>156</v>
      </c>
    </row>
    <row r="144" spans="1:17" s="85" customFormat="1" ht="16.5" hidden="1" thickTop="1" thickBot="1" x14ac:dyDescent="0.3">
      <c r="A144" s="58" t="s">
        <v>111</v>
      </c>
      <c r="B144" s="25" t="s">
        <v>11</v>
      </c>
      <c r="C144" s="8" t="s">
        <v>0</v>
      </c>
      <c r="D144" s="7" t="s">
        <v>79</v>
      </c>
      <c r="E144" s="9" t="s">
        <v>153</v>
      </c>
      <c r="F144" s="10">
        <v>20</v>
      </c>
      <c r="G144" s="11" t="s">
        <v>16</v>
      </c>
      <c r="H144" s="7" t="s">
        <v>85</v>
      </c>
      <c r="I144" s="11" t="s">
        <v>7</v>
      </c>
      <c r="J144" s="11" t="s">
        <v>103</v>
      </c>
      <c r="K144" s="12">
        <v>17144.075000000001</v>
      </c>
      <c r="L144" s="12">
        <f t="shared" si="20"/>
        <v>17144.075000000001</v>
      </c>
      <c r="M144" s="12">
        <v>0</v>
      </c>
      <c r="N144" s="12">
        <f>L144*16%</f>
        <v>2743.0520000000001</v>
      </c>
      <c r="O144" s="12">
        <f t="shared" ref="O144:O152" si="22">L144+M144-N144</f>
        <v>14401.023000000001</v>
      </c>
      <c r="P144" s="29">
        <v>15</v>
      </c>
    </row>
    <row r="145" spans="1:16" s="85" customFormat="1" ht="16.5" hidden="1" thickTop="1" thickBot="1" x14ac:dyDescent="0.3">
      <c r="A145" s="58" t="s">
        <v>111</v>
      </c>
      <c r="B145" s="25" t="s">
        <v>13</v>
      </c>
      <c r="C145" s="8" t="s">
        <v>0</v>
      </c>
      <c r="D145" s="7" t="s">
        <v>79</v>
      </c>
      <c r="E145" s="9" t="s">
        <v>153</v>
      </c>
      <c r="F145" s="10">
        <v>20</v>
      </c>
      <c r="G145" s="11" t="s">
        <v>16</v>
      </c>
      <c r="H145" s="7" t="s">
        <v>85</v>
      </c>
      <c r="I145" s="11" t="s">
        <v>113</v>
      </c>
      <c r="J145" s="11" t="s">
        <v>103</v>
      </c>
      <c r="K145" s="12">
        <v>1657.5</v>
      </c>
      <c r="L145" s="12">
        <f t="shared" si="20"/>
        <v>1657.5</v>
      </c>
      <c r="M145" s="12">
        <v>0</v>
      </c>
      <c r="N145" s="12">
        <f>L145*16%</f>
        <v>265.2</v>
      </c>
      <c r="O145" s="12">
        <f t="shared" si="22"/>
        <v>1392.3</v>
      </c>
      <c r="P145" s="29">
        <v>15</v>
      </c>
    </row>
    <row r="146" spans="1:16" s="85" customFormat="1" ht="16.5" hidden="1" thickTop="1" thickBot="1" x14ac:dyDescent="0.3">
      <c r="A146" s="58" t="s">
        <v>111</v>
      </c>
      <c r="B146" s="25" t="s">
        <v>13</v>
      </c>
      <c r="C146" s="8" t="s">
        <v>0</v>
      </c>
      <c r="D146" s="7" t="s">
        <v>79</v>
      </c>
      <c r="E146" s="9" t="s">
        <v>153</v>
      </c>
      <c r="F146" s="10">
        <v>20</v>
      </c>
      <c r="G146" s="11" t="s">
        <v>16</v>
      </c>
      <c r="H146" s="7" t="s">
        <v>85</v>
      </c>
      <c r="I146" s="11" t="s">
        <v>9</v>
      </c>
      <c r="J146" s="11" t="s">
        <v>103</v>
      </c>
      <c r="K146" s="12">
        <v>8265.4</v>
      </c>
      <c r="L146" s="12">
        <f t="shared" si="20"/>
        <v>8265.4</v>
      </c>
      <c r="M146" s="12">
        <v>0</v>
      </c>
      <c r="N146" s="12">
        <f>L146*16%</f>
        <v>1322.4639999999999</v>
      </c>
      <c r="O146" s="12">
        <f t="shared" si="22"/>
        <v>6942.9359999999997</v>
      </c>
      <c r="P146" s="29">
        <v>15</v>
      </c>
    </row>
    <row r="147" spans="1:16" s="85" customFormat="1" ht="16.5" hidden="1" thickTop="1" thickBot="1" x14ac:dyDescent="0.3">
      <c r="A147" s="58" t="s">
        <v>111</v>
      </c>
      <c r="B147" s="25" t="s">
        <v>13</v>
      </c>
      <c r="C147" s="8" t="s">
        <v>0</v>
      </c>
      <c r="D147" s="7" t="s">
        <v>79</v>
      </c>
      <c r="E147" s="9" t="s">
        <v>153</v>
      </c>
      <c r="F147" s="10">
        <v>20</v>
      </c>
      <c r="G147" s="11" t="s">
        <v>16</v>
      </c>
      <c r="H147" s="7" t="s">
        <v>85</v>
      </c>
      <c r="I147" s="11" t="s">
        <v>15</v>
      </c>
      <c r="J147" s="11" t="s">
        <v>103</v>
      </c>
      <c r="K147" s="12">
        <v>7542.73</v>
      </c>
      <c r="L147" s="12">
        <f t="shared" si="20"/>
        <v>7542.73</v>
      </c>
      <c r="M147" s="12">
        <v>0</v>
      </c>
      <c r="N147" s="12">
        <f>L147*16%</f>
        <v>1206.8368</v>
      </c>
      <c r="O147" s="12">
        <f t="shared" si="22"/>
        <v>6335.8931999999995</v>
      </c>
      <c r="P147" s="29">
        <v>15</v>
      </c>
    </row>
    <row r="148" spans="1:16" s="85" customFormat="1" ht="16.5" hidden="1" thickTop="1" thickBot="1" x14ac:dyDescent="0.3">
      <c r="A148" s="58" t="s">
        <v>111</v>
      </c>
      <c r="B148" s="25" t="s">
        <v>5</v>
      </c>
      <c r="C148" s="8" t="s">
        <v>0</v>
      </c>
      <c r="D148" s="7" t="s">
        <v>79</v>
      </c>
      <c r="E148" s="9" t="s">
        <v>153</v>
      </c>
      <c r="F148" s="10">
        <v>5</v>
      </c>
      <c r="G148" s="11" t="s">
        <v>17</v>
      </c>
      <c r="H148" s="7" t="s">
        <v>85</v>
      </c>
      <c r="I148" s="11" t="s">
        <v>7</v>
      </c>
      <c r="J148" s="11" t="s">
        <v>103</v>
      </c>
      <c r="K148" s="12">
        <v>18315.25411955265</v>
      </c>
      <c r="L148" s="12">
        <f t="shared" si="20"/>
        <v>18315.25411955265</v>
      </c>
      <c r="M148" s="12">
        <v>0</v>
      </c>
      <c r="N148" s="12">
        <v>828.74453029649999</v>
      </c>
      <c r="O148" s="12">
        <f t="shared" si="22"/>
        <v>17486.509589256151</v>
      </c>
      <c r="P148" s="29">
        <v>10</v>
      </c>
    </row>
    <row r="149" spans="1:16" s="85" customFormat="1" ht="16.5" hidden="1" thickTop="1" thickBot="1" x14ac:dyDescent="0.3">
      <c r="A149" s="58" t="s">
        <v>111</v>
      </c>
      <c r="B149" s="25" t="s">
        <v>5</v>
      </c>
      <c r="C149" s="8" t="s">
        <v>0</v>
      </c>
      <c r="D149" s="7" t="s">
        <v>79</v>
      </c>
      <c r="E149" s="9" t="s">
        <v>153</v>
      </c>
      <c r="F149" s="10">
        <v>5</v>
      </c>
      <c r="G149" s="11" t="s">
        <v>17</v>
      </c>
      <c r="H149" s="7" t="s">
        <v>85</v>
      </c>
      <c r="I149" s="11" t="s">
        <v>15</v>
      </c>
      <c r="J149" s="11" t="s">
        <v>103</v>
      </c>
      <c r="K149" s="12">
        <v>4515.3853266453743</v>
      </c>
      <c r="L149" s="12">
        <f t="shared" si="20"/>
        <v>4515.3853266453743</v>
      </c>
      <c r="M149" s="12">
        <v>0</v>
      </c>
      <c r="N149" s="12">
        <v>204.31607812874998</v>
      </c>
      <c r="O149" s="12">
        <f t="shared" si="22"/>
        <v>4311.0692485166246</v>
      </c>
      <c r="P149" s="29">
        <v>10</v>
      </c>
    </row>
    <row r="150" spans="1:16" s="86" customFormat="1" ht="16.5" hidden="1" thickTop="1" thickBot="1" x14ac:dyDescent="0.3">
      <c r="A150" s="58" t="s">
        <v>111</v>
      </c>
      <c r="B150" s="64" t="s">
        <v>5</v>
      </c>
      <c r="C150" s="65" t="s">
        <v>0</v>
      </c>
      <c r="D150" s="66" t="s">
        <v>79</v>
      </c>
      <c r="E150" s="67" t="s">
        <v>153</v>
      </c>
      <c r="F150" s="68">
        <v>10</v>
      </c>
      <c r="G150" s="69" t="s">
        <v>18</v>
      </c>
      <c r="H150" s="66" t="s">
        <v>85</v>
      </c>
      <c r="I150" s="69" t="s">
        <v>9</v>
      </c>
      <c r="J150" s="69" t="s">
        <v>103</v>
      </c>
      <c r="K150" s="70">
        <v>4589.40895335</v>
      </c>
      <c r="L150" s="70">
        <f t="shared" si="20"/>
        <v>4589.40895335</v>
      </c>
      <c r="M150" s="70">
        <v>0</v>
      </c>
      <c r="N150" s="70">
        <v>207.66556350000002</v>
      </c>
      <c r="O150" s="70">
        <f t="shared" si="22"/>
        <v>4381.7433898500003</v>
      </c>
      <c r="P150" s="71">
        <v>10</v>
      </c>
    </row>
    <row r="151" spans="1:16" s="85" customFormat="1" ht="16.5" hidden="1" thickTop="1" thickBot="1" x14ac:dyDescent="0.3">
      <c r="A151" s="58" t="s">
        <v>111</v>
      </c>
      <c r="B151" s="25" t="s">
        <v>11</v>
      </c>
      <c r="C151" s="8" t="s">
        <v>0</v>
      </c>
      <c r="D151" s="7" t="s">
        <v>79</v>
      </c>
      <c r="E151" s="9" t="s">
        <v>153</v>
      </c>
      <c r="F151" s="10">
        <v>20</v>
      </c>
      <c r="G151" s="11" t="s">
        <v>19</v>
      </c>
      <c r="H151" s="7" t="s">
        <v>88</v>
      </c>
      <c r="I151" s="11" t="s">
        <v>20</v>
      </c>
      <c r="J151" s="11" t="s">
        <v>105</v>
      </c>
      <c r="K151" s="12">
        <v>11166.95</v>
      </c>
      <c r="L151" s="12">
        <f t="shared" si="20"/>
        <v>11166.95</v>
      </c>
      <c r="M151" s="12">
        <v>0</v>
      </c>
      <c r="N151" s="12">
        <f>L151*16%</f>
        <v>1786.7120000000002</v>
      </c>
      <c r="O151" s="12">
        <f t="shared" si="22"/>
        <v>9380.2380000000012</v>
      </c>
      <c r="P151" s="29">
        <v>15</v>
      </c>
    </row>
    <row r="152" spans="1:16" s="85" customFormat="1" ht="16.5" hidden="1" thickTop="1" thickBot="1" x14ac:dyDescent="0.3">
      <c r="A152" s="58" t="s">
        <v>111</v>
      </c>
      <c r="B152" s="25" t="s">
        <v>13</v>
      </c>
      <c r="C152" s="8" t="s">
        <v>0</v>
      </c>
      <c r="D152" s="7" t="s">
        <v>79</v>
      </c>
      <c r="E152" s="9" t="s">
        <v>153</v>
      </c>
      <c r="F152" s="10">
        <v>5</v>
      </c>
      <c r="G152" s="69" t="s">
        <v>164</v>
      </c>
      <c r="H152" s="66" t="s">
        <v>85</v>
      </c>
      <c r="I152" s="69" t="s">
        <v>9</v>
      </c>
      <c r="J152" s="11" t="s">
        <v>105</v>
      </c>
      <c r="K152" s="12">
        <v>34675.47</v>
      </c>
      <c r="L152" s="12">
        <f t="shared" si="20"/>
        <v>34675.47</v>
      </c>
      <c r="M152" s="12">
        <v>0</v>
      </c>
      <c r="N152" s="12">
        <f>L152*16%</f>
        <v>5548.0752000000002</v>
      </c>
      <c r="O152" s="12">
        <f t="shared" si="22"/>
        <v>29127.394800000002</v>
      </c>
      <c r="P152" s="29">
        <v>10</v>
      </c>
    </row>
    <row r="153" spans="1:16" s="85" customFormat="1" ht="16.5" hidden="1" thickTop="1" thickBot="1" x14ac:dyDescent="0.3">
      <c r="A153" s="58" t="s">
        <v>111</v>
      </c>
      <c r="B153" s="25" t="s">
        <v>11</v>
      </c>
      <c r="C153" s="8" t="s">
        <v>0</v>
      </c>
      <c r="D153" s="7" t="s">
        <v>147</v>
      </c>
      <c r="E153" s="9" t="s">
        <v>154</v>
      </c>
      <c r="F153" s="10">
        <v>20</v>
      </c>
      <c r="G153" s="11" t="s">
        <v>148</v>
      </c>
      <c r="H153" s="7" t="s">
        <v>83</v>
      </c>
      <c r="I153" s="11" t="s">
        <v>30</v>
      </c>
      <c r="J153" s="11" t="s">
        <v>80</v>
      </c>
      <c r="K153" s="12">
        <v>690</v>
      </c>
      <c r="L153" s="12">
        <v>690</v>
      </c>
      <c r="M153" s="12">
        <v>0</v>
      </c>
      <c r="N153" s="12">
        <v>20.7</v>
      </c>
      <c r="O153" s="12">
        <f t="shared" ref="O153:O159" si="23">K153-N153</f>
        <v>669.3</v>
      </c>
      <c r="P153" s="29">
        <v>7</v>
      </c>
    </row>
    <row r="154" spans="1:16" s="85" customFormat="1" ht="16.5" hidden="1" thickTop="1" thickBot="1" x14ac:dyDescent="0.3">
      <c r="A154" s="58" t="s">
        <v>111</v>
      </c>
      <c r="B154" s="25" t="s">
        <v>11</v>
      </c>
      <c r="C154" s="8" t="s">
        <v>0</v>
      </c>
      <c r="D154" s="7" t="s">
        <v>147</v>
      </c>
      <c r="E154" s="9" t="s">
        <v>154</v>
      </c>
      <c r="F154" s="10">
        <v>20</v>
      </c>
      <c r="G154" s="11" t="s">
        <v>149</v>
      </c>
      <c r="H154" s="7" t="s">
        <v>83</v>
      </c>
      <c r="I154" s="11" t="s">
        <v>30</v>
      </c>
      <c r="J154" s="11" t="s">
        <v>110</v>
      </c>
      <c r="K154" s="12">
        <v>690</v>
      </c>
      <c r="L154" s="12">
        <v>690</v>
      </c>
      <c r="M154" s="12">
        <v>0</v>
      </c>
      <c r="N154" s="12">
        <v>20.7</v>
      </c>
      <c r="O154" s="12">
        <f t="shared" si="23"/>
        <v>669.3</v>
      </c>
      <c r="P154" s="29">
        <v>7</v>
      </c>
    </row>
    <row r="155" spans="1:16" s="85" customFormat="1" ht="16.5" hidden="1" thickTop="1" thickBot="1" x14ac:dyDescent="0.3">
      <c r="A155" s="58" t="s">
        <v>111</v>
      </c>
      <c r="B155" s="25" t="s">
        <v>11</v>
      </c>
      <c r="C155" s="8" t="s">
        <v>0</v>
      </c>
      <c r="D155" s="7" t="s">
        <v>147</v>
      </c>
      <c r="E155" s="9" t="s">
        <v>154</v>
      </c>
      <c r="F155" s="10">
        <v>20</v>
      </c>
      <c r="G155" s="11" t="s">
        <v>150</v>
      </c>
      <c r="H155" s="7" t="s">
        <v>83</v>
      </c>
      <c r="I155" s="11" t="s">
        <v>30</v>
      </c>
      <c r="J155" s="11" t="s">
        <v>110</v>
      </c>
      <c r="K155" s="12">
        <v>690</v>
      </c>
      <c r="L155" s="12">
        <v>690</v>
      </c>
      <c r="M155" s="12">
        <v>0</v>
      </c>
      <c r="N155" s="12">
        <v>20.7</v>
      </c>
      <c r="O155" s="12">
        <f t="shared" si="23"/>
        <v>669.3</v>
      </c>
      <c r="P155" s="29">
        <v>7</v>
      </c>
    </row>
    <row r="156" spans="1:16" s="85" customFormat="1" ht="16.5" hidden="1" thickTop="1" thickBot="1" x14ac:dyDescent="0.3">
      <c r="A156" s="58" t="s">
        <v>111</v>
      </c>
      <c r="B156" s="25" t="s">
        <v>11</v>
      </c>
      <c r="C156" s="8" t="s">
        <v>0</v>
      </c>
      <c r="D156" s="7" t="s">
        <v>147</v>
      </c>
      <c r="E156" s="9" t="s">
        <v>154</v>
      </c>
      <c r="F156" s="10">
        <v>20</v>
      </c>
      <c r="G156" s="11" t="s">
        <v>151</v>
      </c>
      <c r="H156" s="7" t="s">
        <v>83</v>
      </c>
      <c r="I156" s="11" t="s">
        <v>30</v>
      </c>
      <c r="J156" s="11" t="s">
        <v>105</v>
      </c>
      <c r="K156" s="12">
        <v>690</v>
      </c>
      <c r="L156" s="12">
        <v>690</v>
      </c>
      <c r="M156" s="12">
        <v>0</v>
      </c>
      <c r="N156" s="12">
        <v>20.7</v>
      </c>
      <c r="O156" s="12">
        <f t="shared" si="23"/>
        <v>669.3</v>
      </c>
      <c r="P156" s="29">
        <v>7</v>
      </c>
    </row>
    <row r="157" spans="1:16" s="85" customFormat="1" ht="16.5" hidden="1" thickTop="1" thickBot="1" x14ac:dyDescent="0.3">
      <c r="A157" s="58" t="s">
        <v>111</v>
      </c>
      <c r="B157" s="25" t="s">
        <v>11</v>
      </c>
      <c r="C157" s="8" t="s">
        <v>0</v>
      </c>
      <c r="D157" s="7" t="s">
        <v>147</v>
      </c>
      <c r="E157" s="9" t="s">
        <v>154</v>
      </c>
      <c r="F157" s="10">
        <v>20</v>
      </c>
      <c r="G157" s="11" t="s">
        <v>152</v>
      </c>
      <c r="H157" s="7" t="s">
        <v>83</v>
      </c>
      <c r="I157" s="11" t="s">
        <v>30</v>
      </c>
      <c r="J157" s="11" t="s">
        <v>105</v>
      </c>
      <c r="K157" s="12">
        <v>690</v>
      </c>
      <c r="L157" s="12">
        <v>690</v>
      </c>
      <c r="M157" s="12">
        <v>0</v>
      </c>
      <c r="N157" s="12">
        <v>20.7</v>
      </c>
      <c r="O157" s="12">
        <f t="shared" si="23"/>
        <v>669.3</v>
      </c>
      <c r="P157" s="29">
        <v>7</v>
      </c>
    </row>
    <row r="158" spans="1:16" s="85" customFormat="1" ht="16.5" hidden="1" thickTop="1" thickBot="1" x14ac:dyDescent="0.3">
      <c r="A158" s="74" t="s">
        <v>111</v>
      </c>
      <c r="B158" s="25" t="s">
        <v>11</v>
      </c>
      <c r="C158" s="8" t="s">
        <v>61</v>
      </c>
      <c r="D158" s="7" t="s">
        <v>147</v>
      </c>
      <c r="E158" s="9" t="s">
        <v>63</v>
      </c>
      <c r="F158" s="10">
        <v>20</v>
      </c>
      <c r="G158" s="11" t="s">
        <v>92</v>
      </c>
      <c r="H158" s="7" t="s">
        <v>83</v>
      </c>
      <c r="I158" s="11" t="s">
        <v>30</v>
      </c>
      <c r="J158" s="11" t="s">
        <v>80</v>
      </c>
      <c r="K158" s="12">
        <v>690</v>
      </c>
      <c r="L158" s="12">
        <v>690</v>
      </c>
      <c r="M158" s="12">
        <v>0</v>
      </c>
      <c r="N158" s="12">
        <v>34.5</v>
      </c>
      <c r="O158" s="12">
        <f t="shared" si="23"/>
        <v>655.5</v>
      </c>
      <c r="P158" s="29">
        <v>7</v>
      </c>
    </row>
    <row r="159" spans="1:16" s="85" customFormat="1" ht="16.5" hidden="1" thickTop="1" thickBot="1" x14ac:dyDescent="0.3">
      <c r="A159" s="58" t="s">
        <v>111</v>
      </c>
      <c r="B159" s="25" t="s">
        <v>11</v>
      </c>
      <c r="C159" s="8" t="s">
        <v>62</v>
      </c>
      <c r="D159" s="7" t="s">
        <v>147</v>
      </c>
      <c r="E159" s="9" t="s">
        <v>154</v>
      </c>
      <c r="F159" s="10">
        <v>20</v>
      </c>
      <c r="G159" s="11" t="s">
        <v>49</v>
      </c>
      <c r="H159" s="7" t="s">
        <v>85</v>
      </c>
      <c r="I159" s="11" t="s">
        <v>30</v>
      </c>
      <c r="J159" s="11" t="s">
        <v>105</v>
      </c>
      <c r="K159" s="12">
        <v>1290</v>
      </c>
      <c r="L159" s="12">
        <v>1290</v>
      </c>
      <c r="M159" s="12">
        <v>0</v>
      </c>
      <c r="N159" s="12">
        <v>64.5</v>
      </c>
      <c r="O159" s="12">
        <f t="shared" si="23"/>
        <v>1225.5</v>
      </c>
      <c r="P159" s="29">
        <v>7</v>
      </c>
    </row>
    <row r="160" spans="1:16" s="85" customFormat="1" ht="16.5" hidden="1" thickTop="1" thickBot="1" x14ac:dyDescent="0.3">
      <c r="A160" s="58" t="s">
        <v>111</v>
      </c>
      <c r="B160" s="25" t="s">
        <v>11</v>
      </c>
      <c r="C160" s="8" t="s">
        <v>62</v>
      </c>
      <c r="D160" s="7" t="s">
        <v>147</v>
      </c>
      <c r="E160" s="9" t="s">
        <v>154</v>
      </c>
      <c r="F160" s="10">
        <v>20</v>
      </c>
      <c r="G160" s="11" t="s">
        <v>50</v>
      </c>
      <c r="H160" s="7" t="s">
        <v>85</v>
      </c>
      <c r="I160" s="11" t="s">
        <v>30</v>
      </c>
      <c r="J160" s="11" t="s">
        <v>105</v>
      </c>
      <c r="K160" s="12">
        <v>690</v>
      </c>
      <c r="L160" s="12">
        <v>690</v>
      </c>
      <c r="M160" s="12">
        <v>0</v>
      </c>
      <c r="N160" s="12">
        <v>20.7</v>
      </c>
      <c r="O160" s="12">
        <f>L160-N160</f>
        <v>669.3</v>
      </c>
      <c r="P160" s="29">
        <v>7</v>
      </c>
    </row>
    <row r="161" spans="1:16" s="85" customFormat="1" ht="16.5" hidden="1" thickTop="1" thickBot="1" x14ac:dyDescent="0.3">
      <c r="A161" s="74" t="s">
        <v>111</v>
      </c>
      <c r="B161" s="25" t="s">
        <v>11</v>
      </c>
      <c r="C161" s="8" t="s">
        <v>0</v>
      </c>
      <c r="D161" s="7" t="s">
        <v>147</v>
      </c>
      <c r="E161" s="9" t="s">
        <v>154</v>
      </c>
      <c r="F161" s="10">
        <v>20</v>
      </c>
      <c r="G161" s="11" t="s">
        <v>72</v>
      </c>
      <c r="H161" s="7" t="s">
        <v>83</v>
      </c>
      <c r="I161" s="11" t="s">
        <v>30</v>
      </c>
      <c r="J161" s="11" t="s">
        <v>109</v>
      </c>
      <c r="K161" s="12">
        <v>690</v>
      </c>
      <c r="L161" s="12">
        <f t="shared" ref="L161:L173" si="24">K161</f>
        <v>690</v>
      </c>
      <c r="M161" s="12">
        <v>0</v>
      </c>
      <c r="N161" s="12">
        <v>20.7</v>
      </c>
      <c r="O161" s="12">
        <f>K161-N161</f>
        <v>669.3</v>
      </c>
      <c r="P161" s="29">
        <v>7</v>
      </c>
    </row>
    <row r="162" spans="1:16" s="86" customFormat="1" ht="16.5" hidden="1" thickTop="1" thickBot="1" x14ac:dyDescent="0.3">
      <c r="A162" s="74" t="s">
        <v>111</v>
      </c>
      <c r="B162" s="64" t="s">
        <v>11</v>
      </c>
      <c r="C162" s="65" t="s">
        <v>0</v>
      </c>
      <c r="D162" s="66" t="s">
        <v>79</v>
      </c>
      <c r="E162" s="67" t="s">
        <v>153</v>
      </c>
      <c r="F162" s="68">
        <v>5</v>
      </c>
      <c r="G162" s="69" t="s">
        <v>163</v>
      </c>
      <c r="H162" s="66" t="s">
        <v>85</v>
      </c>
      <c r="I162" s="69" t="s">
        <v>20</v>
      </c>
      <c r="J162" s="69" t="s">
        <v>105</v>
      </c>
      <c r="K162" s="70">
        <v>53183.71</v>
      </c>
      <c r="L162" s="70">
        <f t="shared" si="24"/>
        <v>53183.71</v>
      </c>
      <c r="M162" s="70"/>
      <c r="N162" s="70">
        <v>7445.72</v>
      </c>
      <c r="O162" s="70">
        <f>L162-N162</f>
        <v>45737.99</v>
      </c>
      <c r="P162" s="71">
        <v>10</v>
      </c>
    </row>
    <row r="163" spans="1:16" s="85" customFormat="1" ht="16.5" hidden="1" thickTop="1" thickBot="1" x14ac:dyDescent="0.3">
      <c r="A163" s="58" t="s">
        <v>111</v>
      </c>
      <c r="B163" s="25" t="s">
        <v>11</v>
      </c>
      <c r="C163" s="8" t="s">
        <v>0</v>
      </c>
      <c r="D163" s="7" t="s">
        <v>79</v>
      </c>
      <c r="E163" s="9" t="s">
        <v>153</v>
      </c>
      <c r="F163" s="10">
        <v>20</v>
      </c>
      <c r="G163" s="11" t="s">
        <v>159</v>
      </c>
      <c r="H163" s="7" t="s">
        <v>161</v>
      </c>
      <c r="I163" s="11" t="s">
        <v>20</v>
      </c>
      <c r="J163" s="11" t="s">
        <v>105</v>
      </c>
      <c r="K163" s="12">
        <v>7258.52</v>
      </c>
      <c r="L163" s="12">
        <f t="shared" si="24"/>
        <v>7258.52</v>
      </c>
      <c r="M163" s="12"/>
      <c r="N163" s="12">
        <v>1016.2</v>
      </c>
      <c r="O163" s="12">
        <f>L163-N163</f>
        <v>6242.3200000000006</v>
      </c>
      <c r="P163" s="29">
        <v>10</v>
      </c>
    </row>
    <row r="164" spans="1:16" s="85" customFormat="1" ht="16.5" hidden="1" thickTop="1" thickBot="1" x14ac:dyDescent="0.3">
      <c r="A164" s="58" t="s">
        <v>111</v>
      </c>
      <c r="B164" s="25" t="s">
        <v>11</v>
      </c>
      <c r="C164" s="8" t="s">
        <v>0</v>
      </c>
      <c r="D164" s="7" t="s">
        <v>79</v>
      </c>
      <c r="E164" s="9" t="s">
        <v>153</v>
      </c>
      <c r="F164" s="10">
        <v>20</v>
      </c>
      <c r="G164" s="11" t="s">
        <v>162</v>
      </c>
      <c r="H164" s="7" t="s">
        <v>160</v>
      </c>
      <c r="I164" s="11" t="s">
        <v>20</v>
      </c>
      <c r="J164" s="11" t="s">
        <v>105</v>
      </c>
      <c r="K164" s="12">
        <v>4839.0200000000004</v>
      </c>
      <c r="L164" s="12">
        <f t="shared" si="24"/>
        <v>4839.0200000000004</v>
      </c>
      <c r="M164" s="12"/>
      <c r="N164" s="12">
        <v>677.46</v>
      </c>
      <c r="O164" s="12">
        <f>L164-N164</f>
        <v>4161.5600000000004</v>
      </c>
      <c r="P164" s="29">
        <v>10</v>
      </c>
    </row>
    <row r="165" spans="1:16" s="85" customFormat="1" ht="16.5" hidden="1" thickTop="1" thickBot="1" x14ac:dyDescent="0.3">
      <c r="A165" s="58" t="s">
        <v>111</v>
      </c>
      <c r="B165" s="25" t="s">
        <v>11</v>
      </c>
      <c r="C165" s="8" t="s">
        <v>0</v>
      </c>
      <c r="D165" s="7" t="s">
        <v>79</v>
      </c>
      <c r="E165" s="9" t="s">
        <v>153</v>
      </c>
      <c r="F165" s="10">
        <v>5</v>
      </c>
      <c r="G165" s="11" t="s">
        <v>24</v>
      </c>
      <c r="H165" s="7" t="s">
        <v>83</v>
      </c>
      <c r="I165" s="11" t="s">
        <v>7</v>
      </c>
      <c r="J165" s="11" t="s">
        <v>80</v>
      </c>
      <c r="K165" s="12">
        <v>61581.4</v>
      </c>
      <c r="L165" s="12">
        <f t="shared" si="24"/>
        <v>61581.4</v>
      </c>
      <c r="M165" s="12">
        <v>0</v>
      </c>
      <c r="N165" s="12">
        <v>8621.39</v>
      </c>
      <c r="O165" s="12">
        <f>L165+M165-N165</f>
        <v>52960.01</v>
      </c>
      <c r="P165" s="29">
        <v>23</v>
      </c>
    </row>
    <row r="166" spans="1:16" s="85" customFormat="1" ht="16.5" hidden="1" thickTop="1" thickBot="1" x14ac:dyDescent="0.3">
      <c r="A166" s="58" t="s">
        <v>111</v>
      </c>
      <c r="B166" s="25" t="s">
        <v>13</v>
      </c>
      <c r="C166" s="8" t="s">
        <v>0</v>
      </c>
      <c r="D166" s="7" t="s">
        <v>79</v>
      </c>
      <c r="E166" s="9" t="s">
        <v>153</v>
      </c>
      <c r="F166" s="10">
        <v>5</v>
      </c>
      <c r="G166" s="11" t="s">
        <v>24</v>
      </c>
      <c r="H166" s="7" t="s">
        <v>83</v>
      </c>
      <c r="I166" s="11" t="s">
        <v>9</v>
      </c>
      <c r="J166" s="11" t="s">
        <v>80</v>
      </c>
      <c r="K166" s="12">
        <v>12949</v>
      </c>
      <c r="L166" s="12">
        <f t="shared" si="24"/>
        <v>12949</v>
      </c>
      <c r="M166" s="12">
        <v>0</v>
      </c>
      <c r="N166" s="12">
        <f>L166*16%</f>
        <v>2071.84</v>
      </c>
      <c r="O166" s="12">
        <f>L166+M166-N166</f>
        <v>10877.16</v>
      </c>
      <c r="P166" s="29">
        <v>23</v>
      </c>
    </row>
    <row r="167" spans="1:16" s="85" customFormat="1" ht="16.5" hidden="1" thickTop="1" thickBot="1" x14ac:dyDescent="0.3">
      <c r="A167" s="58" t="s">
        <v>111</v>
      </c>
      <c r="B167" s="25" t="s">
        <v>10</v>
      </c>
      <c r="C167" s="8" t="s">
        <v>0</v>
      </c>
      <c r="D167" s="7" t="s">
        <v>79</v>
      </c>
      <c r="E167" s="9" t="s">
        <v>153</v>
      </c>
      <c r="F167" s="10">
        <v>5</v>
      </c>
      <c r="G167" s="11" t="s">
        <v>24</v>
      </c>
      <c r="H167" s="7" t="s">
        <v>83</v>
      </c>
      <c r="I167" s="11" t="s">
        <v>96</v>
      </c>
      <c r="J167" s="11" t="s">
        <v>80</v>
      </c>
      <c r="K167" s="12">
        <v>1500</v>
      </c>
      <c r="L167" s="12">
        <f t="shared" si="24"/>
        <v>1500</v>
      </c>
      <c r="M167" s="12">
        <v>0</v>
      </c>
      <c r="N167" s="12">
        <v>0</v>
      </c>
      <c r="O167" s="12">
        <v>1500</v>
      </c>
      <c r="P167" s="29">
        <v>23</v>
      </c>
    </row>
    <row r="168" spans="1:16" s="85" customFormat="1" ht="16.5" hidden="1" thickTop="1" thickBot="1" x14ac:dyDescent="0.3">
      <c r="A168" s="58" t="s">
        <v>111</v>
      </c>
      <c r="B168" s="25" t="s">
        <v>5</v>
      </c>
      <c r="C168" s="8" t="s">
        <v>25</v>
      </c>
      <c r="D168" s="7" t="s">
        <v>79</v>
      </c>
      <c r="E168" s="9" t="s">
        <v>153</v>
      </c>
      <c r="F168" s="10">
        <v>5</v>
      </c>
      <c r="G168" s="11" t="s">
        <v>26</v>
      </c>
      <c r="H168" s="7" t="s">
        <v>83</v>
      </c>
      <c r="I168" s="11" t="s">
        <v>7</v>
      </c>
      <c r="J168" s="11" t="s">
        <v>80</v>
      </c>
      <c r="K168" s="12">
        <v>21868.658146266753</v>
      </c>
      <c r="L168" s="12">
        <f t="shared" si="24"/>
        <v>21868.658146266753</v>
      </c>
      <c r="M168" s="12">
        <v>0</v>
      </c>
      <c r="N168" s="12">
        <f t="shared" ref="N168:N173" si="25">L168*16%</f>
        <v>3498.9853034026805</v>
      </c>
      <c r="O168" s="12">
        <f t="shared" ref="O168:O173" si="26">L168+M168-N168</f>
        <v>18369.672842864071</v>
      </c>
      <c r="P168" s="29">
        <v>24</v>
      </c>
    </row>
    <row r="169" spans="1:16" s="85" customFormat="1" ht="16.5" hidden="1" thickTop="1" thickBot="1" x14ac:dyDescent="0.3">
      <c r="A169" s="58" t="s">
        <v>111</v>
      </c>
      <c r="B169" s="25" t="s">
        <v>5</v>
      </c>
      <c r="C169" s="8" t="s">
        <v>25</v>
      </c>
      <c r="D169" s="7" t="s">
        <v>79</v>
      </c>
      <c r="E169" s="9" t="s">
        <v>153</v>
      </c>
      <c r="F169" s="10">
        <v>5</v>
      </c>
      <c r="G169" s="11" t="s">
        <v>26</v>
      </c>
      <c r="H169" s="7" t="s">
        <v>83</v>
      </c>
      <c r="I169" s="11" t="s">
        <v>9</v>
      </c>
      <c r="J169" s="11" t="s">
        <v>80</v>
      </c>
      <c r="K169" s="12">
        <v>4791.7362231179995</v>
      </c>
      <c r="L169" s="12">
        <f t="shared" si="24"/>
        <v>4791.7362231179995</v>
      </c>
      <c r="M169" s="12">
        <v>0</v>
      </c>
      <c r="N169" s="12">
        <f t="shared" si="25"/>
        <v>766.67779569887989</v>
      </c>
      <c r="O169" s="12">
        <f t="shared" si="26"/>
        <v>4025.0584274191197</v>
      </c>
      <c r="P169" s="29">
        <v>24</v>
      </c>
    </row>
    <row r="170" spans="1:16" s="85" customFormat="1" ht="16.5" hidden="1" thickTop="1" thickBot="1" x14ac:dyDescent="0.3">
      <c r="A170" s="58" t="s">
        <v>111</v>
      </c>
      <c r="B170" s="25" t="s">
        <v>5</v>
      </c>
      <c r="C170" s="8" t="s">
        <v>25</v>
      </c>
      <c r="D170" s="7" t="s">
        <v>79</v>
      </c>
      <c r="E170" s="9" t="s">
        <v>153</v>
      </c>
      <c r="F170" s="10">
        <v>5</v>
      </c>
      <c r="G170" s="11" t="s">
        <v>27</v>
      </c>
      <c r="H170" s="7" t="s">
        <v>83</v>
      </c>
      <c r="I170" s="11" t="s">
        <v>141</v>
      </c>
      <c r="J170" s="11" t="s">
        <v>80</v>
      </c>
      <c r="K170" s="12">
        <v>6193.06</v>
      </c>
      <c r="L170" s="12">
        <f t="shared" si="24"/>
        <v>6193.06</v>
      </c>
      <c r="M170" s="12">
        <v>0</v>
      </c>
      <c r="N170" s="12">
        <f t="shared" si="25"/>
        <v>990.88960000000009</v>
      </c>
      <c r="O170" s="12">
        <f t="shared" si="26"/>
        <v>5202.1704</v>
      </c>
      <c r="P170" s="29">
        <v>24</v>
      </c>
    </row>
    <row r="171" spans="1:16" s="85" customFormat="1" ht="16.5" hidden="1" thickTop="1" thickBot="1" x14ac:dyDescent="0.3">
      <c r="A171" s="58" t="s">
        <v>111</v>
      </c>
      <c r="B171" s="25" t="s">
        <v>5</v>
      </c>
      <c r="C171" s="8" t="s">
        <v>25</v>
      </c>
      <c r="D171" s="7" t="s">
        <v>79</v>
      </c>
      <c r="E171" s="9" t="s">
        <v>153</v>
      </c>
      <c r="F171" s="10">
        <v>5</v>
      </c>
      <c r="G171" s="11" t="s">
        <v>27</v>
      </c>
      <c r="H171" s="7" t="s">
        <v>83</v>
      </c>
      <c r="I171" s="11" t="s">
        <v>7</v>
      </c>
      <c r="J171" s="11" t="s">
        <v>80</v>
      </c>
      <c r="K171" s="12">
        <v>21868.658146266745</v>
      </c>
      <c r="L171" s="12">
        <f t="shared" si="24"/>
        <v>21868.658146266745</v>
      </c>
      <c r="M171" s="12">
        <v>0</v>
      </c>
      <c r="N171" s="12">
        <f t="shared" si="25"/>
        <v>3498.9853034026792</v>
      </c>
      <c r="O171" s="12">
        <f t="shared" si="26"/>
        <v>18369.672842864067</v>
      </c>
      <c r="P171" s="29">
        <v>24</v>
      </c>
    </row>
    <row r="172" spans="1:16" s="85" customFormat="1" ht="16.5" hidden="1" thickTop="1" thickBot="1" x14ac:dyDescent="0.3">
      <c r="A172" s="58" t="s">
        <v>111</v>
      </c>
      <c r="B172" s="25" t="s">
        <v>5</v>
      </c>
      <c r="C172" s="8" t="s">
        <v>25</v>
      </c>
      <c r="D172" s="7" t="s">
        <v>79</v>
      </c>
      <c r="E172" s="9" t="s">
        <v>153</v>
      </c>
      <c r="F172" s="10">
        <v>5</v>
      </c>
      <c r="G172" s="11" t="s">
        <v>27</v>
      </c>
      <c r="H172" s="7" t="s">
        <v>83</v>
      </c>
      <c r="I172" s="11" t="s">
        <v>9</v>
      </c>
      <c r="J172" s="11" t="s">
        <v>80</v>
      </c>
      <c r="K172" s="12">
        <v>4791.7362231179995</v>
      </c>
      <c r="L172" s="12">
        <f t="shared" si="24"/>
        <v>4791.7362231179995</v>
      </c>
      <c r="M172" s="12">
        <v>0</v>
      </c>
      <c r="N172" s="12">
        <f t="shared" si="25"/>
        <v>766.67779569887989</v>
      </c>
      <c r="O172" s="12">
        <f t="shared" si="26"/>
        <v>4025.0584274191197</v>
      </c>
      <c r="P172" s="29">
        <v>24</v>
      </c>
    </row>
    <row r="173" spans="1:16" s="85" customFormat="1" ht="16.5" hidden="1" thickTop="1" thickBot="1" x14ac:dyDescent="0.3">
      <c r="A173" s="58" t="s">
        <v>111</v>
      </c>
      <c r="B173" s="25" t="s">
        <v>5</v>
      </c>
      <c r="C173" s="8" t="s">
        <v>25</v>
      </c>
      <c r="D173" s="7" t="s">
        <v>79</v>
      </c>
      <c r="E173" s="9" t="s">
        <v>153</v>
      </c>
      <c r="F173" s="10">
        <v>5</v>
      </c>
      <c r="G173" s="11" t="s">
        <v>27</v>
      </c>
      <c r="H173" s="7" t="s">
        <v>83</v>
      </c>
      <c r="I173" s="11" t="s">
        <v>113</v>
      </c>
      <c r="J173" s="11" t="s">
        <v>80</v>
      </c>
      <c r="K173" s="12">
        <v>2015.0660041200001</v>
      </c>
      <c r="L173" s="12">
        <f t="shared" si="24"/>
        <v>2015.0660041200001</v>
      </c>
      <c r="M173" s="12">
        <v>0</v>
      </c>
      <c r="N173" s="12">
        <f t="shared" si="25"/>
        <v>322.41056065920003</v>
      </c>
      <c r="O173" s="12">
        <f t="shared" si="26"/>
        <v>1692.6554434608001</v>
      </c>
      <c r="P173" s="29">
        <v>24</v>
      </c>
    </row>
    <row r="174" spans="1:16" s="85" customFormat="1" ht="16.5" hidden="1" thickTop="1" thickBot="1" x14ac:dyDescent="0.3">
      <c r="A174" s="58" t="s">
        <v>111</v>
      </c>
      <c r="B174" s="25" t="s">
        <v>22</v>
      </c>
      <c r="C174" s="8" t="s">
        <v>25</v>
      </c>
      <c r="D174" s="7" t="s">
        <v>79</v>
      </c>
      <c r="E174" s="9" t="s">
        <v>153</v>
      </c>
      <c r="F174" s="10">
        <v>20</v>
      </c>
      <c r="G174" s="11" t="s">
        <v>29</v>
      </c>
      <c r="H174" s="7" t="s">
        <v>83</v>
      </c>
      <c r="I174" s="11" t="s">
        <v>9</v>
      </c>
      <c r="J174" s="11" t="s">
        <v>80</v>
      </c>
      <c r="K174" s="12">
        <v>3734.51</v>
      </c>
      <c r="L174" s="12"/>
      <c r="M174" s="12">
        <v>0</v>
      </c>
      <c r="N174" s="12">
        <v>0</v>
      </c>
      <c r="O174" s="12">
        <f>K174</f>
        <v>3734.51</v>
      </c>
      <c r="P174" s="29">
        <v>10</v>
      </c>
    </row>
    <row r="175" spans="1:16" s="85" customFormat="1" ht="16.5" hidden="1" thickTop="1" thickBot="1" x14ac:dyDescent="0.3">
      <c r="A175" s="58" t="s">
        <v>111</v>
      </c>
      <c r="B175" s="25" t="s">
        <v>22</v>
      </c>
      <c r="C175" s="8" t="s">
        <v>25</v>
      </c>
      <c r="D175" s="7" t="s">
        <v>79</v>
      </c>
      <c r="E175" s="9" t="s">
        <v>153</v>
      </c>
      <c r="F175" s="10">
        <v>20</v>
      </c>
      <c r="G175" s="13" t="s">
        <v>31</v>
      </c>
      <c r="H175" s="7" t="s">
        <v>83</v>
      </c>
      <c r="I175" s="11" t="s">
        <v>7</v>
      </c>
      <c r="J175" s="11" t="s">
        <v>80</v>
      </c>
      <c r="K175" s="12">
        <v>19669</v>
      </c>
      <c r="L175" s="12">
        <f t="shared" ref="L175:L187" si="27">K175</f>
        <v>19669</v>
      </c>
      <c r="M175" s="12">
        <v>0</v>
      </c>
      <c r="N175" s="12">
        <v>0</v>
      </c>
      <c r="O175" s="12">
        <f>L175+M175-N175</f>
        <v>19669</v>
      </c>
      <c r="P175" s="29">
        <v>30</v>
      </c>
    </row>
    <row r="176" spans="1:16" s="85" customFormat="1" ht="16.5" hidden="1" thickTop="1" thickBot="1" x14ac:dyDescent="0.3">
      <c r="A176" s="58" t="s">
        <v>111</v>
      </c>
      <c r="B176" s="25" t="s">
        <v>5</v>
      </c>
      <c r="C176" s="8" t="s">
        <v>25</v>
      </c>
      <c r="D176" s="7" t="s">
        <v>79</v>
      </c>
      <c r="E176" s="9" t="s">
        <v>153</v>
      </c>
      <c r="F176" s="10">
        <v>20</v>
      </c>
      <c r="G176" s="11" t="s">
        <v>32</v>
      </c>
      <c r="H176" s="7" t="s">
        <v>83</v>
      </c>
      <c r="I176" s="11" t="s">
        <v>7</v>
      </c>
      <c r="J176" s="11" t="s">
        <v>80</v>
      </c>
      <c r="K176" s="12">
        <v>21216.65</v>
      </c>
      <c r="L176" s="12">
        <f t="shared" si="27"/>
        <v>21216.65</v>
      </c>
      <c r="M176" s="12">
        <v>0</v>
      </c>
      <c r="N176" s="12">
        <v>1008.00076721625</v>
      </c>
      <c r="O176" s="12">
        <f>L176+M176-N176</f>
        <v>20208.649232783751</v>
      </c>
      <c r="P176" s="29">
        <v>10</v>
      </c>
    </row>
    <row r="177" spans="1:16" s="85" customFormat="1" ht="16.5" hidden="1" thickTop="1" thickBot="1" x14ac:dyDescent="0.3">
      <c r="A177" s="58" t="s">
        <v>111</v>
      </c>
      <c r="B177" s="25" t="s">
        <v>5</v>
      </c>
      <c r="C177" s="8" t="s">
        <v>25</v>
      </c>
      <c r="D177" s="7" t="s">
        <v>79</v>
      </c>
      <c r="E177" s="9" t="s">
        <v>153</v>
      </c>
      <c r="F177" s="10">
        <v>20</v>
      </c>
      <c r="G177" s="11" t="s">
        <v>32</v>
      </c>
      <c r="H177" s="7" t="s">
        <v>83</v>
      </c>
      <c r="I177" s="11" t="s">
        <v>97</v>
      </c>
      <c r="J177" s="11" t="s">
        <v>80</v>
      </c>
      <c r="K177" s="12">
        <v>10578.83</v>
      </c>
      <c r="L177" s="12">
        <f t="shared" si="27"/>
        <v>10578.83</v>
      </c>
      <c r="M177" s="12">
        <v>0</v>
      </c>
      <c r="N177" s="12">
        <v>502.66571759999999</v>
      </c>
      <c r="O177" s="12">
        <f>L177+M177-N177</f>
        <v>10076.164282399999</v>
      </c>
      <c r="P177" s="29">
        <v>10</v>
      </c>
    </row>
    <row r="178" spans="1:16" s="85" customFormat="1" ht="16.5" hidden="1" thickTop="1" thickBot="1" x14ac:dyDescent="0.3">
      <c r="A178" s="74" t="s">
        <v>111</v>
      </c>
      <c r="B178" s="25" t="s">
        <v>11</v>
      </c>
      <c r="C178" s="8" t="s">
        <v>25</v>
      </c>
      <c r="D178" s="7" t="s">
        <v>79</v>
      </c>
      <c r="E178" s="9" t="s">
        <v>154</v>
      </c>
      <c r="F178" s="10">
        <v>20</v>
      </c>
      <c r="G178" s="11" t="s">
        <v>32</v>
      </c>
      <c r="H178" s="7" t="s">
        <v>83</v>
      </c>
      <c r="I178" s="11" t="s">
        <v>30</v>
      </c>
      <c r="J178" s="11" t="s">
        <v>80</v>
      </c>
      <c r="K178" s="12">
        <v>230</v>
      </c>
      <c r="L178" s="12">
        <f t="shared" si="27"/>
        <v>230</v>
      </c>
      <c r="M178" s="12">
        <v>0</v>
      </c>
      <c r="N178" s="12">
        <v>10</v>
      </c>
      <c r="O178" s="12">
        <v>190</v>
      </c>
      <c r="P178" s="29">
        <v>10</v>
      </c>
    </row>
    <row r="179" spans="1:16" s="85" customFormat="1" ht="16.5" hidden="1" thickTop="1" thickBot="1" x14ac:dyDescent="0.3">
      <c r="A179" s="58" t="s">
        <v>111</v>
      </c>
      <c r="B179" s="25" t="s">
        <v>5</v>
      </c>
      <c r="C179" s="8" t="s">
        <v>25</v>
      </c>
      <c r="D179" s="7" t="s">
        <v>79</v>
      </c>
      <c r="E179" s="9" t="s">
        <v>153</v>
      </c>
      <c r="F179" s="10">
        <v>20</v>
      </c>
      <c r="G179" s="11" t="s">
        <v>146</v>
      </c>
      <c r="H179" s="7" t="s">
        <v>83</v>
      </c>
      <c r="I179" s="11" t="s">
        <v>145</v>
      </c>
      <c r="J179" s="11" t="s">
        <v>80</v>
      </c>
      <c r="K179" s="12">
        <v>10637.82</v>
      </c>
      <c r="L179" s="12">
        <f t="shared" si="27"/>
        <v>10637.82</v>
      </c>
      <c r="M179" s="12">
        <v>0</v>
      </c>
      <c r="N179" s="12">
        <v>505.32979499999999</v>
      </c>
      <c r="O179" s="12">
        <f>L179+M179-N179</f>
        <v>10132.490205</v>
      </c>
      <c r="P179" s="29">
        <v>10</v>
      </c>
    </row>
    <row r="180" spans="1:16" s="85" customFormat="1" ht="16.5" hidden="1" thickTop="1" thickBot="1" x14ac:dyDescent="0.3">
      <c r="A180" s="58" t="s">
        <v>111</v>
      </c>
      <c r="B180" s="25" t="s">
        <v>5</v>
      </c>
      <c r="C180" s="8" t="s">
        <v>25</v>
      </c>
      <c r="D180" s="7" t="s">
        <v>79</v>
      </c>
      <c r="E180" s="9" t="s">
        <v>153</v>
      </c>
      <c r="F180" s="10">
        <v>20</v>
      </c>
      <c r="G180" s="11" t="s">
        <v>146</v>
      </c>
      <c r="H180" s="7" t="s">
        <v>83</v>
      </c>
      <c r="I180" s="11" t="s">
        <v>7</v>
      </c>
      <c r="J180" s="11" t="s">
        <v>80</v>
      </c>
      <c r="K180" s="12">
        <v>10048.870000000001</v>
      </c>
      <c r="L180" s="12">
        <f t="shared" si="27"/>
        <v>10048.870000000001</v>
      </c>
      <c r="M180" s="12">
        <v>0</v>
      </c>
      <c r="N180" s="12">
        <v>481.34</v>
      </c>
      <c r="O180" s="12">
        <f>K180-N180</f>
        <v>9567.5300000000007</v>
      </c>
      <c r="P180" s="29">
        <v>10</v>
      </c>
    </row>
    <row r="181" spans="1:16" s="85" customFormat="1" ht="16.5" hidden="1" thickTop="1" thickBot="1" x14ac:dyDescent="0.3">
      <c r="A181" s="58" t="s">
        <v>111</v>
      </c>
      <c r="B181" s="25" t="s">
        <v>5</v>
      </c>
      <c r="C181" s="8" t="s">
        <v>25</v>
      </c>
      <c r="D181" s="7" t="s">
        <v>79</v>
      </c>
      <c r="E181" s="9" t="s">
        <v>153</v>
      </c>
      <c r="F181" s="10">
        <v>20</v>
      </c>
      <c r="G181" s="11" t="s">
        <v>32</v>
      </c>
      <c r="H181" s="7" t="s">
        <v>83</v>
      </c>
      <c r="I181" s="11" t="s">
        <v>98</v>
      </c>
      <c r="J181" s="11" t="s">
        <v>80</v>
      </c>
      <c r="K181" s="12">
        <v>14293.174999999999</v>
      </c>
      <c r="L181" s="12">
        <f t="shared" si="27"/>
        <v>14293.174999999999</v>
      </c>
      <c r="M181" s="12">
        <v>0</v>
      </c>
      <c r="N181" s="12">
        <v>646.75</v>
      </c>
      <c r="O181" s="12">
        <f>L181+M181-N181</f>
        <v>13646.424999999999</v>
      </c>
      <c r="P181" s="29">
        <v>10</v>
      </c>
    </row>
    <row r="182" spans="1:16" s="85" customFormat="1" ht="16.5" hidden="1" thickTop="1" thickBot="1" x14ac:dyDescent="0.3">
      <c r="A182" s="58" t="s">
        <v>111</v>
      </c>
      <c r="B182" s="25" t="s">
        <v>10</v>
      </c>
      <c r="C182" s="8" t="s">
        <v>25</v>
      </c>
      <c r="D182" s="7" t="s">
        <v>79</v>
      </c>
      <c r="E182" s="9" t="s">
        <v>153</v>
      </c>
      <c r="F182" s="10">
        <v>20</v>
      </c>
      <c r="G182" s="11" t="s">
        <v>32</v>
      </c>
      <c r="H182" s="7" t="s">
        <v>83</v>
      </c>
      <c r="I182" s="11" t="s">
        <v>96</v>
      </c>
      <c r="J182" s="11" t="s">
        <v>80</v>
      </c>
      <c r="K182" s="12">
        <v>2000</v>
      </c>
      <c r="L182" s="12">
        <f t="shared" si="27"/>
        <v>2000</v>
      </c>
      <c r="M182" s="12">
        <v>0</v>
      </c>
      <c r="N182" s="12">
        <v>0</v>
      </c>
      <c r="O182" s="12">
        <v>2000</v>
      </c>
      <c r="P182" s="29">
        <v>10</v>
      </c>
    </row>
    <row r="183" spans="1:16" s="85" customFormat="1" ht="16.5" hidden="1" thickTop="1" thickBot="1" x14ac:dyDescent="0.3">
      <c r="A183" s="58" t="s">
        <v>111</v>
      </c>
      <c r="B183" s="25" t="s">
        <v>11</v>
      </c>
      <c r="C183" s="8" t="s">
        <v>25</v>
      </c>
      <c r="D183" s="7" t="s">
        <v>79</v>
      </c>
      <c r="E183" s="9" t="s">
        <v>153</v>
      </c>
      <c r="F183" s="10">
        <v>15</v>
      </c>
      <c r="G183" s="11" t="s">
        <v>33</v>
      </c>
      <c r="H183" s="7" t="s">
        <v>83</v>
      </c>
      <c r="I183" s="11" t="s">
        <v>7</v>
      </c>
      <c r="J183" s="11" t="s">
        <v>80</v>
      </c>
      <c r="K183" s="12">
        <v>22528.080000000002</v>
      </c>
      <c r="L183" s="12">
        <f t="shared" si="27"/>
        <v>22528.080000000002</v>
      </c>
      <c r="M183" s="12">
        <v>0</v>
      </c>
      <c r="N183" s="12">
        <f>L183*16%</f>
        <v>3604.4928000000004</v>
      </c>
      <c r="O183" s="12">
        <f>L183+M183-N183</f>
        <v>18923.587200000002</v>
      </c>
      <c r="P183" s="29">
        <v>28</v>
      </c>
    </row>
    <row r="184" spans="1:16" s="85" customFormat="1" ht="16.5" hidden="1" thickTop="1" thickBot="1" x14ac:dyDescent="0.3">
      <c r="A184" s="58" t="s">
        <v>111</v>
      </c>
      <c r="B184" s="25" t="s">
        <v>22</v>
      </c>
      <c r="C184" s="8" t="s">
        <v>25</v>
      </c>
      <c r="D184" s="7" t="s">
        <v>79</v>
      </c>
      <c r="E184" s="9" t="s">
        <v>153</v>
      </c>
      <c r="F184" s="10">
        <v>15</v>
      </c>
      <c r="G184" s="11" t="s">
        <v>120</v>
      </c>
      <c r="H184" s="7" t="s">
        <v>83</v>
      </c>
      <c r="I184" s="11" t="s">
        <v>9</v>
      </c>
      <c r="J184" s="11" t="s">
        <v>80</v>
      </c>
      <c r="K184" s="12">
        <v>4285.72</v>
      </c>
      <c r="L184" s="12">
        <f t="shared" si="27"/>
        <v>4285.72</v>
      </c>
      <c r="M184" s="12">
        <v>0</v>
      </c>
      <c r="N184" s="12">
        <v>0</v>
      </c>
      <c r="O184" s="12">
        <f>L184+M184-N184</f>
        <v>4285.72</v>
      </c>
      <c r="P184" s="29">
        <v>28</v>
      </c>
    </row>
    <row r="185" spans="1:16" s="85" customFormat="1" ht="16.5" hidden="1" thickTop="1" thickBot="1" x14ac:dyDescent="0.3">
      <c r="A185" s="58" t="s">
        <v>111</v>
      </c>
      <c r="B185" s="25" t="s">
        <v>22</v>
      </c>
      <c r="C185" s="8" t="s">
        <v>25</v>
      </c>
      <c r="D185" s="7" t="s">
        <v>79</v>
      </c>
      <c r="E185" s="9" t="s">
        <v>153</v>
      </c>
      <c r="F185" s="10">
        <v>15</v>
      </c>
      <c r="G185" s="11" t="s">
        <v>33</v>
      </c>
      <c r="H185" s="7" t="s">
        <v>83</v>
      </c>
      <c r="I185" s="11" t="s">
        <v>9</v>
      </c>
      <c r="J185" s="11" t="s">
        <v>80</v>
      </c>
      <c r="K185" s="12">
        <v>8571.4500000000007</v>
      </c>
      <c r="L185" s="12">
        <f t="shared" si="27"/>
        <v>8571.4500000000007</v>
      </c>
      <c r="M185" s="12">
        <v>0</v>
      </c>
      <c r="N185" s="12">
        <v>0</v>
      </c>
      <c r="O185" s="12">
        <f>L185+M185-N185</f>
        <v>8571.4500000000007</v>
      </c>
      <c r="P185" s="29">
        <v>28</v>
      </c>
    </row>
    <row r="186" spans="1:16" s="85" customFormat="1" ht="16.5" hidden="1" thickTop="1" thickBot="1" x14ac:dyDescent="0.3">
      <c r="A186" s="74" t="s">
        <v>111</v>
      </c>
      <c r="B186" s="25" t="s">
        <v>11</v>
      </c>
      <c r="C186" s="8" t="s">
        <v>25</v>
      </c>
      <c r="D186" s="7" t="s">
        <v>79</v>
      </c>
      <c r="E186" s="9" t="s">
        <v>154</v>
      </c>
      <c r="F186" s="10">
        <v>15</v>
      </c>
      <c r="G186" s="11" t="s">
        <v>33</v>
      </c>
      <c r="H186" s="7" t="s">
        <v>83</v>
      </c>
      <c r="I186" s="11" t="s">
        <v>30</v>
      </c>
      <c r="J186" s="11" t="s">
        <v>80</v>
      </c>
      <c r="K186" s="12">
        <v>200</v>
      </c>
      <c r="L186" s="12">
        <f t="shared" si="27"/>
        <v>200</v>
      </c>
      <c r="M186" s="12">
        <v>0</v>
      </c>
      <c r="N186" s="12">
        <v>10</v>
      </c>
      <c r="O186" s="12">
        <v>190</v>
      </c>
      <c r="P186" s="29">
        <v>30</v>
      </c>
    </row>
    <row r="187" spans="1:16" s="85" customFormat="1" ht="16.5" hidden="1" thickTop="1" thickBot="1" x14ac:dyDescent="0.3">
      <c r="A187" s="58" t="s">
        <v>111</v>
      </c>
      <c r="B187" s="25" t="s">
        <v>22</v>
      </c>
      <c r="C187" s="8" t="s">
        <v>60</v>
      </c>
      <c r="D187" s="7" t="s">
        <v>79</v>
      </c>
      <c r="E187" s="9" t="s">
        <v>153</v>
      </c>
      <c r="F187" s="10">
        <v>5</v>
      </c>
      <c r="G187" s="11" t="s">
        <v>155</v>
      </c>
      <c r="H187" s="7" t="s">
        <v>83</v>
      </c>
      <c r="I187" s="11" t="s">
        <v>7</v>
      </c>
      <c r="J187" s="11" t="s">
        <v>80</v>
      </c>
      <c r="K187" s="12">
        <v>17715</v>
      </c>
      <c r="L187" s="12">
        <f t="shared" si="27"/>
        <v>17715</v>
      </c>
      <c r="M187" s="12">
        <v>0</v>
      </c>
      <c r="N187" s="12">
        <v>0</v>
      </c>
      <c r="O187" s="12">
        <f>K187</f>
        <v>17715</v>
      </c>
      <c r="P187" s="29">
        <v>28</v>
      </c>
    </row>
    <row r="188" spans="1:16" s="85" customFormat="1" ht="16.5" hidden="1" thickTop="1" thickBot="1" x14ac:dyDescent="0.3">
      <c r="A188" s="58" t="s">
        <v>111</v>
      </c>
      <c r="B188" s="25" t="s">
        <v>22</v>
      </c>
      <c r="C188" s="8" t="s">
        <v>60</v>
      </c>
      <c r="D188" s="7" t="s">
        <v>79</v>
      </c>
      <c r="E188" s="9" t="s">
        <v>153</v>
      </c>
      <c r="F188" s="10">
        <v>1</v>
      </c>
      <c r="G188" s="11" t="s">
        <v>34</v>
      </c>
      <c r="H188" s="7" t="s">
        <v>87</v>
      </c>
      <c r="I188" s="11" t="s">
        <v>20</v>
      </c>
      <c r="J188" s="11" t="s">
        <v>105</v>
      </c>
      <c r="K188" s="12">
        <v>40851.191603430001</v>
      </c>
      <c r="L188" s="12">
        <f t="shared" ref="L188:L195" si="28">K188*60%</f>
        <v>24510.714962057998</v>
      </c>
      <c r="M188" s="12">
        <f t="shared" ref="M188:M195" si="29">K188*40%</f>
        <v>16340.476641372001</v>
      </c>
      <c r="N188" s="12">
        <v>0</v>
      </c>
      <c r="O188" s="12">
        <f t="shared" ref="O188:O197" si="30">L188+M188-N188</f>
        <v>40851.191603430001</v>
      </c>
      <c r="P188" s="29">
        <v>30</v>
      </c>
    </row>
    <row r="189" spans="1:16" s="85" customFormat="1" ht="16.5" hidden="1" thickTop="1" thickBot="1" x14ac:dyDescent="0.3">
      <c r="A189" s="58" t="s">
        <v>111</v>
      </c>
      <c r="B189" s="25" t="s">
        <v>22</v>
      </c>
      <c r="C189" s="8" t="s">
        <v>60</v>
      </c>
      <c r="D189" s="7" t="s">
        <v>79</v>
      </c>
      <c r="E189" s="9" t="s">
        <v>153</v>
      </c>
      <c r="F189" s="10">
        <v>1</v>
      </c>
      <c r="G189" s="11" t="s">
        <v>34</v>
      </c>
      <c r="H189" s="7" t="s">
        <v>87</v>
      </c>
      <c r="I189" s="11" t="s">
        <v>9</v>
      </c>
      <c r="J189" s="11" t="s">
        <v>105</v>
      </c>
      <c r="K189" s="12">
        <v>33354.561456449999</v>
      </c>
      <c r="L189" s="12">
        <f t="shared" si="28"/>
        <v>20012.736873869999</v>
      </c>
      <c r="M189" s="12">
        <f t="shared" si="29"/>
        <v>13341.82458258</v>
      </c>
      <c r="N189" s="12">
        <v>0</v>
      </c>
      <c r="O189" s="12">
        <f t="shared" si="30"/>
        <v>33354.561456449999</v>
      </c>
      <c r="P189" s="29">
        <v>30</v>
      </c>
    </row>
    <row r="190" spans="1:16" s="85" customFormat="1" ht="16.5" hidden="1" thickTop="1" thickBot="1" x14ac:dyDescent="0.3">
      <c r="A190" s="58" t="s">
        <v>111</v>
      </c>
      <c r="B190" s="25" t="s">
        <v>22</v>
      </c>
      <c r="C190" s="8" t="s">
        <v>60</v>
      </c>
      <c r="D190" s="7" t="s">
        <v>79</v>
      </c>
      <c r="E190" s="9" t="s">
        <v>153</v>
      </c>
      <c r="F190" s="10">
        <v>1</v>
      </c>
      <c r="G190" s="11" t="s">
        <v>35</v>
      </c>
      <c r="H190" s="7" t="s">
        <v>83</v>
      </c>
      <c r="I190" s="11" t="s">
        <v>9</v>
      </c>
      <c r="J190" s="11" t="s">
        <v>105</v>
      </c>
      <c r="K190" s="12">
        <v>23847.740911214998</v>
      </c>
      <c r="L190" s="12">
        <f t="shared" si="28"/>
        <v>14308.644546728998</v>
      </c>
      <c r="M190" s="12">
        <f t="shared" si="29"/>
        <v>9539.0963644860003</v>
      </c>
      <c r="N190" s="12">
        <v>0</v>
      </c>
      <c r="O190" s="12">
        <f t="shared" si="30"/>
        <v>23847.740911214998</v>
      </c>
      <c r="P190" s="29">
        <v>30</v>
      </c>
    </row>
    <row r="191" spans="1:16" s="85" customFormat="1" ht="16.5" hidden="1" thickTop="1" thickBot="1" x14ac:dyDescent="0.3">
      <c r="A191" s="58" t="s">
        <v>111</v>
      </c>
      <c r="B191" s="25" t="s">
        <v>22</v>
      </c>
      <c r="C191" s="8" t="s">
        <v>60</v>
      </c>
      <c r="D191" s="7" t="s">
        <v>79</v>
      </c>
      <c r="E191" s="9" t="s">
        <v>153</v>
      </c>
      <c r="F191" s="10">
        <v>1</v>
      </c>
      <c r="G191" s="11" t="s">
        <v>36</v>
      </c>
      <c r="H191" s="7" t="s">
        <v>89</v>
      </c>
      <c r="I191" s="11" t="s">
        <v>20</v>
      </c>
      <c r="J191" s="11" t="s">
        <v>105</v>
      </c>
      <c r="K191" s="12">
        <v>40851.191603430001</v>
      </c>
      <c r="L191" s="12">
        <f t="shared" si="28"/>
        <v>24510.714962057998</v>
      </c>
      <c r="M191" s="12">
        <f t="shared" si="29"/>
        <v>16340.476641372001</v>
      </c>
      <c r="N191" s="12">
        <v>0</v>
      </c>
      <c r="O191" s="12">
        <f t="shared" si="30"/>
        <v>40851.191603430001</v>
      </c>
      <c r="P191" s="29">
        <v>30</v>
      </c>
    </row>
    <row r="192" spans="1:16" s="85" customFormat="1" ht="16.5" hidden="1" thickTop="1" thickBot="1" x14ac:dyDescent="0.3">
      <c r="A192" s="58" t="s">
        <v>111</v>
      </c>
      <c r="B192" s="25" t="s">
        <v>22</v>
      </c>
      <c r="C192" s="8" t="s">
        <v>60</v>
      </c>
      <c r="D192" s="7" t="s">
        <v>79</v>
      </c>
      <c r="E192" s="9" t="s">
        <v>153</v>
      </c>
      <c r="F192" s="10">
        <v>1</v>
      </c>
      <c r="G192" s="11" t="s">
        <v>36</v>
      </c>
      <c r="H192" s="7" t="s">
        <v>89</v>
      </c>
      <c r="I192" s="11" t="s">
        <v>9</v>
      </c>
      <c r="J192" s="11" t="s">
        <v>105</v>
      </c>
      <c r="K192" s="12">
        <v>33354.561456449999</v>
      </c>
      <c r="L192" s="12">
        <f t="shared" si="28"/>
        <v>20012.736873869999</v>
      </c>
      <c r="M192" s="12">
        <f t="shared" si="29"/>
        <v>13341.82458258</v>
      </c>
      <c r="N192" s="12">
        <v>0</v>
      </c>
      <c r="O192" s="12">
        <f t="shared" si="30"/>
        <v>33354.561456449999</v>
      </c>
      <c r="P192" s="29">
        <v>30</v>
      </c>
    </row>
    <row r="193" spans="1:16" s="85" customFormat="1" ht="16.5" hidden="1" thickTop="1" thickBot="1" x14ac:dyDescent="0.3">
      <c r="A193" s="58" t="s">
        <v>111</v>
      </c>
      <c r="B193" s="25" t="s">
        <v>22</v>
      </c>
      <c r="C193" s="8" t="s">
        <v>60</v>
      </c>
      <c r="D193" s="7" t="s">
        <v>79</v>
      </c>
      <c r="E193" s="9" t="s">
        <v>153</v>
      </c>
      <c r="F193" s="10">
        <v>1</v>
      </c>
      <c r="G193" s="11" t="s">
        <v>37</v>
      </c>
      <c r="H193" s="7" t="s">
        <v>85</v>
      </c>
      <c r="I193" s="11" t="s">
        <v>9</v>
      </c>
      <c r="J193" s="11" t="s">
        <v>105</v>
      </c>
      <c r="K193" s="12">
        <v>14308.64685198</v>
      </c>
      <c r="L193" s="12">
        <f t="shared" si="28"/>
        <v>8585.1881111879993</v>
      </c>
      <c r="M193" s="12">
        <f t="shared" si="29"/>
        <v>5723.4587407920008</v>
      </c>
      <c r="N193" s="12">
        <v>0</v>
      </c>
      <c r="O193" s="12">
        <f t="shared" si="30"/>
        <v>14308.64685198</v>
      </c>
      <c r="P193" s="29">
        <v>30</v>
      </c>
    </row>
    <row r="194" spans="1:16" s="85" customFormat="1" ht="16.5" hidden="1" thickTop="1" thickBot="1" x14ac:dyDescent="0.3">
      <c r="A194" s="58" t="s">
        <v>111</v>
      </c>
      <c r="B194" s="25" t="s">
        <v>22</v>
      </c>
      <c r="C194" s="8" t="s">
        <v>60</v>
      </c>
      <c r="D194" s="7" t="s">
        <v>79</v>
      </c>
      <c r="E194" s="9" t="s">
        <v>153</v>
      </c>
      <c r="F194" s="10">
        <v>1</v>
      </c>
      <c r="G194" s="11" t="s">
        <v>93</v>
      </c>
      <c r="H194" s="7" t="s">
        <v>85</v>
      </c>
      <c r="I194" s="11" t="s">
        <v>9</v>
      </c>
      <c r="J194" s="11" t="s">
        <v>105</v>
      </c>
      <c r="K194" s="12">
        <v>19078.18811847</v>
      </c>
      <c r="L194" s="12">
        <f t="shared" si="28"/>
        <v>11446.912871081999</v>
      </c>
      <c r="M194" s="12">
        <f t="shared" si="29"/>
        <v>7631.275247388</v>
      </c>
      <c r="N194" s="12">
        <v>0</v>
      </c>
      <c r="O194" s="12">
        <f t="shared" si="30"/>
        <v>19078.18811847</v>
      </c>
      <c r="P194" s="29">
        <v>30</v>
      </c>
    </row>
    <row r="195" spans="1:16" s="85" customFormat="1" ht="16.5" hidden="1" thickTop="1" thickBot="1" x14ac:dyDescent="0.3">
      <c r="A195" s="58" t="s">
        <v>111</v>
      </c>
      <c r="B195" s="25" t="s">
        <v>22</v>
      </c>
      <c r="C195" s="8" t="s">
        <v>60</v>
      </c>
      <c r="D195" s="7" t="s">
        <v>79</v>
      </c>
      <c r="E195" s="9" t="s">
        <v>153</v>
      </c>
      <c r="F195" s="10">
        <v>1</v>
      </c>
      <c r="G195" s="11" t="s">
        <v>38</v>
      </c>
      <c r="H195" s="7" t="s">
        <v>85</v>
      </c>
      <c r="I195" s="11" t="s">
        <v>9</v>
      </c>
      <c r="J195" s="11" t="s">
        <v>105</v>
      </c>
      <c r="K195" s="12">
        <v>9539.0940592349998</v>
      </c>
      <c r="L195" s="12">
        <f t="shared" si="28"/>
        <v>5723.4564355409993</v>
      </c>
      <c r="M195" s="12">
        <f t="shared" si="29"/>
        <v>3815.637623694</v>
      </c>
      <c r="N195" s="12">
        <v>0</v>
      </c>
      <c r="O195" s="12">
        <f t="shared" si="30"/>
        <v>9539.0940592349998</v>
      </c>
      <c r="P195" s="29">
        <v>30</v>
      </c>
    </row>
    <row r="196" spans="1:16" s="85" customFormat="1" ht="16.5" hidden="1" thickTop="1" thickBot="1" x14ac:dyDescent="0.3">
      <c r="A196" s="58" t="s">
        <v>111</v>
      </c>
      <c r="B196" s="25" t="s">
        <v>11</v>
      </c>
      <c r="C196" s="8" t="s">
        <v>60</v>
      </c>
      <c r="D196" s="7" t="s">
        <v>79</v>
      </c>
      <c r="E196" s="9" t="s">
        <v>153</v>
      </c>
      <c r="F196" s="10">
        <v>20</v>
      </c>
      <c r="G196" s="11" t="s">
        <v>119</v>
      </c>
      <c r="H196" s="7" t="s">
        <v>85</v>
      </c>
      <c r="I196" s="11" t="s">
        <v>7</v>
      </c>
      <c r="J196" s="11" t="s">
        <v>103</v>
      </c>
      <c r="K196" s="12">
        <v>19006</v>
      </c>
      <c r="L196" s="12">
        <f t="shared" ref="L196:L201" si="31">K196</f>
        <v>19006</v>
      </c>
      <c r="M196" s="12">
        <v>0</v>
      </c>
      <c r="N196" s="12">
        <f>L196*16%</f>
        <v>3040.96</v>
      </c>
      <c r="O196" s="12">
        <f t="shared" si="30"/>
        <v>15965.04</v>
      </c>
      <c r="P196" s="29">
        <v>20</v>
      </c>
    </row>
    <row r="197" spans="1:16" s="85" customFormat="1" ht="16.5" hidden="1" thickTop="1" thickBot="1" x14ac:dyDescent="0.3">
      <c r="A197" s="58" t="s">
        <v>111</v>
      </c>
      <c r="B197" s="25" t="s">
        <v>13</v>
      </c>
      <c r="C197" s="8" t="s">
        <v>60</v>
      </c>
      <c r="D197" s="7" t="s">
        <v>79</v>
      </c>
      <c r="E197" s="9" t="s">
        <v>153</v>
      </c>
      <c r="F197" s="10">
        <v>20</v>
      </c>
      <c r="G197" s="11" t="s">
        <v>119</v>
      </c>
      <c r="H197" s="7" t="s">
        <v>85</v>
      </c>
      <c r="I197" s="11" t="s">
        <v>9</v>
      </c>
      <c r="J197" s="11" t="s">
        <v>103</v>
      </c>
      <c r="K197" s="12">
        <v>8619</v>
      </c>
      <c r="L197" s="12">
        <f t="shared" si="31"/>
        <v>8619</v>
      </c>
      <c r="M197" s="12">
        <v>0</v>
      </c>
      <c r="N197" s="12">
        <f>L197*16%</f>
        <v>1379.04</v>
      </c>
      <c r="O197" s="12">
        <f t="shared" si="30"/>
        <v>7239.96</v>
      </c>
      <c r="P197" s="29">
        <v>20</v>
      </c>
    </row>
    <row r="198" spans="1:16" s="85" customFormat="1" ht="16.5" hidden="1" thickTop="1" thickBot="1" x14ac:dyDescent="0.3">
      <c r="A198" s="58" t="s">
        <v>111</v>
      </c>
      <c r="B198" s="25" t="s">
        <v>10</v>
      </c>
      <c r="C198" s="8" t="s">
        <v>60</v>
      </c>
      <c r="D198" s="7" t="s">
        <v>79</v>
      </c>
      <c r="E198" s="9" t="s">
        <v>153</v>
      </c>
      <c r="F198" s="10">
        <v>20</v>
      </c>
      <c r="G198" s="11" t="s">
        <v>119</v>
      </c>
      <c r="H198" s="7" t="s">
        <v>85</v>
      </c>
      <c r="I198" s="11" t="s">
        <v>96</v>
      </c>
      <c r="J198" s="11" t="s">
        <v>103</v>
      </c>
      <c r="K198" s="12">
        <v>1785.7</v>
      </c>
      <c r="L198" s="12">
        <f t="shared" si="31"/>
        <v>1785.7</v>
      </c>
      <c r="M198" s="12">
        <v>0</v>
      </c>
      <c r="N198" s="12">
        <v>0</v>
      </c>
      <c r="O198" s="12">
        <v>1785.7</v>
      </c>
      <c r="P198" s="29">
        <v>20</v>
      </c>
    </row>
    <row r="199" spans="1:16" s="85" customFormat="1" ht="16.5" hidden="1" thickTop="1" thickBot="1" x14ac:dyDescent="0.3">
      <c r="A199" s="58" t="s">
        <v>111</v>
      </c>
      <c r="B199" s="25" t="s">
        <v>11</v>
      </c>
      <c r="C199" s="8" t="s">
        <v>60</v>
      </c>
      <c r="D199" s="7" t="s">
        <v>79</v>
      </c>
      <c r="E199" s="9" t="s">
        <v>153</v>
      </c>
      <c r="F199" s="10">
        <v>20</v>
      </c>
      <c r="G199" s="11" t="s">
        <v>94</v>
      </c>
      <c r="H199" s="7" t="s">
        <v>86</v>
      </c>
      <c r="I199" s="11" t="s">
        <v>15</v>
      </c>
      <c r="J199" s="11" t="s">
        <v>103</v>
      </c>
      <c r="K199" s="12">
        <v>7270.9</v>
      </c>
      <c r="L199" s="12">
        <f t="shared" si="31"/>
        <v>7270.9</v>
      </c>
      <c r="M199" s="12">
        <v>0</v>
      </c>
      <c r="N199" s="12">
        <v>0</v>
      </c>
      <c r="O199" s="12">
        <v>1785.7</v>
      </c>
      <c r="P199" s="29">
        <v>20</v>
      </c>
    </row>
    <row r="200" spans="1:16" s="85" customFormat="1" ht="16.5" hidden="1" thickTop="1" thickBot="1" x14ac:dyDescent="0.3">
      <c r="A200" s="58" t="s">
        <v>111</v>
      </c>
      <c r="B200" s="25" t="s">
        <v>11</v>
      </c>
      <c r="C200" s="8" t="s">
        <v>60</v>
      </c>
      <c r="D200" s="7" t="s">
        <v>79</v>
      </c>
      <c r="E200" s="9" t="s">
        <v>153</v>
      </c>
      <c r="F200" s="10">
        <v>20</v>
      </c>
      <c r="G200" s="11" t="s">
        <v>94</v>
      </c>
      <c r="H200" s="7" t="s">
        <v>86</v>
      </c>
      <c r="I200" s="11" t="s">
        <v>7</v>
      </c>
      <c r="J200" s="11" t="s">
        <v>103</v>
      </c>
      <c r="K200" s="12">
        <v>27367.535</v>
      </c>
      <c r="L200" s="12">
        <f t="shared" si="31"/>
        <v>27367.535</v>
      </c>
      <c r="M200" s="12">
        <v>0</v>
      </c>
      <c r="N200" s="12">
        <f>L200*16%</f>
        <v>4378.8055999999997</v>
      </c>
      <c r="O200" s="12">
        <f>L200+M200-N200</f>
        <v>22988.7294</v>
      </c>
      <c r="P200" s="29">
        <v>20</v>
      </c>
    </row>
    <row r="201" spans="1:16" s="85" customFormat="1" ht="16.5" hidden="1" thickTop="1" thickBot="1" x14ac:dyDescent="0.3">
      <c r="A201" s="58" t="s">
        <v>111</v>
      </c>
      <c r="B201" s="25" t="s">
        <v>13</v>
      </c>
      <c r="C201" s="8" t="s">
        <v>60</v>
      </c>
      <c r="D201" s="7" t="s">
        <v>79</v>
      </c>
      <c r="E201" s="9" t="s">
        <v>153</v>
      </c>
      <c r="F201" s="10">
        <v>20</v>
      </c>
      <c r="G201" s="11" t="s">
        <v>94</v>
      </c>
      <c r="H201" s="7" t="s">
        <v>86</v>
      </c>
      <c r="I201" s="11" t="s">
        <v>9</v>
      </c>
      <c r="J201" s="11" t="s">
        <v>103</v>
      </c>
      <c r="K201" s="12">
        <v>17100.98</v>
      </c>
      <c r="L201" s="12">
        <f t="shared" si="31"/>
        <v>17100.98</v>
      </c>
      <c r="M201" s="12">
        <v>0</v>
      </c>
      <c r="N201" s="12">
        <f>L201*16%</f>
        <v>2736.1568000000002</v>
      </c>
      <c r="O201" s="12">
        <f>L201+M201-N201</f>
        <v>14364.823199999999</v>
      </c>
      <c r="P201" s="29">
        <v>20</v>
      </c>
    </row>
    <row r="202" spans="1:16" s="85" customFormat="1" ht="16.5" hidden="1" thickTop="1" thickBot="1" x14ac:dyDescent="0.3">
      <c r="A202" s="58" t="s">
        <v>111</v>
      </c>
      <c r="B202" s="25" t="s">
        <v>22</v>
      </c>
      <c r="C202" s="8" t="s">
        <v>61</v>
      </c>
      <c r="D202" s="7" t="s">
        <v>79</v>
      </c>
      <c r="E202" s="9" t="s">
        <v>153</v>
      </c>
      <c r="F202" s="10">
        <v>20</v>
      </c>
      <c r="G202" s="13" t="s">
        <v>39</v>
      </c>
      <c r="H202" s="7" t="s">
        <v>83</v>
      </c>
      <c r="I202" s="11" t="s">
        <v>7</v>
      </c>
      <c r="J202" s="11" t="s">
        <v>80</v>
      </c>
      <c r="K202" s="12">
        <v>20673.5597797423</v>
      </c>
      <c r="L202" s="12">
        <f>K202*60%</f>
        <v>12404.13586784538</v>
      </c>
      <c r="M202" s="12">
        <f>K202*40%</f>
        <v>8269.4239118969199</v>
      </c>
      <c r="N202" s="12">
        <v>0</v>
      </c>
      <c r="O202" s="12">
        <f>L202+M202-N202</f>
        <v>20673.5597797423</v>
      </c>
      <c r="P202" s="29">
        <v>17</v>
      </c>
    </row>
    <row r="203" spans="1:16" s="85" customFormat="1" ht="16.5" hidden="1" thickTop="1" thickBot="1" x14ac:dyDescent="0.3">
      <c r="A203" s="74" t="s">
        <v>111</v>
      </c>
      <c r="B203" s="25" t="s">
        <v>11</v>
      </c>
      <c r="C203" s="8" t="s">
        <v>61</v>
      </c>
      <c r="D203" s="7" t="s">
        <v>79</v>
      </c>
      <c r="E203" s="9" t="s">
        <v>154</v>
      </c>
      <c r="F203" s="10">
        <v>20</v>
      </c>
      <c r="G203" s="13" t="s">
        <v>40</v>
      </c>
      <c r="H203" s="7" t="s">
        <v>83</v>
      </c>
      <c r="I203" s="14" t="s">
        <v>30</v>
      </c>
      <c r="J203" s="14" t="s">
        <v>107</v>
      </c>
      <c r="K203" s="12">
        <v>230</v>
      </c>
      <c r="L203" s="12">
        <f>K203</f>
        <v>230</v>
      </c>
      <c r="M203" s="12">
        <v>0</v>
      </c>
      <c r="N203" s="12">
        <v>10</v>
      </c>
      <c r="O203" s="12">
        <v>190</v>
      </c>
      <c r="P203" s="29">
        <v>10</v>
      </c>
    </row>
    <row r="204" spans="1:16" s="85" customFormat="1" ht="16.5" hidden="1" thickTop="1" thickBot="1" x14ac:dyDescent="0.3">
      <c r="A204" s="74" t="s">
        <v>111</v>
      </c>
      <c r="B204" s="25" t="s">
        <v>11</v>
      </c>
      <c r="C204" s="8" t="s">
        <v>61</v>
      </c>
      <c r="D204" s="7" t="s">
        <v>79</v>
      </c>
      <c r="E204" s="9" t="s">
        <v>154</v>
      </c>
      <c r="F204" s="10">
        <v>20</v>
      </c>
      <c r="G204" s="13" t="s">
        <v>41</v>
      </c>
      <c r="H204" s="7" t="s">
        <v>83</v>
      </c>
      <c r="I204" s="14" t="s">
        <v>30</v>
      </c>
      <c r="J204" s="11" t="s">
        <v>80</v>
      </c>
      <c r="K204" s="12">
        <v>630</v>
      </c>
      <c r="L204" s="12">
        <f>K204</f>
        <v>630</v>
      </c>
      <c r="M204" s="12">
        <v>0</v>
      </c>
      <c r="N204" s="12">
        <v>31.5</v>
      </c>
      <c r="O204" s="12">
        <f>L204-N204</f>
        <v>598.5</v>
      </c>
      <c r="P204" s="29">
        <v>25</v>
      </c>
    </row>
    <row r="205" spans="1:16" s="85" customFormat="1" ht="16.5" hidden="1" thickTop="1" thickBot="1" x14ac:dyDescent="0.3">
      <c r="A205" s="58" t="s">
        <v>111</v>
      </c>
      <c r="B205" s="25" t="s">
        <v>22</v>
      </c>
      <c r="C205" s="8" t="s">
        <v>61</v>
      </c>
      <c r="D205" s="7" t="s">
        <v>79</v>
      </c>
      <c r="E205" s="9" t="s">
        <v>153</v>
      </c>
      <c r="F205" s="10">
        <v>20</v>
      </c>
      <c r="G205" s="13" t="s">
        <v>92</v>
      </c>
      <c r="H205" s="7" t="s">
        <v>83</v>
      </c>
      <c r="I205" s="11" t="s">
        <v>9</v>
      </c>
      <c r="J205" s="11" t="s">
        <v>80</v>
      </c>
      <c r="K205" s="12">
        <v>5071.55</v>
      </c>
      <c r="L205" s="12">
        <v>0</v>
      </c>
      <c r="M205" s="12">
        <v>0</v>
      </c>
      <c r="N205" s="12">
        <v>0</v>
      </c>
      <c r="O205" s="12">
        <f>K205</f>
        <v>5071.55</v>
      </c>
      <c r="P205" s="29">
        <v>15</v>
      </c>
    </row>
    <row r="206" spans="1:16" s="85" customFormat="1" ht="16.5" hidden="1" thickTop="1" thickBot="1" x14ac:dyDescent="0.3">
      <c r="A206" s="74" t="s">
        <v>111</v>
      </c>
      <c r="B206" s="25" t="s">
        <v>11</v>
      </c>
      <c r="C206" s="8" t="s">
        <v>61</v>
      </c>
      <c r="D206" s="7" t="s">
        <v>79</v>
      </c>
      <c r="E206" s="9" t="s">
        <v>154</v>
      </c>
      <c r="F206" s="10">
        <v>20</v>
      </c>
      <c r="G206" s="13" t="s">
        <v>43</v>
      </c>
      <c r="H206" s="7" t="s">
        <v>83</v>
      </c>
      <c r="I206" s="14" t="s">
        <v>30</v>
      </c>
      <c r="J206" s="14" t="s">
        <v>106</v>
      </c>
      <c r="K206" s="12">
        <v>230</v>
      </c>
      <c r="L206" s="12">
        <f>K206</f>
        <v>230</v>
      </c>
      <c r="M206" s="12">
        <v>0</v>
      </c>
      <c r="N206" s="12">
        <v>10</v>
      </c>
      <c r="O206" s="12">
        <v>190</v>
      </c>
      <c r="P206" s="29">
        <v>15</v>
      </c>
    </row>
    <row r="207" spans="1:16" s="85" customFormat="1" ht="16.5" hidden="1" thickTop="1" thickBot="1" x14ac:dyDescent="0.3">
      <c r="A207" s="58" t="s">
        <v>111</v>
      </c>
      <c r="B207" s="25" t="s">
        <v>5</v>
      </c>
      <c r="C207" s="8" t="s">
        <v>61</v>
      </c>
      <c r="D207" s="7" t="s">
        <v>79</v>
      </c>
      <c r="E207" s="9" t="s">
        <v>153</v>
      </c>
      <c r="F207" s="10">
        <v>1</v>
      </c>
      <c r="G207" s="11" t="s">
        <v>45</v>
      </c>
      <c r="H207" s="7" t="s">
        <v>91</v>
      </c>
      <c r="I207" s="11" t="s">
        <v>20</v>
      </c>
      <c r="J207" s="11" t="s">
        <v>105</v>
      </c>
      <c r="K207" s="16">
        <v>40617.404573265005</v>
      </c>
      <c r="L207" s="12">
        <f t="shared" ref="L207:L220" si="32">K207*60%</f>
        <v>24370.442743959004</v>
      </c>
      <c r="M207" s="12">
        <f t="shared" ref="M207:M220" si="33">K207*40%</f>
        <v>16246.961829306003</v>
      </c>
      <c r="N207" s="12">
        <v>1837.8916096500002</v>
      </c>
      <c r="O207" s="12">
        <f>L207+M207-N207</f>
        <v>38779.512963615001</v>
      </c>
      <c r="P207" s="29">
        <v>30</v>
      </c>
    </row>
    <row r="208" spans="1:16" s="85" customFormat="1" ht="16.5" hidden="1" thickTop="1" thickBot="1" x14ac:dyDescent="0.3">
      <c r="A208" s="58" t="s">
        <v>111</v>
      </c>
      <c r="B208" s="25" t="s">
        <v>22</v>
      </c>
      <c r="C208" s="8" t="s">
        <v>61</v>
      </c>
      <c r="D208" s="7" t="s">
        <v>79</v>
      </c>
      <c r="E208" s="9" t="s">
        <v>153</v>
      </c>
      <c r="F208" s="10">
        <v>1</v>
      </c>
      <c r="G208" s="11" t="s">
        <v>132</v>
      </c>
      <c r="H208" s="7" t="s">
        <v>88</v>
      </c>
      <c r="I208" s="11" t="s">
        <v>9</v>
      </c>
      <c r="J208" s="11" t="s">
        <v>105</v>
      </c>
      <c r="K208" s="12">
        <v>33386.834650000004</v>
      </c>
      <c r="L208" s="12">
        <f t="shared" si="32"/>
        <v>20032.10079</v>
      </c>
      <c r="M208" s="12">
        <f t="shared" si="33"/>
        <v>13354.733860000002</v>
      </c>
      <c r="N208" s="12">
        <v>0</v>
      </c>
      <c r="O208" s="12">
        <f>L208+M208</f>
        <v>33386.834650000004</v>
      </c>
      <c r="P208" s="29">
        <v>30</v>
      </c>
    </row>
    <row r="209" spans="1:17" s="85" customFormat="1" ht="16.5" hidden="1" thickTop="1" thickBot="1" x14ac:dyDescent="0.3">
      <c r="A209" s="58" t="s">
        <v>111</v>
      </c>
      <c r="B209" s="25" t="s">
        <v>22</v>
      </c>
      <c r="C209" s="8" t="s">
        <v>61</v>
      </c>
      <c r="D209" s="7" t="s">
        <v>79</v>
      </c>
      <c r="E209" s="9" t="s">
        <v>153</v>
      </c>
      <c r="F209" s="10">
        <v>1</v>
      </c>
      <c r="G209" s="11" t="s">
        <v>129</v>
      </c>
      <c r="H209" s="7" t="s">
        <v>85</v>
      </c>
      <c r="I209" s="11" t="s">
        <v>9</v>
      </c>
      <c r="J209" s="11" t="s">
        <v>105</v>
      </c>
      <c r="K209" s="12">
        <v>28617.27895</v>
      </c>
      <c r="L209" s="12">
        <f t="shared" si="32"/>
        <v>17170.36737</v>
      </c>
      <c r="M209" s="12">
        <f t="shared" si="33"/>
        <v>11446.91158</v>
      </c>
      <c r="N209" s="12">
        <v>0</v>
      </c>
      <c r="O209" s="12">
        <f>L209+M209</f>
        <v>28617.27895</v>
      </c>
      <c r="P209" s="29">
        <v>30</v>
      </c>
    </row>
    <row r="210" spans="1:17" s="85" customFormat="1" ht="16.5" hidden="1" thickTop="1" thickBot="1" x14ac:dyDescent="0.3">
      <c r="A210" s="58" t="s">
        <v>111</v>
      </c>
      <c r="B210" s="25" t="s">
        <v>5</v>
      </c>
      <c r="C210" s="8" t="s">
        <v>61</v>
      </c>
      <c r="D210" s="7" t="s">
        <v>79</v>
      </c>
      <c r="E210" s="9" t="s">
        <v>153</v>
      </c>
      <c r="F210" s="10">
        <v>1</v>
      </c>
      <c r="G210" s="11" t="s">
        <v>45</v>
      </c>
      <c r="H210" s="7" t="s">
        <v>91</v>
      </c>
      <c r="I210" s="11" t="s">
        <v>9</v>
      </c>
      <c r="J210" s="11" t="s">
        <v>105</v>
      </c>
      <c r="K210" s="16">
        <v>28617.282177705001</v>
      </c>
      <c r="L210" s="12">
        <f t="shared" si="32"/>
        <v>17170.369306623001</v>
      </c>
      <c r="M210" s="12">
        <f t="shared" si="33"/>
        <v>11446.912871082</v>
      </c>
      <c r="N210" s="12">
        <v>1294.8996460500002</v>
      </c>
      <c r="O210" s="12">
        <f t="shared" ref="O210:O235" si="34">L210+M210-N210</f>
        <v>27322.382531654999</v>
      </c>
      <c r="P210" s="29">
        <v>30</v>
      </c>
    </row>
    <row r="211" spans="1:17" s="85" customFormat="1" ht="16.5" hidden="1" thickTop="1" thickBot="1" x14ac:dyDescent="0.3">
      <c r="A211" s="58" t="s">
        <v>111</v>
      </c>
      <c r="B211" s="25" t="s">
        <v>22</v>
      </c>
      <c r="C211" s="8" t="s">
        <v>61</v>
      </c>
      <c r="D211" s="7" t="s">
        <v>79</v>
      </c>
      <c r="E211" s="9" t="s">
        <v>153</v>
      </c>
      <c r="F211" s="10">
        <v>1</v>
      </c>
      <c r="G211" s="11" t="s">
        <v>46</v>
      </c>
      <c r="H211" s="7" t="s">
        <v>85</v>
      </c>
      <c r="I211" s="11" t="s">
        <v>20</v>
      </c>
      <c r="J211" s="11" t="s">
        <v>105</v>
      </c>
      <c r="K211" s="16">
        <v>58492.355406029994</v>
      </c>
      <c r="L211" s="12">
        <f t="shared" si="32"/>
        <v>35095.413243617993</v>
      </c>
      <c r="M211" s="12">
        <f t="shared" si="33"/>
        <v>23396.942162412</v>
      </c>
      <c r="N211" s="12">
        <v>0</v>
      </c>
      <c r="O211" s="12">
        <f t="shared" si="34"/>
        <v>58492.355406029994</v>
      </c>
      <c r="P211" s="29">
        <v>30</v>
      </c>
    </row>
    <row r="212" spans="1:17" s="85" customFormat="1" ht="16.5" hidden="1" thickTop="1" thickBot="1" x14ac:dyDescent="0.3">
      <c r="A212" s="58" t="s">
        <v>111</v>
      </c>
      <c r="B212" s="25" t="s">
        <v>22</v>
      </c>
      <c r="C212" s="8" t="s">
        <v>61</v>
      </c>
      <c r="D212" s="7" t="s">
        <v>79</v>
      </c>
      <c r="E212" s="9" t="s">
        <v>153</v>
      </c>
      <c r="F212" s="10">
        <v>1</v>
      </c>
      <c r="G212" s="11" t="s">
        <v>46</v>
      </c>
      <c r="H212" s="7" t="s">
        <v>85</v>
      </c>
      <c r="I212" s="11" t="s">
        <v>98</v>
      </c>
      <c r="J212" s="11" t="s">
        <v>105</v>
      </c>
      <c r="K212" s="12">
        <v>3457.8765000000003</v>
      </c>
      <c r="L212" s="12">
        <f t="shared" si="32"/>
        <v>2074.7258999999999</v>
      </c>
      <c r="M212" s="12">
        <f t="shared" si="33"/>
        <v>1383.1506000000002</v>
      </c>
      <c r="N212" s="12">
        <v>0</v>
      </c>
      <c r="O212" s="12">
        <f t="shared" si="34"/>
        <v>3457.8765000000003</v>
      </c>
      <c r="P212" s="29">
        <v>30</v>
      </c>
    </row>
    <row r="213" spans="1:17" s="85" customFormat="1" ht="16.5" hidden="1" thickTop="1" thickBot="1" x14ac:dyDescent="0.3">
      <c r="A213" s="58" t="s">
        <v>111</v>
      </c>
      <c r="B213" s="25" t="s">
        <v>22</v>
      </c>
      <c r="C213" s="8" t="s">
        <v>61</v>
      </c>
      <c r="D213" s="7" t="s">
        <v>79</v>
      </c>
      <c r="E213" s="9" t="s">
        <v>153</v>
      </c>
      <c r="F213" s="10">
        <v>1</v>
      </c>
      <c r="G213" s="11" t="s">
        <v>46</v>
      </c>
      <c r="H213" s="7" t="s">
        <v>85</v>
      </c>
      <c r="I213" s="11" t="s">
        <v>9</v>
      </c>
      <c r="J213" s="11" t="s">
        <v>105</v>
      </c>
      <c r="K213" s="12">
        <v>42925.929029685009</v>
      </c>
      <c r="L213" s="12">
        <f t="shared" si="32"/>
        <v>25755.557417811004</v>
      </c>
      <c r="M213" s="12">
        <f t="shared" si="33"/>
        <v>17170.371611874005</v>
      </c>
      <c r="N213" s="12">
        <v>0</v>
      </c>
      <c r="O213" s="12">
        <f t="shared" si="34"/>
        <v>42925.929029685009</v>
      </c>
      <c r="P213" s="29">
        <v>30</v>
      </c>
    </row>
    <row r="214" spans="1:17" s="85" customFormat="1" ht="16.5" hidden="1" thickTop="1" thickBot="1" x14ac:dyDescent="0.3">
      <c r="A214" s="58" t="s">
        <v>111</v>
      </c>
      <c r="B214" s="25" t="s">
        <v>22</v>
      </c>
      <c r="C214" s="8" t="s">
        <v>61</v>
      </c>
      <c r="D214" s="7" t="s">
        <v>79</v>
      </c>
      <c r="E214" s="9" t="s">
        <v>153</v>
      </c>
      <c r="F214" s="10">
        <v>1</v>
      </c>
      <c r="G214" s="11" t="s">
        <v>46</v>
      </c>
      <c r="H214" s="7" t="s">
        <v>85</v>
      </c>
      <c r="I214" s="11" t="s">
        <v>97</v>
      </c>
      <c r="J214" s="11" t="s">
        <v>105</v>
      </c>
      <c r="K214" s="12">
        <v>7072</v>
      </c>
      <c r="L214" s="12">
        <f t="shared" si="32"/>
        <v>4243.2</v>
      </c>
      <c r="M214" s="12">
        <f t="shared" si="33"/>
        <v>2828.8</v>
      </c>
      <c r="N214" s="12">
        <v>0</v>
      </c>
      <c r="O214" s="12">
        <f t="shared" si="34"/>
        <v>7072</v>
      </c>
      <c r="P214" s="29">
        <v>30</v>
      </c>
    </row>
    <row r="215" spans="1:17" s="85" customFormat="1" ht="16.5" hidden="1" thickTop="1" thickBot="1" x14ac:dyDescent="0.3">
      <c r="A215" s="58" t="s">
        <v>111</v>
      </c>
      <c r="B215" s="25" t="s">
        <v>22</v>
      </c>
      <c r="C215" s="8" t="s">
        <v>61</v>
      </c>
      <c r="D215" s="7" t="s">
        <v>79</v>
      </c>
      <c r="E215" s="9" t="s">
        <v>153</v>
      </c>
      <c r="F215" s="10">
        <v>1</v>
      </c>
      <c r="G215" s="11" t="s">
        <v>47</v>
      </c>
      <c r="H215" s="7" t="s">
        <v>85</v>
      </c>
      <c r="I215" s="11" t="s">
        <v>9</v>
      </c>
      <c r="J215" s="11" t="s">
        <v>105</v>
      </c>
      <c r="K215" s="12">
        <v>33354.561456449999</v>
      </c>
      <c r="L215" s="12">
        <f t="shared" si="32"/>
        <v>20012.736873869999</v>
      </c>
      <c r="M215" s="12">
        <f t="shared" si="33"/>
        <v>13341.82458258</v>
      </c>
      <c r="N215" s="12">
        <v>0</v>
      </c>
      <c r="O215" s="12">
        <f t="shared" si="34"/>
        <v>33354.561456449999</v>
      </c>
      <c r="P215" s="29">
        <v>30</v>
      </c>
    </row>
    <row r="216" spans="1:17" s="85" customFormat="1" ht="16.5" hidden="1" thickTop="1" thickBot="1" x14ac:dyDescent="0.3">
      <c r="A216" s="58" t="s">
        <v>111</v>
      </c>
      <c r="B216" s="25" t="s">
        <v>22</v>
      </c>
      <c r="C216" s="8" t="s">
        <v>61</v>
      </c>
      <c r="D216" s="7" t="s">
        <v>79</v>
      </c>
      <c r="E216" s="9" t="s">
        <v>153</v>
      </c>
      <c r="F216" s="10">
        <v>1</v>
      </c>
      <c r="G216" s="11" t="s">
        <v>48</v>
      </c>
      <c r="H216" s="7" t="s">
        <v>85</v>
      </c>
      <c r="I216" s="11" t="s">
        <v>9</v>
      </c>
      <c r="J216" s="11" t="s">
        <v>105</v>
      </c>
      <c r="K216" s="12">
        <v>23880.014425214998</v>
      </c>
      <c r="L216" s="12">
        <f t="shared" si="32"/>
        <v>14328.008655128999</v>
      </c>
      <c r="M216" s="12">
        <f t="shared" si="33"/>
        <v>9552.0057700859998</v>
      </c>
      <c r="N216" s="12">
        <v>0</v>
      </c>
      <c r="O216" s="12">
        <f t="shared" si="34"/>
        <v>23880.014425214998</v>
      </c>
      <c r="P216" s="29">
        <v>30</v>
      </c>
    </row>
    <row r="217" spans="1:17" s="88" customFormat="1" ht="16.5" hidden="1" thickTop="1" thickBot="1" x14ac:dyDescent="0.3">
      <c r="A217" s="76" t="s">
        <v>111</v>
      </c>
      <c r="B217" s="77" t="s">
        <v>22</v>
      </c>
      <c r="C217" s="78" t="s">
        <v>62</v>
      </c>
      <c r="D217" s="79" t="s">
        <v>79</v>
      </c>
      <c r="E217" s="80" t="s">
        <v>153</v>
      </c>
      <c r="F217" s="81">
        <v>10</v>
      </c>
      <c r="G217" s="82" t="s">
        <v>49</v>
      </c>
      <c r="H217" s="79" t="s">
        <v>85</v>
      </c>
      <c r="I217" s="82" t="s">
        <v>9</v>
      </c>
      <c r="J217" s="82" t="s">
        <v>105</v>
      </c>
      <c r="K217" s="83">
        <v>19227</v>
      </c>
      <c r="L217" s="83">
        <f t="shared" si="32"/>
        <v>11536.199999999999</v>
      </c>
      <c r="M217" s="83">
        <f t="shared" si="33"/>
        <v>7690.8</v>
      </c>
      <c r="N217" s="83">
        <v>0</v>
      </c>
      <c r="O217" s="83">
        <f t="shared" si="34"/>
        <v>19227</v>
      </c>
      <c r="P217" s="84">
        <v>10</v>
      </c>
      <c r="Q217" s="88" t="s">
        <v>156</v>
      </c>
    </row>
    <row r="218" spans="1:17" s="88" customFormat="1" ht="16.5" hidden="1" thickTop="1" thickBot="1" x14ac:dyDescent="0.3">
      <c r="A218" s="76" t="s">
        <v>111</v>
      </c>
      <c r="B218" s="77" t="s">
        <v>22</v>
      </c>
      <c r="C218" s="78" t="s">
        <v>62</v>
      </c>
      <c r="D218" s="79" t="s">
        <v>79</v>
      </c>
      <c r="E218" s="80" t="s">
        <v>153</v>
      </c>
      <c r="F218" s="81">
        <v>10</v>
      </c>
      <c r="G218" s="82" t="s">
        <v>49</v>
      </c>
      <c r="H218" s="79" t="s">
        <v>85</v>
      </c>
      <c r="I218" s="82" t="s">
        <v>98</v>
      </c>
      <c r="J218" s="82" t="s">
        <v>105</v>
      </c>
      <c r="K218" s="83">
        <v>5336.6560650000001</v>
      </c>
      <c r="L218" s="83">
        <f t="shared" si="32"/>
        <v>3201.9936389999998</v>
      </c>
      <c r="M218" s="83">
        <f t="shared" si="33"/>
        <v>2134.6624260000003</v>
      </c>
      <c r="N218" s="83">
        <v>0</v>
      </c>
      <c r="O218" s="83">
        <f t="shared" si="34"/>
        <v>5336.6560650000001</v>
      </c>
      <c r="P218" s="84">
        <v>10</v>
      </c>
      <c r="Q218" s="88" t="s">
        <v>156</v>
      </c>
    </row>
    <row r="219" spans="1:17" s="88" customFormat="1" ht="16.5" hidden="1" thickTop="1" thickBot="1" x14ac:dyDescent="0.3">
      <c r="A219" s="76" t="s">
        <v>111</v>
      </c>
      <c r="B219" s="77" t="s">
        <v>22</v>
      </c>
      <c r="C219" s="78" t="s">
        <v>62</v>
      </c>
      <c r="D219" s="79" t="s">
        <v>79</v>
      </c>
      <c r="E219" s="80" t="s">
        <v>153</v>
      </c>
      <c r="F219" s="81">
        <v>10</v>
      </c>
      <c r="G219" s="82" t="s">
        <v>50</v>
      </c>
      <c r="H219" s="79" t="s">
        <v>85</v>
      </c>
      <c r="I219" s="82" t="s">
        <v>9</v>
      </c>
      <c r="J219" s="82" t="s">
        <v>105</v>
      </c>
      <c r="K219" s="83">
        <v>19227</v>
      </c>
      <c r="L219" s="83">
        <f t="shared" si="32"/>
        <v>11536.199999999999</v>
      </c>
      <c r="M219" s="83">
        <f t="shared" si="33"/>
        <v>7690.8</v>
      </c>
      <c r="N219" s="83">
        <v>0</v>
      </c>
      <c r="O219" s="83">
        <f t="shared" si="34"/>
        <v>19227</v>
      </c>
      <c r="P219" s="84">
        <v>10</v>
      </c>
      <c r="Q219" s="88" t="s">
        <v>156</v>
      </c>
    </row>
    <row r="220" spans="1:17" s="88" customFormat="1" ht="16.5" hidden="1" thickTop="1" thickBot="1" x14ac:dyDescent="0.3">
      <c r="A220" s="76" t="s">
        <v>111</v>
      </c>
      <c r="B220" s="77" t="s">
        <v>22</v>
      </c>
      <c r="C220" s="78" t="s">
        <v>62</v>
      </c>
      <c r="D220" s="79" t="s">
        <v>79</v>
      </c>
      <c r="E220" s="80" t="s">
        <v>153</v>
      </c>
      <c r="F220" s="81">
        <v>10</v>
      </c>
      <c r="G220" s="82" t="s">
        <v>50</v>
      </c>
      <c r="H220" s="79" t="s">
        <v>85</v>
      </c>
      <c r="I220" s="82" t="s">
        <v>98</v>
      </c>
      <c r="J220" s="82" t="s">
        <v>105</v>
      </c>
      <c r="K220" s="83">
        <v>5336.6560650000001</v>
      </c>
      <c r="L220" s="83">
        <f t="shared" si="32"/>
        <v>3201.9936389999998</v>
      </c>
      <c r="M220" s="83">
        <f t="shared" si="33"/>
        <v>2134.6624260000003</v>
      </c>
      <c r="N220" s="83">
        <v>0</v>
      </c>
      <c r="O220" s="83">
        <f t="shared" si="34"/>
        <v>5336.6560650000001</v>
      </c>
      <c r="P220" s="84">
        <v>10</v>
      </c>
      <c r="Q220" s="88" t="s">
        <v>156</v>
      </c>
    </row>
    <row r="221" spans="1:17" s="88" customFormat="1" ht="16.5" hidden="1" thickTop="1" thickBot="1" x14ac:dyDescent="0.3">
      <c r="A221" s="76" t="s">
        <v>111</v>
      </c>
      <c r="B221" s="77" t="s">
        <v>11</v>
      </c>
      <c r="C221" s="78" t="s">
        <v>62</v>
      </c>
      <c r="D221" s="79" t="s">
        <v>79</v>
      </c>
      <c r="E221" s="80" t="s">
        <v>153</v>
      </c>
      <c r="F221" s="81">
        <v>16</v>
      </c>
      <c r="G221" s="82" t="s">
        <v>51</v>
      </c>
      <c r="H221" s="79" t="s">
        <v>83</v>
      </c>
      <c r="I221" s="82" t="s">
        <v>7</v>
      </c>
      <c r="J221" s="82" t="s">
        <v>80</v>
      </c>
      <c r="K221" s="83">
        <v>21132.94766324625</v>
      </c>
      <c r="L221" s="83">
        <f>K221</f>
        <v>21132.94766324625</v>
      </c>
      <c r="M221" s="83">
        <v>0</v>
      </c>
      <c r="N221" s="83">
        <f>L221*16%</f>
        <v>3381.2716261194</v>
      </c>
      <c r="O221" s="83">
        <f t="shared" si="34"/>
        <v>17751.67603712685</v>
      </c>
      <c r="P221" s="84">
        <v>30</v>
      </c>
      <c r="Q221" s="88" t="s">
        <v>156</v>
      </c>
    </row>
    <row r="222" spans="1:17" s="88" customFormat="1" ht="16.5" hidden="1" thickTop="1" thickBot="1" x14ac:dyDescent="0.3">
      <c r="A222" s="76" t="s">
        <v>111</v>
      </c>
      <c r="B222" s="77" t="s">
        <v>11</v>
      </c>
      <c r="C222" s="78" t="s">
        <v>62</v>
      </c>
      <c r="D222" s="79" t="s">
        <v>79</v>
      </c>
      <c r="E222" s="80" t="s">
        <v>153</v>
      </c>
      <c r="F222" s="81">
        <v>16</v>
      </c>
      <c r="G222" s="82" t="s">
        <v>52</v>
      </c>
      <c r="H222" s="79" t="s">
        <v>84</v>
      </c>
      <c r="I222" s="82" t="s">
        <v>7</v>
      </c>
      <c r="J222" s="11" t="s">
        <v>103</v>
      </c>
      <c r="K222" s="83">
        <v>80218.94</v>
      </c>
      <c r="L222" s="83">
        <f>K222*60%</f>
        <v>48131.364000000001</v>
      </c>
      <c r="M222" s="83">
        <f>K222*40%</f>
        <v>32087.576000000001</v>
      </c>
      <c r="N222" s="12">
        <v>4620.6099999999997</v>
      </c>
      <c r="O222" s="12">
        <f t="shared" si="34"/>
        <v>75598.33</v>
      </c>
      <c r="P222" s="84">
        <v>15</v>
      </c>
      <c r="Q222" s="88" t="s">
        <v>156</v>
      </c>
    </row>
    <row r="223" spans="1:17" s="85" customFormat="1" ht="16.5" hidden="1" thickTop="1" thickBot="1" x14ac:dyDescent="0.3">
      <c r="A223" s="58" t="s">
        <v>111</v>
      </c>
      <c r="B223" s="25" t="s">
        <v>5</v>
      </c>
      <c r="C223" s="8" t="s">
        <v>62</v>
      </c>
      <c r="D223" s="7" t="s">
        <v>79</v>
      </c>
      <c r="E223" s="9" t="s">
        <v>153</v>
      </c>
      <c r="F223" s="10">
        <v>16</v>
      </c>
      <c r="G223" s="11" t="s">
        <v>53</v>
      </c>
      <c r="H223" s="7" t="s">
        <v>85</v>
      </c>
      <c r="I223" s="11" t="s">
        <v>7</v>
      </c>
      <c r="J223" s="11" t="s">
        <v>103</v>
      </c>
      <c r="K223" s="12">
        <v>19238.4722205</v>
      </c>
      <c r="L223" s="12">
        <f>K223</f>
        <v>19238.4722205</v>
      </c>
      <c r="M223" s="12">
        <v>0</v>
      </c>
      <c r="N223" s="12">
        <v>870.51910499999997</v>
      </c>
      <c r="O223" s="12">
        <f t="shared" si="34"/>
        <v>18367.9531155</v>
      </c>
      <c r="P223" s="29">
        <v>15</v>
      </c>
      <c r="Q223" s="85" t="s">
        <v>156</v>
      </c>
    </row>
    <row r="224" spans="1:17" s="85" customFormat="1" ht="16.5" hidden="1" thickTop="1" thickBot="1" x14ac:dyDescent="0.3">
      <c r="A224" s="58" t="s">
        <v>111</v>
      </c>
      <c r="B224" s="25" t="s">
        <v>5</v>
      </c>
      <c r="C224" s="8" t="s">
        <v>62</v>
      </c>
      <c r="D224" s="7" t="s">
        <v>79</v>
      </c>
      <c r="E224" s="9" t="s">
        <v>153</v>
      </c>
      <c r="F224" s="10">
        <v>16</v>
      </c>
      <c r="G224" s="11" t="s">
        <v>53</v>
      </c>
      <c r="H224" s="7" t="s">
        <v>85</v>
      </c>
      <c r="I224" s="11" t="s">
        <v>15</v>
      </c>
      <c r="J224" s="11" t="s">
        <v>103</v>
      </c>
      <c r="K224" s="12">
        <v>4982.8000364999998</v>
      </c>
      <c r="L224" s="12">
        <f>K224</f>
        <v>4982.8000364999998</v>
      </c>
      <c r="M224" s="12">
        <v>0</v>
      </c>
      <c r="N224" s="12">
        <v>225.46606499999999</v>
      </c>
      <c r="O224" s="12">
        <f t="shared" si="34"/>
        <v>4757.3339715000002</v>
      </c>
      <c r="P224" s="29">
        <v>15</v>
      </c>
      <c r="Q224" s="85" t="s">
        <v>156</v>
      </c>
    </row>
    <row r="225" spans="1:17" s="85" customFormat="1" ht="16.5" hidden="1" thickTop="1" thickBot="1" x14ac:dyDescent="0.3">
      <c r="A225" s="58" t="s">
        <v>111</v>
      </c>
      <c r="B225" s="25" t="s">
        <v>5</v>
      </c>
      <c r="C225" s="8" t="s">
        <v>62</v>
      </c>
      <c r="D225" s="7" t="s">
        <v>79</v>
      </c>
      <c r="E225" s="9" t="s">
        <v>153</v>
      </c>
      <c r="F225" s="10">
        <v>16</v>
      </c>
      <c r="G225" s="11" t="s">
        <v>53</v>
      </c>
      <c r="H225" s="7" t="s">
        <v>85</v>
      </c>
      <c r="I225" s="11" t="s">
        <v>9</v>
      </c>
      <c r="J225" s="11" t="s">
        <v>103</v>
      </c>
      <c r="K225" s="12">
        <v>8036.1049860000003</v>
      </c>
      <c r="L225" s="12">
        <f>K225</f>
        <v>8036.1049860000003</v>
      </c>
      <c r="M225" s="12">
        <v>0</v>
      </c>
      <c r="N225" s="12">
        <v>363.62466000000001</v>
      </c>
      <c r="O225" s="12">
        <f t="shared" si="34"/>
        <v>7672.4803259999999</v>
      </c>
      <c r="P225" s="29">
        <v>15</v>
      </c>
      <c r="Q225" s="85" t="s">
        <v>156</v>
      </c>
    </row>
    <row r="226" spans="1:17" s="85" customFormat="1" ht="16.5" hidden="1" thickTop="1" thickBot="1" x14ac:dyDescent="0.3">
      <c r="A226" s="58" t="s">
        <v>111</v>
      </c>
      <c r="B226" s="25" t="s">
        <v>22</v>
      </c>
      <c r="C226" s="8" t="s">
        <v>62</v>
      </c>
      <c r="D226" s="7" t="s">
        <v>79</v>
      </c>
      <c r="E226" s="9" t="s">
        <v>153</v>
      </c>
      <c r="F226" s="10">
        <v>1</v>
      </c>
      <c r="G226" s="11" t="s">
        <v>54</v>
      </c>
      <c r="H226" s="7" t="s">
        <v>85</v>
      </c>
      <c r="I226" s="11" t="s">
        <v>20</v>
      </c>
      <c r="J226" s="11" t="s">
        <v>105</v>
      </c>
      <c r="K226" s="16">
        <v>40617.404573265005</v>
      </c>
      <c r="L226" s="12">
        <f t="shared" ref="L226:L233" si="35">K226*60%</f>
        <v>24370.442743959004</v>
      </c>
      <c r="M226" s="12">
        <f t="shared" ref="M226:M233" si="36">K226*40%</f>
        <v>16246.961829306003</v>
      </c>
      <c r="N226" s="12">
        <v>0</v>
      </c>
      <c r="O226" s="12">
        <f t="shared" si="34"/>
        <v>40617.404573265005</v>
      </c>
      <c r="P226" s="29">
        <v>30</v>
      </c>
    </row>
    <row r="227" spans="1:17" s="85" customFormat="1" ht="16.5" hidden="1" thickTop="1" thickBot="1" x14ac:dyDescent="0.3">
      <c r="A227" s="58" t="s">
        <v>111</v>
      </c>
      <c r="B227" s="25" t="s">
        <v>22</v>
      </c>
      <c r="C227" s="8" t="s">
        <v>62</v>
      </c>
      <c r="D227" s="7" t="s">
        <v>79</v>
      </c>
      <c r="E227" s="9" t="s">
        <v>153</v>
      </c>
      <c r="F227" s="10">
        <v>1</v>
      </c>
      <c r="G227" s="11" t="s">
        <v>54</v>
      </c>
      <c r="H227" s="7" t="s">
        <v>85</v>
      </c>
      <c r="I227" s="11" t="s">
        <v>9</v>
      </c>
      <c r="J227" s="11" t="s">
        <v>105</v>
      </c>
      <c r="K227" s="16">
        <v>33354.561456449999</v>
      </c>
      <c r="L227" s="12">
        <f t="shared" si="35"/>
        <v>20012.736873869999</v>
      </c>
      <c r="M227" s="12">
        <f t="shared" si="36"/>
        <v>13341.82458258</v>
      </c>
      <c r="N227" s="12">
        <v>0</v>
      </c>
      <c r="O227" s="12">
        <f t="shared" si="34"/>
        <v>33354.561456449999</v>
      </c>
      <c r="P227" s="29">
        <v>30</v>
      </c>
    </row>
    <row r="228" spans="1:17" s="85" customFormat="1" ht="16.5" hidden="1" thickTop="1" thickBot="1" x14ac:dyDescent="0.3">
      <c r="A228" s="58" t="s">
        <v>111</v>
      </c>
      <c r="B228" s="25" t="s">
        <v>22</v>
      </c>
      <c r="C228" s="8" t="s">
        <v>62</v>
      </c>
      <c r="D228" s="7" t="s">
        <v>79</v>
      </c>
      <c r="E228" s="9" t="s">
        <v>153</v>
      </c>
      <c r="F228" s="10">
        <v>1</v>
      </c>
      <c r="G228" s="11" t="s">
        <v>55</v>
      </c>
      <c r="H228" s="7" t="s">
        <v>85</v>
      </c>
      <c r="I228" s="11" t="s">
        <v>20</v>
      </c>
      <c r="J228" s="11" t="s">
        <v>105</v>
      </c>
      <c r="K228" s="16">
        <v>34814.822702400001</v>
      </c>
      <c r="L228" s="12">
        <f t="shared" si="35"/>
        <v>20888.893621439998</v>
      </c>
      <c r="M228" s="12">
        <f t="shared" si="36"/>
        <v>13925.929080960001</v>
      </c>
      <c r="N228" s="12">
        <v>0</v>
      </c>
      <c r="O228" s="12">
        <f t="shared" si="34"/>
        <v>34814.822702400001</v>
      </c>
      <c r="P228" s="29">
        <v>30</v>
      </c>
    </row>
    <row r="229" spans="1:17" s="85" customFormat="1" ht="16.5" hidden="1" thickTop="1" thickBot="1" x14ac:dyDescent="0.3">
      <c r="A229" s="58" t="s">
        <v>111</v>
      </c>
      <c r="B229" s="25" t="s">
        <v>22</v>
      </c>
      <c r="C229" s="8" t="s">
        <v>62</v>
      </c>
      <c r="D229" s="7" t="s">
        <v>79</v>
      </c>
      <c r="E229" s="9" t="s">
        <v>153</v>
      </c>
      <c r="F229" s="10">
        <v>1</v>
      </c>
      <c r="G229" s="11" t="s">
        <v>55</v>
      </c>
      <c r="H229" s="7" t="s">
        <v>85</v>
      </c>
      <c r="I229" s="11" t="s">
        <v>9</v>
      </c>
      <c r="J229" s="11" t="s">
        <v>105</v>
      </c>
      <c r="K229" s="12">
        <v>23847.740911214998</v>
      </c>
      <c r="L229" s="12">
        <f t="shared" si="35"/>
        <v>14308.644546728998</v>
      </c>
      <c r="M229" s="12">
        <f t="shared" si="36"/>
        <v>9539.0963644860003</v>
      </c>
      <c r="N229" s="12">
        <v>0</v>
      </c>
      <c r="O229" s="12">
        <f t="shared" si="34"/>
        <v>23847.740911214998</v>
      </c>
      <c r="P229" s="29">
        <v>30</v>
      </c>
    </row>
    <row r="230" spans="1:17" s="85" customFormat="1" ht="16.5" hidden="1" thickTop="1" thickBot="1" x14ac:dyDescent="0.3">
      <c r="A230" s="58" t="s">
        <v>111</v>
      </c>
      <c r="B230" s="25" t="s">
        <v>22</v>
      </c>
      <c r="C230" s="8" t="s">
        <v>62</v>
      </c>
      <c r="D230" s="7" t="s">
        <v>79</v>
      </c>
      <c r="E230" s="9" t="s">
        <v>153</v>
      </c>
      <c r="F230" s="10">
        <v>1</v>
      </c>
      <c r="G230" s="11" t="s">
        <v>56</v>
      </c>
      <c r="H230" s="7" t="s">
        <v>85</v>
      </c>
      <c r="I230" s="11" t="s">
        <v>9</v>
      </c>
      <c r="J230" s="11" t="s">
        <v>105</v>
      </c>
      <c r="K230" s="12">
        <v>33386.83497045</v>
      </c>
      <c r="L230" s="12">
        <f t="shared" si="35"/>
        <v>20032.10098227</v>
      </c>
      <c r="M230" s="12">
        <f t="shared" si="36"/>
        <v>13354.73398818</v>
      </c>
      <c r="N230" s="12">
        <v>0</v>
      </c>
      <c r="O230" s="12">
        <f t="shared" si="34"/>
        <v>33386.83497045</v>
      </c>
      <c r="P230" s="29">
        <v>30</v>
      </c>
    </row>
    <row r="231" spans="1:17" s="85" customFormat="1" ht="16.5" hidden="1" thickTop="1" thickBot="1" x14ac:dyDescent="0.3">
      <c r="A231" s="58" t="s">
        <v>111</v>
      </c>
      <c r="B231" s="25" t="s">
        <v>22</v>
      </c>
      <c r="C231" s="8" t="s">
        <v>62</v>
      </c>
      <c r="D231" s="7" t="s">
        <v>79</v>
      </c>
      <c r="E231" s="9" t="s">
        <v>153</v>
      </c>
      <c r="F231" s="10">
        <v>1</v>
      </c>
      <c r="G231" s="11" t="s">
        <v>57</v>
      </c>
      <c r="H231" s="7" t="s">
        <v>85</v>
      </c>
      <c r="I231" s="11" t="s">
        <v>9</v>
      </c>
      <c r="J231" s="11" t="s">
        <v>105</v>
      </c>
      <c r="K231" s="12">
        <v>33354.561456449999</v>
      </c>
      <c r="L231" s="12">
        <f t="shared" si="35"/>
        <v>20012.736873869999</v>
      </c>
      <c r="M231" s="12">
        <f t="shared" si="36"/>
        <v>13341.82458258</v>
      </c>
      <c r="N231" s="12">
        <v>0</v>
      </c>
      <c r="O231" s="12">
        <f t="shared" si="34"/>
        <v>33354.561456449999</v>
      </c>
      <c r="P231" s="29">
        <v>30</v>
      </c>
    </row>
    <row r="232" spans="1:17" s="85" customFormat="1" ht="16.5" hidden="1" thickTop="1" thickBot="1" x14ac:dyDescent="0.3">
      <c r="A232" s="58" t="s">
        <v>111</v>
      </c>
      <c r="B232" s="25" t="s">
        <v>22</v>
      </c>
      <c r="C232" s="8" t="s">
        <v>62</v>
      </c>
      <c r="D232" s="7" t="s">
        <v>79</v>
      </c>
      <c r="E232" s="9" t="s">
        <v>153</v>
      </c>
      <c r="F232" s="10">
        <v>1</v>
      </c>
      <c r="G232" s="11" t="s">
        <v>58</v>
      </c>
      <c r="H232" s="7" t="s">
        <v>85</v>
      </c>
      <c r="I232" s="11" t="s">
        <v>9</v>
      </c>
      <c r="J232" s="11" t="s">
        <v>105</v>
      </c>
      <c r="K232" s="12">
        <v>19078.18811847</v>
      </c>
      <c r="L232" s="12">
        <f t="shared" si="35"/>
        <v>11446.912871081999</v>
      </c>
      <c r="M232" s="12">
        <f t="shared" si="36"/>
        <v>7631.275247388</v>
      </c>
      <c r="N232" s="12">
        <v>0</v>
      </c>
      <c r="O232" s="12">
        <f t="shared" si="34"/>
        <v>19078.18811847</v>
      </c>
      <c r="P232" s="29">
        <v>30</v>
      </c>
    </row>
    <row r="233" spans="1:17" s="85" customFormat="1" ht="16.5" hidden="1" thickTop="1" thickBot="1" x14ac:dyDescent="0.3">
      <c r="A233" s="58" t="s">
        <v>111</v>
      </c>
      <c r="B233" s="31" t="s">
        <v>22</v>
      </c>
      <c r="C233" s="32" t="s">
        <v>62</v>
      </c>
      <c r="D233" s="33" t="s">
        <v>79</v>
      </c>
      <c r="E233" s="9" t="s">
        <v>153</v>
      </c>
      <c r="F233" s="35">
        <v>1</v>
      </c>
      <c r="G233" s="36" t="s">
        <v>59</v>
      </c>
      <c r="H233" s="33" t="s">
        <v>85</v>
      </c>
      <c r="I233" s="36" t="s">
        <v>9</v>
      </c>
      <c r="J233" s="36" t="s">
        <v>105</v>
      </c>
      <c r="K233" s="37">
        <v>4769.5527927450003</v>
      </c>
      <c r="L233" s="12">
        <f t="shared" si="35"/>
        <v>2861.731675647</v>
      </c>
      <c r="M233" s="12">
        <f t="shared" si="36"/>
        <v>1907.8211170980003</v>
      </c>
      <c r="N233" s="37">
        <v>0</v>
      </c>
      <c r="O233" s="12">
        <f t="shared" si="34"/>
        <v>4769.5527927450003</v>
      </c>
      <c r="P233" s="38">
        <v>30</v>
      </c>
    </row>
    <row r="234" spans="1:17" s="85" customFormat="1" ht="16.5" hidden="1" thickTop="1" thickBot="1" x14ac:dyDescent="0.3">
      <c r="A234" s="58" t="s">
        <v>111</v>
      </c>
      <c r="B234" s="25" t="s">
        <v>22</v>
      </c>
      <c r="C234" s="8" t="s">
        <v>61</v>
      </c>
      <c r="D234" s="7" t="s">
        <v>79</v>
      </c>
      <c r="E234" s="9" t="s">
        <v>153</v>
      </c>
      <c r="F234" s="10">
        <v>20</v>
      </c>
      <c r="G234" s="13" t="s">
        <v>92</v>
      </c>
      <c r="H234" s="7" t="s">
        <v>83</v>
      </c>
      <c r="I234" s="11" t="s">
        <v>7</v>
      </c>
      <c r="J234" s="11" t="s">
        <v>80</v>
      </c>
      <c r="K234" s="12">
        <v>19890</v>
      </c>
      <c r="L234" s="12">
        <f>K234</f>
        <v>19890</v>
      </c>
      <c r="M234" s="12">
        <v>0</v>
      </c>
      <c r="N234" s="12">
        <v>0</v>
      </c>
      <c r="O234" s="12">
        <f t="shared" si="34"/>
        <v>19890</v>
      </c>
      <c r="P234" s="29">
        <v>15</v>
      </c>
    </row>
    <row r="235" spans="1:17" s="85" customFormat="1" ht="16.5" hidden="1" thickTop="1" thickBot="1" x14ac:dyDescent="0.3">
      <c r="A235" s="74" t="s">
        <v>111</v>
      </c>
      <c r="B235" s="25" t="s">
        <v>13</v>
      </c>
      <c r="C235" s="8" t="s">
        <v>61</v>
      </c>
      <c r="D235" s="7" t="s">
        <v>79</v>
      </c>
      <c r="E235" s="9" t="s">
        <v>154</v>
      </c>
      <c r="F235" s="10">
        <v>20</v>
      </c>
      <c r="G235" s="13" t="s">
        <v>90</v>
      </c>
      <c r="H235" s="15" t="s">
        <v>83</v>
      </c>
      <c r="I235" s="14" t="s">
        <v>9</v>
      </c>
      <c r="J235" s="11" t="s">
        <v>103</v>
      </c>
      <c r="K235" s="12">
        <v>4536.0249999999996</v>
      </c>
      <c r="L235" s="12">
        <v>4536.0249999999996</v>
      </c>
      <c r="M235" s="12">
        <v>0</v>
      </c>
      <c r="N235" s="12">
        <f>L235*16%</f>
        <v>725.76400000000001</v>
      </c>
      <c r="O235" s="12">
        <f t="shared" si="34"/>
        <v>3810.2609999999995</v>
      </c>
      <c r="P235" s="29">
        <v>10</v>
      </c>
    </row>
    <row r="236" spans="1:17" s="85" customFormat="1" ht="16.5" hidden="1" thickTop="1" thickBot="1" x14ac:dyDescent="0.3">
      <c r="A236" s="74" t="s">
        <v>111</v>
      </c>
      <c r="B236" s="25" t="s">
        <v>22</v>
      </c>
      <c r="C236" s="8" t="s">
        <v>25</v>
      </c>
      <c r="D236" s="7" t="s">
        <v>79</v>
      </c>
      <c r="E236" s="9" t="s">
        <v>154</v>
      </c>
      <c r="F236" s="10">
        <v>28</v>
      </c>
      <c r="G236" s="11" t="s">
        <v>135</v>
      </c>
      <c r="H236" s="7" t="s">
        <v>83</v>
      </c>
      <c r="I236" s="11" t="s">
        <v>7</v>
      </c>
      <c r="J236" s="11" t="s">
        <v>80</v>
      </c>
      <c r="K236" s="12">
        <v>17695.12745</v>
      </c>
      <c r="L236" s="12">
        <v>17695.12745</v>
      </c>
      <c r="M236" s="12">
        <v>0</v>
      </c>
      <c r="N236" s="12">
        <v>0</v>
      </c>
      <c r="O236" s="12">
        <v>17695.12745</v>
      </c>
      <c r="P236" s="29">
        <v>18</v>
      </c>
    </row>
    <row r="237" spans="1:17" s="85" customFormat="1" ht="16.5" hidden="1" thickTop="1" thickBot="1" x14ac:dyDescent="0.3">
      <c r="A237" s="74" t="s">
        <v>111</v>
      </c>
      <c r="B237" s="40" t="s">
        <v>5</v>
      </c>
      <c r="C237" s="41" t="s">
        <v>0</v>
      </c>
      <c r="D237" s="42" t="s">
        <v>79</v>
      </c>
      <c r="E237" s="9" t="s">
        <v>154</v>
      </c>
      <c r="F237" s="44">
        <v>10</v>
      </c>
      <c r="G237" s="45" t="s">
        <v>6</v>
      </c>
      <c r="H237" s="42" t="s">
        <v>85</v>
      </c>
      <c r="I237" s="45" t="s">
        <v>7</v>
      </c>
      <c r="J237" s="45" t="s">
        <v>103</v>
      </c>
      <c r="K237" s="46">
        <v>41245.995459655351</v>
      </c>
      <c r="L237" s="12">
        <v>41245.995459655351</v>
      </c>
      <c r="M237" s="12">
        <v>0</v>
      </c>
      <c r="N237" s="46">
        <f>L237*2%</f>
        <v>824.91990919310706</v>
      </c>
      <c r="O237" s="12">
        <v>39379.660823471851</v>
      </c>
      <c r="P237" s="47">
        <v>10</v>
      </c>
      <c r="Q237" s="85" t="s">
        <v>156</v>
      </c>
    </row>
    <row r="238" spans="1:17" s="85" customFormat="1" ht="16.5" hidden="1" thickTop="1" thickBot="1" x14ac:dyDescent="0.3">
      <c r="A238" s="74" t="s">
        <v>111</v>
      </c>
      <c r="B238" s="25" t="s">
        <v>5</v>
      </c>
      <c r="C238" s="8" t="s">
        <v>0</v>
      </c>
      <c r="D238" s="7" t="s">
        <v>79</v>
      </c>
      <c r="E238" s="9" t="s">
        <v>154</v>
      </c>
      <c r="F238" s="10">
        <v>10</v>
      </c>
      <c r="G238" s="11" t="s">
        <v>8</v>
      </c>
      <c r="H238" s="7" t="s">
        <v>85</v>
      </c>
      <c r="I238" s="11" t="s">
        <v>7</v>
      </c>
      <c r="J238" s="11" t="s">
        <v>103</v>
      </c>
      <c r="K238" s="12">
        <v>19327.518303502504</v>
      </c>
      <c r="L238" s="12">
        <v>19327.518303502504</v>
      </c>
      <c r="M238" s="12">
        <v>0</v>
      </c>
      <c r="N238" s="46">
        <f>L238*2%</f>
        <v>386.55036607005007</v>
      </c>
      <c r="O238" s="12">
        <f>L238+M238-N238</f>
        <v>18940.967937432455</v>
      </c>
      <c r="P238" s="29">
        <v>10</v>
      </c>
      <c r="Q238" s="85" t="s">
        <v>156</v>
      </c>
    </row>
    <row r="239" spans="1:17" s="85" customFormat="1" ht="16.5" hidden="1" thickTop="1" thickBot="1" x14ac:dyDescent="0.3">
      <c r="A239" s="74" t="s">
        <v>111</v>
      </c>
      <c r="B239" s="25" t="s">
        <v>5</v>
      </c>
      <c r="C239" s="8" t="s">
        <v>0</v>
      </c>
      <c r="D239" s="7" t="s">
        <v>79</v>
      </c>
      <c r="E239" s="9" t="s">
        <v>154</v>
      </c>
      <c r="F239" s="10">
        <v>10</v>
      </c>
      <c r="G239" s="11" t="s">
        <v>8</v>
      </c>
      <c r="H239" s="7" t="s">
        <v>85</v>
      </c>
      <c r="I239" s="11" t="s">
        <v>97</v>
      </c>
      <c r="J239" s="11" t="s">
        <v>103</v>
      </c>
      <c r="K239" s="12">
        <v>19327.518303502504</v>
      </c>
      <c r="L239" s="12">
        <v>19327.518303502504</v>
      </c>
      <c r="M239" s="12">
        <v>0</v>
      </c>
      <c r="N239" s="12">
        <v>874.54833952500019</v>
      </c>
      <c r="O239" s="12">
        <v>18452.969963977503</v>
      </c>
      <c r="P239" s="29">
        <v>10</v>
      </c>
      <c r="Q239" s="85" t="s">
        <v>156</v>
      </c>
    </row>
    <row r="240" spans="1:17" s="85" customFormat="1" ht="16.5" hidden="1" thickTop="1" thickBot="1" x14ac:dyDescent="0.3">
      <c r="A240" s="74" t="s">
        <v>111</v>
      </c>
      <c r="B240" s="25" t="s">
        <v>5</v>
      </c>
      <c r="C240" s="8" t="s">
        <v>0</v>
      </c>
      <c r="D240" s="7" t="s">
        <v>79</v>
      </c>
      <c r="E240" s="9" t="s">
        <v>154</v>
      </c>
      <c r="F240" s="10">
        <v>10</v>
      </c>
      <c r="G240" s="11" t="s">
        <v>8</v>
      </c>
      <c r="H240" s="7" t="s">
        <v>85</v>
      </c>
      <c r="I240" s="11" t="s">
        <v>9</v>
      </c>
      <c r="J240" s="11" t="s">
        <v>103</v>
      </c>
      <c r="K240" s="12">
        <v>16926.608031693751</v>
      </c>
      <c r="L240" s="12">
        <v>16926.608031693751</v>
      </c>
      <c r="M240" s="12">
        <v>0</v>
      </c>
      <c r="N240" s="12">
        <v>765.90986568750009</v>
      </c>
      <c r="O240" s="12">
        <v>16160.698166006252</v>
      </c>
      <c r="P240" s="29">
        <v>10</v>
      </c>
      <c r="Q240" s="85" t="s">
        <v>156</v>
      </c>
    </row>
    <row r="241" spans="1:17" s="85" customFormat="1" ht="16.5" hidden="1" thickTop="1" thickBot="1" x14ac:dyDescent="0.3">
      <c r="A241" s="74" t="s">
        <v>111</v>
      </c>
      <c r="B241" s="25" t="s">
        <v>5</v>
      </c>
      <c r="C241" s="8" t="s">
        <v>0</v>
      </c>
      <c r="D241" s="7" t="s">
        <v>79</v>
      </c>
      <c r="E241" s="9" t="s">
        <v>154</v>
      </c>
      <c r="F241" s="10">
        <v>10</v>
      </c>
      <c r="G241" s="11" t="s">
        <v>8</v>
      </c>
      <c r="H241" s="7" t="s">
        <v>85</v>
      </c>
      <c r="I241" s="11" t="s">
        <v>15</v>
      </c>
      <c r="J241" s="11" t="s">
        <v>103</v>
      </c>
      <c r="K241" s="12">
        <v>14433.306181368749</v>
      </c>
      <c r="L241" s="12">
        <v>14433.306181368749</v>
      </c>
      <c r="M241" s="12">
        <v>0</v>
      </c>
      <c r="N241" s="12">
        <v>653.09077743750004</v>
      </c>
      <c r="O241" s="12">
        <v>13780.215403931248</v>
      </c>
      <c r="P241" s="29">
        <v>10</v>
      </c>
      <c r="Q241" s="85" t="s">
        <v>156</v>
      </c>
    </row>
    <row r="242" spans="1:17" s="85" customFormat="1" ht="16.5" hidden="1" thickTop="1" thickBot="1" x14ac:dyDescent="0.3">
      <c r="A242" s="74" t="s">
        <v>111</v>
      </c>
      <c r="B242" s="25" t="s">
        <v>10</v>
      </c>
      <c r="C242" s="8" t="s">
        <v>0</v>
      </c>
      <c r="D242" s="7" t="s">
        <v>79</v>
      </c>
      <c r="E242" s="9" t="s">
        <v>154</v>
      </c>
      <c r="F242" s="10">
        <v>10</v>
      </c>
      <c r="G242" s="11" t="s">
        <v>8</v>
      </c>
      <c r="H242" s="7" t="s">
        <v>85</v>
      </c>
      <c r="I242" s="11" t="s">
        <v>96</v>
      </c>
      <c r="J242" s="11" t="s">
        <v>103</v>
      </c>
      <c r="K242" s="12">
        <v>2000</v>
      </c>
      <c r="L242" s="12">
        <v>2000</v>
      </c>
      <c r="M242" s="12">
        <v>0</v>
      </c>
      <c r="N242" s="12">
        <v>0</v>
      </c>
      <c r="O242" s="12">
        <v>2000</v>
      </c>
      <c r="P242" s="29">
        <v>10</v>
      </c>
      <c r="Q242" s="85" t="s">
        <v>156</v>
      </c>
    </row>
    <row r="243" spans="1:17" s="85" customFormat="1" ht="16.5" hidden="1" thickTop="1" thickBot="1" x14ac:dyDescent="0.3">
      <c r="A243" s="74" t="s">
        <v>111</v>
      </c>
      <c r="B243" s="25" t="s">
        <v>10</v>
      </c>
      <c r="C243" s="8" t="s">
        <v>0</v>
      </c>
      <c r="D243" s="7" t="s">
        <v>79</v>
      </c>
      <c r="E243" s="9" t="s">
        <v>154</v>
      </c>
      <c r="F243" s="10">
        <v>10</v>
      </c>
      <c r="G243" s="11" t="s">
        <v>8</v>
      </c>
      <c r="H243" s="7" t="s">
        <v>85</v>
      </c>
      <c r="I243" s="11" t="s">
        <v>96</v>
      </c>
      <c r="J243" s="11" t="s">
        <v>103</v>
      </c>
      <c r="K243" s="12">
        <v>200</v>
      </c>
      <c r="L243" s="12">
        <v>200</v>
      </c>
      <c r="M243" s="12">
        <v>0</v>
      </c>
      <c r="N243" s="12">
        <v>0</v>
      </c>
      <c r="O243" s="12">
        <v>200</v>
      </c>
      <c r="P243" s="29">
        <v>10</v>
      </c>
      <c r="Q243" s="85" t="s">
        <v>156</v>
      </c>
    </row>
    <row r="244" spans="1:17" s="85" customFormat="1" ht="16.5" hidden="1" thickTop="1" thickBot="1" x14ac:dyDescent="0.3">
      <c r="A244" s="74" t="s">
        <v>111</v>
      </c>
      <c r="B244" s="25" t="s">
        <v>11</v>
      </c>
      <c r="C244" s="8" t="s">
        <v>0</v>
      </c>
      <c r="D244" s="7" t="s">
        <v>79</v>
      </c>
      <c r="E244" s="9" t="s">
        <v>154</v>
      </c>
      <c r="F244" s="10">
        <v>16</v>
      </c>
      <c r="G244" s="11" t="s">
        <v>12</v>
      </c>
      <c r="H244" s="7" t="s">
        <v>85</v>
      </c>
      <c r="I244" s="11" t="s">
        <v>7</v>
      </c>
      <c r="J244" s="11" t="s">
        <v>103</v>
      </c>
      <c r="K244" s="12">
        <v>18799.785318082275</v>
      </c>
      <c r="L244" s="12">
        <v>18799.785318082275</v>
      </c>
      <c r="M244" s="12">
        <v>0</v>
      </c>
      <c r="N244" s="12">
        <f>L244*14%</f>
        <v>2631.9699445315186</v>
      </c>
      <c r="O244" s="12">
        <f>L244+M244-N244</f>
        <v>16167.815373550757</v>
      </c>
      <c r="P244" s="29">
        <v>15</v>
      </c>
      <c r="Q244" s="85" t="s">
        <v>156</v>
      </c>
    </row>
    <row r="245" spans="1:17" s="85" customFormat="1" ht="16.5" hidden="1" thickTop="1" thickBot="1" x14ac:dyDescent="0.3">
      <c r="A245" s="74" t="s">
        <v>111</v>
      </c>
      <c r="B245" s="25" t="s">
        <v>13</v>
      </c>
      <c r="C245" s="8" t="s">
        <v>0</v>
      </c>
      <c r="D245" s="7" t="s">
        <v>79</v>
      </c>
      <c r="E245" s="9" t="s">
        <v>154</v>
      </c>
      <c r="F245" s="10">
        <v>16</v>
      </c>
      <c r="G245" s="11" t="s">
        <v>12</v>
      </c>
      <c r="H245" s="7" t="s">
        <v>85</v>
      </c>
      <c r="I245" s="11" t="s">
        <v>9</v>
      </c>
      <c r="J245" s="11" t="s">
        <v>103</v>
      </c>
      <c r="K245" s="12">
        <v>4121.2527595112251</v>
      </c>
      <c r="L245" s="12">
        <v>4121.2527595112251</v>
      </c>
      <c r="M245" s="12">
        <v>0</v>
      </c>
      <c r="N245" s="12">
        <f>L245*16%</f>
        <v>659.40044152179598</v>
      </c>
      <c r="O245" s="12">
        <v>3461.8523179894291</v>
      </c>
      <c r="P245" s="29">
        <v>15</v>
      </c>
      <c r="Q245" s="85" t="s">
        <v>156</v>
      </c>
    </row>
    <row r="246" spans="1:17" s="85" customFormat="1" ht="16.5" hidden="1" thickTop="1" thickBot="1" x14ac:dyDescent="0.3">
      <c r="A246" s="74" t="s">
        <v>111</v>
      </c>
      <c r="B246" s="25" t="s">
        <v>13</v>
      </c>
      <c r="C246" s="8" t="s">
        <v>0</v>
      </c>
      <c r="D246" s="7" t="s">
        <v>79</v>
      </c>
      <c r="E246" s="9" t="s">
        <v>154</v>
      </c>
      <c r="F246" s="10">
        <v>16</v>
      </c>
      <c r="G246" s="11" t="s">
        <v>12</v>
      </c>
      <c r="H246" s="7" t="s">
        <v>85</v>
      </c>
      <c r="I246" s="11" t="s">
        <v>99</v>
      </c>
      <c r="J246" s="11" t="s">
        <v>103</v>
      </c>
      <c r="K246" s="12">
        <v>4879.6817792930997</v>
      </c>
      <c r="L246" s="12">
        <v>4879.6817792930997</v>
      </c>
      <c r="M246" s="12">
        <v>0</v>
      </c>
      <c r="N246" s="12">
        <f>L246*16%</f>
        <v>780.74908468689591</v>
      </c>
      <c r="O246" s="12">
        <v>4098.9326946062038</v>
      </c>
      <c r="P246" s="29">
        <v>15</v>
      </c>
      <c r="Q246" s="85" t="s">
        <v>156</v>
      </c>
    </row>
    <row r="247" spans="1:17" s="85" customFormat="1" ht="16.5" hidden="1" thickTop="1" thickBot="1" x14ac:dyDescent="0.3">
      <c r="A247" s="74" t="s">
        <v>111</v>
      </c>
      <c r="B247" s="25" t="s">
        <v>5</v>
      </c>
      <c r="C247" s="8" t="s">
        <v>0</v>
      </c>
      <c r="D247" s="7" t="s">
        <v>79</v>
      </c>
      <c r="E247" s="9" t="s">
        <v>154</v>
      </c>
      <c r="F247" s="10">
        <v>16</v>
      </c>
      <c r="G247" s="11" t="s">
        <v>139</v>
      </c>
      <c r="H247" s="7" t="s">
        <v>84</v>
      </c>
      <c r="I247" s="11" t="s">
        <v>7</v>
      </c>
      <c r="J247" s="11" t="s">
        <v>103</v>
      </c>
      <c r="K247" s="12">
        <v>16311.633340859998</v>
      </c>
      <c r="L247" s="12">
        <v>16311.633340859998</v>
      </c>
      <c r="M247" s="12">
        <v>0</v>
      </c>
      <c r="N247" s="46">
        <f>L247*2%</f>
        <v>326.23266681719997</v>
      </c>
      <c r="O247" s="12">
        <f>L247+M247-N247</f>
        <v>15985.400674042798</v>
      </c>
      <c r="P247" s="29">
        <v>15</v>
      </c>
      <c r="Q247" s="85" t="s">
        <v>156</v>
      </c>
    </row>
    <row r="248" spans="1:17" s="85" customFormat="1" ht="16.5" hidden="1" thickTop="1" thickBot="1" x14ac:dyDescent="0.3">
      <c r="A248" s="74" t="s">
        <v>111</v>
      </c>
      <c r="B248" s="25" t="s">
        <v>5</v>
      </c>
      <c r="C248" s="8" t="s">
        <v>0</v>
      </c>
      <c r="D248" s="7" t="s">
        <v>79</v>
      </c>
      <c r="E248" s="9" t="s">
        <v>154</v>
      </c>
      <c r="F248" s="10">
        <v>16</v>
      </c>
      <c r="G248" s="11" t="s">
        <v>139</v>
      </c>
      <c r="H248" s="7" t="s">
        <v>84</v>
      </c>
      <c r="I248" s="11" t="s">
        <v>9</v>
      </c>
      <c r="J248" s="11" t="s">
        <v>103</v>
      </c>
      <c r="K248" s="12">
        <v>4158.1260499999999</v>
      </c>
      <c r="L248" s="12">
        <v>4158.1260499999999</v>
      </c>
      <c r="M248" s="12">
        <v>0</v>
      </c>
      <c r="N248" s="12">
        <v>188.15050000000002</v>
      </c>
      <c r="O248" s="12">
        <v>3969.9755499999997</v>
      </c>
      <c r="P248" s="29">
        <v>15</v>
      </c>
      <c r="Q248" s="85" t="s">
        <v>156</v>
      </c>
    </row>
    <row r="249" spans="1:17" s="85" customFormat="1" ht="16.5" hidden="1" thickTop="1" thickBot="1" x14ac:dyDescent="0.3">
      <c r="A249" s="74" t="s">
        <v>111</v>
      </c>
      <c r="B249" s="25" t="s">
        <v>5</v>
      </c>
      <c r="C249" s="8" t="s">
        <v>0</v>
      </c>
      <c r="D249" s="7" t="s">
        <v>79</v>
      </c>
      <c r="E249" s="9" t="s">
        <v>154</v>
      </c>
      <c r="F249" s="10">
        <v>16</v>
      </c>
      <c r="G249" s="11" t="s">
        <v>139</v>
      </c>
      <c r="H249" s="7" t="s">
        <v>84</v>
      </c>
      <c r="I249" s="11" t="s">
        <v>15</v>
      </c>
      <c r="J249" s="11" t="s">
        <v>103</v>
      </c>
      <c r="K249" s="12">
        <v>5282.5230083924998</v>
      </c>
      <c r="L249" s="12">
        <v>5282.5230083924998</v>
      </c>
      <c r="M249" s="12">
        <v>0</v>
      </c>
      <c r="N249" s="12">
        <v>239.02819042500002</v>
      </c>
      <c r="O249" s="12">
        <v>5043.4948179675002</v>
      </c>
      <c r="P249" s="29">
        <v>15</v>
      </c>
      <c r="Q249" s="85" t="s">
        <v>156</v>
      </c>
    </row>
    <row r="250" spans="1:17" s="85" customFormat="1" ht="16.5" hidden="1" thickTop="1" thickBot="1" x14ac:dyDescent="0.3">
      <c r="A250" s="74" t="s">
        <v>111</v>
      </c>
      <c r="B250" s="25" t="s">
        <v>10</v>
      </c>
      <c r="C250" s="8" t="s">
        <v>0</v>
      </c>
      <c r="D250" s="7" t="s">
        <v>79</v>
      </c>
      <c r="E250" s="9" t="s">
        <v>154</v>
      </c>
      <c r="F250" s="10">
        <v>16</v>
      </c>
      <c r="G250" s="11" t="s">
        <v>139</v>
      </c>
      <c r="H250" s="7" t="s">
        <v>84</v>
      </c>
      <c r="I250" s="11" t="s">
        <v>96</v>
      </c>
      <c r="J250" s="11" t="s">
        <v>103</v>
      </c>
      <c r="K250" s="12">
        <v>500</v>
      </c>
      <c r="L250" s="12">
        <v>500</v>
      </c>
      <c r="M250" s="12">
        <v>0</v>
      </c>
      <c r="N250" s="12">
        <v>0</v>
      </c>
      <c r="O250" s="12">
        <v>500</v>
      </c>
      <c r="P250" s="29">
        <v>15</v>
      </c>
      <c r="Q250" s="85" t="s">
        <v>156</v>
      </c>
    </row>
    <row r="251" spans="1:17" s="85" customFormat="1" ht="16.5" hidden="1" thickTop="1" thickBot="1" x14ac:dyDescent="0.3">
      <c r="A251" s="74" t="s">
        <v>111</v>
      </c>
      <c r="B251" s="25" t="s">
        <v>11</v>
      </c>
      <c r="C251" s="8" t="s">
        <v>0</v>
      </c>
      <c r="D251" s="7" t="s">
        <v>79</v>
      </c>
      <c r="E251" s="9" t="s">
        <v>154</v>
      </c>
      <c r="F251" s="10">
        <v>20</v>
      </c>
      <c r="G251" s="11" t="s">
        <v>16</v>
      </c>
      <c r="H251" s="7" t="s">
        <v>85</v>
      </c>
      <c r="I251" s="11" t="s">
        <v>7</v>
      </c>
      <c r="J251" s="11" t="s">
        <v>103</v>
      </c>
      <c r="K251" s="12">
        <v>17144.075000000001</v>
      </c>
      <c r="L251" s="12">
        <v>17144.075000000001</v>
      </c>
      <c r="M251" s="12">
        <v>0</v>
      </c>
      <c r="N251" s="12">
        <f>L251*14%</f>
        <v>2400.1705000000002</v>
      </c>
      <c r="O251" s="12">
        <v>14401.023000000001</v>
      </c>
      <c r="P251" s="29">
        <v>15</v>
      </c>
    </row>
    <row r="252" spans="1:17" s="85" customFormat="1" ht="16.5" hidden="1" thickTop="1" thickBot="1" x14ac:dyDescent="0.3">
      <c r="A252" s="74" t="s">
        <v>111</v>
      </c>
      <c r="B252" s="25" t="s">
        <v>13</v>
      </c>
      <c r="C252" s="8" t="s">
        <v>0</v>
      </c>
      <c r="D252" s="7" t="s">
        <v>79</v>
      </c>
      <c r="E252" s="9" t="s">
        <v>154</v>
      </c>
      <c r="F252" s="10">
        <v>20</v>
      </c>
      <c r="G252" s="11" t="s">
        <v>16</v>
      </c>
      <c r="H252" s="7" t="s">
        <v>85</v>
      </c>
      <c r="I252" s="11" t="s">
        <v>113</v>
      </c>
      <c r="J252" s="11" t="s">
        <v>103</v>
      </c>
      <c r="K252" s="12">
        <v>1657.5</v>
      </c>
      <c r="L252" s="12">
        <v>1657.5</v>
      </c>
      <c r="M252" s="12">
        <v>0</v>
      </c>
      <c r="N252" s="12">
        <f>L252*16%</f>
        <v>265.2</v>
      </c>
      <c r="O252" s="12">
        <v>1392.3</v>
      </c>
      <c r="P252" s="29">
        <v>15</v>
      </c>
    </row>
    <row r="253" spans="1:17" s="85" customFormat="1" ht="16.5" hidden="1" thickTop="1" thickBot="1" x14ac:dyDescent="0.3">
      <c r="A253" s="74" t="s">
        <v>111</v>
      </c>
      <c r="B253" s="25" t="s">
        <v>13</v>
      </c>
      <c r="C253" s="8" t="s">
        <v>0</v>
      </c>
      <c r="D253" s="7" t="s">
        <v>79</v>
      </c>
      <c r="E253" s="9" t="s">
        <v>154</v>
      </c>
      <c r="F253" s="10">
        <v>20</v>
      </c>
      <c r="G253" s="11" t="s">
        <v>16</v>
      </c>
      <c r="H253" s="7" t="s">
        <v>85</v>
      </c>
      <c r="I253" s="11" t="s">
        <v>9</v>
      </c>
      <c r="J253" s="11" t="s">
        <v>103</v>
      </c>
      <c r="K253" s="12">
        <v>8265.4</v>
      </c>
      <c r="L253" s="12">
        <v>8265.4</v>
      </c>
      <c r="M253" s="12">
        <v>0</v>
      </c>
      <c r="N253" s="12">
        <f>L253*16%</f>
        <v>1322.4639999999999</v>
      </c>
      <c r="O253" s="12">
        <v>6942.9359999999997</v>
      </c>
      <c r="P253" s="29">
        <v>15</v>
      </c>
    </row>
    <row r="254" spans="1:17" s="85" customFormat="1" ht="16.5" hidden="1" thickTop="1" thickBot="1" x14ac:dyDescent="0.3">
      <c r="A254" s="74" t="s">
        <v>111</v>
      </c>
      <c r="B254" s="25" t="s">
        <v>13</v>
      </c>
      <c r="C254" s="8" t="s">
        <v>0</v>
      </c>
      <c r="D254" s="7" t="s">
        <v>79</v>
      </c>
      <c r="E254" s="9" t="s">
        <v>154</v>
      </c>
      <c r="F254" s="10">
        <v>20</v>
      </c>
      <c r="G254" s="11" t="s">
        <v>16</v>
      </c>
      <c r="H254" s="7" t="s">
        <v>85</v>
      </c>
      <c r="I254" s="11" t="s">
        <v>15</v>
      </c>
      <c r="J254" s="11" t="s">
        <v>103</v>
      </c>
      <c r="K254" s="12">
        <v>7542.73</v>
      </c>
      <c r="L254" s="12">
        <v>7542.73</v>
      </c>
      <c r="M254" s="12">
        <v>0</v>
      </c>
      <c r="N254" s="12">
        <f>L254*16%</f>
        <v>1206.8368</v>
      </c>
      <c r="O254" s="12">
        <v>6335.8931999999995</v>
      </c>
      <c r="P254" s="29">
        <v>15</v>
      </c>
    </row>
    <row r="255" spans="1:17" s="85" customFormat="1" ht="16.5" hidden="1" thickTop="1" thickBot="1" x14ac:dyDescent="0.3">
      <c r="A255" s="74" t="s">
        <v>111</v>
      </c>
      <c r="B255" s="25" t="s">
        <v>5</v>
      </c>
      <c r="C255" s="8" t="s">
        <v>0</v>
      </c>
      <c r="D255" s="7" t="s">
        <v>79</v>
      </c>
      <c r="E255" s="9" t="s">
        <v>154</v>
      </c>
      <c r="F255" s="10">
        <v>5</v>
      </c>
      <c r="G255" s="11" t="s">
        <v>17</v>
      </c>
      <c r="H255" s="7" t="s">
        <v>85</v>
      </c>
      <c r="I255" s="11" t="s">
        <v>7</v>
      </c>
      <c r="J255" s="11" t="s">
        <v>103</v>
      </c>
      <c r="K255" s="12">
        <v>18315.25411955265</v>
      </c>
      <c r="L255" s="12">
        <v>18315.25411955265</v>
      </c>
      <c r="M255" s="12">
        <v>0</v>
      </c>
      <c r="N255" s="46">
        <f>L255*2%</f>
        <v>366.30508239105302</v>
      </c>
      <c r="O255" s="12">
        <f>L255+M255-N255</f>
        <v>17948.949037161598</v>
      </c>
      <c r="P255" s="29">
        <v>10</v>
      </c>
    </row>
    <row r="256" spans="1:17" s="85" customFormat="1" ht="16.5" hidden="1" thickTop="1" thickBot="1" x14ac:dyDescent="0.3">
      <c r="A256" s="74" t="s">
        <v>111</v>
      </c>
      <c r="B256" s="25" t="s">
        <v>5</v>
      </c>
      <c r="C256" s="8" t="s">
        <v>0</v>
      </c>
      <c r="D256" s="7" t="s">
        <v>79</v>
      </c>
      <c r="E256" s="9" t="s">
        <v>154</v>
      </c>
      <c r="F256" s="10">
        <v>5</v>
      </c>
      <c r="G256" s="11" t="s">
        <v>17</v>
      </c>
      <c r="H256" s="7" t="s">
        <v>85</v>
      </c>
      <c r="I256" s="11" t="s">
        <v>15</v>
      </c>
      <c r="J256" s="11" t="s">
        <v>103</v>
      </c>
      <c r="K256" s="12">
        <v>4515.3853266453743</v>
      </c>
      <c r="L256" s="12">
        <v>4515.3853266453743</v>
      </c>
      <c r="M256" s="12">
        <v>0</v>
      </c>
      <c r="N256" s="12">
        <v>204.31607812874998</v>
      </c>
      <c r="O256" s="12">
        <v>4311.0692485166246</v>
      </c>
      <c r="P256" s="29">
        <v>10</v>
      </c>
    </row>
    <row r="257" spans="1:16" s="85" customFormat="1" ht="16.5" hidden="1" thickTop="1" thickBot="1" x14ac:dyDescent="0.3">
      <c r="A257" s="74" t="s">
        <v>111</v>
      </c>
      <c r="B257" s="25" t="s">
        <v>5</v>
      </c>
      <c r="C257" s="8" t="s">
        <v>0</v>
      </c>
      <c r="D257" s="7" t="s">
        <v>79</v>
      </c>
      <c r="E257" s="9" t="s">
        <v>154</v>
      </c>
      <c r="F257" s="10">
        <v>10</v>
      </c>
      <c r="G257" s="11" t="s">
        <v>18</v>
      </c>
      <c r="H257" s="7" t="s">
        <v>85</v>
      </c>
      <c r="I257" s="11" t="s">
        <v>9</v>
      </c>
      <c r="J257" s="11" t="s">
        <v>103</v>
      </c>
      <c r="K257" s="12">
        <v>4589.40895335</v>
      </c>
      <c r="L257" s="12">
        <v>4589.40895335</v>
      </c>
      <c r="M257" s="12">
        <v>0</v>
      </c>
      <c r="N257" s="12">
        <v>207.66556350000002</v>
      </c>
      <c r="O257" s="12">
        <v>4381.7433898500003</v>
      </c>
      <c r="P257" s="29">
        <v>10</v>
      </c>
    </row>
    <row r="258" spans="1:16" s="85" customFormat="1" ht="16.5" hidden="1" thickTop="1" thickBot="1" x14ac:dyDescent="0.3">
      <c r="A258" s="74" t="s">
        <v>111</v>
      </c>
      <c r="B258" s="25" t="s">
        <v>13</v>
      </c>
      <c r="C258" s="8" t="s">
        <v>0</v>
      </c>
      <c r="D258" s="7" t="s">
        <v>79</v>
      </c>
      <c r="E258" s="9" t="s">
        <v>154</v>
      </c>
      <c r="F258" s="10">
        <v>5</v>
      </c>
      <c r="G258" s="89" t="s">
        <v>21</v>
      </c>
      <c r="H258" s="7" t="s">
        <v>85</v>
      </c>
      <c r="I258" s="11" t="s">
        <v>9</v>
      </c>
      <c r="J258" s="11" t="s">
        <v>105</v>
      </c>
      <c r="K258" s="12">
        <v>35159.32</v>
      </c>
      <c r="L258" s="12">
        <f>K258</f>
        <v>35159.32</v>
      </c>
      <c r="M258" s="12">
        <v>0</v>
      </c>
      <c r="N258" s="12">
        <f>L258*16%</f>
        <v>5625.4912000000004</v>
      </c>
      <c r="O258" s="12">
        <f>K258-N258</f>
        <v>29533.828799999999</v>
      </c>
      <c r="P258" s="29">
        <v>10</v>
      </c>
    </row>
    <row r="259" spans="1:16" s="85" customFormat="1" ht="16.5" hidden="1" thickTop="1" thickBot="1" x14ac:dyDescent="0.3">
      <c r="A259" s="74" t="s">
        <v>111</v>
      </c>
      <c r="B259" s="25" t="s">
        <v>11</v>
      </c>
      <c r="C259" s="8" t="s">
        <v>0</v>
      </c>
      <c r="D259" s="7" t="s">
        <v>79</v>
      </c>
      <c r="E259" s="9" t="s">
        <v>154</v>
      </c>
      <c r="F259" s="10">
        <v>22</v>
      </c>
      <c r="G259" s="11" t="s">
        <v>24</v>
      </c>
      <c r="H259" s="7" t="s">
        <v>83</v>
      </c>
      <c r="I259" s="11" t="s">
        <v>7</v>
      </c>
      <c r="J259" s="11" t="s">
        <v>80</v>
      </c>
      <c r="K259" s="12">
        <v>61581.4</v>
      </c>
      <c r="L259" s="12">
        <f>K259</f>
        <v>61581.4</v>
      </c>
      <c r="M259" s="12">
        <v>0</v>
      </c>
      <c r="N259" s="12">
        <f>L259*14%</f>
        <v>8621.3960000000006</v>
      </c>
      <c r="O259" s="12">
        <f>L259-N259</f>
        <v>52960.004000000001</v>
      </c>
      <c r="P259" s="29">
        <v>12</v>
      </c>
    </row>
    <row r="260" spans="1:16" s="85" customFormat="1" ht="16.5" hidden="1" thickTop="1" thickBot="1" x14ac:dyDescent="0.3">
      <c r="A260" s="74" t="s">
        <v>111</v>
      </c>
      <c r="B260" s="25" t="s">
        <v>13</v>
      </c>
      <c r="C260" s="8" t="s">
        <v>0</v>
      </c>
      <c r="D260" s="7" t="s">
        <v>79</v>
      </c>
      <c r="E260" s="9" t="s">
        <v>154</v>
      </c>
      <c r="F260" s="10">
        <v>22</v>
      </c>
      <c r="G260" s="11" t="s">
        <v>24</v>
      </c>
      <c r="H260" s="7" t="s">
        <v>83</v>
      </c>
      <c r="I260" s="11" t="s">
        <v>9</v>
      </c>
      <c r="J260" s="11" t="s">
        <v>80</v>
      </c>
      <c r="K260" s="12">
        <v>12949</v>
      </c>
      <c r="L260" s="12">
        <f>K260</f>
        <v>12949</v>
      </c>
      <c r="M260" s="12">
        <v>0</v>
      </c>
      <c r="N260" s="12">
        <f>L260*16%</f>
        <v>2071.84</v>
      </c>
      <c r="O260" s="12">
        <f>L260-N260</f>
        <v>10877.16</v>
      </c>
      <c r="P260" s="29">
        <v>12</v>
      </c>
    </row>
    <row r="261" spans="1:16" s="85" customFormat="1" ht="16.5" hidden="1" thickTop="1" thickBot="1" x14ac:dyDescent="0.3">
      <c r="A261" s="74" t="s">
        <v>111</v>
      </c>
      <c r="B261" s="25" t="s">
        <v>10</v>
      </c>
      <c r="C261" s="8" t="s">
        <v>0</v>
      </c>
      <c r="D261" s="7" t="s">
        <v>79</v>
      </c>
      <c r="E261" s="9" t="s">
        <v>154</v>
      </c>
      <c r="F261" s="10">
        <v>22</v>
      </c>
      <c r="G261" s="11" t="s">
        <v>24</v>
      </c>
      <c r="H261" s="7" t="s">
        <v>83</v>
      </c>
      <c r="I261" s="11" t="s">
        <v>96</v>
      </c>
      <c r="J261" s="11" t="s">
        <v>80</v>
      </c>
      <c r="K261" s="12">
        <v>1500</v>
      </c>
      <c r="L261" s="12">
        <v>1500</v>
      </c>
      <c r="M261" s="12">
        <v>0</v>
      </c>
      <c r="N261" s="12">
        <v>0</v>
      </c>
      <c r="O261" s="12">
        <v>1500</v>
      </c>
      <c r="P261" s="29">
        <v>12</v>
      </c>
    </row>
    <row r="262" spans="1:16" s="85" customFormat="1" ht="16.5" hidden="1" thickTop="1" thickBot="1" x14ac:dyDescent="0.3">
      <c r="A262" s="74" t="s">
        <v>111</v>
      </c>
      <c r="B262" s="25" t="s">
        <v>5</v>
      </c>
      <c r="C262" s="8" t="s">
        <v>25</v>
      </c>
      <c r="D262" s="7" t="s">
        <v>79</v>
      </c>
      <c r="E262" s="9" t="s">
        <v>154</v>
      </c>
      <c r="F262" s="10">
        <v>5</v>
      </c>
      <c r="G262" s="11" t="s">
        <v>26</v>
      </c>
      <c r="H262" s="7" t="s">
        <v>83</v>
      </c>
      <c r="I262" s="11" t="s">
        <v>7</v>
      </c>
      <c r="J262" s="11" t="s">
        <v>80</v>
      </c>
      <c r="K262" s="12">
        <v>21868.658146266753</v>
      </c>
      <c r="L262" s="12">
        <f t="shared" ref="L262:L267" si="37">K262</f>
        <v>21868.658146266753</v>
      </c>
      <c r="M262" s="12">
        <v>0</v>
      </c>
      <c r="N262" s="46">
        <f>L262*5%</f>
        <v>1093.4329073133376</v>
      </c>
      <c r="O262" s="12">
        <f>L262+M262-N262</f>
        <v>20775.225238953415</v>
      </c>
      <c r="P262" s="29">
        <v>31</v>
      </c>
    </row>
    <row r="263" spans="1:16" s="85" customFormat="1" ht="16.5" hidden="1" thickTop="1" thickBot="1" x14ac:dyDescent="0.3">
      <c r="A263" s="74" t="s">
        <v>111</v>
      </c>
      <c r="B263" s="25" t="s">
        <v>5</v>
      </c>
      <c r="C263" s="8" t="s">
        <v>25</v>
      </c>
      <c r="D263" s="7" t="s">
        <v>79</v>
      </c>
      <c r="E263" s="9" t="s">
        <v>154</v>
      </c>
      <c r="F263" s="10">
        <v>5</v>
      </c>
      <c r="G263" s="11" t="s">
        <v>26</v>
      </c>
      <c r="H263" s="7" t="s">
        <v>83</v>
      </c>
      <c r="I263" s="11" t="s">
        <v>9</v>
      </c>
      <c r="J263" s="11" t="s">
        <v>80</v>
      </c>
      <c r="K263" s="12">
        <v>4791.7362231179995</v>
      </c>
      <c r="L263" s="12">
        <f t="shared" si="37"/>
        <v>4791.7362231179995</v>
      </c>
      <c r="M263" s="12">
        <v>0</v>
      </c>
      <c r="N263" s="12">
        <v>0</v>
      </c>
      <c r="O263" s="12">
        <v>4791.7362231179995</v>
      </c>
      <c r="P263" s="29">
        <v>31</v>
      </c>
    </row>
    <row r="264" spans="1:16" s="85" customFormat="1" ht="16.5" hidden="1" thickTop="1" thickBot="1" x14ac:dyDescent="0.3">
      <c r="A264" s="74" t="s">
        <v>111</v>
      </c>
      <c r="B264" s="25" t="s">
        <v>5</v>
      </c>
      <c r="C264" s="8" t="s">
        <v>25</v>
      </c>
      <c r="D264" s="7" t="s">
        <v>79</v>
      </c>
      <c r="E264" s="9" t="s">
        <v>154</v>
      </c>
      <c r="F264" s="10">
        <v>5</v>
      </c>
      <c r="G264" s="11" t="s">
        <v>27</v>
      </c>
      <c r="H264" s="7" t="s">
        <v>83</v>
      </c>
      <c r="I264" s="11" t="s">
        <v>141</v>
      </c>
      <c r="J264" s="11" t="s">
        <v>80</v>
      </c>
      <c r="K264" s="12">
        <v>6193.06</v>
      </c>
      <c r="L264" s="12">
        <f t="shared" si="37"/>
        <v>6193.06</v>
      </c>
      <c r="M264" s="12">
        <v>0</v>
      </c>
      <c r="N264" s="12">
        <v>0</v>
      </c>
      <c r="O264" s="12">
        <v>6193.06</v>
      </c>
      <c r="P264" s="29">
        <v>31</v>
      </c>
    </row>
    <row r="265" spans="1:16" s="85" customFormat="1" ht="16.5" hidden="1" thickTop="1" thickBot="1" x14ac:dyDescent="0.3">
      <c r="A265" s="74" t="s">
        <v>111</v>
      </c>
      <c r="B265" s="25" t="s">
        <v>5</v>
      </c>
      <c r="C265" s="8" t="s">
        <v>25</v>
      </c>
      <c r="D265" s="7" t="s">
        <v>79</v>
      </c>
      <c r="E265" s="9" t="s">
        <v>154</v>
      </c>
      <c r="F265" s="10">
        <v>5</v>
      </c>
      <c r="G265" s="11" t="s">
        <v>27</v>
      </c>
      <c r="H265" s="7" t="s">
        <v>83</v>
      </c>
      <c r="I265" s="11" t="s">
        <v>7</v>
      </c>
      <c r="J265" s="11" t="s">
        <v>80</v>
      </c>
      <c r="K265" s="12">
        <v>21868.658146266745</v>
      </c>
      <c r="L265" s="12">
        <f t="shared" si="37"/>
        <v>21868.658146266745</v>
      </c>
      <c r="M265" s="12">
        <v>0</v>
      </c>
      <c r="N265" s="46">
        <f>L265*5%</f>
        <v>1093.4329073133374</v>
      </c>
      <c r="O265" s="12">
        <f>L265+M265-N265</f>
        <v>20775.225238953408</v>
      </c>
      <c r="P265" s="29">
        <v>31</v>
      </c>
    </row>
    <row r="266" spans="1:16" s="85" customFormat="1" ht="16.5" hidden="1" thickTop="1" thickBot="1" x14ac:dyDescent="0.3">
      <c r="A266" s="74" t="s">
        <v>111</v>
      </c>
      <c r="B266" s="25" t="s">
        <v>5</v>
      </c>
      <c r="C266" s="8" t="s">
        <v>25</v>
      </c>
      <c r="D266" s="7" t="s">
        <v>79</v>
      </c>
      <c r="E266" s="9" t="s">
        <v>154</v>
      </c>
      <c r="F266" s="10">
        <v>5</v>
      </c>
      <c r="G266" s="11" t="s">
        <v>27</v>
      </c>
      <c r="H266" s="7" t="s">
        <v>83</v>
      </c>
      <c r="I266" s="11" t="s">
        <v>9</v>
      </c>
      <c r="J266" s="11" t="s">
        <v>80</v>
      </c>
      <c r="K266" s="12">
        <v>4791.7362231179995</v>
      </c>
      <c r="L266" s="12">
        <f t="shared" si="37"/>
        <v>4791.7362231179995</v>
      </c>
      <c r="M266" s="12">
        <v>0</v>
      </c>
      <c r="N266" s="12">
        <v>0</v>
      </c>
      <c r="O266" s="12">
        <v>4791.7362231179995</v>
      </c>
      <c r="P266" s="29">
        <v>31</v>
      </c>
    </row>
    <row r="267" spans="1:16" s="85" customFormat="1" ht="16.5" hidden="1" thickTop="1" thickBot="1" x14ac:dyDescent="0.3">
      <c r="A267" s="74" t="s">
        <v>111</v>
      </c>
      <c r="B267" s="25" t="s">
        <v>5</v>
      </c>
      <c r="C267" s="8" t="s">
        <v>25</v>
      </c>
      <c r="D267" s="7" t="s">
        <v>79</v>
      </c>
      <c r="E267" s="9" t="s">
        <v>154</v>
      </c>
      <c r="F267" s="10">
        <v>5</v>
      </c>
      <c r="G267" s="11" t="s">
        <v>27</v>
      </c>
      <c r="H267" s="7" t="s">
        <v>83</v>
      </c>
      <c r="I267" s="11" t="s">
        <v>113</v>
      </c>
      <c r="J267" s="11" t="s">
        <v>80</v>
      </c>
      <c r="K267" s="12">
        <v>2015.0660041200001</v>
      </c>
      <c r="L267" s="12">
        <f t="shared" si="37"/>
        <v>2015.0660041200001</v>
      </c>
      <c r="M267" s="12">
        <v>0</v>
      </c>
      <c r="N267" s="12">
        <v>0</v>
      </c>
      <c r="O267" s="12">
        <v>2015.0660041200001</v>
      </c>
      <c r="P267" s="29">
        <v>31</v>
      </c>
    </row>
    <row r="268" spans="1:16" s="85" customFormat="1" ht="16.5" hidden="1" thickTop="1" thickBot="1" x14ac:dyDescent="0.3">
      <c r="A268" s="74" t="s">
        <v>111</v>
      </c>
      <c r="B268" s="25" t="s">
        <v>11</v>
      </c>
      <c r="C268" s="8" t="s">
        <v>25</v>
      </c>
      <c r="D268" s="7" t="s">
        <v>79</v>
      </c>
      <c r="E268" s="9" t="s">
        <v>154</v>
      </c>
      <c r="F268" s="10">
        <v>20</v>
      </c>
      <c r="G268" s="11" t="s">
        <v>29</v>
      </c>
      <c r="H268" s="7" t="s">
        <v>83</v>
      </c>
      <c r="I268" s="11" t="s">
        <v>30</v>
      </c>
      <c r="J268" s="11" t="s">
        <v>80</v>
      </c>
      <c r="K268" s="12">
        <v>530</v>
      </c>
      <c r="L268" s="12">
        <v>530</v>
      </c>
      <c r="M268" s="12">
        <v>0</v>
      </c>
      <c r="N268" s="12">
        <v>26.5</v>
      </c>
      <c r="O268" s="12">
        <f>L268-N268</f>
        <v>503.5</v>
      </c>
      <c r="P268" s="29">
        <v>10</v>
      </c>
    </row>
    <row r="269" spans="1:16" s="85" customFormat="1" ht="16.5" hidden="1" thickTop="1" thickBot="1" x14ac:dyDescent="0.3">
      <c r="A269" s="74" t="s">
        <v>111</v>
      </c>
      <c r="B269" s="25" t="s">
        <v>22</v>
      </c>
      <c r="C269" s="8" t="s">
        <v>25</v>
      </c>
      <c r="D269" s="7" t="s">
        <v>79</v>
      </c>
      <c r="E269" s="9" t="s">
        <v>154</v>
      </c>
      <c r="F269" s="10">
        <v>20</v>
      </c>
      <c r="G269" s="11" t="s">
        <v>29</v>
      </c>
      <c r="H269" s="7" t="s">
        <v>83</v>
      </c>
      <c r="I269" s="11" t="s">
        <v>9</v>
      </c>
      <c r="J269" s="11" t="s">
        <v>80</v>
      </c>
      <c r="K269" s="12">
        <v>7246.43</v>
      </c>
      <c r="L269" s="12">
        <f>K269</f>
        <v>7246.43</v>
      </c>
      <c r="M269" s="12">
        <v>0</v>
      </c>
      <c r="N269" s="12">
        <v>0</v>
      </c>
      <c r="O269" s="12">
        <f>L269</f>
        <v>7246.43</v>
      </c>
      <c r="P269" s="29">
        <v>10</v>
      </c>
    </row>
    <row r="270" spans="1:16" s="85" customFormat="1" ht="16.5" hidden="1" thickTop="1" thickBot="1" x14ac:dyDescent="0.3">
      <c r="A270" s="74" t="s">
        <v>111</v>
      </c>
      <c r="B270" s="25" t="s">
        <v>22</v>
      </c>
      <c r="C270" s="8" t="s">
        <v>25</v>
      </c>
      <c r="D270" s="7" t="s">
        <v>79</v>
      </c>
      <c r="E270" s="9" t="s">
        <v>154</v>
      </c>
      <c r="F270" s="10">
        <v>20</v>
      </c>
      <c r="G270" s="13" t="s">
        <v>31</v>
      </c>
      <c r="H270" s="7" t="s">
        <v>83</v>
      </c>
      <c r="I270" s="11" t="s">
        <v>7</v>
      </c>
      <c r="J270" s="11" t="s">
        <v>80</v>
      </c>
      <c r="K270" s="12">
        <v>19669</v>
      </c>
      <c r="L270" s="12">
        <v>19669</v>
      </c>
      <c r="M270" s="12">
        <v>0</v>
      </c>
      <c r="N270" s="12">
        <v>0</v>
      </c>
      <c r="O270" s="12">
        <v>19669</v>
      </c>
      <c r="P270" s="29">
        <v>30</v>
      </c>
    </row>
    <row r="271" spans="1:16" s="85" customFormat="1" ht="16.5" hidden="1" thickTop="1" thickBot="1" x14ac:dyDescent="0.3">
      <c r="A271" s="74" t="s">
        <v>111</v>
      </c>
      <c r="B271" s="25" t="s">
        <v>5</v>
      </c>
      <c r="C271" s="8" t="s">
        <v>25</v>
      </c>
      <c r="D271" s="7" t="s">
        <v>79</v>
      </c>
      <c r="E271" s="9" t="s">
        <v>154</v>
      </c>
      <c r="F271" s="10">
        <v>20</v>
      </c>
      <c r="G271" s="11" t="s">
        <v>32</v>
      </c>
      <c r="H271" s="7" t="s">
        <v>83</v>
      </c>
      <c r="I271" s="11" t="s">
        <v>7</v>
      </c>
      <c r="J271" s="11" t="s">
        <v>80</v>
      </c>
      <c r="K271" s="12">
        <v>21216.65</v>
      </c>
      <c r="L271" s="12">
        <v>21216.65</v>
      </c>
      <c r="M271" s="12">
        <v>0</v>
      </c>
      <c r="N271" s="46">
        <f>L271*5%</f>
        <v>1060.8325000000002</v>
      </c>
      <c r="O271" s="12">
        <f>L271+M271-N271</f>
        <v>20155.817500000001</v>
      </c>
      <c r="P271" s="29">
        <v>10</v>
      </c>
    </row>
    <row r="272" spans="1:16" s="85" customFormat="1" ht="16.5" hidden="1" thickTop="1" thickBot="1" x14ac:dyDescent="0.3">
      <c r="A272" s="74" t="s">
        <v>111</v>
      </c>
      <c r="B272" s="25" t="s">
        <v>5</v>
      </c>
      <c r="C272" s="8" t="s">
        <v>25</v>
      </c>
      <c r="D272" s="7" t="s">
        <v>79</v>
      </c>
      <c r="E272" s="9" t="s">
        <v>154</v>
      </c>
      <c r="F272" s="10">
        <v>20</v>
      </c>
      <c r="G272" s="11" t="s">
        <v>32</v>
      </c>
      <c r="H272" s="7" t="s">
        <v>83</v>
      </c>
      <c r="I272" s="11" t="s">
        <v>97</v>
      </c>
      <c r="J272" s="11" t="s">
        <v>80</v>
      </c>
      <c r="K272" s="12">
        <v>10578.83</v>
      </c>
      <c r="L272" s="12">
        <v>10578.83</v>
      </c>
      <c r="M272" s="12">
        <v>0</v>
      </c>
      <c r="N272" s="12">
        <v>502.66571759999999</v>
      </c>
      <c r="O272" s="12">
        <v>10076.164282399999</v>
      </c>
      <c r="P272" s="29">
        <v>10</v>
      </c>
    </row>
    <row r="273" spans="1:16" s="85" customFormat="1" ht="16.5" hidden="1" thickTop="1" thickBot="1" x14ac:dyDescent="0.3">
      <c r="A273" s="74" t="s">
        <v>111</v>
      </c>
      <c r="B273" s="25" t="s">
        <v>11</v>
      </c>
      <c r="C273" s="8" t="s">
        <v>25</v>
      </c>
      <c r="D273" s="7" t="s">
        <v>79</v>
      </c>
      <c r="E273" s="9" t="s">
        <v>154</v>
      </c>
      <c r="F273" s="10">
        <v>20</v>
      </c>
      <c r="G273" s="11" t="s">
        <v>32</v>
      </c>
      <c r="H273" s="7" t="s">
        <v>83</v>
      </c>
      <c r="I273" s="11" t="s">
        <v>30</v>
      </c>
      <c r="J273" s="11" t="s">
        <v>80</v>
      </c>
      <c r="K273" s="12">
        <v>230</v>
      </c>
      <c r="L273" s="12">
        <v>230</v>
      </c>
      <c r="M273" s="12">
        <v>0</v>
      </c>
      <c r="N273" s="12">
        <v>10</v>
      </c>
      <c r="O273" s="12">
        <v>190</v>
      </c>
      <c r="P273" s="29">
        <v>10</v>
      </c>
    </row>
    <row r="274" spans="1:16" s="85" customFormat="1" ht="16.5" hidden="1" thickTop="1" thickBot="1" x14ac:dyDescent="0.3">
      <c r="A274" s="74" t="s">
        <v>111</v>
      </c>
      <c r="B274" s="25" t="s">
        <v>5</v>
      </c>
      <c r="C274" s="8" t="s">
        <v>25</v>
      </c>
      <c r="D274" s="7" t="s">
        <v>79</v>
      </c>
      <c r="E274" s="9" t="s">
        <v>154</v>
      </c>
      <c r="F274" s="10">
        <v>20</v>
      </c>
      <c r="G274" s="11" t="s">
        <v>146</v>
      </c>
      <c r="H274" s="7" t="s">
        <v>83</v>
      </c>
      <c r="I274" s="11" t="s">
        <v>145</v>
      </c>
      <c r="J274" s="11" t="s">
        <v>80</v>
      </c>
      <c r="K274" s="12">
        <v>10637.82</v>
      </c>
      <c r="L274" s="12">
        <v>10637.82</v>
      </c>
      <c r="M274" s="12">
        <v>0</v>
      </c>
      <c r="N274" s="46">
        <f>L274*5%</f>
        <v>531.89099999999996</v>
      </c>
      <c r="O274" s="12">
        <f>L274+M274-N274</f>
        <v>10105.929</v>
      </c>
      <c r="P274" s="29">
        <v>10</v>
      </c>
    </row>
    <row r="275" spans="1:16" s="85" customFormat="1" ht="16.5" hidden="1" thickTop="1" thickBot="1" x14ac:dyDescent="0.3">
      <c r="A275" s="74" t="s">
        <v>111</v>
      </c>
      <c r="B275" s="25" t="s">
        <v>5</v>
      </c>
      <c r="C275" s="8" t="s">
        <v>25</v>
      </c>
      <c r="D275" s="7" t="s">
        <v>79</v>
      </c>
      <c r="E275" s="9" t="s">
        <v>154</v>
      </c>
      <c r="F275" s="10">
        <v>20</v>
      </c>
      <c r="G275" s="11" t="s">
        <v>146</v>
      </c>
      <c r="H275" s="7" t="s">
        <v>83</v>
      </c>
      <c r="I275" s="11" t="s">
        <v>7</v>
      </c>
      <c r="J275" s="11" t="s">
        <v>80</v>
      </c>
      <c r="K275" s="12">
        <v>10048.870000000001</v>
      </c>
      <c r="L275" s="12">
        <v>10048.870000000001</v>
      </c>
      <c r="M275" s="12">
        <v>0</v>
      </c>
      <c r="N275" s="46">
        <f>L275*5%</f>
        <v>502.44350000000009</v>
      </c>
      <c r="O275" s="12">
        <f>L275+M275-N275</f>
        <v>9546.4265000000014</v>
      </c>
      <c r="P275" s="29">
        <v>10</v>
      </c>
    </row>
    <row r="276" spans="1:16" s="85" customFormat="1" ht="16.5" hidden="1" thickTop="1" thickBot="1" x14ac:dyDescent="0.3">
      <c r="A276" s="74" t="s">
        <v>111</v>
      </c>
      <c r="B276" s="25" t="s">
        <v>5</v>
      </c>
      <c r="C276" s="8" t="s">
        <v>25</v>
      </c>
      <c r="D276" s="7" t="s">
        <v>79</v>
      </c>
      <c r="E276" s="9" t="s">
        <v>154</v>
      </c>
      <c r="F276" s="10">
        <v>20</v>
      </c>
      <c r="G276" s="11" t="s">
        <v>32</v>
      </c>
      <c r="H276" s="7" t="s">
        <v>83</v>
      </c>
      <c r="I276" s="11" t="s">
        <v>98</v>
      </c>
      <c r="J276" s="11" t="s">
        <v>80</v>
      </c>
      <c r="K276" s="12">
        <v>14293.174999999999</v>
      </c>
      <c r="L276" s="12">
        <v>14293.174999999999</v>
      </c>
      <c r="M276" s="12">
        <v>0</v>
      </c>
      <c r="N276" s="12">
        <v>646.75</v>
      </c>
      <c r="O276" s="12">
        <v>13646.424999999999</v>
      </c>
      <c r="P276" s="29">
        <v>10</v>
      </c>
    </row>
    <row r="277" spans="1:16" s="85" customFormat="1" ht="16.5" hidden="1" thickTop="1" thickBot="1" x14ac:dyDescent="0.3">
      <c r="A277" s="74" t="s">
        <v>111</v>
      </c>
      <c r="B277" s="25" t="s">
        <v>10</v>
      </c>
      <c r="C277" s="8" t="s">
        <v>25</v>
      </c>
      <c r="D277" s="7" t="s">
        <v>79</v>
      </c>
      <c r="E277" s="9" t="s">
        <v>154</v>
      </c>
      <c r="F277" s="10">
        <v>20</v>
      </c>
      <c r="G277" s="11" t="s">
        <v>32</v>
      </c>
      <c r="H277" s="7" t="s">
        <v>83</v>
      </c>
      <c r="I277" s="11" t="s">
        <v>96</v>
      </c>
      <c r="J277" s="11" t="s">
        <v>80</v>
      </c>
      <c r="K277" s="12">
        <v>2000</v>
      </c>
      <c r="L277" s="12">
        <v>2000</v>
      </c>
      <c r="M277" s="12">
        <v>0</v>
      </c>
      <c r="N277" s="12">
        <v>0</v>
      </c>
      <c r="O277" s="12">
        <v>2000</v>
      </c>
      <c r="P277" s="29">
        <v>10</v>
      </c>
    </row>
    <row r="278" spans="1:16" s="85" customFormat="1" ht="16.5" hidden="1" thickTop="1" thickBot="1" x14ac:dyDescent="0.3">
      <c r="A278" s="74" t="s">
        <v>111</v>
      </c>
      <c r="B278" s="25" t="s">
        <v>11</v>
      </c>
      <c r="C278" s="8" t="s">
        <v>25</v>
      </c>
      <c r="D278" s="7" t="s">
        <v>79</v>
      </c>
      <c r="E278" s="9" t="s">
        <v>154</v>
      </c>
      <c r="F278" s="10">
        <v>15</v>
      </c>
      <c r="G278" s="11" t="s">
        <v>33</v>
      </c>
      <c r="H278" s="7" t="s">
        <v>83</v>
      </c>
      <c r="I278" s="11" t="s">
        <v>7</v>
      </c>
      <c r="J278" s="11" t="s">
        <v>80</v>
      </c>
      <c r="K278" s="12">
        <v>22528.080000000002</v>
      </c>
      <c r="L278" s="12">
        <f>K278</f>
        <v>22528.080000000002</v>
      </c>
      <c r="M278" s="12">
        <v>0</v>
      </c>
      <c r="N278" s="12">
        <f>L278*14%</f>
        <v>3153.9312000000004</v>
      </c>
      <c r="O278" s="12">
        <v>18925.236875999999</v>
      </c>
      <c r="P278" s="29">
        <v>30</v>
      </c>
    </row>
    <row r="279" spans="1:16" s="85" customFormat="1" ht="16.5" hidden="1" thickTop="1" thickBot="1" x14ac:dyDescent="0.3">
      <c r="A279" s="74" t="s">
        <v>111</v>
      </c>
      <c r="B279" s="25" t="s">
        <v>22</v>
      </c>
      <c r="C279" s="8" t="s">
        <v>25</v>
      </c>
      <c r="D279" s="7" t="s">
        <v>79</v>
      </c>
      <c r="E279" s="9" t="s">
        <v>154</v>
      </c>
      <c r="F279" s="10">
        <v>15</v>
      </c>
      <c r="G279" s="11" t="s">
        <v>120</v>
      </c>
      <c r="H279" s="7" t="s">
        <v>83</v>
      </c>
      <c r="I279" s="11" t="s">
        <v>9</v>
      </c>
      <c r="J279" s="11" t="s">
        <v>80</v>
      </c>
      <c r="K279" s="12">
        <v>4285.72</v>
      </c>
      <c r="L279" s="12">
        <f>K279</f>
        <v>4285.72</v>
      </c>
      <c r="M279" s="12">
        <v>0</v>
      </c>
      <c r="N279" s="12">
        <v>0</v>
      </c>
      <c r="O279" s="12">
        <v>4286.7038499999999</v>
      </c>
      <c r="P279" s="29">
        <v>30</v>
      </c>
    </row>
    <row r="280" spans="1:16" s="85" customFormat="1" ht="16.5" hidden="1" thickTop="1" thickBot="1" x14ac:dyDescent="0.3">
      <c r="A280" s="74" t="s">
        <v>111</v>
      </c>
      <c r="B280" s="25" t="s">
        <v>22</v>
      </c>
      <c r="C280" s="8" t="s">
        <v>25</v>
      </c>
      <c r="D280" s="7" t="s">
        <v>79</v>
      </c>
      <c r="E280" s="9" t="s">
        <v>154</v>
      </c>
      <c r="F280" s="10">
        <v>15</v>
      </c>
      <c r="G280" s="11" t="s">
        <v>33</v>
      </c>
      <c r="H280" s="7" t="s">
        <v>83</v>
      </c>
      <c r="I280" s="11" t="s">
        <v>9</v>
      </c>
      <c r="J280" s="11" t="s">
        <v>80</v>
      </c>
      <c r="K280" s="12">
        <v>8571.4500000000007</v>
      </c>
      <c r="L280" s="12">
        <f>K280</f>
        <v>8571.4500000000007</v>
      </c>
      <c r="M280" s="12">
        <v>0</v>
      </c>
      <c r="N280" s="12">
        <v>0</v>
      </c>
      <c r="O280" s="12">
        <v>8573.4076999999997</v>
      </c>
      <c r="P280" s="29">
        <v>30</v>
      </c>
    </row>
    <row r="281" spans="1:16" s="85" customFormat="1" ht="16.5" hidden="1" thickTop="1" thickBot="1" x14ac:dyDescent="0.3">
      <c r="A281" s="74" t="s">
        <v>111</v>
      </c>
      <c r="B281" s="25" t="s">
        <v>22</v>
      </c>
      <c r="C281" s="8" t="s">
        <v>60</v>
      </c>
      <c r="D281" s="7" t="s">
        <v>79</v>
      </c>
      <c r="E281" s="9" t="s">
        <v>154</v>
      </c>
      <c r="F281" s="10">
        <v>1</v>
      </c>
      <c r="G281" s="11" t="s">
        <v>34</v>
      </c>
      <c r="H281" s="7" t="s">
        <v>87</v>
      </c>
      <c r="I281" s="11" t="s">
        <v>20</v>
      </c>
      <c r="J281" s="11" t="s">
        <v>105</v>
      </c>
      <c r="K281" s="12">
        <v>40851.191603430001</v>
      </c>
      <c r="L281" s="12">
        <v>24510.714962057998</v>
      </c>
      <c r="M281" s="12">
        <v>16340.476641372001</v>
      </c>
      <c r="N281" s="12">
        <v>0</v>
      </c>
      <c r="O281" s="12">
        <v>40851.191603430001</v>
      </c>
      <c r="P281" s="29">
        <v>30</v>
      </c>
    </row>
    <row r="282" spans="1:16" s="85" customFormat="1" ht="16.5" hidden="1" thickTop="1" thickBot="1" x14ac:dyDescent="0.3">
      <c r="A282" s="74" t="s">
        <v>111</v>
      </c>
      <c r="B282" s="25" t="s">
        <v>22</v>
      </c>
      <c r="C282" s="8" t="s">
        <v>60</v>
      </c>
      <c r="D282" s="7" t="s">
        <v>79</v>
      </c>
      <c r="E282" s="9" t="s">
        <v>154</v>
      </c>
      <c r="F282" s="10">
        <v>1</v>
      </c>
      <c r="G282" s="11" t="s">
        <v>34</v>
      </c>
      <c r="H282" s="7" t="s">
        <v>87</v>
      </c>
      <c r="I282" s="11" t="s">
        <v>9</v>
      </c>
      <c r="J282" s="11" t="s">
        <v>105</v>
      </c>
      <c r="K282" s="12">
        <v>33354.561456449999</v>
      </c>
      <c r="L282" s="12">
        <v>20012.736873869999</v>
      </c>
      <c r="M282" s="12">
        <v>13341.82458258</v>
      </c>
      <c r="N282" s="12">
        <v>0</v>
      </c>
      <c r="O282" s="12">
        <v>33354.561456449999</v>
      </c>
      <c r="P282" s="29">
        <v>30</v>
      </c>
    </row>
    <row r="283" spans="1:16" s="85" customFormat="1" ht="16.5" hidden="1" thickTop="1" thickBot="1" x14ac:dyDescent="0.3">
      <c r="A283" s="74" t="s">
        <v>111</v>
      </c>
      <c r="B283" s="25" t="s">
        <v>22</v>
      </c>
      <c r="C283" s="8" t="s">
        <v>60</v>
      </c>
      <c r="D283" s="7" t="s">
        <v>79</v>
      </c>
      <c r="E283" s="9" t="s">
        <v>154</v>
      </c>
      <c r="F283" s="10">
        <v>1</v>
      </c>
      <c r="G283" s="11" t="s">
        <v>34</v>
      </c>
      <c r="H283" s="7" t="s">
        <v>87</v>
      </c>
      <c r="I283" s="11" t="s">
        <v>113</v>
      </c>
      <c r="J283" s="11" t="s">
        <v>105</v>
      </c>
      <c r="K283" s="12">
        <v>1050</v>
      </c>
      <c r="L283" s="12">
        <f>K283*60%</f>
        <v>630</v>
      </c>
      <c r="M283" s="12">
        <f>K283*40%</f>
        <v>420</v>
      </c>
      <c r="N283" s="12">
        <v>0</v>
      </c>
      <c r="O283" s="12">
        <f>L283+M283</f>
        <v>1050</v>
      </c>
      <c r="P283" s="29">
        <v>30</v>
      </c>
    </row>
    <row r="284" spans="1:16" s="85" customFormat="1" ht="16.5" hidden="1" thickTop="1" thickBot="1" x14ac:dyDescent="0.3">
      <c r="A284" s="74" t="s">
        <v>111</v>
      </c>
      <c r="B284" s="25" t="s">
        <v>22</v>
      </c>
      <c r="C284" s="8" t="s">
        <v>60</v>
      </c>
      <c r="D284" s="7" t="s">
        <v>79</v>
      </c>
      <c r="E284" s="9" t="s">
        <v>154</v>
      </c>
      <c r="F284" s="10">
        <v>1</v>
      </c>
      <c r="G284" s="11" t="s">
        <v>35</v>
      </c>
      <c r="H284" s="7" t="s">
        <v>83</v>
      </c>
      <c r="I284" s="11" t="s">
        <v>9</v>
      </c>
      <c r="J284" s="11" t="s">
        <v>105</v>
      </c>
      <c r="K284" s="12">
        <v>23847.740911214998</v>
      </c>
      <c r="L284" s="12">
        <v>14308.644546728998</v>
      </c>
      <c r="M284" s="12">
        <v>9539.0963644860003</v>
      </c>
      <c r="N284" s="12">
        <v>0</v>
      </c>
      <c r="O284" s="12">
        <v>23847.740911214998</v>
      </c>
      <c r="P284" s="29">
        <v>30</v>
      </c>
    </row>
    <row r="285" spans="1:16" s="85" customFormat="1" ht="16.5" hidden="1" thickTop="1" thickBot="1" x14ac:dyDescent="0.3">
      <c r="A285" s="74" t="s">
        <v>111</v>
      </c>
      <c r="B285" s="25" t="s">
        <v>22</v>
      </c>
      <c r="C285" s="8" t="s">
        <v>60</v>
      </c>
      <c r="D285" s="7" t="s">
        <v>79</v>
      </c>
      <c r="E285" s="9" t="s">
        <v>154</v>
      </c>
      <c r="F285" s="10">
        <v>1</v>
      </c>
      <c r="G285" s="11" t="s">
        <v>36</v>
      </c>
      <c r="H285" s="7" t="s">
        <v>89</v>
      </c>
      <c r="I285" s="11" t="s">
        <v>20</v>
      </c>
      <c r="J285" s="11" t="s">
        <v>105</v>
      </c>
      <c r="K285" s="12">
        <v>40851.191603430001</v>
      </c>
      <c r="L285" s="12">
        <v>24510.714962057998</v>
      </c>
      <c r="M285" s="12">
        <v>16340.476641372001</v>
      </c>
      <c r="N285" s="12">
        <v>0</v>
      </c>
      <c r="O285" s="12">
        <v>40851.191603430001</v>
      </c>
      <c r="P285" s="29">
        <v>30</v>
      </c>
    </row>
    <row r="286" spans="1:16" s="85" customFormat="1" ht="16.5" hidden="1" thickTop="1" thickBot="1" x14ac:dyDescent="0.3">
      <c r="A286" s="74" t="s">
        <v>111</v>
      </c>
      <c r="B286" s="25" t="s">
        <v>22</v>
      </c>
      <c r="C286" s="8" t="s">
        <v>60</v>
      </c>
      <c r="D286" s="7" t="s">
        <v>79</v>
      </c>
      <c r="E286" s="9" t="s">
        <v>154</v>
      </c>
      <c r="F286" s="10">
        <v>1</v>
      </c>
      <c r="G286" s="11" t="s">
        <v>36</v>
      </c>
      <c r="H286" s="7" t="s">
        <v>89</v>
      </c>
      <c r="I286" s="11" t="s">
        <v>9</v>
      </c>
      <c r="J286" s="11" t="s">
        <v>105</v>
      </c>
      <c r="K286" s="12">
        <v>33354.561456449999</v>
      </c>
      <c r="L286" s="12">
        <v>20012.736873869999</v>
      </c>
      <c r="M286" s="12">
        <v>13341.82458258</v>
      </c>
      <c r="N286" s="12">
        <v>0</v>
      </c>
      <c r="O286" s="12">
        <v>33354.561456449999</v>
      </c>
      <c r="P286" s="29">
        <v>30</v>
      </c>
    </row>
    <row r="287" spans="1:16" s="85" customFormat="1" ht="16.5" hidden="1" thickTop="1" thickBot="1" x14ac:dyDescent="0.3">
      <c r="A287" s="74" t="s">
        <v>111</v>
      </c>
      <c r="B287" s="25" t="s">
        <v>22</v>
      </c>
      <c r="C287" s="8" t="s">
        <v>60</v>
      </c>
      <c r="D287" s="7" t="s">
        <v>79</v>
      </c>
      <c r="E287" s="9" t="s">
        <v>154</v>
      </c>
      <c r="F287" s="10">
        <v>1</v>
      </c>
      <c r="G287" s="11" t="s">
        <v>36</v>
      </c>
      <c r="H287" s="7" t="s">
        <v>89</v>
      </c>
      <c r="I287" s="11" t="s">
        <v>113</v>
      </c>
      <c r="J287" s="11" t="s">
        <v>105</v>
      </c>
      <c r="K287" s="12">
        <v>1050</v>
      </c>
      <c r="L287" s="12">
        <f>K287*60%</f>
        <v>630</v>
      </c>
      <c r="M287" s="12">
        <f>K287*40%</f>
        <v>420</v>
      </c>
      <c r="N287" s="12">
        <v>0</v>
      </c>
      <c r="O287" s="12">
        <f>L287+M287</f>
        <v>1050</v>
      </c>
      <c r="P287" s="29">
        <v>30</v>
      </c>
    </row>
    <row r="288" spans="1:16" s="85" customFormat="1" ht="16.5" hidden="1" thickTop="1" thickBot="1" x14ac:dyDescent="0.3">
      <c r="A288" s="74" t="s">
        <v>111</v>
      </c>
      <c r="B288" s="25" t="s">
        <v>22</v>
      </c>
      <c r="C288" s="8" t="s">
        <v>60</v>
      </c>
      <c r="D288" s="7" t="s">
        <v>79</v>
      </c>
      <c r="E288" s="9" t="s">
        <v>154</v>
      </c>
      <c r="F288" s="10">
        <v>1</v>
      </c>
      <c r="G288" s="11" t="s">
        <v>37</v>
      </c>
      <c r="H288" s="7" t="s">
        <v>85</v>
      </c>
      <c r="I288" s="11" t="s">
        <v>9</v>
      </c>
      <c r="J288" s="11" t="s">
        <v>105</v>
      </c>
      <c r="K288" s="12">
        <v>14308.64685198</v>
      </c>
      <c r="L288" s="12">
        <v>8585.1881111879993</v>
      </c>
      <c r="M288" s="12">
        <v>5723.4587407920008</v>
      </c>
      <c r="N288" s="12">
        <v>0</v>
      </c>
      <c r="O288" s="12">
        <v>14308.64685198</v>
      </c>
      <c r="P288" s="29">
        <v>30</v>
      </c>
    </row>
    <row r="289" spans="1:16" s="85" customFormat="1" ht="16.5" hidden="1" thickTop="1" thickBot="1" x14ac:dyDescent="0.3">
      <c r="A289" s="74" t="s">
        <v>111</v>
      </c>
      <c r="B289" s="25" t="s">
        <v>22</v>
      </c>
      <c r="C289" s="8" t="s">
        <v>60</v>
      </c>
      <c r="D289" s="7" t="s">
        <v>79</v>
      </c>
      <c r="E289" s="9" t="s">
        <v>154</v>
      </c>
      <c r="F289" s="10">
        <v>1</v>
      </c>
      <c r="G289" s="11" t="s">
        <v>93</v>
      </c>
      <c r="H289" s="7" t="s">
        <v>85</v>
      </c>
      <c r="I289" s="11" t="s">
        <v>9</v>
      </c>
      <c r="J289" s="11" t="s">
        <v>105</v>
      </c>
      <c r="K289" s="12">
        <v>19078.18811847</v>
      </c>
      <c r="L289" s="12">
        <v>11446.912871081999</v>
      </c>
      <c r="M289" s="12">
        <v>7631.275247388</v>
      </c>
      <c r="N289" s="12">
        <v>0</v>
      </c>
      <c r="O289" s="12">
        <v>19078.18811847</v>
      </c>
      <c r="P289" s="29">
        <v>30</v>
      </c>
    </row>
    <row r="290" spans="1:16" s="85" customFormat="1" ht="16.5" hidden="1" thickTop="1" thickBot="1" x14ac:dyDescent="0.3">
      <c r="A290" s="74" t="s">
        <v>111</v>
      </c>
      <c r="B290" s="25" t="s">
        <v>22</v>
      </c>
      <c r="C290" s="8" t="s">
        <v>60</v>
      </c>
      <c r="D290" s="7" t="s">
        <v>79</v>
      </c>
      <c r="E290" s="9" t="s">
        <v>154</v>
      </c>
      <c r="F290" s="10">
        <v>1</v>
      </c>
      <c r="G290" s="11" t="s">
        <v>38</v>
      </c>
      <c r="H290" s="7" t="s">
        <v>85</v>
      </c>
      <c r="I290" s="11" t="s">
        <v>9</v>
      </c>
      <c r="J290" s="11" t="s">
        <v>105</v>
      </c>
      <c r="K290" s="12">
        <v>9539.0940592349998</v>
      </c>
      <c r="L290" s="12">
        <v>5723.4564355409993</v>
      </c>
      <c r="M290" s="12">
        <v>3815.637623694</v>
      </c>
      <c r="N290" s="12">
        <v>0</v>
      </c>
      <c r="O290" s="12">
        <v>9539.0940592349998</v>
      </c>
      <c r="P290" s="29">
        <v>30</v>
      </c>
    </row>
    <row r="291" spans="1:16" s="85" customFormat="1" ht="16.5" hidden="1" thickTop="1" thickBot="1" x14ac:dyDescent="0.3">
      <c r="A291" s="74" t="s">
        <v>111</v>
      </c>
      <c r="B291" s="25" t="s">
        <v>11</v>
      </c>
      <c r="C291" s="8" t="s">
        <v>60</v>
      </c>
      <c r="D291" s="7" t="s">
        <v>79</v>
      </c>
      <c r="E291" s="9" t="s">
        <v>154</v>
      </c>
      <c r="F291" s="10">
        <v>20</v>
      </c>
      <c r="G291" s="11" t="s">
        <v>119</v>
      </c>
      <c r="H291" s="7" t="s">
        <v>85</v>
      </c>
      <c r="I291" s="11" t="s">
        <v>7</v>
      </c>
      <c r="J291" s="11" t="s">
        <v>103</v>
      </c>
      <c r="K291" s="12">
        <v>19006</v>
      </c>
      <c r="L291" s="12">
        <v>19006</v>
      </c>
      <c r="M291" s="12">
        <v>0</v>
      </c>
      <c r="N291" s="12">
        <f>L291*14%</f>
        <v>2660.84</v>
      </c>
      <c r="O291" s="12">
        <v>15965.04</v>
      </c>
      <c r="P291" s="29">
        <v>20</v>
      </c>
    </row>
    <row r="292" spans="1:16" s="85" customFormat="1" ht="16.5" hidden="1" thickTop="1" thickBot="1" x14ac:dyDescent="0.3">
      <c r="A292" s="74" t="s">
        <v>111</v>
      </c>
      <c r="B292" s="25" t="s">
        <v>13</v>
      </c>
      <c r="C292" s="8" t="s">
        <v>60</v>
      </c>
      <c r="D292" s="7" t="s">
        <v>79</v>
      </c>
      <c r="E292" s="9" t="s">
        <v>154</v>
      </c>
      <c r="F292" s="10">
        <v>20</v>
      </c>
      <c r="G292" s="11" t="s">
        <v>119</v>
      </c>
      <c r="H292" s="7" t="s">
        <v>85</v>
      </c>
      <c r="I292" s="11" t="s">
        <v>9</v>
      </c>
      <c r="J292" s="11" t="s">
        <v>103</v>
      </c>
      <c r="K292" s="12">
        <v>8619</v>
      </c>
      <c r="L292" s="12">
        <v>8619</v>
      </c>
      <c r="M292" s="12">
        <v>0</v>
      </c>
      <c r="N292" s="12">
        <f>L292*16%</f>
        <v>1379.04</v>
      </c>
      <c r="O292" s="12">
        <v>7239.96</v>
      </c>
      <c r="P292" s="29">
        <v>20</v>
      </c>
    </row>
    <row r="293" spans="1:16" s="85" customFormat="1" ht="16.5" hidden="1" thickTop="1" thickBot="1" x14ac:dyDescent="0.3">
      <c r="A293" s="74" t="s">
        <v>111</v>
      </c>
      <c r="B293" s="25" t="s">
        <v>10</v>
      </c>
      <c r="C293" s="8" t="s">
        <v>60</v>
      </c>
      <c r="D293" s="7" t="s">
        <v>79</v>
      </c>
      <c r="E293" s="9" t="s">
        <v>154</v>
      </c>
      <c r="F293" s="10">
        <v>20</v>
      </c>
      <c r="G293" s="11" t="s">
        <v>119</v>
      </c>
      <c r="H293" s="7" t="s">
        <v>85</v>
      </c>
      <c r="I293" s="11" t="s">
        <v>96</v>
      </c>
      <c r="J293" s="11" t="s">
        <v>103</v>
      </c>
      <c r="K293" s="12">
        <v>1785.7</v>
      </c>
      <c r="L293" s="12">
        <v>1785.7</v>
      </c>
      <c r="M293" s="12">
        <v>0</v>
      </c>
      <c r="N293" s="12">
        <v>0</v>
      </c>
      <c r="O293" s="12">
        <v>1785.7</v>
      </c>
      <c r="P293" s="29">
        <v>20</v>
      </c>
    </row>
    <row r="294" spans="1:16" s="85" customFormat="1" ht="16.5" hidden="1" thickTop="1" thickBot="1" x14ac:dyDescent="0.3">
      <c r="A294" s="58" t="s">
        <v>111</v>
      </c>
      <c r="B294" s="25" t="s">
        <v>11</v>
      </c>
      <c r="C294" s="8" t="s">
        <v>60</v>
      </c>
      <c r="D294" s="7" t="s">
        <v>79</v>
      </c>
      <c r="E294" s="9" t="s">
        <v>154</v>
      </c>
      <c r="F294" s="10">
        <v>20</v>
      </c>
      <c r="G294" s="11" t="s">
        <v>94</v>
      </c>
      <c r="H294" s="7" t="s">
        <v>86</v>
      </c>
      <c r="I294" s="11" t="s">
        <v>7</v>
      </c>
      <c r="J294" s="11" t="s">
        <v>103</v>
      </c>
      <c r="K294" s="12">
        <v>27367.535</v>
      </c>
      <c r="L294" s="12">
        <v>27367.535</v>
      </c>
      <c r="M294" s="12">
        <v>0</v>
      </c>
      <c r="N294" s="12">
        <f>L294*14%</f>
        <v>3831.4549000000002</v>
      </c>
      <c r="O294" s="12">
        <v>22988.7294</v>
      </c>
      <c r="P294" s="29">
        <v>20</v>
      </c>
    </row>
    <row r="295" spans="1:16" s="85" customFormat="1" ht="16.5" hidden="1" thickTop="1" thickBot="1" x14ac:dyDescent="0.3">
      <c r="A295" s="58" t="s">
        <v>111</v>
      </c>
      <c r="B295" s="25" t="s">
        <v>13</v>
      </c>
      <c r="C295" s="8" t="s">
        <v>60</v>
      </c>
      <c r="D295" s="7" t="s">
        <v>79</v>
      </c>
      <c r="E295" s="9" t="s">
        <v>154</v>
      </c>
      <c r="F295" s="10">
        <v>20</v>
      </c>
      <c r="G295" s="11" t="s">
        <v>94</v>
      </c>
      <c r="H295" s="7" t="s">
        <v>86</v>
      </c>
      <c r="I295" s="11" t="s">
        <v>9</v>
      </c>
      <c r="J295" s="11" t="s">
        <v>103</v>
      </c>
      <c r="K295" s="12">
        <v>17100.98</v>
      </c>
      <c r="L295" s="12">
        <v>17100.98</v>
      </c>
      <c r="M295" s="12">
        <v>0</v>
      </c>
      <c r="N295" s="12">
        <f>L295*16%</f>
        <v>2736.1568000000002</v>
      </c>
      <c r="O295" s="12">
        <v>14364.823199999999</v>
      </c>
      <c r="P295" s="29">
        <v>20</v>
      </c>
    </row>
    <row r="296" spans="1:16" s="85" customFormat="1" ht="16.5" hidden="1" thickTop="1" thickBot="1" x14ac:dyDescent="0.3">
      <c r="A296" s="74" t="s">
        <v>111</v>
      </c>
      <c r="B296" s="25" t="s">
        <v>22</v>
      </c>
      <c r="C296" s="8" t="s">
        <v>61</v>
      </c>
      <c r="D296" s="7" t="s">
        <v>79</v>
      </c>
      <c r="E296" s="9" t="s">
        <v>154</v>
      </c>
      <c r="F296" s="10">
        <v>20</v>
      </c>
      <c r="G296" s="13" t="s">
        <v>39</v>
      </c>
      <c r="H296" s="7" t="s">
        <v>83</v>
      </c>
      <c r="I296" s="11" t="s">
        <v>7</v>
      </c>
      <c r="J296" s="11" t="s">
        <v>80</v>
      </c>
      <c r="K296" s="12">
        <v>20673.5597797423</v>
      </c>
      <c r="L296" s="12">
        <v>12404.13586784538</v>
      </c>
      <c r="M296" s="12">
        <v>8269.4239118969199</v>
      </c>
      <c r="N296" s="12">
        <v>0</v>
      </c>
      <c r="O296" s="12">
        <v>20673.5597797423</v>
      </c>
      <c r="P296" s="29">
        <v>17</v>
      </c>
    </row>
    <row r="297" spans="1:16" s="85" customFormat="1" ht="16.5" hidden="1" thickTop="1" thickBot="1" x14ac:dyDescent="0.3">
      <c r="A297" s="74" t="s">
        <v>111</v>
      </c>
      <c r="B297" s="25" t="s">
        <v>22</v>
      </c>
      <c r="C297" s="8" t="s">
        <v>61</v>
      </c>
      <c r="D297" s="7" t="s">
        <v>79</v>
      </c>
      <c r="E297" s="9" t="s">
        <v>154</v>
      </c>
      <c r="F297" s="10">
        <v>20</v>
      </c>
      <c r="G297" s="13" t="s">
        <v>92</v>
      </c>
      <c r="H297" s="7" t="s">
        <v>83</v>
      </c>
      <c r="I297" s="11" t="s">
        <v>9</v>
      </c>
      <c r="J297" s="11" t="s">
        <v>80</v>
      </c>
      <c r="K297" s="12">
        <v>5071.55</v>
      </c>
      <c r="L297" s="12">
        <v>5071.55</v>
      </c>
      <c r="M297" s="12">
        <v>0</v>
      </c>
      <c r="N297" s="12">
        <v>0</v>
      </c>
      <c r="O297" s="12">
        <f>L297</f>
        <v>5071.55</v>
      </c>
      <c r="P297" s="29">
        <v>15</v>
      </c>
    </row>
    <row r="298" spans="1:16" s="85" customFormat="1" ht="16.5" hidden="1" thickTop="1" thickBot="1" x14ac:dyDescent="0.3">
      <c r="A298" s="74" t="s">
        <v>111</v>
      </c>
      <c r="B298" s="25" t="s">
        <v>5</v>
      </c>
      <c r="C298" s="8" t="s">
        <v>61</v>
      </c>
      <c r="D298" s="7" t="s">
        <v>79</v>
      </c>
      <c r="E298" s="9" t="s">
        <v>154</v>
      </c>
      <c r="F298" s="10">
        <v>1</v>
      </c>
      <c r="G298" s="11" t="s">
        <v>45</v>
      </c>
      <c r="H298" s="7" t="s">
        <v>91</v>
      </c>
      <c r="I298" s="11" t="s">
        <v>20</v>
      </c>
      <c r="J298" s="11" t="s">
        <v>105</v>
      </c>
      <c r="K298" s="16">
        <v>40617.404573265005</v>
      </c>
      <c r="L298" s="12">
        <v>24370.442743959004</v>
      </c>
      <c r="M298" s="12">
        <v>16246.961829306003</v>
      </c>
      <c r="N298" s="12">
        <v>1837.8916096500002</v>
      </c>
      <c r="O298" s="12">
        <v>38779.512963615001</v>
      </c>
      <c r="P298" s="29">
        <v>30</v>
      </c>
    </row>
    <row r="299" spans="1:16" s="85" customFormat="1" ht="16.5" hidden="1" thickTop="1" thickBot="1" x14ac:dyDescent="0.3">
      <c r="A299" s="74" t="s">
        <v>111</v>
      </c>
      <c r="B299" s="25" t="s">
        <v>22</v>
      </c>
      <c r="C299" s="8" t="s">
        <v>61</v>
      </c>
      <c r="D299" s="7" t="s">
        <v>79</v>
      </c>
      <c r="E299" s="9" t="s">
        <v>154</v>
      </c>
      <c r="F299" s="10">
        <v>1</v>
      </c>
      <c r="G299" s="11" t="s">
        <v>132</v>
      </c>
      <c r="H299" s="7" t="s">
        <v>88</v>
      </c>
      <c r="I299" s="11" t="s">
        <v>9</v>
      </c>
      <c r="J299" s="11" t="s">
        <v>105</v>
      </c>
      <c r="K299" s="12">
        <v>33386.834650000004</v>
      </c>
      <c r="L299" s="12">
        <v>20032.10079</v>
      </c>
      <c r="M299" s="12">
        <v>13354.733860000002</v>
      </c>
      <c r="N299" s="12">
        <v>0</v>
      </c>
      <c r="O299" s="12">
        <v>33386.834650000004</v>
      </c>
      <c r="P299" s="29">
        <v>30</v>
      </c>
    </row>
    <row r="300" spans="1:16" s="85" customFormat="1" ht="16.5" hidden="1" thickTop="1" thickBot="1" x14ac:dyDescent="0.3">
      <c r="A300" s="74" t="s">
        <v>111</v>
      </c>
      <c r="B300" s="25" t="s">
        <v>22</v>
      </c>
      <c r="C300" s="8" t="s">
        <v>61</v>
      </c>
      <c r="D300" s="7" t="s">
        <v>79</v>
      </c>
      <c r="E300" s="9" t="s">
        <v>154</v>
      </c>
      <c r="F300" s="10">
        <v>1</v>
      </c>
      <c r="G300" s="11" t="s">
        <v>132</v>
      </c>
      <c r="H300" s="7" t="s">
        <v>88</v>
      </c>
      <c r="I300" s="11" t="s">
        <v>113</v>
      </c>
      <c r="J300" s="11" t="s">
        <v>105</v>
      </c>
      <c r="K300" s="12">
        <v>1050</v>
      </c>
      <c r="L300" s="12">
        <f>K300*60%</f>
        <v>630</v>
      </c>
      <c r="M300" s="12">
        <f>K300*40%</f>
        <v>420</v>
      </c>
      <c r="N300" s="12">
        <v>0</v>
      </c>
      <c r="O300" s="12">
        <f>L300+M300</f>
        <v>1050</v>
      </c>
      <c r="P300" s="29">
        <v>30</v>
      </c>
    </row>
    <row r="301" spans="1:16" s="85" customFormat="1" ht="16.5" hidden="1" thickTop="1" thickBot="1" x14ac:dyDescent="0.3">
      <c r="A301" s="74" t="s">
        <v>111</v>
      </c>
      <c r="B301" s="25" t="s">
        <v>22</v>
      </c>
      <c r="C301" s="8" t="s">
        <v>61</v>
      </c>
      <c r="D301" s="7" t="s">
        <v>79</v>
      </c>
      <c r="E301" s="9" t="s">
        <v>154</v>
      </c>
      <c r="F301" s="10">
        <v>1</v>
      </c>
      <c r="G301" s="11" t="s">
        <v>129</v>
      </c>
      <c r="H301" s="7" t="s">
        <v>85</v>
      </c>
      <c r="I301" s="11" t="s">
        <v>9</v>
      </c>
      <c r="J301" s="11" t="s">
        <v>105</v>
      </c>
      <c r="K301" s="12">
        <v>28617.27895</v>
      </c>
      <c r="L301" s="12">
        <v>17170.36737</v>
      </c>
      <c r="M301" s="12">
        <v>11446.91158</v>
      </c>
      <c r="N301" s="12">
        <v>0</v>
      </c>
      <c r="O301" s="12">
        <v>28617.27895</v>
      </c>
      <c r="P301" s="29">
        <v>30</v>
      </c>
    </row>
    <row r="302" spans="1:16" s="85" customFormat="1" ht="16.5" hidden="1" thickTop="1" thickBot="1" x14ac:dyDescent="0.3">
      <c r="A302" s="74" t="s">
        <v>111</v>
      </c>
      <c r="B302" s="25" t="s">
        <v>22</v>
      </c>
      <c r="C302" s="8" t="s">
        <v>61</v>
      </c>
      <c r="D302" s="7" t="s">
        <v>79</v>
      </c>
      <c r="E302" s="9" t="s">
        <v>154</v>
      </c>
      <c r="F302" s="10">
        <v>1</v>
      </c>
      <c r="G302" s="11" t="s">
        <v>129</v>
      </c>
      <c r="H302" s="7" t="s">
        <v>85</v>
      </c>
      <c r="I302" s="11" t="s">
        <v>113</v>
      </c>
      <c r="J302" s="11" t="s">
        <v>105</v>
      </c>
      <c r="K302" s="12">
        <v>1050</v>
      </c>
      <c r="L302" s="12">
        <f>K302*60%</f>
        <v>630</v>
      </c>
      <c r="M302" s="12">
        <f>K302*40%</f>
        <v>420</v>
      </c>
      <c r="N302" s="12">
        <v>0</v>
      </c>
      <c r="O302" s="12">
        <f>L302+M302</f>
        <v>1050</v>
      </c>
      <c r="P302" s="29">
        <v>30</v>
      </c>
    </row>
    <row r="303" spans="1:16" s="85" customFormat="1" ht="16.5" hidden="1" thickTop="1" thickBot="1" x14ac:dyDescent="0.3">
      <c r="A303" s="74" t="s">
        <v>111</v>
      </c>
      <c r="B303" s="25" t="s">
        <v>5</v>
      </c>
      <c r="C303" s="8" t="s">
        <v>61</v>
      </c>
      <c r="D303" s="7" t="s">
        <v>79</v>
      </c>
      <c r="E303" s="9" t="s">
        <v>154</v>
      </c>
      <c r="F303" s="10">
        <v>1</v>
      </c>
      <c r="G303" s="11" t="s">
        <v>45</v>
      </c>
      <c r="H303" s="7" t="s">
        <v>91</v>
      </c>
      <c r="I303" s="11" t="s">
        <v>9</v>
      </c>
      <c r="J303" s="11" t="s">
        <v>105</v>
      </c>
      <c r="K303" s="16">
        <v>28617.282177705001</v>
      </c>
      <c r="L303" s="12">
        <v>17170.369306623001</v>
      </c>
      <c r="M303" s="12">
        <v>11446.912871082</v>
      </c>
      <c r="N303" s="12">
        <v>1294.8996460500002</v>
      </c>
      <c r="O303" s="12">
        <v>27322.382531654999</v>
      </c>
      <c r="P303" s="29">
        <v>30</v>
      </c>
    </row>
    <row r="304" spans="1:16" s="85" customFormat="1" ht="15.75" hidden="1" customHeight="1" thickTop="1" thickBot="1" x14ac:dyDescent="0.3">
      <c r="A304" s="74" t="s">
        <v>111</v>
      </c>
      <c r="B304" s="25" t="s">
        <v>5</v>
      </c>
      <c r="C304" s="8" t="s">
        <v>61</v>
      </c>
      <c r="D304" s="7" t="s">
        <v>79</v>
      </c>
      <c r="E304" s="9" t="s">
        <v>154</v>
      </c>
      <c r="F304" s="10">
        <v>1</v>
      </c>
      <c r="G304" s="11" t="s">
        <v>45</v>
      </c>
      <c r="H304" s="7" t="s">
        <v>91</v>
      </c>
      <c r="I304" s="11" t="s">
        <v>113</v>
      </c>
      <c r="J304" s="11" t="s">
        <v>105</v>
      </c>
      <c r="K304" s="12">
        <v>1050</v>
      </c>
      <c r="L304" s="12">
        <f>K304*60%</f>
        <v>630</v>
      </c>
      <c r="M304" s="12">
        <f>K304*40%</f>
        <v>420</v>
      </c>
      <c r="N304" s="12">
        <v>0</v>
      </c>
      <c r="O304" s="12">
        <f>L304+M304</f>
        <v>1050</v>
      </c>
      <c r="P304" s="29">
        <v>30</v>
      </c>
    </row>
    <row r="305" spans="1:17" s="85" customFormat="1" ht="16.5" hidden="1" thickTop="1" thickBot="1" x14ac:dyDescent="0.3">
      <c r="A305" s="74" t="s">
        <v>111</v>
      </c>
      <c r="B305" s="25" t="s">
        <v>22</v>
      </c>
      <c r="C305" s="8" t="s">
        <v>61</v>
      </c>
      <c r="D305" s="7" t="s">
        <v>79</v>
      </c>
      <c r="E305" s="9" t="s">
        <v>154</v>
      </c>
      <c r="F305" s="10">
        <v>1</v>
      </c>
      <c r="G305" s="11" t="s">
        <v>46</v>
      </c>
      <c r="H305" s="7" t="s">
        <v>85</v>
      </c>
      <c r="I305" s="11" t="s">
        <v>113</v>
      </c>
      <c r="J305" s="11" t="s">
        <v>105</v>
      </c>
      <c r="K305" s="12">
        <v>1050</v>
      </c>
      <c r="L305" s="12">
        <f>K305*60%</f>
        <v>630</v>
      </c>
      <c r="M305" s="12">
        <f>K305*40%</f>
        <v>420</v>
      </c>
      <c r="N305" s="12">
        <v>0</v>
      </c>
      <c r="O305" s="12">
        <f>L305+M305</f>
        <v>1050</v>
      </c>
      <c r="P305" s="29">
        <v>30</v>
      </c>
    </row>
    <row r="306" spans="1:17" s="85" customFormat="1" ht="16.5" hidden="1" thickTop="1" thickBot="1" x14ac:dyDescent="0.3">
      <c r="A306" s="74" t="s">
        <v>111</v>
      </c>
      <c r="B306" s="25" t="s">
        <v>22</v>
      </c>
      <c r="C306" s="8" t="s">
        <v>61</v>
      </c>
      <c r="D306" s="7" t="s">
        <v>79</v>
      </c>
      <c r="E306" s="9" t="s">
        <v>154</v>
      </c>
      <c r="F306" s="10">
        <v>1</v>
      </c>
      <c r="G306" s="11" t="s">
        <v>46</v>
      </c>
      <c r="H306" s="7" t="s">
        <v>85</v>
      </c>
      <c r="I306" s="11" t="s">
        <v>20</v>
      </c>
      <c r="J306" s="11" t="s">
        <v>105</v>
      </c>
      <c r="K306" s="16">
        <v>58492.355406029994</v>
      </c>
      <c r="L306" s="12">
        <v>35095.413243617993</v>
      </c>
      <c r="M306" s="12">
        <v>23396.942162412</v>
      </c>
      <c r="N306" s="12">
        <v>0</v>
      </c>
      <c r="O306" s="12">
        <v>58492.355406029994</v>
      </c>
      <c r="P306" s="29">
        <v>30</v>
      </c>
    </row>
    <row r="307" spans="1:17" s="85" customFormat="1" ht="16.5" hidden="1" thickTop="1" thickBot="1" x14ac:dyDescent="0.3">
      <c r="A307" s="74" t="s">
        <v>111</v>
      </c>
      <c r="B307" s="25" t="s">
        <v>22</v>
      </c>
      <c r="C307" s="8" t="s">
        <v>61</v>
      </c>
      <c r="D307" s="7" t="s">
        <v>79</v>
      </c>
      <c r="E307" s="9" t="s">
        <v>154</v>
      </c>
      <c r="F307" s="10">
        <v>1</v>
      </c>
      <c r="G307" s="11" t="s">
        <v>46</v>
      </c>
      <c r="H307" s="7" t="s">
        <v>85</v>
      </c>
      <c r="I307" s="11" t="s">
        <v>98</v>
      </c>
      <c r="J307" s="11" t="s">
        <v>105</v>
      </c>
      <c r="K307" s="12">
        <v>3457.8765000000003</v>
      </c>
      <c r="L307" s="12">
        <v>2074.7258999999999</v>
      </c>
      <c r="M307" s="12">
        <v>1383.1506000000002</v>
      </c>
      <c r="N307" s="12">
        <v>0</v>
      </c>
      <c r="O307" s="12">
        <v>3457.8765000000003</v>
      </c>
      <c r="P307" s="29">
        <v>30</v>
      </c>
    </row>
    <row r="308" spans="1:17" s="85" customFormat="1" ht="16.5" hidden="1" thickTop="1" thickBot="1" x14ac:dyDescent="0.3">
      <c r="A308" s="74" t="s">
        <v>111</v>
      </c>
      <c r="B308" s="25" t="s">
        <v>22</v>
      </c>
      <c r="C308" s="8" t="s">
        <v>61</v>
      </c>
      <c r="D308" s="7" t="s">
        <v>79</v>
      </c>
      <c r="E308" s="9" t="s">
        <v>154</v>
      </c>
      <c r="F308" s="10">
        <v>1</v>
      </c>
      <c r="G308" s="11" t="s">
        <v>46</v>
      </c>
      <c r="H308" s="7" t="s">
        <v>85</v>
      </c>
      <c r="I308" s="11" t="s">
        <v>9</v>
      </c>
      <c r="J308" s="11" t="s">
        <v>105</v>
      </c>
      <c r="K308" s="12">
        <v>42925.929029685009</v>
      </c>
      <c r="L308" s="12">
        <v>25755.557417811004</v>
      </c>
      <c r="M308" s="12">
        <v>17170.371611874005</v>
      </c>
      <c r="N308" s="12">
        <v>0</v>
      </c>
      <c r="O308" s="12">
        <v>42925.929029685009</v>
      </c>
      <c r="P308" s="29">
        <v>30</v>
      </c>
    </row>
    <row r="309" spans="1:17" s="85" customFormat="1" ht="16.5" hidden="1" thickTop="1" thickBot="1" x14ac:dyDescent="0.3">
      <c r="A309" s="74" t="s">
        <v>111</v>
      </c>
      <c r="B309" s="25" t="s">
        <v>22</v>
      </c>
      <c r="C309" s="8" t="s">
        <v>61</v>
      </c>
      <c r="D309" s="7" t="s">
        <v>79</v>
      </c>
      <c r="E309" s="9" t="s">
        <v>154</v>
      </c>
      <c r="F309" s="10">
        <v>1</v>
      </c>
      <c r="G309" s="11" t="s">
        <v>46</v>
      </c>
      <c r="H309" s="7" t="s">
        <v>85</v>
      </c>
      <c r="I309" s="11" t="s">
        <v>97</v>
      </c>
      <c r="J309" s="11" t="s">
        <v>105</v>
      </c>
      <c r="K309" s="12">
        <v>7072</v>
      </c>
      <c r="L309" s="12">
        <v>4243.2</v>
      </c>
      <c r="M309" s="12">
        <v>2828.8</v>
      </c>
      <c r="N309" s="12">
        <v>0</v>
      </c>
      <c r="O309" s="12">
        <v>7072</v>
      </c>
      <c r="P309" s="29">
        <v>30</v>
      </c>
    </row>
    <row r="310" spans="1:17" s="85" customFormat="1" ht="16.5" hidden="1" thickTop="1" thickBot="1" x14ac:dyDescent="0.3">
      <c r="A310" s="74" t="s">
        <v>111</v>
      </c>
      <c r="B310" s="25" t="s">
        <v>22</v>
      </c>
      <c r="C310" s="8" t="s">
        <v>61</v>
      </c>
      <c r="D310" s="7" t="s">
        <v>79</v>
      </c>
      <c r="E310" s="9" t="s">
        <v>154</v>
      </c>
      <c r="F310" s="10">
        <v>1</v>
      </c>
      <c r="G310" s="11" t="s">
        <v>47</v>
      </c>
      <c r="H310" s="7" t="s">
        <v>85</v>
      </c>
      <c r="I310" s="11" t="s">
        <v>9</v>
      </c>
      <c r="J310" s="11" t="s">
        <v>105</v>
      </c>
      <c r="K310" s="12">
        <v>33354.561456449999</v>
      </c>
      <c r="L310" s="12">
        <v>20012.736873869999</v>
      </c>
      <c r="M310" s="12">
        <v>13341.82458258</v>
      </c>
      <c r="N310" s="12">
        <v>0</v>
      </c>
      <c r="O310" s="12">
        <v>33354.561456449999</v>
      </c>
      <c r="P310" s="29">
        <v>30</v>
      </c>
    </row>
    <row r="311" spans="1:17" s="85" customFormat="1" ht="16.5" hidden="1" thickTop="1" thickBot="1" x14ac:dyDescent="0.3">
      <c r="A311" s="74" t="s">
        <v>111</v>
      </c>
      <c r="B311" s="25" t="s">
        <v>22</v>
      </c>
      <c r="C311" s="8" t="s">
        <v>61</v>
      </c>
      <c r="D311" s="7" t="s">
        <v>79</v>
      </c>
      <c r="E311" s="9" t="s">
        <v>154</v>
      </c>
      <c r="F311" s="10">
        <v>1</v>
      </c>
      <c r="G311" s="11" t="s">
        <v>47</v>
      </c>
      <c r="H311" s="7" t="s">
        <v>85</v>
      </c>
      <c r="I311" s="11" t="s">
        <v>113</v>
      </c>
      <c r="J311" s="11" t="s">
        <v>105</v>
      </c>
      <c r="K311" s="12">
        <v>1050</v>
      </c>
      <c r="L311" s="12">
        <f>K311*60%</f>
        <v>630</v>
      </c>
      <c r="M311" s="12">
        <f>K311*40%</f>
        <v>420</v>
      </c>
      <c r="N311" s="12">
        <v>0</v>
      </c>
      <c r="O311" s="12">
        <f>L311+M311</f>
        <v>1050</v>
      </c>
      <c r="P311" s="29">
        <v>30</v>
      </c>
    </row>
    <row r="312" spans="1:17" s="85" customFormat="1" ht="16.5" hidden="1" thickTop="1" thickBot="1" x14ac:dyDescent="0.3">
      <c r="A312" s="74" t="s">
        <v>111</v>
      </c>
      <c r="B312" s="25" t="s">
        <v>22</v>
      </c>
      <c r="C312" s="8" t="s">
        <v>61</v>
      </c>
      <c r="D312" s="7" t="s">
        <v>79</v>
      </c>
      <c r="E312" s="9" t="s">
        <v>154</v>
      </c>
      <c r="F312" s="10">
        <v>1</v>
      </c>
      <c r="G312" s="11" t="s">
        <v>48</v>
      </c>
      <c r="H312" s="7" t="s">
        <v>85</v>
      </c>
      <c r="I312" s="11" t="s">
        <v>9</v>
      </c>
      <c r="J312" s="11" t="s">
        <v>105</v>
      </c>
      <c r="K312" s="12">
        <v>23880.014425214998</v>
      </c>
      <c r="L312" s="12">
        <v>14328.008655128999</v>
      </c>
      <c r="M312" s="12">
        <v>9552.0057700859998</v>
      </c>
      <c r="N312" s="12">
        <v>0</v>
      </c>
      <c r="O312" s="12">
        <v>23880.014425214998</v>
      </c>
      <c r="P312" s="29">
        <v>30</v>
      </c>
    </row>
    <row r="313" spans="1:17" s="85" customFormat="1" ht="16.5" hidden="1" thickTop="1" thickBot="1" x14ac:dyDescent="0.3">
      <c r="A313" s="74" t="s">
        <v>111</v>
      </c>
      <c r="B313" s="25" t="s">
        <v>22</v>
      </c>
      <c r="C313" s="8" t="s">
        <v>62</v>
      </c>
      <c r="D313" s="7" t="s">
        <v>79</v>
      </c>
      <c r="E313" s="9" t="s">
        <v>154</v>
      </c>
      <c r="F313" s="10">
        <v>10</v>
      </c>
      <c r="G313" s="13" t="s">
        <v>49</v>
      </c>
      <c r="H313" s="7" t="s">
        <v>85</v>
      </c>
      <c r="I313" s="11" t="s">
        <v>9</v>
      </c>
      <c r="J313" s="11" t="s">
        <v>105</v>
      </c>
      <c r="K313" s="12">
        <v>19227</v>
      </c>
      <c r="L313" s="12">
        <v>11536.199999999999</v>
      </c>
      <c r="M313" s="12">
        <v>7690.8</v>
      </c>
      <c r="N313" s="12">
        <v>0</v>
      </c>
      <c r="O313" s="12">
        <v>19227</v>
      </c>
      <c r="P313" s="29">
        <v>10</v>
      </c>
    </row>
    <row r="314" spans="1:17" s="85" customFormat="1" ht="16.5" hidden="1" thickTop="1" thickBot="1" x14ac:dyDescent="0.3">
      <c r="A314" s="74" t="s">
        <v>111</v>
      </c>
      <c r="B314" s="25" t="s">
        <v>22</v>
      </c>
      <c r="C314" s="8" t="s">
        <v>62</v>
      </c>
      <c r="D314" s="7" t="s">
        <v>79</v>
      </c>
      <c r="E314" s="9" t="s">
        <v>154</v>
      </c>
      <c r="F314" s="10">
        <v>10</v>
      </c>
      <c r="G314" s="13" t="s">
        <v>49</v>
      </c>
      <c r="H314" s="7" t="s">
        <v>85</v>
      </c>
      <c r="I314" s="11" t="s">
        <v>98</v>
      </c>
      <c r="J314" s="11" t="s">
        <v>105</v>
      </c>
      <c r="K314" s="12">
        <v>5336.6560650000001</v>
      </c>
      <c r="L314" s="12">
        <v>3201.9936389999998</v>
      </c>
      <c r="M314" s="12">
        <v>2134.6624260000003</v>
      </c>
      <c r="N314" s="12">
        <v>0</v>
      </c>
      <c r="O314" s="12">
        <v>5336.6560650000001</v>
      </c>
      <c r="P314" s="29">
        <v>10</v>
      </c>
    </row>
    <row r="315" spans="1:17" s="85" customFormat="1" ht="16.5" hidden="1" thickTop="1" thickBot="1" x14ac:dyDescent="0.3">
      <c r="A315" s="74" t="s">
        <v>111</v>
      </c>
      <c r="B315" s="25" t="s">
        <v>22</v>
      </c>
      <c r="C315" s="8" t="s">
        <v>62</v>
      </c>
      <c r="D315" s="7" t="s">
        <v>79</v>
      </c>
      <c r="E315" s="9" t="s">
        <v>154</v>
      </c>
      <c r="F315" s="10">
        <v>10</v>
      </c>
      <c r="G315" s="13" t="s">
        <v>50</v>
      </c>
      <c r="H315" s="7" t="s">
        <v>85</v>
      </c>
      <c r="I315" s="11" t="s">
        <v>9</v>
      </c>
      <c r="J315" s="11" t="s">
        <v>105</v>
      </c>
      <c r="K315" s="12">
        <v>19227</v>
      </c>
      <c r="L315" s="12">
        <v>11536.199999999999</v>
      </c>
      <c r="M315" s="12">
        <v>7690.8</v>
      </c>
      <c r="N315" s="12">
        <v>0</v>
      </c>
      <c r="O315" s="12">
        <v>19227</v>
      </c>
      <c r="P315" s="29">
        <v>10</v>
      </c>
    </row>
    <row r="316" spans="1:17" s="85" customFormat="1" ht="16.5" hidden="1" thickTop="1" thickBot="1" x14ac:dyDescent="0.3">
      <c r="A316" s="74" t="s">
        <v>111</v>
      </c>
      <c r="B316" s="25" t="s">
        <v>22</v>
      </c>
      <c r="C316" s="8" t="s">
        <v>62</v>
      </c>
      <c r="D316" s="7" t="s">
        <v>79</v>
      </c>
      <c r="E316" s="9" t="s">
        <v>154</v>
      </c>
      <c r="F316" s="10">
        <v>10</v>
      </c>
      <c r="G316" s="13" t="s">
        <v>50</v>
      </c>
      <c r="H316" s="7" t="s">
        <v>85</v>
      </c>
      <c r="I316" s="11" t="s">
        <v>98</v>
      </c>
      <c r="J316" s="11" t="s">
        <v>105</v>
      </c>
      <c r="K316" s="12">
        <v>5336.6560650000001</v>
      </c>
      <c r="L316" s="12">
        <v>3201.9936389999998</v>
      </c>
      <c r="M316" s="12">
        <v>2134.6624260000003</v>
      </c>
      <c r="N316" s="12">
        <v>0</v>
      </c>
      <c r="O316" s="12">
        <v>5336.6560650000001</v>
      </c>
      <c r="P316" s="29">
        <v>10</v>
      </c>
    </row>
    <row r="317" spans="1:17" s="85" customFormat="1" ht="16.5" hidden="1" thickTop="1" thickBot="1" x14ac:dyDescent="0.3">
      <c r="A317" s="74" t="s">
        <v>111</v>
      </c>
      <c r="B317" s="25" t="s">
        <v>11</v>
      </c>
      <c r="C317" s="8" t="s">
        <v>62</v>
      </c>
      <c r="D317" s="7" t="s">
        <v>79</v>
      </c>
      <c r="E317" s="9" t="s">
        <v>154</v>
      </c>
      <c r="F317" s="10">
        <v>16</v>
      </c>
      <c r="G317" s="13" t="s">
        <v>51</v>
      </c>
      <c r="H317" s="7" t="s">
        <v>83</v>
      </c>
      <c r="I317" s="11" t="s">
        <v>7</v>
      </c>
      <c r="J317" s="11" t="s">
        <v>80</v>
      </c>
      <c r="K317" s="12">
        <v>21132.94766324625</v>
      </c>
      <c r="L317" s="12">
        <v>21132.94766324625</v>
      </c>
      <c r="M317" s="12">
        <v>0</v>
      </c>
      <c r="N317" s="12">
        <f>L317*14%</f>
        <v>2958.6126728544755</v>
      </c>
      <c r="O317" s="12">
        <v>17751.67603712685</v>
      </c>
      <c r="P317" s="29">
        <v>30</v>
      </c>
    </row>
    <row r="318" spans="1:17" s="85" customFormat="1" ht="16.5" hidden="1" thickTop="1" thickBot="1" x14ac:dyDescent="0.3">
      <c r="A318" s="74" t="s">
        <v>111</v>
      </c>
      <c r="B318" s="25" t="s">
        <v>11</v>
      </c>
      <c r="C318" s="8" t="s">
        <v>62</v>
      </c>
      <c r="D318" s="7" t="s">
        <v>79</v>
      </c>
      <c r="E318" s="9" t="s">
        <v>154</v>
      </c>
      <c r="F318" s="10">
        <v>16</v>
      </c>
      <c r="G318" s="11" t="s">
        <v>52</v>
      </c>
      <c r="H318" s="7" t="s">
        <v>84</v>
      </c>
      <c r="I318" s="11" t="s">
        <v>7</v>
      </c>
      <c r="J318" s="11" t="s">
        <v>103</v>
      </c>
      <c r="K318" s="12">
        <v>80218.94</v>
      </c>
      <c r="L318" s="12">
        <f>L115</f>
        <v>48131.364000000001</v>
      </c>
      <c r="M318" s="70">
        <f>K318*40%</f>
        <v>32087.576000000001</v>
      </c>
      <c r="N318" s="12">
        <v>4620.6099999999997</v>
      </c>
      <c r="O318" s="12">
        <f>L318+M318-N318</f>
        <v>75598.33</v>
      </c>
      <c r="P318" s="29">
        <v>15</v>
      </c>
    </row>
    <row r="319" spans="1:17" s="85" customFormat="1" ht="16.5" hidden="1" thickTop="1" thickBot="1" x14ac:dyDescent="0.3">
      <c r="A319" s="74" t="s">
        <v>111</v>
      </c>
      <c r="B319" s="25" t="s">
        <v>5</v>
      </c>
      <c r="C319" s="8" t="s">
        <v>62</v>
      </c>
      <c r="D319" s="7" t="s">
        <v>79</v>
      </c>
      <c r="E319" s="9" t="s">
        <v>154</v>
      </c>
      <c r="F319" s="10">
        <v>16</v>
      </c>
      <c r="G319" s="11" t="s">
        <v>53</v>
      </c>
      <c r="H319" s="7" t="s">
        <v>85</v>
      </c>
      <c r="I319" s="11" t="s">
        <v>7</v>
      </c>
      <c r="J319" s="11" t="s">
        <v>103</v>
      </c>
      <c r="K319" s="12">
        <v>19238.4722205</v>
      </c>
      <c r="L319" s="12">
        <v>19238.4722205</v>
      </c>
      <c r="M319" s="12">
        <v>0</v>
      </c>
      <c r="N319" s="46">
        <f>L319*2%</f>
        <v>384.76944441000001</v>
      </c>
      <c r="O319" s="12">
        <f>L319+M319-N319</f>
        <v>18853.702776089998</v>
      </c>
      <c r="P319" s="29">
        <v>15</v>
      </c>
      <c r="Q319" s="85" t="s">
        <v>156</v>
      </c>
    </row>
    <row r="320" spans="1:17" s="85" customFormat="1" ht="16.5" hidden="1" thickTop="1" thickBot="1" x14ac:dyDescent="0.3">
      <c r="A320" s="74" t="s">
        <v>111</v>
      </c>
      <c r="B320" s="25" t="s">
        <v>5</v>
      </c>
      <c r="C320" s="8" t="s">
        <v>62</v>
      </c>
      <c r="D320" s="7" t="s">
        <v>79</v>
      </c>
      <c r="E320" s="9" t="s">
        <v>154</v>
      </c>
      <c r="F320" s="10">
        <v>16</v>
      </c>
      <c r="G320" s="11" t="s">
        <v>53</v>
      </c>
      <c r="H320" s="7" t="s">
        <v>85</v>
      </c>
      <c r="I320" s="11" t="s">
        <v>15</v>
      </c>
      <c r="J320" s="11" t="s">
        <v>103</v>
      </c>
      <c r="K320" s="12">
        <v>4982.8000364999998</v>
      </c>
      <c r="L320" s="12">
        <v>4982.8000364999998</v>
      </c>
      <c r="M320" s="12">
        <v>0</v>
      </c>
      <c r="N320" s="12">
        <v>225.46606499999999</v>
      </c>
      <c r="O320" s="12">
        <v>4757.3339715000002</v>
      </c>
      <c r="P320" s="29">
        <v>15</v>
      </c>
      <c r="Q320" s="85" t="s">
        <v>156</v>
      </c>
    </row>
    <row r="321" spans="1:17" s="85" customFormat="1" ht="16.5" hidden="1" thickTop="1" thickBot="1" x14ac:dyDescent="0.3">
      <c r="A321" s="74" t="s">
        <v>111</v>
      </c>
      <c r="B321" s="25" t="s">
        <v>5</v>
      </c>
      <c r="C321" s="8" t="s">
        <v>62</v>
      </c>
      <c r="D321" s="7" t="s">
        <v>79</v>
      </c>
      <c r="E321" s="9" t="s">
        <v>154</v>
      </c>
      <c r="F321" s="10">
        <v>16</v>
      </c>
      <c r="G321" s="11" t="s">
        <v>53</v>
      </c>
      <c r="H321" s="7" t="s">
        <v>85</v>
      </c>
      <c r="I321" s="11" t="s">
        <v>9</v>
      </c>
      <c r="J321" s="11" t="s">
        <v>103</v>
      </c>
      <c r="K321" s="12">
        <v>8036.1049860000003</v>
      </c>
      <c r="L321" s="12">
        <v>8036.1049860000003</v>
      </c>
      <c r="M321" s="12">
        <v>0</v>
      </c>
      <c r="N321" s="12">
        <v>363.62466000000001</v>
      </c>
      <c r="O321" s="12">
        <v>7672.4803259999999</v>
      </c>
      <c r="P321" s="29">
        <v>15</v>
      </c>
      <c r="Q321" s="85" t="s">
        <v>156</v>
      </c>
    </row>
    <row r="322" spans="1:17" s="85" customFormat="1" ht="16.5" hidden="1" thickTop="1" thickBot="1" x14ac:dyDescent="0.3">
      <c r="A322" s="74" t="s">
        <v>111</v>
      </c>
      <c r="B322" s="25" t="s">
        <v>22</v>
      </c>
      <c r="C322" s="8" t="s">
        <v>61</v>
      </c>
      <c r="D322" s="7" t="s">
        <v>79</v>
      </c>
      <c r="E322" s="9" t="s">
        <v>154</v>
      </c>
      <c r="F322" s="10">
        <v>1</v>
      </c>
      <c r="G322" s="11" t="s">
        <v>48</v>
      </c>
      <c r="H322" s="7" t="s">
        <v>85</v>
      </c>
      <c r="I322" s="11" t="s">
        <v>113</v>
      </c>
      <c r="J322" s="11" t="s">
        <v>105</v>
      </c>
      <c r="K322" s="12">
        <v>1050</v>
      </c>
      <c r="L322" s="12">
        <f>K322*60%</f>
        <v>630</v>
      </c>
      <c r="M322" s="12">
        <f>K322*40%</f>
        <v>420</v>
      </c>
      <c r="N322" s="12">
        <v>0</v>
      </c>
      <c r="O322" s="12">
        <f>L322+M322</f>
        <v>1050</v>
      </c>
      <c r="P322" s="29">
        <v>30</v>
      </c>
    </row>
    <row r="323" spans="1:17" s="85" customFormat="1" ht="16.5" hidden="1" thickTop="1" thickBot="1" x14ac:dyDescent="0.3">
      <c r="A323" s="74" t="s">
        <v>111</v>
      </c>
      <c r="B323" s="25" t="s">
        <v>22</v>
      </c>
      <c r="C323" s="8" t="s">
        <v>62</v>
      </c>
      <c r="D323" s="7" t="s">
        <v>79</v>
      </c>
      <c r="E323" s="9" t="s">
        <v>154</v>
      </c>
      <c r="F323" s="10">
        <v>1</v>
      </c>
      <c r="G323" s="11" t="s">
        <v>54</v>
      </c>
      <c r="H323" s="7" t="s">
        <v>85</v>
      </c>
      <c r="I323" s="11" t="s">
        <v>20</v>
      </c>
      <c r="J323" s="11" t="s">
        <v>105</v>
      </c>
      <c r="K323" s="16">
        <v>40617.404573265005</v>
      </c>
      <c r="L323" s="12">
        <v>24370.442743959004</v>
      </c>
      <c r="M323" s="12">
        <v>16246.961829306003</v>
      </c>
      <c r="N323" s="12">
        <v>0</v>
      </c>
      <c r="O323" s="12">
        <v>40617.404573265005</v>
      </c>
      <c r="P323" s="29">
        <v>30</v>
      </c>
    </row>
    <row r="324" spans="1:17" s="85" customFormat="1" ht="16.5" hidden="1" thickTop="1" thickBot="1" x14ac:dyDescent="0.3">
      <c r="A324" s="74" t="s">
        <v>111</v>
      </c>
      <c r="B324" s="25" t="s">
        <v>22</v>
      </c>
      <c r="C324" s="8" t="s">
        <v>62</v>
      </c>
      <c r="D324" s="7" t="s">
        <v>79</v>
      </c>
      <c r="E324" s="9" t="s">
        <v>154</v>
      </c>
      <c r="F324" s="10">
        <v>1</v>
      </c>
      <c r="G324" s="11" t="s">
        <v>54</v>
      </c>
      <c r="H324" s="7" t="s">
        <v>85</v>
      </c>
      <c r="I324" s="11" t="s">
        <v>9</v>
      </c>
      <c r="J324" s="11" t="s">
        <v>105</v>
      </c>
      <c r="K324" s="16">
        <v>33354.561456449999</v>
      </c>
      <c r="L324" s="12">
        <v>20012.736873869999</v>
      </c>
      <c r="M324" s="12">
        <v>13341.82458258</v>
      </c>
      <c r="N324" s="12">
        <v>0</v>
      </c>
      <c r="O324" s="12">
        <v>33354.561456449999</v>
      </c>
      <c r="P324" s="29">
        <v>30</v>
      </c>
    </row>
    <row r="325" spans="1:17" s="85" customFormat="1" ht="16.5" hidden="1" thickTop="1" thickBot="1" x14ac:dyDescent="0.3">
      <c r="A325" s="74" t="s">
        <v>111</v>
      </c>
      <c r="B325" s="25" t="s">
        <v>22</v>
      </c>
      <c r="C325" s="8" t="s">
        <v>62</v>
      </c>
      <c r="D325" s="7" t="s">
        <v>79</v>
      </c>
      <c r="E325" s="9" t="s">
        <v>154</v>
      </c>
      <c r="F325" s="10">
        <v>1</v>
      </c>
      <c r="G325" s="11" t="s">
        <v>55</v>
      </c>
      <c r="H325" s="7" t="s">
        <v>85</v>
      </c>
      <c r="I325" s="11" t="s">
        <v>113</v>
      </c>
      <c r="J325" s="11" t="s">
        <v>105</v>
      </c>
      <c r="K325" s="12">
        <v>1050</v>
      </c>
      <c r="L325" s="12">
        <f>K325*60%</f>
        <v>630</v>
      </c>
      <c r="M325" s="12">
        <f>K325*40%</f>
        <v>420</v>
      </c>
      <c r="N325" s="12">
        <v>0</v>
      </c>
      <c r="O325" s="12">
        <f>L325+M325</f>
        <v>1050</v>
      </c>
      <c r="P325" s="29">
        <v>30</v>
      </c>
    </row>
    <row r="326" spans="1:17" s="85" customFormat="1" ht="16.5" hidden="1" thickTop="1" thickBot="1" x14ac:dyDescent="0.3">
      <c r="A326" s="74" t="s">
        <v>111</v>
      </c>
      <c r="B326" s="25" t="s">
        <v>22</v>
      </c>
      <c r="C326" s="8" t="s">
        <v>62</v>
      </c>
      <c r="D326" s="7" t="s">
        <v>79</v>
      </c>
      <c r="E326" s="9" t="s">
        <v>154</v>
      </c>
      <c r="F326" s="10">
        <v>1</v>
      </c>
      <c r="G326" s="11" t="s">
        <v>55</v>
      </c>
      <c r="H326" s="7" t="s">
        <v>85</v>
      </c>
      <c r="I326" s="11" t="s">
        <v>20</v>
      </c>
      <c r="J326" s="11" t="s">
        <v>105</v>
      </c>
      <c r="K326" s="16">
        <v>34814.822702400001</v>
      </c>
      <c r="L326" s="12">
        <v>20888.893621439998</v>
      </c>
      <c r="M326" s="12">
        <v>13925.929080960001</v>
      </c>
      <c r="N326" s="12">
        <v>0</v>
      </c>
      <c r="O326" s="12">
        <v>34814.822702400001</v>
      </c>
      <c r="P326" s="29">
        <v>30</v>
      </c>
    </row>
    <row r="327" spans="1:17" s="85" customFormat="1" ht="16.5" hidden="1" thickTop="1" thickBot="1" x14ac:dyDescent="0.3">
      <c r="A327" s="74" t="s">
        <v>111</v>
      </c>
      <c r="B327" s="25" t="s">
        <v>22</v>
      </c>
      <c r="C327" s="8" t="s">
        <v>62</v>
      </c>
      <c r="D327" s="7" t="s">
        <v>79</v>
      </c>
      <c r="E327" s="9" t="s">
        <v>154</v>
      </c>
      <c r="F327" s="10">
        <v>1</v>
      </c>
      <c r="G327" s="11" t="s">
        <v>55</v>
      </c>
      <c r="H327" s="7" t="s">
        <v>85</v>
      </c>
      <c r="I327" s="11" t="s">
        <v>9</v>
      </c>
      <c r="J327" s="11" t="s">
        <v>105</v>
      </c>
      <c r="K327" s="12">
        <v>23847.740911214998</v>
      </c>
      <c r="L327" s="12">
        <v>14308.644546728998</v>
      </c>
      <c r="M327" s="12">
        <v>9539.0963644860003</v>
      </c>
      <c r="N327" s="12">
        <v>0</v>
      </c>
      <c r="O327" s="12">
        <v>23847.740911214998</v>
      </c>
      <c r="P327" s="29">
        <v>30</v>
      </c>
    </row>
    <row r="328" spans="1:17" s="85" customFormat="1" ht="16.5" hidden="1" thickTop="1" thickBot="1" x14ac:dyDescent="0.3">
      <c r="A328" s="74" t="s">
        <v>111</v>
      </c>
      <c r="B328" s="25" t="s">
        <v>22</v>
      </c>
      <c r="C328" s="8" t="s">
        <v>62</v>
      </c>
      <c r="D328" s="7" t="s">
        <v>79</v>
      </c>
      <c r="E328" s="9" t="s">
        <v>154</v>
      </c>
      <c r="F328" s="10">
        <v>1</v>
      </c>
      <c r="G328" s="11" t="s">
        <v>56</v>
      </c>
      <c r="H328" s="7" t="s">
        <v>85</v>
      </c>
      <c r="I328" s="11" t="s">
        <v>113</v>
      </c>
      <c r="J328" s="11" t="s">
        <v>105</v>
      </c>
      <c r="K328" s="12">
        <v>1050</v>
      </c>
      <c r="L328" s="12">
        <f>K328*60%</f>
        <v>630</v>
      </c>
      <c r="M328" s="12">
        <f>K328*40%</f>
        <v>420</v>
      </c>
      <c r="N328" s="12">
        <v>0</v>
      </c>
      <c r="O328" s="12">
        <f>L328+M328</f>
        <v>1050</v>
      </c>
      <c r="P328" s="29">
        <v>30</v>
      </c>
    </row>
    <row r="329" spans="1:17" s="85" customFormat="1" ht="16.5" hidden="1" thickTop="1" thickBot="1" x14ac:dyDescent="0.3">
      <c r="A329" s="74" t="s">
        <v>111</v>
      </c>
      <c r="B329" s="25" t="s">
        <v>22</v>
      </c>
      <c r="C329" s="8" t="s">
        <v>62</v>
      </c>
      <c r="D329" s="7" t="s">
        <v>79</v>
      </c>
      <c r="E329" s="9" t="s">
        <v>154</v>
      </c>
      <c r="F329" s="10">
        <v>1</v>
      </c>
      <c r="G329" s="11" t="s">
        <v>56</v>
      </c>
      <c r="H329" s="7" t="s">
        <v>85</v>
      </c>
      <c r="I329" s="11" t="s">
        <v>9</v>
      </c>
      <c r="J329" s="11" t="s">
        <v>105</v>
      </c>
      <c r="K329" s="12">
        <v>33386.83497045</v>
      </c>
      <c r="L329" s="12">
        <v>20032.10098227</v>
      </c>
      <c r="M329" s="12">
        <v>13354.73398818</v>
      </c>
      <c r="N329" s="12">
        <v>0</v>
      </c>
      <c r="O329" s="12">
        <v>33386.83497045</v>
      </c>
      <c r="P329" s="29">
        <v>30</v>
      </c>
    </row>
    <row r="330" spans="1:17" s="85" customFormat="1" ht="16.5" hidden="1" thickTop="1" thickBot="1" x14ac:dyDescent="0.3">
      <c r="A330" s="74" t="s">
        <v>111</v>
      </c>
      <c r="B330" s="25" t="s">
        <v>22</v>
      </c>
      <c r="C330" s="8" t="s">
        <v>62</v>
      </c>
      <c r="D330" s="7" t="s">
        <v>79</v>
      </c>
      <c r="E330" s="9" t="s">
        <v>154</v>
      </c>
      <c r="F330" s="10">
        <v>1</v>
      </c>
      <c r="G330" s="11" t="s">
        <v>57</v>
      </c>
      <c r="H330" s="7" t="s">
        <v>85</v>
      </c>
      <c r="I330" s="11" t="s">
        <v>9</v>
      </c>
      <c r="J330" s="11" t="s">
        <v>105</v>
      </c>
      <c r="K330" s="12">
        <v>33354.561456449999</v>
      </c>
      <c r="L330" s="12">
        <v>20012.736873869999</v>
      </c>
      <c r="M330" s="12">
        <v>13341.82458258</v>
      </c>
      <c r="N330" s="12">
        <v>0</v>
      </c>
      <c r="O330" s="12">
        <v>33354.561456449999</v>
      </c>
      <c r="P330" s="29">
        <v>30</v>
      </c>
    </row>
    <row r="331" spans="1:17" s="85" customFormat="1" ht="16.5" hidden="1" thickTop="1" thickBot="1" x14ac:dyDescent="0.3">
      <c r="A331" s="74" t="s">
        <v>111</v>
      </c>
      <c r="B331" s="25" t="s">
        <v>22</v>
      </c>
      <c r="C331" s="8" t="s">
        <v>62</v>
      </c>
      <c r="D331" s="7" t="s">
        <v>79</v>
      </c>
      <c r="E331" s="9" t="s">
        <v>154</v>
      </c>
      <c r="F331" s="10">
        <v>1</v>
      </c>
      <c r="G331" s="11" t="s">
        <v>57</v>
      </c>
      <c r="H331" s="7" t="s">
        <v>85</v>
      </c>
      <c r="I331" s="11" t="s">
        <v>113</v>
      </c>
      <c r="J331" s="11" t="s">
        <v>105</v>
      </c>
      <c r="K331" s="12">
        <v>1050</v>
      </c>
      <c r="L331" s="12">
        <f>K331*60%</f>
        <v>630</v>
      </c>
      <c r="M331" s="12">
        <f>K331*40%</f>
        <v>420</v>
      </c>
      <c r="N331" s="12">
        <v>0</v>
      </c>
      <c r="O331" s="12">
        <f>L331+M331</f>
        <v>1050</v>
      </c>
      <c r="P331" s="29">
        <v>30</v>
      </c>
    </row>
    <row r="332" spans="1:17" s="85" customFormat="1" ht="16.5" hidden="1" thickTop="1" thickBot="1" x14ac:dyDescent="0.3">
      <c r="A332" s="74" t="s">
        <v>111</v>
      </c>
      <c r="B332" s="25" t="s">
        <v>22</v>
      </c>
      <c r="C332" s="8" t="s">
        <v>62</v>
      </c>
      <c r="D332" s="7" t="s">
        <v>79</v>
      </c>
      <c r="E332" s="9" t="s">
        <v>154</v>
      </c>
      <c r="F332" s="10">
        <v>1</v>
      </c>
      <c r="G332" s="11" t="s">
        <v>58</v>
      </c>
      <c r="H332" s="7" t="s">
        <v>85</v>
      </c>
      <c r="I332" s="11" t="s">
        <v>9</v>
      </c>
      <c r="J332" s="11" t="s">
        <v>105</v>
      </c>
      <c r="K332" s="12">
        <v>19078.18811847</v>
      </c>
      <c r="L332" s="12">
        <v>11446.912871081999</v>
      </c>
      <c r="M332" s="12">
        <v>7631.275247388</v>
      </c>
      <c r="N332" s="12">
        <v>0</v>
      </c>
      <c r="O332" s="12">
        <v>19078.18811847</v>
      </c>
      <c r="P332" s="29">
        <v>30</v>
      </c>
    </row>
    <row r="333" spans="1:17" s="85" customFormat="1" ht="16.5" hidden="1" thickTop="1" thickBot="1" x14ac:dyDescent="0.3">
      <c r="A333" s="74" t="s">
        <v>111</v>
      </c>
      <c r="B333" s="25" t="s">
        <v>22</v>
      </c>
      <c r="C333" s="8" t="s">
        <v>62</v>
      </c>
      <c r="D333" s="7" t="s">
        <v>79</v>
      </c>
      <c r="E333" s="9" t="s">
        <v>154</v>
      </c>
      <c r="F333" s="10">
        <v>1</v>
      </c>
      <c r="G333" s="11" t="s">
        <v>58</v>
      </c>
      <c r="H333" s="7" t="s">
        <v>85</v>
      </c>
      <c r="I333" s="11" t="s">
        <v>113</v>
      </c>
      <c r="J333" s="11" t="s">
        <v>105</v>
      </c>
      <c r="K333" s="12">
        <v>1050</v>
      </c>
      <c r="L333" s="12">
        <f>K333*60%</f>
        <v>630</v>
      </c>
      <c r="M333" s="12">
        <f>K333*40%</f>
        <v>420</v>
      </c>
      <c r="N333" s="12">
        <v>0</v>
      </c>
      <c r="O333" s="12">
        <f>L333+M333</f>
        <v>1050</v>
      </c>
      <c r="P333" s="29">
        <v>30</v>
      </c>
    </row>
    <row r="334" spans="1:17" s="85" customFormat="1" ht="16.5" hidden="1" thickTop="1" thickBot="1" x14ac:dyDescent="0.3">
      <c r="A334" s="74" t="s">
        <v>111</v>
      </c>
      <c r="B334" s="31" t="s">
        <v>22</v>
      </c>
      <c r="C334" s="32" t="s">
        <v>62</v>
      </c>
      <c r="D334" s="33" t="s">
        <v>79</v>
      </c>
      <c r="E334" s="9" t="s">
        <v>154</v>
      </c>
      <c r="F334" s="35">
        <v>1</v>
      </c>
      <c r="G334" s="36" t="s">
        <v>59</v>
      </c>
      <c r="H334" s="33" t="s">
        <v>85</v>
      </c>
      <c r="I334" s="36" t="s">
        <v>9</v>
      </c>
      <c r="J334" s="36" t="s">
        <v>105</v>
      </c>
      <c r="K334" s="37">
        <v>4769.5527927450003</v>
      </c>
      <c r="L334" s="12">
        <v>2861.731675647</v>
      </c>
      <c r="M334" s="12">
        <v>1907.8211170980003</v>
      </c>
      <c r="N334" s="37">
        <v>0</v>
      </c>
      <c r="O334" s="12">
        <v>4769.5527927450003</v>
      </c>
      <c r="P334" s="38">
        <v>30</v>
      </c>
    </row>
    <row r="335" spans="1:17" s="85" customFormat="1" ht="16.5" hidden="1" thickTop="1" thickBot="1" x14ac:dyDescent="0.3">
      <c r="A335" s="74" t="s">
        <v>111</v>
      </c>
      <c r="B335" s="25" t="s">
        <v>22</v>
      </c>
      <c r="C335" s="8" t="s">
        <v>61</v>
      </c>
      <c r="D335" s="7" t="s">
        <v>79</v>
      </c>
      <c r="E335" s="9" t="s">
        <v>154</v>
      </c>
      <c r="F335" s="10">
        <v>20</v>
      </c>
      <c r="G335" s="13" t="s">
        <v>92</v>
      </c>
      <c r="H335" s="7" t="s">
        <v>83</v>
      </c>
      <c r="I335" s="11" t="s">
        <v>7</v>
      </c>
      <c r="J335" s="11" t="s">
        <v>80</v>
      </c>
      <c r="K335" s="12">
        <v>19890</v>
      </c>
      <c r="L335" s="12">
        <v>19890</v>
      </c>
      <c r="M335" s="12">
        <v>0</v>
      </c>
      <c r="N335" s="12">
        <v>0</v>
      </c>
      <c r="O335" s="12">
        <v>19890</v>
      </c>
      <c r="P335" s="29">
        <v>15</v>
      </c>
    </row>
    <row r="336" spans="1:17" s="85" customFormat="1" ht="16.5" hidden="1" thickTop="1" thickBot="1" x14ac:dyDescent="0.3">
      <c r="A336" s="74"/>
      <c r="B336" s="40" t="s">
        <v>5</v>
      </c>
      <c r="C336" s="8" t="s">
        <v>25</v>
      </c>
      <c r="D336" s="7" t="s">
        <v>79</v>
      </c>
      <c r="E336" s="9" t="s">
        <v>63</v>
      </c>
      <c r="F336" s="10">
        <v>25</v>
      </c>
      <c r="G336" s="13" t="s">
        <v>169</v>
      </c>
      <c r="H336" s="7" t="s">
        <v>84</v>
      </c>
      <c r="I336" s="11" t="s">
        <v>170</v>
      </c>
      <c r="J336" s="11" t="s">
        <v>103</v>
      </c>
      <c r="K336" s="12">
        <v>43144</v>
      </c>
      <c r="L336" s="12"/>
      <c r="M336" s="12">
        <v>0</v>
      </c>
      <c r="N336" s="12"/>
      <c r="O336" s="12"/>
      <c r="P336" s="29"/>
    </row>
    <row r="337" spans="1:17" s="85" customFormat="1" ht="15" hidden="1" customHeight="1" thickTop="1" thickBot="1" x14ac:dyDescent="0.3">
      <c r="A337" s="74" t="s">
        <v>111</v>
      </c>
      <c r="B337" s="25" t="s">
        <v>13</v>
      </c>
      <c r="C337" s="8" t="s">
        <v>61</v>
      </c>
      <c r="D337" s="7" t="s">
        <v>79</v>
      </c>
      <c r="E337" s="9" t="s">
        <v>63</v>
      </c>
      <c r="F337" s="10">
        <v>20</v>
      </c>
      <c r="G337" s="13" t="s">
        <v>90</v>
      </c>
      <c r="H337" s="15" t="s">
        <v>83</v>
      </c>
      <c r="I337" s="14" t="s">
        <v>9</v>
      </c>
      <c r="J337" s="11" t="s">
        <v>103</v>
      </c>
      <c r="K337" s="12">
        <v>4536.0249999999996</v>
      </c>
      <c r="L337" s="12">
        <v>4536.0249999999996</v>
      </c>
      <c r="M337" s="12">
        <v>0</v>
      </c>
      <c r="N337" s="12">
        <f>L337*16%</f>
        <v>725.76400000000001</v>
      </c>
      <c r="O337" s="12">
        <v>3810.2609999999995</v>
      </c>
      <c r="P337" s="29">
        <v>10</v>
      </c>
    </row>
    <row r="338" spans="1:17" s="85" customFormat="1" ht="16.5" hidden="1" thickTop="1" thickBot="1" x14ac:dyDescent="0.3">
      <c r="A338" s="74" t="s">
        <v>111</v>
      </c>
      <c r="B338" s="25" t="s">
        <v>22</v>
      </c>
      <c r="C338" s="8" t="s">
        <v>25</v>
      </c>
      <c r="D338" s="7" t="s">
        <v>79</v>
      </c>
      <c r="E338" s="9" t="s">
        <v>63</v>
      </c>
      <c r="F338" s="10">
        <v>25</v>
      </c>
      <c r="G338" s="11" t="s">
        <v>135</v>
      </c>
      <c r="H338" s="7" t="s">
        <v>83</v>
      </c>
      <c r="I338" s="11" t="s">
        <v>7</v>
      </c>
      <c r="J338" s="11" t="s">
        <v>80</v>
      </c>
      <c r="K338" s="12">
        <v>17695.12745</v>
      </c>
      <c r="L338" s="12">
        <v>17695.12745</v>
      </c>
      <c r="M338" s="12">
        <v>0</v>
      </c>
      <c r="N338" s="12">
        <v>0</v>
      </c>
      <c r="O338" s="12">
        <v>17695.12745</v>
      </c>
      <c r="P338" s="29">
        <v>18</v>
      </c>
    </row>
    <row r="339" spans="1:17" s="85" customFormat="1" ht="16.5" hidden="1" thickTop="1" thickBot="1" x14ac:dyDescent="0.3">
      <c r="A339" s="91" t="s">
        <v>111</v>
      </c>
      <c r="B339" s="40" t="s">
        <v>5</v>
      </c>
      <c r="C339" s="41" t="s">
        <v>0</v>
      </c>
      <c r="D339" s="42" t="s">
        <v>79</v>
      </c>
      <c r="E339" s="9" t="s">
        <v>63</v>
      </c>
      <c r="F339" s="44">
        <v>8</v>
      </c>
      <c r="G339" s="45" t="s">
        <v>6</v>
      </c>
      <c r="H339" s="42" t="s">
        <v>85</v>
      </c>
      <c r="I339" s="45" t="s">
        <v>7</v>
      </c>
      <c r="J339" s="45" t="s">
        <v>103</v>
      </c>
      <c r="K339" s="46">
        <v>41245.995459655351</v>
      </c>
      <c r="L339" s="12">
        <v>41245.995459655351</v>
      </c>
      <c r="M339" s="12">
        <v>0</v>
      </c>
      <c r="N339" s="46">
        <f>L3225*2%</f>
        <v>0</v>
      </c>
      <c r="O339" s="12">
        <v>39379.660823471851</v>
      </c>
      <c r="P339" s="47">
        <v>10</v>
      </c>
      <c r="Q339" s="85" t="s">
        <v>156</v>
      </c>
    </row>
    <row r="340" spans="1:17" s="85" customFormat="1" ht="16.5" hidden="1" thickTop="1" thickBot="1" x14ac:dyDescent="0.3">
      <c r="A340" s="91" t="s">
        <v>111</v>
      </c>
      <c r="B340" s="25" t="s">
        <v>5</v>
      </c>
      <c r="C340" s="8" t="s">
        <v>0</v>
      </c>
      <c r="D340" s="7" t="s">
        <v>79</v>
      </c>
      <c r="E340" s="9" t="s">
        <v>63</v>
      </c>
      <c r="F340" s="44">
        <v>8</v>
      </c>
      <c r="G340" s="11" t="s">
        <v>8</v>
      </c>
      <c r="H340" s="7" t="s">
        <v>85</v>
      </c>
      <c r="I340" s="11" t="s">
        <v>7</v>
      </c>
      <c r="J340" s="11" t="s">
        <v>103</v>
      </c>
      <c r="K340" s="12">
        <v>19327.518303502504</v>
      </c>
      <c r="L340" s="12">
        <v>19327.518303502504</v>
      </c>
      <c r="M340" s="12">
        <v>0</v>
      </c>
      <c r="N340" s="12">
        <v>874.54833952500019</v>
      </c>
      <c r="O340" s="12">
        <v>18452.969963977503</v>
      </c>
      <c r="P340" s="29">
        <v>10</v>
      </c>
      <c r="Q340" s="85" t="s">
        <v>156</v>
      </c>
    </row>
    <row r="341" spans="1:17" s="85" customFormat="1" ht="16.5" hidden="1" thickTop="1" thickBot="1" x14ac:dyDescent="0.3">
      <c r="A341" s="91" t="s">
        <v>111</v>
      </c>
      <c r="B341" s="25" t="s">
        <v>5</v>
      </c>
      <c r="C341" s="8" t="s">
        <v>0</v>
      </c>
      <c r="D341" s="7" t="s">
        <v>79</v>
      </c>
      <c r="E341" s="9" t="s">
        <v>63</v>
      </c>
      <c r="F341" s="44">
        <v>8</v>
      </c>
      <c r="G341" s="11" t="s">
        <v>8</v>
      </c>
      <c r="H341" s="7" t="s">
        <v>85</v>
      </c>
      <c r="I341" s="11" t="s">
        <v>97</v>
      </c>
      <c r="J341" s="11" t="s">
        <v>103</v>
      </c>
      <c r="K341" s="12">
        <v>19327.518303502504</v>
      </c>
      <c r="L341" s="12">
        <v>19327.518303502504</v>
      </c>
      <c r="M341" s="12">
        <v>0</v>
      </c>
      <c r="N341" s="12">
        <v>874.54833952500019</v>
      </c>
      <c r="O341" s="12">
        <v>18452.969963977503</v>
      </c>
      <c r="P341" s="29">
        <v>10</v>
      </c>
      <c r="Q341" s="85" t="s">
        <v>156</v>
      </c>
    </row>
    <row r="342" spans="1:17" s="85" customFormat="1" ht="16.5" hidden="1" thickTop="1" thickBot="1" x14ac:dyDescent="0.3">
      <c r="A342" s="91" t="s">
        <v>111</v>
      </c>
      <c r="B342" s="25" t="s">
        <v>5</v>
      </c>
      <c r="C342" s="8" t="s">
        <v>0</v>
      </c>
      <c r="D342" s="7" t="s">
        <v>79</v>
      </c>
      <c r="E342" s="9" t="s">
        <v>63</v>
      </c>
      <c r="F342" s="44">
        <v>8</v>
      </c>
      <c r="G342" s="11" t="s">
        <v>8</v>
      </c>
      <c r="H342" s="7" t="s">
        <v>85</v>
      </c>
      <c r="I342" s="11" t="s">
        <v>9</v>
      </c>
      <c r="J342" s="11" t="s">
        <v>103</v>
      </c>
      <c r="K342" s="12">
        <v>16926.608031693751</v>
      </c>
      <c r="L342" s="12">
        <v>16926.608031693751</v>
      </c>
      <c r="M342" s="12">
        <v>0</v>
      </c>
      <c r="N342" s="12">
        <v>765.90986568750009</v>
      </c>
      <c r="O342" s="12">
        <v>16160.698166006252</v>
      </c>
      <c r="P342" s="29">
        <v>10</v>
      </c>
      <c r="Q342" s="85" t="s">
        <v>156</v>
      </c>
    </row>
    <row r="343" spans="1:17" s="85" customFormat="1" ht="16.5" hidden="1" thickTop="1" thickBot="1" x14ac:dyDescent="0.3">
      <c r="A343" s="91" t="s">
        <v>111</v>
      </c>
      <c r="B343" s="25" t="s">
        <v>5</v>
      </c>
      <c r="C343" s="8" t="s">
        <v>0</v>
      </c>
      <c r="D343" s="7" t="s">
        <v>79</v>
      </c>
      <c r="E343" s="9" t="s">
        <v>63</v>
      </c>
      <c r="F343" s="44">
        <v>8</v>
      </c>
      <c r="G343" s="11" t="s">
        <v>8</v>
      </c>
      <c r="H343" s="7" t="s">
        <v>85</v>
      </c>
      <c r="I343" s="11" t="s">
        <v>15</v>
      </c>
      <c r="J343" s="11" t="s">
        <v>103</v>
      </c>
      <c r="K343" s="12">
        <v>14433.306181368749</v>
      </c>
      <c r="L343" s="12">
        <v>14433.306181368749</v>
      </c>
      <c r="M343" s="12">
        <v>0</v>
      </c>
      <c r="N343" s="12">
        <v>653.09077743750004</v>
      </c>
      <c r="O343" s="12">
        <v>13780.215403931248</v>
      </c>
      <c r="P343" s="29">
        <v>10</v>
      </c>
      <c r="Q343" s="85" t="s">
        <v>156</v>
      </c>
    </row>
    <row r="344" spans="1:17" s="85" customFormat="1" ht="16.5" hidden="1" thickTop="1" thickBot="1" x14ac:dyDescent="0.3">
      <c r="A344" s="91" t="s">
        <v>111</v>
      </c>
      <c r="B344" s="25" t="s">
        <v>10</v>
      </c>
      <c r="C344" s="8" t="s">
        <v>0</v>
      </c>
      <c r="D344" s="7" t="s">
        <v>79</v>
      </c>
      <c r="E344" s="9" t="s">
        <v>63</v>
      </c>
      <c r="F344" s="44">
        <v>8</v>
      </c>
      <c r="G344" s="11" t="s">
        <v>8</v>
      </c>
      <c r="H344" s="7" t="s">
        <v>85</v>
      </c>
      <c r="I344" s="11" t="s">
        <v>96</v>
      </c>
      <c r="J344" s="11" t="s">
        <v>103</v>
      </c>
      <c r="K344" s="12">
        <v>2000</v>
      </c>
      <c r="L344" s="12">
        <v>2000</v>
      </c>
      <c r="M344" s="12">
        <v>0</v>
      </c>
      <c r="N344" s="12">
        <v>0</v>
      </c>
      <c r="O344" s="12">
        <v>2000</v>
      </c>
      <c r="P344" s="29">
        <v>10</v>
      </c>
      <c r="Q344" s="85" t="s">
        <v>156</v>
      </c>
    </row>
    <row r="345" spans="1:17" s="85" customFormat="1" ht="16.5" hidden="1" thickTop="1" thickBot="1" x14ac:dyDescent="0.3">
      <c r="A345" s="91" t="s">
        <v>111</v>
      </c>
      <c r="B345" s="25" t="s">
        <v>10</v>
      </c>
      <c r="C345" s="8" t="s">
        <v>0</v>
      </c>
      <c r="D345" s="7" t="s">
        <v>79</v>
      </c>
      <c r="E345" s="9" t="s">
        <v>63</v>
      </c>
      <c r="F345" s="44">
        <v>8</v>
      </c>
      <c r="G345" s="11" t="s">
        <v>8</v>
      </c>
      <c r="H345" s="7" t="s">
        <v>85</v>
      </c>
      <c r="I345" s="11" t="s">
        <v>96</v>
      </c>
      <c r="J345" s="11" t="s">
        <v>103</v>
      </c>
      <c r="K345" s="12">
        <v>200</v>
      </c>
      <c r="L345" s="12">
        <v>200</v>
      </c>
      <c r="M345" s="12">
        <v>0</v>
      </c>
      <c r="N345" s="12">
        <v>0</v>
      </c>
      <c r="O345" s="12">
        <v>200</v>
      </c>
      <c r="P345" s="29">
        <v>10</v>
      </c>
      <c r="Q345" s="85" t="s">
        <v>156</v>
      </c>
    </row>
    <row r="346" spans="1:17" s="85" customFormat="1" ht="16.5" hidden="1" thickTop="1" thickBot="1" x14ac:dyDescent="0.3">
      <c r="A346" s="74" t="s">
        <v>111</v>
      </c>
      <c r="B346" s="25" t="s">
        <v>11</v>
      </c>
      <c r="C346" s="8" t="s">
        <v>0</v>
      </c>
      <c r="D346" s="7" t="s">
        <v>79</v>
      </c>
      <c r="E346" s="9" t="s">
        <v>63</v>
      </c>
      <c r="F346" s="10">
        <v>14</v>
      </c>
      <c r="G346" s="11" t="s">
        <v>12</v>
      </c>
      <c r="H346" s="7" t="s">
        <v>85</v>
      </c>
      <c r="I346" s="11" t="s">
        <v>7</v>
      </c>
      <c r="J346" s="11" t="s">
        <v>103</v>
      </c>
      <c r="K346" s="12">
        <v>18236.509999999998</v>
      </c>
      <c r="L346" s="12">
        <f>K346</f>
        <v>18236.509999999998</v>
      </c>
      <c r="M346" s="12">
        <v>0</v>
      </c>
      <c r="N346" s="12">
        <f>L346*14%</f>
        <v>2553.1114000000002</v>
      </c>
      <c r="O346" s="12">
        <v>16485.7</v>
      </c>
      <c r="P346" s="29">
        <v>15</v>
      </c>
      <c r="Q346" s="85" t="s">
        <v>156</v>
      </c>
    </row>
    <row r="347" spans="1:17" s="85" customFormat="1" ht="16.5" hidden="1" thickTop="1" thickBot="1" x14ac:dyDescent="0.3">
      <c r="A347" s="74" t="s">
        <v>111</v>
      </c>
      <c r="B347" s="25" t="s">
        <v>13</v>
      </c>
      <c r="C347" s="8" t="s">
        <v>0</v>
      </c>
      <c r="D347" s="7" t="s">
        <v>79</v>
      </c>
      <c r="E347" s="9" t="s">
        <v>63</v>
      </c>
      <c r="F347" s="10">
        <v>14</v>
      </c>
      <c r="G347" s="11" t="s">
        <v>12</v>
      </c>
      <c r="H347" s="7" t="s">
        <v>85</v>
      </c>
      <c r="I347" s="11" t="s">
        <v>9</v>
      </c>
      <c r="J347" s="11" t="s">
        <v>103</v>
      </c>
      <c r="K347" s="12">
        <v>4121.2527595112251</v>
      </c>
      <c r="L347" s="12">
        <v>4121.2527595112251</v>
      </c>
      <c r="M347" s="12">
        <v>0</v>
      </c>
      <c r="N347" s="12">
        <f>L347*16%</f>
        <v>659.40044152179598</v>
      </c>
      <c r="O347" s="12">
        <v>3461.8523179894291</v>
      </c>
      <c r="P347" s="29">
        <v>15</v>
      </c>
      <c r="Q347" s="85" t="s">
        <v>156</v>
      </c>
    </row>
    <row r="348" spans="1:17" s="85" customFormat="1" ht="16.5" hidden="1" thickTop="1" thickBot="1" x14ac:dyDescent="0.3">
      <c r="A348" s="74" t="s">
        <v>111</v>
      </c>
      <c r="B348" s="25" t="s">
        <v>13</v>
      </c>
      <c r="C348" s="8" t="s">
        <v>0</v>
      </c>
      <c r="D348" s="7" t="s">
        <v>79</v>
      </c>
      <c r="E348" s="9" t="s">
        <v>63</v>
      </c>
      <c r="F348" s="10">
        <v>14</v>
      </c>
      <c r="G348" s="11" t="s">
        <v>12</v>
      </c>
      <c r="H348" s="7" t="s">
        <v>85</v>
      </c>
      <c r="I348" s="11" t="s">
        <v>99</v>
      </c>
      <c r="J348" s="11" t="s">
        <v>103</v>
      </c>
      <c r="K348" s="12">
        <v>4879.6817792930997</v>
      </c>
      <c r="L348" s="12">
        <v>4879.6817792930997</v>
      </c>
      <c r="M348" s="12">
        <v>0</v>
      </c>
      <c r="N348" s="12">
        <f>L348*16%</f>
        <v>780.74908468689591</v>
      </c>
      <c r="O348" s="12">
        <v>4098.9326946062038</v>
      </c>
      <c r="P348" s="29">
        <v>15</v>
      </c>
      <c r="Q348" s="85" t="s">
        <v>156</v>
      </c>
    </row>
    <row r="349" spans="1:17" s="85" customFormat="1" ht="16.5" hidden="1" thickTop="1" thickBot="1" x14ac:dyDescent="0.3">
      <c r="A349" s="74" t="s">
        <v>111</v>
      </c>
      <c r="B349" s="25" t="s">
        <v>5</v>
      </c>
      <c r="C349" s="8" t="s">
        <v>0</v>
      </c>
      <c r="D349" s="7" t="s">
        <v>79</v>
      </c>
      <c r="E349" s="9" t="s">
        <v>63</v>
      </c>
      <c r="F349" s="10">
        <v>14</v>
      </c>
      <c r="G349" s="11" t="s">
        <v>139</v>
      </c>
      <c r="H349" s="7" t="s">
        <v>84</v>
      </c>
      <c r="I349" s="11" t="s">
        <v>7</v>
      </c>
      <c r="J349" s="11" t="s">
        <v>103</v>
      </c>
      <c r="K349" s="12">
        <v>16311.633340859998</v>
      </c>
      <c r="L349" s="12">
        <v>16311.633340859998</v>
      </c>
      <c r="M349" s="12">
        <v>0</v>
      </c>
      <c r="N349" s="12">
        <v>738.08295659999999</v>
      </c>
      <c r="O349" s="12">
        <v>15985.4</v>
      </c>
      <c r="P349" s="29">
        <v>15</v>
      </c>
      <c r="Q349" s="85" t="s">
        <v>156</v>
      </c>
    </row>
    <row r="350" spans="1:17" s="85" customFormat="1" ht="16.5" hidden="1" thickTop="1" thickBot="1" x14ac:dyDescent="0.3">
      <c r="A350" s="74" t="s">
        <v>111</v>
      </c>
      <c r="B350" s="25" t="s">
        <v>5</v>
      </c>
      <c r="C350" s="8" t="s">
        <v>0</v>
      </c>
      <c r="D350" s="7" t="s">
        <v>79</v>
      </c>
      <c r="E350" s="9" t="s">
        <v>63</v>
      </c>
      <c r="F350" s="10">
        <v>14</v>
      </c>
      <c r="G350" s="11" t="s">
        <v>139</v>
      </c>
      <c r="H350" s="7" t="s">
        <v>84</v>
      </c>
      <c r="I350" s="11" t="s">
        <v>9</v>
      </c>
      <c r="J350" s="11" t="s">
        <v>103</v>
      </c>
      <c r="K350" s="12">
        <v>4158.1260499999999</v>
      </c>
      <c r="L350" s="12">
        <v>4158.1260499999999</v>
      </c>
      <c r="M350" s="12">
        <v>0</v>
      </c>
      <c r="N350" s="12">
        <v>188.15050000000002</v>
      </c>
      <c r="O350" s="12">
        <v>3969.9755499999997</v>
      </c>
      <c r="P350" s="29">
        <v>15</v>
      </c>
      <c r="Q350" s="85" t="s">
        <v>156</v>
      </c>
    </row>
    <row r="351" spans="1:17" s="85" customFormat="1" ht="16.5" hidden="1" thickTop="1" thickBot="1" x14ac:dyDescent="0.3">
      <c r="A351" s="74" t="s">
        <v>111</v>
      </c>
      <c r="B351" s="25" t="s">
        <v>5</v>
      </c>
      <c r="C351" s="8" t="s">
        <v>0</v>
      </c>
      <c r="D351" s="7" t="s">
        <v>79</v>
      </c>
      <c r="E351" s="9" t="s">
        <v>63</v>
      </c>
      <c r="F351" s="10">
        <v>14</v>
      </c>
      <c r="G351" s="11" t="s">
        <v>139</v>
      </c>
      <c r="H351" s="7" t="s">
        <v>84</v>
      </c>
      <c r="I351" s="11" t="s">
        <v>15</v>
      </c>
      <c r="J351" s="11" t="s">
        <v>103</v>
      </c>
      <c r="K351" s="12">
        <v>5282.5230083924998</v>
      </c>
      <c r="L351" s="12">
        <v>5282.5230083924998</v>
      </c>
      <c r="M351" s="12">
        <v>0</v>
      </c>
      <c r="N351" s="12">
        <v>239.02819042500002</v>
      </c>
      <c r="O351" s="12">
        <v>5043.4948179675002</v>
      </c>
      <c r="P351" s="29">
        <v>15</v>
      </c>
      <c r="Q351" s="85" t="s">
        <v>156</v>
      </c>
    </row>
    <row r="352" spans="1:17" s="85" customFormat="1" ht="16.5" hidden="1" thickTop="1" thickBot="1" x14ac:dyDescent="0.3">
      <c r="A352" s="74" t="s">
        <v>111</v>
      </c>
      <c r="B352" s="25" t="s">
        <v>10</v>
      </c>
      <c r="C352" s="8" t="s">
        <v>0</v>
      </c>
      <c r="D352" s="7" t="s">
        <v>79</v>
      </c>
      <c r="E352" s="9" t="s">
        <v>63</v>
      </c>
      <c r="F352" s="10">
        <v>14</v>
      </c>
      <c r="G352" s="11" t="s">
        <v>139</v>
      </c>
      <c r="H352" s="7" t="s">
        <v>84</v>
      </c>
      <c r="I352" s="11" t="s">
        <v>96</v>
      </c>
      <c r="J352" s="11" t="s">
        <v>103</v>
      </c>
      <c r="K352" s="12">
        <v>500</v>
      </c>
      <c r="L352" s="12">
        <v>500</v>
      </c>
      <c r="M352" s="12">
        <v>0</v>
      </c>
      <c r="N352" s="12">
        <v>0</v>
      </c>
      <c r="O352" s="12">
        <v>500</v>
      </c>
      <c r="P352" s="29">
        <v>15</v>
      </c>
      <c r="Q352" s="85" t="s">
        <v>156</v>
      </c>
    </row>
    <row r="353" spans="1:16" s="85" customFormat="1" ht="16.5" hidden="1" thickTop="1" thickBot="1" x14ac:dyDescent="0.3">
      <c r="A353" s="74" t="s">
        <v>111</v>
      </c>
      <c r="B353" s="25" t="s">
        <v>11</v>
      </c>
      <c r="C353" s="8" t="s">
        <v>0</v>
      </c>
      <c r="D353" s="7" t="s">
        <v>79</v>
      </c>
      <c r="E353" s="9" t="s">
        <v>63</v>
      </c>
      <c r="F353" s="10">
        <v>20</v>
      </c>
      <c r="G353" s="11" t="s">
        <v>16</v>
      </c>
      <c r="H353" s="7" t="s">
        <v>85</v>
      </c>
      <c r="I353" s="11" t="s">
        <v>7</v>
      </c>
      <c r="J353" s="11" t="s">
        <v>103</v>
      </c>
      <c r="K353" s="12">
        <v>17144.075000000001</v>
      </c>
      <c r="L353" s="12">
        <v>17144.075000000001</v>
      </c>
      <c r="M353" s="12">
        <v>0</v>
      </c>
      <c r="N353" s="12">
        <f>L353*14%</f>
        <v>2400.1705000000002</v>
      </c>
      <c r="O353" s="12">
        <f>L353+M353-N353</f>
        <v>14743.904500000001</v>
      </c>
      <c r="P353" s="29">
        <v>15</v>
      </c>
    </row>
    <row r="354" spans="1:16" s="85" customFormat="1" ht="16.5" hidden="1" thickTop="1" thickBot="1" x14ac:dyDescent="0.3">
      <c r="A354" s="74" t="s">
        <v>111</v>
      </c>
      <c r="B354" s="25" t="s">
        <v>13</v>
      </c>
      <c r="C354" s="8" t="s">
        <v>0</v>
      </c>
      <c r="D354" s="7" t="s">
        <v>79</v>
      </c>
      <c r="E354" s="9" t="s">
        <v>63</v>
      </c>
      <c r="F354" s="10">
        <v>20</v>
      </c>
      <c r="G354" s="11" t="s">
        <v>16</v>
      </c>
      <c r="H354" s="7" t="s">
        <v>85</v>
      </c>
      <c r="I354" s="11" t="s">
        <v>113</v>
      </c>
      <c r="J354" s="11" t="s">
        <v>103</v>
      </c>
      <c r="K354" s="12">
        <v>1657.5</v>
      </c>
      <c r="L354" s="12">
        <v>1657.5</v>
      </c>
      <c r="M354" s="12">
        <v>0</v>
      </c>
      <c r="N354" s="12">
        <f>L354*16%</f>
        <v>265.2</v>
      </c>
      <c r="O354" s="12">
        <v>1392.3</v>
      </c>
      <c r="P354" s="29">
        <v>15</v>
      </c>
    </row>
    <row r="355" spans="1:16" s="85" customFormat="1" ht="16.5" hidden="1" thickTop="1" thickBot="1" x14ac:dyDescent="0.3">
      <c r="A355" s="74" t="s">
        <v>111</v>
      </c>
      <c r="B355" s="25" t="s">
        <v>13</v>
      </c>
      <c r="C355" s="8" t="s">
        <v>0</v>
      </c>
      <c r="D355" s="7" t="s">
        <v>79</v>
      </c>
      <c r="E355" s="9" t="s">
        <v>63</v>
      </c>
      <c r="F355" s="10">
        <v>20</v>
      </c>
      <c r="G355" s="11" t="s">
        <v>16</v>
      </c>
      <c r="H355" s="7" t="s">
        <v>85</v>
      </c>
      <c r="I355" s="11" t="s">
        <v>9</v>
      </c>
      <c r="J355" s="11" t="s">
        <v>103</v>
      </c>
      <c r="K355" s="12">
        <v>8265.4</v>
      </c>
      <c r="L355" s="12">
        <v>8265.4</v>
      </c>
      <c r="M355" s="12">
        <v>0</v>
      </c>
      <c r="N355" s="12">
        <f>L355*16%</f>
        <v>1322.4639999999999</v>
      </c>
      <c r="O355" s="12">
        <v>6942.9359999999997</v>
      </c>
      <c r="P355" s="29">
        <v>15</v>
      </c>
    </row>
    <row r="356" spans="1:16" s="85" customFormat="1" ht="16.5" hidden="1" thickTop="1" thickBot="1" x14ac:dyDescent="0.3">
      <c r="A356" s="74" t="s">
        <v>111</v>
      </c>
      <c r="B356" s="25" t="s">
        <v>13</v>
      </c>
      <c r="C356" s="8" t="s">
        <v>0</v>
      </c>
      <c r="D356" s="7" t="s">
        <v>79</v>
      </c>
      <c r="E356" s="9" t="s">
        <v>63</v>
      </c>
      <c r="F356" s="10">
        <v>20</v>
      </c>
      <c r="G356" s="11" t="s">
        <v>16</v>
      </c>
      <c r="H356" s="7" t="s">
        <v>85</v>
      </c>
      <c r="I356" s="11" t="s">
        <v>15</v>
      </c>
      <c r="J356" s="11" t="s">
        <v>103</v>
      </c>
      <c r="K356" s="12">
        <v>7542.73</v>
      </c>
      <c r="L356" s="12">
        <v>7542.73</v>
      </c>
      <c r="M356" s="12">
        <v>0</v>
      </c>
      <c r="N356" s="12">
        <f>L356*16%</f>
        <v>1206.8368</v>
      </c>
      <c r="O356" s="12">
        <v>6335.8931999999995</v>
      </c>
      <c r="P356" s="29">
        <v>15</v>
      </c>
    </row>
    <row r="357" spans="1:16" s="85" customFormat="1" ht="16.5" hidden="1" thickTop="1" thickBot="1" x14ac:dyDescent="0.3">
      <c r="A357" s="74" t="s">
        <v>111</v>
      </c>
      <c r="B357" s="25" t="s">
        <v>5</v>
      </c>
      <c r="C357" s="8" t="s">
        <v>0</v>
      </c>
      <c r="D357" s="7" t="s">
        <v>79</v>
      </c>
      <c r="E357" s="9" t="s">
        <v>63</v>
      </c>
      <c r="F357" s="10">
        <v>5</v>
      </c>
      <c r="G357" s="11" t="s">
        <v>17</v>
      </c>
      <c r="H357" s="7" t="s">
        <v>85</v>
      </c>
      <c r="I357" s="11" t="s">
        <v>7</v>
      </c>
      <c r="J357" s="11" t="s">
        <v>103</v>
      </c>
      <c r="K357" s="12">
        <v>17315.25</v>
      </c>
      <c r="L357" s="12">
        <f>K357</f>
        <v>17315.25</v>
      </c>
      <c r="M357" s="12">
        <v>0</v>
      </c>
      <c r="N357" s="12">
        <f>K357*2%</f>
        <v>346.30500000000001</v>
      </c>
      <c r="O357" s="12">
        <f>L357-N357</f>
        <v>16968.945</v>
      </c>
      <c r="P357" s="29">
        <v>10</v>
      </c>
    </row>
    <row r="358" spans="1:16" s="85" customFormat="1" ht="16.5" hidden="1" thickTop="1" thickBot="1" x14ac:dyDescent="0.3">
      <c r="A358" s="74" t="s">
        <v>111</v>
      </c>
      <c r="B358" s="25" t="s">
        <v>5</v>
      </c>
      <c r="C358" s="8" t="s">
        <v>0</v>
      </c>
      <c r="D358" s="7" t="s">
        <v>79</v>
      </c>
      <c r="E358" s="9" t="s">
        <v>63</v>
      </c>
      <c r="F358" s="10">
        <v>5</v>
      </c>
      <c r="G358" s="11" t="s">
        <v>17</v>
      </c>
      <c r="H358" s="7" t="s">
        <v>85</v>
      </c>
      <c r="I358" s="11" t="s">
        <v>15</v>
      </c>
      <c r="J358" s="11" t="s">
        <v>103</v>
      </c>
      <c r="K358" s="12">
        <v>4515.3853266453743</v>
      </c>
      <c r="L358" s="12">
        <f>K358</f>
        <v>4515.3853266453743</v>
      </c>
      <c r="M358" s="12">
        <v>0</v>
      </c>
      <c r="N358" s="12">
        <f>K358*2%</f>
        <v>90.307706532907488</v>
      </c>
      <c r="O358" s="12">
        <f>L358-N358</f>
        <v>4425.0776201124672</v>
      </c>
      <c r="P358" s="29">
        <v>10</v>
      </c>
    </row>
    <row r="359" spans="1:16" s="85" customFormat="1" ht="16.5" hidden="1" thickTop="1" thickBot="1" x14ac:dyDescent="0.3">
      <c r="A359" s="91" t="s">
        <v>111</v>
      </c>
      <c r="B359" s="25" t="s">
        <v>5</v>
      </c>
      <c r="C359" s="8" t="s">
        <v>0</v>
      </c>
      <c r="D359" s="7" t="s">
        <v>79</v>
      </c>
      <c r="E359" s="9" t="s">
        <v>63</v>
      </c>
      <c r="F359" s="10">
        <v>10</v>
      </c>
      <c r="G359" s="11" t="s">
        <v>18</v>
      </c>
      <c r="H359" s="7" t="s">
        <v>85</v>
      </c>
      <c r="I359" s="11" t="s">
        <v>9</v>
      </c>
      <c r="J359" s="11" t="s">
        <v>103</v>
      </c>
      <c r="K359" s="12">
        <v>4589.40895335</v>
      </c>
      <c r="L359" s="12">
        <v>4589.40895335</v>
      </c>
      <c r="M359" s="12">
        <v>0</v>
      </c>
      <c r="N359" s="12">
        <v>207.66556350000002</v>
      </c>
      <c r="O359" s="12">
        <v>4381.7433898500003</v>
      </c>
      <c r="P359" s="29">
        <v>10</v>
      </c>
    </row>
    <row r="360" spans="1:16" s="85" customFormat="1" ht="16.5" hidden="1" thickTop="1" thickBot="1" x14ac:dyDescent="0.3">
      <c r="A360" s="74" t="s">
        <v>111</v>
      </c>
      <c r="B360" s="25" t="s">
        <v>11</v>
      </c>
      <c r="C360" s="8" t="s">
        <v>0</v>
      </c>
      <c r="D360" s="7" t="s">
        <v>79</v>
      </c>
      <c r="E360" s="9" t="s">
        <v>63</v>
      </c>
      <c r="F360" s="10">
        <v>22</v>
      </c>
      <c r="G360" s="11" t="s">
        <v>24</v>
      </c>
      <c r="H360" s="7" t="s">
        <v>83</v>
      </c>
      <c r="I360" s="11" t="s">
        <v>7</v>
      </c>
      <c r="J360" s="11" t="s">
        <v>80</v>
      </c>
      <c r="K360" s="12">
        <v>61581.4</v>
      </c>
      <c r="L360" s="12">
        <f>K360</f>
        <v>61581.4</v>
      </c>
      <c r="M360" s="12">
        <v>0</v>
      </c>
      <c r="N360" s="12">
        <f>L360*14%</f>
        <v>8621.3960000000006</v>
      </c>
      <c r="O360" s="12">
        <f>L360-N360</f>
        <v>52960.004000000001</v>
      </c>
      <c r="P360" s="29">
        <v>12</v>
      </c>
    </row>
    <row r="361" spans="1:16" s="85" customFormat="1" ht="16.5" hidden="1" thickTop="1" thickBot="1" x14ac:dyDescent="0.3">
      <c r="A361" s="74" t="s">
        <v>111</v>
      </c>
      <c r="B361" s="25" t="s">
        <v>13</v>
      </c>
      <c r="C361" s="8" t="s">
        <v>0</v>
      </c>
      <c r="D361" s="7" t="s">
        <v>79</v>
      </c>
      <c r="E361" s="9" t="s">
        <v>63</v>
      </c>
      <c r="F361" s="10">
        <v>22</v>
      </c>
      <c r="G361" s="11" t="s">
        <v>24</v>
      </c>
      <c r="H361" s="7" t="s">
        <v>83</v>
      </c>
      <c r="I361" s="11" t="s">
        <v>9</v>
      </c>
      <c r="J361" s="11" t="s">
        <v>80</v>
      </c>
      <c r="K361" s="12">
        <v>12949</v>
      </c>
      <c r="L361" s="12">
        <f>K361</f>
        <v>12949</v>
      </c>
      <c r="M361" s="12">
        <v>0</v>
      </c>
      <c r="N361" s="12">
        <f>L361*16%</f>
        <v>2071.84</v>
      </c>
      <c r="O361" s="12">
        <f>L361-N361</f>
        <v>10877.16</v>
      </c>
      <c r="P361" s="29">
        <v>12</v>
      </c>
    </row>
    <row r="362" spans="1:16" s="85" customFormat="1" ht="16.5" hidden="1" thickTop="1" thickBot="1" x14ac:dyDescent="0.3">
      <c r="A362" s="74" t="s">
        <v>111</v>
      </c>
      <c r="B362" s="25" t="s">
        <v>10</v>
      </c>
      <c r="C362" s="8" t="s">
        <v>0</v>
      </c>
      <c r="D362" s="7" t="s">
        <v>79</v>
      </c>
      <c r="E362" s="9" t="s">
        <v>63</v>
      </c>
      <c r="F362" s="10">
        <v>22</v>
      </c>
      <c r="G362" s="11" t="s">
        <v>24</v>
      </c>
      <c r="H362" s="7" t="s">
        <v>83</v>
      </c>
      <c r="I362" s="11" t="s">
        <v>96</v>
      </c>
      <c r="J362" s="11" t="s">
        <v>80</v>
      </c>
      <c r="K362" s="12">
        <v>1500</v>
      </c>
      <c r="L362" s="12">
        <v>1500</v>
      </c>
      <c r="M362" s="12">
        <v>0</v>
      </c>
      <c r="N362" s="12">
        <v>0</v>
      </c>
      <c r="O362" s="12">
        <v>1500</v>
      </c>
      <c r="P362" s="29">
        <v>12</v>
      </c>
    </row>
    <row r="363" spans="1:16" s="85" customFormat="1" ht="16.5" hidden="1" thickTop="1" thickBot="1" x14ac:dyDescent="0.3">
      <c r="A363" s="74" t="s">
        <v>111</v>
      </c>
      <c r="B363" s="25" t="s">
        <v>5</v>
      </c>
      <c r="C363" s="8" t="s">
        <v>25</v>
      </c>
      <c r="D363" s="7" t="s">
        <v>79</v>
      </c>
      <c r="E363" s="9" t="s">
        <v>63</v>
      </c>
      <c r="F363" s="10">
        <v>5</v>
      </c>
      <c r="G363" s="11" t="s">
        <v>26</v>
      </c>
      <c r="H363" s="7" t="s">
        <v>83</v>
      </c>
      <c r="I363" s="11" t="s">
        <v>7</v>
      </c>
      <c r="J363" s="11" t="s">
        <v>80</v>
      </c>
      <c r="K363" s="12">
        <v>21868.658146266753</v>
      </c>
      <c r="L363" s="12">
        <f t="shared" ref="L363:L368" si="38">K363</f>
        <v>21868.658146266753</v>
      </c>
      <c r="M363" s="12">
        <v>0</v>
      </c>
      <c r="N363" s="12">
        <v>0</v>
      </c>
      <c r="O363" s="12">
        <v>20775</v>
      </c>
      <c r="P363" s="29">
        <v>28</v>
      </c>
    </row>
    <row r="364" spans="1:16" s="85" customFormat="1" ht="16.5" hidden="1" thickTop="1" thickBot="1" x14ac:dyDescent="0.3">
      <c r="A364" s="74" t="s">
        <v>111</v>
      </c>
      <c r="B364" s="25" t="s">
        <v>5</v>
      </c>
      <c r="C364" s="8" t="s">
        <v>25</v>
      </c>
      <c r="D364" s="7" t="s">
        <v>79</v>
      </c>
      <c r="E364" s="9" t="s">
        <v>63</v>
      </c>
      <c r="F364" s="10">
        <v>5</v>
      </c>
      <c r="G364" s="11" t="s">
        <v>26</v>
      </c>
      <c r="H364" s="7" t="s">
        <v>83</v>
      </c>
      <c r="I364" s="11" t="s">
        <v>9</v>
      </c>
      <c r="J364" s="11" t="s">
        <v>80</v>
      </c>
      <c r="K364" s="12">
        <v>4791.7362231179995</v>
      </c>
      <c r="L364" s="12">
        <f t="shared" si="38"/>
        <v>4791.7362231179995</v>
      </c>
      <c r="M364" s="12">
        <v>0</v>
      </c>
      <c r="N364" s="12">
        <v>0</v>
      </c>
      <c r="O364" s="12">
        <v>4552.1499999999996</v>
      </c>
      <c r="P364" s="29">
        <v>28</v>
      </c>
    </row>
    <row r="365" spans="1:16" s="85" customFormat="1" ht="16.5" hidden="1" thickTop="1" thickBot="1" x14ac:dyDescent="0.3">
      <c r="A365" s="74" t="s">
        <v>111</v>
      </c>
      <c r="B365" s="25" t="s">
        <v>5</v>
      </c>
      <c r="C365" s="8" t="s">
        <v>25</v>
      </c>
      <c r="D365" s="7" t="s">
        <v>79</v>
      </c>
      <c r="E365" s="9" t="s">
        <v>63</v>
      </c>
      <c r="F365" s="10">
        <v>5</v>
      </c>
      <c r="G365" s="11" t="s">
        <v>27</v>
      </c>
      <c r="H365" s="7" t="s">
        <v>83</v>
      </c>
      <c r="I365" s="11" t="s">
        <v>141</v>
      </c>
      <c r="J365" s="11" t="s">
        <v>80</v>
      </c>
      <c r="K365" s="12">
        <v>6193.06</v>
      </c>
      <c r="L365" s="12">
        <f t="shared" si="38"/>
        <v>6193.06</v>
      </c>
      <c r="M365" s="12">
        <v>0</v>
      </c>
      <c r="N365" s="12">
        <v>0</v>
      </c>
      <c r="O365" s="12">
        <v>5883.41</v>
      </c>
      <c r="P365" s="29">
        <v>28</v>
      </c>
    </row>
    <row r="366" spans="1:16" s="85" customFormat="1" ht="16.5" hidden="1" thickTop="1" thickBot="1" x14ac:dyDescent="0.3">
      <c r="A366" s="74" t="s">
        <v>111</v>
      </c>
      <c r="B366" s="25" t="s">
        <v>5</v>
      </c>
      <c r="C366" s="8" t="s">
        <v>25</v>
      </c>
      <c r="D366" s="7" t="s">
        <v>79</v>
      </c>
      <c r="E366" s="9" t="s">
        <v>63</v>
      </c>
      <c r="F366" s="10">
        <v>5</v>
      </c>
      <c r="G366" s="11" t="s">
        <v>27</v>
      </c>
      <c r="H366" s="7" t="s">
        <v>83</v>
      </c>
      <c r="I366" s="11" t="s">
        <v>7</v>
      </c>
      <c r="J366" s="11" t="s">
        <v>80</v>
      </c>
      <c r="K366" s="12">
        <v>21868.658146266745</v>
      </c>
      <c r="L366" s="12">
        <f t="shared" si="38"/>
        <v>21868.658146266745</v>
      </c>
      <c r="M366" s="12">
        <v>0</v>
      </c>
      <c r="N366" s="12">
        <v>0</v>
      </c>
      <c r="O366" s="12">
        <v>20775</v>
      </c>
      <c r="P366" s="29">
        <v>28</v>
      </c>
    </row>
    <row r="367" spans="1:16" s="85" customFormat="1" ht="16.5" hidden="1" thickTop="1" thickBot="1" x14ac:dyDescent="0.3">
      <c r="A367" s="74" t="s">
        <v>111</v>
      </c>
      <c r="B367" s="25" t="s">
        <v>5</v>
      </c>
      <c r="C367" s="8" t="s">
        <v>25</v>
      </c>
      <c r="D367" s="7" t="s">
        <v>79</v>
      </c>
      <c r="E367" s="9" t="s">
        <v>63</v>
      </c>
      <c r="F367" s="10">
        <v>5</v>
      </c>
      <c r="G367" s="11" t="s">
        <v>27</v>
      </c>
      <c r="H367" s="7" t="s">
        <v>83</v>
      </c>
      <c r="I367" s="11" t="s">
        <v>9</v>
      </c>
      <c r="J367" s="11" t="s">
        <v>80</v>
      </c>
      <c r="K367" s="12">
        <v>4791.7362231179995</v>
      </c>
      <c r="L367" s="12">
        <f t="shared" si="38"/>
        <v>4791.7362231179995</v>
      </c>
      <c r="M367" s="12">
        <v>0</v>
      </c>
      <c r="N367" s="12">
        <v>0</v>
      </c>
      <c r="O367" s="12">
        <v>4552.1499999999996</v>
      </c>
      <c r="P367" s="29">
        <v>28</v>
      </c>
    </row>
    <row r="368" spans="1:16" s="85" customFormat="1" ht="16.5" hidden="1" thickTop="1" thickBot="1" x14ac:dyDescent="0.3">
      <c r="A368" s="74" t="s">
        <v>111</v>
      </c>
      <c r="B368" s="25" t="s">
        <v>5</v>
      </c>
      <c r="C368" s="8" t="s">
        <v>25</v>
      </c>
      <c r="D368" s="7" t="s">
        <v>79</v>
      </c>
      <c r="E368" s="9" t="s">
        <v>63</v>
      </c>
      <c r="F368" s="10">
        <v>5</v>
      </c>
      <c r="G368" s="11" t="s">
        <v>27</v>
      </c>
      <c r="H368" s="7" t="s">
        <v>83</v>
      </c>
      <c r="I368" s="11" t="s">
        <v>113</v>
      </c>
      <c r="J368" s="11" t="s">
        <v>80</v>
      </c>
      <c r="K368" s="12">
        <v>2015.0660041200001</v>
      </c>
      <c r="L368" s="12">
        <f t="shared" si="38"/>
        <v>2015.0660041200001</v>
      </c>
      <c r="M368" s="12">
        <v>0</v>
      </c>
      <c r="N368" s="12">
        <v>0</v>
      </c>
      <c r="O368" s="12">
        <v>1914</v>
      </c>
      <c r="P368" s="29">
        <v>28</v>
      </c>
    </row>
    <row r="369" spans="1:16" s="85" customFormat="1" ht="16.5" hidden="1" thickTop="1" thickBot="1" x14ac:dyDescent="0.3">
      <c r="A369" s="74" t="s">
        <v>111</v>
      </c>
      <c r="B369" s="25" t="s">
        <v>11</v>
      </c>
      <c r="C369" s="8" t="s">
        <v>25</v>
      </c>
      <c r="D369" s="7" t="s">
        <v>79</v>
      </c>
      <c r="E369" s="9" t="s">
        <v>63</v>
      </c>
      <c r="F369" s="10">
        <v>20</v>
      </c>
      <c r="G369" s="11" t="s">
        <v>29</v>
      </c>
      <c r="H369" s="7" t="s">
        <v>83</v>
      </c>
      <c r="I369" s="11" t="s">
        <v>30</v>
      </c>
      <c r="J369" s="11" t="s">
        <v>80</v>
      </c>
      <c r="K369" s="12">
        <v>530</v>
      </c>
      <c r="L369" s="12">
        <v>530</v>
      </c>
      <c r="M369" s="12">
        <v>0</v>
      </c>
      <c r="N369" s="12">
        <v>25</v>
      </c>
      <c r="O369" s="12">
        <v>475</v>
      </c>
      <c r="P369" s="29">
        <v>10</v>
      </c>
    </row>
    <row r="370" spans="1:16" s="85" customFormat="1" ht="16.5" hidden="1" thickTop="1" thickBot="1" x14ac:dyDescent="0.3">
      <c r="A370" s="74" t="s">
        <v>111</v>
      </c>
      <c r="B370" s="25" t="s">
        <v>22</v>
      </c>
      <c r="C370" s="8" t="s">
        <v>25</v>
      </c>
      <c r="D370" s="7" t="s">
        <v>79</v>
      </c>
      <c r="E370" s="9" t="s">
        <v>63</v>
      </c>
      <c r="F370" s="10">
        <v>20</v>
      </c>
      <c r="G370" s="11" t="s">
        <v>29</v>
      </c>
      <c r="H370" s="7" t="s">
        <v>83</v>
      </c>
      <c r="I370" s="11" t="s">
        <v>9</v>
      </c>
      <c r="J370" s="11" t="s">
        <v>80</v>
      </c>
      <c r="K370" s="12">
        <v>8124.51</v>
      </c>
      <c r="L370" s="12">
        <f>K370</f>
        <v>8124.51</v>
      </c>
      <c r="M370" s="12">
        <v>0</v>
      </c>
      <c r="N370" s="12">
        <v>0</v>
      </c>
      <c r="O370" s="12">
        <v>2240.7039719999998</v>
      </c>
      <c r="P370" s="29">
        <v>10</v>
      </c>
    </row>
    <row r="371" spans="1:16" s="85" customFormat="1" ht="16.5" hidden="1" thickTop="1" thickBot="1" x14ac:dyDescent="0.3">
      <c r="A371" s="74" t="s">
        <v>111</v>
      </c>
      <c r="B371" s="25" t="s">
        <v>22</v>
      </c>
      <c r="C371" s="8" t="s">
        <v>25</v>
      </c>
      <c r="D371" s="7" t="s">
        <v>79</v>
      </c>
      <c r="E371" s="9" t="s">
        <v>63</v>
      </c>
      <c r="F371" s="10">
        <v>20</v>
      </c>
      <c r="G371" s="13" t="s">
        <v>31</v>
      </c>
      <c r="H371" s="7" t="s">
        <v>83</v>
      </c>
      <c r="I371" s="11" t="s">
        <v>7</v>
      </c>
      <c r="J371" s="11" t="s">
        <v>80</v>
      </c>
      <c r="K371" s="12">
        <v>19669</v>
      </c>
      <c r="L371" s="12">
        <v>19669</v>
      </c>
      <c r="M371" s="12">
        <v>0</v>
      </c>
      <c r="N371" s="12">
        <v>0</v>
      </c>
      <c r="O371" s="12">
        <v>19669</v>
      </c>
      <c r="P371" s="29">
        <v>30</v>
      </c>
    </row>
    <row r="372" spans="1:16" s="85" customFormat="1" ht="16.5" hidden="1" thickTop="1" thickBot="1" x14ac:dyDescent="0.3">
      <c r="A372" s="74" t="s">
        <v>111</v>
      </c>
      <c r="B372" s="25" t="s">
        <v>5</v>
      </c>
      <c r="C372" s="8" t="s">
        <v>25</v>
      </c>
      <c r="D372" s="7" t="s">
        <v>79</v>
      </c>
      <c r="E372" s="9" t="s">
        <v>63</v>
      </c>
      <c r="F372" s="10">
        <v>20</v>
      </c>
      <c r="G372" s="11" t="s">
        <v>32</v>
      </c>
      <c r="H372" s="7" t="s">
        <v>83</v>
      </c>
      <c r="I372" s="11" t="s">
        <v>7</v>
      </c>
      <c r="J372" s="11" t="s">
        <v>80</v>
      </c>
      <c r="K372" s="12">
        <v>21216.65</v>
      </c>
      <c r="L372" s="12">
        <v>21216.65</v>
      </c>
      <c r="M372" s="12">
        <v>0</v>
      </c>
      <c r="N372" s="12">
        <v>1008.00076721625</v>
      </c>
      <c r="O372" s="12">
        <v>20208.649232783751</v>
      </c>
      <c r="P372" s="29">
        <v>10</v>
      </c>
    </row>
    <row r="373" spans="1:16" s="85" customFormat="1" ht="16.5" hidden="1" thickTop="1" thickBot="1" x14ac:dyDescent="0.3">
      <c r="A373" s="74" t="s">
        <v>111</v>
      </c>
      <c r="B373" s="25" t="s">
        <v>5</v>
      </c>
      <c r="C373" s="8" t="s">
        <v>25</v>
      </c>
      <c r="D373" s="7" t="s">
        <v>79</v>
      </c>
      <c r="E373" s="9" t="s">
        <v>63</v>
      </c>
      <c r="F373" s="10">
        <v>20</v>
      </c>
      <c r="G373" s="11" t="s">
        <v>32</v>
      </c>
      <c r="H373" s="7" t="s">
        <v>83</v>
      </c>
      <c r="I373" s="11" t="s">
        <v>97</v>
      </c>
      <c r="J373" s="11" t="s">
        <v>80</v>
      </c>
      <c r="K373" s="12">
        <v>10578.83</v>
      </c>
      <c r="L373" s="12">
        <v>10578.83</v>
      </c>
      <c r="M373" s="12">
        <v>0</v>
      </c>
      <c r="N373" s="12">
        <v>502.66571759999999</v>
      </c>
      <c r="O373" s="12">
        <v>10076.164282399999</v>
      </c>
      <c r="P373" s="29">
        <v>10</v>
      </c>
    </row>
    <row r="374" spans="1:16" s="85" customFormat="1" ht="16.5" hidden="1" thickTop="1" thickBot="1" x14ac:dyDescent="0.3">
      <c r="A374" s="74" t="s">
        <v>111</v>
      </c>
      <c r="B374" s="25" t="s">
        <v>11</v>
      </c>
      <c r="C374" s="8" t="s">
        <v>25</v>
      </c>
      <c r="D374" s="7" t="s">
        <v>79</v>
      </c>
      <c r="E374" s="9" t="s">
        <v>63</v>
      </c>
      <c r="F374" s="10">
        <v>20</v>
      </c>
      <c r="G374" s="11" t="s">
        <v>32</v>
      </c>
      <c r="H374" s="7" t="s">
        <v>83</v>
      </c>
      <c r="I374" s="11" t="s">
        <v>30</v>
      </c>
      <c r="J374" s="11" t="s">
        <v>80</v>
      </c>
      <c r="K374" s="12">
        <v>230</v>
      </c>
      <c r="L374" s="12">
        <v>230</v>
      </c>
      <c r="M374" s="12">
        <v>0</v>
      </c>
      <c r="N374" s="12">
        <v>10</v>
      </c>
      <c r="O374" s="12">
        <v>190</v>
      </c>
      <c r="P374" s="29">
        <v>10</v>
      </c>
    </row>
    <row r="375" spans="1:16" s="85" customFormat="1" ht="16.5" hidden="1" thickTop="1" thickBot="1" x14ac:dyDescent="0.3">
      <c r="A375" s="74" t="s">
        <v>111</v>
      </c>
      <c r="B375" s="25" t="s">
        <v>5</v>
      </c>
      <c r="C375" s="8" t="s">
        <v>25</v>
      </c>
      <c r="D375" s="7" t="s">
        <v>79</v>
      </c>
      <c r="E375" s="9" t="s">
        <v>63</v>
      </c>
      <c r="F375" s="10">
        <v>20</v>
      </c>
      <c r="G375" s="11" t="s">
        <v>146</v>
      </c>
      <c r="H375" s="7" t="s">
        <v>83</v>
      </c>
      <c r="I375" s="11" t="s">
        <v>145</v>
      </c>
      <c r="J375" s="11" t="s">
        <v>80</v>
      </c>
      <c r="K375" s="12">
        <v>10637.82</v>
      </c>
      <c r="L375" s="12">
        <v>10637.82</v>
      </c>
      <c r="M375" s="12">
        <v>0</v>
      </c>
      <c r="N375" s="12">
        <v>505.32979499999999</v>
      </c>
      <c r="O375" s="12">
        <v>10132.490205</v>
      </c>
      <c r="P375" s="29">
        <v>10</v>
      </c>
    </row>
    <row r="376" spans="1:16" s="85" customFormat="1" ht="16.5" hidden="1" thickTop="1" thickBot="1" x14ac:dyDescent="0.3">
      <c r="A376" s="74" t="s">
        <v>111</v>
      </c>
      <c r="B376" s="25" t="s">
        <v>5</v>
      </c>
      <c r="C376" s="8" t="s">
        <v>25</v>
      </c>
      <c r="D376" s="7" t="s">
        <v>79</v>
      </c>
      <c r="E376" s="9" t="s">
        <v>63</v>
      </c>
      <c r="F376" s="10">
        <v>20</v>
      </c>
      <c r="G376" s="11" t="s">
        <v>146</v>
      </c>
      <c r="H376" s="7" t="s">
        <v>83</v>
      </c>
      <c r="I376" s="11" t="s">
        <v>7</v>
      </c>
      <c r="J376" s="11" t="s">
        <v>80</v>
      </c>
      <c r="K376" s="12">
        <v>10048.870000000001</v>
      </c>
      <c r="L376" s="12">
        <v>10048.870000000001</v>
      </c>
      <c r="M376" s="12">
        <v>0</v>
      </c>
      <c r="N376" s="12">
        <v>481.34</v>
      </c>
      <c r="O376" s="12">
        <v>9567.5300000000007</v>
      </c>
      <c r="P376" s="29">
        <v>10</v>
      </c>
    </row>
    <row r="377" spans="1:16" s="85" customFormat="1" ht="16.5" hidden="1" thickTop="1" thickBot="1" x14ac:dyDescent="0.3">
      <c r="A377" s="74" t="s">
        <v>111</v>
      </c>
      <c r="B377" s="25" t="s">
        <v>5</v>
      </c>
      <c r="C377" s="8" t="s">
        <v>25</v>
      </c>
      <c r="D377" s="7" t="s">
        <v>79</v>
      </c>
      <c r="E377" s="9" t="s">
        <v>63</v>
      </c>
      <c r="F377" s="10">
        <v>20</v>
      </c>
      <c r="G377" s="11" t="s">
        <v>32</v>
      </c>
      <c r="H377" s="7" t="s">
        <v>83</v>
      </c>
      <c r="I377" s="11" t="s">
        <v>98</v>
      </c>
      <c r="J377" s="11" t="s">
        <v>80</v>
      </c>
      <c r="K377" s="12">
        <v>14293.174999999999</v>
      </c>
      <c r="L377" s="12">
        <v>14293.174999999999</v>
      </c>
      <c r="M377" s="12">
        <v>0</v>
      </c>
      <c r="N377" s="12">
        <v>646.75</v>
      </c>
      <c r="O377" s="12">
        <v>13646.424999999999</v>
      </c>
      <c r="P377" s="29">
        <v>10</v>
      </c>
    </row>
    <row r="378" spans="1:16" s="85" customFormat="1" ht="16.5" hidden="1" thickTop="1" thickBot="1" x14ac:dyDescent="0.3">
      <c r="A378" s="74" t="s">
        <v>111</v>
      </c>
      <c r="B378" s="25" t="s">
        <v>10</v>
      </c>
      <c r="C378" s="8" t="s">
        <v>25</v>
      </c>
      <c r="D378" s="7" t="s">
        <v>79</v>
      </c>
      <c r="E378" s="9" t="s">
        <v>63</v>
      </c>
      <c r="F378" s="10">
        <v>20</v>
      </c>
      <c r="G378" s="11" t="s">
        <v>32</v>
      </c>
      <c r="H378" s="7" t="s">
        <v>83</v>
      </c>
      <c r="I378" s="11" t="s">
        <v>96</v>
      </c>
      <c r="J378" s="11" t="s">
        <v>80</v>
      </c>
      <c r="K378" s="12">
        <v>2000</v>
      </c>
      <c r="L378" s="12">
        <v>2000</v>
      </c>
      <c r="M378" s="12">
        <v>0</v>
      </c>
      <c r="N378" s="12">
        <v>0</v>
      </c>
      <c r="O378" s="12">
        <v>2000</v>
      </c>
      <c r="P378" s="29">
        <v>10</v>
      </c>
    </row>
    <row r="379" spans="1:16" s="85" customFormat="1" ht="16.5" hidden="1" thickTop="1" thickBot="1" x14ac:dyDescent="0.3">
      <c r="A379" s="74" t="s">
        <v>111</v>
      </c>
      <c r="B379" s="25" t="s">
        <v>11</v>
      </c>
      <c r="C379" s="8" t="s">
        <v>25</v>
      </c>
      <c r="D379" s="7" t="s">
        <v>79</v>
      </c>
      <c r="E379" s="9" t="s">
        <v>63</v>
      </c>
      <c r="F379" s="10">
        <v>15</v>
      </c>
      <c r="G379" s="11" t="s">
        <v>33</v>
      </c>
      <c r="H379" s="7" t="s">
        <v>83</v>
      </c>
      <c r="I379" s="11" t="s">
        <v>7</v>
      </c>
      <c r="J379" s="11" t="s">
        <v>80</v>
      </c>
      <c r="K379" s="12">
        <v>22528.080000000002</v>
      </c>
      <c r="L379" s="12">
        <f>K379</f>
        <v>22528.080000000002</v>
      </c>
      <c r="M379" s="12">
        <v>0</v>
      </c>
      <c r="N379" s="12">
        <f>L379*14%</f>
        <v>3153.9312000000004</v>
      </c>
      <c r="O379" s="12">
        <v>19914</v>
      </c>
      <c r="P379" s="29">
        <v>30</v>
      </c>
    </row>
    <row r="380" spans="1:16" s="101" customFormat="1" ht="16.5" hidden="1" thickTop="1" thickBot="1" x14ac:dyDescent="0.3">
      <c r="A380" s="74" t="s">
        <v>111</v>
      </c>
      <c r="B380" s="92" t="s">
        <v>22</v>
      </c>
      <c r="C380" s="93" t="s">
        <v>25</v>
      </c>
      <c r="D380" s="94" t="s">
        <v>79</v>
      </c>
      <c r="E380" s="95" t="s">
        <v>63</v>
      </c>
      <c r="F380" s="96">
        <v>15</v>
      </c>
      <c r="G380" s="97" t="s">
        <v>120</v>
      </c>
      <c r="H380" s="94" t="s">
        <v>83</v>
      </c>
      <c r="I380" s="97" t="s">
        <v>9</v>
      </c>
      <c r="J380" s="97" t="s">
        <v>80</v>
      </c>
      <c r="K380" s="98">
        <v>4285.72</v>
      </c>
      <c r="L380" s="99">
        <f>K380</f>
        <v>4285.72</v>
      </c>
      <c r="M380" s="99">
        <v>0</v>
      </c>
      <c r="N380" s="99">
        <v>0</v>
      </c>
      <c r="O380" s="99">
        <f>L380</f>
        <v>4285.72</v>
      </c>
      <c r="P380" s="100">
        <v>30</v>
      </c>
    </row>
    <row r="381" spans="1:16" s="101" customFormat="1" ht="16.5" hidden="1" thickTop="1" thickBot="1" x14ac:dyDescent="0.3">
      <c r="A381" s="74" t="s">
        <v>111</v>
      </c>
      <c r="B381" s="92" t="s">
        <v>22</v>
      </c>
      <c r="C381" s="93" t="s">
        <v>25</v>
      </c>
      <c r="D381" s="94" t="s">
        <v>79</v>
      </c>
      <c r="E381" s="95" t="s">
        <v>63</v>
      </c>
      <c r="F381" s="96">
        <v>15</v>
      </c>
      <c r="G381" s="97" t="s">
        <v>33</v>
      </c>
      <c r="H381" s="94" t="s">
        <v>83</v>
      </c>
      <c r="I381" s="97" t="s">
        <v>9</v>
      </c>
      <c r="J381" s="97" t="s">
        <v>80</v>
      </c>
      <c r="K381" s="98">
        <v>8571.4500000000007</v>
      </c>
      <c r="L381" s="99">
        <v>8571.4500000000007</v>
      </c>
      <c r="M381" s="99">
        <v>0</v>
      </c>
      <c r="N381" s="99">
        <v>0</v>
      </c>
      <c r="O381" s="99">
        <v>8573.4076999999997</v>
      </c>
      <c r="P381" s="100">
        <v>30</v>
      </c>
    </row>
    <row r="382" spans="1:16" s="85" customFormat="1" ht="16.5" hidden="1" thickTop="1" thickBot="1" x14ac:dyDescent="0.3">
      <c r="A382" s="74" t="s">
        <v>111</v>
      </c>
      <c r="B382" s="25" t="s">
        <v>11</v>
      </c>
      <c r="C382" s="8" t="s">
        <v>25</v>
      </c>
      <c r="D382" s="7" t="s">
        <v>79</v>
      </c>
      <c r="E382" s="9" t="s">
        <v>63</v>
      </c>
      <c r="F382" s="10">
        <v>15</v>
      </c>
      <c r="G382" s="11" t="s">
        <v>33</v>
      </c>
      <c r="H382" s="7" t="s">
        <v>83</v>
      </c>
      <c r="I382" s="11" t="s">
        <v>30</v>
      </c>
      <c r="J382" s="11" t="s">
        <v>80</v>
      </c>
      <c r="K382" s="12">
        <v>200</v>
      </c>
      <c r="L382" s="12">
        <v>200</v>
      </c>
      <c r="M382" s="12">
        <v>0</v>
      </c>
      <c r="N382" s="12">
        <v>10</v>
      </c>
      <c r="O382" s="12">
        <v>190</v>
      </c>
      <c r="P382" s="29">
        <v>30</v>
      </c>
    </row>
    <row r="383" spans="1:16" s="85" customFormat="1" ht="16.5" hidden="1" thickTop="1" thickBot="1" x14ac:dyDescent="0.3">
      <c r="A383" s="74" t="s">
        <v>111</v>
      </c>
      <c r="B383" s="25" t="s">
        <v>22</v>
      </c>
      <c r="C383" s="8" t="s">
        <v>60</v>
      </c>
      <c r="D383" s="7" t="s">
        <v>79</v>
      </c>
      <c r="E383" s="9" t="s">
        <v>63</v>
      </c>
      <c r="F383" s="10">
        <v>1</v>
      </c>
      <c r="G383" s="11" t="s">
        <v>34</v>
      </c>
      <c r="H383" s="7" t="s">
        <v>87</v>
      </c>
      <c r="I383" s="11" t="s">
        <v>20</v>
      </c>
      <c r="J383" s="11" t="s">
        <v>105</v>
      </c>
      <c r="K383" s="12">
        <v>40851.191603430001</v>
      </c>
      <c r="L383" s="12">
        <v>24510.714962057998</v>
      </c>
      <c r="M383" s="12">
        <v>16340.476641372001</v>
      </c>
      <c r="N383" s="12">
        <v>0</v>
      </c>
      <c r="O383" s="12">
        <v>40851.191603430001</v>
      </c>
      <c r="P383" s="29">
        <v>30</v>
      </c>
    </row>
    <row r="384" spans="1:16" s="85" customFormat="1" ht="16.5" hidden="1" thickTop="1" thickBot="1" x14ac:dyDescent="0.3">
      <c r="A384" s="74" t="s">
        <v>111</v>
      </c>
      <c r="B384" s="25" t="s">
        <v>22</v>
      </c>
      <c r="C384" s="8" t="s">
        <v>60</v>
      </c>
      <c r="D384" s="7" t="s">
        <v>79</v>
      </c>
      <c r="E384" s="9" t="s">
        <v>63</v>
      </c>
      <c r="F384" s="10">
        <v>1</v>
      </c>
      <c r="G384" s="11" t="s">
        <v>34</v>
      </c>
      <c r="H384" s="7" t="s">
        <v>87</v>
      </c>
      <c r="I384" s="11" t="s">
        <v>9</v>
      </c>
      <c r="J384" s="11" t="s">
        <v>105</v>
      </c>
      <c r="K384" s="12">
        <v>33354.561456449999</v>
      </c>
      <c r="L384" s="12">
        <v>20012.736873869999</v>
      </c>
      <c r="M384" s="12">
        <v>13341.82458258</v>
      </c>
      <c r="N384" s="12">
        <v>0</v>
      </c>
      <c r="O384" s="12">
        <v>33354.561456449999</v>
      </c>
      <c r="P384" s="29">
        <v>30</v>
      </c>
    </row>
    <row r="385" spans="1:16" s="85" customFormat="1" ht="16.5" hidden="1" thickTop="1" thickBot="1" x14ac:dyDescent="0.3">
      <c r="A385" s="74" t="s">
        <v>111</v>
      </c>
      <c r="B385" s="25" t="s">
        <v>22</v>
      </c>
      <c r="C385" s="8" t="s">
        <v>60</v>
      </c>
      <c r="D385" s="7" t="s">
        <v>79</v>
      </c>
      <c r="E385" s="9" t="s">
        <v>63</v>
      </c>
      <c r="F385" s="10">
        <v>1</v>
      </c>
      <c r="G385" s="11" t="s">
        <v>35</v>
      </c>
      <c r="H385" s="7" t="s">
        <v>83</v>
      </c>
      <c r="I385" s="11" t="s">
        <v>9</v>
      </c>
      <c r="J385" s="11" t="s">
        <v>105</v>
      </c>
      <c r="K385" s="12">
        <v>23847.740911214998</v>
      </c>
      <c r="L385" s="12">
        <v>14308.644546728998</v>
      </c>
      <c r="M385" s="12">
        <v>9539.0963644860003</v>
      </c>
      <c r="N385" s="12">
        <v>0</v>
      </c>
      <c r="O385" s="12">
        <v>23847.740911214998</v>
      </c>
      <c r="P385" s="29">
        <v>30</v>
      </c>
    </row>
    <row r="386" spans="1:16" s="85" customFormat="1" ht="16.5" hidden="1" thickTop="1" thickBot="1" x14ac:dyDescent="0.3">
      <c r="A386" s="74" t="s">
        <v>111</v>
      </c>
      <c r="B386" s="25" t="s">
        <v>22</v>
      </c>
      <c r="C386" s="8" t="s">
        <v>60</v>
      </c>
      <c r="D386" s="7" t="s">
        <v>79</v>
      </c>
      <c r="E386" s="9" t="s">
        <v>63</v>
      </c>
      <c r="F386" s="10">
        <v>1</v>
      </c>
      <c r="G386" s="11" t="s">
        <v>36</v>
      </c>
      <c r="H386" s="7" t="s">
        <v>89</v>
      </c>
      <c r="I386" s="11" t="s">
        <v>20</v>
      </c>
      <c r="J386" s="11" t="s">
        <v>105</v>
      </c>
      <c r="K386" s="12">
        <v>40851.191603430001</v>
      </c>
      <c r="L386" s="12">
        <v>24510.714962057998</v>
      </c>
      <c r="M386" s="12">
        <v>16340.476641372001</v>
      </c>
      <c r="N386" s="12">
        <v>0</v>
      </c>
      <c r="O386" s="12">
        <v>40851.191603430001</v>
      </c>
      <c r="P386" s="29">
        <v>30</v>
      </c>
    </row>
    <row r="387" spans="1:16" s="85" customFormat="1" ht="16.5" hidden="1" thickTop="1" thickBot="1" x14ac:dyDescent="0.3">
      <c r="A387" s="74" t="s">
        <v>111</v>
      </c>
      <c r="B387" s="25" t="s">
        <v>22</v>
      </c>
      <c r="C387" s="8" t="s">
        <v>60</v>
      </c>
      <c r="D387" s="7" t="s">
        <v>79</v>
      </c>
      <c r="E387" s="9" t="s">
        <v>63</v>
      </c>
      <c r="F387" s="10">
        <v>1</v>
      </c>
      <c r="G387" s="11" t="s">
        <v>36</v>
      </c>
      <c r="H387" s="7" t="s">
        <v>89</v>
      </c>
      <c r="I387" s="11" t="s">
        <v>9</v>
      </c>
      <c r="J387" s="11" t="s">
        <v>105</v>
      </c>
      <c r="K387" s="12">
        <v>33354.561456449999</v>
      </c>
      <c r="L387" s="12">
        <v>20012.736873869999</v>
      </c>
      <c r="M387" s="12">
        <v>13341.82458258</v>
      </c>
      <c r="N387" s="12">
        <v>0</v>
      </c>
      <c r="O387" s="12">
        <v>33354.561456449999</v>
      </c>
      <c r="P387" s="29">
        <v>30</v>
      </c>
    </row>
    <row r="388" spans="1:16" s="85" customFormat="1" ht="16.5" hidden="1" thickTop="1" thickBot="1" x14ac:dyDescent="0.3">
      <c r="A388" s="74" t="s">
        <v>111</v>
      </c>
      <c r="B388" s="25" t="s">
        <v>22</v>
      </c>
      <c r="C388" s="8" t="s">
        <v>60</v>
      </c>
      <c r="D388" s="7" t="s">
        <v>79</v>
      </c>
      <c r="E388" s="9" t="s">
        <v>63</v>
      </c>
      <c r="F388" s="10">
        <v>1</v>
      </c>
      <c r="G388" s="11" t="s">
        <v>37</v>
      </c>
      <c r="H388" s="7" t="s">
        <v>85</v>
      </c>
      <c r="I388" s="11" t="s">
        <v>9</v>
      </c>
      <c r="J388" s="11" t="s">
        <v>105</v>
      </c>
      <c r="K388" s="12">
        <v>14308.64685198</v>
      </c>
      <c r="L388" s="12">
        <v>8585.1881111879993</v>
      </c>
      <c r="M388" s="12">
        <v>5723.4587407920008</v>
      </c>
      <c r="N388" s="12">
        <v>0</v>
      </c>
      <c r="O388" s="12">
        <v>14308.64685198</v>
      </c>
      <c r="P388" s="29">
        <v>30</v>
      </c>
    </row>
    <row r="389" spans="1:16" s="85" customFormat="1" ht="16.5" hidden="1" thickTop="1" thickBot="1" x14ac:dyDescent="0.3">
      <c r="A389" s="74" t="s">
        <v>111</v>
      </c>
      <c r="B389" s="25" t="s">
        <v>22</v>
      </c>
      <c r="C389" s="8" t="s">
        <v>60</v>
      </c>
      <c r="D389" s="7" t="s">
        <v>79</v>
      </c>
      <c r="E389" s="9" t="s">
        <v>63</v>
      </c>
      <c r="F389" s="10">
        <v>1</v>
      </c>
      <c r="G389" s="11" t="s">
        <v>93</v>
      </c>
      <c r="H389" s="7" t="s">
        <v>85</v>
      </c>
      <c r="I389" s="11" t="s">
        <v>9</v>
      </c>
      <c r="J389" s="11" t="s">
        <v>105</v>
      </c>
      <c r="K389" s="12">
        <v>19078.18811847</v>
      </c>
      <c r="L389" s="12">
        <v>11446.912871081999</v>
      </c>
      <c r="M389" s="12">
        <v>7631.275247388</v>
      </c>
      <c r="N389" s="12">
        <v>0</v>
      </c>
      <c r="O389" s="12">
        <v>19078.18811847</v>
      </c>
      <c r="P389" s="29">
        <v>30</v>
      </c>
    </row>
    <row r="390" spans="1:16" s="85" customFormat="1" ht="16.5" hidden="1" thickTop="1" thickBot="1" x14ac:dyDescent="0.3">
      <c r="A390" s="74" t="s">
        <v>111</v>
      </c>
      <c r="B390" s="25" t="s">
        <v>22</v>
      </c>
      <c r="C390" s="8" t="s">
        <v>60</v>
      </c>
      <c r="D390" s="7" t="s">
        <v>79</v>
      </c>
      <c r="E390" s="9" t="s">
        <v>63</v>
      </c>
      <c r="F390" s="10">
        <v>1</v>
      </c>
      <c r="G390" s="11" t="s">
        <v>38</v>
      </c>
      <c r="H390" s="7" t="s">
        <v>85</v>
      </c>
      <c r="I390" s="11" t="s">
        <v>9</v>
      </c>
      <c r="J390" s="11" t="s">
        <v>105</v>
      </c>
      <c r="K390" s="12">
        <v>9539.0940592349998</v>
      </c>
      <c r="L390" s="12">
        <v>5723.4564355409993</v>
      </c>
      <c r="M390" s="12">
        <v>3815.637623694</v>
      </c>
      <c r="N390" s="12">
        <v>0</v>
      </c>
      <c r="O390" s="12">
        <v>9539.0940592349998</v>
      </c>
      <c r="P390" s="29">
        <v>30</v>
      </c>
    </row>
    <row r="391" spans="1:16" s="85" customFormat="1" ht="16.5" hidden="1" thickTop="1" thickBot="1" x14ac:dyDescent="0.3">
      <c r="A391" s="74" t="s">
        <v>111</v>
      </c>
      <c r="B391" s="25" t="s">
        <v>11</v>
      </c>
      <c r="C391" s="8" t="s">
        <v>60</v>
      </c>
      <c r="D391" s="7" t="s">
        <v>79</v>
      </c>
      <c r="E391" s="9" t="s">
        <v>63</v>
      </c>
      <c r="F391" s="10">
        <v>20</v>
      </c>
      <c r="G391" s="11" t="s">
        <v>119</v>
      </c>
      <c r="H391" s="7" t="s">
        <v>85</v>
      </c>
      <c r="I391" s="11" t="s">
        <v>7</v>
      </c>
      <c r="J391" s="11" t="s">
        <v>103</v>
      </c>
      <c r="K391" s="12">
        <v>19006</v>
      </c>
      <c r="L391" s="12">
        <v>19006</v>
      </c>
      <c r="M391" s="12">
        <v>0</v>
      </c>
      <c r="N391" s="12">
        <f>L391*14%</f>
        <v>2660.84</v>
      </c>
      <c r="O391" s="12">
        <v>15965.04</v>
      </c>
      <c r="P391" s="29">
        <v>20</v>
      </c>
    </row>
    <row r="392" spans="1:16" s="85" customFormat="1" ht="16.5" hidden="1" thickTop="1" thickBot="1" x14ac:dyDescent="0.3">
      <c r="A392" s="74" t="s">
        <v>111</v>
      </c>
      <c r="B392" s="25" t="s">
        <v>13</v>
      </c>
      <c r="C392" s="8" t="s">
        <v>60</v>
      </c>
      <c r="D392" s="7" t="s">
        <v>79</v>
      </c>
      <c r="E392" s="9" t="s">
        <v>63</v>
      </c>
      <c r="F392" s="10">
        <v>20</v>
      </c>
      <c r="G392" s="11" t="s">
        <v>119</v>
      </c>
      <c r="H392" s="7" t="s">
        <v>85</v>
      </c>
      <c r="I392" s="11" t="s">
        <v>9</v>
      </c>
      <c r="J392" s="11" t="s">
        <v>103</v>
      </c>
      <c r="K392" s="12">
        <v>8619</v>
      </c>
      <c r="L392" s="12">
        <v>8619</v>
      </c>
      <c r="M392" s="12">
        <v>0</v>
      </c>
      <c r="N392" s="12">
        <f>L392*16%</f>
        <v>1379.04</v>
      </c>
      <c r="O392" s="12">
        <v>7239.96</v>
      </c>
      <c r="P392" s="29">
        <v>20</v>
      </c>
    </row>
    <row r="393" spans="1:16" s="85" customFormat="1" ht="16.5" hidden="1" thickTop="1" thickBot="1" x14ac:dyDescent="0.3">
      <c r="A393" s="74" t="s">
        <v>111</v>
      </c>
      <c r="B393" s="25" t="s">
        <v>10</v>
      </c>
      <c r="C393" s="8" t="s">
        <v>60</v>
      </c>
      <c r="D393" s="7" t="s">
        <v>79</v>
      </c>
      <c r="E393" s="9" t="s">
        <v>63</v>
      </c>
      <c r="F393" s="10">
        <v>20</v>
      </c>
      <c r="G393" s="11" t="s">
        <v>119</v>
      </c>
      <c r="H393" s="7" t="s">
        <v>85</v>
      </c>
      <c r="I393" s="11" t="s">
        <v>96</v>
      </c>
      <c r="J393" s="11" t="s">
        <v>103</v>
      </c>
      <c r="K393" s="12">
        <v>1785.7</v>
      </c>
      <c r="L393" s="12">
        <v>1785.7</v>
      </c>
      <c r="M393" s="12">
        <v>0</v>
      </c>
      <c r="N393" s="12">
        <v>0</v>
      </c>
      <c r="O393" s="12">
        <v>1785.7</v>
      </c>
      <c r="P393" s="29">
        <v>20</v>
      </c>
    </row>
    <row r="394" spans="1:16" s="85" customFormat="1" ht="16.5" hidden="1" thickTop="1" thickBot="1" x14ac:dyDescent="0.3">
      <c r="A394" s="74" t="s">
        <v>111</v>
      </c>
      <c r="B394" s="25" t="s">
        <v>11</v>
      </c>
      <c r="C394" s="8" t="s">
        <v>60</v>
      </c>
      <c r="D394" s="7" t="s">
        <v>79</v>
      </c>
      <c r="E394" s="9" t="s">
        <v>63</v>
      </c>
      <c r="F394" s="10">
        <v>20</v>
      </c>
      <c r="G394" s="11" t="s">
        <v>94</v>
      </c>
      <c r="H394" s="7" t="s">
        <v>86</v>
      </c>
      <c r="I394" s="11" t="s">
        <v>7</v>
      </c>
      <c r="J394" s="11" t="s">
        <v>103</v>
      </c>
      <c r="K394" s="12">
        <v>27367.535</v>
      </c>
      <c r="L394" s="12">
        <v>27367.535</v>
      </c>
      <c r="M394" s="12">
        <v>0</v>
      </c>
      <c r="N394" s="12">
        <f>L394*14%</f>
        <v>3831.4549000000002</v>
      </c>
      <c r="O394" s="12">
        <v>22988.7294</v>
      </c>
      <c r="P394" s="29">
        <v>20</v>
      </c>
    </row>
    <row r="395" spans="1:16" s="85" customFormat="1" ht="16.5" hidden="1" thickTop="1" thickBot="1" x14ac:dyDescent="0.3">
      <c r="A395" s="74" t="s">
        <v>111</v>
      </c>
      <c r="B395" s="25" t="s">
        <v>13</v>
      </c>
      <c r="C395" s="8" t="s">
        <v>60</v>
      </c>
      <c r="D395" s="7" t="s">
        <v>79</v>
      </c>
      <c r="E395" s="9" t="s">
        <v>63</v>
      </c>
      <c r="F395" s="10">
        <v>20</v>
      </c>
      <c r="G395" s="11" t="s">
        <v>94</v>
      </c>
      <c r="H395" s="7" t="s">
        <v>86</v>
      </c>
      <c r="I395" s="11" t="s">
        <v>9</v>
      </c>
      <c r="J395" s="11" t="s">
        <v>103</v>
      </c>
      <c r="K395" s="12">
        <v>17100.98</v>
      </c>
      <c r="L395" s="12">
        <v>17100.98</v>
      </c>
      <c r="M395" s="12">
        <v>0</v>
      </c>
      <c r="N395" s="12">
        <f>L395*16%</f>
        <v>2736.1568000000002</v>
      </c>
      <c r="O395" s="12">
        <v>14364.823199999999</v>
      </c>
      <c r="P395" s="29">
        <v>20</v>
      </c>
    </row>
    <row r="396" spans="1:16" s="85" customFormat="1" ht="16.5" hidden="1" thickTop="1" thickBot="1" x14ac:dyDescent="0.3">
      <c r="A396" s="74" t="s">
        <v>111</v>
      </c>
      <c r="B396" s="25" t="s">
        <v>22</v>
      </c>
      <c r="C396" s="8" t="s">
        <v>61</v>
      </c>
      <c r="D396" s="7" t="s">
        <v>79</v>
      </c>
      <c r="E396" s="9" t="s">
        <v>63</v>
      </c>
      <c r="F396" s="10">
        <v>20</v>
      </c>
      <c r="G396" s="13" t="s">
        <v>39</v>
      </c>
      <c r="H396" s="7" t="s">
        <v>83</v>
      </c>
      <c r="I396" s="11" t="s">
        <v>7</v>
      </c>
      <c r="J396" s="11" t="s">
        <v>80</v>
      </c>
      <c r="K396" s="12">
        <v>20673.5597797423</v>
      </c>
      <c r="L396" s="12">
        <v>12404.13586784538</v>
      </c>
      <c r="M396" s="12">
        <v>8269.4239118969199</v>
      </c>
      <c r="N396" s="12">
        <v>0</v>
      </c>
      <c r="O396" s="12">
        <v>20673.5597797423</v>
      </c>
      <c r="P396" s="29">
        <v>17</v>
      </c>
    </row>
    <row r="397" spans="1:16" s="85" customFormat="1" ht="16.5" hidden="1" thickTop="1" thickBot="1" x14ac:dyDescent="0.3">
      <c r="A397" s="74" t="s">
        <v>111</v>
      </c>
      <c r="B397" s="25" t="s">
        <v>11</v>
      </c>
      <c r="C397" s="8" t="s">
        <v>61</v>
      </c>
      <c r="D397" s="7" t="s">
        <v>79</v>
      </c>
      <c r="E397" s="9" t="s">
        <v>63</v>
      </c>
      <c r="F397" s="10">
        <v>20</v>
      </c>
      <c r="G397" s="13" t="s">
        <v>40</v>
      </c>
      <c r="H397" s="7" t="s">
        <v>83</v>
      </c>
      <c r="I397" s="14" t="s">
        <v>30</v>
      </c>
      <c r="J397" s="14" t="s">
        <v>107</v>
      </c>
      <c r="K397" s="12">
        <v>230</v>
      </c>
      <c r="L397" s="12">
        <v>230</v>
      </c>
      <c r="M397" s="12">
        <v>0</v>
      </c>
      <c r="N397" s="12">
        <v>10</v>
      </c>
      <c r="O397" s="12">
        <v>190</v>
      </c>
      <c r="P397" s="29">
        <v>10</v>
      </c>
    </row>
    <row r="398" spans="1:16" s="85" customFormat="1" ht="16.5" hidden="1" thickTop="1" thickBot="1" x14ac:dyDescent="0.3">
      <c r="A398" s="74" t="s">
        <v>111</v>
      </c>
      <c r="B398" s="25" t="s">
        <v>11</v>
      </c>
      <c r="C398" s="8" t="s">
        <v>61</v>
      </c>
      <c r="D398" s="7" t="s">
        <v>79</v>
      </c>
      <c r="E398" s="9" t="s">
        <v>63</v>
      </c>
      <c r="F398" s="10">
        <v>20</v>
      </c>
      <c r="G398" s="13" t="s">
        <v>41</v>
      </c>
      <c r="H398" s="7" t="s">
        <v>83</v>
      </c>
      <c r="I398" s="14" t="s">
        <v>30</v>
      </c>
      <c r="J398" s="11" t="s">
        <v>80</v>
      </c>
      <c r="K398" s="12">
        <v>630</v>
      </c>
      <c r="L398" s="12">
        <v>630</v>
      </c>
      <c r="M398" s="12">
        <v>0</v>
      </c>
      <c r="N398" s="12">
        <v>30</v>
      </c>
      <c r="O398" s="12">
        <v>570</v>
      </c>
      <c r="P398" s="29">
        <v>25</v>
      </c>
    </row>
    <row r="399" spans="1:16" s="85" customFormat="1" ht="16.5" hidden="1" thickTop="1" thickBot="1" x14ac:dyDescent="0.3">
      <c r="A399" s="74" t="s">
        <v>111</v>
      </c>
      <c r="B399" s="25" t="s">
        <v>22</v>
      </c>
      <c r="C399" s="8" t="s">
        <v>61</v>
      </c>
      <c r="D399" s="7" t="s">
        <v>79</v>
      </c>
      <c r="E399" s="9" t="s">
        <v>63</v>
      </c>
      <c r="F399" s="10">
        <v>20</v>
      </c>
      <c r="G399" s="13" t="s">
        <v>92</v>
      </c>
      <c r="H399" s="7" t="s">
        <v>83</v>
      </c>
      <c r="I399" s="11" t="s">
        <v>9</v>
      </c>
      <c r="J399" s="11" t="s">
        <v>80</v>
      </c>
      <c r="K399" s="12">
        <v>5071.55</v>
      </c>
      <c r="L399" s="12">
        <v>5071.55</v>
      </c>
      <c r="M399" s="12">
        <v>0</v>
      </c>
      <c r="N399" s="12">
        <v>0</v>
      </c>
      <c r="O399" s="12">
        <v>5071.55</v>
      </c>
      <c r="P399" s="29">
        <v>15</v>
      </c>
    </row>
    <row r="400" spans="1:16" s="85" customFormat="1" ht="16.5" hidden="1" thickTop="1" thickBot="1" x14ac:dyDescent="0.3">
      <c r="A400" s="74" t="s">
        <v>111</v>
      </c>
      <c r="B400" s="25" t="s">
        <v>11</v>
      </c>
      <c r="C400" s="8" t="s">
        <v>61</v>
      </c>
      <c r="D400" s="7" t="s">
        <v>79</v>
      </c>
      <c r="E400" s="9" t="s">
        <v>63</v>
      </c>
      <c r="F400" s="10">
        <v>20</v>
      </c>
      <c r="G400" s="13" t="s">
        <v>43</v>
      </c>
      <c r="H400" s="7" t="s">
        <v>83</v>
      </c>
      <c r="I400" s="14" t="s">
        <v>30</v>
      </c>
      <c r="J400" s="14" t="s">
        <v>106</v>
      </c>
      <c r="K400" s="12">
        <v>230</v>
      </c>
      <c r="L400" s="12">
        <v>230</v>
      </c>
      <c r="M400" s="12">
        <v>0</v>
      </c>
      <c r="N400" s="12">
        <v>10</v>
      </c>
      <c r="O400" s="12">
        <v>190</v>
      </c>
      <c r="P400" s="29">
        <v>15</v>
      </c>
    </row>
    <row r="401" spans="1:16" s="85" customFormat="1" ht="16.5" hidden="1" thickTop="1" thickBot="1" x14ac:dyDescent="0.3">
      <c r="A401" s="74" t="s">
        <v>111</v>
      </c>
      <c r="B401" s="25" t="s">
        <v>5</v>
      </c>
      <c r="C401" s="8" t="s">
        <v>61</v>
      </c>
      <c r="D401" s="7" t="s">
        <v>79</v>
      </c>
      <c r="E401" s="9" t="s">
        <v>63</v>
      </c>
      <c r="F401" s="10">
        <v>1</v>
      </c>
      <c r="G401" s="11" t="s">
        <v>45</v>
      </c>
      <c r="H401" s="7" t="s">
        <v>91</v>
      </c>
      <c r="I401" s="11" t="s">
        <v>20</v>
      </c>
      <c r="J401" s="11" t="s">
        <v>105</v>
      </c>
      <c r="K401" s="12">
        <v>40617.404573265005</v>
      </c>
      <c r="L401" s="12">
        <v>24370.442743959004</v>
      </c>
      <c r="M401" s="12">
        <v>16246.961829306003</v>
      </c>
      <c r="N401" s="12">
        <v>1837.8916096500002</v>
      </c>
      <c r="O401" s="12">
        <v>38779.512963615001</v>
      </c>
      <c r="P401" s="29">
        <v>30</v>
      </c>
    </row>
    <row r="402" spans="1:16" s="85" customFormat="1" ht="16.5" hidden="1" thickTop="1" thickBot="1" x14ac:dyDescent="0.3">
      <c r="A402" s="74" t="s">
        <v>111</v>
      </c>
      <c r="B402" s="25" t="s">
        <v>22</v>
      </c>
      <c r="C402" s="8" t="s">
        <v>61</v>
      </c>
      <c r="D402" s="7" t="s">
        <v>79</v>
      </c>
      <c r="E402" s="9" t="s">
        <v>63</v>
      </c>
      <c r="F402" s="10">
        <v>1</v>
      </c>
      <c r="G402" s="11" t="s">
        <v>132</v>
      </c>
      <c r="H402" s="7" t="s">
        <v>88</v>
      </c>
      <c r="I402" s="11" t="s">
        <v>9</v>
      </c>
      <c r="J402" s="11" t="s">
        <v>105</v>
      </c>
      <c r="K402" s="12">
        <v>33386.834650000004</v>
      </c>
      <c r="L402" s="12">
        <v>20032.10079</v>
      </c>
      <c r="M402" s="12">
        <v>13354.733860000002</v>
      </c>
      <c r="N402" s="12">
        <v>0</v>
      </c>
      <c r="O402" s="12">
        <v>33386.834650000004</v>
      </c>
      <c r="P402" s="29">
        <v>30</v>
      </c>
    </row>
    <row r="403" spans="1:16" s="85" customFormat="1" ht="16.5" hidden="1" thickTop="1" thickBot="1" x14ac:dyDescent="0.3">
      <c r="A403" s="74" t="s">
        <v>111</v>
      </c>
      <c r="B403" s="25" t="s">
        <v>22</v>
      </c>
      <c r="C403" s="8" t="s">
        <v>61</v>
      </c>
      <c r="D403" s="7" t="s">
        <v>79</v>
      </c>
      <c r="E403" s="9" t="s">
        <v>63</v>
      </c>
      <c r="F403" s="10">
        <v>1</v>
      </c>
      <c r="G403" s="11" t="s">
        <v>129</v>
      </c>
      <c r="H403" s="7" t="s">
        <v>85</v>
      </c>
      <c r="I403" s="11" t="s">
        <v>9</v>
      </c>
      <c r="J403" s="11" t="s">
        <v>105</v>
      </c>
      <c r="K403" s="12">
        <v>28617.27895</v>
      </c>
      <c r="L403" s="12">
        <v>17170.36737</v>
      </c>
      <c r="M403" s="12">
        <v>11446.91158</v>
      </c>
      <c r="N403" s="12">
        <v>0</v>
      </c>
      <c r="O403" s="12">
        <v>28617.27895</v>
      </c>
      <c r="P403" s="29">
        <v>30</v>
      </c>
    </row>
    <row r="404" spans="1:16" s="85" customFormat="1" ht="16.5" hidden="1" thickTop="1" thickBot="1" x14ac:dyDescent="0.3">
      <c r="A404" s="74" t="s">
        <v>111</v>
      </c>
      <c r="B404" s="25" t="s">
        <v>5</v>
      </c>
      <c r="C404" s="8" t="s">
        <v>61</v>
      </c>
      <c r="D404" s="7" t="s">
        <v>79</v>
      </c>
      <c r="E404" s="9" t="s">
        <v>63</v>
      </c>
      <c r="F404" s="10">
        <v>1</v>
      </c>
      <c r="G404" s="11" t="s">
        <v>45</v>
      </c>
      <c r="H404" s="7" t="s">
        <v>91</v>
      </c>
      <c r="I404" s="11" t="s">
        <v>9</v>
      </c>
      <c r="J404" s="11" t="s">
        <v>105</v>
      </c>
      <c r="K404" s="12">
        <v>28617.282177705001</v>
      </c>
      <c r="L404" s="12">
        <v>17170.369306623001</v>
      </c>
      <c r="M404" s="12">
        <v>11446.912871082</v>
      </c>
      <c r="N404" s="12">
        <v>1294.8996460500002</v>
      </c>
      <c r="O404" s="12">
        <v>27322.382531654999</v>
      </c>
      <c r="P404" s="29">
        <v>30</v>
      </c>
    </row>
    <row r="405" spans="1:16" s="85" customFormat="1" ht="16.5" hidden="1" thickTop="1" thickBot="1" x14ac:dyDescent="0.3">
      <c r="A405" s="74" t="s">
        <v>111</v>
      </c>
      <c r="B405" s="25" t="s">
        <v>22</v>
      </c>
      <c r="C405" s="8" t="s">
        <v>61</v>
      </c>
      <c r="D405" s="7" t="s">
        <v>79</v>
      </c>
      <c r="E405" s="9" t="s">
        <v>63</v>
      </c>
      <c r="F405" s="10">
        <v>1</v>
      </c>
      <c r="G405" s="11" t="s">
        <v>46</v>
      </c>
      <c r="H405" s="7" t="s">
        <v>85</v>
      </c>
      <c r="I405" s="11" t="s">
        <v>20</v>
      </c>
      <c r="J405" s="11" t="s">
        <v>105</v>
      </c>
      <c r="K405" s="12">
        <v>58492.355406029994</v>
      </c>
      <c r="L405" s="12">
        <v>35095.413243617993</v>
      </c>
      <c r="M405" s="12">
        <v>23396.942162412</v>
      </c>
      <c r="N405" s="12">
        <v>0</v>
      </c>
      <c r="O405" s="12">
        <v>58492.355406029994</v>
      </c>
      <c r="P405" s="29">
        <v>30</v>
      </c>
    </row>
    <row r="406" spans="1:16" s="85" customFormat="1" ht="16.5" hidden="1" thickTop="1" thickBot="1" x14ac:dyDescent="0.3">
      <c r="A406" s="74" t="s">
        <v>111</v>
      </c>
      <c r="B406" s="25" t="s">
        <v>22</v>
      </c>
      <c r="C406" s="8" t="s">
        <v>61</v>
      </c>
      <c r="D406" s="7" t="s">
        <v>79</v>
      </c>
      <c r="E406" s="9" t="s">
        <v>63</v>
      </c>
      <c r="F406" s="10">
        <v>1</v>
      </c>
      <c r="G406" s="11" t="s">
        <v>46</v>
      </c>
      <c r="H406" s="7" t="s">
        <v>85</v>
      </c>
      <c r="I406" s="11" t="s">
        <v>98</v>
      </c>
      <c r="J406" s="11" t="s">
        <v>105</v>
      </c>
      <c r="K406" s="12">
        <v>3457.8765000000003</v>
      </c>
      <c r="L406" s="12">
        <v>2074.7258999999999</v>
      </c>
      <c r="M406" s="12">
        <v>1383.1506000000002</v>
      </c>
      <c r="N406" s="12">
        <v>0</v>
      </c>
      <c r="O406" s="12">
        <v>3457.8765000000003</v>
      </c>
      <c r="P406" s="29">
        <v>30</v>
      </c>
    </row>
    <row r="407" spans="1:16" s="85" customFormat="1" ht="16.5" hidden="1" thickTop="1" thickBot="1" x14ac:dyDescent="0.3">
      <c r="A407" s="74" t="s">
        <v>111</v>
      </c>
      <c r="B407" s="25" t="s">
        <v>22</v>
      </c>
      <c r="C407" s="8" t="s">
        <v>61</v>
      </c>
      <c r="D407" s="7" t="s">
        <v>79</v>
      </c>
      <c r="E407" s="9" t="s">
        <v>63</v>
      </c>
      <c r="F407" s="10">
        <v>1</v>
      </c>
      <c r="G407" s="11" t="s">
        <v>46</v>
      </c>
      <c r="H407" s="7" t="s">
        <v>85</v>
      </c>
      <c r="I407" s="11" t="s">
        <v>9</v>
      </c>
      <c r="J407" s="11" t="s">
        <v>105</v>
      </c>
      <c r="K407" s="12">
        <v>42925.929029685009</v>
      </c>
      <c r="L407" s="12">
        <v>25755.557417811004</v>
      </c>
      <c r="M407" s="12">
        <v>17170.371611874005</v>
      </c>
      <c r="N407" s="12">
        <v>0</v>
      </c>
      <c r="O407" s="12">
        <v>42925.929029685009</v>
      </c>
      <c r="P407" s="29">
        <v>30</v>
      </c>
    </row>
    <row r="408" spans="1:16" s="85" customFormat="1" ht="16.5" hidden="1" thickTop="1" thickBot="1" x14ac:dyDescent="0.3">
      <c r="A408" s="74" t="s">
        <v>111</v>
      </c>
      <c r="B408" s="25" t="s">
        <v>22</v>
      </c>
      <c r="C408" s="8" t="s">
        <v>61</v>
      </c>
      <c r="D408" s="7" t="s">
        <v>79</v>
      </c>
      <c r="E408" s="9" t="s">
        <v>63</v>
      </c>
      <c r="F408" s="10">
        <v>1</v>
      </c>
      <c r="G408" s="11" t="s">
        <v>46</v>
      </c>
      <c r="H408" s="7" t="s">
        <v>85</v>
      </c>
      <c r="I408" s="11" t="s">
        <v>97</v>
      </c>
      <c r="J408" s="11" t="s">
        <v>105</v>
      </c>
      <c r="K408" s="12">
        <v>7072</v>
      </c>
      <c r="L408" s="12">
        <v>4243.2</v>
      </c>
      <c r="M408" s="12">
        <v>2828.8</v>
      </c>
      <c r="N408" s="12">
        <v>0</v>
      </c>
      <c r="O408" s="12">
        <v>7072</v>
      </c>
      <c r="P408" s="29">
        <v>30</v>
      </c>
    </row>
    <row r="409" spans="1:16" s="85" customFormat="1" ht="16.5" hidden="1" thickTop="1" thickBot="1" x14ac:dyDescent="0.3">
      <c r="A409" s="74" t="s">
        <v>111</v>
      </c>
      <c r="B409" s="25" t="s">
        <v>22</v>
      </c>
      <c r="C409" s="8" t="s">
        <v>61</v>
      </c>
      <c r="D409" s="7" t="s">
        <v>79</v>
      </c>
      <c r="E409" s="9" t="s">
        <v>63</v>
      </c>
      <c r="F409" s="10">
        <v>1</v>
      </c>
      <c r="G409" s="11" t="s">
        <v>47</v>
      </c>
      <c r="H409" s="7" t="s">
        <v>85</v>
      </c>
      <c r="I409" s="11" t="s">
        <v>9</v>
      </c>
      <c r="J409" s="11" t="s">
        <v>105</v>
      </c>
      <c r="K409" s="12">
        <v>33354.561456449999</v>
      </c>
      <c r="L409" s="12">
        <v>20012.736873869999</v>
      </c>
      <c r="M409" s="12">
        <v>13341.82458258</v>
      </c>
      <c r="N409" s="12">
        <v>0</v>
      </c>
      <c r="O409" s="12">
        <v>33354.561456449999</v>
      </c>
      <c r="P409" s="29">
        <v>30</v>
      </c>
    </row>
    <row r="410" spans="1:16" s="85" customFormat="1" ht="16.5" hidden="1" thickTop="1" thickBot="1" x14ac:dyDescent="0.3">
      <c r="A410" s="74" t="s">
        <v>111</v>
      </c>
      <c r="B410" s="25" t="s">
        <v>22</v>
      </c>
      <c r="C410" s="8" t="s">
        <v>61</v>
      </c>
      <c r="D410" s="7" t="s">
        <v>79</v>
      </c>
      <c r="E410" s="9" t="s">
        <v>63</v>
      </c>
      <c r="F410" s="10">
        <v>1</v>
      </c>
      <c r="G410" s="11" t="s">
        <v>48</v>
      </c>
      <c r="H410" s="7" t="s">
        <v>85</v>
      </c>
      <c r="I410" s="11" t="s">
        <v>9</v>
      </c>
      <c r="J410" s="11" t="s">
        <v>105</v>
      </c>
      <c r="K410" s="12">
        <v>23880.014425214998</v>
      </c>
      <c r="L410" s="12">
        <v>14328.008655128999</v>
      </c>
      <c r="M410" s="12">
        <v>9552.0057700859998</v>
      </c>
      <c r="N410" s="12">
        <v>0</v>
      </c>
      <c r="O410" s="12">
        <v>23880.014425214998</v>
      </c>
      <c r="P410" s="29">
        <v>30</v>
      </c>
    </row>
    <row r="411" spans="1:16" s="85" customFormat="1" ht="14.25" hidden="1" customHeight="1" thickTop="1" thickBot="1" x14ac:dyDescent="0.3">
      <c r="A411" s="91" t="s">
        <v>111</v>
      </c>
      <c r="B411" s="25" t="s">
        <v>22</v>
      </c>
      <c r="C411" s="8" t="s">
        <v>62</v>
      </c>
      <c r="D411" s="7" t="s">
        <v>79</v>
      </c>
      <c r="E411" s="9" t="s">
        <v>63</v>
      </c>
      <c r="F411" s="10">
        <v>10</v>
      </c>
      <c r="G411" s="13" t="s">
        <v>49</v>
      </c>
      <c r="H411" s="7" t="s">
        <v>85</v>
      </c>
      <c r="I411" s="11" t="s">
        <v>9</v>
      </c>
      <c r="J411" s="11" t="s">
        <v>105</v>
      </c>
      <c r="K411" s="12">
        <v>19227</v>
      </c>
      <c r="L411" s="12">
        <v>11536.199999999999</v>
      </c>
      <c r="M411" s="12">
        <v>7690.8</v>
      </c>
      <c r="N411" s="12">
        <v>0</v>
      </c>
      <c r="O411" s="12">
        <v>19227</v>
      </c>
      <c r="P411" s="29">
        <v>10</v>
      </c>
    </row>
    <row r="412" spans="1:16" s="85" customFormat="1" ht="16.5" hidden="1" thickTop="1" thickBot="1" x14ac:dyDescent="0.3">
      <c r="A412" s="91" t="s">
        <v>111</v>
      </c>
      <c r="B412" s="25" t="s">
        <v>22</v>
      </c>
      <c r="C412" s="8" t="s">
        <v>62</v>
      </c>
      <c r="D412" s="7" t="s">
        <v>79</v>
      </c>
      <c r="E412" s="9" t="s">
        <v>63</v>
      </c>
      <c r="F412" s="10">
        <v>10</v>
      </c>
      <c r="G412" s="13" t="s">
        <v>49</v>
      </c>
      <c r="H412" s="7" t="s">
        <v>85</v>
      </c>
      <c r="I412" s="11" t="s">
        <v>98</v>
      </c>
      <c r="J412" s="11" t="s">
        <v>105</v>
      </c>
      <c r="K412" s="12">
        <v>5336.6560650000001</v>
      </c>
      <c r="L412" s="12">
        <v>3201.9936389999998</v>
      </c>
      <c r="M412" s="12">
        <v>2134.6624260000003</v>
      </c>
      <c r="N412" s="12">
        <v>0</v>
      </c>
      <c r="O412" s="12">
        <v>5336.6560650000001</v>
      </c>
      <c r="P412" s="29">
        <v>10</v>
      </c>
    </row>
    <row r="413" spans="1:16" s="85" customFormat="1" ht="16.5" hidden="1" thickTop="1" thickBot="1" x14ac:dyDescent="0.3">
      <c r="A413" s="91" t="s">
        <v>111</v>
      </c>
      <c r="B413" s="25" t="s">
        <v>22</v>
      </c>
      <c r="C413" s="8" t="s">
        <v>62</v>
      </c>
      <c r="D413" s="7" t="s">
        <v>79</v>
      </c>
      <c r="E413" s="9" t="s">
        <v>63</v>
      </c>
      <c r="F413" s="10">
        <v>10</v>
      </c>
      <c r="G413" s="13" t="s">
        <v>50</v>
      </c>
      <c r="H413" s="7" t="s">
        <v>85</v>
      </c>
      <c r="I413" s="11" t="s">
        <v>9</v>
      </c>
      <c r="J413" s="11" t="s">
        <v>105</v>
      </c>
      <c r="K413" s="12">
        <v>19227</v>
      </c>
      <c r="L413" s="12">
        <v>11536.199999999999</v>
      </c>
      <c r="M413" s="12">
        <v>7690.8</v>
      </c>
      <c r="N413" s="12">
        <v>0</v>
      </c>
      <c r="O413" s="12">
        <v>19227</v>
      </c>
      <c r="P413" s="29">
        <v>10</v>
      </c>
    </row>
    <row r="414" spans="1:16" s="85" customFormat="1" ht="16.5" hidden="1" thickTop="1" thickBot="1" x14ac:dyDescent="0.3">
      <c r="A414" s="91" t="s">
        <v>111</v>
      </c>
      <c r="B414" s="25" t="s">
        <v>22</v>
      </c>
      <c r="C414" s="8" t="s">
        <v>62</v>
      </c>
      <c r="D414" s="7" t="s">
        <v>79</v>
      </c>
      <c r="E414" s="9" t="s">
        <v>63</v>
      </c>
      <c r="F414" s="10">
        <v>10</v>
      </c>
      <c r="G414" s="13" t="s">
        <v>50</v>
      </c>
      <c r="H414" s="7" t="s">
        <v>85</v>
      </c>
      <c r="I414" s="11" t="s">
        <v>98</v>
      </c>
      <c r="J414" s="11" t="s">
        <v>105</v>
      </c>
      <c r="K414" s="12">
        <v>5336.6560650000001</v>
      </c>
      <c r="L414" s="12">
        <v>3201.9936389999998</v>
      </c>
      <c r="M414" s="12">
        <v>2134.6624260000003</v>
      </c>
      <c r="N414" s="12">
        <v>0</v>
      </c>
      <c r="O414" s="12">
        <v>5336.6560650000001</v>
      </c>
      <c r="P414" s="29">
        <v>10</v>
      </c>
    </row>
    <row r="415" spans="1:16" s="85" customFormat="1" ht="16.5" hidden="1" thickTop="1" thickBot="1" x14ac:dyDescent="0.3">
      <c r="A415" s="74" t="s">
        <v>111</v>
      </c>
      <c r="B415" s="25" t="s">
        <v>11</v>
      </c>
      <c r="C415" s="8" t="s">
        <v>62</v>
      </c>
      <c r="D415" s="7" t="s">
        <v>79</v>
      </c>
      <c r="E415" s="9" t="s">
        <v>63</v>
      </c>
      <c r="F415" s="10">
        <v>16</v>
      </c>
      <c r="G415" s="13" t="s">
        <v>51</v>
      </c>
      <c r="H415" s="7" t="s">
        <v>83</v>
      </c>
      <c r="I415" s="11" t="s">
        <v>7</v>
      </c>
      <c r="J415" s="11" t="s">
        <v>80</v>
      </c>
      <c r="K415" s="12">
        <v>21132.94766324625</v>
      </c>
      <c r="L415" s="12">
        <v>21132.94766324625</v>
      </c>
      <c r="M415" s="12">
        <v>0</v>
      </c>
      <c r="N415" s="12">
        <f>L415*14%</f>
        <v>2958.6126728544755</v>
      </c>
      <c r="O415" s="12">
        <v>18174.34</v>
      </c>
      <c r="P415" s="29">
        <v>30</v>
      </c>
    </row>
    <row r="416" spans="1:16" s="85" customFormat="1" ht="16.5" hidden="1" thickTop="1" thickBot="1" x14ac:dyDescent="0.3">
      <c r="A416" s="74" t="s">
        <v>111</v>
      </c>
      <c r="B416" s="25" t="s">
        <v>22</v>
      </c>
      <c r="C416" s="8" t="s">
        <v>25</v>
      </c>
      <c r="D416" s="7" t="s">
        <v>79</v>
      </c>
      <c r="E416" s="9" t="s">
        <v>154</v>
      </c>
      <c r="F416" s="10">
        <v>16</v>
      </c>
      <c r="G416" s="11" t="s">
        <v>52</v>
      </c>
      <c r="H416" s="7" t="s">
        <v>84</v>
      </c>
      <c r="I416" s="11" t="s">
        <v>165</v>
      </c>
      <c r="J416" s="11" t="s">
        <v>103</v>
      </c>
      <c r="K416" s="12">
        <v>4250</v>
      </c>
      <c r="L416" s="12">
        <v>2550</v>
      </c>
      <c r="M416" s="12">
        <f>K416*40%</f>
        <v>1700</v>
      </c>
      <c r="N416" s="12">
        <v>0</v>
      </c>
      <c r="O416" s="12">
        <f>L416+M416</f>
        <v>4250</v>
      </c>
      <c r="P416" s="29">
        <v>15</v>
      </c>
    </row>
    <row r="417" spans="1:17" s="85" customFormat="1" ht="16.5" hidden="1" thickTop="1" thickBot="1" x14ac:dyDescent="0.3">
      <c r="A417" s="74" t="s">
        <v>111</v>
      </c>
      <c r="B417" s="25" t="s">
        <v>11</v>
      </c>
      <c r="C417" s="8" t="s">
        <v>62</v>
      </c>
      <c r="D417" s="7" t="s">
        <v>79</v>
      </c>
      <c r="E417" s="9" t="s">
        <v>63</v>
      </c>
      <c r="F417" s="10">
        <v>16</v>
      </c>
      <c r="G417" s="11" t="s">
        <v>52</v>
      </c>
      <c r="H417" s="7" t="s">
        <v>84</v>
      </c>
      <c r="I417" s="11" t="s">
        <v>7</v>
      </c>
      <c r="J417" s="11" t="s">
        <v>103</v>
      </c>
      <c r="K417" s="12">
        <v>80218.94</v>
      </c>
      <c r="L417" s="12">
        <f>K417*60%</f>
        <v>48131.364000000001</v>
      </c>
      <c r="M417" s="70">
        <f>K417*40%</f>
        <v>32087.576000000001</v>
      </c>
      <c r="N417" s="12">
        <v>4620.6099999999997</v>
      </c>
      <c r="O417" s="12">
        <f>L417+M417-N417</f>
        <v>75598.33</v>
      </c>
      <c r="P417" s="29">
        <v>15</v>
      </c>
    </row>
    <row r="418" spans="1:17" s="85" customFormat="1" ht="16.5" hidden="1" thickTop="1" thickBot="1" x14ac:dyDescent="0.3">
      <c r="A418" s="74" t="s">
        <v>111</v>
      </c>
      <c r="B418" s="25" t="s">
        <v>5</v>
      </c>
      <c r="C418" s="8" t="s">
        <v>62</v>
      </c>
      <c r="D418" s="7" t="s">
        <v>79</v>
      </c>
      <c r="E418" s="9" t="s">
        <v>63</v>
      </c>
      <c r="F418" s="10">
        <v>14</v>
      </c>
      <c r="G418" s="11" t="s">
        <v>53</v>
      </c>
      <c r="H418" s="7" t="s">
        <v>85</v>
      </c>
      <c r="I418" s="11" t="s">
        <v>7</v>
      </c>
      <c r="J418" s="11" t="s">
        <v>103</v>
      </c>
      <c r="K418" s="12">
        <v>19238.4722205</v>
      </c>
      <c r="L418" s="12">
        <v>19238.4722205</v>
      </c>
      <c r="M418" s="12">
        <v>0</v>
      </c>
      <c r="N418" s="12">
        <v>870.51910499999997</v>
      </c>
      <c r="O418" s="12">
        <v>18367.9531155</v>
      </c>
      <c r="P418" s="29">
        <v>15</v>
      </c>
      <c r="Q418" s="85" t="s">
        <v>156</v>
      </c>
    </row>
    <row r="419" spans="1:17" s="85" customFormat="1" ht="16.5" hidden="1" thickTop="1" thickBot="1" x14ac:dyDescent="0.3">
      <c r="A419" s="74" t="s">
        <v>111</v>
      </c>
      <c r="B419" s="25" t="s">
        <v>5</v>
      </c>
      <c r="C419" s="8" t="s">
        <v>62</v>
      </c>
      <c r="D419" s="7" t="s">
        <v>79</v>
      </c>
      <c r="E419" s="9" t="s">
        <v>63</v>
      </c>
      <c r="F419" s="10">
        <v>14</v>
      </c>
      <c r="G419" s="11" t="s">
        <v>53</v>
      </c>
      <c r="H419" s="7" t="s">
        <v>85</v>
      </c>
      <c r="I419" s="11" t="s">
        <v>15</v>
      </c>
      <c r="J419" s="11" t="s">
        <v>103</v>
      </c>
      <c r="K419" s="12">
        <v>4982.8000364999998</v>
      </c>
      <c r="L419" s="12">
        <v>4982.8000364999998</v>
      </c>
      <c r="M419" s="12">
        <v>0</v>
      </c>
      <c r="N419" s="12">
        <v>225.46606499999999</v>
      </c>
      <c r="O419" s="12">
        <v>4757.3339715000002</v>
      </c>
      <c r="P419" s="29">
        <v>15</v>
      </c>
      <c r="Q419" s="85" t="s">
        <v>156</v>
      </c>
    </row>
    <row r="420" spans="1:17" s="85" customFormat="1" ht="16.5" hidden="1" thickTop="1" thickBot="1" x14ac:dyDescent="0.3">
      <c r="A420" s="74" t="s">
        <v>111</v>
      </c>
      <c r="B420" s="25" t="s">
        <v>5</v>
      </c>
      <c r="C420" s="8" t="s">
        <v>62</v>
      </c>
      <c r="D420" s="7" t="s">
        <v>79</v>
      </c>
      <c r="E420" s="9" t="s">
        <v>63</v>
      </c>
      <c r="F420" s="10">
        <v>14</v>
      </c>
      <c r="G420" s="11" t="s">
        <v>53</v>
      </c>
      <c r="H420" s="7" t="s">
        <v>85</v>
      </c>
      <c r="I420" s="11" t="s">
        <v>9</v>
      </c>
      <c r="J420" s="11" t="s">
        <v>103</v>
      </c>
      <c r="K420" s="12">
        <v>8036.1049860000003</v>
      </c>
      <c r="L420" s="12">
        <v>8036.1049860000003</v>
      </c>
      <c r="M420" s="12">
        <v>0</v>
      </c>
      <c r="N420" s="12">
        <v>363.62466000000001</v>
      </c>
      <c r="O420" s="12">
        <v>7672.4803259999999</v>
      </c>
      <c r="P420" s="29">
        <v>15</v>
      </c>
      <c r="Q420" s="85" t="s">
        <v>156</v>
      </c>
    </row>
    <row r="421" spans="1:17" s="85" customFormat="1" ht="16.5" hidden="1" thickTop="1" thickBot="1" x14ac:dyDescent="0.3">
      <c r="A421" s="74" t="s">
        <v>111</v>
      </c>
      <c r="B421" s="25" t="s">
        <v>22</v>
      </c>
      <c r="C421" s="8" t="s">
        <v>62</v>
      </c>
      <c r="D421" s="7" t="s">
        <v>79</v>
      </c>
      <c r="E421" s="9" t="s">
        <v>63</v>
      </c>
      <c r="F421" s="10">
        <v>1</v>
      </c>
      <c r="G421" s="11" t="s">
        <v>54</v>
      </c>
      <c r="H421" s="7" t="s">
        <v>85</v>
      </c>
      <c r="I421" s="11" t="s">
        <v>20</v>
      </c>
      <c r="J421" s="11" t="s">
        <v>105</v>
      </c>
      <c r="K421" s="12">
        <v>40617.404573265005</v>
      </c>
      <c r="L421" s="12">
        <v>24370.442743959004</v>
      </c>
      <c r="M421" s="12">
        <v>16246.961829306003</v>
      </c>
      <c r="N421" s="12">
        <v>0</v>
      </c>
      <c r="O421" s="12">
        <v>40617.404573265005</v>
      </c>
      <c r="P421" s="29">
        <v>30</v>
      </c>
    </row>
    <row r="422" spans="1:17" s="85" customFormat="1" ht="16.5" hidden="1" thickTop="1" thickBot="1" x14ac:dyDescent="0.3">
      <c r="A422" s="74" t="s">
        <v>111</v>
      </c>
      <c r="B422" s="25" t="s">
        <v>22</v>
      </c>
      <c r="C422" s="8" t="s">
        <v>62</v>
      </c>
      <c r="D422" s="7" t="s">
        <v>79</v>
      </c>
      <c r="E422" s="9" t="s">
        <v>63</v>
      </c>
      <c r="F422" s="10">
        <v>1</v>
      </c>
      <c r="G422" s="11" t="s">
        <v>54</v>
      </c>
      <c r="H422" s="7" t="s">
        <v>85</v>
      </c>
      <c r="I422" s="11" t="s">
        <v>9</v>
      </c>
      <c r="J422" s="11" t="s">
        <v>105</v>
      </c>
      <c r="K422" s="12">
        <v>33354.561456449999</v>
      </c>
      <c r="L422" s="12">
        <v>20012.736873869999</v>
      </c>
      <c r="M422" s="12">
        <v>13341.82458258</v>
      </c>
      <c r="N422" s="12">
        <v>0</v>
      </c>
      <c r="O422" s="12">
        <v>33354.561456449999</v>
      </c>
      <c r="P422" s="29">
        <v>30</v>
      </c>
    </row>
    <row r="423" spans="1:17" s="85" customFormat="1" ht="16.5" hidden="1" thickTop="1" thickBot="1" x14ac:dyDescent="0.3">
      <c r="A423" s="74" t="s">
        <v>111</v>
      </c>
      <c r="B423" s="25" t="s">
        <v>22</v>
      </c>
      <c r="C423" s="8" t="s">
        <v>62</v>
      </c>
      <c r="D423" s="7" t="s">
        <v>79</v>
      </c>
      <c r="E423" s="9" t="s">
        <v>63</v>
      </c>
      <c r="F423" s="10">
        <v>1</v>
      </c>
      <c r="G423" s="11" t="s">
        <v>55</v>
      </c>
      <c r="H423" s="7" t="s">
        <v>85</v>
      </c>
      <c r="I423" s="11" t="s">
        <v>20</v>
      </c>
      <c r="J423" s="11" t="s">
        <v>105</v>
      </c>
      <c r="K423" s="12">
        <v>34814.822702400001</v>
      </c>
      <c r="L423" s="12">
        <v>20888.893621439998</v>
      </c>
      <c r="M423" s="12">
        <v>13925.929080960001</v>
      </c>
      <c r="N423" s="12">
        <v>0</v>
      </c>
      <c r="O423" s="12">
        <v>34814.822702400001</v>
      </c>
      <c r="P423" s="29">
        <v>30</v>
      </c>
    </row>
    <row r="424" spans="1:17" s="85" customFormat="1" ht="16.5" hidden="1" thickTop="1" thickBot="1" x14ac:dyDescent="0.3">
      <c r="A424" s="74" t="s">
        <v>111</v>
      </c>
      <c r="B424" s="25" t="s">
        <v>22</v>
      </c>
      <c r="C424" s="8" t="s">
        <v>62</v>
      </c>
      <c r="D424" s="7" t="s">
        <v>79</v>
      </c>
      <c r="E424" s="9" t="s">
        <v>63</v>
      </c>
      <c r="F424" s="10">
        <v>1</v>
      </c>
      <c r="G424" s="11" t="s">
        <v>55</v>
      </c>
      <c r="H424" s="7" t="s">
        <v>85</v>
      </c>
      <c r="I424" s="11" t="s">
        <v>9</v>
      </c>
      <c r="J424" s="11" t="s">
        <v>105</v>
      </c>
      <c r="K424" s="12">
        <v>23847.740911214998</v>
      </c>
      <c r="L424" s="12">
        <v>14308.644546728998</v>
      </c>
      <c r="M424" s="12">
        <v>9539.0963644860003</v>
      </c>
      <c r="N424" s="12">
        <v>0</v>
      </c>
      <c r="O424" s="12">
        <v>23847.740911214998</v>
      </c>
      <c r="P424" s="29">
        <v>30</v>
      </c>
    </row>
    <row r="425" spans="1:17" s="85" customFormat="1" ht="16.5" hidden="1" thickTop="1" thickBot="1" x14ac:dyDescent="0.3">
      <c r="A425" s="74" t="s">
        <v>111</v>
      </c>
      <c r="B425" s="25" t="s">
        <v>22</v>
      </c>
      <c r="C425" s="8" t="s">
        <v>62</v>
      </c>
      <c r="D425" s="7" t="s">
        <v>79</v>
      </c>
      <c r="E425" s="9" t="s">
        <v>63</v>
      </c>
      <c r="F425" s="10">
        <v>1</v>
      </c>
      <c r="G425" s="11" t="s">
        <v>56</v>
      </c>
      <c r="H425" s="7" t="s">
        <v>85</v>
      </c>
      <c r="I425" s="11" t="s">
        <v>9</v>
      </c>
      <c r="J425" s="11" t="s">
        <v>105</v>
      </c>
      <c r="K425" s="12">
        <v>33386.83497045</v>
      </c>
      <c r="L425" s="12">
        <v>20032.10098227</v>
      </c>
      <c r="M425" s="12">
        <v>13354.73398818</v>
      </c>
      <c r="N425" s="12">
        <v>0</v>
      </c>
      <c r="O425" s="12">
        <v>33386.83497045</v>
      </c>
      <c r="P425" s="29">
        <v>30</v>
      </c>
    </row>
    <row r="426" spans="1:17" s="85" customFormat="1" ht="16.5" hidden="1" thickTop="1" thickBot="1" x14ac:dyDescent="0.3">
      <c r="A426" s="74" t="s">
        <v>111</v>
      </c>
      <c r="B426" s="25" t="s">
        <v>22</v>
      </c>
      <c r="C426" s="8" t="s">
        <v>62</v>
      </c>
      <c r="D426" s="7" t="s">
        <v>79</v>
      </c>
      <c r="E426" s="9" t="s">
        <v>63</v>
      </c>
      <c r="F426" s="10">
        <v>1</v>
      </c>
      <c r="G426" s="11" t="s">
        <v>57</v>
      </c>
      <c r="H426" s="7" t="s">
        <v>85</v>
      </c>
      <c r="I426" s="11" t="s">
        <v>9</v>
      </c>
      <c r="J426" s="11" t="s">
        <v>105</v>
      </c>
      <c r="K426" s="12">
        <v>33354.561456449999</v>
      </c>
      <c r="L426" s="12">
        <v>20012.736873869999</v>
      </c>
      <c r="M426" s="12">
        <v>13341.82458258</v>
      </c>
      <c r="N426" s="12">
        <v>0</v>
      </c>
      <c r="O426" s="12">
        <v>33354.561456449999</v>
      </c>
      <c r="P426" s="29">
        <v>30</v>
      </c>
    </row>
    <row r="427" spans="1:17" s="85" customFormat="1" ht="16.5" hidden="1" thickTop="1" thickBot="1" x14ac:dyDescent="0.3">
      <c r="A427" s="74" t="s">
        <v>111</v>
      </c>
      <c r="B427" s="25" t="s">
        <v>22</v>
      </c>
      <c r="C427" s="8" t="s">
        <v>62</v>
      </c>
      <c r="D427" s="7" t="s">
        <v>79</v>
      </c>
      <c r="E427" s="9" t="s">
        <v>63</v>
      </c>
      <c r="F427" s="10">
        <v>1</v>
      </c>
      <c r="G427" s="11" t="s">
        <v>58</v>
      </c>
      <c r="H427" s="7" t="s">
        <v>85</v>
      </c>
      <c r="I427" s="11" t="s">
        <v>9</v>
      </c>
      <c r="J427" s="11" t="s">
        <v>105</v>
      </c>
      <c r="K427" s="12">
        <v>19078.18811847</v>
      </c>
      <c r="L427" s="12">
        <v>11446.912871081999</v>
      </c>
      <c r="M427" s="12">
        <v>7631.275247388</v>
      </c>
      <c r="N427" s="12">
        <v>0</v>
      </c>
      <c r="O427" s="12">
        <v>19078.18811847</v>
      </c>
      <c r="P427" s="29">
        <v>30</v>
      </c>
    </row>
    <row r="428" spans="1:17" s="85" customFormat="1" ht="16.5" hidden="1" thickTop="1" thickBot="1" x14ac:dyDescent="0.3">
      <c r="A428" s="74" t="s">
        <v>111</v>
      </c>
      <c r="B428" s="31" t="s">
        <v>22</v>
      </c>
      <c r="C428" s="32" t="s">
        <v>62</v>
      </c>
      <c r="D428" s="33" t="s">
        <v>79</v>
      </c>
      <c r="E428" s="9" t="s">
        <v>63</v>
      </c>
      <c r="F428" s="35">
        <v>1</v>
      </c>
      <c r="G428" s="36" t="s">
        <v>59</v>
      </c>
      <c r="H428" s="33" t="s">
        <v>85</v>
      </c>
      <c r="I428" s="36" t="s">
        <v>9</v>
      </c>
      <c r="J428" s="36" t="s">
        <v>105</v>
      </c>
      <c r="K428" s="12">
        <v>4769.5527927450003</v>
      </c>
      <c r="L428" s="12">
        <v>2861.731675647</v>
      </c>
      <c r="M428" s="12">
        <v>1907.8211170980003</v>
      </c>
      <c r="N428" s="37">
        <v>0</v>
      </c>
      <c r="O428" s="12">
        <v>4769.5527927450003</v>
      </c>
      <c r="P428" s="38">
        <v>30</v>
      </c>
    </row>
    <row r="429" spans="1:17" s="85" customFormat="1" ht="16.5" hidden="1" thickTop="1" thickBot="1" x14ac:dyDescent="0.3">
      <c r="A429" s="74" t="s">
        <v>111</v>
      </c>
      <c r="B429" s="25" t="s">
        <v>22</v>
      </c>
      <c r="C429" s="8" t="s">
        <v>61</v>
      </c>
      <c r="D429" s="7" t="s">
        <v>79</v>
      </c>
      <c r="E429" s="9" t="s">
        <v>63</v>
      </c>
      <c r="F429" s="10">
        <v>20</v>
      </c>
      <c r="G429" s="13" t="s">
        <v>92</v>
      </c>
      <c r="H429" s="7" t="s">
        <v>83</v>
      </c>
      <c r="I429" s="11" t="s">
        <v>7</v>
      </c>
      <c r="J429" s="11" t="s">
        <v>80</v>
      </c>
      <c r="K429" s="12">
        <v>19890</v>
      </c>
      <c r="L429" s="12">
        <v>19890</v>
      </c>
      <c r="M429" s="12">
        <v>0</v>
      </c>
      <c r="N429" s="12">
        <v>0</v>
      </c>
      <c r="O429" s="12">
        <v>19890</v>
      </c>
      <c r="P429" s="29">
        <v>15</v>
      </c>
    </row>
    <row r="430" spans="1:17" s="85" customFormat="1" ht="16.5" hidden="1" thickTop="1" thickBot="1" x14ac:dyDescent="0.3">
      <c r="A430" s="74" t="s">
        <v>111</v>
      </c>
      <c r="B430" s="25" t="s">
        <v>22</v>
      </c>
      <c r="C430" s="8" t="s">
        <v>25</v>
      </c>
      <c r="D430" s="7" t="s">
        <v>79</v>
      </c>
      <c r="E430" s="9" t="s">
        <v>64</v>
      </c>
      <c r="F430" s="10">
        <v>16</v>
      </c>
      <c r="G430" s="11" t="s">
        <v>52</v>
      </c>
      <c r="H430" s="7" t="s">
        <v>84</v>
      </c>
      <c r="I430" s="11" t="s">
        <v>165</v>
      </c>
      <c r="J430" s="11" t="s">
        <v>103</v>
      </c>
      <c r="K430" s="12">
        <v>4250</v>
      </c>
      <c r="L430" s="12">
        <v>2550</v>
      </c>
      <c r="M430" s="12">
        <f>K430*40%</f>
        <v>1700</v>
      </c>
      <c r="N430" s="12">
        <v>0</v>
      </c>
      <c r="O430" s="12">
        <f>L430+M430</f>
        <v>4250</v>
      </c>
      <c r="P430" s="29">
        <v>15</v>
      </c>
    </row>
    <row r="431" spans="1:17" s="85" customFormat="1" ht="16.5" hidden="1" thickTop="1" thickBot="1" x14ac:dyDescent="0.3">
      <c r="A431" s="74" t="s">
        <v>111</v>
      </c>
      <c r="B431" s="25" t="s">
        <v>13</v>
      </c>
      <c r="C431" s="8" t="s">
        <v>61</v>
      </c>
      <c r="D431" s="7" t="s">
        <v>79</v>
      </c>
      <c r="E431" s="9" t="s">
        <v>64</v>
      </c>
      <c r="F431" s="10">
        <v>20</v>
      </c>
      <c r="G431" s="13" t="s">
        <v>90</v>
      </c>
      <c r="H431" s="15" t="s">
        <v>83</v>
      </c>
      <c r="I431" s="14" t="s">
        <v>9</v>
      </c>
      <c r="J431" s="11" t="s">
        <v>103</v>
      </c>
      <c r="K431" s="12">
        <v>4536.0249999999996</v>
      </c>
      <c r="L431" s="12">
        <v>4536.0249999999996</v>
      </c>
      <c r="M431" s="12">
        <v>0</v>
      </c>
      <c r="N431" s="12">
        <f>L431*16%</f>
        <v>725.76400000000001</v>
      </c>
      <c r="O431" s="12">
        <v>3810.2609999999995</v>
      </c>
      <c r="P431" s="29">
        <v>10</v>
      </c>
    </row>
    <row r="432" spans="1:17" s="85" customFormat="1" ht="16.5" hidden="1" thickTop="1" thickBot="1" x14ac:dyDescent="0.3">
      <c r="A432" s="74"/>
      <c r="B432" s="25" t="s">
        <v>5</v>
      </c>
      <c r="C432" s="8" t="s">
        <v>25</v>
      </c>
      <c r="D432" s="7" t="s">
        <v>79</v>
      </c>
      <c r="E432" s="9" t="s">
        <v>64</v>
      </c>
      <c r="F432" s="10">
        <v>28</v>
      </c>
      <c r="G432" s="13" t="s">
        <v>169</v>
      </c>
      <c r="H432" s="7" t="s">
        <v>84</v>
      </c>
      <c r="I432" s="11" t="s">
        <v>170</v>
      </c>
      <c r="J432" s="11" t="s">
        <v>103</v>
      </c>
      <c r="K432" s="12">
        <v>43144</v>
      </c>
      <c r="L432" s="12"/>
      <c r="M432" s="12">
        <v>0</v>
      </c>
      <c r="N432" s="12"/>
      <c r="O432" s="12"/>
      <c r="P432" s="29"/>
    </row>
    <row r="433" spans="1:17" s="85" customFormat="1" ht="16.5" hidden="1" thickTop="1" thickBot="1" x14ac:dyDescent="0.3">
      <c r="A433" s="74" t="s">
        <v>111</v>
      </c>
      <c r="B433" s="25" t="s">
        <v>11</v>
      </c>
      <c r="C433" s="8" t="s">
        <v>0</v>
      </c>
      <c r="D433" s="7" t="s">
        <v>147</v>
      </c>
      <c r="E433" s="9" t="s">
        <v>64</v>
      </c>
      <c r="F433" s="10">
        <v>20</v>
      </c>
      <c r="G433" s="11" t="s">
        <v>149</v>
      </c>
      <c r="H433" s="7" t="s">
        <v>83</v>
      </c>
      <c r="I433" s="11" t="s">
        <v>30</v>
      </c>
      <c r="J433" s="11" t="s">
        <v>110</v>
      </c>
      <c r="K433" s="12">
        <v>690</v>
      </c>
      <c r="L433" s="12">
        <v>690</v>
      </c>
      <c r="M433" s="12">
        <v>0</v>
      </c>
      <c r="N433" s="12">
        <v>20.7</v>
      </c>
      <c r="O433" s="12">
        <f>L433-N433</f>
        <v>669.3</v>
      </c>
      <c r="P433" s="29">
        <v>7</v>
      </c>
    </row>
    <row r="434" spans="1:17" s="85" customFormat="1" ht="16.5" hidden="1" thickTop="1" thickBot="1" x14ac:dyDescent="0.3">
      <c r="A434" s="74" t="s">
        <v>111</v>
      </c>
      <c r="B434" s="25" t="s">
        <v>11</v>
      </c>
      <c r="C434" s="8" t="s">
        <v>0</v>
      </c>
      <c r="D434" s="7" t="s">
        <v>147</v>
      </c>
      <c r="E434" s="9" t="s">
        <v>64</v>
      </c>
      <c r="F434" s="10">
        <v>20</v>
      </c>
      <c r="G434" s="11" t="s">
        <v>150</v>
      </c>
      <c r="H434" s="7" t="s">
        <v>83</v>
      </c>
      <c r="I434" s="11" t="s">
        <v>30</v>
      </c>
      <c r="J434" s="11" t="s">
        <v>110</v>
      </c>
      <c r="K434" s="12">
        <v>690</v>
      </c>
      <c r="L434" s="12">
        <v>690</v>
      </c>
      <c r="M434" s="12">
        <v>0</v>
      </c>
      <c r="N434" s="12">
        <v>20.7</v>
      </c>
      <c r="O434" s="12">
        <f>L434-N434</f>
        <v>669.3</v>
      </c>
      <c r="P434" s="29">
        <v>7</v>
      </c>
    </row>
    <row r="435" spans="1:17" s="85" customFormat="1" ht="16.5" hidden="1" thickTop="1" thickBot="1" x14ac:dyDescent="0.3">
      <c r="A435" s="74" t="s">
        <v>111</v>
      </c>
      <c r="B435" s="25" t="s">
        <v>13</v>
      </c>
      <c r="C435" s="8" t="s">
        <v>0</v>
      </c>
      <c r="D435" s="7" t="s">
        <v>79</v>
      </c>
      <c r="E435" s="9" t="s">
        <v>64</v>
      </c>
      <c r="F435" s="10">
        <v>10</v>
      </c>
      <c r="G435" s="11" t="s">
        <v>18</v>
      </c>
      <c r="H435" s="7" t="s">
        <v>85</v>
      </c>
      <c r="I435" s="11" t="s">
        <v>9</v>
      </c>
      <c r="J435" s="11" t="s">
        <v>103</v>
      </c>
      <c r="K435" s="12">
        <v>4589.40895335</v>
      </c>
      <c r="L435" s="12">
        <v>4589.40895335</v>
      </c>
      <c r="M435" s="12">
        <v>0</v>
      </c>
      <c r="N435" s="12">
        <v>207.66556350000002</v>
      </c>
      <c r="O435" s="12">
        <v>4381.7433898500003</v>
      </c>
      <c r="P435" s="29">
        <v>10</v>
      </c>
    </row>
    <row r="436" spans="1:17" s="85" customFormat="1" ht="16.5" hidden="1" thickTop="1" thickBot="1" x14ac:dyDescent="0.3">
      <c r="A436" s="91" t="s">
        <v>111</v>
      </c>
      <c r="B436" s="25" t="s">
        <v>11</v>
      </c>
      <c r="C436" s="8" t="s">
        <v>0</v>
      </c>
      <c r="D436" s="7" t="s">
        <v>79</v>
      </c>
      <c r="E436" s="9" t="s">
        <v>64</v>
      </c>
      <c r="F436" s="44">
        <v>20</v>
      </c>
      <c r="G436" s="11" t="s">
        <v>16</v>
      </c>
      <c r="H436" s="7" t="s">
        <v>85</v>
      </c>
      <c r="I436" s="11" t="s">
        <v>7</v>
      </c>
      <c r="J436" s="11" t="s">
        <v>103</v>
      </c>
      <c r="K436" s="12">
        <v>17144.075000000001</v>
      </c>
      <c r="L436" s="12">
        <v>17144.075000000001</v>
      </c>
      <c r="M436" s="12">
        <v>0</v>
      </c>
      <c r="N436" s="12">
        <f>L436*14%</f>
        <v>2400.1705000000002</v>
      </c>
      <c r="O436" s="12">
        <v>14401.023000000001</v>
      </c>
      <c r="P436" s="29">
        <v>15</v>
      </c>
    </row>
    <row r="437" spans="1:17" s="85" customFormat="1" ht="16.5" hidden="1" thickTop="1" thickBot="1" x14ac:dyDescent="0.3">
      <c r="A437" s="91" t="s">
        <v>111</v>
      </c>
      <c r="B437" s="25" t="s">
        <v>13</v>
      </c>
      <c r="C437" s="8" t="s">
        <v>0</v>
      </c>
      <c r="D437" s="7" t="s">
        <v>79</v>
      </c>
      <c r="E437" s="9" t="s">
        <v>64</v>
      </c>
      <c r="F437" s="44">
        <v>20</v>
      </c>
      <c r="G437" s="11" t="s">
        <v>16</v>
      </c>
      <c r="H437" s="7" t="s">
        <v>85</v>
      </c>
      <c r="I437" s="11" t="s">
        <v>113</v>
      </c>
      <c r="J437" s="11" t="s">
        <v>103</v>
      </c>
      <c r="K437" s="12">
        <v>1657.5</v>
      </c>
      <c r="L437" s="12">
        <v>1657.5</v>
      </c>
      <c r="M437" s="12">
        <v>0</v>
      </c>
      <c r="N437" s="12">
        <f>L437*16%</f>
        <v>265.2</v>
      </c>
      <c r="O437" s="12">
        <v>1392.3</v>
      </c>
      <c r="P437" s="29">
        <v>15</v>
      </c>
    </row>
    <row r="438" spans="1:17" s="85" customFormat="1" ht="16.5" hidden="1" thickTop="1" thickBot="1" x14ac:dyDescent="0.3">
      <c r="A438" s="91" t="s">
        <v>111</v>
      </c>
      <c r="B438" s="25" t="s">
        <v>13</v>
      </c>
      <c r="C438" s="8" t="s">
        <v>0</v>
      </c>
      <c r="D438" s="7" t="s">
        <v>79</v>
      </c>
      <c r="E438" s="9" t="s">
        <v>64</v>
      </c>
      <c r="F438" s="44">
        <v>20</v>
      </c>
      <c r="G438" s="11" t="s">
        <v>16</v>
      </c>
      <c r="H438" s="7" t="s">
        <v>85</v>
      </c>
      <c r="I438" s="11" t="s">
        <v>9</v>
      </c>
      <c r="J438" s="11" t="s">
        <v>103</v>
      </c>
      <c r="K438" s="12">
        <v>8265.4</v>
      </c>
      <c r="L438" s="12">
        <v>8265.4</v>
      </c>
      <c r="M438" s="12">
        <v>0</v>
      </c>
      <c r="N438" s="12">
        <f>L438*16%</f>
        <v>1322.4639999999999</v>
      </c>
      <c r="O438" s="12">
        <v>6942.9359999999997</v>
      </c>
      <c r="P438" s="29">
        <v>15</v>
      </c>
    </row>
    <row r="439" spans="1:17" s="85" customFormat="1" ht="16.5" hidden="1" thickTop="1" thickBot="1" x14ac:dyDescent="0.3">
      <c r="A439" s="91" t="s">
        <v>111</v>
      </c>
      <c r="B439" s="25" t="s">
        <v>13</v>
      </c>
      <c r="C439" s="8" t="s">
        <v>0</v>
      </c>
      <c r="D439" s="7" t="s">
        <v>79</v>
      </c>
      <c r="E439" s="9" t="s">
        <v>64</v>
      </c>
      <c r="F439" s="44">
        <v>20</v>
      </c>
      <c r="G439" s="11" t="s">
        <v>16</v>
      </c>
      <c r="H439" s="7" t="s">
        <v>85</v>
      </c>
      <c r="I439" s="11" t="s">
        <v>15</v>
      </c>
      <c r="J439" s="11" t="s">
        <v>103</v>
      </c>
      <c r="K439" s="12">
        <v>7542.73</v>
      </c>
      <c r="L439" s="12">
        <v>7542.73</v>
      </c>
      <c r="M439" s="12">
        <v>0</v>
      </c>
      <c r="N439" s="12">
        <f>L439*16%</f>
        <v>1206.8368</v>
      </c>
      <c r="O439" s="12">
        <v>6335.8931999999995</v>
      </c>
      <c r="P439" s="29">
        <v>15</v>
      </c>
    </row>
    <row r="440" spans="1:17" s="85" customFormat="1" ht="16.5" hidden="1" thickTop="1" thickBot="1" x14ac:dyDescent="0.3">
      <c r="A440" s="74" t="s">
        <v>111</v>
      </c>
      <c r="B440" s="25" t="s">
        <v>11</v>
      </c>
      <c r="C440" s="8" t="s">
        <v>60</v>
      </c>
      <c r="D440" s="7" t="s">
        <v>79</v>
      </c>
      <c r="E440" s="9" t="s">
        <v>64</v>
      </c>
      <c r="F440" s="44">
        <v>20</v>
      </c>
      <c r="G440" s="11" t="s">
        <v>119</v>
      </c>
      <c r="H440" s="7" t="s">
        <v>85</v>
      </c>
      <c r="I440" s="11" t="s">
        <v>7</v>
      </c>
      <c r="J440" s="11" t="s">
        <v>103</v>
      </c>
      <c r="K440" s="12">
        <v>19006</v>
      </c>
      <c r="L440" s="12">
        <v>19006</v>
      </c>
      <c r="M440" s="12">
        <v>0</v>
      </c>
      <c r="N440" s="12">
        <f>L440*14%</f>
        <v>2660.84</v>
      </c>
      <c r="O440" s="12">
        <v>15965.04</v>
      </c>
      <c r="P440" s="29">
        <v>20</v>
      </c>
    </row>
    <row r="441" spans="1:17" s="85" customFormat="1" ht="16.5" hidden="1" thickTop="1" thickBot="1" x14ac:dyDescent="0.3">
      <c r="A441" s="74" t="s">
        <v>111</v>
      </c>
      <c r="B441" s="25" t="s">
        <v>13</v>
      </c>
      <c r="C441" s="8" t="s">
        <v>60</v>
      </c>
      <c r="D441" s="7" t="s">
        <v>79</v>
      </c>
      <c r="E441" s="9" t="s">
        <v>64</v>
      </c>
      <c r="F441" s="44">
        <v>20</v>
      </c>
      <c r="G441" s="11" t="s">
        <v>119</v>
      </c>
      <c r="H441" s="7" t="s">
        <v>85</v>
      </c>
      <c r="I441" s="11" t="s">
        <v>9</v>
      </c>
      <c r="J441" s="11" t="s">
        <v>103</v>
      </c>
      <c r="K441" s="12">
        <v>8619</v>
      </c>
      <c r="L441" s="12">
        <v>8619</v>
      </c>
      <c r="M441" s="12">
        <v>0</v>
      </c>
      <c r="N441" s="12">
        <f>L441*16%</f>
        <v>1379.04</v>
      </c>
      <c r="O441" s="12">
        <v>7239.96</v>
      </c>
      <c r="P441" s="29">
        <v>20</v>
      </c>
    </row>
    <row r="442" spans="1:17" s="85" customFormat="1" ht="16.5" hidden="1" thickTop="1" thickBot="1" x14ac:dyDescent="0.3">
      <c r="A442" s="74" t="s">
        <v>111</v>
      </c>
      <c r="B442" s="25" t="s">
        <v>10</v>
      </c>
      <c r="C442" s="8" t="s">
        <v>60</v>
      </c>
      <c r="D442" s="7" t="s">
        <v>79</v>
      </c>
      <c r="E442" s="9" t="s">
        <v>64</v>
      </c>
      <c r="F442" s="10">
        <v>20</v>
      </c>
      <c r="G442" s="11" t="s">
        <v>119</v>
      </c>
      <c r="H442" s="7" t="s">
        <v>85</v>
      </c>
      <c r="I442" s="11" t="s">
        <v>96</v>
      </c>
      <c r="J442" s="11" t="s">
        <v>103</v>
      </c>
      <c r="K442" s="12">
        <v>1785.7</v>
      </c>
      <c r="L442" s="12">
        <v>1785.7</v>
      </c>
      <c r="M442" s="12">
        <v>0</v>
      </c>
      <c r="N442" s="12">
        <v>0</v>
      </c>
      <c r="O442" s="12">
        <v>1785.7</v>
      </c>
      <c r="P442" s="29">
        <v>20</v>
      </c>
    </row>
    <row r="443" spans="1:17" s="87" customFormat="1" ht="16.5" hidden="1" thickTop="1" thickBot="1" x14ac:dyDescent="0.3">
      <c r="A443" s="91" t="s">
        <v>111</v>
      </c>
      <c r="B443" s="25" t="s">
        <v>11</v>
      </c>
      <c r="C443" s="8" t="s">
        <v>60</v>
      </c>
      <c r="D443" s="7" t="s">
        <v>79</v>
      </c>
      <c r="E443" s="9" t="s">
        <v>63</v>
      </c>
      <c r="F443" s="10">
        <v>20</v>
      </c>
      <c r="G443" s="11" t="s">
        <v>94</v>
      </c>
      <c r="H443" s="7" t="s">
        <v>86</v>
      </c>
      <c r="I443" s="11" t="s">
        <v>15</v>
      </c>
      <c r="J443" s="11" t="s">
        <v>103</v>
      </c>
      <c r="K443" s="12">
        <v>7270.9</v>
      </c>
      <c r="L443" s="12">
        <f>K443</f>
        <v>7270.9</v>
      </c>
      <c r="M443" s="12">
        <v>0</v>
      </c>
      <c r="N443" s="12">
        <v>0</v>
      </c>
      <c r="O443" s="12">
        <v>1785.7</v>
      </c>
      <c r="P443" s="29">
        <v>20</v>
      </c>
      <c r="Q443" s="85"/>
    </row>
    <row r="444" spans="1:17" s="87" customFormat="1" ht="16.5" hidden="1" thickTop="1" thickBot="1" x14ac:dyDescent="0.3">
      <c r="A444" s="74" t="s">
        <v>111</v>
      </c>
      <c r="B444" s="25" t="s">
        <v>11</v>
      </c>
      <c r="C444" s="8" t="s">
        <v>60</v>
      </c>
      <c r="D444" s="7" t="s">
        <v>79</v>
      </c>
      <c r="E444" s="9" t="s">
        <v>67</v>
      </c>
      <c r="F444" s="10">
        <v>20</v>
      </c>
      <c r="G444" s="11" t="s">
        <v>94</v>
      </c>
      <c r="H444" s="7" t="s">
        <v>86</v>
      </c>
      <c r="I444" s="11" t="s">
        <v>7</v>
      </c>
      <c r="J444" s="11" t="s">
        <v>103</v>
      </c>
      <c r="K444" s="12">
        <v>27367.535</v>
      </c>
      <c r="L444" s="12">
        <v>27367.535</v>
      </c>
      <c r="M444" s="12">
        <v>0</v>
      </c>
      <c r="N444" s="12">
        <f>L444*14%</f>
        <v>3831.4549000000002</v>
      </c>
      <c r="O444" s="12">
        <v>22988.7294</v>
      </c>
      <c r="P444" s="29">
        <v>20</v>
      </c>
      <c r="Q444" s="85"/>
    </row>
    <row r="445" spans="1:17" s="85" customFormat="1" ht="16.5" hidden="1" thickTop="1" thickBot="1" x14ac:dyDescent="0.3">
      <c r="A445" s="74" t="s">
        <v>111</v>
      </c>
      <c r="B445" s="25" t="s">
        <v>13</v>
      </c>
      <c r="C445" s="8" t="s">
        <v>60</v>
      </c>
      <c r="D445" s="7" t="s">
        <v>79</v>
      </c>
      <c r="E445" s="9" t="s">
        <v>67</v>
      </c>
      <c r="F445" s="10">
        <v>20</v>
      </c>
      <c r="G445" s="11" t="s">
        <v>94</v>
      </c>
      <c r="H445" s="7" t="s">
        <v>86</v>
      </c>
      <c r="I445" s="11" t="s">
        <v>9</v>
      </c>
      <c r="J445" s="11" t="s">
        <v>103</v>
      </c>
      <c r="K445" s="12">
        <v>17100.98</v>
      </c>
      <c r="L445" s="12">
        <v>17100.98</v>
      </c>
      <c r="M445" s="12">
        <v>0</v>
      </c>
      <c r="N445" s="12">
        <f>L445*16%</f>
        <v>2736.1568000000002</v>
      </c>
      <c r="O445" s="12">
        <v>14364.823199999999</v>
      </c>
      <c r="P445" s="29">
        <v>20</v>
      </c>
    </row>
    <row r="446" spans="1:17" s="85" customFormat="1" ht="16.5" hidden="1" thickTop="1" thickBot="1" x14ac:dyDescent="0.3">
      <c r="A446" s="91" t="s">
        <v>111</v>
      </c>
      <c r="B446" s="25" t="s">
        <v>5</v>
      </c>
      <c r="C446" s="8" t="s">
        <v>0</v>
      </c>
      <c r="D446" s="7" t="s">
        <v>79</v>
      </c>
      <c r="E446" s="9" t="s">
        <v>64</v>
      </c>
      <c r="F446" s="10">
        <v>8</v>
      </c>
      <c r="G446" s="11" t="s">
        <v>6</v>
      </c>
      <c r="H446" s="7" t="s">
        <v>85</v>
      </c>
      <c r="I446" s="11" t="s">
        <v>7</v>
      </c>
      <c r="J446" s="11" t="s">
        <v>103</v>
      </c>
      <c r="K446" s="12">
        <v>41245.995459655351</v>
      </c>
      <c r="L446" s="12">
        <v>41245.995459655351</v>
      </c>
      <c r="M446" s="12">
        <v>0</v>
      </c>
      <c r="N446" s="12">
        <v>1866.3346361835002</v>
      </c>
      <c r="O446" s="12">
        <v>39379.660823471851</v>
      </c>
      <c r="P446" s="29">
        <v>10</v>
      </c>
      <c r="Q446" s="85" t="s">
        <v>156</v>
      </c>
    </row>
    <row r="447" spans="1:17" s="85" customFormat="1" ht="16.5" hidden="1" thickTop="1" thickBot="1" x14ac:dyDescent="0.3">
      <c r="A447" s="91" t="s">
        <v>111</v>
      </c>
      <c r="B447" s="25" t="s">
        <v>11</v>
      </c>
      <c r="C447" s="8" t="s">
        <v>0</v>
      </c>
      <c r="D447" s="7" t="s">
        <v>79</v>
      </c>
      <c r="E447" s="9" t="s">
        <v>64</v>
      </c>
      <c r="F447" s="10">
        <v>8</v>
      </c>
      <c r="G447" s="11" t="s">
        <v>8</v>
      </c>
      <c r="H447" s="7" t="s">
        <v>85</v>
      </c>
      <c r="I447" s="11" t="s">
        <v>7</v>
      </c>
      <c r="J447" s="11" t="s">
        <v>103</v>
      </c>
      <c r="K447" s="12">
        <v>19327.518303502504</v>
      </c>
      <c r="L447" s="12">
        <v>19327.518303502504</v>
      </c>
      <c r="M447" s="12">
        <v>0</v>
      </c>
      <c r="N447" s="12">
        <v>874.54833952500019</v>
      </c>
      <c r="O447" s="12">
        <v>18452.969963977503</v>
      </c>
      <c r="P447" s="29">
        <v>10</v>
      </c>
      <c r="Q447" s="85" t="s">
        <v>156</v>
      </c>
    </row>
    <row r="448" spans="1:17" s="85" customFormat="1" ht="16.5" hidden="1" thickTop="1" thickBot="1" x14ac:dyDescent="0.3">
      <c r="A448" s="91" t="s">
        <v>111</v>
      </c>
      <c r="B448" s="25" t="s">
        <v>11</v>
      </c>
      <c r="C448" s="8" t="s">
        <v>0</v>
      </c>
      <c r="D448" s="7" t="s">
        <v>79</v>
      </c>
      <c r="E448" s="9" t="s">
        <v>64</v>
      </c>
      <c r="F448" s="10">
        <v>8</v>
      </c>
      <c r="G448" s="11" t="s">
        <v>8</v>
      </c>
      <c r="H448" s="7" t="s">
        <v>85</v>
      </c>
      <c r="I448" s="11" t="s">
        <v>97</v>
      </c>
      <c r="J448" s="11" t="s">
        <v>103</v>
      </c>
      <c r="K448" s="12">
        <v>19327.518303502504</v>
      </c>
      <c r="L448" s="12">
        <v>19327.518303502504</v>
      </c>
      <c r="M448" s="12">
        <v>0</v>
      </c>
      <c r="N448" s="12">
        <v>874.54833952500019</v>
      </c>
      <c r="O448" s="12">
        <v>18452.969963977503</v>
      </c>
      <c r="P448" s="29">
        <v>10</v>
      </c>
      <c r="Q448" s="85" t="s">
        <v>156</v>
      </c>
    </row>
    <row r="449" spans="1:17" s="85" customFormat="1" ht="16.5" hidden="1" thickTop="1" thickBot="1" x14ac:dyDescent="0.3">
      <c r="A449" s="74" t="s">
        <v>111</v>
      </c>
      <c r="B449" s="25" t="s">
        <v>183</v>
      </c>
      <c r="C449" s="8" t="s">
        <v>0</v>
      </c>
      <c r="D449" s="7" t="s">
        <v>79</v>
      </c>
      <c r="E449" s="9" t="s">
        <v>64</v>
      </c>
      <c r="F449" s="10">
        <v>8</v>
      </c>
      <c r="G449" s="11" t="s">
        <v>8</v>
      </c>
      <c r="H449" s="7" t="s">
        <v>85</v>
      </c>
      <c r="I449" s="11" t="s">
        <v>9</v>
      </c>
      <c r="J449" s="11" t="s">
        <v>103</v>
      </c>
      <c r="K449" s="12">
        <v>16926.608031693751</v>
      </c>
      <c r="L449" s="12">
        <v>16926.608031693751</v>
      </c>
      <c r="M449" s="12">
        <v>0</v>
      </c>
      <c r="N449" s="12">
        <v>765.90986568750009</v>
      </c>
      <c r="O449" s="12">
        <v>16160.698166006252</v>
      </c>
      <c r="P449" s="29">
        <v>10</v>
      </c>
      <c r="Q449" s="85" t="s">
        <v>156</v>
      </c>
    </row>
    <row r="450" spans="1:17" s="85" customFormat="1" ht="16.5" hidden="1" thickTop="1" thickBot="1" x14ac:dyDescent="0.3">
      <c r="A450" s="74" t="s">
        <v>111</v>
      </c>
      <c r="B450" s="25" t="s">
        <v>183</v>
      </c>
      <c r="C450" s="8" t="s">
        <v>0</v>
      </c>
      <c r="D450" s="7" t="s">
        <v>79</v>
      </c>
      <c r="E450" s="9" t="s">
        <v>64</v>
      </c>
      <c r="F450" s="10">
        <v>8</v>
      </c>
      <c r="G450" s="11" t="s">
        <v>8</v>
      </c>
      <c r="H450" s="7" t="s">
        <v>85</v>
      </c>
      <c r="I450" s="11" t="s">
        <v>15</v>
      </c>
      <c r="J450" s="11" t="s">
        <v>103</v>
      </c>
      <c r="K450" s="12">
        <v>14433.306181368749</v>
      </c>
      <c r="L450" s="12">
        <v>14433.306181368749</v>
      </c>
      <c r="M450" s="12">
        <v>0</v>
      </c>
      <c r="N450" s="12">
        <v>653.09077743750004</v>
      </c>
      <c r="O450" s="12">
        <v>13780.215403931248</v>
      </c>
      <c r="P450" s="29">
        <v>10</v>
      </c>
      <c r="Q450" s="85" t="s">
        <v>156</v>
      </c>
    </row>
    <row r="451" spans="1:17" s="85" customFormat="1" ht="16.5" hidden="1" thickTop="1" thickBot="1" x14ac:dyDescent="0.3">
      <c r="A451" s="74" t="s">
        <v>111</v>
      </c>
      <c r="B451" s="25" t="s">
        <v>10</v>
      </c>
      <c r="C451" s="8" t="s">
        <v>0</v>
      </c>
      <c r="D451" s="7" t="s">
        <v>79</v>
      </c>
      <c r="E451" s="9" t="s">
        <v>64</v>
      </c>
      <c r="F451" s="10">
        <v>8</v>
      </c>
      <c r="G451" s="11" t="s">
        <v>8</v>
      </c>
      <c r="H451" s="7" t="s">
        <v>85</v>
      </c>
      <c r="I451" s="11" t="s">
        <v>96</v>
      </c>
      <c r="J451" s="11" t="s">
        <v>103</v>
      </c>
      <c r="K451" s="12">
        <v>2000</v>
      </c>
      <c r="L451" s="12">
        <v>2000</v>
      </c>
      <c r="M451" s="12">
        <v>0</v>
      </c>
      <c r="N451" s="12">
        <v>0</v>
      </c>
      <c r="O451" s="12">
        <v>2000</v>
      </c>
      <c r="P451" s="29">
        <v>10</v>
      </c>
      <c r="Q451" s="85" t="s">
        <v>156</v>
      </c>
    </row>
    <row r="452" spans="1:17" s="85" customFormat="1" ht="16.5" hidden="1" thickTop="1" thickBot="1" x14ac:dyDescent="0.3">
      <c r="A452" s="74" t="s">
        <v>111</v>
      </c>
      <c r="B452" s="25" t="s">
        <v>10</v>
      </c>
      <c r="C452" s="8" t="s">
        <v>0</v>
      </c>
      <c r="D452" s="7" t="s">
        <v>79</v>
      </c>
      <c r="E452" s="9" t="s">
        <v>64</v>
      </c>
      <c r="F452" s="10">
        <v>8</v>
      </c>
      <c r="G452" s="11" t="s">
        <v>8</v>
      </c>
      <c r="H452" s="7" t="s">
        <v>85</v>
      </c>
      <c r="I452" s="11" t="s">
        <v>96</v>
      </c>
      <c r="J452" s="11" t="s">
        <v>103</v>
      </c>
      <c r="K452" s="12">
        <v>200</v>
      </c>
      <c r="L452" s="12">
        <v>200</v>
      </c>
      <c r="M452" s="12">
        <v>0</v>
      </c>
      <c r="N452" s="12">
        <v>0</v>
      </c>
      <c r="O452" s="12">
        <v>200</v>
      </c>
      <c r="P452" s="29">
        <v>10</v>
      </c>
      <c r="Q452" s="85" t="s">
        <v>156</v>
      </c>
    </row>
    <row r="453" spans="1:17" s="85" customFormat="1" ht="16.5" hidden="1" thickTop="1" thickBot="1" x14ac:dyDescent="0.3">
      <c r="A453" s="91" t="s">
        <v>111</v>
      </c>
      <c r="B453" s="25" t="s">
        <v>11</v>
      </c>
      <c r="C453" s="8" t="s">
        <v>0</v>
      </c>
      <c r="D453" s="7" t="s">
        <v>79</v>
      </c>
      <c r="E453" s="9" t="s">
        <v>64</v>
      </c>
      <c r="F453" s="10">
        <v>14</v>
      </c>
      <c r="G453" s="11" t="s">
        <v>12</v>
      </c>
      <c r="H453" s="7" t="s">
        <v>85</v>
      </c>
      <c r="I453" s="11" t="s">
        <v>7</v>
      </c>
      <c r="J453" s="11" t="s">
        <v>103</v>
      </c>
      <c r="K453" s="12">
        <v>17500</v>
      </c>
      <c r="L453" s="12">
        <f>K453</f>
        <v>17500</v>
      </c>
      <c r="M453" s="12">
        <v>0</v>
      </c>
      <c r="N453" s="12">
        <f>L453*14%</f>
        <v>2450.0000000000005</v>
      </c>
      <c r="O453" s="12">
        <v>15791.819667189111</v>
      </c>
      <c r="P453" s="29">
        <v>15</v>
      </c>
      <c r="Q453" s="85" t="s">
        <v>156</v>
      </c>
    </row>
    <row r="454" spans="1:17" s="85" customFormat="1" ht="16.5" hidden="1" thickTop="1" thickBot="1" x14ac:dyDescent="0.3">
      <c r="A454" s="91" t="s">
        <v>111</v>
      </c>
      <c r="B454" s="25" t="s">
        <v>13</v>
      </c>
      <c r="C454" s="8" t="s">
        <v>0</v>
      </c>
      <c r="D454" s="7" t="s">
        <v>79</v>
      </c>
      <c r="E454" s="9" t="s">
        <v>64</v>
      </c>
      <c r="F454" s="10">
        <v>14</v>
      </c>
      <c r="G454" s="11" t="s">
        <v>12</v>
      </c>
      <c r="H454" s="7" t="s">
        <v>85</v>
      </c>
      <c r="I454" s="11" t="s">
        <v>9</v>
      </c>
      <c r="J454" s="11" t="s">
        <v>103</v>
      </c>
      <c r="K454" s="12">
        <v>4121.2527595112251</v>
      </c>
      <c r="L454" s="12">
        <v>4121.2527595112251</v>
      </c>
      <c r="M454" s="12">
        <v>0</v>
      </c>
      <c r="N454" s="12">
        <f>L454*16%</f>
        <v>659.40044152179598</v>
      </c>
      <c r="O454" s="12">
        <v>3461.8523179894291</v>
      </c>
      <c r="P454" s="29">
        <v>15</v>
      </c>
      <c r="Q454" s="85" t="s">
        <v>156</v>
      </c>
    </row>
    <row r="455" spans="1:17" s="85" customFormat="1" ht="16.5" hidden="1" thickTop="1" thickBot="1" x14ac:dyDescent="0.3">
      <c r="A455" s="91" t="s">
        <v>111</v>
      </c>
      <c r="B455" s="25" t="s">
        <v>13</v>
      </c>
      <c r="C455" s="8" t="s">
        <v>0</v>
      </c>
      <c r="D455" s="7" t="s">
        <v>79</v>
      </c>
      <c r="E455" s="9" t="s">
        <v>64</v>
      </c>
      <c r="F455" s="10">
        <v>14</v>
      </c>
      <c r="G455" s="11" t="s">
        <v>12</v>
      </c>
      <c r="H455" s="7" t="s">
        <v>85</v>
      </c>
      <c r="I455" s="11" t="s">
        <v>99</v>
      </c>
      <c r="J455" s="11" t="s">
        <v>103</v>
      </c>
      <c r="K455" s="12">
        <v>4879.6817792930997</v>
      </c>
      <c r="L455" s="12">
        <v>4879.6817792930997</v>
      </c>
      <c r="M455" s="12">
        <v>0</v>
      </c>
      <c r="N455" s="12">
        <f>L455*16%</f>
        <v>780.74908468689591</v>
      </c>
      <c r="O455" s="12">
        <v>4098.9326946062038</v>
      </c>
      <c r="P455" s="29">
        <v>15</v>
      </c>
      <c r="Q455" s="85" t="s">
        <v>156</v>
      </c>
    </row>
    <row r="456" spans="1:17" s="85" customFormat="1" ht="16.5" hidden="1" thickTop="1" thickBot="1" x14ac:dyDescent="0.3">
      <c r="A456" s="74" t="s">
        <v>111</v>
      </c>
      <c r="B456" s="25" t="s">
        <v>5</v>
      </c>
      <c r="C456" s="8" t="s">
        <v>0</v>
      </c>
      <c r="D456" s="7" t="s">
        <v>79</v>
      </c>
      <c r="E456" s="9" t="s">
        <v>64</v>
      </c>
      <c r="F456" s="10">
        <v>5</v>
      </c>
      <c r="G456" s="11" t="s">
        <v>17</v>
      </c>
      <c r="H456" s="7" t="s">
        <v>85</v>
      </c>
      <c r="I456" s="11" t="s">
        <v>7</v>
      </c>
      <c r="J456" s="11" t="s">
        <v>103</v>
      </c>
      <c r="K456" s="12">
        <v>17315.25</v>
      </c>
      <c r="L456" s="12">
        <f>K456</f>
        <v>17315.25</v>
      </c>
      <c r="M456" s="12">
        <v>0</v>
      </c>
      <c r="N456" s="12">
        <f>K456*2%</f>
        <v>346.30500000000001</v>
      </c>
      <c r="O456" s="12">
        <f>L456-N456</f>
        <v>16968.945</v>
      </c>
      <c r="P456" s="29">
        <v>10</v>
      </c>
    </row>
    <row r="457" spans="1:17" s="85" customFormat="1" ht="16.5" hidden="1" thickTop="1" thickBot="1" x14ac:dyDescent="0.3">
      <c r="A457" s="74" t="s">
        <v>111</v>
      </c>
      <c r="B457" s="25" t="s">
        <v>5</v>
      </c>
      <c r="C457" s="8" t="s">
        <v>0</v>
      </c>
      <c r="D457" s="7" t="s">
        <v>79</v>
      </c>
      <c r="E457" s="9" t="s">
        <v>64</v>
      </c>
      <c r="F457" s="10">
        <v>5</v>
      </c>
      <c r="G457" s="11" t="s">
        <v>17</v>
      </c>
      <c r="H457" s="7" t="s">
        <v>85</v>
      </c>
      <c r="I457" s="11" t="s">
        <v>15</v>
      </c>
      <c r="J457" s="11" t="s">
        <v>103</v>
      </c>
      <c r="K457" s="12">
        <v>4515.3853266453743</v>
      </c>
      <c r="L457" s="12">
        <f>K457</f>
        <v>4515.3853266453743</v>
      </c>
      <c r="M457" s="12">
        <v>0</v>
      </c>
      <c r="N457" s="12">
        <f>K457*2%</f>
        <v>90.307706532907488</v>
      </c>
      <c r="O457" s="12">
        <f>L457-N457</f>
        <v>4425.0776201124672</v>
      </c>
      <c r="P457" s="29">
        <v>10</v>
      </c>
    </row>
    <row r="458" spans="1:17" s="85" customFormat="1" ht="16.5" hidden="1" thickTop="1" thickBot="1" x14ac:dyDescent="0.3">
      <c r="A458" s="74" t="s">
        <v>111</v>
      </c>
      <c r="B458" s="25" t="s">
        <v>11</v>
      </c>
      <c r="C458" s="8" t="s">
        <v>0</v>
      </c>
      <c r="D458" s="7" t="s">
        <v>79</v>
      </c>
      <c r="E458" s="9" t="s">
        <v>64</v>
      </c>
      <c r="F458" s="10">
        <v>14</v>
      </c>
      <c r="G458" s="11" t="s">
        <v>139</v>
      </c>
      <c r="H458" s="7" t="s">
        <v>84</v>
      </c>
      <c r="I458" s="11" t="s">
        <v>7</v>
      </c>
      <c r="J458" s="11" t="s">
        <v>103</v>
      </c>
      <c r="K458" s="12">
        <v>16311.633340859998</v>
      </c>
      <c r="L458" s="12">
        <v>16311.633340859998</v>
      </c>
      <c r="M458" s="12">
        <v>0</v>
      </c>
      <c r="N458" s="12">
        <v>738.08295659999999</v>
      </c>
      <c r="O458" s="12">
        <v>15573.550384259999</v>
      </c>
      <c r="P458" s="29">
        <v>15</v>
      </c>
      <c r="Q458" s="85" t="s">
        <v>156</v>
      </c>
    </row>
    <row r="459" spans="1:17" s="85" customFormat="1" ht="16.5" hidden="1" thickTop="1" thickBot="1" x14ac:dyDescent="0.3">
      <c r="A459" s="91" t="s">
        <v>111</v>
      </c>
      <c r="B459" s="25" t="s">
        <v>13</v>
      </c>
      <c r="C459" s="8" t="s">
        <v>0</v>
      </c>
      <c r="D459" s="7" t="s">
        <v>79</v>
      </c>
      <c r="E459" s="9" t="s">
        <v>64</v>
      </c>
      <c r="F459" s="10">
        <v>14</v>
      </c>
      <c r="G459" s="11" t="s">
        <v>139</v>
      </c>
      <c r="H459" s="7" t="s">
        <v>84</v>
      </c>
      <c r="I459" s="11" t="s">
        <v>9</v>
      </c>
      <c r="J459" s="11" t="s">
        <v>103</v>
      </c>
      <c r="K459" s="12">
        <v>4158.1260499999999</v>
      </c>
      <c r="L459" s="12">
        <v>4158.1260499999999</v>
      </c>
      <c r="M459" s="12">
        <v>0</v>
      </c>
      <c r="N459" s="12">
        <v>188.15050000000002</v>
      </c>
      <c r="O459" s="12">
        <v>3969.9755499999997</v>
      </c>
      <c r="P459" s="29">
        <v>15</v>
      </c>
      <c r="Q459" s="85" t="s">
        <v>156</v>
      </c>
    </row>
    <row r="460" spans="1:17" s="85" customFormat="1" ht="16.5" hidden="1" thickTop="1" thickBot="1" x14ac:dyDescent="0.3">
      <c r="A460" s="91" t="s">
        <v>111</v>
      </c>
      <c r="B460" s="25" t="s">
        <v>13</v>
      </c>
      <c r="C460" s="8" t="s">
        <v>0</v>
      </c>
      <c r="D460" s="7" t="s">
        <v>79</v>
      </c>
      <c r="E460" s="9" t="s">
        <v>64</v>
      </c>
      <c r="F460" s="10">
        <v>14</v>
      </c>
      <c r="G460" s="11" t="s">
        <v>139</v>
      </c>
      <c r="H460" s="7" t="s">
        <v>84</v>
      </c>
      <c r="I460" s="11" t="s">
        <v>15</v>
      </c>
      <c r="J460" s="11" t="s">
        <v>103</v>
      </c>
      <c r="K460" s="12">
        <v>5282.5230083924998</v>
      </c>
      <c r="L460" s="12">
        <v>5282.5230083924998</v>
      </c>
      <c r="M460" s="12">
        <v>0</v>
      </c>
      <c r="N460" s="12">
        <v>239.02819042500002</v>
      </c>
      <c r="O460" s="12">
        <v>5043.4948179675002</v>
      </c>
      <c r="P460" s="29">
        <v>15</v>
      </c>
      <c r="Q460" s="85" t="s">
        <v>156</v>
      </c>
    </row>
    <row r="461" spans="1:17" s="85" customFormat="1" ht="16.5" hidden="1" thickTop="1" thickBot="1" x14ac:dyDescent="0.3">
      <c r="A461" s="91" t="s">
        <v>111</v>
      </c>
      <c r="B461" s="25" t="s">
        <v>10</v>
      </c>
      <c r="C461" s="8" t="s">
        <v>0</v>
      </c>
      <c r="D461" s="7" t="s">
        <v>79</v>
      </c>
      <c r="E461" s="9" t="s">
        <v>64</v>
      </c>
      <c r="F461" s="10">
        <v>14</v>
      </c>
      <c r="G461" s="11" t="s">
        <v>139</v>
      </c>
      <c r="H461" s="7" t="s">
        <v>84</v>
      </c>
      <c r="I461" s="11" t="s">
        <v>96</v>
      </c>
      <c r="J461" s="11" t="s">
        <v>103</v>
      </c>
      <c r="K461" s="12">
        <v>500</v>
      </c>
      <c r="L461" s="12">
        <v>500</v>
      </c>
      <c r="M461" s="12">
        <v>0</v>
      </c>
      <c r="N461" s="12">
        <v>0</v>
      </c>
      <c r="O461" s="12">
        <v>500</v>
      </c>
      <c r="P461" s="29">
        <v>15</v>
      </c>
      <c r="Q461" s="85" t="s">
        <v>156</v>
      </c>
    </row>
    <row r="462" spans="1:17" s="85" customFormat="1" ht="16.5" hidden="1" thickTop="1" thickBot="1" x14ac:dyDescent="0.3">
      <c r="A462" s="91" t="s">
        <v>111</v>
      </c>
      <c r="B462" s="25" t="s">
        <v>11</v>
      </c>
      <c r="C462" s="8" t="s">
        <v>61</v>
      </c>
      <c r="D462" s="7" t="s">
        <v>79</v>
      </c>
      <c r="E462" s="9" t="s">
        <v>64</v>
      </c>
      <c r="F462" s="10">
        <v>20</v>
      </c>
      <c r="G462" s="13" t="s">
        <v>43</v>
      </c>
      <c r="H462" s="7" t="s">
        <v>83</v>
      </c>
      <c r="I462" s="14" t="s">
        <v>30</v>
      </c>
      <c r="J462" s="14" t="s">
        <v>106</v>
      </c>
      <c r="K462" s="12">
        <v>230</v>
      </c>
      <c r="L462" s="12">
        <v>230</v>
      </c>
      <c r="M462" s="12">
        <v>0</v>
      </c>
      <c r="N462" s="12">
        <v>10</v>
      </c>
      <c r="O462" s="12">
        <v>190</v>
      </c>
      <c r="P462" s="29">
        <v>15</v>
      </c>
    </row>
    <row r="463" spans="1:17" s="85" customFormat="1" ht="16.5" hidden="1" thickTop="1" thickBot="1" x14ac:dyDescent="0.3">
      <c r="A463" s="91" t="s">
        <v>111</v>
      </c>
      <c r="B463" s="25" t="s">
        <v>11</v>
      </c>
      <c r="C463" s="8" t="s">
        <v>61</v>
      </c>
      <c r="D463" s="7" t="s">
        <v>79</v>
      </c>
      <c r="E463" s="9" t="s">
        <v>64</v>
      </c>
      <c r="F463" s="10">
        <v>20</v>
      </c>
      <c r="G463" s="13" t="s">
        <v>40</v>
      </c>
      <c r="H463" s="7" t="s">
        <v>83</v>
      </c>
      <c r="I463" s="14" t="s">
        <v>30</v>
      </c>
      <c r="J463" s="14" t="s">
        <v>107</v>
      </c>
      <c r="K463" s="12">
        <v>230</v>
      </c>
      <c r="L463" s="12">
        <v>230</v>
      </c>
      <c r="M463" s="12">
        <v>0</v>
      </c>
      <c r="N463" s="12">
        <v>10</v>
      </c>
      <c r="O463" s="12">
        <v>190</v>
      </c>
      <c r="P463" s="29">
        <v>10</v>
      </c>
    </row>
    <row r="464" spans="1:17" s="85" customFormat="1" ht="16.5" hidden="1" thickTop="1" thickBot="1" x14ac:dyDescent="0.3">
      <c r="A464" s="91" t="s">
        <v>111</v>
      </c>
      <c r="B464" s="25" t="s">
        <v>5</v>
      </c>
      <c r="C464" s="8" t="s">
        <v>25</v>
      </c>
      <c r="D464" s="7" t="s">
        <v>79</v>
      </c>
      <c r="E464" s="9" t="s">
        <v>64</v>
      </c>
      <c r="F464" s="10">
        <v>20</v>
      </c>
      <c r="G464" s="11" t="s">
        <v>146</v>
      </c>
      <c r="H464" s="7" t="s">
        <v>83</v>
      </c>
      <c r="I464" s="11" t="s">
        <v>145</v>
      </c>
      <c r="J464" s="11" t="s">
        <v>80</v>
      </c>
      <c r="K464" s="12">
        <v>10637.82</v>
      </c>
      <c r="L464" s="12">
        <v>10637.82</v>
      </c>
      <c r="M464" s="12">
        <v>0</v>
      </c>
      <c r="N464" s="12">
        <v>505.32979499999999</v>
      </c>
      <c r="O464" s="12">
        <v>10132.490205</v>
      </c>
      <c r="P464" s="29">
        <v>10</v>
      </c>
    </row>
    <row r="465" spans="1:16" s="85" customFormat="1" ht="16.5" hidden="1" thickTop="1" thickBot="1" x14ac:dyDescent="0.3">
      <c r="A465" s="91" t="s">
        <v>111</v>
      </c>
      <c r="B465" s="25" t="s">
        <v>5</v>
      </c>
      <c r="C465" s="8" t="s">
        <v>25</v>
      </c>
      <c r="D465" s="7" t="s">
        <v>79</v>
      </c>
      <c r="E465" s="9" t="s">
        <v>64</v>
      </c>
      <c r="F465" s="10">
        <v>20</v>
      </c>
      <c r="G465" s="11" t="s">
        <v>146</v>
      </c>
      <c r="H465" s="7" t="s">
        <v>83</v>
      </c>
      <c r="I465" s="11" t="s">
        <v>7</v>
      </c>
      <c r="J465" s="11" t="s">
        <v>80</v>
      </c>
      <c r="K465" s="12">
        <v>10048.870000000001</v>
      </c>
      <c r="L465" s="12">
        <v>10048.870000000001</v>
      </c>
      <c r="M465" s="12">
        <v>0</v>
      </c>
      <c r="N465" s="12">
        <v>481.34</v>
      </c>
      <c r="O465" s="12">
        <v>9567.5300000000007</v>
      </c>
      <c r="P465" s="29">
        <v>10</v>
      </c>
    </row>
    <row r="466" spans="1:16" s="85" customFormat="1" ht="16.5" hidden="1" thickTop="1" thickBot="1" x14ac:dyDescent="0.3">
      <c r="A466" s="74" t="s">
        <v>111</v>
      </c>
      <c r="B466" s="25" t="s">
        <v>11</v>
      </c>
      <c r="C466" s="8" t="s">
        <v>0</v>
      </c>
      <c r="D466" s="7" t="s">
        <v>79</v>
      </c>
      <c r="E466" s="9" t="s">
        <v>64</v>
      </c>
      <c r="F466" s="10">
        <v>22</v>
      </c>
      <c r="G466" s="11" t="s">
        <v>24</v>
      </c>
      <c r="H466" s="7" t="s">
        <v>83</v>
      </c>
      <c r="I466" s="11" t="s">
        <v>7</v>
      </c>
      <c r="J466" s="11" t="s">
        <v>80</v>
      </c>
      <c r="K466" s="12">
        <v>61581.4</v>
      </c>
      <c r="L466" s="12">
        <f>K466</f>
        <v>61581.4</v>
      </c>
      <c r="M466" s="12">
        <v>0</v>
      </c>
      <c r="N466" s="12">
        <f>L466*14%</f>
        <v>8621.3960000000006</v>
      </c>
      <c r="O466" s="12">
        <f>L466-N466</f>
        <v>52960.004000000001</v>
      </c>
      <c r="P466" s="29">
        <v>12</v>
      </c>
    </row>
    <row r="467" spans="1:16" s="85" customFormat="1" ht="16.5" hidden="1" thickTop="1" thickBot="1" x14ac:dyDescent="0.3">
      <c r="A467" s="74" t="s">
        <v>111</v>
      </c>
      <c r="B467" s="25" t="s">
        <v>13</v>
      </c>
      <c r="C467" s="8" t="s">
        <v>0</v>
      </c>
      <c r="D467" s="7" t="s">
        <v>79</v>
      </c>
      <c r="E467" s="9" t="s">
        <v>64</v>
      </c>
      <c r="F467" s="10">
        <v>22</v>
      </c>
      <c r="G467" s="11" t="s">
        <v>24</v>
      </c>
      <c r="H467" s="7" t="s">
        <v>83</v>
      </c>
      <c r="I467" s="11" t="s">
        <v>9</v>
      </c>
      <c r="J467" s="11" t="s">
        <v>80</v>
      </c>
      <c r="K467" s="12">
        <v>12949</v>
      </c>
      <c r="L467" s="12">
        <f>K467</f>
        <v>12949</v>
      </c>
      <c r="M467" s="12">
        <v>0</v>
      </c>
      <c r="N467" s="12">
        <f>L467*16%</f>
        <v>2071.84</v>
      </c>
      <c r="O467" s="12">
        <f>L467-N467</f>
        <v>10877.16</v>
      </c>
      <c r="P467" s="29">
        <v>12</v>
      </c>
    </row>
    <row r="468" spans="1:16" s="85" customFormat="1" ht="16.5" hidden="1" thickTop="1" thickBot="1" x14ac:dyDescent="0.3">
      <c r="A468" s="74" t="s">
        <v>111</v>
      </c>
      <c r="B468" s="25" t="s">
        <v>10</v>
      </c>
      <c r="C468" s="8" t="s">
        <v>0</v>
      </c>
      <c r="D468" s="7" t="s">
        <v>79</v>
      </c>
      <c r="E468" s="9" t="s">
        <v>64</v>
      </c>
      <c r="F468" s="10">
        <v>22</v>
      </c>
      <c r="G468" s="11" t="s">
        <v>24</v>
      </c>
      <c r="H468" s="7" t="s">
        <v>83</v>
      </c>
      <c r="I468" s="11" t="s">
        <v>96</v>
      </c>
      <c r="J468" s="11" t="s">
        <v>80</v>
      </c>
      <c r="K468" s="12">
        <v>1500</v>
      </c>
      <c r="L468" s="12">
        <v>1500</v>
      </c>
      <c r="M468" s="12">
        <v>0</v>
      </c>
      <c r="N468" s="12">
        <v>0</v>
      </c>
      <c r="O468" s="12">
        <v>1500</v>
      </c>
      <c r="P468" s="29">
        <v>12</v>
      </c>
    </row>
    <row r="469" spans="1:16" s="85" customFormat="1" ht="16.5" hidden="1" thickTop="1" thickBot="1" x14ac:dyDescent="0.3">
      <c r="A469" s="74" t="s">
        <v>111</v>
      </c>
      <c r="B469" s="25" t="s">
        <v>22</v>
      </c>
      <c r="C469" s="8" t="s">
        <v>25</v>
      </c>
      <c r="D469" s="7" t="s">
        <v>79</v>
      </c>
      <c r="E469" s="9" t="s">
        <v>64</v>
      </c>
      <c r="F469" s="10">
        <v>28</v>
      </c>
      <c r="G469" s="11" t="s">
        <v>135</v>
      </c>
      <c r="H469" s="7" t="s">
        <v>83</v>
      </c>
      <c r="I469" s="11" t="s">
        <v>7</v>
      </c>
      <c r="J469" s="11" t="s">
        <v>80</v>
      </c>
      <c r="K469" s="12">
        <v>17695.12745</v>
      </c>
      <c r="L469" s="12">
        <v>17695.12745</v>
      </c>
      <c r="M469" s="12">
        <v>0</v>
      </c>
      <c r="N469" s="12">
        <v>0</v>
      </c>
      <c r="O469" s="12">
        <v>17695.12745</v>
      </c>
      <c r="P469" s="29">
        <v>18</v>
      </c>
    </row>
    <row r="470" spans="1:16" s="85" customFormat="1" ht="16.5" hidden="1" thickTop="1" thickBot="1" x14ac:dyDescent="0.3">
      <c r="A470" s="91" t="s">
        <v>111</v>
      </c>
      <c r="B470" s="25" t="s">
        <v>11</v>
      </c>
      <c r="C470" s="8" t="s">
        <v>61</v>
      </c>
      <c r="D470" s="7" t="s">
        <v>79</v>
      </c>
      <c r="E470" s="9" t="s">
        <v>64</v>
      </c>
      <c r="F470" s="10">
        <v>20</v>
      </c>
      <c r="G470" s="13" t="s">
        <v>41</v>
      </c>
      <c r="H470" s="7" t="s">
        <v>83</v>
      </c>
      <c r="I470" s="14" t="s">
        <v>30</v>
      </c>
      <c r="J470" s="11" t="s">
        <v>80</v>
      </c>
      <c r="K470" s="12">
        <v>630</v>
      </c>
      <c r="L470" s="12">
        <v>630</v>
      </c>
      <c r="M470" s="12">
        <v>0</v>
      </c>
      <c r="N470" s="12">
        <v>30</v>
      </c>
      <c r="O470" s="12">
        <v>570</v>
      </c>
      <c r="P470" s="29">
        <v>25</v>
      </c>
    </row>
    <row r="471" spans="1:16" s="85" customFormat="1" ht="16.5" hidden="1" thickTop="1" thickBot="1" x14ac:dyDescent="0.3">
      <c r="A471" s="74" t="s">
        <v>111</v>
      </c>
      <c r="B471" s="25" t="s">
        <v>11</v>
      </c>
      <c r="C471" s="8" t="s">
        <v>0</v>
      </c>
      <c r="D471" s="7" t="s">
        <v>147</v>
      </c>
      <c r="E471" s="9" t="s">
        <v>64</v>
      </c>
      <c r="F471" s="10">
        <v>20</v>
      </c>
      <c r="G471" s="11" t="s">
        <v>151</v>
      </c>
      <c r="H471" s="7" t="s">
        <v>83</v>
      </c>
      <c r="I471" s="11" t="s">
        <v>30</v>
      </c>
      <c r="J471" s="11" t="s">
        <v>105</v>
      </c>
      <c r="K471" s="12">
        <v>690</v>
      </c>
      <c r="L471" s="12">
        <v>690</v>
      </c>
      <c r="M471" s="12">
        <v>0</v>
      </c>
      <c r="N471" s="12">
        <v>20.7</v>
      </c>
      <c r="O471" s="12">
        <f>L471-N471</f>
        <v>669.3</v>
      </c>
      <c r="P471" s="29">
        <v>7</v>
      </c>
    </row>
    <row r="472" spans="1:16" s="85" customFormat="1" ht="16.5" hidden="1" thickTop="1" thickBot="1" x14ac:dyDescent="0.3">
      <c r="A472" s="91" t="s">
        <v>111</v>
      </c>
      <c r="B472" s="25" t="s">
        <v>22</v>
      </c>
      <c r="C472" s="8" t="s">
        <v>25</v>
      </c>
      <c r="D472" s="7" t="s">
        <v>79</v>
      </c>
      <c r="E472" s="9" t="s">
        <v>64</v>
      </c>
      <c r="F472" s="10">
        <v>20</v>
      </c>
      <c r="G472" s="13" t="s">
        <v>31</v>
      </c>
      <c r="H472" s="7" t="s">
        <v>83</v>
      </c>
      <c r="I472" s="11" t="s">
        <v>7</v>
      </c>
      <c r="J472" s="11" t="s">
        <v>80</v>
      </c>
      <c r="K472" s="12">
        <v>19669</v>
      </c>
      <c r="L472" s="12">
        <v>19669</v>
      </c>
      <c r="M472" s="12">
        <v>0</v>
      </c>
      <c r="N472" s="12">
        <v>0</v>
      </c>
      <c r="O472" s="12">
        <v>19669</v>
      </c>
      <c r="P472" s="29">
        <v>30</v>
      </c>
    </row>
    <row r="473" spans="1:16" s="85" customFormat="1" ht="16.5" hidden="1" thickTop="1" thickBot="1" x14ac:dyDescent="0.3">
      <c r="A473" s="74" t="s">
        <v>111</v>
      </c>
      <c r="B473" s="25" t="s">
        <v>22</v>
      </c>
      <c r="C473" s="8" t="s">
        <v>62</v>
      </c>
      <c r="D473" s="7" t="s">
        <v>79</v>
      </c>
      <c r="E473" s="9" t="s">
        <v>64</v>
      </c>
      <c r="F473" s="10">
        <v>1</v>
      </c>
      <c r="G473" s="11" t="s">
        <v>58</v>
      </c>
      <c r="H473" s="7" t="s">
        <v>85</v>
      </c>
      <c r="I473" s="11" t="s">
        <v>9</v>
      </c>
      <c r="J473" s="11" t="s">
        <v>105</v>
      </c>
      <c r="K473" s="12">
        <v>19078.18811847</v>
      </c>
      <c r="L473" s="12">
        <v>11446.912871081999</v>
      </c>
      <c r="M473" s="12">
        <v>7631.275247388</v>
      </c>
      <c r="N473" s="12">
        <v>0</v>
      </c>
      <c r="O473" s="12">
        <v>19078.18811847</v>
      </c>
      <c r="P473" s="29">
        <v>30</v>
      </c>
    </row>
    <row r="474" spans="1:16" s="85" customFormat="1" ht="16.5" hidden="1" thickTop="1" thickBot="1" x14ac:dyDescent="0.3">
      <c r="A474" s="74" t="s">
        <v>111</v>
      </c>
      <c r="B474" s="25" t="s">
        <v>22</v>
      </c>
      <c r="C474" s="8" t="s">
        <v>62</v>
      </c>
      <c r="D474" s="7" t="s">
        <v>79</v>
      </c>
      <c r="E474" s="9" t="s">
        <v>64</v>
      </c>
      <c r="F474" s="10">
        <v>1</v>
      </c>
      <c r="G474" s="11" t="s">
        <v>58</v>
      </c>
      <c r="H474" s="7" t="s">
        <v>85</v>
      </c>
      <c r="I474" s="11" t="s">
        <v>113</v>
      </c>
      <c r="J474" s="11" t="s">
        <v>105</v>
      </c>
      <c r="K474" s="12">
        <v>875</v>
      </c>
      <c r="L474" s="12">
        <f>K474*60%</f>
        <v>525</v>
      </c>
      <c r="M474" s="12">
        <f>K474*40%</f>
        <v>350</v>
      </c>
      <c r="N474" s="12">
        <v>0</v>
      </c>
      <c r="O474" s="12">
        <f>L474+M474</f>
        <v>875</v>
      </c>
      <c r="P474" s="29">
        <v>30</v>
      </c>
    </row>
    <row r="475" spans="1:16" s="85" customFormat="1" ht="16.5" hidden="1" thickTop="1" thickBot="1" x14ac:dyDescent="0.3">
      <c r="A475" s="74" t="s">
        <v>111</v>
      </c>
      <c r="B475" s="25" t="s">
        <v>22</v>
      </c>
      <c r="C475" s="8" t="s">
        <v>60</v>
      </c>
      <c r="D475" s="7" t="s">
        <v>79</v>
      </c>
      <c r="E475" s="9" t="s">
        <v>64</v>
      </c>
      <c r="F475" s="10">
        <v>1</v>
      </c>
      <c r="G475" s="11" t="s">
        <v>35</v>
      </c>
      <c r="H475" s="7" t="s">
        <v>83</v>
      </c>
      <c r="I475" s="11" t="s">
        <v>9</v>
      </c>
      <c r="J475" s="11" t="s">
        <v>105</v>
      </c>
      <c r="K475" s="12">
        <v>23847.740911214998</v>
      </c>
      <c r="L475" s="12">
        <v>14308.644546728998</v>
      </c>
      <c r="M475" s="12">
        <v>9539.0963644860003</v>
      </c>
      <c r="N475" s="12">
        <v>0</v>
      </c>
      <c r="O475" s="12">
        <v>23847.740911214998</v>
      </c>
      <c r="P475" s="29">
        <v>30</v>
      </c>
    </row>
    <row r="476" spans="1:16" s="85" customFormat="1" ht="16.5" hidden="1" thickTop="1" thickBot="1" x14ac:dyDescent="0.3">
      <c r="A476" s="74" t="s">
        <v>111</v>
      </c>
      <c r="B476" s="25" t="s">
        <v>22</v>
      </c>
      <c r="C476" s="8" t="s">
        <v>61</v>
      </c>
      <c r="D476" s="7" t="s">
        <v>79</v>
      </c>
      <c r="E476" s="9" t="s">
        <v>64</v>
      </c>
      <c r="F476" s="10">
        <v>1</v>
      </c>
      <c r="G476" s="11" t="s">
        <v>132</v>
      </c>
      <c r="H476" s="7" t="s">
        <v>88</v>
      </c>
      <c r="I476" s="11" t="s">
        <v>9</v>
      </c>
      <c r="J476" s="11" t="s">
        <v>105</v>
      </c>
      <c r="K476" s="12">
        <v>33386.834650000004</v>
      </c>
      <c r="L476" s="12">
        <v>20032.10079</v>
      </c>
      <c r="M476" s="12">
        <v>13354.733860000002</v>
      </c>
      <c r="N476" s="12">
        <v>0</v>
      </c>
      <c r="O476" s="12">
        <v>33386.834650000004</v>
      </c>
      <c r="P476" s="29">
        <v>30</v>
      </c>
    </row>
    <row r="477" spans="1:16" s="85" customFormat="1" ht="16.5" hidden="1" thickTop="1" thickBot="1" x14ac:dyDescent="0.3">
      <c r="A477" s="74" t="s">
        <v>111</v>
      </c>
      <c r="B477" s="25" t="s">
        <v>22</v>
      </c>
      <c r="C477" s="8" t="s">
        <v>61</v>
      </c>
      <c r="D477" s="7" t="s">
        <v>79</v>
      </c>
      <c r="E477" s="9" t="s">
        <v>64</v>
      </c>
      <c r="F477" s="10">
        <v>1</v>
      </c>
      <c r="G477" s="11" t="s">
        <v>132</v>
      </c>
      <c r="H477" s="7" t="s">
        <v>88</v>
      </c>
      <c r="I477" s="11" t="s">
        <v>113</v>
      </c>
      <c r="J477" s="11" t="s">
        <v>105</v>
      </c>
      <c r="K477" s="12">
        <v>875</v>
      </c>
      <c r="L477" s="12">
        <f>K477*60%</f>
        <v>525</v>
      </c>
      <c r="M477" s="12">
        <f>K477*40%</f>
        <v>350</v>
      </c>
      <c r="N477" s="12">
        <v>0</v>
      </c>
      <c r="O477" s="12">
        <f>L477+M477</f>
        <v>875</v>
      </c>
      <c r="P477" s="29">
        <v>30</v>
      </c>
    </row>
    <row r="478" spans="1:16" s="85" customFormat="1" ht="16.5" hidden="1" thickTop="1" thickBot="1" x14ac:dyDescent="0.3">
      <c r="A478" s="74" t="s">
        <v>111</v>
      </c>
      <c r="B478" s="25" t="s">
        <v>22</v>
      </c>
      <c r="C478" s="8" t="s">
        <v>60</v>
      </c>
      <c r="D478" s="7" t="s">
        <v>79</v>
      </c>
      <c r="E478" s="9" t="s">
        <v>64</v>
      </c>
      <c r="F478" s="10">
        <v>1</v>
      </c>
      <c r="G478" s="11" t="s">
        <v>38</v>
      </c>
      <c r="H478" s="7" t="s">
        <v>85</v>
      </c>
      <c r="I478" s="11" t="s">
        <v>9</v>
      </c>
      <c r="J478" s="11" t="s">
        <v>105</v>
      </c>
      <c r="K478" s="12">
        <v>9539.0940592349998</v>
      </c>
      <c r="L478" s="12">
        <v>5723.4564355409993</v>
      </c>
      <c r="M478" s="12">
        <v>3815.637623694</v>
      </c>
      <c r="N478" s="12">
        <v>0</v>
      </c>
      <c r="O478" s="12">
        <v>9539.0940592349998</v>
      </c>
      <c r="P478" s="29">
        <v>30</v>
      </c>
    </row>
    <row r="479" spans="1:16" s="85" customFormat="1" ht="16.5" hidden="1" thickTop="1" thickBot="1" x14ac:dyDescent="0.3">
      <c r="A479" s="74" t="s">
        <v>111</v>
      </c>
      <c r="B479" s="25" t="s">
        <v>22</v>
      </c>
      <c r="C479" s="8" t="s">
        <v>61</v>
      </c>
      <c r="D479" s="7" t="s">
        <v>79</v>
      </c>
      <c r="E479" s="9" t="s">
        <v>64</v>
      </c>
      <c r="F479" s="10">
        <v>1</v>
      </c>
      <c r="G479" s="11" t="s">
        <v>47</v>
      </c>
      <c r="H479" s="7" t="s">
        <v>85</v>
      </c>
      <c r="I479" s="11" t="s">
        <v>9</v>
      </c>
      <c r="J479" s="11" t="s">
        <v>105</v>
      </c>
      <c r="K479" s="12">
        <v>33354.561456449999</v>
      </c>
      <c r="L479" s="12">
        <v>20012.736873869999</v>
      </c>
      <c r="M479" s="12">
        <v>13341.82458258</v>
      </c>
      <c r="N479" s="12">
        <v>0</v>
      </c>
      <c r="O479" s="12">
        <v>33354.561456449999</v>
      </c>
      <c r="P479" s="29">
        <v>30</v>
      </c>
    </row>
    <row r="480" spans="1:16" s="85" customFormat="1" ht="16.5" hidden="1" thickTop="1" thickBot="1" x14ac:dyDescent="0.3">
      <c r="A480" s="74" t="s">
        <v>111</v>
      </c>
      <c r="B480" s="25" t="s">
        <v>22</v>
      </c>
      <c r="C480" s="8" t="s">
        <v>61</v>
      </c>
      <c r="D480" s="7" t="s">
        <v>79</v>
      </c>
      <c r="E480" s="9" t="s">
        <v>64</v>
      </c>
      <c r="F480" s="10">
        <v>1</v>
      </c>
      <c r="G480" s="11" t="s">
        <v>47</v>
      </c>
      <c r="H480" s="7" t="s">
        <v>85</v>
      </c>
      <c r="I480" s="11" t="s">
        <v>113</v>
      </c>
      <c r="J480" s="11" t="s">
        <v>105</v>
      </c>
      <c r="K480" s="12">
        <v>875</v>
      </c>
      <c r="L480" s="12">
        <f>K480*60%</f>
        <v>525</v>
      </c>
      <c r="M480" s="12">
        <f>K480*40%</f>
        <v>350</v>
      </c>
      <c r="N480" s="12">
        <v>0</v>
      </c>
      <c r="O480" s="12">
        <f>L480+M480</f>
        <v>875</v>
      </c>
      <c r="P480" s="29">
        <v>30</v>
      </c>
    </row>
    <row r="481" spans="1:16" s="85" customFormat="1" ht="16.5" hidden="1" thickTop="1" thickBot="1" x14ac:dyDescent="0.3">
      <c r="A481" s="74" t="s">
        <v>111</v>
      </c>
      <c r="B481" s="25" t="s">
        <v>22</v>
      </c>
      <c r="C481" s="8" t="s">
        <v>62</v>
      </c>
      <c r="D481" s="7" t="s">
        <v>79</v>
      </c>
      <c r="E481" s="9" t="s">
        <v>64</v>
      </c>
      <c r="F481" s="10">
        <v>1</v>
      </c>
      <c r="G481" s="11" t="s">
        <v>54</v>
      </c>
      <c r="H481" s="7" t="s">
        <v>85</v>
      </c>
      <c r="I481" s="11" t="s">
        <v>20</v>
      </c>
      <c r="J481" s="11" t="s">
        <v>105</v>
      </c>
      <c r="K481" s="12">
        <v>40617.404573265005</v>
      </c>
      <c r="L481" s="12">
        <v>24370.442743959004</v>
      </c>
      <c r="M481" s="12">
        <v>16246.961829306003</v>
      </c>
      <c r="N481" s="12">
        <v>0</v>
      </c>
      <c r="O481" s="12">
        <v>40617.404573265005</v>
      </c>
      <c r="P481" s="29">
        <v>30</v>
      </c>
    </row>
    <row r="482" spans="1:16" s="85" customFormat="1" ht="16.5" hidden="1" thickTop="1" thickBot="1" x14ac:dyDescent="0.3">
      <c r="A482" s="74" t="s">
        <v>111</v>
      </c>
      <c r="B482" s="25" t="s">
        <v>22</v>
      </c>
      <c r="C482" s="8" t="s">
        <v>62</v>
      </c>
      <c r="D482" s="7" t="s">
        <v>79</v>
      </c>
      <c r="E482" s="9" t="s">
        <v>64</v>
      </c>
      <c r="F482" s="10">
        <v>1</v>
      </c>
      <c r="G482" s="11" t="s">
        <v>54</v>
      </c>
      <c r="H482" s="7" t="s">
        <v>85</v>
      </c>
      <c r="I482" s="11" t="s">
        <v>9</v>
      </c>
      <c r="J482" s="11" t="s">
        <v>105</v>
      </c>
      <c r="K482" s="12">
        <v>33354.561456449999</v>
      </c>
      <c r="L482" s="12">
        <v>20012.736873869999</v>
      </c>
      <c r="M482" s="12">
        <v>13341.82458258</v>
      </c>
      <c r="N482" s="12">
        <v>0</v>
      </c>
      <c r="O482" s="12">
        <v>33354.561456449999</v>
      </c>
      <c r="P482" s="29">
        <v>30</v>
      </c>
    </row>
    <row r="483" spans="1:16" s="85" customFormat="1" ht="16.5" hidden="1" thickTop="1" thickBot="1" x14ac:dyDescent="0.3">
      <c r="A483" s="74" t="s">
        <v>111</v>
      </c>
      <c r="B483" s="25" t="s">
        <v>22</v>
      </c>
      <c r="C483" s="8" t="s">
        <v>61</v>
      </c>
      <c r="D483" s="7" t="s">
        <v>79</v>
      </c>
      <c r="E483" s="9" t="s">
        <v>64</v>
      </c>
      <c r="F483" s="10">
        <v>1</v>
      </c>
      <c r="G483" s="11" t="s">
        <v>46</v>
      </c>
      <c r="H483" s="7" t="s">
        <v>85</v>
      </c>
      <c r="I483" s="11" t="s">
        <v>20</v>
      </c>
      <c r="J483" s="11" t="s">
        <v>105</v>
      </c>
      <c r="K483" s="12">
        <v>58492.355406029994</v>
      </c>
      <c r="L483" s="12">
        <v>35095.413243617993</v>
      </c>
      <c r="M483" s="12">
        <v>23396.942162412</v>
      </c>
      <c r="N483" s="12">
        <v>0</v>
      </c>
      <c r="O483" s="12">
        <v>58492.355406029994</v>
      </c>
      <c r="P483" s="29">
        <v>30</v>
      </c>
    </row>
    <row r="484" spans="1:16" s="85" customFormat="1" ht="16.5" hidden="1" thickTop="1" thickBot="1" x14ac:dyDescent="0.3">
      <c r="A484" s="74" t="s">
        <v>111</v>
      </c>
      <c r="B484" s="25" t="s">
        <v>22</v>
      </c>
      <c r="C484" s="8" t="s">
        <v>61</v>
      </c>
      <c r="D484" s="7" t="s">
        <v>79</v>
      </c>
      <c r="E484" s="9" t="s">
        <v>64</v>
      </c>
      <c r="F484" s="10">
        <v>1</v>
      </c>
      <c r="G484" s="11" t="s">
        <v>46</v>
      </c>
      <c r="H484" s="7" t="s">
        <v>85</v>
      </c>
      <c r="I484" s="11" t="s">
        <v>98</v>
      </c>
      <c r="J484" s="11" t="s">
        <v>105</v>
      </c>
      <c r="K484" s="12">
        <v>3457.8765000000003</v>
      </c>
      <c r="L484" s="12">
        <v>2074.7258999999999</v>
      </c>
      <c r="M484" s="12">
        <v>1383.1506000000002</v>
      </c>
      <c r="N484" s="12">
        <v>0</v>
      </c>
      <c r="O484" s="12">
        <v>3457.8765000000003</v>
      </c>
      <c r="P484" s="29">
        <v>30</v>
      </c>
    </row>
    <row r="485" spans="1:16" s="85" customFormat="1" ht="16.5" hidden="1" thickTop="1" thickBot="1" x14ac:dyDescent="0.3">
      <c r="A485" s="74" t="s">
        <v>111</v>
      </c>
      <c r="B485" s="25" t="s">
        <v>22</v>
      </c>
      <c r="C485" s="8" t="s">
        <v>61</v>
      </c>
      <c r="D485" s="7" t="s">
        <v>79</v>
      </c>
      <c r="E485" s="9" t="s">
        <v>64</v>
      </c>
      <c r="F485" s="10">
        <v>1</v>
      </c>
      <c r="G485" s="11" t="s">
        <v>46</v>
      </c>
      <c r="H485" s="7" t="s">
        <v>85</v>
      </c>
      <c r="I485" s="11" t="s">
        <v>9</v>
      </c>
      <c r="J485" s="11" t="s">
        <v>105</v>
      </c>
      <c r="K485" s="12">
        <v>42925.929029685009</v>
      </c>
      <c r="L485" s="12">
        <v>25755.557417811004</v>
      </c>
      <c r="M485" s="12">
        <v>17170.371611874005</v>
      </c>
      <c r="N485" s="12">
        <v>0</v>
      </c>
      <c r="O485" s="12">
        <v>42925.929029685009</v>
      </c>
      <c r="P485" s="29">
        <v>30</v>
      </c>
    </row>
    <row r="486" spans="1:16" s="85" customFormat="1" ht="16.5" hidden="1" thickTop="1" thickBot="1" x14ac:dyDescent="0.3">
      <c r="A486" s="74" t="s">
        <v>111</v>
      </c>
      <c r="B486" s="25" t="s">
        <v>22</v>
      </c>
      <c r="C486" s="8" t="s">
        <v>61</v>
      </c>
      <c r="D486" s="7" t="s">
        <v>79</v>
      </c>
      <c r="E486" s="9" t="s">
        <v>64</v>
      </c>
      <c r="F486" s="10">
        <v>1</v>
      </c>
      <c r="G486" s="11" t="s">
        <v>46</v>
      </c>
      <c r="H486" s="7" t="s">
        <v>85</v>
      </c>
      <c r="I486" s="11" t="s">
        <v>97</v>
      </c>
      <c r="J486" s="11" t="s">
        <v>105</v>
      </c>
      <c r="K486" s="12">
        <v>7072</v>
      </c>
      <c r="L486" s="12">
        <v>4243.2</v>
      </c>
      <c r="M486" s="12">
        <v>2828.8</v>
      </c>
      <c r="N486" s="12">
        <v>0</v>
      </c>
      <c r="O486" s="12">
        <v>7072</v>
      </c>
      <c r="P486" s="29">
        <v>30</v>
      </c>
    </row>
    <row r="487" spans="1:16" s="85" customFormat="1" ht="16.5" hidden="1" thickTop="1" thickBot="1" x14ac:dyDescent="0.3">
      <c r="A487" s="74" t="s">
        <v>111</v>
      </c>
      <c r="B487" s="25" t="s">
        <v>22</v>
      </c>
      <c r="C487" s="8" t="s">
        <v>61</v>
      </c>
      <c r="D487" s="7" t="s">
        <v>79</v>
      </c>
      <c r="E487" s="9" t="s">
        <v>64</v>
      </c>
      <c r="F487" s="10">
        <v>1</v>
      </c>
      <c r="G487" s="11" t="s">
        <v>46</v>
      </c>
      <c r="H487" s="7" t="s">
        <v>85</v>
      </c>
      <c r="I487" s="11" t="s">
        <v>113</v>
      </c>
      <c r="J487" s="11" t="s">
        <v>105</v>
      </c>
      <c r="K487" s="12">
        <v>875</v>
      </c>
      <c r="L487" s="12">
        <f>K487*60%</f>
        <v>525</v>
      </c>
      <c r="M487" s="12">
        <f>K487*40%</f>
        <v>350</v>
      </c>
      <c r="N487" s="12">
        <v>0</v>
      </c>
      <c r="O487" s="12">
        <f>L487+M487</f>
        <v>875</v>
      </c>
      <c r="P487" s="29">
        <v>30</v>
      </c>
    </row>
    <row r="488" spans="1:16" s="85" customFormat="1" ht="16.5" hidden="1" thickTop="1" thickBot="1" x14ac:dyDescent="0.3">
      <c r="A488" s="74" t="s">
        <v>111</v>
      </c>
      <c r="B488" s="25" t="s">
        <v>22</v>
      </c>
      <c r="C488" s="8" t="s">
        <v>61</v>
      </c>
      <c r="D488" s="7" t="s">
        <v>79</v>
      </c>
      <c r="E488" s="9" t="s">
        <v>64</v>
      </c>
      <c r="F488" s="10">
        <v>1</v>
      </c>
      <c r="G488" s="11" t="s">
        <v>129</v>
      </c>
      <c r="H488" s="7" t="s">
        <v>85</v>
      </c>
      <c r="I488" s="11" t="s">
        <v>9</v>
      </c>
      <c r="J488" s="11" t="s">
        <v>105</v>
      </c>
      <c r="K488" s="12">
        <v>28617.27895</v>
      </c>
      <c r="L488" s="12">
        <v>17170.36737</v>
      </c>
      <c r="M488" s="12">
        <v>11446.91158</v>
      </c>
      <c r="N488" s="12">
        <v>0</v>
      </c>
      <c r="O488" s="12">
        <v>28617.27895</v>
      </c>
      <c r="P488" s="29">
        <v>30</v>
      </c>
    </row>
    <row r="489" spans="1:16" s="85" customFormat="1" ht="16.5" hidden="1" thickTop="1" thickBot="1" x14ac:dyDescent="0.3">
      <c r="A489" s="74" t="s">
        <v>111</v>
      </c>
      <c r="B489" s="25" t="s">
        <v>22</v>
      </c>
      <c r="C489" s="8" t="s">
        <v>61</v>
      </c>
      <c r="D489" s="7" t="s">
        <v>79</v>
      </c>
      <c r="E489" s="9" t="s">
        <v>64</v>
      </c>
      <c r="F489" s="10">
        <v>1</v>
      </c>
      <c r="G489" s="11" t="s">
        <v>129</v>
      </c>
      <c r="H489" s="7" t="s">
        <v>85</v>
      </c>
      <c r="I489" s="11" t="s">
        <v>113</v>
      </c>
      <c r="J489" s="11" t="s">
        <v>105</v>
      </c>
      <c r="K489" s="12">
        <v>875</v>
      </c>
      <c r="L489" s="12">
        <f>K489*60%</f>
        <v>525</v>
      </c>
      <c r="M489" s="12">
        <f>K489*40%</f>
        <v>350</v>
      </c>
      <c r="N489" s="12">
        <v>0</v>
      </c>
      <c r="O489" s="12">
        <f>L489+M489</f>
        <v>875</v>
      </c>
      <c r="P489" s="29">
        <v>30</v>
      </c>
    </row>
    <row r="490" spans="1:16" s="85" customFormat="1" ht="16.5" hidden="1" thickTop="1" thickBot="1" x14ac:dyDescent="0.3">
      <c r="A490" s="74" t="s">
        <v>111</v>
      </c>
      <c r="B490" s="25" t="s">
        <v>22</v>
      </c>
      <c r="C490" s="8" t="s">
        <v>60</v>
      </c>
      <c r="D490" s="7" t="s">
        <v>79</v>
      </c>
      <c r="E490" s="9" t="s">
        <v>64</v>
      </c>
      <c r="F490" s="10">
        <v>1</v>
      </c>
      <c r="G490" s="11" t="s">
        <v>34</v>
      </c>
      <c r="H490" s="7" t="s">
        <v>87</v>
      </c>
      <c r="I490" s="11" t="s">
        <v>20</v>
      </c>
      <c r="J490" s="11" t="s">
        <v>105</v>
      </c>
      <c r="K490" s="12">
        <v>40851.191603430001</v>
      </c>
      <c r="L490" s="12">
        <v>24510.714962057998</v>
      </c>
      <c r="M490" s="12">
        <v>16340.476641372001</v>
      </c>
      <c r="N490" s="12">
        <v>0</v>
      </c>
      <c r="O490" s="12">
        <v>40851.191603430001</v>
      </c>
      <c r="P490" s="29">
        <v>30</v>
      </c>
    </row>
    <row r="491" spans="1:16" s="85" customFormat="1" ht="16.5" hidden="1" thickTop="1" thickBot="1" x14ac:dyDescent="0.3">
      <c r="A491" s="74" t="s">
        <v>111</v>
      </c>
      <c r="B491" s="25" t="s">
        <v>22</v>
      </c>
      <c r="C491" s="8" t="s">
        <v>60</v>
      </c>
      <c r="D491" s="7" t="s">
        <v>79</v>
      </c>
      <c r="E491" s="9" t="s">
        <v>64</v>
      </c>
      <c r="F491" s="10">
        <v>1</v>
      </c>
      <c r="G491" s="11" t="s">
        <v>34</v>
      </c>
      <c r="H491" s="7" t="s">
        <v>87</v>
      </c>
      <c r="I491" s="11" t="s">
        <v>9</v>
      </c>
      <c r="J491" s="11" t="s">
        <v>105</v>
      </c>
      <c r="K491" s="12">
        <v>33354.561456449999</v>
      </c>
      <c r="L491" s="12">
        <v>20012.736873869999</v>
      </c>
      <c r="M491" s="12">
        <v>13341.82458258</v>
      </c>
      <c r="N491" s="12">
        <v>0</v>
      </c>
      <c r="O491" s="12">
        <v>33354.561456449999</v>
      </c>
      <c r="P491" s="29">
        <v>30</v>
      </c>
    </row>
    <row r="492" spans="1:16" s="85" customFormat="1" ht="16.5" hidden="1" thickTop="1" thickBot="1" x14ac:dyDescent="0.3">
      <c r="A492" s="74" t="s">
        <v>111</v>
      </c>
      <c r="B492" s="25" t="s">
        <v>22</v>
      </c>
      <c r="C492" s="8" t="s">
        <v>60</v>
      </c>
      <c r="D492" s="7" t="s">
        <v>79</v>
      </c>
      <c r="E492" s="9" t="s">
        <v>64</v>
      </c>
      <c r="F492" s="10">
        <v>1</v>
      </c>
      <c r="G492" s="11" t="s">
        <v>34</v>
      </c>
      <c r="H492" s="7" t="s">
        <v>87</v>
      </c>
      <c r="I492" s="11" t="s">
        <v>113</v>
      </c>
      <c r="J492" s="11" t="s">
        <v>105</v>
      </c>
      <c r="K492" s="12">
        <v>875</v>
      </c>
      <c r="L492" s="12">
        <f>K492*60%</f>
        <v>525</v>
      </c>
      <c r="M492" s="12">
        <f>K492*40%</f>
        <v>350</v>
      </c>
      <c r="N492" s="12">
        <v>0</v>
      </c>
      <c r="O492" s="12">
        <f>L492+M492</f>
        <v>875</v>
      </c>
      <c r="P492" s="29">
        <v>30</v>
      </c>
    </row>
    <row r="493" spans="1:16" s="85" customFormat="1" ht="16.5" hidden="1" thickTop="1" thickBot="1" x14ac:dyDescent="0.3">
      <c r="A493" s="74" t="s">
        <v>111</v>
      </c>
      <c r="B493" s="25" t="s">
        <v>22</v>
      </c>
      <c r="C493" s="8" t="s">
        <v>60</v>
      </c>
      <c r="D493" s="7" t="s">
        <v>79</v>
      </c>
      <c r="E493" s="9" t="s">
        <v>64</v>
      </c>
      <c r="F493" s="10">
        <v>1</v>
      </c>
      <c r="G493" s="11" t="s">
        <v>93</v>
      </c>
      <c r="H493" s="7" t="s">
        <v>85</v>
      </c>
      <c r="I493" s="11" t="s">
        <v>9</v>
      </c>
      <c r="J493" s="11" t="s">
        <v>105</v>
      </c>
      <c r="K493" s="12">
        <v>19078.18811847</v>
      </c>
      <c r="L493" s="12">
        <v>11446.912871081999</v>
      </c>
      <c r="M493" s="12">
        <v>7631.275247388</v>
      </c>
      <c r="N493" s="12">
        <v>0</v>
      </c>
      <c r="O493" s="12">
        <v>19078.18811847</v>
      </c>
      <c r="P493" s="29">
        <v>30</v>
      </c>
    </row>
    <row r="494" spans="1:16" s="85" customFormat="1" ht="16.5" hidden="1" thickTop="1" thickBot="1" x14ac:dyDescent="0.3">
      <c r="A494" s="74" t="s">
        <v>111</v>
      </c>
      <c r="B494" s="25" t="s">
        <v>5</v>
      </c>
      <c r="C494" s="8" t="s">
        <v>61</v>
      </c>
      <c r="D494" s="7" t="s">
        <v>79</v>
      </c>
      <c r="E494" s="9" t="s">
        <v>64</v>
      </c>
      <c r="F494" s="10">
        <v>1</v>
      </c>
      <c r="G494" s="11" t="s">
        <v>45</v>
      </c>
      <c r="H494" s="7" t="s">
        <v>91</v>
      </c>
      <c r="I494" s="11" t="s">
        <v>20</v>
      </c>
      <c r="J494" s="11" t="s">
        <v>105</v>
      </c>
      <c r="K494" s="12">
        <v>40617.404573265005</v>
      </c>
      <c r="L494" s="12">
        <v>24370.442743959004</v>
      </c>
      <c r="M494" s="12">
        <v>16246.961829306003</v>
      </c>
      <c r="N494" s="12">
        <v>1837.8916096500002</v>
      </c>
      <c r="O494" s="12">
        <v>38779.512963615001</v>
      </c>
      <c r="P494" s="29">
        <v>30</v>
      </c>
    </row>
    <row r="495" spans="1:16" s="85" customFormat="1" ht="16.5" hidden="1" thickTop="1" thickBot="1" x14ac:dyDescent="0.3">
      <c r="A495" s="74" t="s">
        <v>111</v>
      </c>
      <c r="B495" s="25" t="s">
        <v>5</v>
      </c>
      <c r="C495" s="8" t="s">
        <v>61</v>
      </c>
      <c r="D495" s="7" t="s">
        <v>79</v>
      </c>
      <c r="E495" s="9" t="s">
        <v>64</v>
      </c>
      <c r="F495" s="10">
        <v>1</v>
      </c>
      <c r="G495" s="11" t="s">
        <v>45</v>
      </c>
      <c r="H495" s="7" t="s">
        <v>91</v>
      </c>
      <c r="I495" s="11" t="s">
        <v>9</v>
      </c>
      <c r="J495" s="11" t="s">
        <v>105</v>
      </c>
      <c r="K495" s="12">
        <v>28617.282177705001</v>
      </c>
      <c r="L495" s="12">
        <v>17170.369306623001</v>
      </c>
      <c r="M495" s="12">
        <v>11446.912871082</v>
      </c>
      <c r="N495" s="12">
        <v>1294.8996460500002</v>
      </c>
      <c r="O495" s="12">
        <v>27322.382531654999</v>
      </c>
      <c r="P495" s="29">
        <v>30</v>
      </c>
    </row>
    <row r="496" spans="1:16" s="85" customFormat="1" ht="16.5" hidden="1" thickTop="1" thickBot="1" x14ac:dyDescent="0.3">
      <c r="A496" s="74" t="s">
        <v>111</v>
      </c>
      <c r="B496" s="25" t="s">
        <v>5</v>
      </c>
      <c r="C496" s="8" t="s">
        <v>61</v>
      </c>
      <c r="D496" s="7" t="s">
        <v>79</v>
      </c>
      <c r="E496" s="9" t="s">
        <v>64</v>
      </c>
      <c r="F496" s="10">
        <v>1</v>
      </c>
      <c r="G496" s="11" t="s">
        <v>45</v>
      </c>
      <c r="H496" s="7" t="s">
        <v>91</v>
      </c>
      <c r="I496" s="11" t="s">
        <v>113</v>
      </c>
      <c r="J496" s="11" t="s">
        <v>105</v>
      </c>
      <c r="K496" s="12">
        <v>875</v>
      </c>
      <c r="L496" s="12">
        <f>K496*60%</f>
        <v>525</v>
      </c>
      <c r="M496" s="12">
        <f>K496*40%</f>
        <v>350</v>
      </c>
      <c r="N496" s="12">
        <v>0</v>
      </c>
      <c r="O496" s="12">
        <f>L496+M496</f>
        <v>875</v>
      </c>
      <c r="P496" s="29">
        <v>30</v>
      </c>
    </row>
    <row r="497" spans="1:17" s="85" customFormat="1" ht="16.5" hidden="1" thickTop="1" thickBot="1" x14ac:dyDescent="0.3">
      <c r="A497" s="74" t="s">
        <v>111</v>
      </c>
      <c r="B497" s="25" t="s">
        <v>22</v>
      </c>
      <c r="C497" s="8" t="s">
        <v>60</v>
      </c>
      <c r="D497" s="7" t="s">
        <v>79</v>
      </c>
      <c r="E497" s="9" t="s">
        <v>64</v>
      </c>
      <c r="F497" s="10">
        <v>1</v>
      </c>
      <c r="G497" s="11" t="s">
        <v>36</v>
      </c>
      <c r="H497" s="7" t="s">
        <v>89</v>
      </c>
      <c r="I497" s="11" t="s">
        <v>20</v>
      </c>
      <c r="J497" s="11" t="s">
        <v>105</v>
      </c>
      <c r="K497" s="12">
        <v>40851.191603430001</v>
      </c>
      <c r="L497" s="12">
        <v>24510.714962057998</v>
      </c>
      <c r="M497" s="12">
        <v>16340.476641372001</v>
      </c>
      <c r="N497" s="12">
        <v>0</v>
      </c>
      <c r="O497" s="12">
        <v>40851.191603430001</v>
      </c>
      <c r="P497" s="29">
        <v>30</v>
      </c>
    </row>
    <row r="498" spans="1:17" s="85" customFormat="1" ht="16.5" hidden="1" thickTop="1" thickBot="1" x14ac:dyDescent="0.3">
      <c r="A498" s="74" t="s">
        <v>111</v>
      </c>
      <c r="B498" s="25" t="s">
        <v>22</v>
      </c>
      <c r="C498" s="8" t="s">
        <v>60</v>
      </c>
      <c r="D498" s="7" t="s">
        <v>79</v>
      </c>
      <c r="E498" s="9" t="s">
        <v>64</v>
      </c>
      <c r="F498" s="10">
        <v>1</v>
      </c>
      <c r="G498" s="11" t="s">
        <v>36</v>
      </c>
      <c r="H498" s="7" t="s">
        <v>89</v>
      </c>
      <c r="I498" s="11" t="s">
        <v>9</v>
      </c>
      <c r="J498" s="11" t="s">
        <v>105</v>
      </c>
      <c r="K498" s="12">
        <v>33354.561456449999</v>
      </c>
      <c r="L498" s="12">
        <v>20012.736873869999</v>
      </c>
      <c r="M498" s="12">
        <v>13341.82458258</v>
      </c>
      <c r="N498" s="12">
        <v>0</v>
      </c>
      <c r="O498" s="12">
        <v>33354.561456449999</v>
      </c>
      <c r="P498" s="29">
        <v>30</v>
      </c>
    </row>
    <row r="499" spans="1:17" s="85" customFormat="1" ht="16.5" hidden="1" thickTop="1" thickBot="1" x14ac:dyDescent="0.3">
      <c r="A499" s="74" t="s">
        <v>111</v>
      </c>
      <c r="B499" s="25" t="s">
        <v>22</v>
      </c>
      <c r="C499" s="8" t="s">
        <v>60</v>
      </c>
      <c r="D499" s="7" t="s">
        <v>79</v>
      </c>
      <c r="E499" s="9" t="s">
        <v>64</v>
      </c>
      <c r="F499" s="10">
        <v>1</v>
      </c>
      <c r="G499" s="11" t="s">
        <v>36</v>
      </c>
      <c r="H499" s="7" t="s">
        <v>89</v>
      </c>
      <c r="I499" s="11" t="s">
        <v>113</v>
      </c>
      <c r="J499" s="11" t="s">
        <v>105</v>
      </c>
      <c r="K499" s="12">
        <v>875</v>
      </c>
      <c r="L499" s="12">
        <f>K499*60%</f>
        <v>525</v>
      </c>
      <c r="M499" s="12">
        <f>K499*40%</f>
        <v>350</v>
      </c>
      <c r="N499" s="12">
        <v>0</v>
      </c>
      <c r="O499" s="12">
        <f>L499+M499</f>
        <v>875</v>
      </c>
      <c r="P499" s="29">
        <v>30</v>
      </c>
    </row>
    <row r="500" spans="1:17" s="85" customFormat="1" ht="16.5" hidden="1" thickTop="1" thickBot="1" x14ac:dyDescent="0.3">
      <c r="A500" s="91" t="s">
        <v>111</v>
      </c>
      <c r="B500" s="25" t="s">
        <v>22</v>
      </c>
      <c r="C500" s="8" t="s">
        <v>62</v>
      </c>
      <c r="D500" s="7" t="s">
        <v>79</v>
      </c>
      <c r="E500" s="9" t="s">
        <v>64</v>
      </c>
      <c r="F500" s="10">
        <v>1</v>
      </c>
      <c r="G500" s="11" t="s">
        <v>55</v>
      </c>
      <c r="H500" s="7" t="s">
        <v>85</v>
      </c>
      <c r="I500" s="11" t="s">
        <v>20</v>
      </c>
      <c r="J500" s="11" t="s">
        <v>105</v>
      </c>
      <c r="K500" s="12">
        <v>34814.822702400001</v>
      </c>
      <c r="L500" s="12">
        <v>20888.893621439998</v>
      </c>
      <c r="M500" s="12">
        <v>13925.929080960001</v>
      </c>
      <c r="N500" s="12">
        <v>0</v>
      </c>
      <c r="O500" s="12">
        <v>34814.822702400001</v>
      </c>
      <c r="P500" s="29">
        <v>30</v>
      </c>
    </row>
    <row r="501" spans="1:17" s="85" customFormat="1" ht="16.5" hidden="1" thickTop="1" thickBot="1" x14ac:dyDescent="0.3">
      <c r="A501" s="91" t="s">
        <v>111</v>
      </c>
      <c r="B501" s="25" t="s">
        <v>22</v>
      </c>
      <c r="C501" s="8" t="s">
        <v>62</v>
      </c>
      <c r="D501" s="7" t="s">
        <v>79</v>
      </c>
      <c r="E501" s="9" t="s">
        <v>64</v>
      </c>
      <c r="F501" s="10">
        <v>1</v>
      </c>
      <c r="G501" s="11" t="s">
        <v>55</v>
      </c>
      <c r="H501" s="7" t="s">
        <v>85</v>
      </c>
      <c r="I501" s="11" t="s">
        <v>9</v>
      </c>
      <c r="J501" s="11" t="s">
        <v>105</v>
      </c>
      <c r="K501" s="12">
        <v>23847.740911214998</v>
      </c>
      <c r="L501" s="12">
        <v>14308.644546728998</v>
      </c>
      <c r="M501" s="12">
        <v>9539.0963644860003</v>
      </c>
      <c r="N501" s="12">
        <v>0</v>
      </c>
      <c r="O501" s="12">
        <v>23847.740911214998</v>
      </c>
      <c r="P501" s="29">
        <v>30</v>
      </c>
    </row>
    <row r="502" spans="1:17" s="85" customFormat="1" ht="16.5" hidden="1" thickTop="1" thickBot="1" x14ac:dyDescent="0.3">
      <c r="A502" s="91" t="s">
        <v>111</v>
      </c>
      <c r="B502" s="25" t="s">
        <v>22</v>
      </c>
      <c r="C502" s="8" t="s">
        <v>62</v>
      </c>
      <c r="D502" s="7" t="s">
        <v>79</v>
      </c>
      <c r="E502" s="9" t="s">
        <v>64</v>
      </c>
      <c r="F502" s="10">
        <v>1</v>
      </c>
      <c r="G502" s="11" t="s">
        <v>55</v>
      </c>
      <c r="H502" s="7" t="s">
        <v>85</v>
      </c>
      <c r="I502" s="11" t="s">
        <v>113</v>
      </c>
      <c r="J502" s="11" t="s">
        <v>105</v>
      </c>
      <c r="K502" s="12">
        <v>875</v>
      </c>
      <c r="L502" s="12">
        <f>K502*60%</f>
        <v>525</v>
      </c>
      <c r="M502" s="12">
        <f>K502*40%</f>
        <v>350</v>
      </c>
      <c r="N502" s="12">
        <v>0</v>
      </c>
      <c r="O502" s="12">
        <f>L502+M502</f>
        <v>875</v>
      </c>
      <c r="P502" s="29">
        <v>30</v>
      </c>
    </row>
    <row r="503" spans="1:17" s="85" customFormat="1" ht="16.5" hidden="1" thickTop="1" thickBot="1" x14ac:dyDescent="0.3">
      <c r="A503" s="91" t="s">
        <v>111</v>
      </c>
      <c r="B503" s="25" t="s">
        <v>22</v>
      </c>
      <c r="C503" s="8" t="s">
        <v>61</v>
      </c>
      <c r="D503" s="7" t="s">
        <v>79</v>
      </c>
      <c r="E503" s="9" t="s">
        <v>64</v>
      </c>
      <c r="F503" s="10">
        <v>1</v>
      </c>
      <c r="G503" s="11" t="s">
        <v>48</v>
      </c>
      <c r="H503" s="7" t="s">
        <v>85</v>
      </c>
      <c r="I503" s="11" t="s">
        <v>9</v>
      </c>
      <c r="J503" s="11" t="s">
        <v>105</v>
      </c>
      <c r="K503" s="12">
        <v>23880.014425214998</v>
      </c>
      <c r="L503" s="12">
        <v>14328.008655128999</v>
      </c>
      <c r="M503" s="12">
        <v>9552.0057700859998</v>
      </c>
      <c r="N503" s="12">
        <v>0</v>
      </c>
      <c r="O503" s="12">
        <v>23880.014425214998</v>
      </c>
      <c r="P503" s="29">
        <v>30</v>
      </c>
    </row>
    <row r="504" spans="1:17" s="85" customFormat="1" ht="16.5" hidden="1" thickTop="1" thickBot="1" x14ac:dyDescent="0.3">
      <c r="A504" s="74" t="s">
        <v>111</v>
      </c>
      <c r="B504" s="25" t="s">
        <v>22</v>
      </c>
      <c r="C504" s="8" t="s">
        <v>61</v>
      </c>
      <c r="D504" s="7" t="s">
        <v>79</v>
      </c>
      <c r="E504" s="9" t="s">
        <v>64</v>
      </c>
      <c r="F504" s="10">
        <v>1</v>
      </c>
      <c r="G504" s="11" t="s">
        <v>48</v>
      </c>
      <c r="H504" s="7" t="s">
        <v>85</v>
      </c>
      <c r="I504" s="11" t="s">
        <v>113</v>
      </c>
      <c r="J504" s="11" t="s">
        <v>105</v>
      </c>
      <c r="K504" s="12">
        <v>875</v>
      </c>
      <c r="L504" s="12">
        <f>K504*60%</f>
        <v>525</v>
      </c>
      <c r="M504" s="12">
        <f>K504*40%</f>
        <v>350</v>
      </c>
      <c r="N504" s="12">
        <v>0</v>
      </c>
      <c r="O504" s="12">
        <f>L504+M504</f>
        <v>875</v>
      </c>
      <c r="P504" s="29">
        <v>30</v>
      </c>
    </row>
    <row r="505" spans="1:17" s="85" customFormat="1" ht="16.5" hidden="1" thickTop="1" thickBot="1" x14ac:dyDescent="0.3">
      <c r="A505" s="74" t="s">
        <v>111</v>
      </c>
      <c r="B505" s="25" t="s">
        <v>22</v>
      </c>
      <c r="C505" s="8" t="s">
        <v>25</v>
      </c>
      <c r="D505" s="7" t="s">
        <v>79</v>
      </c>
      <c r="E505" s="9" t="s">
        <v>63</v>
      </c>
      <c r="F505" s="10">
        <v>16</v>
      </c>
      <c r="G505" s="11" t="s">
        <v>52</v>
      </c>
      <c r="H505" s="7" t="s">
        <v>84</v>
      </c>
      <c r="I505" s="11" t="s">
        <v>165</v>
      </c>
      <c r="J505" s="11" t="s">
        <v>103</v>
      </c>
      <c r="K505" s="12">
        <v>4250</v>
      </c>
      <c r="L505" s="12">
        <v>2550</v>
      </c>
      <c r="M505" s="12">
        <f>K505*40%</f>
        <v>1700</v>
      </c>
      <c r="N505" s="12">
        <v>0</v>
      </c>
      <c r="O505" s="12">
        <f>L505+M505</f>
        <v>4250</v>
      </c>
      <c r="P505" s="29">
        <v>15</v>
      </c>
    </row>
    <row r="506" spans="1:17" s="85" customFormat="1" ht="16.5" hidden="1" thickTop="1" thickBot="1" x14ac:dyDescent="0.3">
      <c r="A506" s="74" t="s">
        <v>111</v>
      </c>
      <c r="B506" s="25" t="s">
        <v>22</v>
      </c>
      <c r="C506" s="8" t="s">
        <v>62</v>
      </c>
      <c r="D506" s="7" t="s">
        <v>79</v>
      </c>
      <c r="E506" s="9" t="s">
        <v>64</v>
      </c>
      <c r="F506" s="10">
        <v>1</v>
      </c>
      <c r="G506" s="11" t="s">
        <v>56</v>
      </c>
      <c r="H506" s="7" t="s">
        <v>85</v>
      </c>
      <c r="I506" s="11" t="s">
        <v>9</v>
      </c>
      <c r="J506" s="11" t="s">
        <v>105</v>
      </c>
      <c r="K506" s="12">
        <v>33386.83497045</v>
      </c>
      <c r="L506" s="12">
        <v>20032.10098227</v>
      </c>
      <c r="M506" s="12">
        <v>13354.73398818</v>
      </c>
      <c r="N506" s="12">
        <v>0</v>
      </c>
      <c r="O506" s="12">
        <v>33386.83497045</v>
      </c>
      <c r="P506" s="29">
        <v>30</v>
      </c>
    </row>
    <row r="507" spans="1:17" s="110" customFormat="1" ht="16.5" hidden="1" thickTop="1" thickBot="1" x14ac:dyDescent="0.3">
      <c r="A507" s="74" t="s">
        <v>111</v>
      </c>
      <c r="B507" s="25" t="s">
        <v>22</v>
      </c>
      <c r="C507" s="8" t="s">
        <v>62</v>
      </c>
      <c r="D507" s="7" t="s">
        <v>79</v>
      </c>
      <c r="E507" s="9" t="s">
        <v>64</v>
      </c>
      <c r="F507" s="10">
        <v>1</v>
      </c>
      <c r="G507" s="11" t="s">
        <v>56</v>
      </c>
      <c r="H507" s="7" t="s">
        <v>85</v>
      </c>
      <c r="I507" s="11" t="s">
        <v>113</v>
      </c>
      <c r="J507" s="11" t="s">
        <v>105</v>
      </c>
      <c r="K507" s="12">
        <v>875</v>
      </c>
      <c r="L507" s="12">
        <f>K507*60%</f>
        <v>525</v>
      </c>
      <c r="M507" s="12">
        <f>K507*40%</f>
        <v>350</v>
      </c>
      <c r="N507" s="12">
        <v>0</v>
      </c>
      <c r="O507" s="12">
        <f>L507+M507</f>
        <v>875</v>
      </c>
      <c r="P507" s="29">
        <v>30</v>
      </c>
      <c r="Q507" s="85"/>
    </row>
    <row r="508" spans="1:17" s="110" customFormat="1" ht="16.5" hidden="1" thickTop="1" thickBot="1" x14ac:dyDescent="0.3">
      <c r="A508" s="74" t="s">
        <v>111</v>
      </c>
      <c r="B508" s="25" t="s">
        <v>22</v>
      </c>
      <c r="C508" s="8" t="s">
        <v>60</v>
      </c>
      <c r="D508" s="7" t="s">
        <v>79</v>
      </c>
      <c r="E508" s="9" t="s">
        <v>64</v>
      </c>
      <c r="F508" s="10">
        <v>1</v>
      </c>
      <c r="G508" s="11" t="s">
        <v>37</v>
      </c>
      <c r="H508" s="7" t="s">
        <v>85</v>
      </c>
      <c r="I508" s="11" t="s">
        <v>9</v>
      </c>
      <c r="J508" s="11" t="s">
        <v>105</v>
      </c>
      <c r="K508" s="12">
        <v>14308.64685198</v>
      </c>
      <c r="L508" s="12">
        <v>8585.1881111879993</v>
      </c>
      <c r="M508" s="12">
        <v>5723.4587407920008</v>
      </c>
      <c r="N508" s="12">
        <v>0</v>
      </c>
      <c r="O508" s="12">
        <v>14308.64685198</v>
      </c>
      <c r="P508" s="29">
        <v>30</v>
      </c>
      <c r="Q508" s="85"/>
    </row>
    <row r="509" spans="1:17" s="110" customFormat="1" ht="16.5" hidden="1" thickTop="1" thickBot="1" x14ac:dyDescent="0.3">
      <c r="A509" s="74" t="s">
        <v>111</v>
      </c>
      <c r="B509" s="25" t="s">
        <v>22</v>
      </c>
      <c r="C509" s="8" t="s">
        <v>62</v>
      </c>
      <c r="D509" s="7" t="s">
        <v>79</v>
      </c>
      <c r="E509" s="9" t="s">
        <v>64</v>
      </c>
      <c r="F509" s="10">
        <v>1</v>
      </c>
      <c r="G509" s="11" t="s">
        <v>57</v>
      </c>
      <c r="H509" s="7" t="s">
        <v>85</v>
      </c>
      <c r="I509" s="11" t="s">
        <v>9</v>
      </c>
      <c r="J509" s="11" t="s">
        <v>105</v>
      </c>
      <c r="K509" s="12">
        <v>33354.561456449999</v>
      </c>
      <c r="L509" s="12">
        <v>20012.736873869999</v>
      </c>
      <c r="M509" s="12">
        <v>13341.82458258</v>
      </c>
      <c r="N509" s="12">
        <v>0</v>
      </c>
      <c r="O509" s="12">
        <v>33354.561456449999</v>
      </c>
      <c r="P509" s="29">
        <v>30</v>
      </c>
      <c r="Q509" s="85"/>
    </row>
    <row r="510" spans="1:17" s="85" customFormat="1" ht="16.5" hidden="1" thickTop="1" thickBot="1" x14ac:dyDescent="0.3">
      <c r="A510" s="74" t="s">
        <v>111</v>
      </c>
      <c r="B510" s="25" t="s">
        <v>22</v>
      </c>
      <c r="C510" s="8" t="s">
        <v>62</v>
      </c>
      <c r="D510" s="7" t="s">
        <v>79</v>
      </c>
      <c r="E510" s="9" t="s">
        <v>64</v>
      </c>
      <c r="F510" s="10">
        <v>1</v>
      </c>
      <c r="G510" s="11" t="s">
        <v>57</v>
      </c>
      <c r="H510" s="7" t="s">
        <v>85</v>
      </c>
      <c r="I510" s="11" t="s">
        <v>113</v>
      </c>
      <c r="J510" s="11" t="s">
        <v>105</v>
      </c>
      <c r="K510" s="12">
        <v>875</v>
      </c>
      <c r="L510" s="12">
        <f>K510*60%</f>
        <v>525</v>
      </c>
      <c r="M510" s="12">
        <f>K510*40%</f>
        <v>350</v>
      </c>
      <c r="N510" s="12">
        <v>0</v>
      </c>
      <c r="O510" s="12">
        <f>L510+M510</f>
        <v>875</v>
      </c>
      <c r="P510" s="29">
        <v>30</v>
      </c>
    </row>
    <row r="511" spans="1:17" s="85" customFormat="1" ht="16.5" hidden="1" thickTop="1" thickBot="1" x14ac:dyDescent="0.3">
      <c r="A511" s="74" t="s">
        <v>111</v>
      </c>
      <c r="B511" s="25" t="s">
        <v>22</v>
      </c>
      <c r="C511" s="8" t="s">
        <v>62</v>
      </c>
      <c r="D511" s="7" t="s">
        <v>79</v>
      </c>
      <c r="E511" s="9" t="s">
        <v>64</v>
      </c>
      <c r="F511" s="10">
        <v>10</v>
      </c>
      <c r="G511" s="13" t="s">
        <v>50</v>
      </c>
      <c r="H511" s="7" t="s">
        <v>85</v>
      </c>
      <c r="I511" s="11" t="s">
        <v>9</v>
      </c>
      <c r="J511" s="11" t="s">
        <v>105</v>
      </c>
      <c r="K511" s="12">
        <v>19227</v>
      </c>
      <c r="L511" s="12">
        <v>11536.199999999999</v>
      </c>
      <c r="M511" s="12">
        <v>7690.8</v>
      </c>
      <c r="N511" s="12">
        <v>0</v>
      </c>
      <c r="O511" s="12">
        <v>19227</v>
      </c>
      <c r="P511" s="29">
        <v>10</v>
      </c>
    </row>
    <row r="512" spans="1:17" s="85" customFormat="1" ht="16.5" hidden="1" thickTop="1" thickBot="1" x14ac:dyDescent="0.3">
      <c r="A512" s="74" t="s">
        <v>111</v>
      </c>
      <c r="B512" s="25" t="s">
        <v>22</v>
      </c>
      <c r="C512" s="8" t="s">
        <v>62</v>
      </c>
      <c r="D512" s="7" t="s">
        <v>79</v>
      </c>
      <c r="E512" s="9" t="s">
        <v>64</v>
      </c>
      <c r="F512" s="10">
        <v>10</v>
      </c>
      <c r="G512" s="13" t="s">
        <v>50</v>
      </c>
      <c r="H512" s="7" t="s">
        <v>85</v>
      </c>
      <c r="I512" s="11" t="s">
        <v>98</v>
      </c>
      <c r="J512" s="11" t="s">
        <v>105</v>
      </c>
      <c r="K512" s="12">
        <v>5336.6560650000001</v>
      </c>
      <c r="L512" s="12">
        <v>3201.9936389999998</v>
      </c>
      <c r="M512" s="12">
        <v>2134.6624260000003</v>
      </c>
      <c r="N512" s="12">
        <v>0</v>
      </c>
      <c r="O512" s="12">
        <v>5336.6560650000001</v>
      </c>
      <c r="P512" s="29">
        <v>10</v>
      </c>
    </row>
    <row r="513" spans="1:16" s="85" customFormat="1" ht="16.5" hidden="1" thickTop="1" thickBot="1" x14ac:dyDescent="0.3">
      <c r="A513" s="91" t="s">
        <v>111</v>
      </c>
      <c r="B513" s="25" t="s">
        <v>11</v>
      </c>
      <c r="C513" s="8" t="s">
        <v>62</v>
      </c>
      <c r="D513" s="7" t="s">
        <v>147</v>
      </c>
      <c r="E513" s="9" t="s">
        <v>64</v>
      </c>
      <c r="F513" s="10">
        <v>20</v>
      </c>
      <c r="G513" s="11" t="s">
        <v>50</v>
      </c>
      <c r="H513" s="7" t="s">
        <v>85</v>
      </c>
      <c r="I513" s="11" t="s">
        <v>30</v>
      </c>
      <c r="J513" s="11" t="s">
        <v>105</v>
      </c>
      <c r="K513" s="12">
        <v>690</v>
      </c>
      <c r="L513" s="12">
        <v>690</v>
      </c>
      <c r="M513" s="12">
        <v>0</v>
      </c>
      <c r="N513" s="12">
        <v>20.7</v>
      </c>
      <c r="O513" s="12">
        <f>L513-N513</f>
        <v>669.3</v>
      </c>
      <c r="P513" s="29">
        <v>7</v>
      </c>
    </row>
    <row r="514" spans="1:16" s="85" customFormat="1" ht="16.5" hidden="1" thickTop="1" thickBot="1" x14ac:dyDescent="0.3">
      <c r="A514" s="74" t="s">
        <v>111</v>
      </c>
      <c r="B514" s="25" t="s">
        <v>22</v>
      </c>
      <c r="C514" s="8" t="s">
        <v>62</v>
      </c>
      <c r="D514" s="7" t="s">
        <v>79</v>
      </c>
      <c r="E514" s="9" t="s">
        <v>64</v>
      </c>
      <c r="F514" s="10">
        <v>10</v>
      </c>
      <c r="G514" s="13" t="s">
        <v>49</v>
      </c>
      <c r="H514" s="7" t="s">
        <v>85</v>
      </c>
      <c r="I514" s="11" t="s">
        <v>9</v>
      </c>
      <c r="J514" s="11" t="s">
        <v>105</v>
      </c>
      <c r="K514" s="12">
        <v>19227</v>
      </c>
      <c r="L514" s="12">
        <v>11536.199999999999</v>
      </c>
      <c r="M514" s="12">
        <v>7690.8</v>
      </c>
      <c r="N514" s="12">
        <v>0</v>
      </c>
      <c r="O514" s="12">
        <v>19227</v>
      </c>
      <c r="P514" s="29">
        <v>10</v>
      </c>
    </row>
    <row r="515" spans="1:16" s="85" customFormat="1" ht="16.5" hidden="1" thickTop="1" thickBot="1" x14ac:dyDescent="0.3">
      <c r="A515" s="74" t="s">
        <v>111</v>
      </c>
      <c r="B515" s="25" t="s">
        <v>22</v>
      </c>
      <c r="C515" s="8" t="s">
        <v>62</v>
      </c>
      <c r="D515" s="7" t="s">
        <v>79</v>
      </c>
      <c r="E515" s="9" t="s">
        <v>64</v>
      </c>
      <c r="F515" s="10">
        <v>10</v>
      </c>
      <c r="G515" s="13" t="s">
        <v>49</v>
      </c>
      <c r="H515" s="7" t="s">
        <v>85</v>
      </c>
      <c r="I515" s="11" t="s">
        <v>98</v>
      </c>
      <c r="J515" s="11" t="s">
        <v>105</v>
      </c>
      <c r="K515" s="12">
        <v>5336.6560650000001</v>
      </c>
      <c r="L515" s="12">
        <v>3201.9936389999998</v>
      </c>
      <c r="M515" s="12">
        <v>2134.6624260000003</v>
      </c>
      <c r="N515" s="12">
        <v>0</v>
      </c>
      <c r="O515" s="12">
        <v>5336.6560650000001</v>
      </c>
      <c r="P515" s="29">
        <v>10</v>
      </c>
    </row>
    <row r="516" spans="1:16" s="85" customFormat="1" ht="16.5" hidden="1" thickTop="1" thickBot="1" x14ac:dyDescent="0.3">
      <c r="A516" s="91" t="s">
        <v>111</v>
      </c>
      <c r="B516" s="25" t="s">
        <v>11</v>
      </c>
      <c r="C516" s="8" t="s">
        <v>62</v>
      </c>
      <c r="D516" s="7" t="s">
        <v>147</v>
      </c>
      <c r="E516" s="9" t="s">
        <v>64</v>
      </c>
      <c r="F516" s="10">
        <v>20</v>
      </c>
      <c r="G516" s="11" t="s">
        <v>49</v>
      </c>
      <c r="H516" s="7" t="s">
        <v>85</v>
      </c>
      <c r="I516" s="11" t="s">
        <v>30</v>
      </c>
      <c r="J516" s="11" t="s">
        <v>105</v>
      </c>
      <c r="K516" s="12">
        <v>1290</v>
      </c>
      <c r="L516" s="12">
        <v>1290</v>
      </c>
      <c r="M516" s="12">
        <v>0</v>
      </c>
      <c r="N516" s="12">
        <v>38.700000000000003</v>
      </c>
      <c r="O516" s="12">
        <f>L516-N516</f>
        <v>1251.3</v>
      </c>
      <c r="P516" s="29">
        <v>7</v>
      </c>
    </row>
    <row r="517" spans="1:16" s="85" customFormat="1" ht="16.5" hidden="1" thickTop="1" thickBot="1" x14ac:dyDescent="0.3">
      <c r="A517" s="74" t="s">
        <v>111</v>
      </c>
      <c r="B517" s="31" t="s">
        <v>22</v>
      </c>
      <c r="C517" s="32" t="s">
        <v>61</v>
      </c>
      <c r="D517" s="33" t="s">
        <v>79</v>
      </c>
      <c r="E517" s="9" t="s">
        <v>64</v>
      </c>
      <c r="F517" s="35">
        <v>20</v>
      </c>
      <c r="G517" s="112" t="s">
        <v>92</v>
      </c>
      <c r="H517" s="33" t="s">
        <v>83</v>
      </c>
      <c r="I517" s="36" t="s">
        <v>7</v>
      </c>
      <c r="J517" s="36" t="s">
        <v>80</v>
      </c>
      <c r="K517" s="12">
        <v>19890</v>
      </c>
      <c r="L517" s="12">
        <v>19890</v>
      </c>
      <c r="M517" s="12">
        <v>0</v>
      </c>
      <c r="N517" s="37">
        <v>0</v>
      </c>
      <c r="O517" s="12">
        <v>19890</v>
      </c>
      <c r="P517" s="38">
        <v>15</v>
      </c>
    </row>
    <row r="518" spans="1:16" s="85" customFormat="1" ht="16.5" hidden="1" thickTop="1" thickBot="1" x14ac:dyDescent="0.3">
      <c r="A518" s="74" t="s">
        <v>111</v>
      </c>
      <c r="B518" s="25" t="s">
        <v>22</v>
      </c>
      <c r="C518" s="8" t="s">
        <v>61</v>
      </c>
      <c r="D518" s="7" t="s">
        <v>79</v>
      </c>
      <c r="E518" s="9" t="s">
        <v>64</v>
      </c>
      <c r="F518" s="10">
        <v>20</v>
      </c>
      <c r="G518" s="13" t="s">
        <v>92</v>
      </c>
      <c r="H518" s="7" t="s">
        <v>83</v>
      </c>
      <c r="I518" s="11" t="s">
        <v>98</v>
      </c>
      <c r="J518" s="11" t="s">
        <v>80</v>
      </c>
      <c r="K518" s="12">
        <v>26460</v>
      </c>
      <c r="L518" s="12">
        <f>K518</f>
        <v>26460</v>
      </c>
      <c r="M518" s="12">
        <v>0</v>
      </c>
      <c r="N518" s="12">
        <v>0</v>
      </c>
      <c r="O518" s="12">
        <f>L518</f>
        <v>26460</v>
      </c>
      <c r="P518" s="29">
        <v>9</v>
      </c>
    </row>
    <row r="519" spans="1:16" s="85" customFormat="1" ht="16.5" hidden="1" thickTop="1" thickBot="1" x14ac:dyDescent="0.3">
      <c r="A519" s="91" t="s">
        <v>111</v>
      </c>
      <c r="B519" s="25" t="s">
        <v>137</v>
      </c>
      <c r="C519" s="8" t="s">
        <v>61</v>
      </c>
      <c r="D519" s="7" t="s">
        <v>79</v>
      </c>
      <c r="E519" s="9" t="s">
        <v>64</v>
      </c>
      <c r="F519" s="10">
        <v>20</v>
      </c>
      <c r="G519" s="13" t="s">
        <v>39</v>
      </c>
      <c r="H519" s="7" t="s">
        <v>83</v>
      </c>
      <c r="I519" s="11" t="s">
        <v>96</v>
      </c>
      <c r="J519" s="11" t="s">
        <v>80</v>
      </c>
      <c r="K519" s="12">
        <v>130</v>
      </c>
      <c r="L519" s="12">
        <v>0</v>
      </c>
      <c r="M519" s="12">
        <f>K519</f>
        <v>130</v>
      </c>
      <c r="N519" s="12">
        <v>0</v>
      </c>
      <c r="O519" s="12">
        <f>M519</f>
        <v>130</v>
      </c>
      <c r="P519" s="29">
        <v>17</v>
      </c>
    </row>
    <row r="520" spans="1:16" s="85" customFormat="1" ht="16.5" hidden="1" thickTop="1" thickBot="1" x14ac:dyDescent="0.3">
      <c r="A520" s="91" t="s">
        <v>111</v>
      </c>
      <c r="B520" s="25" t="s">
        <v>22</v>
      </c>
      <c r="C520" s="8" t="s">
        <v>61</v>
      </c>
      <c r="D520" s="7" t="s">
        <v>79</v>
      </c>
      <c r="E520" s="9" t="s">
        <v>64</v>
      </c>
      <c r="F520" s="10">
        <v>20</v>
      </c>
      <c r="G520" s="13" t="s">
        <v>39</v>
      </c>
      <c r="H520" s="7" t="s">
        <v>83</v>
      </c>
      <c r="I520" s="11" t="s">
        <v>7</v>
      </c>
      <c r="J520" s="11" t="s">
        <v>80</v>
      </c>
      <c r="K520" s="12">
        <v>20673.5597797423</v>
      </c>
      <c r="L520" s="12">
        <v>12404.13586784538</v>
      </c>
      <c r="M520" s="12">
        <v>8269.4239118969199</v>
      </c>
      <c r="N520" s="12">
        <v>0</v>
      </c>
      <c r="O520" s="12">
        <v>20673.5597797423</v>
      </c>
      <c r="P520" s="29">
        <v>17</v>
      </c>
    </row>
    <row r="521" spans="1:16" s="85" customFormat="1" ht="16.5" hidden="1" thickTop="1" thickBot="1" x14ac:dyDescent="0.3">
      <c r="A521" s="74" t="s">
        <v>111</v>
      </c>
      <c r="B521" s="25" t="s">
        <v>11</v>
      </c>
      <c r="C521" s="8" t="s">
        <v>0</v>
      </c>
      <c r="D521" s="7" t="s">
        <v>147</v>
      </c>
      <c r="E521" s="9" t="s">
        <v>64</v>
      </c>
      <c r="F521" s="10">
        <v>20</v>
      </c>
      <c r="G521" s="11" t="s">
        <v>152</v>
      </c>
      <c r="H521" s="7" t="s">
        <v>83</v>
      </c>
      <c r="I521" s="11" t="s">
        <v>30</v>
      </c>
      <c r="J521" s="11" t="s">
        <v>105</v>
      </c>
      <c r="K521" s="12">
        <v>690</v>
      </c>
      <c r="L521" s="12">
        <v>690</v>
      </c>
      <c r="M521" s="12">
        <v>0</v>
      </c>
      <c r="N521" s="12">
        <v>20.7</v>
      </c>
      <c r="O521" s="12">
        <f>L521-N521</f>
        <v>669.3</v>
      </c>
      <c r="P521" s="29">
        <v>7</v>
      </c>
    </row>
    <row r="522" spans="1:16" s="85" customFormat="1" ht="16.5" hidden="1" thickTop="1" thickBot="1" x14ac:dyDescent="0.3">
      <c r="A522" s="74" t="s">
        <v>111</v>
      </c>
      <c r="B522" s="25" t="s">
        <v>5</v>
      </c>
      <c r="C522" s="8" t="s">
        <v>25</v>
      </c>
      <c r="D522" s="7" t="s">
        <v>79</v>
      </c>
      <c r="E522" s="9" t="s">
        <v>64</v>
      </c>
      <c r="F522" s="10">
        <v>5</v>
      </c>
      <c r="G522" s="11" t="s">
        <v>26</v>
      </c>
      <c r="H522" s="7" t="s">
        <v>83</v>
      </c>
      <c r="I522" s="11" t="s">
        <v>7</v>
      </c>
      <c r="J522" s="11" t="s">
        <v>80</v>
      </c>
      <c r="K522" s="12">
        <v>21868.658146266753</v>
      </c>
      <c r="L522" s="12">
        <f>K522</f>
        <v>21868.658146266753</v>
      </c>
      <c r="M522" s="12">
        <v>0</v>
      </c>
      <c r="N522" s="12">
        <v>0</v>
      </c>
      <c r="O522" s="12">
        <v>21868.658146266753</v>
      </c>
      <c r="P522" s="29">
        <v>26</v>
      </c>
    </row>
    <row r="523" spans="1:16" s="85" customFormat="1" ht="16.5" hidden="1" thickTop="1" thickBot="1" x14ac:dyDescent="0.3">
      <c r="A523" s="74" t="s">
        <v>111</v>
      </c>
      <c r="B523" s="25" t="s">
        <v>5</v>
      </c>
      <c r="C523" s="8" t="s">
        <v>25</v>
      </c>
      <c r="D523" s="7" t="s">
        <v>79</v>
      </c>
      <c r="E523" s="9" t="s">
        <v>64</v>
      </c>
      <c r="F523" s="10">
        <v>5</v>
      </c>
      <c r="G523" s="11" t="s">
        <v>26</v>
      </c>
      <c r="H523" s="7" t="s">
        <v>83</v>
      </c>
      <c r="I523" s="11" t="s">
        <v>9</v>
      </c>
      <c r="J523" s="11" t="s">
        <v>80</v>
      </c>
      <c r="K523" s="12">
        <v>4791.7362231179995</v>
      </c>
      <c r="L523" s="12">
        <f>K523</f>
        <v>4791.7362231179995</v>
      </c>
      <c r="M523" s="12">
        <v>0</v>
      </c>
      <c r="N523" s="12">
        <v>0</v>
      </c>
      <c r="O523" s="12">
        <v>4791.7362231179995</v>
      </c>
      <c r="P523" s="29">
        <v>26</v>
      </c>
    </row>
    <row r="524" spans="1:16" s="85" customFormat="1" ht="16.5" hidden="1" thickTop="1" thickBot="1" x14ac:dyDescent="0.3">
      <c r="A524" s="74" t="s">
        <v>111</v>
      </c>
      <c r="B524" s="25" t="s">
        <v>5</v>
      </c>
      <c r="C524" s="8" t="s">
        <v>25</v>
      </c>
      <c r="D524" s="7" t="s">
        <v>79</v>
      </c>
      <c r="E524" s="9" t="s">
        <v>64</v>
      </c>
      <c r="F524" s="10">
        <v>5</v>
      </c>
      <c r="G524" s="11" t="s">
        <v>27</v>
      </c>
      <c r="H524" s="7" t="s">
        <v>83</v>
      </c>
      <c r="I524" s="11" t="s">
        <v>141</v>
      </c>
      <c r="J524" s="11" t="s">
        <v>80</v>
      </c>
      <c r="K524" s="12">
        <v>6193.06</v>
      </c>
      <c r="L524" s="12">
        <f>K524</f>
        <v>6193.06</v>
      </c>
      <c r="M524" s="12">
        <v>0</v>
      </c>
      <c r="N524" s="12">
        <v>0</v>
      </c>
      <c r="O524" s="12">
        <v>6193.06</v>
      </c>
      <c r="P524" s="29">
        <v>26</v>
      </c>
    </row>
    <row r="525" spans="1:16" s="85" customFormat="1" ht="16.5" hidden="1" thickTop="1" thickBot="1" x14ac:dyDescent="0.3">
      <c r="A525" s="74" t="s">
        <v>111</v>
      </c>
      <c r="B525" s="25" t="s">
        <v>5</v>
      </c>
      <c r="C525" s="8" t="s">
        <v>25</v>
      </c>
      <c r="D525" s="7" t="s">
        <v>79</v>
      </c>
      <c r="E525" s="9" t="s">
        <v>64</v>
      </c>
      <c r="F525" s="10">
        <v>5</v>
      </c>
      <c r="G525" s="11" t="s">
        <v>27</v>
      </c>
      <c r="H525" s="7" t="s">
        <v>83</v>
      </c>
      <c r="I525" s="11" t="s">
        <v>7</v>
      </c>
      <c r="J525" s="11" t="s">
        <v>80</v>
      </c>
      <c r="K525" s="12">
        <v>21868.658146266745</v>
      </c>
      <c r="L525" s="12">
        <f>K525</f>
        <v>21868.658146266745</v>
      </c>
      <c r="M525" s="12">
        <v>0</v>
      </c>
      <c r="N525" s="12">
        <v>0</v>
      </c>
      <c r="O525" s="12">
        <v>21868.658146266745</v>
      </c>
      <c r="P525" s="29">
        <v>26</v>
      </c>
    </row>
    <row r="526" spans="1:16" s="85" customFormat="1" ht="16.5" hidden="1" thickTop="1" thickBot="1" x14ac:dyDescent="0.3">
      <c r="A526" s="74" t="s">
        <v>111</v>
      </c>
      <c r="B526" s="25" t="s">
        <v>5</v>
      </c>
      <c r="C526" s="8" t="s">
        <v>25</v>
      </c>
      <c r="D526" s="7" t="s">
        <v>79</v>
      </c>
      <c r="E526" s="9" t="s">
        <v>64</v>
      </c>
      <c r="F526" s="10">
        <v>5</v>
      </c>
      <c r="G526" s="11" t="s">
        <v>27</v>
      </c>
      <c r="H526" s="7" t="s">
        <v>83</v>
      </c>
      <c r="I526" s="11" t="s">
        <v>9</v>
      </c>
      <c r="J526" s="11" t="s">
        <v>80</v>
      </c>
      <c r="K526" s="12">
        <v>4791.7362231179995</v>
      </c>
      <c r="L526" s="12">
        <f>K526</f>
        <v>4791.7362231179995</v>
      </c>
      <c r="M526" s="12">
        <v>0</v>
      </c>
      <c r="N526" s="12">
        <v>0</v>
      </c>
      <c r="O526" s="12">
        <v>4791.7362231179995</v>
      </c>
      <c r="P526" s="29">
        <v>26</v>
      </c>
    </row>
    <row r="527" spans="1:16" s="85" customFormat="1" ht="16.5" hidden="1" thickTop="1" thickBot="1" x14ac:dyDescent="0.3">
      <c r="A527" s="74" t="s">
        <v>111</v>
      </c>
      <c r="B527" s="25" t="s">
        <v>13</v>
      </c>
      <c r="C527" s="8" t="s">
        <v>61</v>
      </c>
      <c r="D527" s="7" t="s">
        <v>79</v>
      </c>
      <c r="E527" s="9" t="s">
        <v>65</v>
      </c>
      <c r="F527" s="10">
        <v>20</v>
      </c>
      <c r="G527" s="13" t="s">
        <v>90</v>
      </c>
      <c r="H527" s="15" t="s">
        <v>83</v>
      </c>
      <c r="I527" s="14" t="s">
        <v>9</v>
      </c>
      <c r="J527" s="11" t="s">
        <v>103</v>
      </c>
      <c r="K527" s="12">
        <v>4536.0249999999996</v>
      </c>
      <c r="L527" s="12">
        <v>4536.0249999999996</v>
      </c>
      <c r="M527" s="12">
        <v>0</v>
      </c>
      <c r="N527" s="12">
        <f>L527*16%</f>
        <v>725.76400000000001</v>
      </c>
      <c r="O527" s="12">
        <v>3810.2609999999995</v>
      </c>
      <c r="P527" s="29">
        <v>10</v>
      </c>
    </row>
    <row r="528" spans="1:16" s="85" customFormat="1" ht="16.5" hidden="1" thickTop="1" thickBot="1" x14ac:dyDescent="0.3">
      <c r="A528" s="74"/>
      <c r="B528" s="25" t="s">
        <v>22</v>
      </c>
      <c r="C528" s="8" t="s">
        <v>25</v>
      </c>
      <c r="D528" s="7" t="s">
        <v>79</v>
      </c>
      <c r="E528" s="9" t="s">
        <v>65</v>
      </c>
      <c r="F528" s="10">
        <v>28</v>
      </c>
      <c r="G528" s="13" t="s">
        <v>169</v>
      </c>
      <c r="H528" s="7" t="s">
        <v>84</v>
      </c>
      <c r="I528" s="11" t="s">
        <v>170</v>
      </c>
      <c r="J528" s="11" t="s">
        <v>103</v>
      </c>
      <c r="K528" s="12">
        <v>43144</v>
      </c>
      <c r="L528" s="12"/>
      <c r="M528" s="12">
        <v>0</v>
      </c>
      <c r="N528" s="12"/>
      <c r="O528" s="12"/>
      <c r="P528" s="29"/>
    </row>
    <row r="529" spans="1:17" s="85" customFormat="1" ht="15.75" hidden="1" customHeight="1" thickTop="1" thickBot="1" x14ac:dyDescent="0.3">
      <c r="A529" s="74" t="s">
        <v>111</v>
      </c>
      <c r="B529" s="25" t="s">
        <v>13</v>
      </c>
      <c r="C529" s="8" t="s">
        <v>0</v>
      </c>
      <c r="D529" s="7" t="s">
        <v>79</v>
      </c>
      <c r="E529" s="9" t="s">
        <v>65</v>
      </c>
      <c r="F529" s="10">
        <v>10</v>
      </c>
      <c r="G529" s="11" t="s">
        <v>18</v>
      </c>
      <c r="H529" s="7" t="s">
        <v>85</v>
      </c>
      <c r="I529" s="11" t="s">
        <v>9</v>
      </c>
      <c r="J529" s="11" t="s">
        <v>103</v>
      </c>
      <c r="K529" s="12">
        <v>4589.40895335</v>
      </c>
      <c r="L529" s="12">
        <v>4589.40895335</v>
      </c>
      <c r="M529" s="12">
        <v>0</v>
      </c>
      <c r="N529" s="12">
        <v>207.66556350000002</v>
      </c>
      <c r="O529" s="12">
        <v>4381.7433898500003</v>
      </c>
      <c r="P529" s="29">
        <v>10</v>
      </c>
    </row>
    <row r="530" spans="1:17" s="85" customFormat="1" ht="16.5" hidden="1" thickTop="1" thickBot="1" x14ac:dyDescent="0.3">
      <c r="A530" s="74" t="s">
        <v>111</v>
      </c>
      <c r="B530" s="25" t="s">
        <v>11</v>
      </c>
      <c r="C530" s="8" t="s">
        <v>0</v>
      </c>
      <c r="D530" s="7" t="s">
        <v>79</v>
      </c>
      <c r="E530" s="9" t="s">
        <v>65</v>
      </c>
      <c r="F530" s="10">
        <v>20</v>
      </c>
      <c r="G530" s="11" t="s">
        <v>16</v>
      </c>
      <c r="H530" s="7" t="s">
        <v>85</v>
      </c>
      <c r="I530" s="11" t="s">
        <v>7</v>
      </c>
      <c r="J530" s="11" t="s">
        <v>103</v>
      </c>
      <c r="K530" s="12">
        <v>17144.075000000001</v>
      </c>
      <c r="L530" s="12">
        <v>17144.075000000001</v>
      </c>
      <c r="M530" s="12">
        <v>0</v>
      </c>
      <c r="N530" s="12">
        <f>L530*14%</f>
        <v>2400.1705000000002</v>
      </c>
      <c r="O530" s="12">
        <v>14401.023000000001</v>
      </c>
      <c r="P530" s="29">
        <v>15</v>
      </c>
      <c r="Q530" s="85" t="s">
        <v>156</v>
      </c>
    </row>
    <row r="531" spans="1:17" s="85" customFormat="1" ht="16.5" hidden="1" thickTop="1" thickBot="1" x14ac:dyDescent="0.3">
      <c r="A531" s="74" t="s">
        <v>111</v>
      </c>
      <c r="B531" s="25" t="s">
        <v>13</v>
      </c>
      <c r="C531" s="8" t="s">
        <v>0</v>
      </c>
      <c r="D531" s="7" t="s">
        <v>79</v>
      </c>
      <c r="E531" s="9" t="s">
        <v>65</v>
      </c>
      <c r="F531" s="10">
        <v>20</v>
      </c>
      <c r="G531" s="11" t="s">
        <v>16</v>
      </c>
      <c r="H531" s="7" t="s">
        <v>85</v>
      </c>
      <c r="I531" s="11" t="s">
        <v>113</v>
      </c>
      <c r="J531" s="11" t="s">
        <v>103</v>
      </c>
      <c r="K531" s="12">
        <v>1657.5</v>
      </c>
      <c r="L531" s="12">
        <v>1657.5</v>
      </c>
      <c r="M531" s="12">
        <v>0</v>
      </c>
      <c r="N531" s="12">
        <f>L531*16%</f>
        <v>265.2</v>
      </c>
      <c r="O531" s="12">
        <v>1392.3</v>
      </c>
      <c r="P531" s="29">
        <v>15</v>
      </c>
      <c r="Q531" s="85" t="s">
        <v>156</v>
      </c>
    </row>
    <row r="532" spans="1:17" s="85" customFormat="1" ht="16.5" hidden="1" thickTop="1" thickBot="1" x14ac:dyDescent="0.3">
      <c r="A532" s="74" t="s">
        <v>111</v>
      </c>
      <c r="B532" s="25" t="s">
        <v>13</v>
      </c>
      <c r="C532" s="8" t="s">
        <v>0</v>
      </c>
      <c r="D532" s="7" t="s">
        <v>79</v>
      </c>
      <c r="E532" s="9" t="s">
        <v>65</v>
      </c>
      <c r="F532" s="10">
        <v>20</v>
      </c>
      <c r="G532" s="11" t="s">
        <v>16</v>
      </c>
      <c r="H532" s="7" t="s">
        <v>85</v>
      </c>
      <c r="I532" s="11" t="s">
        <v>9</v>
      </c>
      <c r="J532" s="11" t="s">
        <v>103</v>
      </c>
      <c r="K532" s="12">
        <v>8265.4</v>
      </c>
      <c r="L532" s="12">
        <v>8265.4</v>
      </c>
      <c r="M532" s="12">
        <v>0</v>
      </c>
      <c r="N532" s="12">
        <f>L532*16%</f>
        <v>1322.4639999999999</v>
      </c>
      <c r="O532" s="12">
        <v>6942.9359999999997</v>
      </c>
      <c r="P532" s="29">
        <v>15</v>
      </c>
      <c r="Q532" s="85" t="s">
        <v>156</v>
      </c>
    </row>
    <row r="533" spans="1:17" s="85" customFormat="1" ht="16.5" hidden="1" thickTop="1" thickBot="1" x14ac:dyDescent="0.3">
      <c r="A533" s="74" t="s">
        <v>111</v>
      </c>
      <c r="B533" s="25" t="s">
        <v>13</v>
      </c>
      <c r="C533" s="8" t="s">
        <v>0</v>
      </c>
      <c r="D533" s="7" t="s">
        <v>79</v>
      </c>
      <c r="E533" s="9" t="s">
        <v>65</v>
      </c>
      <c r="F533" s="10">
        <v>20</v>
      </c>
      <c r="G533" s="11" t="s">
        <v>16</v>
      </c>
      <c r="H533" s="7" t="s">
        <v>85</v>
      </c>
      <c r="I533" s="11" t="s">
        <v>15</v>
      </c>
      <c r="J533" s="11" t="s">
        <v>103</v>
      </c>
      <c r="K533" s="12">
        <v>7542.73</v>
      </c>
      <c r="L533" s="12">
        <v>7542.73</v>
      </c>
      <c r="M533" s="12">
        <v>0</v>
      </c>
      <c r="N533" s="12">
        <f>L533*16%</f>
        <v>1206.8368</v>
      </c>
      <c r="O533" s="12">
        <v>6335.8931999999995</v>
      </c>
      <c r="P533" s="29">
        <v>15</v>
      </c>
      <c r="Q533" s="85" t="s">
        <v>156</v>
      </c>
    </row>
    <row r="534" spans="1:17" s="85" customFormat="1" ht="16.5" hidden="1" thickTop="1" thickBot="1" x14ac:dyDescent="0.3">
      <c r="A534" s="74" t="s">
        <v>111</v>
      </c>
      <c r="B534" s="25" t="s">
        <v>11</v>
      </c>
      <c r="C534" s="8" t="s">
        <v>60</v>
      </c>
      <c r="D534" s="7" t="s">
        <v>79</v>
      </c>
      <c r="E534" s="9" t="s">
        <v>65</v>
      </c>
      <c r="F534" s="10">
        <v>20</v>
      </c>
      <c r="G534" s="11" t="s">
        <v>119</v>
      </c>
      <c r="H534" s="7" t="s">
        <v>85</v>
      </c>
      <c r="I534" s="11" t="s">
        <v>7</v>
      </c>
      <c r="J534" s="11" t="s">
        <v>103</v>
      </c>
      <c r="K534" s="12">
        <v>19006</v>
      </c>
      <c r="L534" s="12">
        <v>19006</v>
      </c>
      <c r="M534" s="12">
        <v>0</v>
      </c>
      <c r="N534" s="12">
        <f>L534*14%</f>
        <v>2660.84</v>
      </c>
      <c r="O534" s="12">
        <v>15965.04</v>
      </c>
      <c r="P534" s="29">
        <v>20</v>
      </c>
    </row>
    <row r="535" spans="1:17" s="85" customFormat="1" ht="16.5" hidden="1" thickTop="1" thickBot="1" x14ac:dyDescent="0.3">
      <c r="A535" s="74" t="s">
        <v>111</v>
      </c>
      <c r="B535" s="40" t="s">
        <v>13</v>
      </c>
      <c r="C535" s="41" t="s">
        <v>60</v>
      </c>
      <c r="D535" s="42" t="s">
        <v>79</v>
      </c>
      <c r="E535" s="9" t="s">
        <v>65</v>
      </c>
      <c r="F535" s="44">
        <v>20</v>
      </c>
      <c r="G535" s="45" t="s">
        <v>119</v>
      </c>
      <c r="H535" s="42" t="s">
        <v>85</v>
      </c>
      <c r="I535" s="45" t="s">
        <v>9</v>
      </c>
      <c r="J535" s="45" t="s">
        <v>103</v>
      </c>
      <c r="K535" s="12">
        <v>8619</v>
      </c>
      <c r="L535" s="12">
        <v>8619</v>
      </c>
      <c r="M535" s="12">
        <v>0</v>
      </c>
      <c r="N535" s="46">
        <f>L535*16%</f>
        <v>1379.04</v>
      </c>
      <c r="O535" s="12">
        <v>7239.96</v>
      </c>
      <c r="P535" s="47">
        <v>20</v>
      </c>
    </row>
    <row r="536" spans="1:17" s="85" customFormat="1" ht="16.5" hidden="1" thickTop="1" thickBot="1" x14ac:dyDescent="0.3">
      <c r="A536" s="74" t="s">
        <v>111</v>
      </c>
      <c r="B536" s="25" t="s">
        <v>10</v>
      </c>
      <c r="C536" s="8" t="s">
        <v>60</v>
      </c>
      <c r="D536" s="7" t="s">
        <v>79</v>
      </c>
      <c r="E536" s="9" t="s">
        <v>65</v>
      </c>
      <c r="F536" s="44">
        <v>20</v>
      </c>
      <c r="G536" s="11" t="s">
        <v>119</v>
      </c>
      <c r="H536" s="7" t="s">
        <v>85</v>
      </c>
      <c r="I536" s="11" t="s">
        <v>96</v>
      </c>
      <c r="J536" s="11" t="s">
        <v>103</v>
      </c>
      <c r="K536" s="12">
        <v>1785.7</v>
      </c>
      <c r="L536" s="12">
        <v>1785.7</v>
      </c>
      <c r="M536" s="12">
        <v>0</v>
      </c>
      <c r="N536" s="12">
        <v>0</v>
      </c>
      <c r="O536" s="12">
        <v>1785.7</v>
      </c>
      <c r="P536" s="29">
        <v>20</v>
      </c>
    </row>
    <row r="537" spans="1:17" s="85" customFormat="1" ht="16.5" hidden="1" thickTop="1" thickBot="1" x14ac:dyDescent="0.3">
      <c r="A537" s="74" t="s">
        <v>111</v>
      </c>
      <c r="B537" s="25" t="s">
        <v>11</v>
      </c>
      <c r="C537" s="8" t="s">
        <v>60</v>
      </c>
      <c r="D537" s="7" t="s">
        <v>79</v>
      </c>
      <c r="E537" s="9" t="s">
        <v>67</v>
      </c>
      <c r="F537" s="44">
        <v>20</v>
      </c>
      <c r="G537" s="11" t="s">
        <v>94</v>
      </c>
      <c r="H537" s="7" t="s">
        <v>86</v>
      </c>
      <c r="I537" s="11" t="s">
        <v>15</v>
      </c>
      <c r="J537" s="11" t="s">
        <v>103</v>
      </c>
      <c r="K537" s="12">
        <v>7270.9</v>
      </c>
      <c r="L537" s="12">
        <f>K537</f>
        <v>7270.9</v>
      </c>
      <c r="M537" s="12">
        <v>0</v>
      </c>
      <c r="N537" s="12">
        <v>0</v>
      </c>
      <c r="O537" s="12">
        <v>1785.7</v>
      </c>
      <c r="P537" s="29">
        <v>20</v>
      </c>
    </row>
    <row r="538" spans="1:17" s="85" customFormat="1" ht="16.5" hidden="1" thickTop="1" thickBot="1" x14ac:dyDescent="0.3">
      <c r="A538" s="51"/>
      <c r="B538" s="25" t="s">
        <v>11</v>
      </c>
      <c r="C538" s="8" t="s">
        <v>60</v>
      </c>
      <c r="D538" s="7" t="s">
        <v>79</v>
      </c>
      <c r="E538" s="9" t="s">
        <v>71</v>
      </c>
      <c r="F538" s="44">
        <v>20</v>
      </c>
      <c r="G538" s="11" t="s">
        <v>94</v>
      </c>
      <c r="H538" s="7" t="s">
        <v>86</v>
      </c>
      <c r="I538" s="11" t="s">
        <v>7</v>
      </c>
      <c r="J538" s="11" t="s">
        <v>103</v>
      </c>
      <c r="K538" s="12">
        <v>27367.535</v>
      </c>
      <c r="L538" s="12">
        <v>27367.535</v>
      </c>
      <c r="M538" s="12">
        <v>0</v>
      </c>
      <c r="N538" s="12">
        <f>L538*14%</f>
        <v>3831.4549000000002</v>
      </c>
      <c r="O538" s="12">
        <v>22988.7294</v>
      </c>
      <c r="P538" s="29">
        <v>20</v>
      </c>
    </row>
    <row r="539" spans="1:17" s="85" customFormat="1" ht="16.5" hidden="1" thickTop="1" thickBot="1" x14ac:dyDescent="0.3">
      <c r="A539" s="51"/>
      <c r="B539" s="25" t="s">
        <v>13</v>
      </c>
      <c r="C539" s="8" t="s">
        <v>60</v>
      </c>
      <c r="D539" s="7" t="s">
        <v>79</v>
      </c>
      <c r="E539" s="9" t="s">
        <v>71</v>
      </c>
      <c r="F539" s="44">
        <v>20</v>
      </c>
      <c r="G539" s="11" t="s">
        <v>94</v>
      </c>
      <c r="H539" s="7" t="s">
        <v>86</v>
      </c>
      <c r="I539" s="11" t="s">
        <v>9</v>
      </c>
      <c r="J539" s="11" t="s">
        <v>103</v>
      </c>
      <c r="K539" s="12">
        <v>17100.98</v>
      </c>
      <c r="L539" s="12">
        <v>17100.98</v>
      </c>
      <c r="M539" s="12">
        <v>0</v>
      </c>
      <c r="N539" s="12">
        <f>L539*16%</f>
        <v>2736.1568000000002</v>
      </c>
      <c r="O539" s="12">
        <v>14364.823199999999</v>
      </c>
      <c r="P539" s="29">
        <v>20</v>
      </c>
    </row>
    <row r="540" spans="1:17" s="85" customFormat="1" ht="16.5" hidden="1" thickTop="1" thickBot="1" x14ac:dyDescent="0.3">
      <c r="A540" s="74" t="s">
        <v>111</v>
      </c>
      <c r="B540" s="25" t="s">
        <v>5</v>
      </c>
      <c r="C540" s="8" t="s">
        <v>0</v>
      </c>
      <c r="D540" s="7" t="s">
        <v>79</v>
      </c>
      <c r="E540" s="9" t="s">
        <v>65</v>
      </c>
      <c r="F540" s="44">
        <v>8</v>
      </c>
      <c r="G540" s="11" t="s">
        <v>6</v>
      </c>
      <c r="H540" s="7" t="s">
        <v>85</v>
      </c>
      <c r="I540" s="11" t="s">
        <v>7</v>
      </c>
      <c r="J540" s="11" t="s">
        <v>103</v>
      </c>
      <c r="K540" s="12">
        <v>41245.995459655351</v>
      </c>
      <c r="L540" s="12">
        <v>41245.995459655351</v>
      </c>
      <c r="M540" s="12">
        <v>0</v>
      </c>
      <c r="N540" s="12">
        <v>1866.3346361835002</v>
      </c>
      <c r="O540" s="12">
        <v>39379.660823471851</v>
      </c>
      <c r="P540" s="29">
        <v>10</v>
      </c>
      <c r="Q540" s="85" t="s">
        <v>156</v>
      </c>
    </row>
    <row r="541" spans="1:17" s="85" customFormat="1" ht="16.5" hidden="1" thickTop="1" thickBot="1" x14ac:dyDescent="0.3">
      <c r="A541" s="74" t="s">
        <v>111</v>
      </c>
      <c r="B541" s="25" t="s">
        <v>11</v>
      </c>
      <c r="C541" s="8" t="s">
        <v>0</v>
      </c>
      <c r="D541" s="7" t="s">
        <v>79</v>
      </c>
      <c r="E541" s="9" t="s">
        <v>65</v>
      </c>
      <c r="F541" s="44">
        <v>8</v>
      </c>
      <c r="G541" s="11" t="s">
        <v>8</v>
      </c>
      <c r="H541" s="7" t="s">
        <v>85</v>
      </c>
      <c r="I541" s="11" t="s">
        <v>7</v>
      </c>
      <c r="J541" s="11" t="s">
        <v>103</v>
      </c>
      <c r="K541" s="12">
        <v>19327.518303502504</v>
      </c>
      <c r="L541" s="12">
        <v>19327.518303502504</v>
      </c>
      <c r="M541" s="12">
        <v>0</v>
      </c>
      <c r="N541" s="12">
        <v>874.54833952500019</v>
      </c>
      <c r="O541" s="12">
        <v>18452.969963977503</v>
      </c>
      <c r="P541" s="29">
        <v>10</v>
      </c>
      <c r="Q541" s="85" t="s">
        <v>156</v>
      </c>
    </row>
    <row r="542" spans="1:17" s="85" customFormat="1" ht="16.5" hidden="1" thickTop="1" thickBot="1" x14ac:dyDescent="0.3">
      <c r="A542" s="74" t="s">
        <v>111</v>
      </c>
      <c r="B542" s="25" t="s">
        <v>11</v>
      </c>
      <c r="C542" s="8" t="s">
        <v>0</v>
      </c>
      <c r="D542" s="7" t="s">
        <v>79</v>
      </c>
      <c r="E542" s="9" t="s">
        <v>65</v>
      </c>
      <c r="F542" s="10">
        <v>8</v>
      </c>
      <c r="G542" s="11" t="s">
        <v>8</v>
      </c>
      <c r="H542" s="7" t="s">
        <v>85</v>
      </c>
      <c r="I542" s="11" t="s">
        <v>97</v>
      </c>
      <c r="J542" s="11" t="s">
        <v>103</v>
      </c>
      <c r="K542" s="12">
        <v>19327.518303502504</v>
      </c>
      <c r="L542" s="12">
        <v>19327.518303502504</v>
      </c>
      <c r="M542" s="12">
        <v>0</v>
      </c>
      <c r="N542" s="12">
        <v>874.54833952500019</v>
      </c>
      <c r="O542" s="12">
        <v>18452.969963977503</v>
      </c>
      <c r="P542" s="29">
        <v>10</v>
      </c>
      <c r="Q542" s="85" t="s">
        <v>156</v>
      </c>
    </row>
    <row r="543" spans="1:17" s="85" customFormat="1" ht="16.5" hidden="1" thickTop="1" thickBot="1" x14ac:dyDescent="0.3">
      <c r="A543" s="74" t="s">
        <v>111</v>
      </c>
      <c r="B543" s="25" t="s">
        <v>183</v>
      </c>
      <c r="C543" s="8" t="s">
        <v>0</v>
      </c>
      <c r="D543" s="7" t="s">
        <v>79</v>
      </c>
      <c r="E543" s="9" t="s">
        <v>65</v>
      </c>
      <c r="F543" s="10">
        <v>8</v>
      </c>
      <c r="G543" s="11" t="s">
        <v>8</v>
      </c>
      <c r="H543" s="7" t="s">
        <v>85</v>
      </c>
      <c r="I543" s="11" t="s">
        <v>9</v>
      </c>
      <c r="J543" s="11" t="s">
        <v>103</v>
      </c>
      <c r="K543" s="12">
        <v>16926.608031693751</v>
      </c>
      <c r="L543" s="12">
        <v>16926.608031693751</v>
      </c>
      <c r="M543" s="12">
        <v>0</v>
      </c>
      <c r="N543" s="12">
        <v>765.90986568750009</v>
      </c>
      <c r="O543" s="12">
        <v>16160.698166006252</v>
      </c>
      <c r="P543" s="29">
        <v>10</v>
      </c>
      <c r="Q543" s="85" t="s">
        <v>156</v>
      </c>
    </row>
    <row r="544" spans="1:17" s="85" customFormat="1" ht="16.5" hidden="1" thickTop="1" thickBot="1" x14ac:dyDescent="0.3">
      <c r="A544" s="74" t="s">
        <v>111</v>
      </c>
      <c r="B544" s="25" t="s">
        <v>183</v>
      </c>
      <c r="C544" s="8" t="s">
        <v>0</v>
      </c>
      <c r="D544" s="7" t="s">
        <v>79</v>
      </c>
      <c r="E544" s="9" t="s">
        <v>65</v>
      </c>
      <c r="F544" s="10">
        <v>8</v>
      </c>
      <c r="G544" s="11" t="s">
        <v>8</v>
      </c>
      <c r="H544" s="7" t="s">
        <v>85</v>
      </c>
      <c r="I544" s="11" t="s">
        <v>15</v>
      </c>
      <c r="J544" s="11" t="s">
        <v>103</v>
      </c>
      <c r="K544" s="12">
        <v>14433.306181368749</v>
      </c>
      <c r="L544" s="12">
        <v>14433.306181368749</v>
      </c>
      <c r="M544" s="12">
        <v>0</v>
      </c>
      <c r="N544" s="12">
        <v>653.09077743750004</v>
      </c>
      <c r="O544" s="12">
        <v>13780.215403931248</v>
      </c>
      <c r="P544" s="29">
        <v>10</v>
      </c>
      <c r="Q544" s="85" t="s">
        <v>156</v>
      </c>
    </row>
    <row r="545" spans="1:17" s="85" customFormat="1" ht="16.5" hidden="1" thickTop="1" thickBot="1" x14ac:dyDescent="0.3">
      <c r="A545" s="74" t="s">
        <v>111</v>
      </c>
      <c r="B545" s="25" t="s">
        <v>10</v>
      </c>
      <c r="C545" s="8" t="s">
        <v>0</v>
      </c>
      <c r="D545" s="7" t="s">
        <v>79</v>
      </c>
      <c r="E545" s="9" t="s">
        <v>65</v>
      </c>
      <c r="F545" s="10">
        <v>8</v>
      </c>
      <c r="G545" s="11" t="s">
        <v>8</v>
      </c>
      <c r="H545" s="7" t="s">
        <v>85</v>
      </c>
      <c r="I545" s="11" t="s">
        <v>96</v>
      </c>
      <c r="J545" s="11" t="s">
        <v>103</v>
      </c>
      <c r="K545" s="12">
        <v>2000</v>
      </c>
      <c r="L545" s="12">
        <v>2000</v>
      </c>
      <c r="M545" s="12">
        <v>0</v>
      </c>
      <c r="N545" s="12">
        <v>0</v>
      </c>
      <c r="O545" s="12">
        <v>2000</v>
      </c>
      <c r="P545" s="29">
        <v>10</v>
      </c>
      <c r="Q545" s="85" t="s">
        <v>156</v>
      </c>
    </row>
    <row r="546" spans="1:17" s="85" customFormat="1" ht="16.5" hidden="1" thickTop="1" thickBot="1" x14ac:dyDescent="0.3">
      <c r="A546" s="74" t="s">
        <v>111</v>
      </c>
      <c r="B546" s="25" t="s">
        <v>10</v>
      </c>
      <c r="C546" s="8" t="s">
        <v>0</v>
      </c>
      <c r="D546" s="7" t="s">
        <v>79</v>
      </c>
      <c r="E546" s="9" t="s">
        <v>65</v>
      </c>
      <c r="F546" s="10">
        <v>8</v>
      </c>
      <c r="G546" s="11" t="s">
        <v>8</v>
      </c>
      <c r="H546" s="7" t="s">
        <v>85</v>
      </c>
      <c r="I546" s="11" t="s">
        <v>96</v>
      </c>
      <c r="J546" s="11" t="s">
        <v>103</v>
      </c>
      <c r="K546" s="12">
        <v>200</v>
      </c>
      <c r="L546" s="12">
        <v>200</v>
      </c>
      <c r="M546" s="12">
        <v>0</v>
      </c>
      <c r="N546" s="12">
        <v>0</v>
      </c>
      <c r="O546" s="12">
        <v>200</v>
      </c>
      <c r="P546" s="29">
        <v>10</v>
      </c>
      <c r="Q546" s="85" t="s">
        <v>156</v>
      </c>
    </row>
    <row r="547" spans="1:17" s="85" customFormat="1" ht="16.5" hidden="1" thickTop="1" thickBot="1" x14ac:dyDescent="0.3">
      <c r="A547" s="74" t="s">
        <v>111</v>
      </c>
      <c r="B547" s="25" t="s">
        <v>11</v>
      </c>
      <c r="C547" s="8" t="s">
        <v>0</v>
      </c>
      <c r="D547" s="7" t="s">
        <v>79</v>
      </c>
      <c r="E547" s="9" t="s">
        <v>65</v>
      </c>
      <c r="F547" s="10">
        <v>14</v>
      </c>
      <c r="G547" s="11" t="s">
        <v>139</v>
      </c>
      <c r="H547" s="7" t="s">
        <v>84</v>
      </c>
      <c r="I547" s="11" t="s">
        <v>7</v>
      </c>
      <c r="J547" s="11" t="s">
        <v>103</v>
      </c>
      <c r="K547" s="12">
        <v>16311.633340859998</v>
      </c>
      <c r="L547" s="12">
        <v>16311.633340859998</v>
      </c>
      <c r="M547" s="12">
        <v>0</v>
      </c>
      <c r="N547" s="12">
        <v>738.08295659999999</v>
      </c>
      <c r="O547" s="12">
        <v>15573.550384259999</v>
      </c>
      <c r="P547" s="29">
        <v>15</v>
      </c>
      <c r="Q547" s="85" t="s">
        <v>156</v>
      </c>
    </row>
    <row r="548" spans="1:17" s="85" customFormat="1" ht="16.5" hidden="1" thickTop="1" thickBot="1" x14ac:dyDescent="0.3">
      <c r="A548" s="74" t="s">
        <v>111</v>
      </c>
      <c r="B548" s="25" t="s">
        <v>13</v>
      </c>
      <c r="C548" s="8" t="s">
        <v>0</v>
      </c>
      <c r="D548" s="7" t="s">
        <v>79</v>
      </c>
      <c r="E548" s="9" t="s">
        <v>65</v>
      </c>
      <c r="F548" s="10">
        <v>14</v>
      </c>
      <c r="G548" s="11" t="s">
        <v>139</v>
      </c>
      <c r="H548" s="7" t="s">
        <v>84</v>
      </c>
      <c r="I548" s="11" t="s">
        <v>9</v>
      </c>
      <c r="J548" s="11" t="s">
        <v>103</v>
      </c>
      <c r="K548" s="12">
        <v>4158.1260499999999</v>
      </c>
      <c r="L548" s="12">
        <v>4158.1260499999999</v>
      </c>
      <c r="M548" s="12">
        <v>0</v>
      </c>
      <c r="N548" s="12">
        <v>188.15050000000002</v>
      </c>
      <c r="O548" s="12">
        <v>3969.9755499999997</v>
      </c>
      <c r="P548" s="29">
        <v>15</v>
      </c>
      <c r="Q548" s="85" t="s">
        <v>156</v>
      </c>
    </row>
    <row r="549" spans="1:17" s="85" customFormat="1" ht="16.5" hidden="1" thickTop="1" thickBot="1" x14ac:dyDescent="0.3">
      <c r="A549" s="74" t="s">
        <v>111</v>
      </c>
      <c r="B549" s="25" t="s">
        <v>13</v>
      </c>
      <c r="C549" s="8" t="s">
        <v>0</v>
      </c>
      <c r="D549" s="7" t="s">
        <v>79</v>
      </c>
      <c r="E549" s="9" t="s">
        <v>65</v>
      </c>
      <c r="F549" s="10">
        <v>14</v>
      </c>
      <c r="G549" s="11" t="s">
        <v>139</v>
      </c>
      <c r="H549" s="7" t="s">
        <v>84</v>
      </c>
      <c r="I549" s="11" t="s">
        <v>15</v>
      </c>
      <c r="J549" s="11" t="s">
        <v>103</v>
      </c>
      <c r="K549" s="12">
        <v>5282.5230083924998</v>
      </c>
      <c r="L549" s="12">
        <v>5282.5230083924998</v>
      </c>
      <c r="M549" s="12">
        <v>0</v>
      </c>
      <c r="N549" s="12">
        <v>239.02819042500002</v>
      </c>
      <c r="O549" s="12">
        <v>5043.4948179675002</v>
      </c>
      <c r="P549" s="29">
        <v>15</v>
      </c>
      <c r="Q549" s="85" t="s">
        <v>156</v>
      </c>
    </row>
    <row r="550" spans="1:17" s="85" customFormat="1" ht="16.5" hidden="1" thickTop="1" thickBot="1" x14ac:dyDescent="0.3">
      <c r="A550" s="74" t="s">
        <v>111</v>
      </c>
      <c r="B550" s="25" t="s">
        <v>10</v>
      </c>
      <c r="C550" s="8" t="s">
        <v>0</v>
      </c>
      <c r="D550" s="7" t="s">
        <v>79</v>
      </c>
      <c r="E550" s="9" t="s">
        <v>65</v>
      </c>
      <c r="F550" s="10">
        <v>14</v>
      </c>
      <c r="G550" s="11" t="s">
        <v>139</v>
      </c>
      <c r="H550" s="7" t="s">
        <v>84</v>
      </c>
      <c r="I550" s="11" t="s">
        <v>96</v>
      </c>
      <c r="J550" s="11" t="s">
        <v>103</v>
      </c>
      <c r="K550" s="12">
        <v>500</v>
      </c>
      <c r="L550" s="12">
        <v>500</v>
      </c>
      <c r="M550" s="12">
        <v>0</v>
      </c>
      <c r="N550" s="12">
        <v>0</v>
      </c>
      <c r="O550" s="12">
        <v>500</v>
      </c>
      <c r="P550" s="29">
        <v>15</v>
      </c>
      <c r="Q550" s="85" t="s">
        <v>156</v>
      </c>
    </row>
    <row r="551" spans="1:17" s="85" customFormat="1" ht="16.5" hidden="1" thickTop="1" thickBot="1" x14ac:dyDescent="0.3">
      <c r="A551" s="74" t="s">
        <v>111</v>
      </c>
      <c r="B551" s="25" t="s">
        <v>11</v>
      </c>
      <c r="C551" s="8" t="s">
        <v>61</v>
      </c>
      <c r="D551" s="7" t="s">
        <v>79</v>
      </c>
      <c r="E551" s="9" t="s">
        <v>65</v>
      </c>
      <c r="F551" s="10">
        <v>20</v>
      </c>
      <c r="G551" s="13" t="s">
        <v>43</v>
      </c>
      <c r="H551" s="7" t="s">
        <v>83</v>
      </c>
      <c r="I551" s="14" t="s">
        <v>30</v>
      </c>
      <c r="J551" s="14" t="s">
        <v>106</v>
      </c>
      <c r="K551" s="12">
        <v>230</v>
      </c>
      <c r="L551" s="12">
        <v>230</v>
      </c>
      <c r="M551" s="12">
        <v>0</v>
      </c>
      <c r="N551" s="12">
        <v>10</v>
      </c>
      <c r="O551" s="12">
        <v>190</v>
      </c>
      <c r="P551" s="29">
        <v>15</v>
      </c>
    </row>
    <row r="552" spans="1:17" s="85" customFormat="1" ht="16.5" hidden="1" thickTop="1" thickBot="1" x14ac:dyDescent="0.3">
      <c r="A552" s="74" t="s">
        <v>111</v>
      </c>
      <c r="B552" s="25" t="s">
        <v>11</v>
      </c>
      <c r="C552" s="8" t="s">
        <v>61</v>
      </c>
      <c r="D552" s="7" t="s">
        <v>79</v>
      </c>
      <c r="E552" s="9" t="s">
        <v>65</v>
      </c>
      <c r="F552" s="10">
        <v>20</v>
      </c>
      <c r="G552" s="13" t="s">
        <v>40</v>
      </c>
      <c r="H552" s="7" t="s">
        <v>83</v>
      </c>
      <c r="I552" s="14" t="s">
        <v>30</v>
      </c>
      <c r="J552" s="14" t="s">
        <v>107</v>
      </c>
      <c r="K552" s="12">
        <v>230</v>
      </c>
      <c r="L552" s="12">
        <v>230</v>
      </c>
      <c r="M552" s="12">
        <v>0</v>
      </c>
      <c r="N552" s="12">
        <v>10</v>
      </c>
      <c r="O552" s="12">
        <v>190</v>
      </c>
      <c r="P552" s="29">
        <v>10</v>
      </c>
    </row>
    <row r="553" spans="1:17" s="85" customFormat="1" ht="16.5" hidden="1" thickTop="1" thickBot="1" x14ac:dyDescent="0.3">
      <c r="A553" s="74" t="s">
        <v>111</v>
      </c>
      <c r="B553" s="25" t="s">
        <v>5</v>
      </c>
      <c r="C553" s="8" t="s">
        <v>25</v>
      </c>
      <c r="D553" s="7" t="s">
        <v>79</v>
      </c>
      <c r="E553" s="9" t="s">
        <v>65</v>
      </c>
      <c r="F553" s="10">
        <v>20</v>
      </c>
      <c r="G553" s="11" t="s">
        <v>146</v>
      </c>
      <c r="H553" s="7" t="s">
        <v>83</v>
      </c>
      <c r="I553" s="11" t="s">
        <v>145</v>
      </c>
      <c r="J553" s="11" t="s">
        <v>80</v>
      </c>
      <c r="K553" s="12">
        <v>10637.82</v>
      </c>
      <c r="L553" s="12">
        <v>10637.82</v>
      </c>
      <c r="M553" s="12">
        <v>0</v>
      </c>
      <c r="N553" s="12">
        <v>505.32979499999999</v>
      </c>
      <c r="O553" s="12">
        <v>10132.490205</v>
      </c>
      <c r="P553" s="29">
        <v>10</v>
      </c>
    </row>
    <row r="554" spans="1:17" s="85" customFormat="1" ht="16.5" hidden="1" thickTop="1" thickBot="1" x14ac:dyDescent="0.3">
      <c r="A554" s="74" t="s">
        <v>111</v>
      </c>
      <c r="B554" s="25" t="s">
        <v>5</v>
      </c>
      <c r="C554" s="8" t="s">
        <v>25</v>
      </c>
      <c r="D554" s="7" t="s">
        <v>79</v>
      </c>
      <c r="E554" s="9" t="s">
        <v>65</v>
      </c>
      <c r="F554" s="10">
        <v>20</v>
      </c>
      <c r="G554" s="11" t="s">
        <v>146</v>
      </c>
      <c r="H554" s="7" t="s">
        <v>83</v>
      </c>
      <c r="I554" s="11" t="s">
        <v>7</v>
      </c>
      <c r="J554" s="11" t="s">
        <v>80</v>
      </c>
      <c r="K554" s="12">
        <v>10048.870000000001</v>
      </c>
      <c r="L554" s="12">
        <v>10048.870000000001</v>
      </c>
      <c r="M554" s="12">
        <v>0</v>
      </c>
      <c r="N554" s="12">
        <v>481.34</v>
      </c>
      <c r="O554" s="12">
        <v>9567.5300000000007</v>
      </c>
      <c r="P554" s="29">
        <v>10</v>
      </c>
    </row>
    <row r="555" spans="1:17" s="85" customFormat="1" ht="16.5" hidden="1" thickTop="1" thickBot="1" x14ac:dyDescent="0.3">
      <c r="A555" s="51"/>
      <c r="B555" s="25" t="s">
        <v>11</v>
      </c>
      <c r="C555" s="8" t="s">
        <v>0</v>
      </c>
      <c r="D555" s="7" t="s">
        <v>79</v>
      </c>
      <c r="E555" s="9" t="s">
        <v>65</v>
      </c>
      <c r="F555" s="10">
        <v>22</v>
      </c>
      <c r="G555" s="11" t="s">
        <v>24</v>
      </c>
      <c r="H555" s="7" t="s">
        <v>83</v>
      </c>
      <c r="I555" s="11" t="s">
        <v>7</v>
      </c>
      <c r="J555" s="11" t="s">
        <v>80</v>
      </c>
      <c r="K555" s="12">
        <v>61581.4</v>
      </c>
      <c r="L555" s="12">
        <f>K555</f>
        <v>61581.4</v>
      </c>
      <c r="M555" s="12">
        <v>0</v>
      </c>
      <c r="N555" s="12">
        <f>L555*14%</f>
        <v>8621.3960000000006</v>
      </c>
      <c r="O555" s="12">
        <f>L555-N555</f>
        <v>52960.004000000001</v>
      </c>
      <c r="P555" s="29">
        <v>12</v>
      </c>
    </row>
    <row r="556" spans="1:17" s="85" customFormat="1" ht="16.5" hidden="1" thickTop="1" thickBot="1" x14ac:dyDescent="0.3">
      <c r="A556" s="51"/>
      <c r="B556" s="25" t="s">
        <v>13</v>
      </c>
      <c r="C556" s="8" t="s">
        <v>0</v>
      </c>
      <c r="D556" s="7" t="s">
        <v>79</v>
      </c>
      <c r="E556" s="9" t="s">
        <v>65</v>
      </c>
      <c r="F556" s="10">
        <v>22</v>
      </c>
      <c r="G556" s="11" t="s">
        <v>24</v>
      </c>
      <c r="H556" s="7" t="s">
        <v>83</v>
      </c>
      <c r="I556" s="11" t="s">
        <v>9</v>
      </c>
      <c r="J556" s="11" t="s">
        <v>80</v>
      </c>
      <c r="K556" s="12">
        <v>12949</v>
      </c>
      <c r="L556" s="12">
        <f>K556</f>
        <v>12949</v>
      </c>
      <c r="M556" s="12">
        <v>0</v>
      </c>
      <c r="N556" s="12">
        <f>L556*16%</f>
        <v>2071.84</v>
      </c>
      <c r="O556" s="12">
        <f>L556-N556</f>
        <v>10877.16</v>
      </c>
      <c r="P556" s="29">
        <v>12</v>
      </c>
    </row>
    <row r="557" spans="1:17" s="85" customFormat="1" ht="16.5" hidden="1" thickTop="1" thickBot="1" x14ac:dyDescent="0.3">
      <c r="A557" s="51"/>
      <c r="B557" s="25" t="s">
        <v>10</v>
      </c>
      <c r="C557" s="8" t="s">
        <v>0</v>
      </c>
      <c r="D557" s="7" t="s">
        <v>79</v>
      </c>
      <c r="E557" s="9" t="s">
        <v>65</v>
      </c>
      <c r="F557" s="10">
        <v>22</v>
      </c>
      <c r="G557" s="11" t="s">
        <v>24</v>
      </c>
      <c r="H557" s="7" t="s">
        <v>83</v>
      </c>
      <c r="I557" s="11" t="s">
        <v>96</v>
      </c>
      <c r="J557" s="11" t="s">
        <v>80</v>
      </c>
      <c r="K557" s="12">
        <v>1500</v>
      </c>
      <c r="L557" s="12">
        <v>1500</v>
      </c>
      <c r="M557" s="12">
        <v>0</v>
      </c>
      <c r="N557" s="12">
        <v>0</v>
      </c>
      <c r="O557" s="12">
        <v>1500</v>
      </c>
      <c r="P557" s="29">
        <v>12</v>
      </c>
    </row>
    <row r="558" spans="1:17" s="85" customFormat="1" ht="16.5" hidden="1" thickTop="1" thickBot="1" x14ac:dyDescent="0.3">
      <c r="A558" s="74" t="s">
        <v>111</v>
      </c>
      <c r="B558" s="25" t="s">
        <v>22</v>
      </c>
      <c r="C558" s="8" t="s">
        <v>60</v>
      </c>
      <c r="D558" s="7" t="s">
        <v>79</v>
      </c>
      <c r="E558" s="9" t="s">
        <v>65</v>
      </c>
      <c r="F558" s="10">
        <v>1</v>
      </c>
      <c r="G558" s="11" t="s">
        <v>181</v>
      </c>
      <c r="H558" s="7" t="s">
        <v>85</v>
      </c>
      <c r="I558" s="11" t="s">
        <v>182</v>
      </c>
      <c r="J558" s="11" t="s">
        <v>80</v>
      </c>
      <c r="K558" s="12">
        <v>6192</v>
      </c>
      <c r="L558" s="12">
        <f>K558</f>
        <v>6192</v>
      </c>
      <c r="M558" s="12"/>
      <c r="N558" s="12"/>
      <c r="O558" s="12">
        <f>L558</f>
        <v>6192</v>
      </c>
      <c r="P558" s="29">
        <v>25</v>
      </c>
    </row>
    <row r="559" spans="1:17" s="85" customFormat="1" ht="16.5" hidden="1" thickTop="1" thickBot="1" x14ac:dyDescent="0.3">
      <c r="A559" s="74" t="s">
        <v>111</v>
      </c>
      <c r="B559" s="25" t="s">
        <v>22</v>
      </c>
      <c r="C559" s="8" t="s">
        <v>60</v>
      </c>
      <c r="D559" s="7" t="s">
        <v>79</v>
      </c>
      <c r="E559" s="9" t="s">
        <v>65</v>
      </c>
      <c r="F559" s="10">
        <v>1</v>
      </c>
      <c r="G559" s="11" t="s">
        <v>181</v>
      </c>
      <c r="H559" s="7" t="s">
        <v>85</v>
      </c>
      <c r="I559" s="11" t="s">
        <v>9</v>
      </c>
      <c r="J559" s="11" t="s">
        <v>80</v>
      </c>
      <c r="K559" s="12">
        <v>4410</v>
      </c>
      <c r="L559" s="12">
        <f>K559</f>
        <v>4410</v>
      </c>
      <c r="M559" s="12"/>
      <c r="N559" s="12"/>
      <c r="O559" s="12">
        <f>L559</f>
        <v>4410</v>
      </c>
      <c r="P559" s="29">
        <v>25</v>
      </c>
    </row>
    <row r="560" spans="1:17" s="85" customFormat="1" ht="16.5" hidden="1" thickTop="1" thickBot="1" x14ac:dyDescent="0.3">
      <c r="A560" s="74" t="s">
        <v>111</v>
      </c>
      <c r="B560" s="25" t="s">
        <v>22</v>
      </c>
      <c r="C560" s="8" t="s">
        <v>25</v>
      </c>
      <c r="D560" s="7" t="s">
        <v>79</v>
      </c>
      <c r="E560" s="9" t="s">
        <v>65</v>
      </c>
      <c r="F560" s="10">
        <v>28</v>
      </c>
      <c r="G560" s="11" t="s">
        <v>135</v>
      </c>
      <c r="H560" s="7" t="s">
        <v>83</v>
      </c>
      <c r="I560" s="11" t="s">
        <v>7</v>
      </c>
      <c r="J560" s="11" t="s">
        <v>80</v>
      </c>
      <c r="K560" s="12">
        <v>17695.12745</v>
      </c>
      <c r="L560" s="12">
        <v>17695.12745</v>
      </c>
      <c r="M560" s="12">
        <v>0</v>
      </c>
      <c r="N560" s="12">
        <v>0</v>
      </c>
      <c r="O560" s="12">
        <v>17695.12745</v>
      </c>
      <c r="P560" s="29">
        <v>18</v>
      </c>
    </row>
    <row r="561" spans="1:16" s="85" customFormat="1" ht="16.5" hidden="1" thickTop="1" thickBot="1" x14ac:dyDescent="0.3">
      <c r="A561" s="74" t="s">
        <v>111</v>
      </c>
      <c r="B561" s="25" t="s">
        <v>11</v>
      </c>
      <c r="C561" s="8" t="s">
        <v>61</v>
      </c>
      <c r="D561" s="7" t="s">
        <v>79</v>
      </c>
      <c r="E561" s="9" t="s">
        <v>65</v>
      </c>
      <c r="F561" s="10">
        <v>20</v>
      </c>
      <c r="G561" s="13" t="s">
        <v>41</v>
      </c>
      <c r="H561" s="7" t="s">
        <v>83</v>
      </c>
      <c r="I561" s="14" t="s">
        <v>30</v>
      </c>
      <c r="J561" s="11" t="s">
        <v>80</v>
      </c>
      <c r="K561" s="12">
        <v>630</v>
      </c>
      <c r="L561" s="12">
        <v>630</v>
      </c>
      <c r="M561" s="12">
        <v>0</v>
      </c>
      <c r="N561" s="12">
        <v>30</v>
      </c>
      <c r="O561" s="12">
        <v>570</v>
      </c>
      <c r="P561" s="29">
        <v>25</v>
      </c>
    </row>
    <row r="562" spans="1:16" s="85" customFormat="1" ht="16.5" hidden="1" thickTop="1" thickBot="1" x14ac:dyDescent="0.3">
      <c r="A562" s="74"/>
      <c r="B562" s="25" t="s">
        <v>22</v>
      </c>
      <c r="C562" s="8" t="s">
        <v>25</v>
      </c>
      <c r="D562" s="7" t="s">
        <v>79</v>
      </c>
      <c r="E562" s="9" t="s">
        <v>65</v>
      </c>
      <c r="F562" s="10">
        <v>20</v>
      </c>
      <c r="G562" s="13" t="s">
        <v>31</v>
      </c>
      <c r="H562" s="7" t="s">
        <v>83</v>
      </c>
      <c r="I562" s="11" t="s">
        <v>7</v>
      </c>
      <c r="J562" s="11" t="s">
        <v>80</v>
      </c>
      <c r="K562" s="12">
        <v>19669</v>
      </c>
      <c r="L562" s="12">
        <v>19669</v>
      </c>
      <c r="M562" s="12">
        <v>0</v>
      </c>
      <c r="N562" s="12">
        <v>0</v>
      </c>
      <c r="O562" s="12">
        <v>19669</v>
      </c>
      <c r="P562" s="29">
        <v>30</v>
      </c>
    </row>
    <row r="563" spans="1:16" s="85" customFormat="1" ht="16.5" hidden="1" thickTop="1" thickBot="1" x14ac:dyDescent="0.3">
      <c r="A563" s="74" t="s">
        <v>111</v>
      </c>
      <c r="B563" s="25" t="s">
        <v>22</v>
      </c>
      <c r="C563" s="8" t="s">
        <v>62</v>
      </c>
      <c r="D563" s="7" t="s">
        <v>79</v>
      </c>
      <c r="E563" s="9" t="s">
        <v>65</v>
      </c>
      <c r="F563" s="10">
        <v>1</v>
      </c>
      <c r="G563" s="11" t="s">
        <v>58</v>
      </c>
      <c r="H563" s="7" t="s">
        <v>85</v>
      </c>
      <c r="I563" s="11" t="s">
        <v>9</v>
      </c>
      <c r="J563" s="11" t="s">
        <v>105</v>
      </c>
      <c r="K563" s="72">
        <v>19078.18811847</v>
      </c>
      <c r="L563" s="12">
        <v>11446.912871081999</v>
      </c>
      <c r="M563" s="12">
        <v>7631.275247388</v>
      </c>
      <c r="N563" s="12">
        <v>0</v>
      </c>
      <c r="O563" s="12">
        <v>19078.18811847</v>
      </c>
      <c r="P563" s="29">
        <v>30</v>
      </c>
    </row>
    <row r="564" spans="1:16" s="85" customFormat="1" ht="16.5" hidden="1" thickTop="1" thickBot="1" x14ac:dyDescent="0.3">
      <c r="A564" s="74" t="s">
        <v>111</v>
      </c>
      <c r="B564" s="25" t="s">
        <v>22</v>
      </c>
      <c r="C564" s="8" t="s">
        <v>62</v>
      </c>
      <c r="D564" s="7" t="s">
        <v>79</v>
      </c>
      <c r="E564" s="9" t="s">
        <v>65</v>
      </c>
      <c r="F564" s="10">
        <v>1</v>
      </c>
      <c r="G564" s="11" t="s">
        <v>58</v>
      </c>
      <c r="H564" s="7" t="s">
        <v>85</v>
      </c>
      <c r="I564" s="11" t="s">
        <v>113</v>
      </c>
      <c r="J564" s="11" t="s">
        <v>105</v>
      </c>
      <c r="K564" s="12">
        <v>875</v>
      </c>
      <c r="L564" s="12">
        <f>K564*60%</f>
        <v>525</v>
      </c>
      <c r="M564" s="12">
        <f>K564*40%</f>
        <v>350</v>
      </c>
      <c r="N564" s="12">
        <v>0</v>
      </c>
      <c r="O564" s="12">
        <f>L564+M564</f>
        <v>875</v>
      </c>
      <c r="P564" s="29">
        <v>30</v>
      </c>
    </row>
    <row r="565" spans="1:16" s="85" customFormat="1" ht="16.5" hidden="1" thickTop="1" thickBot="1" x14ac:dyDescent="0.3">
      <c r="A565" s="74" t="s">
        <v>111</v>
      </c>
      <c r="B565" s="25" t="s">
        <v>22</v>
      </c>
      <c r="C565" s="8" t="s">
        <v>60</v>
      </c>
      <c r="D565" s="7" t="s">
        <v>79</v>
      </c>
      <c r="E565" s="9" t="s">
        <v>65</v>
      </c>
      <c r="F565" s="10">
        <v>1</v>
      </c>
      <c r="G565" s="11" t="s">
        <v>35</v>
      </c>
      <c r="H565" s="7" t="s">
        <v>83</v>
      </c>
      <c r="I565" s="11" t="s">
        <v>9</v>
      </c>
      <c r="J565" s="11" t="s">
        <v>105</v>
      </c>
      <c r="K565" s="72">
        <v>23847.740911214998</v>
      </c>
      <c r="L565" s="12">
        <v>14308.644546728998</v>
      </c>
      <c r="M565" s="12">
        <v>9539.0963644860003</v>
      </c>
      <c r="N565" s="12">
        <v>0</v>
      </c>
      <c r="O565" s="12">
        <v>23847.740911214998</v>
      </c>
      <c r="P565" s="29">
        <v>30</v>
      </c>
    </row>
    <row r="566" spans="1:16" s="85" customFormat="1" ht="16.5" hidden="1" thickTop="1" thickBot="1" x14ac:dyDescent="0.3">
      <c r="A566" s="74" t="s">
        <v>111</v>
      </c>
      <c r="B566" s="25" t="s">
        <v>22</v>
      </c>
      <c r="C566" s="8" t="s">
        <v>61</v>
      </c>
      <c r="D566" s="7" t="s">
        <v>79</v>
      </c>
      <c r="E566" s="9" t="s">
        <v>65</v>
      </c>
      <c r="F566" s="10">
        <v>1</v>
      </c>
      <c r="G566" s="11" t="s">
        <v>132</v>
      </c>
      <c r="H566" s="7" t="s">
        <v>88</v>
      </c>
      <c r="I566" s="11" t="s">
        <v>9</v>
      </c>
      <c r="J566" s="11" t="s">
        <v>105</v>
      </c>
      <c r="K566" s="98">
        <v>33386.834650000004</v>
      </c>
      <c r="L566" s="70">
        <v>20032.10079</v>
      </c>
      <c r="M566" s="12">
        <v>13354.733860000002</v>
      </c>
      <c r="N566" s="12">
        <v>0</v>
      </c>
      <c r="O566" s="12">
        <v>33386.834650000004</v>
      </c>
      <c r="P566" s="29">
        <v>30</v>
      </c>
    </row>
    <row r="567" spans="1:16" s="85" customFormat="1" ht="16.5" hidden="1" thickTop="1" thickBot="1" x14ac:dyDescent="0.3">
      <c r="A567" s="74" t="s">
        <v>111</v>
      </c>
      <c r="B567" s="25" t="s">
        <v>22</v>
      </c>
      <c r="C567" s="8" t="s">
        <v>61</v>
      </c>
      <c r="D567" s="7" t="s">
        <v>79</v>
      </c>
      <c r="E567" s="9" t="s">
        <v>65</v>
      </c>
      <c r="F567" s="10">
        <v>1</v>
      </c>
      <c r="G567" s="11" t="s">
        <v>132</v>
      </c>
      <c r="H567" s="7" t="s">
        <v>88</v>
      </c>
      <c r="I567" s="11" t="s">
        <v>113</v>
      </c>
      <c r="J567" s="11" t="s">
        <v>105</v>
      </c>
      <c r="K567" s="98">
        <v>875</v>
      </c>
      <c r="L567" s="70">
        <f>K567*60%</f>
        <v>525</v>
      </c>
      <c r="M567" s="12">
        <f>K567*40%</f>
        <v>350</v>
      </c>
      <c r="N567" s="12">
        <v>0</v>
      </c>
      <c r="O567" s="12">
        <f>L567+M567</f>
        <v>875</v>
      </c>
      <c r="P567" s="29">
        <v>30</v>
      </c>
    </row>
    <row r="568" spans="1:16" s="85" customFormat="1" ht="16.5" hidden="1" thickTop="1" thickBot="1" x14ac:dyDescent="0.3">
      <c r="A568" s="74" t="s">
        <v>111</v>
      </c>
      <c r="B568" s="25" t="s">
        <v>22</v>
      </c>
      <c r="C568" s="8" t="s">
        <v>60</v>
      </c>
      <c r="D568" s="7" t="s">
        <v>79</v>
      </c>
      <c r="E568" s="9" t="s">
        <v>65</v>
      </c>
      <c r="F568" s="10">
        <v>1</v>
      </c>
      <c r="G568" s="75" t="s">
        <v>38</v>
      </c>
      <c r="H568" s="7" t="s">
        <v>85</v>
      </c>
      <c r="I568" s="11" t="s">
        <v>9</v>
      </c>
      <c r="J568" s="11" t="s">
        <v>105</v>
      </c>
      <c r="K568" s="72">
        <v>9539.0940592349998</v>
      </c>
      <c r="L568" s="12">
        <v>5723.4564355409993</v>
      </c>
      <c r="M568" s="12">
        <v>3815.637623694</v>
      </c>
      <c r="N568" s="12">
        <v>0</v>
      </c>
      <c r="O568" s="12">
        <v>9539.0940592349998</v>
      </c>
      <c r="P568" s="29">
        <v>30</v>
      </c>
    </row>
    <row r="569" spans="1:16" s="85" customFormat="1" ht="16.5" hidden="1" thickTop="1" thickBot="1" x14ac:dyDescent="0.3">
      <c r="A569" s="74" t="s">
        <v>111</v>
      </c>
      <c r="B569" s="25" t="s">
        <v>22</v>
      </c>
      <c r="C569" s="8" t="s">
        <v>61</v>
      </c>
      <c r="D569" s="7" t="s">
        <v>79</v>
      </c>
      <c r="E569" s="9" t="s">
        <v>65</v>
      </c>
      <c r="F569" s="10">
        <v>1</v>
      </c>
      <c r="G569" s="11" t="s">
        <v>47</v>
      </c>
      <c r="H569" s="7" t="s">
        <v>85</v>
      </c>
      <c r="I569" s="11" t="s">
        <v>9</v>
      </c>
      <c r="J569" s="11" t="s">
        <v>105</v>
      </c>
      <c r="K569" s="98">
        <v>33354.561456449999</v>
      </c>
      <c r="L569" s="70">
        <v>20012.736873869999</v>
      </c>
      <c r="M569" s="12">
        <v>13341.82458258</v>
      </c>
      <c r="N569" s="12">
        <v>0</v>
      </c>
      <c r="O569" s="12">
        <v>33354.561456449999</v>
      </c>
      <c r="P569" s="29">
        <v>30</v>
      </c>
    </row>
    <row r="570" spans="1:16" s="85" customFormat="1" ht="16.5" hidden="1" thickTop="1" thickBot="1" x14ac:dyDescent="0.3">
      <c r="A570" s="74" t="s">
        <v>111</v>
      </c>
      <c r="B570" s="25" t="s">
        <v>22</v>
      </c>
      <c r="C570" s="8" t="s">
        <v>61</v>
      </c>
      <c r="D570" s="7" t="s">
        <v>79</v>
      </c>
      <c r="E570" s="9" t="s">
        <v>65</v>
      </c>
      <c r="F570" s="10">
        <v>1</v>
      </c>
      <c r="G570" s="11" t="s">
        <v>47</v>
      </c>
      <c r="H570" s="7" t="s">
        <v>85</v>
      </c>
      <c r="I570" s="11" t="s">
        <v>113</v>
      </c>
      <c r="J570" s="11" t="s">
        <v>105</v>
      </c>
      <c r="K570" s="98">
        <v>875</v>
      </c>
      <c r="L570" s="70">
        <f>K570*60%</f>
        <v>525</v>
      </c>
      <c r="M570" s="12">
        <f>K570*40%</f>
        <v>350</v>
      </c>
      <c r="N570" s="12">
        <v>0</v>
      </c>
      <c r="O570" s="12">
        <f>L570+M570</f>
        <v>875</v>
      </c>
      <c r="P570" s="29">
        <v>30</v>
      </c>
    </row>
    <row r="571" spans="1:16" s="85" customFormat="1" ht="16.5" hidden="1" thickTop="1" thickBot="1" x14ac:dyDescent="0.3">
      <c r="A571" s="74" t="s">
        <v>111</v>
      </c>
      <c r="B571" s="25" t="s">
        <v>22</v>
      </c>
      <c r="C571" s="8" t="s">
        <v>62</v>
      </c>
      <c r="D571" s="7" t="s">
        <v>79</v>
      </c>
      <c r="E571" s="9" t="s">
        <v>65</v>
      </c>
      <c r="F571" s="10">
        <v>1</v>
      </c>
      <c r="G571" s="11" t="s">
        <v>54</v>
      </c>
      <c r="H571" s="7" t="s">
        <v>85</v>
      </c>
      <c r="I571" s="11" t="s">
        <v>20</v>
      </c>
      <c r="J571" s="11" t="s">
        <v>105</v>
      </c>
      <c r="K571" s="72">
        <v>40617.404573265005</v>
      </c>
      <c r="L571" s="12">
        <v>24370.442743959004</v>
      </c>
      <c r="M571" s="12">
        <v>16246.961829306003</v>
      </c>
      <c r="N571" s="12">
        <v>0</v>
      </c>
      <c r="O571" s="12">
        <v>40617.404573265005</v>
      </c>
      <c r="P571" s="29">
        <v>30</v>
      </c>
    </row>
    <row r="572" spans="1:16" s="85" customFormat="1" ht="16.5" hidden="1" thickTop="1" thickBot="1" x14ac:dyDescent="0.3">
      <c r="A572" s="74" t="s">
        <v>111</v>
      </c>
      <c r="B572" s="25" t="s">
        <v>22</v>
      </c>
      <c r="C572" s="8" t="s">
        <v>62</v>
      </c>
      <c r="D572" s="7" t="s">
        <v>79</v>
      </c>
      <c r="E572" s="9" t="s">
        <v>65</v>
      </c>
      <c r="F572" s="10">
        <v>1</v>
      </c>
      <c r="G572" s="11" t="s">
        <v>54</v>
      </c>
      <c r="H572" s="7" t="s">
        <v>85</v>
      </c>
      <c r="I572" s="11" t="s">
        <v>9</v>
      </c>
      <c r="J572" s="11" t="s">
        <v>105</v>
      </c>
      <c r="K572" s="72">
        <v>33354.561456449999</v>
      </c>
      <c r="L572" s="12">
        <v>20012.736873869999</v>
      </c>
      <c r="M572" s="12">
        <v>13341.82458258</v>
      </c>
      <c r="N572" s="12">
        <v>0</v>
      </c>
      <c r="O572" s="12">
        <v>33354.561456449999</v>
      </c>
      <c r="P572" s="29">
        <v>30</v>
      </c>
    </row>
    <row r="573" spans="1:16" s="86" customFormat="1" ht="16.5" hidden="1" thickTop="1" thickBot="1" x14ac:dyDescent="0.3">
      <c r="A573" s="74" t="s">
        <v>111</v>
      </c>
      <c r="B573" s="64" t="s">
        <v>22</v>
      </c>
      <c r="C573" s="65" t="s">
        <v>61</v>
      </c>
      <c r="D573" s="66" t="s">
        <v>79</v>
      </c>
      <c r="E573" s="67" t="s">
        <v>65</v>
      </c>
      <c r="F573" s="68">
        <v>1</v>
      </c>
      <c r="G573" s="69" t="s">
        <v>46</v>
      </c>
      <c r="H573" s="66" t="s">
        <v>85</v>
      </c>
      <c r="I573" s="69" t="s">
        <v>20</v>
      </c>
      <c r="J573" s="69" t="s">
        <v>105</v>
      </c>
      <c r="K573" s="126">
        <v>58492.355406029994</v>
      </c>
      <c r="L573" s="70">
        <v>35095.413243617993</v>
      </c>
      <c r="M573" s="70">
        <v>23396.942162412</v>
      </c>
      <c r="N573" s="70">
        <v>0</v>
      </c>
      <c r="O573" s="70">
        <v>58492.355406029994</v>
      </c>
      <c r="P573" s="71">
        <v>30</v>
      </c>
    </row>
    <row r="574" spans="1:16" s="85" customFormat="1" ht="16.5" hidden="1" thickTop="1" thickBot="1" x14ac:dyDescent="0.3">
      <c r="A574" s="74" t="s">
        <v>111</v>
      </c>
      <c r="B574" s="25" t="s">
        <v>22</v>
      </c>
      <c r="C574" s="8" t="s">
        <v>61</v>
      </c>
      <c r="D574" s="7" t="s">
        <v>79</v>
      </c>
      <c r="E574" s="9" t="s">
        <v>65</v>
      </c>
      <c r="F574" s="10">
        <v>1</v>
      </c>
      <c r="G574" s="11" t="s">
        <v>46</v>
      </c>
      <c r="H574" s="7" t="s">
        <v>85</v>
      </c>
      <c r="I574" s="11" t="s">
        <v>98</v>
      </c>
      <c r="J574" s="11" t="s">
        <v>105</v>
      </c>
      <c r="K574" s="98">
        <v>3457.8765000000003</v>
      </c>
      <c r="L574" s="70">
        <v>2074.7258999999999</v>
      </c>
      <c r="M574" s="12">
        <v>1383.1506000000002</v>
      </c>
      <c r="N574" s="12">
        <v>0</v>
      </c>
      <c r="O574" s="12">
        <v>3457.8765000000003</v>
      </c>
      <c r="P574" s="29">
        <v>30</v>
      </c>
    </row>
    <row r="575" spans="1:16" s="86" customFormat="1" ht="16.5" hidden="1" thickTop="1" thickBot="1" x14ac:dyDescent="0.3">
      <c r="A575" s="74" t="s">
        <v>111</v>
      </c>
      <c r="B575" s="64" t="s">
        <v>22</v>
      </c>
      <c r="C575" s="65" t="s">
        <v>61</v>
      </c>
      <c r="D575" s="66" t="s">
        <v>79</v>
      </c>
      <c r="E575" s="67" t="s">
        <v>65</v>
      </c>
      <c r="F575" s="68">
        <v>1</v>
      </c>
      <c r="G575" s="69" t="s">
        <v>46</v>
      </c>
      <c r="H575" s="66" t="s">
        <v>85</v>
      </c>
      <c r="I575" s="69" t="s">
        <v>9</v>
      </c>
      <c r="J575" s="69" t="s">
        <v>105</v>
      </c>
      <c r="K575" s="126">
        <v>42925.929029685009</v>
      </c>
      <c r="L575" s="70">
        <v>25755.557417811004</v>
      </c>
      <c r="M575" s="70">
        <v>17170.371611874005</v>
      </c>
      <c r="N575" s="70">
        <v>0</v>
      </c>
      <c r="O575" s="70">
        <v>42925.929029685009</v>
      </c>
      <c r="P575" s="71">
        <v>30</v>
      </c>
    </row>
    <row r="576" spans="1:16" s="85" customFormat="1" ht="16.5" hidden="1" thickTop="1" thickBot="1" x14ac:dyDescent="0.3">
      <c r="A576" s="74" t="s">
        <v>111</v>
      </c>
      <c r="B576" s="25" t="s">
        <v>22</v>
      </c>
      <c r="C576" s="8" t="s">
        <v>61</v>
      </c>
      <c r="D576" s="7" t="s">
        <v>79</v>
      </c>
      <c r="E576" s="9" t="s">
        <v>65</v>
      </c>
      <c r="F576" s="10">
        <v>1</v>
      </c>
      <c r="G576" s="11" t="s">
        <v>46</v>
      </c>
      <c r="H576" s="7" t="s">
        <v>85</v>
      </c>
      <c r="I576" s="11" t="s">
        <v>97</v>
      </c>
      <c r="J576" s="11" t="s">
        <v>105</v>
      </c>
      <c r="K576" s="98">
        <v>7072</v>
      </c>
      <c r="L576" s="70">
        <v>4243.2</v>
      </c>
      <c r="M576" s="12">
        <v>2828.8</v>
      </c>
      <c r="N576" s="12">
        <v>0</v>
      </c>
      <c r="O576" s="12">
        <v>7072</v>
      </c>
      <c r="P576" s="29">
        <v>30</v>
      </c>
    </row>
    <row r="577" spans="1:16" s="85" customFormat="1" ht="16.5" hidden="1" thickTop="1" thickBot="1" x14ac:dyDescent="0.3">
      <c r="A577" s="74" t="s">
        <v>111</v>
      </c>
      <c r="B577" s="25" t="s">
        <v>22</v>
      </c>
      <c r="C577" s="8" t="s">
        <v>61</v>
      </c>
      <c r="D577" s="7" t="s">
        <v>79</v>
      </c>
      <c r="E577" s="9" t="s">
        <v>65</v>
      </c>
      <c r="F577" s="10">
        <v>1</v>
      </c>
      <c r="G577" s="11" t="s">
        <v>46</v>
      </c>
      <c r="H577" s="7" t="s">
        <v>85</v>
      </c>
      <c r="I577" s="11" t="s">
        <v>113</v>
      </c>
      <c r="J577" s="11" t="s">
        <v>105</v>
      </c>
      <c r="K577" s="12">
        <v>875</v>
      </c>
      <c r="L577" s="70">
        <f>K577*60%</f>
        <v>525</v>
      </c>
      <c r="M577" s="12">
        <f>K577*40%</f>
        <v>350</v>
      </c>
      <c r="N577" s="12">
        <v>0</v>
      </c>
      <c r="O577" s="12">
        <f>L577+M577</f>
        <v>875</v>
      </c>
      <c r="P577" s="29">
        <v>30</v>
      </c>
    </row>
    <row r="578" spans="1:16" s="85" customFormat="1" ht="16.5" hidden="1" thickTop="1" thickBot="1" x14ac:dyDescent="0.3">
      <c r="A578" s="74" t="s">
        <v>111</v>
      </c>
      <c r="B578" s="25" t="s">
        <v>22</v>
      </c>
      <c r="C578" s="8" t="s">
        <v>61</v>
      </c>
      <c r="D578" s="7" t="s">
        <v>79</v>
      </c>
      <c r="E578" s="9" t="s">
        <v>65</v>
      </c>
      <c r="F578" s="10">
        <v>1</v>
      </c>
      <c r="G578" s="11" t="s">
        <v>129</v>
      </c>
      <c r="H578" s="7" t="s">
        <v>85</v>
      </c>
      <c r="I578" s="11" t="s">
        <v>9</v>
      </c>
      <c r="J578" s="11" t="s">
        <v>105</v>
      </c>
      <c r="K578" s="98">
        <v>28617.27895</v>
      </c>
      <c r="L578" s="70">
        <v>17170.36737</v>
      </c>
      <c r="M578" s="12">
        <v>11446.91158</v>
      </c>
      <c r="N578" s="12">
        <v>0</v>
      </c>
      <c r="O578" s="12">
        <v>28617.27895</v>
      </c>
      <c r="P578" s="29">
        <v>30</v>
      </c>
    </row>
    <row r="579" spans="1:16" s="85" customFormat="1" ht="16.5" hidden="1" thickTop="1" thickBot="1" x14ac:dyDescent="0.3">
      <c r="A579" s="74" t="s">
        <v>111</v>
      </c>
      <c r="B579" s="25" t="s">
        <v>22</v>
      </c>
      <c r="C579" s="8" t="s">
        <v>61</v>
      </c>
      <c r="D579" s="7" t="s">
        <v>79</v>
      </c>
      <c r="E579" s="9" t="s">
        <v>65</v>
      </c>
      <c r="F579" s="10">
        <v>1</v>
      </c>
      <c r="G579" s="11" t="s">
        <v>129</v>
      </c>
      <c r="H579" s="7" t="s">
        <v>85</v>
      </c>
      <c r="I579" s="11" t="s">
        <v>113</v>
      </c>
      <c r="J579" s="11" t="s">
        <v>105</v>
      </c>
      <c r="K579" s="12">
        <v>875</v>
      </c>
      <c r="L579" s="70">
        <f>K579*60%</f>
        <v>525</v>
      </c>
      <c r="M579" s="12">
        <f>K579*40%</f>
        <v>350</v>
      </c>
      <c r="N579" s="12">
        <v>0</v>
      </c>
      <c r="O579" s="12">
        <f>L579+M579</f>
        <v>875</v>
      </c>
      <c r="P579" s="29">
        <v>30</v>
      </c>
    </row>
    <row r="580" spans="1:16" s="85" customFormat="1" ht="16.5" hidden="1" thickTop="1" thickBot="1" x14ac:dyDescent="0.3">
      <c r="A580" s="74" t="s">
        <v>111</v>
      </c>
      <c r="B580" s="25" t="s">
        <v>22</v>
      </c>
      <c r="C580" s="8" t="s">
        <v>60</v>
      </c>
      <c r="D580" s="7" t="s">
        <v>79</v>
      </c>
      <c r="E580" s="9" t="s">
        <v>65</v>
      </c>
      <c r="F580" s="10">
        <v>1</v>
      </c>
      <c r="G580" s="75" t="s">
        <v>184</v>
      </c>
      <c r="H580" s="7" t="s">
        <v>85</v>
      </c>
      <c r="I580" s="11" t="s">
        <v>9</v>
      </c>
      <c r="J580" s="11" t="s">
        <v>105</v>
      </c>
      <c r="K580" s="72">
        <f>L580+M580</f>
        <v>4769.55</v>
      </c>
      <c r="L580" s="12">
        <v>2861.73</v>
      </c>
      <c r="M580" s="12">
        <v>1907.82</v>
      </c>
      <c r="N580" s="12">
        <v>0</v>
      </c>
      <c r="O580" s="12">
        <v>9539.0940592349998</v>
      </c>
      <c r="P580" s="29">
        <v>30</v>
      </c>
    </row>
    <row r="581" spans="1:16" s="85" customFormat="1" ht="16.5" hidden="1" thickTop="1" thickBot="1" x14ac:dyDescent="0.3">
      <c r="A581" s="74" t="s">
        <v>111</v>
      </c>
      <c r="B581" s="25" t="s">
        <v>22</v>
      </c>
      <c r="C581" s="8" t="s">
        <v>60</v>
      </c>
      <c r="D581" s="7" t="s">
        <v>79</v>
      </c>
      <c r="E581" s="9" t="s">
        <v>65</v>
      </c>
      <c r="F581" s="10">
        <v>1</v>
      </c>
      <c r="G581" s="11" t="s">
        <v>34</v>
      </c>
      <c r="H581" s="7" t="s">
        <v>87</v>
      </c>
      <c r="I581" s="11" t="s">
        <v>20</v>
      </c>
      <c r="J581" s="11" t="s">
        <v>105</v>
      </c>
      <c r="K581" s="12">
        <v>40851.191603430001</v>
      </c>
      <c r="L581" s="12">
        <v>24510.714962057998</v>
      </c>
      <c r="M581" s="12">
        <v>16340.476641372001</v>
      </c>
      <c r="N581" s="12">
        <v>0</v>
      </c>
      <c r="O581" s="12">
        <v>40851.191603430001</v>
      </c>
      <c r="P581" s="29">
        <v>30</v>
      </c>
    </row>
    <row r="582" spans="1:16" s="85" customFormat="1" ht="16.5" hidden="1" thickTop="1" thickBot="1" x14ac:dyDescent="0.3">
      <c r="A582" s="74" t="s">
        <v>111</v>
      </c>
      <c r="B582" s="25" t="s">
        <v>22</v>
      </c>
      <c r="C582" s="8" t="s">
        <v>60</v>
      </c>
      <c r="D582" s="7" t="s">
        <v>79</v>
      </c>
      <c r="E582" s="9" t="s">
        <v>65</v>
      </c>
      <c r="F582" s="10">
        <v>1</v>
      </c>
      <c r="G582" s="11" t="s">
        <v>34</v>
      </c>
      <c r="H582" s="7" t="s">
        <v>87</v>
      </c>
      <c r="I582" s="11" t="s">
        <v>9</v>
      </c>
      <c r="J582" s="11" t="s">
        <v>105</v>
      </c>
      <c r="K582" s="12">
        <v>33354.561456449999</v>
      </c>
      <c r="L582" s="12">
        <v>20012.736873869999</v>
      </c>
      <c r="M582" s="12">
        <v>13341.82458258</v>
      </c>
      <c r="N582" s="12">
        <v>0</v>
      </c>
      <c r="O582" s="12">
        <v>33354.561456449999</v>
      </c>
      <c r="P582" s="29">
        <v>30</v>
      </c>
    </row>
    <row r="583" spans="1:16" s="85" customFormat="1" ht="16.5" hidden="1" thickTop="1" thickBot="1" x14ac:dyDescent="0.3">
      <c r="A583" s="74" t="s">
        <v>111</v>
      </c>
      <c r="B583" s="25" t="s">
        <v>22</v>
      </c>
      <c r="C583" s="8" t="s">
        <v>60</v>
      </c>
      <c r="D583" s="7" t="s">
        <v>79</v>
      </c>
      <c r="E583" s="9" t="s">
        <v>65</v>
      </c>
      <c r="F583" s="10">
        <v>1</v>
      </c>
      <c r="G583" s="11" t="s">
        <v>34</v>
      </c>
      <c r="H583" s="7" t="s">
        <v>87</v>
      </c>
      <c r="I583" s="11" t="s">
        <v>113</v>
      </c>
      <c r="J583" s="11" t="s">
        <v>105</v>
      </c>
      <c r="K583" s="12">
        <v>875</v>
      </c>
      <c r="L583" s="12">
        <f>K583*60%</f>
        <v>525</v>
      </c>
      <c r="M583" s="12">
        <f>K583*40%</f>
        <v>350</v>
      </c>
      <c r="N583" s="12">
        <v>0</v>
      </c>
      <c r="O583" s="12">
        <f>L583+M583</f>
        <v>875</v>
      </c>
      <c r="P583" s="29">
        <v>30</v>
      </c>
    </row>
    <row r="584" spans="1:16" s="85" customFormat="1" ht="16.5" hidden="1" thickTop="1" thickBot="1" x14ac:dyDescent="0.3">
      <c r="A584" s="74" t="s">
        <v>111</v>
      </c>
      <c r="B584" s="25" t="s">
        <v>22</v>
      </c>
      <c r="C584" s="8" t="s">
        <v>60</v>
      </c>
      <c r="D584" s="7" t="s">
        <v>79</v>
      </c>
      <c r="E584" s="9" t="s">
        <v>65</v>
      </c>
      <c r="F584" s="10">
        <v>1</v>
      </c>
      <c r="G584" s="11" t="s">
        <v>93</v>
      </c>
      <c r="H584" s="7" t="s">
        <v>85</v>
      </c>
      <c r="I584" s="11" t="s">
        <v>9</v>
      </c>
      <c r="J584" s="11" t="s">
        <v>105</v>
      </c>
      <c r="K584" s="12">
        <v>19078.18811847</v>
      </c>
      <c r="L584" s="12">
        <v>11446.912871081999</v>
      </c>
      <c r="M584" s="12">
        <v>7631.275247388</v>
      </c>
      <c r="N584" s="12">
        <v>0</v>
      </c>
      <c r="O584" s="12">
        <v>19078.18811847</v>
      </c>
      <c r="P584" s="29">
        <v>30</v>
      </c>
    </row>
    <row r="585" spans="1:16" s="85" customFormat="1" ht="16.5" hidden="1" thickTop="1" thickBot="1" x14ac:dyDescent="0.3">
      <c r="A585" s="74" t="s">
        <v>111</v>
      </c>
      <c r="B585" s="25" t="s">
        <v>22</v>
      </c>
      <c r="C585" s="8" t="s">
        <v>61</v>
      </c>
      <c r="D585" s="7" t="s">
        <v>79</v>
      </c>
      <c r="E585" s="9" t="s">
        <v>65</v>
      </c>
      <c r="F585" s="10">
        <v>1</v>
      </c>
      <c r="G585" s="11" t="s">
        <v>45</v>
      </c>
      <c r="H585" s="7" t="s">
        <v>91</v>
      </c>
      <c r="I585" s="11" t="s">
        <v>20</v>
      </c>
      <c r="J585" s="11" t="s">
        <v>105</v>
      </c>
      <c r="K585" s="126">
        <v>40617.404573265005</v>
      </c>
      <c r="L585" s="70">
        <v>24370.442743959004</v>
      </c>
      <c r="M585" s="12">
        <v>16246.961829306003</v>
      </c>
      <c r="N585" s="12">
        <v>1837.8916096500002</v>
      </c>
      <c r="O585" s="12">
        <v>38779.512963615001</v>
      </c>
      <c r="P585" s="29">
        <v>30</v>
      </c>
    </row>
    <row r="586" spans="1:16" s="85" customFormat="1" ht="16.5" hidden="1" thickTop="1" thickBot="1" x14ac:dyDescent="0.3">
      <c r="A586" s="74" t="s">
        <v>111</v>
      </c>
      <c r="B586" s="25" t="s">
        <v>22</v>
      </c>
      <c r="C586" s="8" t="s">
        <v>61</v>
      </c>
      <c r="D586" s="7" t="s">
        <v>79</v>
      </c>
      <c r="E586" s="9" t="s">
        <v>65</v>
      </c>
      <c r="F586" s="10">
        <v>1</v>
      </c>
      <c r="G586" s="11" t="s">
        <v>45</v>
      </c>
      <c r="H586" s="7" t="s">
        <v>91</v>
      </c>
      <c r="I586" s="11" t="s">
        <v>9</v>
      </c>
      <c r="J586" s="11" t="s">
        <v>105</v>
      </c>
      <c r="K586" s="126">
        <v>28617.282177705001</v>
      </c>
      <c r="L586" s="70">
        <v>17170.369306623001</v>
      </c>
      <c r="M586" s="12">
        <v>11446.912871082</v>
      </c>
      <c r="N586" s="12">
        <v>1294.8996460500002</v>
      </c>
      <c r="O586" s="12">
        <v>27322.382531654999</v>
      </c>
      <c r="P586" s="29">
        <v>30</v>
      </c>
    </row>
    <row r="587" spans="1:16" s="85" customFormat="1" ht="16.5" hidden="1" thickTop="1" thickBot="1" x14ac:dyDescent="0.3">
      <c r="A587" s="74" t="s">
        <v>111</v>
      </c>
      <c r="B587" s="25" t="s">
        <v>22</v>
      </c>
      <c r="C587" s="8" t="s">
        <v>61</v>
      </c>
      <c r="D587" s="7" t="s">
        <v>79</v>
      </c>
      <c r="E587" s="9" t="s">
        <v>65</v>
      </c>
      <c r="F587" s="10">
        <v>1</v>
      </c>
      <c r="G587" s="11" t="s">
        <v>45</v>
      </c>
      <c r="H587" s="7" t="s">
        <v>91</v>
      </c>
      <c r="I587" s="11" t="s">
        <v>113</v>
      </c>
      <c r="J587" s="11" t="s">
        <v>105</v>
      </c>
      <c r="K587" s="12">
        <v>875</v>
      </c>
      <c r="L587" s="70">
        <f>K587*60%</f>
        <v>525</v>
      </c>
      <c r="M587" s="12">
        <f>K587*40%</f>
        <v>350</v>
      </c>
      <c r="N587" s="12">
        <v>0</v>
      </c>
      <c r="O587" s="12">
        <f>L587+M587</f>
        <v>875</v>
      </c>
      <c r="P587" s="29">
        <v>30</v>
      </c>
    </row>
    <row r="588" spans="1:16" s="85" customFormat="1" ht="16.5" hidden="1" thickTop="1" thickBot="1" x14ac:dyDescent="0.3">
      <c r="A588" s="74" t="s">
        <v>111</v>
      </c>
      <c r="B588" s="25" t="s">
        <v>22</v>
      </c>
      <c r="C588" s="8" t="s">
        <v>60</v>
      </c>
      <c r="D588" s="7" t="s">
        <v>79</v>
      </c>
      <c r="E588" s="9" t="s">
        <v>65</v>
      </c>
      <c r="F588" s="10">
        <v>1</v>
      </c>
      <c r="G588" s="11" t="s">
        <v>36</v>
      </c>
      <c r="H588" s="7" t="s">
        <v>89</v>
      </c>
      <c r="I588" s="11" t="s">
        <v>20</v>
      </c>
      <c r="J588" s="11" t="s">
        <v>105</v>
      </c>
      <c r="K588" s="12">
        <v>40851.191603430001</v>
      </c>
      <c r="L588" s="83">
        <v>24510.714962057998</v>
      </c>
      <c r="M588" s="12">
        <v>16340.476641372001</v>
      </c>
      <c r="N588" s="12">
        <v>0</v>
      </c>
      <c r="O588" s="12">
        <v>40851.191603430001</v>
      </c>
      <c r="P588" s="29">
        <v>30</v>
      </c>
    </row>
    <row r="589" spans="1:16" s="85" customFormat="1" ht="16.5" hidden="1" thickTop="1" thickBot="1" x14ac:dyDescent="0.3">
      <c r="A589" s="74" t="s">
        <v>111</v>
      </c>
      <c r="B589" s="25" t="s">
        <v>22</v>
      </c>
      <c r="C589" s="8" t="s">
        <v>60</v>
      </c>
      <c r="D589" s="7" t="s">
        <v>79</v>
      </c>
      <c r="E589" s="9" t="s">
        <v>65</v>
      </c>
      <c r="F589" s="10">
        <v>1</v>
      </c>
      <c r="G589" s="11" t="s">
        <v>36</v>
      </c>
      <c r="H589" s="7" t="s">
        <v>89</v>
      </c>
      <c r="I589" s="11" t="s">
        <v>9</v>
      </c>
      <c r="J589" s="11" t="s">
        <v>105</v>
      </c>
      <c r="K589" s="12">
        <v>33354.561456449999</v>
      </c>
      <c r="L589" s="12">
        <v>20012.736873869999</v>
      </c>
      <c r="M589" s="12">
        <v>13341.82458258</v>
      </c>
      <c r="N589" s="12">
        <v>0</v>
      </c>
      <c r="O589" s="12">
        <v>33354.561456449999</v>
      </c>
      <c r="P589" s="29">
        <v>30</v>
      </c>
    </row>
    <row r="590" spans="1:16" s="85" customFormat="1" ht="16.5" hidden="1" thickTop="1" thickBot="1" x14ac:dyDescent="0.3">
      <c r="A590" s="74" t="s">
        <v>111</v>
      </c>
      <c r="B590" s="25" t="s">
        <v>22</v>
      </c>
      <c r="C590" s="8" t="s">
        <v>60</v>
      </c>
      <c r="D590" s="7" t="s">
        <v>79</v>
      </c>
      <c r="E590" s="9" t="s">
        <v>65</v>
      </c>
      <c r="F590" s="10">
        <v>1</v>
      </c>
      <c r="G590" s="11" t="s">
        <v>36</v>
      </c>
      <c r="H590" s="7" t="s">
        <v>89</v>
      </c>
      <c r="I590" s="11" t="s">
        <v>113</v>
      </c>
      <c r="J590" s="11" t="s">
        <v>105</v>
      </c>
      <c r="K590" s="12">
        <v>875</v>
      </c>
      <c r="L590" s="12">
        <f>K590*60%</f>
        <v>525</v>
      </c>
      <c r="M590" s="12">
        <f>K590*40%</f>
        <v>350</v>
      </c>
      <c r="N590" s="12">
        <v>0</v>
      </c>
      <c r="O590" s="12">
        <f>L590+M590</f>
        <v>875</v>
      </c>
      <c r="P590" s="29">
        <v>30</v>
      </c>
    </row>
    <row r="591" spans="1:16" s="85" customFormat="1" ht="16.5" hidden="1" thickTop="1" thickBot="1" x14ac:dyDescent="0.3">
      <c r="A591" s="74" t="s">
        <v>111</v>
      </c>
      <c r="B591" s="25" t="s">
        <v>22</v>
      </c>
      <c r="C591" s="8" t="s">
        <v>62</v>
      </c>
      <c r="D591" s="7" t="s">
        <v>79</v>
      </c>
      <c r="E591" s="9" t="s">
        <v>65</v>
      </c>
      <c r="F591" s="10">
        <v>1</v>
      </c>
      <c r="G591" s="11" t="s">
        <v>55</v>
      </c>
      <c r="H591" s="7" t="s">
        <v>85</v>
      </c>
      <c r="I591" s="11" t="s">
        <v>20</v>
      </c>
      <c r="J591" s="11" t="s">
        <v>105</v>
      </c>
      <c r="K591" s="12">
        <v>34814.822702400001</v>
      </c>
      <c r="L591" s="12">
        <v>20888.893621439998</v>
      </c>
      <c r="M591" s="12">
        <v>13925.929080960001</v>
      </c>
      <c r="N591" s="12">
        <v>0</v>
      </c>
      <c r="O591" s="12">
        <v>34814.822702400001</v>
      </c>
      <c r="P591" s="29">
        <v>30</v>
      </c>
    </row>
    <row r="592" spans="1:16" s="85" customFormat="1" ht="16.5" hidden="1" thickTop="1" thickBot="1" x14ac:dyDescent="0.3">
      <c r="A592" s="74" t="s">
        <v>111</v>
      </c>
      <c r="B592" s="25" t="s">
        <v>22</v>
      </c>
      <c r="C592" s="8" t="s">
        <v>62</v>
      </c>
      <c r="D592" s="7" t="s">
        <v>79</v>
      </c>
      <c r="E592" s="9" t="s">
        <v>65</v>
      </c>
      <c r="F592" s="10">
        <v>1</v>
      </c>
      <c r="G592" s="11" t="s">
        <v>55</v>
      </c>
      <c r="H592" s="7" t="s">
        <v>85</v>
      </c>
      <c r="I592" s="11" t="s">
        <v>9</v>
      </c>
      <c r="J592" s="11" t="s">
        <v>105</v>
      </c>
      <c r="K592" s="12">
        <v>23847.740911214998</v>
      </c>
      <c r="L592" s="12">
        <v>14308.644546728998</v>
      </c>
      <c r="M592" s="12">
        <v>9539.0963644860003</v>
      </c>
      <c r="N592" s="12">
        <v>0</v>
      </c>
      <c r="O592" s="12">
        <v>23847.740911214998</v>
      </c>
      <c r="P592" s="29">
        <v>30</v>
      </c>
    </row>
    <row r="593" spans="1:16" s="85" customFormat="1" ht="16.5" hidden="1" thickTop="1" thickBot="1" x14ac:dyDescent="0.3">
      <c r="A593" s="74" t="s">
        <v>111</v>
      </c>
      <c r="B593" s="25" t="s">
        <v>22</v>
      </c>
      <c r="C593" s="8" t="s">
        <v>62</v>
      </c>
      <c r="D593" s="7" t="s">
        <v>79</v>
      </c>
      <c r="E593" s="9" t="s">
        <v>65</v>
      </c>
      <c r="F593" s="10">
        <v>1</v>
      </c>
      <c r="G593" s="11" t="s">
        <v>55</v>
      </c>
      <c r="H593" s="7" t="s">
        <v>85</v>
      </c>
      <c r="I593" s="11" t="s">
        <v>113</v>
      </c>
      <c r="J593" s="11" t="s">
        <v>105</v>
      </c>
      <c r="K593" s="12">
        <v>875</v>
      </c>
      <c r="L593" s="12">
        <f>K593*60%</f>
        <v>525</v>
      </c>
      <c r="M593" s="12">
        <f>K593*40%</f>
        <v>350</v>
      </c>
      <c r="N593" s="12">
        <v>0</v>
      </c>
      <c r="O593" s="12">
        <f>L593+M593</f>
        <v>875</v>
      </c>
      <c r="P593" s="29">
        <v>30</v>
      </c>
    </row>
    <row r="594" spans="1:16" s="85" customFormat="1" ht="16.5" hidden="1" thickTop="1" thickBot="1" x14ac:dyDescent="0.3">
      <c r="A594" s="74" t="s">
        <v>111</v>
      </c>
      <c r="B594" s="25" t="s">
        <v>22</v>
      </c>
      <c r="C594" s="8" t="s">
        <v>61</v>
      </c>
      <c r="D594" s="7" t="s">
        <v>79</v>
      </c>
      <c r="E594" s="9" t="s">
        <v>65</v>
      </c>
      <c r="F594" s="10">
        <v>1</v>
      </c>
      <c r="G594" s="11" t="s">
        <v>48</v>
      </c>
      <c r="H594" s="7" t="s">
        <v>85</v>
      </c>
      <c r="I594" s="11" t="s">
        <v>9</v>
      </c>
      <c r="J594" s="11" t="s">
        <v>105</v>
      </c>
      <c r="K594" s="12">
        <v>23880.014425214998</v>
      </c>
      <c r="L594" s="70">
        <v>14328.008655128999</v>
      </c>
      <c r="M594" s="12">
        <v>9552.0057700859998</v>
      </c>
      <c r="N594" s="12">
        <v>0</v>
      </c>
      <c r="O594" s="12">
        <v>23880.014425214998</v>
      </c>
      <c r="P594" s="29">
        <v>30</v>
      </c>
    </row>
    <row r="595" spans="1:16" s="85" customFormat="1" ht="16.5" hidden="1" thickTop="1" thickBot="1" x14ac:dyDescent="0.3">
      <c r="A595" s="74" t="s">
        <v>111</v>
      </c>
      <c r="B595" s="25" t="s">
        <v>22</v>
      </c>
      <c r="C595" s="8" t="s">
        <v>61</v>
      </c>
      <c r="D595" s="7" t="s">
        <v>79</v>
      </c>
      <c r="E595" s="9" t="s">
        <v>65</v>
      </c>
      <c r="F595" s="10">
        <v>1</v>
      </c>
      <c r="G595" s="11" t="s">
        <v>48</v>
      </c>
      <c r="H595" s="7" t="s">
        <v>85</v>
      </c>
      <c r="I595" s="11" t="s">
        <v>113</v>
      </c>
      <c r="J595" s="11" t="s">
        <v>105</v>
      </c>
      <c r="K595" s="12">
        <v>875</v>
      </c>
      <c r="L595" s="70">
        <f>K595*60%</f>
        <v>525</v>
      </c>
      <c r="M595" s="12">
        <f>K595*40%</f>
        <v>350</v>
      </c>
      <c r="N595" s="12">
        <v>0</v>
      </c>
      <c r="O595" s="12">
        <f>L595+M595</f>
        <v>875</v>
      </c>
      <c r="P595" s="29">
        <v>30</v>
      </c>
    </row>
    <row r="596" spans="1:16" s="85" customFormat="1" ht="16.5" hidden="1" thickTop="1" thickBot="1" x14ac:dyDescent="0.3">
      <c r="A596" s="74" t="s">
        <v>111</v>
      </c>
      <c r="B596" s="25" t="s">
        <v>22</v>
      </c>
      <c r="C596" s="8" t="s">
        <v>62</v>
      </c>
      <c r="D596" s="7" t="s">
        <v>79</v>
      </c>
      <c r="E596" s="9" t="s">
        <v>65</v>
      </c>
      <c r="F596" s="10">
        <v>1</v>
      </c>
      <c r="G596" s="11" t="s">
        <v>56</v>
      </c>
      <c r="H596" s="7" t="s">
        <v>85</v>
      </c>
      <c r="I596" s="11" t="s">
        <v>9</v>
      </c>
      <c r="J596" s="11" t="s">
        <v>105</v>
      </c>
      <c r="K596" s="12">
        <v>33386.83497045</v>
      </c>
      <c r="L596" s="12">
        <v>20032.10098227</v>
      </c>
      <c r="M596" s="12">
        <v>13354.73398818</v>
      </c>
      <c r="N596" s="12">
        <v>0</v>
      </c>
      <c r="O596" s="12">
        <v>33386.83497045</v>
      </c>
      <c r="P596" s="29">
        <v>30</v>
      </c>
    </row>
    <row r="597" spans="1:16" s="85" customFormat="1" ht="16.5" hidden="1" thickTop="1" thickBot="1" x14ac:dyDescent="0.3">
      <c r="A597" s="74" t="s">
        <v>111</v>
      </c>
      <c r="B597" s="25" t="s">
        <v>22</v>
      </c>
      <c r="C597" s="8" t="s">
        <v>62</v>
      </c>
      <c r="D597" s="7" t="s">
        <v>79</v>
      </c>
      <c r="E597" s="9" t="s">
        <v>65</v>
      </c>
      <c r="F597" s="10">
        <v>1</v>
      </c>
      <c r="G597" s="11" t="s">
        <v>56</v>
      </c>
      <c r="H597" s="7" t="s">
        <v>85</v>
      </c>
      <c r="I597" s="11" t="s">
        <v>113</v>
      </c>
      <c r="J597" s="11" t="s">
        <v>105</v>
      </c>
      <c r="K597" s="12">
        <v>875</v>
      </c>
      <c r="L597" s="12">
        <f>K597*60%</f>
        <v>525</v>
      </c>
      <c r="M597" s="12">
        <f>K597*40%</f>
        <v>350</v>
      </c>
      <c r="N597" s="12">
        <v>0</v>
      </c>
      <c r="O597" s="12">
        <f>L597+M597</f>
        <v>875</v>
      </c>
      <c r="P597" s="29">
        <v>30</v>
      </c>
    </row>
    <row r="598" spans="1:16" s="85" customFormat="1" ht="16.5" hidden="1" thickTop="1" thickBot="1" x14ac:dyDescent="0.3">
      <c r="A598" s="74" t="s">
        <v>111</v>
      </c>
      <c r="B598" s="25" t="s">
        <v>22</v>
      </c>
      <c r="C598" s="8" t="s">
        <v>60</v>
      </c>
      <c r="D598" s="7" t="s">
        <v>79</v>
      </c>
      <c r="E598" s="9" t="s">
        <v>65</v>
      </c>
      <c r="F598" s="10">
        <v>1</v>
      </c>
      <c r="G598" s="11" t="s">
        <v>185</v>
      </c>
      <c r="H598" s="7" t="s">
        <v>85</v>
      </c>
      <c r="I598" s="11" t="s">
        <v>9</v>
      </c>
      <c r="J598" s="11" t="s">
        <v>105</v>
      </c>
      <c r="K598" s="12">
        <v>11764.89</v>
      </c>
      <c r="L598" s="12">
        <f>K598</f>
        <v>11764.89</v>
      </c>
      <c r="M598" s="12">
        <v>0</v>
      </c>
      <c r="N598" s="12"/>
      <c r="O598" s="12">
        <f>K598</f>
        <v>11764.89</v>
      </c>
      <c r="P598" s="29"/>
    </row>
    <row r="599" spans="1:16" s="85" customFormat="1" ht="16.5" hidden="1" thickTop="1" thickBot="1" x14ac:dyDescent="0.3">
      <c r="A599" s="74" t="s">
        <v>111</v>
      </c>
      <c r="B599" s="25" t="s">
        <v>22</v>
      </c>
      <c r="C599" s="8" t="s">
        <v>60</v>
      </c>
      <c r="D599" s="7" t="s">
        <v>79</v>
      </c>
      <c r="E599" s="9" t="s">
        <v>65</v>
      </c>
      <c r="F599" s="10">
        <v>1</v>
      </c>
      <c r="G599" s="11" t="s">
        <v>37</v>
      </c>
      <c r="H599" s="7" t="s">
        <v>85</v>
      </c>
      <c r="I599" s="11" t="s">
        <v>9</v>
      </c>
      <c r="J599" s="11" t="s">
        <v>105</v>
      </c>
      <c r="K599" s="12">
        <v>14308.64685198</v>
      </c>
      <c r="L599" s="83">
        <v>8585.1881111879993</v>
      </c>
      <c r="M599" s="12">
        <v>5723.4587407920008</v>
      </c>
      <c r="N599" s="12">
        <v>0</v>
      </c>
      <c r="O599" s="12">
        <v>14308.64685198</v>
      </c>
      <c r="P599" s="29">
        <v>30</v>
      </c>
    </row>
    <row r="600" spans="1:16" s="85" customFormat="1" ht="16.5" hidden="1" thickTop="1" thickBot="1" x14ac:dyDescent="0.3">
      <c r="A600" s="74" t="s">
        <v>111</v>
      </c>
      <c r="B600" s="25" t="s">
        <v>22</v>
      </c>
      <c r="C600" s="8" t="s">
        <v>62</v>
      </c>
      <c r="D600" s="7" t="s">
        <v>79</v>
      </c>
      <c r="E600" s="9" t="s">
        <v>65</v>
      </c>
      <c r="F600" s="10">
        <v>1</v>
      </c>
      <c r="G600" s="11" t="s">
        <v>57</v>
      </c>
      <c r="H600" s="7" t="s">
        <v>85</v>
      </c>
      <c r="I600" s="11" t="s">
        <v>9</v>
      </c>
      <c r="J600" s="11" t="s">
        <v>105</v>
      </c>
      <c r="K600" s="12">
        <v>33354.561456449999</v>
      </c>
      <c r="L600" s="12">
        <v>20012.736873869999</v>
      </c>
      <c r="M600" s="12">
        <v>13341.82458258</v>
      </c>
      <c r="N600" s="12">
        <v>0</v>
      </c>
      <c r="O600" s="12">
        <v>33354.561456449999</v>
      </c>
      <c r="P600" s="29">
        <v>30</v>
      </c>
    </row>
    <row r="601" spans="1:16" s="85" customFormat="1" ht="16.5" hidden="1" thickTop="1" thickBot="1" x14ac:dyDescent="0.3">
      <c r="A601" s="74" t="s">
        <v>111</v>
      </c>
      <c r="B601" s="25" t="s">
        <v>22</v>
      </c>
      <c r="C601" s="8" t="s">
        <v>62</v>
      </c>
      <c r="D601" s="7" t="s">
        <v>79</v>
      </c>
      <c r="E601" s="9" t="s">
        <v>65</v>
      </c>
      <c r="F601" s="10">
        <v>1</v>
      </c>
      <c r="G601" s="11" t="s">
        <v>57</v>
      </c>
      <c r="H601" s="7" t="s">
        <v>85</v>
      </c>
      <c r="I601" s="11" t="s">
        <v>113</v>
      </c>
      <c r="J601" s="11" t="s">
        <v>105</v>
      </c>
      <c r="K601" s="12">
        <v>875</v>
      </c>
      <c r="L601" s="12">
        <f>K601*60%</f>
        <v>525</v>
      </c>
      <c r="M601" s="12">
        <f>K601*40%</f>
        <v>350</v>
      </c>
      <c r="N601" s="12">
        <v>0</v>
      </c>
      <c r="O601" s="12">
        <f>L601+M601</f>
        <v>875</v>
      </c>
      <c r="P601" s="29">
        <v>30</v>
      </c>
    </row>
    <row r="602" spans="1:16" s="85" customFormat="1" ht="16.5" hidden="1" thickTop="1" thickBot="1" x14ac:dyDescent="0.3">
      <c r="A602" s="74" t="s">
        <v>111</v>
      </c>
      <c r="B602" s="25" t="s">
        <v>22</v>
      </c>
      <c r="C602" s="8" t="s">
        <v>62</v>
      </c>
      <c r="D602" s="7" t="s">
        <v>79</v>
      </c>
      <c r="E602" s="9" t="s">
        <v>65</v>
      </c>
      <c r="F602" s="10">
        <v>10</v>
      </c>
      <c r="G602" s="13" t="s">
        <v>50</v>
      </c>
      <c r="H602" s="7" t="s">
        <v>85</v>
      </c>
      <c r="I602" s="11" t="s">
        <v>9</v>
      </c>
      <c r="J602" s="11" t="s">
        <v>105</v>
      </c>
      <c r="K602" s="12">
        <v>19227</v>
      </c>
      <c r="L602" s="12">
        <v>11536.199999999999</v>
      </c>
      <c r="M602" s="12">
        <v>7690.8</v>
      </c>
      <c r="N602" s="12">
        <v>0</v>
      </c>
      <c r="O602" s="12">
        <v>19227</v>
      </c>
      <c r="P602" s="29">
        <v>10</v>
      </c>
    </row>
    <row r="603" spans="1:16" s="85" customFormat="1" ht="16.5" hidden="1" thickTop="1" thickBot="1" x14ac:dyDescent="0.3">
      <c r="A603" s="74" t="s">
        <v>111</v>
      </c>
      <c r="B603" s="25" t="s">
        <v>22</v>
      </c>
      <c r="C603" s="8" t="s">
        <v>62</v>
      </c>
      <c r="D603" s="7" t="s">
        <v>79</v>
      </c>
      <c r="E603" s="9" t="s">
        <v>65</v>
      </c>
      <c r="F603" s="10">
        <v>10</v>
      </c>
      <c r="G603" s="13" t="s">
        <v>49</v>
      </c>
      <c r="H603" s="7" t="s">
        <v>85</v>
      </c>
      <c r="I603" s="11" t="s">
        <v>9</v>
      </c>
      <c r="J603" s="11" t="s">
        <v>105</v>
      </c>
      <c r="K603" s="12">
        <v>19227</v>
      </c>
      <c r="L603" s="12">
        <v>11536.199999999999</v>
      </c>
      <c r="M603" s="12">
        <v>7690.8</v>
      </c>
      <c r="N603" s="12">
        <v>0</v>
      </c>
      <c r="O603" s="12">
        <v>19227</v>
      </c>
      <c r="P603" s="29">
        <v>10</v>
      </c>
    </row>
    <row r="604" spans="1:16" s="85" customFormat="1" ht="16.5" hidden="1" thickTop="1" thickBot="1" x14ac:dyDescent="0.3">
      <c r="A604" s="74" t="s">
        <v>111</v>
      </c>
      <c r="B604" s="25" t="s">
        <v>5</v>
      </c>
      <c r="C604" s="8" t="s">
        <v>25</v>
      </c>
      <c r="D604" s="7" t="s">
        <v>79</v>
      </c>
      <c r="E604" s="9" t="s">
        <v>64</v>
      </c>
      <c r="F604" s="10">
        <v>5</v>
      </c>
      <c r="G604" s="11" t="s">
        <v>27</v>
      </c>
      <c r="H604" s="7" t="s">
        <v>83</v>
      </c>
      <c r="I604" s="11" t="s">
        <v>113</v>
      </c>
      <c r="J604" s="11" t="s">
        <v>80</v>
      </c>
      <c r="K604" s="12">
        <v>2015.0660041200001</v>
      </c>
      <c r="L604" s="12">
        <f>K604</f>
        <v>2015.0660041200001</v>
      </c>
      <c r="M604" s="12">
        <v>0</v>
      </c>
      <c r="N604" s="12">
        <v>0</v>
      </c>
      <c r="O604" s="12">
        <v>2015.0660041200001</v>
      </c>
      <c r="P604" s="29">
        <v>26</v>
      </c>
    </row>
    <row r="605" spans="1:16" s="85" customFormat="1" ht="16.5" hidden="1" thickTop="1" thickBot="1" x14ac:dyDescent="0.3">
      <c r="A605" s="74"/>
      <c r="B605" s="25" t="s">
        <v>11</v>
      </c>
      <c r="C605" s="8" t="s">
        <v>61</v>
      </c>
      <c r="D605" s="7" t="s">
        <v>147</v>
      </c>
      <c r="E605" s="9" t="s">
        <v>65</v>
      </c>
      <c r="F605" s="10">
        <v>20</v>
      </c>
      <c r="G605" s="11" t="s">
        <v>92</v>
      </c>
      <c r="H605" s="7" t="s">
        <v>83</v>
      </c>
      <c r="I605" s="11" t="s">
        <v>30</v>
      </c>
      <c r="J605" s="11" t="s">
        <v>80</v>
      </c>
      <c r="K605" s="12">
        <v>690</v>
      </c>
      <c r="L605" s="12">
        <v>690</v>
      </c>
      <c r="M605" s="12">
        <v>0</v>
      </c>
      <c r="N605" s="12">
        <v>34.5</v>
      </c>
      <c r="O605" s="12">
        <v>655.5</v>
      </c>
      <c r="P605" s="29">
        <v>7</v>
      </c>
    </row>
    <row r="606" spans="1:16" s="85" customFormat="1" ht="16.5" hidden="1" thickTop="1" thickBot="1" x14ac:dyDescent="0.3">
      <c r="A606" s="74"/>
      <c r="B606" s="25" t="s">
        <v>22</v>
      </c>
      <c r="C606" s="8" t="s">
        <v>61</v>
      </c>
      <c r="D606" s="7" t="s">
        <v>79</v>
      </c>
      <c r="E606" s="9" t="s">
        <v>65</v>
      </c>
      <c r="F606" s="10">
        <v>20</v>
      </c>
      <c r="G606" s="13" t="s">
        <v>92</v>
      </c>
      <c r="H606" s="7" t="s">
        <v>83</v>
      </c>
      <c r="I606" s="11" t="s">
        <v>9</v>
      </c>
      <c r="J606" s="11" t="s">
        <v>80</v>
      </c>
      <c r="K606" s="12">
        <v>5071.55</v>
      </c>
      <c r="L606" s="12">
        <v>5071.55</v>
      </c>
      <c r="M606" s="12">
        <v>0</v>
      </c>
      <c r="N606" s="12">
        <v>0</v>
      </c>
      <c r="O606" s="12">
        <v>5071.55</v>
      </c>
      <c r="P606" s="29">
        <v>15</v>
      </c>
    </row>
    <row r="607" spans="1:16" s="85" customFormat="1" ht="16.5" hidden="1" thickTop="1" thickBot="1" x14ac:dyDescent="0.3">
      <c r="A607" s="74"/>
      <c r="B607" s="25" t="s">
        <v>22</v>
      </c>
      <c r="C607" s="8" t="s">
        <v>61</v>
      </c>
      <c r="D607" s="7" t="s">
        <v>79</v>
      </c>
      <c r="E607" s="9" t="s">
        <v>65</v>
      </c>
      <c r="F607" s="10">
        <v>20</v>
      </c>
      <c r="G607" s="13" t="s">
        <v>92</v>
      </c>
      <c r="H607" s="7" t="s">
        <v>83</v>
      </c>
      <c r="I607" s="11" t="s">
        <v>7</v>
      </c>
      <c r="J607" s="11" t="s">
        <v>80</v>
      </c>
      <c r="K607" s="12">
        <v>19890</v>
      </c>
      <c r="L607" s="12">
        <v>19890</v>
      </c>
      <c r="M607" s="12">
        <v>0</v>
      </c>
      <c r="N607" s="12">
        <v>0</v>
      </c>
      <c r="O607" s="12">
        <v>19890</v>
      </c>
      <c r="P607" s="29">
        <v>15</v>
      </c>
    </row>
    <row r="608" spans="1:16" s="85" customFormat="1" ht="16.5" hidden="1" thickTop="1" thickBot="1" x14ac:dyDescent="0.3">
      <c r="A608" s="74" t="s">
        <v>111</v>
      </c>
      <c r="B608" s="25" t="s">
        <v>22</v>
      </c>
      <c r="C608" s="8" t="s">
        <v>61</v>
      </c>
      <c r="D608" s="7" t="s">
        <v>79</v>
      </c>
      <c r="E608" s="9" t="s">
        <v>65</v>
      </c>
      <c r="F608" s="10">
        <v>20</v>
      </c>
      <c r="G608" s="13" t="s">
        <v>92</v>
      </c>
      <c r="H608" s="7" t="s">
        <v>83</v>
      </c>
      <c r="I608" s="11" t="s">
        <v>98</v>
      </c>
      <c r="J608" s="11" t="s">
        <v>80</v>
      </c>
      <c r="K608" s="12">
        <v>25606</v>
      </c>
      <c r="L608" s="12">
        <f>K608</f>
        <v>25606</v>
      </c>
      <c r="M608" s="12">
        <v>0</v>
      </c>
      <c r="N608" s="12">
        <v>0</v>
      </c>
      <c r="O608" s="12">
        <f>L608</f>
        <v>25606</v>
      </c>
      <c r="P608" s="29">
        <v>9</v>
      </c>
    </row>
    <row r="609" spans="1:16" s="85" customFormat="1" ht="16.5" hidden="1" thickTop="1" thickBot="1" x14ac:dyDescent="0.3">
      <c r="A609" s="74"/>
      <c r="B609" s="25" t="s">
        <v>137</v>
      </c>
      <c r="C609" s="8" t="s">
        <v>61</v>
      </c>
      <c r="D609" s="7" t="s">
        <v>79</v>
      </c>
      <c r="E609" s="9" t="s">
        <v>65</v>
      </c>
      <c r="F609" s="10">
        <v>20</v>
      </c>
      <c r="G609" s="13" t="s">
        <v>39</v>
      </c>
      <c r="H609" s="7" t="s">
        <v>83</v>
      </c>
      <c r="I609" s="11" t="s">
        <v>96</v>
      </c>
      <c r="J609" s="11" t="s">
        <v>80</v>
      </c>
      <c r="K609" s="12">
        <v>130</v>
      </c>
      <c r="L609" s="12">
        <v>0</v>
      </c>
      <c r="M609" s="12">
        <f>K609</f>
        <v>130</v>
      </c>
      <c r="N609" s="12">
        <v>0</v>
      </c>
      <c r="O609" s="12">
        <f>M609</f>
        <v>130</v>
      </c>
      <c r="P609" s="29">
        <v>17</v>
      </c>
    </row>
    <row r="610" spans="1:16" s="85" customFormat="1" ht="16.5" hidden="1" thickTop="1" thickBot="1" x14ac:dyDescent="0.3">
      <c r="A610" s="74"/>
      <c r="B610" s="25" t="s">
        <v>22</v>
      </c>
      <c r="C610" s="8" t="s">
        <v>61</v>
      </c>
      <c r="D610" s="7" t="s">
        <v>79</v>
      </c>
      <c r="E610" s="9" t="s">
        <v>65</v>
      </c>
      <c r="F610" s="10">
        <v>20</v>
      </c>
      <c r="G610" s="13" t="s">
        <v>39</v>
      </c>
      <c r="H610" s="7" t="s">
        <v>83</v>
      </c>
      <c r="I610" s="11" t="s">
        <v>7</v>
      </c>
      <c r="J610" s="11" t="s">
        <v>80</v>
      </c>
      <c r="K610" s="12">
        <v>20673.5597797423</v>
      </c>
      <c r="L610" s="12">
        <v>12404.13586784538</v>
      </c>
      <c r="M610" s="12">
        <v>8269.4239118969199</v>
      </c>
      <c r="N610" s="12">
        <v>0</v>
      </c>
      <c r="O610" s="12">
        <v>20673.5597797423</v>
      </c>
      <c r="P610" s="29">
        <v>17</v>
      </c>
    </row>
    <row r="611" spans="1:16" s="85" customFormat="1" ht="16.5" hidden="1" thickTop="1" thickBot="1" x14ac:dyDescent="0.3">
      <c r="A611" s="74" t="s">
        <v>111</v>
      </c>
      <c r="B611" s="25" t="s">
        <v>5</v>
      </c>
      <c r="C611" s="8" t="s">
        <v>25</v>
      </c>
      <c r="D611" s="7" t="s">
        <v>79</v>
      </c>
      <c r="E611" s="9" t="s">
        <v>65</v>
      </c>
      <c r="F611" s="10">
        <v>5</v>
      </c>
      <c r="G611" s="11" t="s">
        <v>26</v>
      </c>
      <c r="H611" s="7" t="s">
        <v>83</v>
      </c>
      <c r="I611" s="11" t="s">
        <v>7</v>
      </c>
      <c r="J611" s="11" t="s">
        <v>80</v>
      </c>
      <c r="K611" s="12">
        <v>21868.658146266753</v>
      </c>
      <c r="L611" s="12">
        <f>K611</f>
        <v>21868.658146266753</v>
      </c>
      <c r="M611" s="12">
        <v>0</v>
      </c>
      <c r="N611" s="12">
        <v>0</v>
      </c>
      <c r="O611" s="12">
        <v>21868.658146266753</v>
      </c>
      <c r="P611" s="29">
        <v>30</v>
      </c>
    </row>
    <row r="612" spans="1:16" s="85" customFormat="1" ht="16.5" hidden="1" thickTop="1" thickBot="1" x14ac:dyDescent="0.3">
      <c r="A612" s="74" t="s">
        <v>111</v>
      </c>
      <c r="B612" s="25" t="s">
        <v>5</v>
      </c>
      <c r="C612" s="8" t="s">
        <v>25</v>
      </c>
      <c r="D612" s="7" t="s">
        <v>79</v>
      </c>
      <c r="E612" s="9" t="s">
        <v>65</v>
      </c>
      <c r="F612" s="10">
        <v>5</v>
      </c>
      <c r="G612" s="11" t="s">
        <v>26</v>
      </c>
      <c r="H612" s="7" t="s">
        <v>83</v>
      </c>
      <c r="I612" s="11" t="s">
        <v>9</v>
      </c>
      <c r="J612" s="11" t="s">
        <v>80</v>
      </c>
      <c r="K612" s="12">
        <v>4791.7362231179995</v>
      </c>
      <c r="L612" s="12">
        <f>K612</f>
        <v>4791.7362231179995</v>
      </c>
      <c r="M612" s="12">
        <v>0</v>
      </c>
      <c r="N612" s="12">
        <v>0</v>
      </c>
      <c r="O612" s="12">
        <v>4791.7362231179995</v>
      </c>
      <c r="P612" s="29">
        <v>30</v>
      </c>
    </row>
    <row r="613" spans="1:16" s="85" customFormat="1" ht="16.5" hidden="1" thickTop="1" thickBot="1" x14ac:dyDescent="0.3">
      <c r="A613" s="74" t="s">
        <v>111</v>
      </c>
      <c r="B613" s="31" t="s">
        <v>5</v>
      </c>
      <c r="C613" s="32" t="s">
        <v>25</v>
      </c>
      <c r="D613" s="33" t="s">
        <v>79</v>
      </c>
      <c r="E613" s="9" t="s">
        <v>65</v>
      </c>
      <c r="F613" s="35">
        <v>5</v>
      </c>
      <c r="G613" s="36" t="s">
        <v>27</v>
      </c>
      <c r="H613" s="33" t="s">
        <v>83</v>
      </c>
      <c r="I613" s="36" t="s">
        <v>141</v>
      </c>
      <c r="J613" s="36" t="s">
        <v>80</v>
      </c>
      <c r="K613" s="12">
        <v>6193.06</v>
      </c>
      <c r="L613" s="12">
        <f>K613</f>
        <v>6193.06</v>
      </c>
      <c r="M613" s="12">
        <v>0</v>
      </c>
      <c r="N613" s="37">
        <v>0</v>
      </c>
      <c r="O613" s="12">
        <v>6193.06</v>
      </c>
      <c r="P613" s="38">
        <v>30</v>
      </c>
    </row>
    <row r="614" spans="1:16" s="85" customFormat="1" ht="16.5" hidden="1" thickTop="1" thickBot="1" x14ac:dyDescent="0.3">
      <c r="A614" s="74" t="s">
        <v>111</v>
      </c>
      <c r="B614" s="25" t="s">
        <v>5</v>
      </c>
      <c r="C614" s="8" t="s">
        <v>25</v>
      </c>
      <c r="D614" s="7" t="s">
        <v>79</v>
      </c>
      <c r="E614" s="9" t="s">
        <v>65</v>
      </c>
      <c r="F614" s="10">
        <v>5</v>
      </c>
      <c r="G614" s="11" t="s">
        <v>27</v>
      </c>
      <c r="H614" s="7" t="s">
        <v>83</v>
      </c>
      <c r="I614" s="11" t="s">
        <v>7</v>
      </c>
      <c r="J614" s="11" t="s">
        <v>80</v>
      </c>
      <c r="K614" s="12">
        <v>21868.658146266745</v>
      </c>
      <c r="L614" s="12">
        <f>K614</f>
        <v>21868.658146266745</v>
      </c>
      <c r="M614" s="12">
        <v>0</v>
      </c>
      <c r="N614" s="12">
        <v>0</v>
      </c>
      <c r="O614" s="12">
        <v>21868.658146266745</v>
      </c>
      <c r="P614" s="29">
        <v>30</v>
      </c>
    </row>
    <row r="615" spans="1:16" s="85" customFormat="1" ht="16.5" hidden="1" thickTop="1" thickBot="1" x14ac:dyDescent="0.3">
      <c r="A615" s="74" t="s">
        <v>111</v>
      </c>
      <c r="B615" s="25" t="s">
        <v>11</v>
      </c>
      <c r="C615" s="8" t="s">
        <v>0</v>
      </c>
      <c r="D615" s="7" t="s">
        <v>147</v>
      </c>
      <c r="E615" s="9" t="s">
        <v>66</v>
      </c>
      <c r="F615" s="10">
        <v>20</v>
      </c>
      <c r="G615" s="11" t="s">
        <v>148</v>
      </c>
      <c r="H615" s="7" t="s">
        <v>83</v>
      </c>
      <c r="I615" s="11" t="s">
        <v>30</v>
      </c>
      <c r="J615" s="11" t="s">
        <v>80</v>
      </c>
      <c r="K615" s="12">
        <v>690</v>
      </c>
      <c r="L615" s="12">
        <v>690</v>
      </c>
      <c r="M615" s="12">
        <v>0</v>
      </c>
      <c r="N615" s="12">
        <v>34.5</v>
      </c>
      <c r="O615" s="12">
        <v>655.5</v>
      </c>
      <c r="P615" s="29">
        <v>7</v>
      </c>
    </row>
    <row r="616" spans="1:16" s="85" customFormat="1" ht="16.5" hidden="1" thickTop="1" thickBot="1" x14ac:dyDescent="0.3">
      <c r="A616" s="74" t="s">
        <v>111</v>
      </c>
      <c r="B616" s="25" t="s">
        <v>11</v>
      </c>
      <c r="C616" s="8" t="s">
        <v>0</v>
      </c>
      <c r="D616" s="7" t="s">
        <v>147</v>
      </c>
      <c r="E616" s="9" t="s">
        <v>66</v>
      </c>
      <c r="F616" s="10">
        <v>20</v>
      </c>
      <c r="G616" s="11" t="s">
        <v>149</v>
      </c>
      <c r="H616" s="7" t="s">
        <v>83</v>
      </c>
      <c r="I616" s="11" t="s">
        <v>30</v>
      </c>
      <c r="J616" s="11" t="s">
        <v>110</v>
      </c>
      <c r="K616" s="12">
        <v>690</v>
      </c>
      <c r="L616" s="12">
        <v>690</v>
      </c>
      <c r="M616" s="12">
        <v>0</v>
      </c>
      <c r="N616" s="12">
        <v>34.5</v>
      </c>
      <c r="O616" s="12">
        <v>655.5</v>
      </c>
      <c r="P616" s="29">
        <v>7</v>
      </c>
    </row>
    <row r="617" spans="1:16" s="85" customFormat="1" ht="16.5" hidden="1" thickTop="1" thickBot="1" x14ac:dyDescent="0.3">
      <c r="A617" s="74" t="s">
        <v>111</v>
      </c>
      <c r="B617" s="25" t="s">
        <v>11</v>
      </c>
      <c r="C617" s="8" t="s">
        <v>0</v>
      </c>
      <c r="D617" s="7" t="s">
        <v>147</v>
      </c>
      <c r="E617" s="9" t="s">
        <v>66</v>
      </c>
      <c r="F617" s="10">
        <v>20</v>
      </c>
      <c r="G617" s="11" t="s">
        <v>150</v>
      </c>
      <c r="H617" s="7" t="s">
        <v>83</v>
      </c>
      <c r="I617" s="11" t="s">
        <v>30</v>
      </c>
      <c r="J617" s="11" t="s">
        <v>110</v>
      </c>
      <c r="K617" s="12">
        <v>690</v>
      </c>
      <c r="L617" s="12">
        <v>690</v>
      </c>
      <c r="M617" s="12">
        <v>0</v>
      </c>
      <c r="N617" s="12">
        <v>34.5</v>
      </c>
      <c r="O617" s="12">
        <v>655.5</v>
      </c>
      <c r="P617" s="29">
        <v>7</v>
      </c>
    </row>
    <row r="618" spans="1:16" s="85" customFormat="1" ht="16.5" hidden="1" thickTop="1" thickBot="1" x14ac:dyDescent="0.3">
      <c r="A618" s="74" t="s">
        <v>111</v>
      </c>
      <c r="B618" s="25" t="s">
        <v>11</v>
      </c>
      <c r="C618" s="8" t="s">
        <v>0</v>
      </c>
      <c r="D618" s="7" t="s">
        <v>147</v>
      </c>
      <c r="E618" s="9" t="s">
        <v>66</v>
      </c>
      <c r="F618" s="10">
        <v>20</v>
      </c>
      <c r="G618" s="11" t="s">
        <v>152</v>
      </c>
      <c r="H618" s="7" t="s">
        <v>83</v>
      </c>
      <c r="I618" s="11" t="s">
        <v>30</v>
      </c>
      <c r="J618" s="11" t="s">
        <v>105</v>
      </c>
      <c r="K618" s="12">
        <v>690</v>
      </c>
      <c r="L618" s="12">
        <v>690</v>
      </c>
      <c r="M618" s="12">
        <v>0</v>
      </c>
      <c r="N618" s="12">
        <v>34.5</v>
      </c>
      <c r="O618" s="12">
        <v>655.5</v>
      </c>
      <c r="P618" s="29">
        <v>7</v>
      </c>
    </row>
    <row r="619" spans="1:16" s="85" customFormat="1" ht="16.5" hidden="1" thickTop="1" thickBot="1" x14ac:dyDescent="0.3">
      <c r="A619" s="74" t="s">
        <v>111</v>
      </c>
      <c r="B619" s="25" t="s">
        <v>11</v>
      </c>
      <c r="C619" s="8" t="s">
        <v>61</v>
      </c>
      <c r="D619" s="7" t="s">
        <v>147</v>
      </c>
      <c r="E619" s="9" t="s">
        <v>67</v>
      </c>
      <c r="F619" s="10">
        <v>20</v>
      </c>
      <c r="G619" s="11" t="s">
        <v>92</v>
      </c>
      <c r="H619" s="7" t="s">
        <v>83</v>
      </c>
      <c r="I619" s="11" t="s">
        <v>30</v>
      </c>
      <c r="J619" s="11" t="s">
        <v>80</v>
      </c>
      <c r="K619" s="12">
        <v>690</v>
      </c>
      <c r="L619" s="12">
        <v>690</v>
      </c>
      <c r="M619" s="12">
        <v>0</v>
      </c>
      <c r="N619" s="12">
        <v>34.5</v>
      </c>
      <c r="O619" s="12">
        <v>655.5</v>
      </c>
      <c r="P619" s="29">
        <v>7</v>
      </c>
    </row>
    <row r="620" spans="1:16" s="85" customFormat="1" ht="16.5" hidden="1" thickTop="1" thickBot="1" x14ac:dyDescent="0.3">
      <c r="A620" s="74" t="s">
        <v>111</v>
      </c>
      <c r="B620" s="25" t="s">
        <v>11</v>
      </c>
      <c r="C620" s="8" t="s">
        <v>62</v>
      </c>
      <c r="D620" s="7" t="s">
        <v>147</v>
      </c>
      <c r="E620" s="9" t="s">
        <v>66</v>
      </c>
      <c r="F620" s="10">
        <v>20</v>
      </c>
      <c r="G620" s="11" t="s">
        <v>49</v>
      </c>
      <c r="H620" s="7" t="s">
        <v>85</v>
      </c>
      <c r="I620" s="11" t="s">
        <v>30</v>
      </c>
      <c r="J620" s="11" t="s">
        <v>105</v>
      </c>
      <c r="K620" s="12">
        <v>1290</v>
      </c>
      <c r="L620" s="12">
        <v>1290</v>
      </c>
      <c r="M620" s="12">
        <v>0</v>
      </c>
      <c r="N620" s="12">
        <v>64.5</v>
      </c>
      <c r="O620" s="12">
        <v>1225.5</v>
      </c>
      <c r="P620" s="29">
        <v>7</v>
      </c>
    </row>
    <row r="621" spans="1:16" s="85" customFormat="1" ht="16.5" hidden="1" thickTop="1" thickBot="1" x14ac:dyDescent="0.3">
      <c r="A621" s="74" t="s">
        <v>111</v>
      </c>
      <c r="B621" s="25" t="s">
        <v>11</v>
      </c>
      <c r="C621" s="8" t="s">
        <v>62</v>
      </c>
      <c r="D621" s="7" t="s">
        <v>147</v>
      </c>
      <c r="E621" s="9" t="s">
        <v>66</v>
      </c>
      <c r="F621" s="10">
        <v>20</v>
      </c>
      <c r="G621" s="11" t="s">
        <v>50</v>
      </c>
      <c r="H621" s="7" t="s">
        <v>85</v>
      </c>
      <c r="I621" s="11" t="s">
        <v>30</v>
      </c>
      <c r="J621" s="11" t="s">
        <v>105</v>
      </c>
      <c r="K621" s="12">
        <v>690</v>
      </c>
      <c r="L621" s="12">
        <v>690</v>
      </c>
      <c r="M621" s="12">
        <v>0</v>
      </c>
      <c r="N621" s="12">
        <v>34.5</v>
      </c>
      <c r="O621" s="12">
        <v>655.5</v>
      </c>
      <c r="P621" s="29">
        <v>7</v>
      </c>
    </row>
    <row r="622" spans="1:16" s="85" customFormat="1" ht="16.5" hidden="1" thickTop="1" thickBot="1" x14ac:dyDescent="0.3">
      <c r="A622" s="74" t="s">
        <v>111</v>
      </c>
      <c r="B622" s="25" t="s">
        <v>11</v>
      </c>
      <c r="C622" s="8" t="s">
        <v>0</v>
      </c>
      <c r="D622" s="7" t="s">
        <v>147</v>
      </c>
      <c r="E622" s="9" t="s">
        <v>66</v>
      </c>
      <c r="F622" s="10">
        <v>20</v>
      </c>
      <c r="G622" s="11" t="s">
        <v>72</v>
      </c>
      <c r="H622" s="7" t="s">
        <v>83</v>
      </c>
      <c r="I622" s="11" t="s">
        <v>30</v>
      </c>
      <c r="J622" s="11" t="s">
        <v>109</v>
      </c>
      <c r="K622" s="12">
        <v>690</v>
      </c>
      <c r="L622" s="12">
        <v>690</v>
      </c>
      <c r="M622" s="12">
        <v>0</v>
      </c>
      <c r="N622" s="12">
        <v>34.5</v>
      </c>
      <c r="O622" s="12">
        <v>655.5</v>
      </c>
      <c r="P622" s="29">
        <v>7</v>
      </c>
    </row>
    <row r="623" spans="1:16" s="85" customFormat="1" ht="16.5" hidden="1" thickTop="1" thickBot="1" x14ac:dyDescent="0.3">
      <c r="A623" s="74" t="s">
        <v>111</v>
      </c>
      <c r="B623" s="25" t="s">
        <v>11</v>
      </c>
      <c r="C623" s="8" t="s">
        <v>25</v>
      </c>
      <c r="D623" s="7" t="s">
        <v>79</v>
      </c>
      <c r="E623" s="9" t="s">
        <v>66</v>
      </c>
      <c r="F623" s="10">
        <v>20</v>
      </c>
      <c r="G623" s="11" t="s">
        <v>29</v>
      </c>
      <c r="H623" s="7" t="s">
        <v>83</v>
      </c>
      <c r="I623" s="11" t="s">
        <v>30</v>
      </c>
      <c r="J623" s="11" t="s">
        <v>80</v>
      </c>
      <c r="K623" s="12">
        <v>530</v>
      </c>
      <c r="L623" s="12">
        <v>530</v>
      </c>
      <c r="M623" s="12">
        <v>0</v>
      </c>
      <c r="N623" s="12">
        <v>25</v>
      </c>
      <c r="O623" s="12">
        <v>475</v>
      </c>
      <c r="P623" s="29">
        <v>10</v>
      </c>
    </row>
    <row r="624" spans="1:16" s="85" customFormat="1" ht="16.5" hidden="1" thickTop="1" thickBot="1" x14ac:dyDescent="0.3">
      <c r="A624" s="74" t="s">
        <v>111</v>
      </c>
      <c r="B624" s="25" t="s">
        <v>11</v>
      </c>
      <c r="C624" s="8" t="s">
        <v>25</v>
      </c>
      <c r="D624" s="7" t="s">
        <v>79</v>
      </c>
      <c r="E624" s="9" t="s">
        <v>66</v>
      </c>
      <c r="F624" s="10">
        <v>20</v>
      </c>
      <c r="G624" s="11" t="s">
        <v>32</v>
      </c>
      <c r="H624" s="7" t="s">
        <v>83</v>
      </c>
      <c r="I624" s="11" t="s">
        <v>30</v>
      </c>
      <c r="J624" s="11" t="s">
        <v>80</v>
      </c>
      <c r="K624" s="12">
        <v>230</v>
      </c>
      <c r="L624" s="12">
        <v>230</v>
      </c>
      <c r="M624" s="12">
        <v>0</v>
      </c>
      <c r="N624" s="12">
        <v>10</v>
      </c>
      <c r="O624" s="12">
        <v>190</v>
      </c>
      <c r="P624" s="29">
        <v>10</v>
      </c>
    </row>
    <row r="625" spans="1:17" s="85" customFormat="1" ht="16.5" hidden="1" thickTop="1" thickBot="1" x14ac:dyDescent="0.3">
      <c r="A625" s="74" t="s">
        <v>111</v>
      </c>
      <c r="B625" s="25" t="s">
        <v>11</v>
      </c>
      <c r="C625" s="8" t="s">
        <v>25</v>
      </c>
      <c r="D625" s="7" t="s">
        <v>79</v>
      </c>
      <c r="E625" s="9" t="s">
        <v>66</v>
      </c>
      <c r="F625" s="10">
        <v>15</v>
      </c>
      <c r="G625" s="11" t="s">
        <v>33</v>
      </c>
      <c r="H625" s="7" t="s">
        <v>83</v>
      </c>
      <c r="I625" s="11" t="s">
        <v>30</v>
      </c>
      <c r="J625" s="11" t="s">
        <v>80</v>
      </c>
      <c r="K625" s="12">
        <v>200</v>
      </c>
      <c r="L625" s="12">
        <v>230</v>
      </c>
      <c r="M625" s="12">
        <v>0</v>
      </c>
      <c r="N625" s="12">
        <v>10</v>
      </c>
      <c r="O625" s="12">
        <v>190</v>
      </c>
      <c r="P625" s="29">
        <v>30</v>
      </c>
    </row>
    <row r="626" spans="1:17" s="85" customFormat="1" ht="16.5" hidden="1" thickTop="1" thickBot="1" x14ac:dyDescent="0.3">
      <c r="A626" s="74" t="s">
        <v>111</v>
      </c>
      <c r="B626" s="25" t="s">
        <v>11</v>
      </c>
      <c r="C626" s="8" t="s">
        <v>61</v>
      </c>
      <c r="D626" s="7" t="s">
        <v>79</v>
      </c>
      <c r="E626" s="9" t="s">
        <v>66</v>
      </c>
      <c r="F626" s="10">
        <v>20</v>
      </c>
      <c r="G626" s="13" t="s">
        <v>43</v>
      </c>
      <c r="H626" s="7" t="s">
        <v>83</v>
      </c>
      <c r="I626" s="14" t="s">
        <v>30</v>
      </c>
      <c r="J626" s="14" t="s">
        <v>106</v>
      </c>
      <c r="K626" s="12">
        <v>230</v>
      </c>
      <c r="L626" s="12">
        <v>230</v>
      </c>
      <c r="M626" s="12">
        <v>0</v>
      </c>
      <c r="N626" s="12">
        <v>10</v>
      </c>
      <c r="O626" s="12">
        <v>190</v>
      </c>
      <c r="P626" s="29">
        <v>15</v>
      </c>
    </row>
    <row r="627" spans="1:17" s="85" customFormat="1" ht="16.5" hidden="1" thickTop="1" thickBot="1" x14ac:dyDescent="0.3">
      <c r="A627" s="74" t="s">
        <v>111</v>
      </c>
      <c r="B627" s="25" t="s">
        <v>13</v>
      </c>
      <c r="C627" s="8" t="s">
        <v>61</v>
      </c>
      <c r="D627" s="7" t="s">
        <v>79</v>
      </c>
      <c r="E627" s="9" t="s">
        <v>66</v>
      </c>
      <c r="F627" s="10">
        <v>20</v>
      </c>
      <c r="G627" s="13" t="s">
        <v>90</v>
      </c>
      <c r="H627" s="15" t="s">
        <v>83</v>
      </c>
      <c r="I627" s="14" t="s">
        <v>9</v>
      </c>
      <c r="J627" s="11" t="s">
        <v>103</v>
      </c>
      <c r="K627" s="12">
        <v>4536.0249999999996</v>
      </c>
      <c r="L627" s="12">
        <v>4536.0249999999996</v>
      </c>
      <c r="M627" s="12">
        <v>0</v>
      </c>
      <c r="N627" s="12">
        <f>L627*16%</f>
        <v>725.76400000000001</v>
      </c>
      <c r="O627" s="12">
        <v>3810.2609999999995</v>
      </c>
      <c r="P627" s="29">
        <v>10</v>
      </c>
    </row>
    <row r="628" spans="1:17" s="85" customFormat="1" ht="16.5" hidden="1" thickTop="1" thickBot="1" x14ac:dyDescent="0.3">
      <c r="A628" s="74" t="s">
        <v>111</v>
      </c>
      <c r="B628" s="25" t="s">
        <v>22</v>
      </c>
      <c r="C628" s="8" t="s">
        <v>25</v>
      </c>
      <c r="D628" s="7" t="s">
        <v>79</v>
      </c>
      <c r="E628" s="9" t="s">
        <v>66</v>
      </c>
      <c r="F628" s="10">
        <v>28</v>
      </c>
      <c r="G628" s="11" t="s">
        <v>135</v>
      </c>
      <c r="H628" s="7" t="s">
        <v>83</v>
      </c>
      <c r="I628" s="11" t="s">
        <v>7</v>
      </c>
      <c r="J628" s="11" t="s">
        <v>80</v>
      </c>
      <c r="K628" s="12">
        <v>17695.12745</v>
      </c>
      <c r="L628" s="12">
        <v>17695.12745</v>
      </c>
      <c r="M628" s="12">
        <v>0</v>
      </c>
      <c r="N628" s="12">
        <v>0</v>
      </c>
      <c r="O628" s="12">
        <v>17695.12745</v>
      </c>
      <c r="P628" s="29">
        <v>18</v>
      </c>
    </row>
    <row r="629" spans="1:17" s="85" customFormat="1" ht="16.5" hidden="1" thickTop="1" thickBot="1" x14ac:dyDescent="0.3">
      <c r="A629" s="74" t="s">
        <v>111</v>
      </c>
      <c r="B629" s="25" t="s">
        <v>11</v>
      </c>
      <c r="C629" s="8" t="s">
        <v>0</v>
      </c>
      <c r="D629" s="7" t="s">
        <v>79</v>
      </c>
      <c r="E629" s="9" t="s">
        <v>66</v>
      </c>
      <c r="F629" s="44">
        <v>8</v>
      </c>
      <c r="G629" s="11" t="s">
        <v>8</v>
      </c>
      <c r="H629" s="7" t="s">
        <v>85</v>
      </c>
      <c r="I629" s="11" t="s">
        <v>7</v>
      </c>
      <c r="J629" s="11" t="s">
        <v>103</v>
      </c>
      <c r="K629" s="12">
        <v>19327.518303502504</v>
      </c>
      <c r="L629" s="12">
        <v>19327.518303502504</v>
      </c>
      <c r="M629" s="12">
        <v>0</v>
      </c>
      <c r="N629" s="12">
        <v>874.54833952500019</v>
      </c>
      <c r="O629" s="12">
        <v>18452.969963977503</v>
      </c>
      <c r="P629" s="29">
        <v>10</v>
      </c>
      <c r="Q629" s="85" t="s">
        <v>156</v>
      </c>
    </row>
    <row r="630" spans="1:17" s="85" customFormat="1" ht="16.5" hidden="1" thickTop="1" thickBot="1" x14ac:dyDescent="0.3">
      <c r="A630" s="74" t="s">
        <v>111</v>
      </c>
      <c r="B630" s="25" t="s">
        <v>11</v>
      </c>
      <c r="C630" s="8" t="s">
        <v>0</v>
      </c>
      <c r="D630" s="7" t="s">
        <v>79</v>
      </c>
      <c r="E630" s="9" t="s">
        <v>66</v>
      </c>
      <c r="F630" s="44">
        <v>8</v>
      </c>
      <c r="G630" s="11" t="s">
        <v>8</v>
      </c>
      <c r="H630" s="7" t="s">
        <v>85</v>
      </c>
      <c r="I630" s="11" t="s">
        <v>97</v>
      </c>
      <c r="J630" s="11" t="s">
        <v>103</v>
      </c>
      <c r="K630" s="12">
        <v>19327.518303502504</v>
      </c>
      <c r="L630" s="12">
        <v>19327.518303502504</v>
      </c>
      <c r="M630" s="12">
        <v>0</v>
      </c>
      <c r="N630" s="12">
        <v>874.54833952500019</v>
      </c>
      <c r="O630" s="12">
        <v>18452.969963977503</v>
      </c>
      <c r="P630" s="29">
        <v>10</v>
      </c>
      <c r="Q630" s="85" t="s">
        <v>156</v>
      </c>
    </row>
    <row r="631" spans="1:17" s="85" customFormat="1" ht="16.5" hidden="1" thickTop="1" thickBot="1" x14ac:dyDescent="0.3">
      <c r="A631" s="74" t="s">
        <v>111</v>
      </c>
      <c r="B631" s="25" t="s">
        <v>183</v>
      </c>
      <c r="C631" s="8" t="s">
        <v>0</v>
      </c>
      <c r="D631" s="7" t="s">
        <v>79</v>
      </c>
      <c r="E631" s="9" t="s">
        <v>66</v>
      </c>
      <c r="F631" s="44">
        <v>8</v>
      </c>
      <c r="G631" s="11" t="s">
        <v>8</v>
      </c>
      <c r="H631" s="7" t="s">
        <v>85</v>
      </c>
      <c r="I631" s="11" t="s">
        <v>9</v>
      </c>
      <c r="J631" s="11" t="s">
        <v>103</v>
      </c>
      <c r="K631" s="12">
        <v>16926.608031693751</v>
      </c>
      <c r="L631" s="12">
        <v>16926.608031693751</v>
      </c>
      <c r="M631" s="12">
        <v>0</v>
      </c>
      <c r="N631" s="12">
        <v>765.90986568750009</v>
      </c>
      <c r="O631" s="12">
        <v>16160.698166006252</v>
      </c>
      <c r="P631" s="29">
        <v>10</v>
      </c>
      <c r="Q631" s="85" t="s">
        <v>156</v>
      </c>
    </row>
    <row r="632" spans="1:17" s="85" customFormat="1" ht="16.5" hidden="1" thickTop="1" thickBot="1" x14ac:dyDescent="0.3">
      <c r="A632" s="74" t="s">
        <v>111</v>
      </c>
      <c r="B632" s="25" t="s">
        <v>183</v>
      </c>
      <c r="C632" s="8" t="s">
        <v>0</v>
      </c>
      <c r="D632" s="7" t="s">
        <v>79</v>
      </c>
      <c r="E632" s="9" t="s">
        <v>66</v>
      </c>
      <c r="F632" s="44">
        <v>8</v>
      </c>
      <c r="G632" s="11" t="s">
        <v>8</v>
      </c>
      <c r="H632" s="7" t="s">
        <v>85</v>
      </c>
      <c r="I632" s="11" t="s">
        <v>15</v>
      </c>
      <c r="J632" s="11" t="s">
        <v>103</v>
      </c>
      <c r="K632" s="12">
        <v>14433.306181368749</v>
      </c>
      <c r="L632" s="12">
        <v>14433.306181368749</v>
      </c>
      <c r="M632" s="12">
        <v>0</v>
      </c>
      <c r="N632" s="12">
        <v>653.09077743750004</v>
      </c>
      <c r="O632" s="12">
        <v>13780.215403931248</v>
      </c>
      <c r="P632" s="29">
        <v>10</v>
      </c>
      <c r="Q632" s="85" t="s">
        <v>156</v>
      </c>
    </row>
    <row r="633" spans="1:17" s="85" customFormat="1" ht="16.5" hidden="1" thickTop="1" thickBot="1" x14ac:dyDescent="0.3">
      <c r="A633" s="74" t="s">
        <v>111</v>
      </c>
      <c r="B633" s="25" t="s">
        <v>10</v>
      </c>
      <c r="C633" s="8" t="s">
        <v>0</v>
      </c>
      <c r="D633" s="7" t="s">
        <v>79</v>
      </c>
      <c r="E633" s="9" t="s">
        <v>66</v>
      </c>
      <c r="F633" s="44">
        <v>8</v>
      </c>
      <c r="G633" s="11" t="s">
        <v>8</v>
      </c>
      <c r="H633" s="7" t="s">
        <v>85</v>
      </c>
      <c r="I633" s="11" t="s">
        <v>96</v>
      </c>
      <c r="J633" s="11" t="s">
        <v>103</v>
      </c>
      <c r="K633" s="12">
        <v>2000</v>
      </c>
      <c r="L633" s="12">
        <v>2000</v>
      </c>
      <c r="M633" s="12">
        <v>0</v>
      </c>
      <c r="N633" s="12">
        <v>0</v>
      </c>
      <c r="O633" s="12">
        <v>2000</v>
      </c>
      <c r="P633" s="29">
        <v>10</v>
      </c>
      <c r="Q633" s="85" t="s">
        <v>156</v>
      </c>
    </row>
    <row r="634" spans="1:17" s="85" customFormat="1" ht="16.5" hidden="1" thickTop="1" thickBot="1" x14ac:dyDescent="0.3">
      <c r="A634" s="74" t="s">
        <v>111</v>
      </c>
      <c r="B634" s="25" t="s">
        <v>10</v>
      </c>
      <c r="C634" s="8" t="s">
        <v>0</v>
      </c>
      <c r="D634" s="7" t="s">
        <v>79</v>
      </c>
      <c r="E634" s="9" t="s">
        <v>66</v>
      </c>
      <c r="F634" s="44">
        <v>8</v>
      </c>
      <c r="G634" s="11" t="s">
        <v>8</v>
      </c>
      <c r="H634" s="7" t="s">
        <v>85</v>
      </c>
      <c r="I634" s="11" t="s">
        <v>96</v>
      </c>
      <c r="J634" s="11" t="s">
        <v>103</v>
      </c>
      <c r="K634" s="12">
        <v>200</v>
      </c>
      <c r="L634" s="12">
        <v>200</v>
      </c>
      <c r="M634" s="12">
        <v>0</v>
      </c>
      <c r="N634" s="12">
        <v>0</v>
      </c>
      <c r="O634" s="12">
        <v>200</v>
      </c>
      <c r="P634" s="29">
        <v>10</v>
      </c>
      <c r="Q634" s="85" t="s">
        <v>156</v>
      </c>
    </row>
    <row r="635" spans="1:17" s="85" customFormat="1" ht="16.5" hidden="1" thickTop="1" thickBot="1" x14ac:dyDescent="0.3">
      <c r="A635" s="74" t="s">
        <v>111</v>
      </c>
      <c r="B635" s="25" t="s">
        <v>11</v>
      </c>
      <c r="C635" s="8" t="s">
        <v>0</v>
      </c>
      <c r="D635" s="7" t="s">
        <v>79</v>
      </c>
      <c r="E635" s="9" t="s">
        <v>66</v>
      </c>
      <c r="F635" s="10">
        <v>14</v>
      </c>
      <c r="G635" s="11" t="s">
        <v>139</v>
      </c>
      <c r="H635" s="7" t="s">
        <v>84</v>
      </c>
      <c r="I635" s="11" t="s">
        <v>7</v>
      </c>
      <c r="J635" s="11" t="s">
        <v>103</v>
      </c>
      <c r="K635" s="12">
        <v>16311.633340859998</v>
      </c>
      <c r="L635" s="12">
        <v>16311.633340859998</v>
      </c>
      <c r="M635" s="12">
        <v>0</v>
      </c>
      <c r="N635" s="12">
        <v>738.08295659999999</v>
      </c>
      <c r="O635" s="12">
        <v>15573.550384259999</v>
      </c>
      <c r="P635" s="29">
        <v>15</v>
      </c>
      <c r="Q635" s="85" t="s">
        <v>156</v>
      </c>
    </row>
    <row r="636" spans="1:17" s="85" customFormat="1" ht="16.5" hidden="1" thickTop="1" thickBot="1" x14ac:dyDescent="0.3">
      <c r="A636" s="74" t="s">
        <v>111</v>
      </c>
      <c r="B636" s="25" t="s">
        <v>13</v>
      </c>
      <c r="C636" s="8" t="s">
        <v>0</v>
      </c>
      <c r="D636" s="7" t="s">
        <v>79</v>
      </c>
      <c r="E636" s="9" t="s">
        <v>66</v>
      </c>
      <c r="F636" s="10">
        <v>14</v>
      </c>
      <c r="G636" s="11" t="s">
        <v>139</v>
      </c>
      <c r="H636" s="7" t="s">
        <v>84</v>
      </c>
      <c r="I636" s="11" t="s">
        <v>9</v>
      </c>
      <c r="J636" s="11" t="s">
        <v>103</v>
      </c>
      <c r="K636" s="12">
        <v>4158.1260499999999</v>
      </c>
      <c r="L636" s="12">
        <v>4158.1260499999999</v>
      </c>
      <c r="M636" s="12">
        <v>0</v>
      </c>
      <c r="N636" s="12">
        <v>188.15050000000002</v>
      </c>
      <c r="O636" s="12">
        <v>3969.9755499999997</v>
      </c>
      <c r="P636" s="29">
        <v>15</v>
      </c>
      <c r="Q636" s="85" t="s">
        <v>156</v>
      </c>
    </row>
    <row r="637" spans="1:17" s="85" customFormat="1" ht="16.5" hidden="1" thickTop="1" thickBot="1" x14ac:dyDescent="0.3">
      <c r="A637" s="74" t="s">
        <v>111</v>
      </c>
      <c r="B637" s="25" t="s">
        <v>13</v>
      </c>
      <c r="C637" s="8" t="s">
        <v>0</v>
      </c>
      <c r="D637" s="7" t="s">
        <v>79</v>
      </c>
      <c r="E637" s="9" t="s">
        <v>66</v>
      </c>
      <c r="F637" s="10">
        <v>14</v>
      </c>
      <c r="G637" s="11" t="s">
        <v>139</v>
      </c>
      <c r="H637" s="7" t="s">
        <v>84</v>
      </c>
      <c r="I637" s="11" t="s">
        <v>15</v>
      </c>
      <c r="J637" s="11" t="s">
        <v>103</v>
      </c>
      <c r="K637" s="12">
        <v>5282.5230083924998</v>
      </c>
      <c r="L637" s="12">
        <v>5282.5230083924998</v>
      </c>
      <c r="M637" s="12">
        <v>0</v>
      </c>
      <c r="N637" s="12">
        <v>239.02819042500002</v>
      </c>
      <c r="O637" s="12">
        <v>5043.4948179675002</v>
      </c>
      <c r="P637" s="29">
        <v>15</v>
      </c>
      <c r="Q637" s="85" t="s">
        <v>156</v>
      </c>
    </row>
    <row r="638" spans="1:17" s="85" customFormat="1" ht="16.5" hidden="1" thickTop="1" thickBot="1" x14ac:dyDescent="0.3">
      <c r="A638" s="74" t="s">
        <v>111</v>
      </c>
      <c r="B638" s="25" t="s">
        <v>10</v>
      </c>
      <c r="C638" s="8" t="s">
        <v>0</v>
      </c>
      <c r="D638" s="7" t="s">
        <v>79</v>
      </c>
      <c r="E638" s="9" t="s">
        <v>66</v>
      </c>
      <c r="F638" s="10">
        <v>14</v>
      </c>
      <c r="G638" s="11" t="s">
        <v>139</v>
      </c>
      <c r="H638" s="7" t="s">
        <v>84</v>
      </c>
      <c r="I638" s="11" t="s">
        <v>96</v>
      </c>
      <c r="J638" s="11" t="s">
        <v>103</v>
      </c>
      <c r="K638" s="12">
        <v>500</v>
      </c>
      <c r="L638" s="12">
        <v>500</v>
      </c>
      <c r="M638" s="12">
        <v>0</v>
      </c>
      <c r="N638" s="12">
        <v>0</v>
      </c>
      <c r="O638" s="12">
        <v>500</v>
      </c>
      <c r="P638" s="29">
        <v>15</v>
      </c>
      <c r="Q638" s="85" t="s">
        <v>156</v>
      </c>
    </row>
    <row r="639" spans="1:17" s="85" customFormat="1" ht="16.5" hidden="1" thickTop="1" thickBot="1" x14ac:dyDescent="0.3">
      <c r="A639" s="74" t="s">
        <v>111</v>
      </c>
      <c r="B639" s="25" t="s">
        <v>11</v>
      </c>
      <c r="C639" s="8" t="s">
        <v>0</v>
      </c>
      <c r="D639" s="7" t="s">
        <v>79</v>
      </c>
      <c r="E639" s="9" t="s">
        <v>66</v>
      </c>
      <c r="F639" s="10">
        <v>20</v>
      </c>
      <c r="G639" s="11" t="s">
        <v>16</v>
      </c>
      <c r="H639" s="7" t="s">
        <v>85</v>
      </c>
      <c r="I639" s="11" t="s">
        <v>7</v>
      </c>
      <c r="J639" s="11" t="s">
        <v>103</v>
      </c>
      <c r="K639" s="12">
        <v>17144.075000000001</v>
      </c>
      <c r="L639" s="12">
        <v>17144.075000000001</v>
      </c>
      <c r="M639" s="12">
        <v>0</v>
      </c>
      <c r="N639" s="12">
        <f>L639*14%</f>
        <v>2400.1705000000002</v>
      </c>
      <c r="O639" s="12">
        <v>14401.023000000001</v>
      </c>
      <c r="P639" s="29">
        <v>15</v>
      </c>
    </row>
    <row r="640" spans="1:17" s="85" customFormat="1" ht="16.5" hidden="1" thickTop="1" thickBot="1" x14ac:dyDescent="0.3">
      <c r="A640" s="74" t="s">
        <v>111</v>
      </c>
      <c r="B640" s="25" t="s">
        <v>13</v>
      </c>
      <c r="C640" s="8" t="s">
        <v>0</v>
      </c>
      <c r="D640" s="7" t="s">
        <v>79</v>
      </c>
      <c r="E640" s="9" t="s">
        <v>66</v>
      </c>
      <c r="F640" s="10">
        <v>20</v>
      </c>
      <c r="G640" s="11" t="s">
        <v>16</v>
      </c>
      <c r="H640" s="7" t="s">
        <v>85</v>
      </c>
      <c r="I640" s="11" t="s">
        <v>113</v>
      </c>
      <c r="J640" s="11" t="s">
        <v>103</v>
      </c>
      <c r="K640" s="12">
        <v>1657.5</v>
      </c>
      <c r="L640" s="12">
        <v>1657.5</v>
      </c>
      <c r="M640" s="12">
        <v>0</v>
      </c>
      <c r="N640" s="12">
        <f>L640*16%</f>
        <v>265.2</v>
      </c>
      <c r="O640" s="12">
        <v>1392.3</v>
      </c>
      <c r="P640" s="29">
        <v>15</v>
      </c>
    </row>
    <row r="641" spans="1:16" s="85" customFormat="1" ht="16.5" hidden="1" thickTop="1" thickBot="1" x14ac:dyDescent="0.3">
      <c r="A641" s="74" t="s">
        <v>111</v>
      </c>
      <c r="B641" s="25" t="s">
        <v>13</v>
      </c>
      <c r="C641" s="8" t="s">
        <v>0</v>
      </c>
      <c r="D641" s="7" t="s">
        <v>79</v>
      </c>
      <c r="E641" s="9" t="s">
        <v>66</v>
      </c>
      <c r="F641" s="10">
        <v>20</v>
      </c>
      <c r="G641" s="11" t="s">
        <v>16</v>
      </c>
      <c r="H641" s="7" t="s">
        <v>85</v>
      </c>
      <c r="I641" s="11" t="s">
        <v>9</v>
      </c>
      <c r="J641" s="11" t="s">
        <v>103</v>
      </c>
      <c r="K641" s="12">
        <v>8265.4</v>
      </c>
      <c r="L641" s="12">
        <v>8265.4</v>
      </c>
      <c r="M641" s="12">
        <v>0</v>
      </c>
      <c r="N641" s="12">
        <f>L641*16%</f>
        <v>1322.4639999999999</v>
      </c>
      <c r="O641" s="12">
        <v>6942.9359999999997</v>
      </c>
      <c r="P641" s="29">
        <v>15</v>
      </c>
    </row>
    <row r="642" spans="1:16" s="85" customFormat="1" ht="16.5" hidden="1" thickTop="1" thickBot="1" x14ac:dyDescent="0.3">
      <c r="A642" s="74" t="s">
        <v>111</v>
      </c>
      <c r="B642" s="25" t="s">
        <v>13</v>
      </c>
      <c r="C642" s="8" t="s">
        <v>0</v>
      </c>
      <c r="D642" s="7" t="s">
        <v>79</v>
      </c>
      <c r="E642" s="9" t="s">
        <v>66</v>
      </c>
      <c r="F642" s="10">
        <v>20</v>
      </c>
      <c r="G642" s="11" t="s">
        <v>16</v>
      </c>
      <c r="H642" s="7" t="s">
        <v>85</v>
      </c>
      <c r="I642" s="11" t="s">
        <v>15</v>
      </c>
      <c r="J642" s="11" t="s">
        <v>103</v>
      </c>
      <c r="K642" s="12">
        <v>7542.73</v>
      </c>
      <c r="L642" s="12">
        <v>7542.73</v>
      </c>
      <c r="M642" s="12">
        <v>0</v>
      </c>
      <c r="N642" s="12">
        <f>L642*16%</f>
        <v>1206.8368</v>
      </c>
      <c r="O642" s="12">
        <v>6335.8931999999995</v>
      </c>
      <c r="P642" s="29">
        <v>15</v>
      </c>
    </row>
    <row r="643" spans="1:16" s="85" customFormat="1" ht="16.5" hidden="1" thickTop="1" thickBot="1" x14ac:dyDescent="0.3">
      <c r="A643" s="74" t="s">
        <v>111</v>
      </c>
      <c r="B643" s="25" t="s">
        <v>13</v>
      </c>
      <c r="C643" s="8" t="s">
        <v>0</v>
      </c>
      <c r="D643" s="7" t="s">
        <v>79</v>
      </c>
      <c r="E643" s="9" t="s">
        <v>66</v>
      </c>
      <c r="F643" s="10">
        <v>10</v>
      </c>
      <c r="G643" s="11" t="s">
        <v>18</v>
      </c>
      <c r="H643" s="7" t="s">
        <v>85</v>
      </c>
      <c r="I643" s="11" t="s">
        <v>9</v>
      </c>
      <c r="J643" s="11" t="s">
        <v>103</v>
      </c>
      <c r="K643" s="12">
        <v>4589.40895335</v>
      </c>
      <c r="L643" s="12">
        <v>4589.40895335</v>
      </c>
      <c r="M643" s="12">
        <v>0</v>
      </c>
      <c r="N643" s="12">
        <v>207.66556350000002</v>
      </c>
      <c r="O643" s="12">
        <v>4381.7433898500003</v>
      </c>
      <c r="P643" s="29">
        <v>10</v>
      </c>
    </row>
    <row r="644" spans="1:16" s="85" customFormat="1" ht="16.5" hidden="1" thickTop="1" thickBot="1" x14ac:dyDescent="0.3">
      <c r="A644" s="74" t="s">
        <v>111</v>
      </c>
      <c r="B644" s="25" t="s">
        <v>11</v>
      </c>
      <c r="C644" s="8" t="s">
        <v>0</v>
      </c>
      <c r="D644" s="7" t="s">
        <v>79</v>
      </c>
      <c r="E644" s="9" t="s">
        <v>66</v>
      </c>
      <c r="F644" s="10">
        <v>22</v>
      </c>
      <c r="G644" s="11" t="s">
        <v>24</v>
      </c>
      <c r="H644" s="7" t="s">
        <v>83</v>
      </c>
      <c r="I644" s="11" t="s">
        <v>7</v>
      </c>
      <c r="J644" s="11" t="s">
        <v>80</v>
      </c>
      <c r="K644" s="12">
        <v>60275.3</v>
      </c>
      <c r="L644" s="12">
        <f>K644</f>
        <v>60275.3</v>
      </c>
      <c r="M644" s="12">
        <v>0</v>
      </c>
      <c r="N644" s="12">
        <f>L644*14%</f>
        <v>8438.5420000000013</v>
      </c>
      <c r="O644" s="12">
        <f>L644-N644</f>
        <v>51836.758000000002</v>
      </c>
      <c r="P644" s="29">
        <v>12</v>
      </c>
    </row>
    <row r="645" spans="1:16" s="85" customFormat="1" ht="16.5" hidden="1" thickTop="1" thickBot="1" x14ac:dyDescent="0.3">
      <c r="A645" s="74" t="s">
        <v>111</v>
      </c>
      <c r="B645" s="25" t="s">
        <v>13</v>
      </c>
      <c r="C645" s="8" t="s">
        <v>0</v>
      </c>
      <c r="D645" s="7" t="s">
        <v>79</v>
      </c>
      <c r="E645" s="9" t="s">
        <v>66</v>
      </c>
      <c r="F645" s="10">
        <v>22</v>
      </c>
      <c r="G645" s="11" t="s">
        <v>24</v>
      </c>
      <c r="H645" s="7" t="s">
        <v>83</v>
      </c>
      <c r="I645" s="11" t="s">
        <v>9</v>
      </c>
      <c r="J645" s="11" t="s">
        <v>80</v>
      </c>
      <c r="K645" s="12">
        <v>12949</v>
      </c>
      <c r="L645" s="12">
        <f>K645</f>
        <v>12949</v>
      </c>
      <c r="M645" s="12">
        <v>0</v>
      </c>
      <c r="N645" s="12">
        <f>L645*16%</f>
        <v>2071.84</v>
      </c>
      <c r="O645" s="12">
        <f>L645-N645</f>
        <v>10877.16</v>
      </c>
      <c r="P645" s="29">
        <v>12</v>
      </c>
    </row>
    <row r="646" spans="1:16" s="85" customFormat="1" ht="16.5" hidden="1" thickTop="1" thickBot="1" x14ac:dyDescent="0.3">
      <c r="A646" s="74" t="s">
        <v>111</v>
      </c>
      <c r="B646" s="25" t="s">
        <v>10</v>
      </c>
      <c r="C646" s="8" t="s">
        <v>0</v>
      </c>
      <c r="D646" s="7" t="s">
        <v>79</v>
      </c>
      <c r="E646" s="9" t="s">
        <v>66</v>
      </c>
      <c r="F646" s="10">
        <v>22</v>
      </c>
      <c r="G646" s="11" t="s">
        <v>24</v>
      </c>
      <c r="H646" s="7" t="s">
        <v>83</v>
      </c>
      <c r="I646" s="11" t="s">
        <v>96</v>
      </c>
      <c r="J646" s="11" t="s">
        <v>80</v>
      </c>
      <c r="K646" s="12">
        <v>1500</v>
      </c>
      <c r="L646" s="12">
        <v>1500</v>
      </c>
      <c r="M646" s="12">
        <v>0</v>
      </c>
      <c r="N646" s="12">
        <v>0</v>
      </c>
      <c r="O646" s="12">
        <v>1500</v>
      </c>
      <c r="P646" s="29">
        <v>12</v>
      </c>
    </row>
    <row r="647" spans="1:16" s="85" customFormat="1" ht="16.5" hidden="1" thickTop="1" thickBot="1" x14ac:dyDescent="0.3">
      <c r="A647" s="74" t="s">
        <v>111</v>
      </c>
      <c r="B647" s="25" t="s">
        <v>5</v>
      </c>
      <c r="C647" s="8" t="s">
        <v>25</v>
      </c>
      <c r="D647" s="7" t="s">
        <v>79</v>
      </c>
      <c r="E647" s="9" t="s">
        <v>66</v>
      </c>
      <c r="F647" s="10">
        <v>5</v>
      </c>
      <c r="G647" s="11" t="s">
        <v>26</v>
      </c>
      <c r="H647" s="7" t="s">
        <v>83</v>
      </c>
      <c r="I647" s="11" t="s">
        <v>7</v>
      </c>
      <c r="J647" s="11" t="s">
        <v>80</v>
      </c>
      <c r="K647" s="12">
        <v>21868.658146266753</v>
      </c>
      <c r="L647" s="12">
        <f t="shared" ref="L647:L652" si="39">K647</f>
        <v>21868.658146266753</v>
      </c>
      <c r="M647" s="12">
        <v>0</v>
      </c>
      <c r="N647" s="12">
        <v>0</v>
      </c>
      <c r="O647" s="12">
        <v>21868.658146266753</v>
      </c>
      <c r="P647" s="29">
        <v>28</v>
      </c>
    </row>
    <row r="648" spans="1:16" s="85" customFormat="1" ht="16.5" hidden="1" thickTop="1" thickBot="1" x14ac:dyDescent="0.3">
      <c r="A648" s="74" t="s">
        <v>111</v>
      </c>
      <c r="B648" s="25" t="s">
        <v>5</v>
      </c>
      <c r="C648" s="8" t="s">
        <v>25</v>
      </c>
      <c r="D648" s="7" t="s">
        <v>79</v>
      </c>
      <c r="E648" s="9" t="s">
        <v>66</v>
      </c>
      <c r="F648" s="10">
        <v>5</v>
      </c>
      <c r="G648" s="11" t="s">
        <v>26</v>
      </c>
      <c r="H648" s="7" t="s">
        <v>83</v>
      </c>
      <c r="I648" s="11" t="s">
        <v>9</v>
      </c>
      <c r="J648" s="11" t="s">
        <v>80</v>
      </c>
      <c r="K648" s="12">
        <v>4791.7362231179995</v>
      </c>
      <c r="L648" s="12">
        <f t="shared" si="39"/>
        <v>4791.7362231179995</v>
      </c>
      <c r="M648" s="12">
        <v>0</v>
      </c>
      <c r="N648" s="12">
        <v>0</v>
      </c>
      <c r="O648" s="12">
        <v>4791.7362231179995</v>
      </c>
      <c r="P648" s="29">
        <v>28</v>
      </c>
    </row>
    <row r="649" spans="1:16" s="85" customFormat="1" ht="16.5" hidden="1" thickTop="1" thickBot="1" x14ac:dyDescent="0.3">
      <c r="A649" s="74" t="s">
        <v>111</v>
      </c>
      <c r="B649" s="25" t="s">
        <v>5</v>
      </c>
      <c r="C649" s="8" t="s">
        <v>25</v>
      </c>
      <c r="D649" s="7" t="s">
        <v>79</v>
      </c>
      <c r="E649" s="9" t="s">
        <v>66</v>
      </c>
      <c r="F649" s="10">
        <v>5</v>
      </c>
      <c r="G649" s="11" t="s">
        <v>27</v>
      </c>
      <c r="H649" s="7" t="s">
        <v>83</v>
      </c>
      <c r="I649" s="11" t="s">
        <v>141</v>
      </c>
      <c r="J649" s="11" t="s">
        <v>80</v>
      </c>
      <c r="K649" s="12">
        <v>6193.06</v>
      </c>
      <c r="L649" s="12">
        <f t="shared" si="39"/>
        <v>6193.06</v>
      </c>
      <c r="M649" s="12">
        <v>0</v>
      </c>
      <c r="N649" s="12">
        <v>0</v>
      </c>
      <c r="O649" s="12">
        <v>6193.06</v>
      </c>
      <c r="P649" s="29">
        <v>28</v>
      </c>
    </row>
    <row r="650" spans="1:16" s="85" customFormat="1" ht="16.5" hidden="1" thickTop="1" thickBot="1" x14ac:dyDescent="0.3">
      <c r="A650" s="74" t="s">
        <v>111</v>
      </c>
      <c r="B650" s="25" t="s">
        <v>5</v>
      </c>
      <c r="C650" s="8" t="s">
        <v>25</v>
      </c>
      <c r="D650" s="7" t="s">
        <v>79</v>
      </c>
      <c r="E650" s="9" t="s">
        <v>66</v>
      </c>
      <c r="F650" s="10">
        <v>5</v>
      </c>
      <c r="G650" s="11" t="s">
        <v>27</v>
      </c>
      <c r="H650" s="7" t="s">
        <v>83</v>
      </c>
      <c r="I650" s="11" t="s">
        <v>7</v>
      </c>
      <c r="J650" s="11" t="s">
        <v>80</v>
      </c>
      <c r="K650" s="12">
        <v>21868.658146266745</v>
      </c>
      <c r="L650" s="12">
        <f t="shared" si="39"/>
        <v>21868.658146266745</v>
      </c>
      <c r="M650" s="12">
        <v>0</v>
      </c>
      <c r="N650" s="12">
        <v>0</v>
      </c>
      <c r="O650" s="12">
        <v>21868.658146266745</v>
      </c>
      <c r="P650" s="29">
        <v>28</v>
      </c>
    </row>
    <row r="651" spans="1:16" s="85" customFormat="1" ht="16.5" hidden="1" thickTop="1" thickBot="1" x14ac:dyDescent="0.3">
      <c r="A651" s="74" t="s">
        <v>111</v>
      </c>
      <c r="B651" s="25" t="s">
        <v>5</v>
      </c>
      <c r="C651" s="8" t="s">
        <v>25</v>
      </c>
      <c r="D651" s="7" t="s">
        <v>79</v>
      </c>
      <c r="E651" s="9" t="s">
        <v>66</v>
      </c>
      <c r="F651" s="10">
        <v>5</v>
      </c>
      <c r="G651" s="11" t="s">
        <v>27</v>
      </c>
      <c r="H651" s="7" t="s">
        <v>83</v>
      </c>
      <c r="I651" s="11" t="s">
        <v>9</v>
      </c>
      <c r="J651" s="11" t="s">
        <v>80</v>
      </c>
      <c r="K651" s="12">
        <v>4791.7362231179995</v>
      </c>
      <c r="L651" s="12">
        <f t="shared" si="39"/>
        <v>4791.7362231179995</v>
      </c>
      <c r="M651" s="12">
        <v>0</v>
      </c>
      <c r="N651" s="12">
        <v>0</v>
      </c>
      <c r="O651" s="12">
        <v>4791.7362231179995</v>
      </c>
      <c r="P651" s="29">
        <v>28</v>
      </c>
    </row>
    <row r="652" spans="1:16" s="85" customFormat="1" ht="16.5" hidden="1" thickTop="1" thickBot="1" x14ac:dyDescent="0.3">
      <c r="A652" s="74" t="s">
        <v>111</v>
      </c>
      <c r="B652" s="25" t="s">
        <v>5</v>
      </c>
      <c r="C652" s="8" t="s">
        <v>25</v>
      </c>
      <c r="D652" s="7" t="s">
        <v>79</v>
      </c>
      <c r="E652" s="9" t="s">
        <v>66</v>
      </c>
      <c r="F652" s="10">
        <v>5</v>
      </c>
      <c r="G652" s="11" t="s">
        <v>27</v>
      </c>
      <c r="H652" s="7" t="s">
        <v>83</v>
      </c>
      <c r="I652" s="11" t="s">
        <v>113</v>
      </c>
      <c r="J652" s="11" t="s">
        <v>80</v>
      </c>
      <c r="K652" s="12">
        <v>2015.0660041200001</v>
      </c>
      <c r="L652" s="12">
        <f t="shared" si="39"/>
        <v>2015.0660041200001</v>
      </c>
      <c r="M652" s="12">
        <v>0</v>
      </c>
      <c r="N652" s="12">
        <v>0</v>
      </c>
      <c r="O652" s="12">
        <v>2015.0660041200001</v>
      </c>
      <c r="P652" s="29">
        <v>28</v>
      </c>
    </row>
    <row r="653" spans="1:16" s="85" customFormat="1" ht="16.5" hidden="1" thickTop="1" thickBot="1" x14ac:dyDescent="0.3">
      <c r="A653" s="74" t="s">
        <v>111</v>
      </c>
      <c r="B653" s="25" t="s">
        <v>11</v>
      </c>
      <c r="C653" s="8" t="s">
        <v>25</v>
      </c>
      <c r="D653" s="7" t="s">
        <v>79</v>
      </c>
      <c r="E653" s="9" t="s">
        <v>67</v>
      </c>
      <c r="F653" s="10">
        <v>20</v>
      </c>
      <c r="G653" s="11" t="s">
        <v>29</v>
      </c>
      <c r="H653" s="7" t="s">
        <v>83</v>
      </c>
      <c r="I653" s="11" t="s">
        <v>30</v>
      </c>
      <c r="J653" s="11" t="s">
        <v>80</v>
      </c>
      <c r="K653" s="12">
        <v>530</v>
      </c>
      <c r="L653" s="12">
        <v>530</v>
      </c>
      <c r="M653" s="12">
        <v>0</v>
      </c>
      <c r="N653" s="12">
        <v>25</v>
      </c>
      <c r="O653" s="12">
        <v>475</v>
      </c>
      <c r="P653" s="29">
        <v>10</v>
      </c>
    </row>
    <row r="654" spans="1:16" s="85" customFormat="1" ht="16.5" hidden="1" thickTop="1" thickBot="1" x14ac:dyDescent="0.3">
      <c r="A654" s="74" t="s">
        <v>111</v>
      </c>
      <c r="B654" s="25" t="s">
        <v>22</v>
      </c>
      <c r="C654" s="8" t="s">
        <v>25</v>
      </c>
      <c r="D654" s="7" t="s">
        <v>79</v>
      </c>
      <c r="E654" s="9" t="s">
        <v>66</v>
      </c>
      <c r="F654" s="10">
        <v>20</v>
      </c>
      <c r="G654" s="11" t="s">
        <v>29</v>
      </c>
      <c r="H654" s="7" t="s">
        <v>83</v>
      </c>
      <c r="I654" s="11" t="s">
        <v>9</v>
      </c>
      <c r="J654" s="11" t="s">
        <v>80</v>
      </c>
      <c r="K654" s="12">
        <v>8124.51</v>
      </c>
      <c r="L654" s="12">
        <f>K654</f>
        <v>8124.51</v>
      </c>
      <c r="M654" s="12">
        <v>0</v>
      </c>
      <c r="N654" s="12">
        <v>0</v>
      </c>
      <c r="O654" s="12">
        <v>2240.7039719999998</v>
      </c>
      <c r="P654" s="29">
        <v>10</v>
      </c>
    </row>
    <row r="655" spans="1:16" s="85" customFormat="1" ht="16.5" hidden="1" thickTop="1" thickBot="1" x14ac:dyDescent="0.3">
      <c r="A655" s="74" t="s">
        <v>111</v>
      </c>
      <c r="B655" s="25" t="s">
        <v>22</v>
      </c>
      <c r="C655" s="8" t="s">
        <v>25</v>
      </c>
      <c r="D655" s="7" t="s">
        <v>79</v>
      </c>
      <c r="E655" s="9" t="s">
        <v>66</v>
      </c>
      <c r="F655" s="10">
        <v>20</v>
      </c>
      <c r="G655" s="13" t="s">
        <v>31</v>
      </c>
      <c r="H655" s="7" t="s">
        <v>83</v>
      </c>
      <c r="I655" s="11" t="s">
        <v>7</v>
      </c>
      <c r="J655" s="11" t="s">
        <v>80</v>
      </c>
      <c r="K655" s="12">
        <v>19669</v>
      </c>
      <c r="L655" s="12">
        <v>19669</v>
      </c>
      <c r="M655" s="12">
        <v>0</v>
      </c>
      <c r="N655" s="12">
        <v>0</v>
      </c>
      <c r="O655" s="12">
        <v>19669</v>
      </c>
      <c r="P655" s="29">
        <v>30</v>
      </c>
    </row>
    <row r="656" spans="1:16" s="85" customFormat="1" ht="16.5" hidden="1" thickTop="1" thickBot="1" x14ac:dyDescent="0.3">
      <c r="A656" s="74" t="s">
        <v>111</v>
      </c>
      <c r="B656" s="25" t="s">
        <v>5</v>
      </c>
      <c r="C656" s="8" t="s">
        <v>25</v>
      </c>
      <c r="D656" s="7" t="s">
        <v>79</v>
      </c>
      <c r="E656" s="9" t="s">
        <v>66</v>
      </c>
      <c r="F656" s="10">
        <v>20</v>
      </c>
      <c r="G656" s="11" t="s">
        <v>32</v>
      </c>
      <c r="H656" s="7" t="s">
        <v>83</v>
      </c>
      <c r="I656" s="11" t="s">
        <v>7</v>
      </c>
      <c r="J656" s="11" t="s">
        <v>80</v>
      </c>
      <c r="K656" s="12">
        <v>21216.65</v>
      </c>
      <c r="L656" s="12">
        <v>21216.65</v>
      </c>
      <c r="M656" s="12">
        <v>0</v>
      </c>
      <c r="N656" s="12">
        <v>1008.00076721625</v>
      </c>
      <c r="O656" s="12">
        <v>20208.649232783751</v>
      </c>
      <c r="P656" s="29">
        <v>10</v>
      </c>
    </row>
    <row r="657" spans="1:16" s="85" customFormat="1" ht="16.5" hidden="1" thickTop="1" thickBot="1" x14ac:dyDescent="0.3">
      <c r="A657" s="74" t="s">
        <v>111</v>
      </c>
      <c r="B657" s="25" t="s">
        <v>5</v>
      </c>
      <c r="C657" s="8" t="s">
        <v>25</v>
      </c>
      <c r="D657" s="7" t="s">
        <v>79</v>
      </c>
      <c r="E657" s="9" t="s">
        <v>66</v>
      </c>
      <c r="F657" s="10">
        <v>20</v>
      </c>
      <c r="G657" s="11" t="s">
        <v>32</v>
      </c>
      <c r="H657" s="7" t="s">
        <v>83</v>
      </c>
      <c r="I657" s="11" t="s">
        <v>97</v>
      </c>
      <c r="J657" s="11" t="s">
        <v>80</v>
      </c>
      <c r="K657" s="12">
        <v>10578.83</v>
      </c>
      <c r="L657" s="12">
        <v>10578.83</v>
      </c>
      <c r="M657" s="12">
        <v>0</v>
      </c>
      <c r="N657" s="12">
        <v>502.66571759999999</v>
      </c>
      <c r="O657" s="12">
        <v>10076.164282399999</v>
      </c>
      <c r="P657" s="29">
        <v>10</v>
      </c>
    </row>
    <row r="658" spans="1:16" s="85" customFormat="1" ht="16.5" hidden="1" thickTop="1" thickBot="1" x14ac:dyDescent="0.3">
      <c r="A658" s="74" t="s">
        <v>111</v>
      </c>
      <c r="B658" s="25" t="s">
        <v>5</v>
      </c>
      <c r="C658" s="8" t="s">
        <v>25</v>
      </c>
      <c r="D658" s="7" t="s">
        <v>79</v>
      </c>
      <c r="E658" s="9" t="s">
        <v>66</v>
      </c>
      <c r="F658" s="10">
        <v>20</v>
      </c>
      <c r="G658" s="11" t="s">
        <v>146</v>
      </c>
      <c r="H658" s="7" t="s">
        <v>83</v>
      </c>
      <c r="I658" s="11" t="s">
        <v>145</v>
      </c>
      <c r="J658" s="11" t="s">
        <v>80</v>
      </c>
      <c r="K658" s="12">
        <v>10637.82</v>
      </c>
      <c r="L658" s="12">
        <v>10637.82</v>
      </c>
      <c r="M658" s="12">
        <v>0</v>
      </c>
      <c r="N658" s="12">
        <v>505.32979499999999</v>
      </c>
      <c r="O658" s="12">
        <v>10132.490205</v>
      </c>
      <c r="P658" s="29">
        <v>10</v>
      </c>
    </row>
    <row r="659" spans="1:16" s="85" customFormat="1" ht="16.5" hidden="1" thickTop="1" thickBot="1" x14ac:dyDescent="0.3">
      <c r="A659" s="74" t="s">
        <v>111</v>
      </c>
      <c r="B659" s="25" t="s">
        <v>5</v>
      </c>
      <c r="C659" s="8" t="s">
        <v>25</v>
      </c>
      <c r="D659" s="7" t="s">
        <v>79</v>
      </c>
      <c r="E659" s="9" t="s">
        <v>66</v>
      </c>
      <c r="F659" s="10">
        <v>20</v>
      </c>
      <c r="G659" s="11" t="s">
        <v>146</v>
      </c>
      <c r="H659" s="7" t="s">
        <v>83</v>
      </c>
      <c r="I659" s="11" t="s">
        <v>7</v>
      </c>
      <c r="J659" s="11" t="s">
        <v>80</v>
      </c>
      <c r="K659" s="12">
        <v>10048.870000000001</v>
      </c>
      <c r="L659" s="12">
        <v>10048.870000000001</v>
      </c>
      <c r="M659" s="12">
        <v>0</v>
      </c>
      <c r="N659" s="12">
        <v>481.34</v>
      </c>
      <c r="O659" s="12">
        <v>9567.5300000000007</v>
      </c>
      <c r="P659" s="29">
        <v>10</v>
      </c>
    </row>
    <row r="660" spans="1:16" s="85" customFormat="1" ht="16.5" hidden="1" thickTop="1" thickBot="1" x14ac:dyDescent="0.3">
      <c r="A660" s="74" t="s">
        <v>111</v>
      </c>
      <c r="B660" s="25" t="s">
        <v>5</v>
      </c>
      <c r="C660" s="8" t="s">
        <v>25</v>
      </c>
      <c r="D660" s="7" t="s">
        <v>79</v>
      </c>
      <c r="E660" s="9" t="s">
        <v>66</v>
      </c>
      <c r="F660" s="10">
        <v>20</v>
      </c>
      <c r="G660" s="11" t="s">
        <v>32</v>
      </c>
      <c r="H660" s="7" t="s">
        <v>83</v>
      </c>
      <c r="I660" s="11" t="s">
        <v>98</v>
      </c>
      <c r="J660" s="11" t="s">
        <v>80</v>
      </c>
      <c r="K660" s="12">
        <v>14293.174999999999</v>
      </c>
      <c r="L660" s="12">
        <v>14293.174999999999</v>
      </c>
      <c r="M660" s="12">
        <v>0</v>
      </c>
      <c r="N660" s="12">
        <v>646.75</v>
      </c>
      <c r="O660" s="12">
        <v>13646.424999999999</v>
      </c>
      <c r="P660" s="29">
        <v>10</v>
      </c>
    </row>
    <row r="661" spans="1:16" s="85" customFormat="1" ht="16.5" hidden="1" thickTop="1" thickBot="1" x14ac:dyDescent="0.3">
      <c r="A661" s="74" t="s">
        <v>111</v>
      </c>
      <c r="B661" s="25" t="s">
        <v>10</v>
      </c>
      <c r="C661" s="8" t="s">
        <v>25</v>
      </c>
      <c r="D661" s="7" t="s">
        <v>79</v>
      </c>
      <c r="E661" s="9" t="s">
        <v>66</v>
      </c>
      <c r="F661" s="10">
        <v>20</v>
      </c>
      <c r="G661" s="11" t="s">
        <v>32</v>
      </c>
      <c r="H661" s="7" t="s">
        <v>83</v>
      </c>
      <c r="I661" s="11" t="s">
        <v>96</v>
      </c>
      <c r="J661" s="11" t="s">
        <v>80</v>
      </c>
      <c r="K661" s="12">
        <v>2000</v>
      </c>
      <c r="L661" s="12">
        <v>2000</v>
      </c>
      <c r="M661" s="12">
        <v>0</v>
      </c>
      <c r="N661" s="12">
        <v>0</v>
      </c>
      <c r="O661" s="12">
        <v>2000</v>
      </c>
      <c r="P661" s="29">
        <v>10</v>
      </c>
    </row>
    <row r="662" spans="1:16" s="85" customFormat="1" ht="16.5" hidden="1" thickTop="1" thickBot="1" x14ac:dyDescent="0.3">
      <c r="A662" s="74" t="s">
        <v>111</v>
      </c>
      <c r="B662" s="25" t="s">
        <v>11</v>
      </c>
      <c r="C662" s="8" t="s">
        <v>25</v>
      </c>
      <c r="D662" s="7" t="s">
        <v>79</v>
      </c>
      <c r="E662" s="9" t="s">
        <v>66</v>
      </c>
      <c r="F662" s="10">
        <v>15</v>
      </c>
      <c r="G662" s="11" t="s">
        <v>33</v>
      </c>
      <c r="H662" s="7" t="s">
        <v>83</v>
      </c>
      <c r="I662" s="11" t="s">
        <v>7</v>
      </c>
      <c r="J662" s="11" t="s">
        <v>80</v>
      </c>
      <c r="K662" s="12">
        <v>22528.080000000002</v>
      </c>
      <c r="L662" s="12">
        <f>K662</f>
        <v>22528.080000000002</v>
      </c>
      <c r="M662" s="12">
        <v>0</v>
      </c>
      <c r="N662" s="12">
        <f>L662*14%</f>
        <v>3153.9312000000004</v>
      </c>
      <c r="O662" s="12">
        <v>18925.236875999999</v>
      </c>
      <c r="P662" s="29">
        <v>30</v>
      </c>
    </row>
    <row r="663" spans="1:16" s="85" customFormat="1" ht="16.5" hidden="1" thickTop="1" thickBot="1" x14ac:dyDescent="0.3">
      <c r="A663" s="74" t="s">
        <v>111</v>
      </c>
      <c r="B663" s="25" t="s">
        <v>22</v>
      </c>
      <c r="C663" s="8" t="s">
        <v>25</v>
      </c>
      <c r="D663" s="7" t="s">
        <v>79</v>
      </c>
      <c r="E663" s="9" t="s">
        <v>66</v>
      </c>
      <c r="F663" s="10">
        <v>15</v>
      </c>
      <c r="G663" s="11" t="s">
        <v>120</v>
      </c>
      <c r="H663" s="7" t="s">
        <v>83</v>
      </c>
      <c r="I663" s="11" t="s">
        <v>9</v>
      </c>
      <c r="J663" s="11" t="s">
        <v>80</v>
      </c>
      <c r="K663" s="12">
        <v>4285.72</v>
      </c>
      <c r="L663" s="12">
        <v>4286.7038499999999</v>
      </c>
      <c r="M663" s="12">
        <v>0</v>
      </c>
      <c r="N663" s="12">
        <v>0</v>
      </c>
      <c r="O663" s="12">
        <v>4286.7038499999999</v>
      </c>
      <c r="P663" s="29">
        <v>30</v>
      </c>
    </row>
    <row r="664" spans="1:16" s="85" customFormat="1" ht="16.5" hidden="1" thickTop="1" thickBot="1" x14ac:dyDescent="0.3">
      <c r="A664" s="74" t="s">
        <v>111</v>
      </c>
      <c r="B664" s="25" t="s">
        <v>22</v>
      </c>
      <c r="C664" s="8" t="s">
        <v>25</v>
      </c>
      <c r="D664" s="7" t="s">
        <v>79</v>
      </c>
      <c r="E664" s="9" t="s">
        <v>66</v>
      </c>
      <c r="F664" s="10">
        <v>15</v>
      </c>
      <c r="G664" s="11" t="s">
        <v>33</v>
      </c>
      <c r="H664" s="7" t="s">
        <v>83</v>
      </c>
      <c r="I664" s="11" t="s">
        <v>9</v>
      </c>
      <c r="J664" s="11" t="s">
        <v>80</v>
      </c>
      <c r="K664" s="12">
        <v>8571.4500000000007</v>
      </c>
      <c r="L664" s="12">
        <v>8573.4076999999997</v>
      </c>
      <c r="M664" s="12">
        <v>0</v>
      </c>
      <c r="N664" s="12">
        <v>0</v>
      </c>
      <c r="O664" s="12">
        <v>8573.4076999999997</v>
      </c>
      <c r="P664" s="29">
        <v>30</v>
      </c>
    </row>
    <row r="665" spans="1:16" s="85" customFormat="1" ht="16.5" hidden="1" thickTop="1" thickBot="1" x14ac:dyDescent="0.3">
      <c r="A665" s="74" t="s">
        <v>111</v>
      </c>
      <c r="B665" s="25" t="s">
        <v>22</v>
      </c>
      <c r="C665" s="8" t="s">
        <v>60</v>
      </c>
      <c r="D665" s="7" t="s">
        <v>79</v>
      </c>
      <c r="E665" s="9" t="s">
        <v>66</v>
      </c>
      <c r="F665" s="10">
        <v>1</v>
      </c>
      <c r="G665" s="11" t="s">
        <v>34</v>
      </c>
      <c r="H665" s="7" t="s">
        <v>87</v>
      </c>
      <c r="I665" s="11" t="s">
        <v>20</v>
      </c>
      <c r="J665" s="11" t="s">
        <v>105</v>
      </c>
      <c r="K665" s="12">
        <v>40851.191603430001</v>
      </c>
      <c r="L665" s="12">
        <f>K665*60%</f>
        <v>24510.714962057998</v>
      </c>
      <c r="M665" s="12">
        <f>K665*40%</f>
        <v>16340.476641372001</v>
      </c>
      <c r="N665" s="12">
        <v>0</v>
      </c>
      <c r="O665" s="12">
        <v>40851.191603430001</v>
      </c>
      <c r="P665" s="29">
        <v>30</v>
      </c>
    </row>
    <row r="666" spans="1:16" s="85" customFormat="1" ht="16.5" hidden="1" thickTop="1" thickBot="1" x14ac:dyDescent="0.3">
      <c r="A666" s="74" t="s">
        <v>111</v>
      </c>
      <c r="B666" s="25" t="s">
        <v>22</v>
      </c>
      <c r="C666" s="8" t="s">
        <v>60</v>
      </c>
      <c r="D666" s="7" t="s">
        <v>79</v>
      </c>
      <c r="E666" s="9" t="s">
        <v>66</v>
      </c>
      <c r="F666" s="10">
        <v>1</v>
      </c>
      <c r="G666" s="11" t="s">
        <v>34</v>
      </c>
      <c r="H666" s="7" t="s">
        <v>87</v>
      </c>
      <c r="I666" s="11" t="s">
        <v>9</v>
      </c>
      <c r="J666" s="11" t="s">
        <v>105</v>
      </c>
      <c r="K666" s="146">
        <v>32314.78</v>
      </c>
      <c r="L666" s="12">
        <f t="shared" ref="L666:L672" si="40">K666*60%</f>
        <v>19388.867999999999</v>
      </c>
      <c r="M666" s="12">
        <f t="shared" ref="M666:M672" si="41">K666*40%</f>
        <v>12925.912</v>
      </c>
      <c r="N666" s="12">
        <v>0</v>
      </c>
      <c r="O666" s="12">
        <f>L666+M666</f>
        <v>32314.78</v>
      </c>
      <c r="P666" s="29">
        <v>30</v>
      </c>
    </row>
    <row r="667" spans="1:16" s="85" customFormat="1" ht="16.5" hidden="1" thickTop="1" thickBot="1" x14ac:dyDescent="0.3">
      <c r="A667" s="74" t="s">
        <v>111</v>
      </c>
      <c r="B667" s="25" t="s">
        <v>22</v>
      </c>
      <c r="C667" s="8" t="s">
        <v>60</v>
      </c>
      <c r="D667" s="7" t="s">
        <v>79</v>
      </c>
      <c r="E667" s="9" t="s">
        <v>66</v>
      </c>
      <c r="F667" s="10">
        <v>1</v>
      </c>
      <c r="G667" s="11" t="s">
        <v>35</v>
      </c>
      <c r="H667" s="7" t="s">
        <v>83</v>
      </c>
      <c r="I667" s="11" t="s">
        <v>9</v>
      </c>
      <c r="J667" s="11" t="s">
        <v>105</v>
      </c>
      <c r="K667" s="146">
        <v>23105.040000000001</v>
      </c>
      <c r="L667" s="12">
        <f t="shared" si="40"/>
        <v>13863.023999999999</v>
      </c>
      <c r="M667" s="12">
        <f t="shared" si="41"/>
        <v>9242.0160000000014</v>
      </c>
      <c r="N667" s="12">
        <v>0</v>
      </c>
      <c r="O667" s="12">
        <f>L667+M667</f>
        <v>23105.040000000001</v>
      </c>
      <c r="P667" s="29">
        <v>30</v>
      </c>
    </row>
    <row r="668" spans="1:16" s="85" customFormat="1" ht="15.75" hidden="1" customHeight="1" thickTop="1" thickBot="1" x14ac:dyDescent="0.3">
      <c r="A668" s="74" t="s">
        <v>111</v>
      </c>
      <c r="B668" s="25" t="s">
        <v>22</v>
      </c>
      <c r="C668" s="8" t="s">
        <v>60</v>
      </c>
      <c r="D668" s="7" t="s">
        <v>79</v>
      </c>
      <c r="E668" s="9" t="s">
        <v>66</v>
      </c>
      <c r="F668" s="10">
        <v>1</v>
      </c>
      <c r="G668" s="11" t="s">
        <v>36</v>
      </c>
      <c r="H668" s="7" t="s">
        <v>89</v>
      </c>
      <c r="I668" s="11" t="s">
        <v>20</v>
      </c>
      <c r="J668" s="11" t="s">
        <v>105</v>
      </c>
      <c r="K668" s="12">
        <v>40851.191603430001</v>
      </c>
      <c r="L668" s="12">
        <f t="shared" si="40"/>
        <v>24510.714962057998</v>
      </c>
      <c r="M668" s="12">
        <f t="shared" si="41"/>
        <v>16340.476641372001</v>
      </c>
      <c r="N668" s="12">
        <v>0</v>
      </c>
      <c r="O668" s="12">
        <v>40851.191603430001</v>
      </c>
      <c r="P668" s="29">
        <v>30</v>
      </c>
    </row>
    <row r="669" spans="1:16" s="85" customFormat="1" ht="16.5" hidden="1" thickTop="1" thickBot="1" x14ac:dyDescent="0.3">
      <c r="A669" s="74" t="s">
        <v>111</v>
      </c>
      <c r="B669" s="25" t="s">
        <v>22</v>
      </c>
      <c r="C669" s="8" t="s">
        <v>60</v>
      </c>
      <c r="D669" s="7" t="s">
        <v>79</v>
      </c>
      <c r="E669" s="9" t="s">
        <v>66</v>
      </c>
      <c r="F669" s="10">
        <v>1</v>
      </c>
      <c r="G669" s="11" t="s">
        <v>36</v>
      </c>
      <c r="H669" s="7" t="s">
        <v>89</v>
      </c>
      <c r="I669" s="11" t="s">
        <v>9</v>
      </c>
      <c r="J669" s="11" t="s">
        <v>105</v>
      </c>
      <c r="K669" s="146">
        <v>32314.78</v>
      </c>
      <c r="L669" s="12">
        <f t="shared" si="40"/>
        <v>19388.867999999999</v>
      </c>
      <c r="M669" s="12">
        <f t="shared" si="41"/>
        <v>12925.912</v>
      </c>
      <c r="N669" s="12">
        <v>0</v>
      </c>
      <c r="O669" s="12">
        <f>L669+M669</f>
        <v>32314.78</v>
      </c>
      <c r="P669" s="29">
        <v>30</v>
      </c>
    </row>
    <row r="670" spans="1:16" s="85" customFormat="1" ht="16.5" hidden="1" thickTop="1" thickBot="1" x14ac:dyDescent="0.3">
      <c r="A670" s="74" t="s">
        <v>111</v>
      </c>
      <c r="B670" s="25" t="s">
        <v>22</v>
      </c>
      <c r="C670" s="8" t="s">
        <v>60</v>
      </c>
      <c r="D670" s="7" t="s">
        <v>79</v>
      </c>
      <c r="E670" s="9" t="s">
        <v>66</v>
      </c>
      <c r="F670" s="10">
        <v>1</v>
      </c>
      <c r="G670" s="11" t="s">
        <v>37</v>
      </c>
      <c r="H670" s="7" t="s">
        <v>85</v>
      </c>
      <c r="I670" s="11" t="s">
        <v>9</v>
      </c>
      <c r="J670" s="11" t="s">
        <v>105</v>
      </c>
      <c r="K670" s="146">
        <v>13863.02</v>
      </c>
      <c r="L670" s="12">
        <f t="shared" si="40"/>
        <v>8317.8119999999999</v>
      </c>
      <c r="M670" s="12">
        <f t="shared" si="41"/>
        <v>5545.2080000000005</v>
      </c>
      <c r="N670" s="12">
        <v>0</v>
      </c>
      <c r="O670" s="12">
        <f>L670+M670</f>
        <v>13863.02</v>
      </c>
      <c r="P670" s="29">
        <v>30</v>
      </c>
    </row>
    <row r="671" spans="1:16" s="85" customFormat="1" ht="16.5" hidden="1" thickTop="1" thickBot="1" x14ac:dyDescent="0.3">
      <c r="A671" s="74" t="s">
        <v>111</v>
      </c>
      <c r="B671" s="25" t="s">
        <v>22</v>
      </c>
      <c r="C671" s="8" t="s">
        <v>60</v>
      </c>
      <c r="D671" s="7" t="s">
        <v>79</v>
      </c>
      <c r="E671" s="9" t="s">
        <v>66</v>
      </c>
      <c r="F671" s="10">
        <v>1</v>
      </c>
      <c r="G671" s="11" t="s">
        <v>93</v>
      </c>
      <c r="H671" s="7" t="s">
        <v>85</v>
      </c>
      <c r="I671" s="11" t="s">
        <v>9</v>
      </c>
      <c r="J671" s="11" t="s">
        <v>105</v>
      </c>
      <c r="K671" s="146">
        <v>18484.02</v>
      </c>
      <c r="L671" s="12">
        <f t="shared" si="40"/>
        <v>11090.412</v>
      </c>
      <c r="M671" s="12">
        <f t="shared" si="41"/>
        <v>7393.6080000000002</v>
      </c>
      <c r="N671" s="12">
        <v>0</v>
      </c>
      <c r="O671" s="12">
        <f>L671+M671</f>
        <v>18484.02</v>
      </c>
      <c r="P671" s="29">
        <v>30</v>
      </c>
    </row>
    <row r="672" spans="1:16" s="85" customFormat="1" ht="16.5" hidden="1" thickTop="1" thickBot="1" x14ac:dyDescent="0.3">
      <c r="A672" s="74" t="s">
        <v>111</v>
      </c>
      <c r="B672" s="25" t="s">
        <v>22</v>
      </c>
      <c r="C672" s="8" t="s">
        <v>60</v>
      </c>
      <c r="D672" s="7" t="s">
        <v>79</v>
      </c>
      <c r="E672" s="9" t="s">
        <v>66</v>
      </c>
      <c r="F672" s="10">
        <v>1</v>
      </c>
      <c r="G672" s="11" t="s">
        <v>38</v>
      </c>
      <c r="H672" s="7" t="s">
        <v>85</v>
      </c>
      <c r="I672" s="11" t="s">
        <v>9</v>
      </c>
      <c r="J672" s="11" t="s">
        <v>105</v>
      </c>
      <c r="K672" s="145">
        <v>13863.02</v>
      </c>
      <c r="L672" s="12">
        <f t="shared" si="40"/>
        <v>8317.8119999999999</v>
      </c>
      <c r="M672" s="12">
        <f t="shared" si="41"/>
        <v>5545.2080000000005</v>
      </c>
      <c r="N672" s="12">
        <v>0</v>
      </c>
      <c r="O672" s="12">
        <f>L672+M672</f>
        <v>13863.02</v>
      </c>
      <c r="P672" s="29">
        <v>30</v>
      </c>
    </row>
    <row r="673" spans="1:16" s="85" customFormat="1" ht="16.5" hidden="1" thickTop="1" thickBot="1" x14ac:dyDescent="0.3">
      <c r="A673" s="74" t="s">
        <v>111</v>
      </c>
      <c r="B673" s="25" t="s">
        <v>11</v>
      </c>
      <c r="C673" s="8" t="s">
        <v>60</v>
      </c>
      <c r="D673" s="7" t="s">
        <v>79</v>
      </c>
      <c r="E673" s="9" t="s">
        <v>66</v>
      </c>
      <c r="F673" s="10">
        <v>20</v>
      </c>
      <c r="G673" s="11" t="s">
        <v>119</v>
      </c>
      <c r="H673" s="7" t="s">
        <v>85</v>
      </c>
      <c r="I673" s="11" t="s">
        <v>7</v>
      </c>
      <c r="J673" s="11" t="s">
        <v>103</v>
      </c>
      <c r="K673" s="12">
        <v>19006</v>
      </c>
      <c r="L673" s="12">
        <v>19006</v>
      </c>
      <c r="M673" s="12">
        <v>0</v>
      </c>
      <c r="N673" s="12">
        <f>L673*14%</f>
        <v>2660.84</v>
      </c>
      <c r="O673" s="12">
        <v>15965.04</v>
      </c>
      <c r="P673" s="29">
        <v>20</v>
      </c>
    </row>
    <row r="674" spans="1:16" s="85" customFormat="1" ht="16.5" hidden="1" thickTop="1" thickBot="1" x14ac:dyDescent="0.3">
      <c r="A674" s="74" t="s">
        <v>111</v>
      </c>
      <c r="B674" s="25" t="s">
        <v>13</v>
      </c>
      <c r="C674" s="8" t="s">
        <v>60</v>
      </c>
      <c r="D674" s="7" t="s">
        <v>79</v>
      </c>
      <c r="E674" s="9" t="s">
        <v>66</v>
      </c>
      <c r="F674" s="10">
        <v>20</v>
      </c>
      <c r="G674" s="11" t="s">
        <v>119</v>
      </c>
      <c r="H674" s="7" t="s">
        <v>85</v>
      </c>
      <c r="I674" s="11" t="s">
        <v>9</v>
      </c>
      <c r="J674" s="11" t="s">
        <v>103</v>
      </c>
      <c r="K674" s="12">
        <v>8619</v>
      </c>
      <c r="L674" s="12">
        <v>8619</v>
      </c>
      <c r="M674" s="12">
        <v>0</v>
      </c>
      <c r="N674" s="12">
        <f>L674*16%</f>
        <v>1379.04</v>
      </c>
      <c r="O674" s="12">
        <v>7239.96</v>
      </c>
      <c r="P674" s="29">
        <v>20</v>
      </c>
    </row>
    <row r="675" spans="1:16" s="85" customFormat="1" ht="16.5" hidden="1" thickTop="1" thickBot="1" x14ac:dyDescent="0.3">
      <c r="A675" s="74" t="s">
        <v>111</v>
      </c>
      <c r="B675" s="25" t="s">
        <v>10</v>
      </c>
      <c r="C675" s="8" t="s">
        <v>60</v>
      </c>
      <c r="D675" s="7" t="s">
        <v>79</v>
      </c>
      <c r="E675" s="9" t="s">
        <v>66</v>
      </c>
      <c r="F675" s="10">
        <v>20</v>
      </c>
      <c r="G675" s="11" t="s">
        <v>119</v>
      </c>
      <c r="H675" s="7" t="s">
        <v>85</v>
      </c>
      <c r="I675" s="11" t="s">
        <v>96</v>
      </c>
      <c r="J675" s="11" t="s">
        <v>103</v>
      </c>
      <c r="K675" s="12">
        <v>1785.7</v>
      </c>
      <c r="L675" s="12">
        <v>1785.7</v>
      </c>
      <c r="M675" s="12">
        <v>0</v>
      </c>
      <c r="N675" s="12">
        <v>0</v>
      </c>
      <c r="O675" s="12">
        <v>1785.7</v>
      </c>
      <c r="P675" s="29">
        <v>20</v>
      </c>
    </row>
    <row r="676" spans="1:16" s="85" customFormat="1" ht="16.5" hidden="1" thickTop="1" thickBot="1" x14ac:dyDescent="0.3">
      <c r="A676" s="74" t="s">
        <v>111</v>
      </c>
      <c r="B676" s="25" t="s">
        <v>11</v>
      </c>
      <c r="C676" s="8" t="s">
        <v>60</v>
      </c>
      <c r="D676" s="7" t="s">
        <v>79</v>
      </c>
      <c r="E676" s="9" t="s">
        <v>71</v>
      </c>
      <c r="F676" s="10">
        <v>20</v>
      </c>
      <c r="G676" s="11" t="s">
        <v>94</v>
      </c>
      <c r="H676" s="7" t="s">
        <v>86</v>
      </c>
      <c r="I676" s="11" t="s">
        <v>15</v>
      </c>
      <c r="J676" s="11" t="s">
        <v>103</v>
      </c>
      <c r="K676" s="12">
        <v>7270.9</v>
      </c>
      <c r="L676" s="12">
        <f>K676</f>
        <v>7270.9</v>
      </c>
      <c r="M676" s="12">
        <v>0</v>
      </c>
      <c r="N676" s="12">
        <v>0</v>
      </c>
      <c r="O676" s="12">
        <v>1785.7</v>
      </c>
      <c r="P676" s="29">
        <v>20</v>
      </c>
    </row>
    <row r="677" spans="1:16" s="85" customFormat="1" ht="16.5" hidden="1" thickTop="1" thickBot="1" x14ac:dyDescent="0.3">
      <c r="A677" s="74" t="s">
        <v>111</v>
      </c>
      <c r="B677" s="25" t="s">
        <v>11</v>
      </c>
      <c r="C677" s="8" t="s">
        <v>60</v>
      </c>
      <c r="D677" s="7" t="s">
        <v>79</v>
      </c>
      <c r="E677" s="9" t="s">
        <v>66</v>
      </c>
      <c r="F677" s="10">
        <v>20</v>
      </c>
      <c r="G677" s="11" t="s">
        <v>94</v>
      </c>
      <c r="H677" s="7" t="s">
        <v>86</v>
      </c>
      <c r="I677" s="11" t="s">
        <v>7</v>
      </c>
      <c r="J677" s="11" t="s">
        <v>103</v>
      </c>
      <c r="K677" s="12">
        <v>27367.535</v>
      </c>
      <c r="L677" s="12">
        <v>27367.535</v>
      </c>
      <c r="M677" s="12">
        <v>0</v>
      </c>
      <c r="N677" s="12">
        <f>L677*14%</f>
        <v>3831.4549000000002</v>
      </c>
      <c r="O677" s="12">
        <v>22988.7294</v>
      </c>
      <c r="P677" s="29">
        <v>20</v>
      </c>
    </row>
    <row r="678" spans="1:16" s="85" customFormat="1" ht="16.5" hidden="1" thickTop="1" thickBot="1" x14ac:dyDescent="0.3">
      <c r="A678" s="74" t="s">
        <v>111</v>
      </c>
      <c r="B678" s="25" t="s">
        <v>22</v>
      </c>
      <c r="C678" s="8" t="s">
        <v>61</v>
      </c>
      <c r="D678" s="7" t="s">
        <v>79</v>
      </c>
      <c r="E678" s="9" t="s">
        <v>66</v>
      </c>
      <c r="F678" s="10">
        <v>20</v>
      </c>
      <c r="G678" s="13" t="s">
        <v>39</v>
      </c>
      <c r="H678" s="7" t="s">
        <v>83</v>
      </c>
      <c r="I678" s="11" t="s">
        <v>7</v>
      </c>
      <c r="J678" s="11" t="s">
        <v>80</v>
      </c>
      <c r="K678" s="12">
        <v>20673.5597797423</v>
      </c>
      <c r="L678" s="12">
        <v>12404.13586784538</v>
      </c>
      <c r="M678" s="12">
        <v>8269.4239118969199</v>
      </c>
      <c r="N678" s="12">
        <v>0</v>
      </c>
      <c r="O678" s="12">
        <v>20673.5597797423</v>
      </c>
      <c r="P678" s="29">
        <v>17</v>
      </c>
    </row>
    <row r="679" spans="1:16" s="85" customFormat="1" ht="16.5" hidden="1" thickTop="1" thickBot="1" x14ac:dyDescent="0.3">
      <c r="A679" s="74" t="s">
        <v>111</v>
      </c>
      <c r="B679" s="25" t="s">
        <v>11</v>
      </c>
      <c r="C679" s="8" t="s">
        <v>61</v>
      </c>
      <c r="D679" s="7" t="s">
        <v>79</v>
      </c>
      <c r="E679" s="9" t="s">
        <v>66</v>
      </c>
      <c r="F679" s="10">
        <v>20</v>
      </c>
      <c r="G679" s="13" t="s">
        <v>40</v>
      </c>
      <c r="H679" s="7" t="s">
        <v>83</v>
      </c>
      <c r="I679" s="14" t="s">
        <v>30</v>
      </c>
      <c r="J679" s="14" t="s">
        <v>107</v>
      </c>
      <c r="K679" s="12">
        <v>230</v>
      </c>
      <c r="L679" s="12">
        <v>230</v>
      </c>
      <c r="M679" s="12">
        <v>0</v>
      </c>
      <c r="N679" s="12">
        <v>10</v>
      </c>
      <c r="O679" s="12">
        <v>190</v>
      </c>
      <c r="P679" s="29">
        <v>10</v>
      </c>
    </row>
    <row r="680" spans="1:16" s="85" customFormat="1" ht="16.5" hidden="1" thickTop="1" thickBot="1" x14ac:dyDescent="0.3">
      <c r="A680" s="74" t="s">
        <v>111</v>
      </c>
      <c r="B680" s="25" t="s">
        <v>11</v>
      </c>
      <c r="C680" s="8" t="s">
        <v>61</v>
      </c>
      <c r="D680" s="7" t="s">
        <v>79</v>
      </c>
      <c r="E680" s="9" t="s">
        <v>66</v>
      </c>
      <c r="F680" s="10">
        <v>20</v>
      </c>
      <c r="G680" s="13" t="s">
        <v>41</v>
      </c>
      <c r="H680" s="7" t="s">
        <v>83</v>
      </c>
      <c r="I680" s="14" t="s">
        <v>30</v>
      </c>
      <c r="J680" s="11" t="s">
        <v>80</v>
      </c>
      <c r="K680" s="12">
        <v>630</v>
      </c>
      <c r="L680" s="12">
        <v>630</v>
      </c>
      <c r="M680" s="12">
        <v>0</v>
      </c>
      <c r="N680" s="12">
        <v>30</v>
      </c>
      <c r="O680" s="12">
        <v>570</v>
      </c>
      <c r="P680" s="29">
        <v>25</v>
      </c>
    </row>
    <row r="681" spans="1:16" s="85" customFormat="1" ht="16.5" hidden="1" thickTop="1" thickBot="1" x14ac:dyDescent="0.3">
      <c r="A681" s="74" t="s">
        <v>111</v>
      </c>
      <c r="B681" s="25" t="s">
        <v>22</v>
      </c>
      <c r="C681" s="8" t="s">
        <v>61</v>
      </c>
      <c r="D681" s="7" t="s">
        <v>79</v>
      </c>
      <c r="E681" s="9" t="s">
        <v>66</v>
      </c>
      <c r="F681" s="10">
        <v>20</v>
      </c>
      <c r="G681" s="13" t="s">
        <v>92</v>
      </c>
      <c r="H681" s="7" t="s">
        <v>83</v>
      </c>
      <c r="I681" s="11" t="s">
        <v>9</v>
      </c>
      <c r="J681" s="11" t="s">
        <v>80</v>
      </c>
      <c r="K681" s="12">
        <v>5071.55</v>
      </c>
      <c r="L681" s="12">
        <v>5071.55</v>
      </c>
      <c r="M681" s="12">
        <v>0</v>
      </c>
      <c r="N681" s="12">
        <v>0</v>
      </c>
      <c r="O681" s="12">
        <v>5071.55</v>
      </c>
      <c r="P681" s="29">
        <v>15</v>
      </c>
    </row>
    <row r="682" spans="1:16" s="85" customFormat="1" ht="16.5" hidden="1" thickTop="1" thickBot="1" x14ac:dyDescent="0.3">
      <c r="A682" s="74" t="s">
        <v>111</v>
      </c>
      <c r="B682" s="25" t="s">
        <v>22</v>
      </c>
      <c r="C682" s="8" t="s">
        <v>61</v>
      </c>
      <c r="D682" s="7" t="s">
        <v>79</v>
      </c>
      <c r="E682" s="9" t="s">
        <v>66</v>
      </c>
      <c r="F682" s="10">
        <v>1</v>
      </c>
      <c r="G682" s="11" t="s">
        <v>45</v>
      </c>
      <c r="H682" s="7" t="s">
        <v>91</v>
      </c>
      <c r="I682" s="11" t="s">
        <v>20</v>
      </c>
      <c r="J682" s="11" t="s">
        <v>105</v>
      </c>
      <c r="K682" s="12">
        <v>40617.404573265005</v>
      </c>
      <c r="L682" s="12">
        <f t="shared" ref="L682:L691" si="42">K682*60%</f>
        <v>24370.442743959004</v>
      </c>
      <c r="M682" s="12">
        <f t="shared" ref="M682:M691" si="43">K682*40%</f>
        <v>16246.961829306003</v>
      </c>
      <c r="N682" s="12"/>
      <c r="O682" s="12">
        <v>38779.512963615001</v>
      </c>
      <c r="P682" s="29">
        <v>30</v>
      </c>
    </row>
    <row r="683" spans="1:16" s="85" customFormat="1" ht="16.5" hidden="1" thickTop="1" thickBot="1" x14ac:dyDescent="0.3">
      <c r="A683" s="74" t="s">
        <v>111</v>
      </c>
      <c r="B683" s="25" t="s">
        <v>22</v>
      </c>
      <c r="C683" s="8" t="s">
        <v>61</v>
      </c>
      <c r="D683" s="7" t="s">
        <v>79</v>
      </c>
      <c r="E683" s="9" t="s">
        <v>66</v>
      </c>
      <c r="F683" s="10">
        <v>1</v>
      </c>
      <c r="G683" s="11" t="s">
        <v>132</v>
      </c>
      <c r="H683" s="7" t="s">
        <v>88</v>
      </c>
      <c r="I683" s="11" t="s">
        <v>9</v>
      </c>
      <c r="J683" s="11" t="s">
        <v>105</v>
      </c>
      <c r="K683" s="146">
        <v>32347.05</v>
      </c>
      <c r="L683" s="12">
        <f t="shared" si="42"/>
        <v>19408.23</v>
      </c>
      <c r="M683" s="12">
        <f t="shared" si="43"/>
        <v>12938.82</v>
      </c>
      <c r="N683" s="12">
        <v>0</v>
      </c>
      <c r="O683" s="12">
        <f>L683+M683</f>
        <v>32347.05</v>
      </c>
      <c r="P683" s="29">
        <v>30</v>
      </c>
    </row>
    <row r="684" spans="1:16" s="85" customFormat="1" ht="16.5" hidden="1" thickTop="1" thickBot="1" x14ac:dyDescent="0.3">
      <c r="A684" s="74" t="s">
        <v>111</v>
      </c>
      <c r="B684" s="25" t="s">
        <v>22</v>
      </c>
      <c r="C684" s="8" t="s">
        <v>61</v>
      </c>
      <c r="D684" s="7" t="s">
        <v>79</v>
      </c>
      <c r="E684" s="9" t="s">
        <v>66</v>
      </c>
      <c r="F684" s="10">
        <v>1</v>
      </c>
      <c r="G684" s="11" t="s">
        <v>129</v>
      </c>
      <c r="H684" s="7" t="s">
        <v>85</v>
      </c>
      <c r="I684" s="11" t="s">
        <v>9</v>
      </c>
      <c r="J684" s="11" t="s">
        <v>105</v>
      </c>
      <c r="K684" s="146">
        <v>27726.03</v>
      </c>
      <c r="L684" s="12">
        <f t="shared" si="42"/>
        <v>16635.617999999999</v>
      </c>
      <c r="M684" s="12">
        <f t="shared" si="43"/>
        <v>11090.412</v>
      </c>
      <c r="N684" s="12">
        <v>0</v>
      </c>
      <c r="O684" s="12">
        <f>L684+M684</f>
        <v>27726.03</v>
      </c>
      <c r="P684" s="29">
        <v>30</v>
      </c>
    </row>
    <row r="685" spans="1:16" s="85" customFormat="1" ht="16.5" hidden="1" thickTop="1" thickBot="1" x14ac:dyDescent="0.3">
      <c r="A685" s="74" t="s">
        <v>111</v>
      </c>
      <c r="B685" s="25" t="s">
        <v>22</v>
      </c>
      <c r="C685" s="8" t="s">
        <v>61</v>
      </c>
      <c r="D685" s="7" t="s">
        <v>79</v>
      </c>
      <c r="E685" s="9" t="s">
        <v>66</v>
      </c>
      <c r="F685" s="10">
        <v>1</v>
      </c>
      <c r="G685" s="11" t="s">
        <v>45</v>
      </c>
      <c r="H685" s="7" t="s">
        <v>91</v>
      </c>
      <c r="I685" s="11" t="s">
        <v>9</v>
      </c>
      <c r="J685" s="11" t="s">
        <v>105</v>
      </c>
      <c r="K685" s="146">
        <v>27726.04</v>
      </c>
      <c r="L685" s="12">
        <f t="shared" si="42"/>
        <v>16635.624</v>
      </c>
      <c r="M685" s="12">
        <f t="shared" si="43"/>
        <v>11090.416000000001</v>
      </c>
      <c r="N685" s="12">
        <v>0</v>
      </c>
      <c r="O685" s="12">
        <f>L685+M685</f>
        <v>27726.04</v>
      </c>
      <c r="P685" s="29">
        <v>30</v>
      </c>
    </row>
    <row r="686" spans="1:16" s="85" customFormat="1" ht="16.5" hidden="1" thickTop="1" thickBot="1" x14ac:dyDescent="0.3">
      <c r="A686" s="74" t="s">
        <v>111</v>
      </c>
      <c r="B686" s="25" t="s">
        <v>22</v>
      </c>
      <c r="C686" s="8" t="s">
        <v>61</v>
      </c>
      <c r="D686" s="7" t="s">
        <v>79</v>
      </c>
      <c r="E686" s="9" t="s">
        <v>66</v>
      </c>
      <c r="F686" s="10">
        <v>1</v>
      </c>
      <c r="G686" s="11" t="s">
        <v>46</v>
      </c>
      <c r="H686" s="7" t="s">
        <v>85</v>
      </c>
      <c r="I686" s="11" t="s">
        <v>20</v>
      </c>
      <c r="J686" s="11" t="s">
        <v>105</v>
      </c>
      <c r="K686" s="12">
        <v>58492.355406029994</v>
      </c>
      <c r="L686" s="12">
        <f t="shared" si="42"/>
        <v>35095.413243617993</v>
      </c>
      <c r="M686" s="12">
        <f t="shared" si="43"/>
        <v>23396.942162412</v>
      </c>
      <c r="N686" s="12">
        <v>0</v>
      </c>
      <c r="O686" s="12">
        <v>58492.355406029994</v>
      </c>
      <c r="P686" s="29">
        <v>30</v>
      </c>
    </row>
    <row r="687" spans="1:16" s="85" customFormat="1" ht="16.5" hidden="1" thickTop="1" thickBot="1" x14ac:dyDescent="0.3">
      <c r="A687" s="74" t="s">
        <v>111</v>
      </c>
      <c r="B687" s="25" t="s">
        <v>22</v>
      </c>
      <c r="C687" s="8" t="s">
        <v>61</v>
      </c>
      <c r="D687" s="7" t="s">
        <v>79</v>
      </c>
      <c r="E687" s="9" t="s">
        <v>66</v>
      </c>
      <c r="F687" s="10">
        <v>1</v>
      </c>
      <c r="G687" s="11" t="s">
        <v>46</v>
      </c>
      <c r="H687" s="7" t="s">
        <v>85</v>
      </c>
      <c r="I687" s="11" t="s">
        <v>98</v>
      </c>
      <c r="J687" s="11" t="s">
        <v>105</v>
      </c>
      <c r="K687" s="12">
        <v>3457.8765000000003</v>
      </c>
      <c r="L687" s="12">
        <f t="shared" si="42"/>
        <v>2074.7258999999999</v>
      </c>
      <c r="M687" s="12">
        <f t="shared" si="43"/>
        <v>1383.1506000000002</v>
      </c>
      <c r="N687" s="12">
        <v>0</v>
      </c>
      <c r="O687" s="12">
        <v>3457.8765000000003</v>
      </c>
      <c r="P687" s="29">
        <v>30</v>
      </c>
    </row>
    <row r="688" spans="1:16" s="85" customFormat="1" ht="16.5" hidden="1" thickTop="1" thickBot="1" x14ac:dyDescent="0.3">
      <c r="A688" s="74" t="s">
        <v>111</v>
      </c>
      <c r="B688" s="25" t="s">
        <v>22</v>
      </c>
      <c r="C688" s="8" t="s">
        <v>61</v>
      </c>
      <c r="D688" s="7" t="s">
        <v>79</v>
      </c>
      <c r="E688" s="9" t="s">
        <v>66</v>
      </c>
      <c r="F688" s="10">
        <v>1</v>
      </c>
      <c r="G688" s="11" t="s">
        <v>46</v>
      </c>
      <c r="H688" s="7" t="s">
        <v>85</v>
      </c>
      <c r="I688" s="11" t="s">
        <v>9</v>
      </c>
      <c r="J688" s="11" t="s">
        <v>105</v>
      </c>
      <c r="K688" s="146">
        <v>41589.06</v>
      </c>
      <c r="L688" s="12">
        <f t="shared" si="42"/>
        <v>24953.435999999998</v>
      </c>
      <c r="M688" s="12">
        <f t="shared" si="43"/>
        <v>16635.624</v>
      </c>
      <c r="N688" s="12">
        <v>0</v>
      </c>
      <c r="O688" s="12">
        <f>L688+M688</f>
        <v>41589.06</v>
      </c>
      <c r="P688" s="29">
        <v>30</v>
      </c>
    </row>
    <row r="689" spans="1:16" s="85" customFormat="1" ht="16.5" hidden="1" thickTop="1" thickBot="1" x14ac:dyDescent="0.3">
      <c r="A689" s="74" t="s">
        <v>111</v>
      </c>
      <c r="B689" s="25" t="s">
        <v>22</v>
      </c>
      <c r="C689" s="8" t="s">
        <v>61</v>
      </c>
      <c r="D689" s="7" t="s">
        <v>79</v>
      </c>
      <c r="E689" s="9" t="s">
        <v>66</v>
      </c>
      <c r="F689" s="10">
        <v>1</v>
      </c>
      <c r="G689" s="11" t="s">
        <v>46</v>
      </c>
      <c r="H689" s="7" t="s">
        <v>85</v>
      </c>
      <c r="I689" s="11" t="s">
        <v>97</v>
      </c>
      <c r="J689" s="11" t="s">
        <v>105</v>
      </c>
      <c r="K689" s="12">
        <v>7072</v>
      </c>
      <c r="L689" s="12">
        <f t="shared" si="42"/>
        <v>4243.2</v>
      </c>
      <c r="M689" s="12">
        <f t="shared" si="43"/>
        <v>2828.8</v>
      </c>
      <c r="N689" s="12">
        <v>0</v>
      </c>
      <c r="O689" s="12">
        <v>7072</v>
      </c>
      <c r="P689" s="29">
        <v>30</v>
      </c>
    </row>
    <row r="690" spans="1:16" s="85" customFormat="1" ht="16.5" hidden="1" thickTop="1" thickBot="1" x14ac:dyDescent="0.3">
      <c r="A690" s="74" t="s">
        <v>111</v>
      </c>
      <c r="B690" s="25" t="s">
        <v>22</v>
      </c>
      <c r="C690" s="8" t="s">
        <v>61</v>
      </c>
      <c r="D690" s="7" t="s">
        <v>79</v>
      </c>
      <c r="E690" s="9" t="s">
        <v>66</v>
      </c>
      <c r="F690" s="10">
        <v>1</v>
      </c>
      <c r="G690" s="11" t="s">
        <v>47</v>
      </c>
      <c r="H690" s="7" t="s">
        <v>85</v>
      </c>
      <c r="I690" s="11" t="s">
        <v>9</v>
      </c>
      <c r="J690" s="11" t="s">
        <v>105</v>
      </c>
      <c r="K690" s="146">
        <v>32314.78</v>
      </c>
      <c r="L690" s="12">
        <f t="shared" si="42"/>
        <v>19388.867999999999</v>
      </c>
      <c r="M690" s="12">
        <f t="shared" si="43"/>
        <v>12925.912</v>
      </c>
      <c r="N690" s="12">
        <v>0</v>
      </c>
      <c r="O690" s="12">
        <f>L690+M690</f>
        <v>32314.78</v>
      </c>
      <c r="P690" s="29">
        <v>30</v>
      </c>
    </row>
    <row r="691" spans="1:16" s="85" customFormat="1" ht="16.5" hidden="1" thickTop="1" thickBot="1" x14ac:dyDescent="0.3">
      <c r="A691" s="74" t="s">
        <v>111</v>
      </c>
      <c r="B691" s="25" t="s">
        <v>22</v>
      </c>
      <c r="C691" s="8" t="s">
        <v>61</v>
      </c>
      <c r="D691" s="7" t="s">
        <v>79</v>
      </c>
      <c r="E691" s="9" t="s">
        <v>66</v>
      </c>
      <c r="F691" s="10">
        <v>1</v>
      </c>
      <c r="G691" s="11" t="s">
        <v>48</v>
      </c>
      <c r="H691" s="7" t="s">
        <v>85</v>
      </c>
      <c r="I691" s="11" t="s">
        <v>9</v>
      </c>
      <c r="J691" s="11" t="s">
        <v>105</v>
      </c>
      <c r="K691" s="146">
        <v>23137.31</v>
      </c>
      <c r="L691" s="12">
        <f t="shared" si="42"/>
        <v>13882.386</v>
      </c>
      <c r="M691" s="12">
        <f t="shared" si="43"/>
        <v>9254.9240000000009</v>
      </c>
      <c r="N691" s="12">
        <v>0</v>
      </c>
      <c r="O691" s="12">
        <f>L691+M691</f>
        <v>23137.31</v>
      </c>
      <c r="P691" s="29">
        <v>30</v>
      </c>
    </row>
    <row r="692" spans="1:16" s="85" customFormat="1" ht="16.5" hidden="1" thickTop="1" thickBot="1" x14ac:dyDescent="0.3">
      <c r="A692" s="74" t="s">
        <v>111</v>
      </c>
      <c r="B692" s="25" t="s">
        <v>22</v>
      </c>
      <c r="C692" s="8" t="s">
        <v>62</v>
      </c>
      <c r="D692" s="7" t="s">
        <v>79</v>
      </c>
      <c r="E692" s="9" t="s">
        <v>66</v>
      </c>
      <c r="F692" s="10">
        <v>10</v>
      </c>
      <c r="G692" s="13" t="s">
        <v>49</v>
      </c>
      <c r="H692" s="7" t="s">
        <v>85</v>
      </c>
      <c r="I692" s="11" t="s">
        <v>9</v>
      </c>
      <c r="J692" s="11" t="s">
        <v>105</v>
      </c>
      <c r="K692" s="12">
        <v>19227</v>
      </c>
      <c r="L692" s="12">
        <v>11536.199999999999</v>
      </c>
      <c r="M692" s="12">
        <v>7690.8</v>
      </c>
      <c r="N692" s="12">
        <v>0</v>
      </c>
      <c r="O692" s="12">
        <v>19227</v>
      </c>
      <c r="P692" s="29">
        <v>10</v>
      </c>
    </row>
    <row r="693" spans="1:16" s="85" customFormat="1" ht="16.5" hidden="1" thickTop="1" thickBot="1" x14ac:dyDescent="0.3">
      <c r="A693" s="74" t="s">
        <v>111</v>
      </c>
      <c r="B693" s="25" t="s">
        <v>22</v>
      </c>
      <c r="C693" s="8" t="s">
        <v>62</v>
      </c>
      <c r="D693" s="7" t="s">
        <v>79</v>
      </c>
      <c r="E693" s="9" t="s">
        <v>66</v>
      </c>
      <c r="F693" s="10">
        <v>10</v>
      </c>
      <c r="G693" s="13" t="s">
        <v>50</v>
      </c>
      <c r="H693" s="7" t="s">
        <v>85</v>
      </c>
      <c r="I693" s="11" t="s">
        <v>9</v>
      </c>
      <c r="J693" s="11" t="s">
        <v>105</v>
      </c>
      <c r="K693" s="12">
        <v>19227</v>
      </c>
      <c r="L693" s="12">
        <v>11536.199999999999</v>
      </c>
      <c r="M693" s="12">
        <v>7690.8</v>
      </c>
      <c r="N693" s="12">
        <v>0</v>
      </c>
      <c r="O693" s="12">
        <v>19227</v>
      </c>
      <c r="P693" s="29">
        <v>10</v>
      </c>
    </row>
    <row r="694" spans="1:16" s="85" customFormat="1" ht="16.5" hidden="1" thickTop="1" thickBot="1" x14ac:dyDescent="0.3">
      <c r="A694" s="74" t="s">
        <v>111</v>
      </c>
      <c r="B694" s="25" t="s">
        <v>11</v>
      </c>
      <c r="C694" s="8" t="s">
        <v>62</v>
      </c>
      <c r="D694" s="7" t="s">
        <v>79</v>
      </c>
      <c r="E694" s="9" t="s">
        <v>66</v>
      </c>
      <c r="F694" s="10">
        <v>16</v>
      </c>
      <c r="G694" s="13" t="s">
        <v>51</v>
      </c>
      <c r="H694" s="7" t="s">
        <v>83</v>
      </c>
      <c r="I694" s="11" t="s">
        <v>7</v>
      </c>
      <c r="J694" s="11" t="s">
        <v>80</v>
      </c>
      <c r="K694" s="12">
        <v>21132.94766324625</v>
      </c>
      <c r="L694" s="12">
        <v>21132.94766324625</v>
      </c>
      <c r="M694" s="12">
        <v>0</v>
      </c>
      <c r="N694" s="12">
        <f>L694*14%</f>
        <v>2958.6126728544755</v>
      </c>
      <c r="O694" s="12">
        <v>17751.67603712685</v>
      </c>
      <c r="P694" s="29">
        <v>30</v>
      </c>
    </row>
    <row r="695" spans="1:16" s="85" customFormat="1" ht="16.5" hidden="1" thickTop="1" thickBot="1" x14ac:dyDescent="0.3">
      <c r="A695" s="74" t="s">
        <v>111</v>
      </c>
      <c r="B695" s="25" t="s">
        <v>5</v>
      </c>
      <c r="C695" s="8" t="s">
        <v>25</v>
      </c>
      <c r="D695" s="7" t="s">
        <v>79</v>
      </c>
      <c r="E695" s="9" t="s">
        <v>65</v>
      </c>
      <c r="F695" s="10">
        <v>5</v>
      </c>
      <c r="G695" s="11" t="s">
        <v>27</v>
      </c>
      <c r="H695" s="7" t="s">
        <v>83</v>
      </c>
      <c r="I695" s="11" t="s">
        <v>9</v>
      </c>
      <c r="J695" s="11" t="s">
        <v>80</v>
      </c>
      <c r="K695" s="12">
        <v>4791.7362231179995</v>
      </c>
      <c r="L695" s="12">
        <f>K695</f>
        <v>4791.7362231179995</v>
      </c>
      <c r="M695" s="12">
        <v>0</v>
      </c>
      <c r="N695" s="12">
        <v>0</v>
      </c>
      <c r="O695" s="12">
        <v>4791.7362231179995</v>
      </c>
      <c r="P695" s="29">
        <v>30</v>
      </c>
    </row>
    <row r="696" spans="1:16" s="85" customFormat="1" ht="16.5" hidden="1" thickTop="1" thickBot="1" x14ac:dyDescent="0.3">
      <c r="A696" s="74" t="s">
        <v>111</v>
      </c>
      <c r="B696" s="25" t="s">
        <v>22</v>
      </c>
      <c r="C696" s="8" t="s">
        <v>62</v>
      </c>
      <c r="D696" s="7" t="s">
        <v>79</v>
      </c>
      <c r="E696" s="9" t="s">
        <v>66</v>
      </c>
      <c r="F696" s="10">
        <v>1</v>
      </c>
      <c r="G696" s="11" t="s">
        <v>54</v>
      </c>
      <c r="H696" s="7" t="s">
        <v>85</v>
      </c>
      <c r="I696" s="11" t="s">
        <v>20</v>
      </c>
      <c r="J696" s="11" t="s">
        <v>105</v>
      </c>
      <c r="K696" s="12">
        <v>40617.404573265005</v>
      </c>
      <c r="L696" s="12">
        <f t="shared" ref="L696:L702" si="44">K696*60%</f>
        <v>24370.442743959004</v>
      </c>
      <c r="M696" s="12">
        <f t="shared" ref="M696:M702" si="45">K696*40%</f>
        <v>16246.961829306003</v>
      </c>
      <c r="N696" s="12">
        <v>0</v>
      </c>
      <c r="O696" s="12">
        <v>40617.404573265005</v>
      </c>
      <c r="P696" s="29">
        <v>30</v>
      </c>
    </row>
    <row r="697" spans="1:16" s="85" customFormat="1" ht="16.5" hidden="1" thickTop="1" thickBot="1" x14ac:dyDescent="0.3">
      <c r="A697" s="74" t="s">
        <v>111</v>
      </c>
      <c r="B697" s="25" t="s">
        <v>22</v>
      </c>
      <c r="C697" s="8" t="s">
        <v>62</v>
      </c>
      <c r="D697" s="7" t="s">
        <v>79</v>
      </c>
      <c r="E697" s="9" t="s">
        <v>66</v>
      </c>
      <c r="F697" s="10">
        <v>1</v>
      </c>
      <c r="G697" s="11" t="s">
        <v>54</v>
      </c>
      <c r="H697" s="7" t="s">
        <v>85</v>
      </c>
      <c r="I697" s="11" t="s">
        <v>9</v>
      </c>
      <c r="J697" s="11" t="s">
        <v>105</v>
      </c>
      <c r="K697" s="146">
        <v>32314.78</v>
      </c>
      <c r="L697" s="12">
        <f t="shared" si="44"/>
        <v>19388.867999999999</v>
      </c>
      <c r="M697" s="12">
        <f t="shared" si="45"/>
        <v>12925.912</v>
      </c>
      <c r="N697" s="12">
        <v>0</v>
      </c>
      <c r="O697" s="12">
        <f>L697+M697</f>
        <v>32314.78</v>
      </c>
      <c r="P697" s="29">
        <v>30</v>
      </c>
    </row>
    <row r="698" spans="1:16" s="85" customFormat="1" ht="16.5" hidden="1" thickTop="1" thickBot="1" x14ac:dyDescent="0.3">
      <c r="A698" s="74" t="s">
        <v>111</v>
      </c>
      <c r="B698" s="25" t="s">
        <v>22</v>
      </c>
      <c r="C698" s="8" t="s">
        <v>62</v>
      </c>
      <c r="D698" s="7" t="s">
        <v>79</v>
      </c>
      <c r="E698" s="9" t="s">
        <v>66</v>
      </c>
      <c r="F698" s="10">
        <v>1</v>
      </c>
      <c r="G698" s="11" t="s">
        <v>55</v>
      </c>
      <c r="H698" s="7" t="s">
        <v>85</v>
      </c>
      <c r="I698" s="11" t="s">
        <v>20</v>
      </c>
      <c r="J698" s="11" t="s">
        <v>105</v>
      </c>
      <c r="K698" s="12">
        <v>34814.822702400001</v>
      </c>
      <c r="L698" s="12">
        <f t="shared" si="44"/>
        <v>20888.893621439998</v>
      </c>
      <c r="M698" s="12">
        <f t="shared" si="45"/>
        <v>13925.929080960001</v>
      </c>
      <c r="N698" s="12">
        <v>0</v>
      </c>
      <c r="O698" s="12">
        <v>34814.822702400001</v>
      </c>
      <c r="P698" s="29">
        <v>30</v>
      </c>
    </row>
    <row r="699" spans="1:16" s="85" customFormat="1" ht="16.5" hidden="1" thickTop="1" thickBot="1" x14ac:dyDescent="0.3">
      <c r="A699" s="74" t="s">
        <v>111</v>
      </c>
      <c r="B699" s="25" t="s">
        <v>22</v>
      </c>
      <c r="C699" s="8" t="s">
        <v>62</v>
      </c>
      <c r="D699" s="7" t="s">
        <v>79</v>
      </c>
      <c r="E699" s="9" t="s">
        <v>66</v>
      </c>
      <c r="F699" s="10">
        <v>1</v>
      </c>
      <c r="G699" s="11" t="s">
        <v>55</v>
      </c>
      <c r="H699" s="7" t="s">
        <v>85</v>
      </c>
      <c r="I699" s="11" t="s">
        <v>9</v>
      </c>
      <c r="J699" s="11" t="s">
        <v>105</v>
      </c>
      <c r="K699" s="146">
        <v>23105.040000000001</v>
      </c>
      <c r="L699" s="12">
        <f t="shared" si="44"/>
        <v>13863.023999999999</v>
      </c>
      <c r="M699" s="12">
        <f t="shared" si="45"/>
        <v>9242.0160000000014</v>
      </c>
      <c r="N699" s="12">
        <v>0</v>
      </c>
      <c r="O699" s="12">
        <f>L699+M699</f>
        <v>23105.040000000001</v>
      </c>
      <c r="P699" s="29">
        <v>30</v>
      </c>
    </row>
    <row r="700" spans="1:16" s="85" customFormat="1" ht="16.5" hidden="1" thickTop="1" thickBot="1" x14ac:dyDescent="0.3">
      <c r="A700" s="74" t="s">
        <v>111</v>
      </c>
      <c r="B700" s="25" t="s">
        <v>22</v>
      </c>
      <c r="C700" s="8" t="s">
        <v>62</v>
      </c>
      <c r="D700" s="7" t="s">
        <v>79</v>
      </c>
      <c r="E700" s="9" t="s">
        <v>66</v>
      </c>
      <c r="F700" s="10">
        <v>1</v>
      </c>
      <c r="G700" s="11" t="s">
        <v>56</v>
      </c>
      <c r="H700" s="7" t="s">
        <v>85</v>
      </c>
      <c r="I700" s="11" t="s">
        <v>9</v>
      </c>
      <c r="J700" s="11" t="s">
        <v>105</v>
      </c>
      <c r="K700" s="146">
        <v>32347.05</v>
      </c>
      <c r="L700" s="12">
        <f t="shared" si="44"/>
        <v>19408.23</v>
      </c>
      <c r="M700" s="12">
        <f t="shared" si="45"/>
        <v>12938.82</v>
      </c>
      <c r="N700" s="12">
        <v>0</v>
      </c>
      <c r="O700" s="12">
        <f>L700+M700</f>
        <v>32347.05</v>
      </c>
      <c r="P700" s="29">
        <v>30</v>
      </c>
    </row>
    <row r="701" spans="1:16" s="85" customFormat="1" ht="16.5" hidden="1" thickTop="1" thickBot="1" x14ac:dyDescent="0.3">
      <c r="A701" s="74" t="s">
        <v>111</v>
      </c>
      <c r="B701" s="25" t="s">
        <v>22</v>
      </c>
      <c r="C701" s="8" t="s">
        <v>62</v>
      </c>
      <c r="D701" s="7" t="s">
        <v>79</v>
      </c>
      <c r="E701" s="9" t="s">
        <v>66</v>
      </c>
      <c r="F701" s="10">
        <v>1</v>
      </c>
      <c r="G701" s="11" t="s">
        <v>57</v>
      </c>
      <c r="H701" s="7" t="s">
        <v>85</v>
      </c>
      <c r="I701" s="11" t="s">
        <v>9</v>
      </c>
      <c r="J701" s="11" t="s">
        <v>105</v>
      </c>
      <c r="K701" s="146">
        <v>32314.78</v>
      </c>
      <c r="L701" s="12">
        <f t="shared" si="44"/>
        <v>19388.867999999999</v>
      </c>
      <c r="M701" s="12">
        <f t="shared" si="45"/>
        <v>12925.912</v>
      </c>
      <c r="N701" s="12">
        <v>0</v>
      </c>
      <c r="O701" s="12">
        <f>L701+M701</f>
        <v>32314.78</v>
      </c>
      <c r="P701" s="29">
        <v>30</v>
      </c>
    </row>
    <row r="702" spans="1:16" s="85" customFormat="1" ht="16.5" hidden="1" thickTop="1" thickBot="1" x14ac:dyDescent="0.3">
      <c r="A702" s="74" t="s">
        <v>111</v>
      </c>
      <c r="B702" s="25" t="s">
        <v>22</v>
      </c>
      <c r="C702" s="8" t="s">
        <v>62</v>
      </c>
      <c r="D702" s="7" t="s">
        <v>79</v>
      </c>
      <c r="E702" s="9" t="s">
        <v>66</v>
      </c>
      <c r="F702" s="10">
        <v>1</v>
      </c>
      <c r="G702" s="11" t="s">
        <v>58</v>
      </c>
      <c r="H702" s="7" t="s">
        <v>85</v>
      </c>
      <c r="I702" s="11" t="s">
        <v>9</v>
      </c>
      <c r="J702" s="11" t="s">
        <v>105</v>
      </c>
      <c r="K702" s="146">
        <v>18484.02</v>
      </c>
      <c r="L702" s="12">
        <f t="shared" si="44"/>
        <v>11090.412</v>
      </c>
      <c r="M702" s="12">
        <f t="shared" si="45"/>
        <v>7393.6080000000002</v>
      </c>
      <c r="N702" s="12">
        <v>0</v>
      </c>
      <c r="O702" s="12">
        <f>L702+M702</f>
        <v>18484.02</v>
      </c>
      <c r="P702" s="29">
        <v>30</v>
      </c>
    </row>
    <row r="703" spans="1:16" s="85" customFormat="1" ht="16.5" hidden="1" thickTop="1" thickBot="1" x14ac:dyDescent="0.3">
      <c r="A703" s="74" t="s">
        <v>111</v>
      </c>
      <c r="B703" s="25" t="s">
        <v>22</v>
      </c>
      <c r="C703" s="8" t="s">
        <v>61</v>
      </c>
      <c r="D703" s="7" t="s">
        <v>79</v>
      </c>
      <c r="E703" s="9" t="s">
        <v>66</v>
      </c>
      <c r="F703" s="10">
        <v>20</v>
      </c>
      <c r="G703" s="13" t="s">
        <v>92</v>
      </c>
      <c r="H703" s="7" t="s">
        <v>83</v>
      </c>
      <c r="I703" s="11" t="s">
        <v>7</v>
      </c>
      <c r="J703" s="11" t="s">
        <v>80</v>
      </c>
      <c r="K703" s="12">
        <v>19890</v>
      </c>
      <c r="L703" s="12">
        <v>19890</v>
      </c>
      <c r="M703" s="12">
        <v>0</v>
      </c>
      <c r="N703" s="12">
        <v>0</v>
      </c>
      <c r="O703" s="12">
        <v>19890</v>
      </c>
      <c r="P703" s="29">
        <v>15</v>
      </c>
    </row>
    <row r="704" spans="1:16" s="85" customFormat="1" ht="16.5" hidden="1" thickTop="1" thickBot="1" x14ac:dyDescent="0.3">
      <c r="A704" s="74" t="s">
        <v>111</v>
      </c>
      <c r="B704" s="25" t="s">
        <v>13</v>
      </c>
      <c r="C704" s="8" t="s">
        <v>61</v>
      </c>
      <c r="D704" s="7" t="s">
        <v>79</v>
      </c>
      <c r="E704" s="9" t="s">
        <v>67</v>
      </c>
      <c r="F704" s="10">
        <v>20</v>
      </c>
      <c r="G704" s="13" t="s">
        <v>90</v>
      </c>
      <c r="H704" s="15" t="s">
        <v>83</v>
      </c>
      <c r="I704" s="14" t="s">
        <v>9</v>
      </c>
      <c r="J704" s="11" t="s">
        <v>103</v>
      </c>
      <c r="K704" s="12">
        <v>4536.0249999999996</v>
      </c>
      <c r="L704" s="12">
        <v>4536.0249999999996</v>
      </c>
      <c r="M704" s="12">
        <v>0</v>
      </c>
      <c r="N704" s="12">
        <f>L704*16%</f>
        <v>725.76400000000001</v>
      </c>
      <c r="O704" s="12">
        <v>3810.2609999999995</v>
      </c>
      <c r="P704" s="29">
        <v>10</v>
      </c>
    </row>
    <row r="705" spans="1:17" s="85" customFormat="1" ht="16.5" hidden="1" thickTop="1" thickBot="1" x14ac:dyDescent="0.3">
      <c r="A705" s="74" t="s">
        <v>111</v>
      </c>
      <c r="B705" s="25" t="s">
        <v>22</v>
      </c>
      <c r="C705" s="8" t="s">
        <v>25</v>
      </c>
      <c r="D705" s="7" t="s">
        <v>79</v>
      </c>
      <c r="E705" s="9" t="s">
        <v>67</v>
      </c>
      <c r="F705" s="10">
        <v>28</v>
      </c>
      <c r="G705" s="11" t="s">
        <v>135</v>
      </c>
      <c r="H705" s="7" t="s">
        <v>83</v>
      </c>
      <c r="I705" s="11" t="s">
        <v>7</v>
      </c>
      <c r="J705" s="11" t="s">
        <v>80</v>
      </c>
      <c r="K705" s="12">
        <v>17695.12745</v>
      </c>
      <c r="L705" s="12">
        <v>17695.12745</v>
      </c>
      <c r="M705" s="12">
        <v>0</v>
      </c>
      <c r="N705" s="12">
        <v>0</v>
      </c>
      <c r="O705" s="12">
        <v>17695.12745</v>
      </c>
      <c r="P705" s="29">
        <v>18</v>
      </c>
    </row>
    <row r="706" spans="1:17" s="85" customFormat="1" ht="16.5" hidden="1" thickTop="1" thickBot="1" x14ac:dyDescent="0.3">
      <c r="A706" s="91" t="s">
        <v>111</v>
      </c>
      <c r="B706" s="40" t="s">
        <v>5</v>
      </c>
      <c r="C706" s="41" t="s">
        <v>0</v>
      </c>
      <c r="D706" s="42" t="s">
        <v>79</v>
      </c>
      <c r="E706" s="9" t="s">
        <v>67</v>
      </c>
      <c r="F706" s="44">
        <v>8</v>
      </c>
      <c r="G706" s="45" t="s">
        <v>6</v>
      </c>
      <c r="H706" s="42" t="s">
        <v>85</v>
      </c>
      <c r="I706" s="45" t="s">
        <v>7</v>
      </c>
      <c r="J706" s="45" t="s">
        <v>103</v>
      </c>
      <c r="K706" s="12">
        <v>37031.42</v>
      </c>
      <c r="L706" s="12">
        <f>K706</f>
        <v>37031.42</v>
      </c>
      <c r="M706" s="12">
        <v>0</v>
      </c>
      <c r="N706" s="46">
        <v>740.63</v>
      </c>
      <c r="O706" s="12">
        <f>K706-N706</f>
        <v>36290.79</v>
      </c>
      <c r="P706" s="47">
        <v>10</v>
      </c>
      <c r="Q706" s="85" t="s">
        <v>156</v>
      </c>
    </row>
    <row r="707" spans="1:17" s="85" customFormat="1" ht="16.5" hidden="1" thickTop="1" thickBot="1" x14ac:dyDescent="0.3">
      <c r="A707" s="74" t="s">
        <v>111</v>
      </c>
      <c r="B707" s="25" t="s">
        <v>11</v>
      </c>
      <c r="C707" s="8" t="s">
        <v>0</v>
      </c>
      <c r="D707" s="7" t="s">
        <v>79</v>
      </c>
      <c r="E707" s="9" t="s">
        <v>67</v>
      </c>
      <c r="F707" s="44">
        <v>8</v>
      </c>
      <c r="G707" s="11" t="s">
        <v>8</v>
      </c>
      <c r="H707" s="7" t="s">
        <v>85</v>
      </c>
      <c r="I707" s="11" t="s">
        <v>7</v>
      </c>
      <c r="J707" s="11" t="s">
        <v>103</v>
      </c>
      <c r="K707" s="12">
        <v>19327.518303502504</v>
      </c>
      <c r="L707" s="12">
        <v>19327.518303502504</v>
      </c>
      <c r="M707" s="12">
        <v>0</v>
      </c>
      <c r="N707" s="12">
        <v>874.54833952500019</v>
      </c>
      <c r="O707" s="12">
        <v>18452.969963977503</v>
      </c>
      <c r="P707" s="29">
        <v>10</v>
      </c>
      <c r="Q707" s="85" t="s">
        <v>156</v>
      </c>
    </row>
    <row r="708" spans="1:17" s="85" customFormat="1" ht="16.5" hidden="1" thickTop="1" thickBot="1" x14ac:dyDescent="0.3">
      <c r="A708" s="74" t="s">
        <v>111</v>
      </c>
      <c r="B708" s="25" t="s">
        <v>11</v>
      </c>
      <c r="C708" s="8" t="s">
        <v>0</v>
      </c>
      <c r="D708" s="7" t="s">
        <v>79</v>
      </c>
      <c r="E708" s="9" t="s">
        <v>67</v>
      </c>
      <c r="F708" s="44">
        <v>8</v>
      </c>
      <c r="G708" s="11" t="s">
        <v>8</v>
      </c>
      <c r="H708" s="7" t="s">
        <v>85</v>
      </c>
      <c r="I708" s="11" t="s">
        <v>97</v>
      </c>
      <c r="J708" s="11" t="s">
        <v>103</v>
      </c>
      <c r="K708" s="12">
        <v>19327.518303502504</v>
      </c>
      <c r="L708" s="12">
        <v>19327.518303502504</v>
      </c>
      <c r="M708" s="12">
        <v>0</v>
      </c>
      <c r="N708" s="12">
        <v>874.54833952500019</v>
      </c>
      <c r="O708" s="12">
        <v>18452.969963977503</v>
      </c>
      <c r="P708" s="29">
        <v>10</v>
      </c>
      <c r="Q708" s="85" t="s">
        <v>156</v>
      </c>
    </row>
    <row r="709" spans="1:17" s="85" customFormat="1" ht="16.5" hidden="1" thickTop="1" thickBot="1" x14ac:dyDescent="0.3">
      <c r="A709" s="74" t="s">
        <v>111</v>
      </c>
      <c r="B709" s="25" t="s">
        <v>183</v>
      </c>
      <c r="C709" s="8" t="s">
        <v>0</v>
      </c>
      <c r="D709" s="7" t="s">
        <v>79</v>
      </c>
      <c r="E709" s="9" t="s">
        <v>67</v>
      </c>
      <c r="F709" s="44">
        <v>8</v>
      </c>
      <c r="G709" s="11" t="s">
        <v>8</v>
      </c>
      <c r="H709" s="7" t="s">
        <v>85</v>
      </c>
      <c r="I709" s="11" t="s">
        <v>9</v>
      </c>
      <c r="J709" s="11" t="s">
        <v>103</v>
      </c>
      <c r="K709" s="12">
        <v>16926.608031693751</v>
      </c>
      <c r="L709" s="12">
        <v>16926.608031693751</v>
      </c>
      <c r="M709" s="12">
        <v>0</v>
      </c>
      <c r="N709" s="12">
        <v>765.90986568750009</v>
      </c>
      <c r="O709" s="12">
        <v>16160.698166006252</v>
      </c>
      <c r="P709" s="29">
        <v>10</v>
      </c>
      <c r="Q709" s="85" t="s">
        <v>156</v>
      </c>
    </row>
    <row r="710" spans="1:17" s="85" customFormat="1" ht="16.5" hidden="1" thickTop="1" thickBot="1" x14ac:dyDescent="0.3">
      <c r="A710" s="74" t="s">
        <v>111</v>
      </c>
      <c r="B710" s="25" t="s">
        <v>183</v>
      </c>
      <c r="C710" s="8" t="s">
        <v>0</v>
      </c>
      <c r="D710" s="7" t="s">
        <v>79</v>
      </c>
      <c r="E710" s="9" t="s">
        <v>67</v>
      </c>
      <c r="F710" s="44">
        <v>8</v>
      </c>
      <c r="G710" s="11" t="s">
        <v>8</v>
      </c>
      <c r="H710" s="7" t="s">
        <v>85</v>
      </c>
      <c r="I710" s="11" t="s">
        <v>15</v>
      </c>
      <c r="J710" s="11" t="s">
        <v>103</v>
      </c>
      <c r="K710" s="12">
        <v>14433.306181368749</v>
      </c>
      <c r="L710" s="12">
        <v>14433.306181368749</v>
      </c>
      <c r="M710" s="12">
        <v>0</v>
      </c>
      <c r="N710" s="12">
        <v>653.09077743750004</v>
      </c>
      <c r="O710" s="12">
        <v>13780.215403931248</v>
      </c>
      <c r="P710" s="29">
        <v>10</v>
      </c>
      <c r="Q710" s="85" t="s">
        <v>156</v>
      </c>
    </row>
    <row r="711" spans="1:17" s="85" customFormat="1" ht="16.5" hidden="1" thickTop="1" thickBot="1" x14ac:dyDescent="0.3">
      <c r="A711" s="74" t="s">
        <v>111</v>
      </c>
      <c r="B711" s="25" t="s">
        <v>10</v>
      </c>
      <c r="C711" s="8" t="s">
        <v>0</v>
      </c>
      <c r="D711" s="7" t="s">
        <v>79</v>
      </c>
      <c r="E711" s="9" t="s">
        <v>67</v>
      </c>
      <c r="F711" s="44">
        <v>8</v>
      </c>
      <c r="G711" s="11" t="s">
        <v>8</v>
      </c>
      <c r="H711" s="7" t="s">
        <v>85</v>
      </c>
      <c r="I711" s="11" t="s">
        <v>96</v>
      </c>
      <c r="J711" s="11" t="s">
        <v>103</v>
      </c>
      <c r="K711" s="12">
        <v>2000</v>
      </c>
      <c r="L711" s="12">
        <v>2000</v>
      </c>
      <c r="M711" s="12">
        <v>0</v>
      </c>
      <c r="N711" s="12">
        <v>0</v>
      </c>
      <c r="O711" s="12">
        <v>2000</v>
      </c>
      <c r="P711" s="29">
        <v>10</v>
      </c>
      <c r="Q711" s="85" t="s">
        <v>156</v>
      </c>
    </row>
    <row r="712" spans="1:17" s="85" customFormat="1" ht="16.5" hidden="1" thickTop="1" thickBot="1" x14ac:dyDescent="0.3">
      <c r="A712" s="74" t="s">
        <v>111</v>
      </c>
      <c r="B712" s="25" t="s">
        <v>10</v>
      </c>
      <c r="C712" s="8" t="s">
        <v>0</v>
      </c>
      <c r="D712" s="7" t="s">
        <v>79</v>
      </c>
      <c r="E712" s="9" t="s">
        <v>67</v>
      </c>
      <c r="F712" s="44">
        <v>8</v>
      </c>
      <c r="G712" s="11" t="s">
        <v>8</v>
      </c>
      <c r="H712" s="7" t="s">
        <v>85</v>
      </c>
      <c r="I712" s="11" t="s">
        <v>96</v>
      </c>
      <c r="J712" s="11" t="s">
        <v>103</v>
      </c>
      <c r="K712" s="12">
        <v>200</v>
      </c>
      <c r="L712" s="12">
        <v>200</v>
      </c>
      <c r="M712" s="12">
        <v>0</v>
      </c>
      <c r="N712" s="12">
        <v>0</v>
      </c>
      <c r="O712" s="12">
        <v>200</v>
      </c>
      <c r="P712" s="29">
        <v>10</v>
      </c>
      <c r="Q712" s="85" t="s">
        <v>156</v>
      </c>
    </row>
    <row r="713" spans="1:17" s="85" customFormat="1" ht="16.5" hidden="1" thickTop="1" thickBot="1" x14ac:dyDescent="0.3">
      <c r="A713" s="74" t="s">
        <v>111</v>
      </c>
      <c r="B713" s="25" t="s">
        <v>11</v>
      </c>
      <c r="C713" s="8" t="s">
        <v>0</v>
      </c>
      <c r="D713" s="7" t="s">
        <v>79</v>
      </c>
      <c r="E713" s="9" t="s">
        <v>67</v>
      </c>
      <c r="F713" s="10">
        <v>14</v>
      </c>
      <c r="G713" s="11" t="s">
        <v>139</v>
      </c>
      <c r="H713" s="7" t="s">
        <v>84</v>
      </c>
      <c r="I713" s="11" t="s">
        <v>7</v>
      </c>
      <c r="J713" s="11" t="s">
        <v>103</v>
      </c>
      <c r="K713" s="12">
        <v>16311.633340859998</v>
      </c>
      <c r="L713" s="12">
        <v>16311.633340859998</v>
      </c>
      <c r="M713" s="12">
        <v>0</v>
      </c>
      <c r="N713" s="12">
        <v>738.08295659999999</v>
      </c>
      <c r="O713" s="12">
        <v>15573.550384259999</v>
      </c>
      <c r="P713" s="29">
        <v>15</v>
      </c>
      <c r="Q713" s="85" t="s">
        <v>156</v>
      </c>
    </row>
    <row r="714" spans="1:17" s="85" customFormat="1" ht="16.5" hidden="1" thickTop="1" thickBot="1" x14ac:dyDescent="0.3">
      <c r="A714" s="74" t="s">
        <v>111</v>
      </c>
      <c r="B714" s="25" t="s">
        <v>13</v>
      </c>
      <c r="C714" s="8" t="s">
        <v>0</v>
      </c>
      <c r="D714" s="7" t="s">
        <v>79</v>
      </c>
      <c r="E714" s="9" t="s">
        <v>67</v>
      </c>
      <c r="F714" s="10">
        <v>14</v>
      </c>
      <c r="G714" s="11" t="s">
        <v>139</v>
      </c>
      <c r="H714" s="7" t="s">
        <v>84</v>
      </c>
      <c r="I714" s="11" t="s">
        <v>9</v>
      </c>
      <c r="J714" s="11" t="s">
        <v>103</v>
      </c>
      <c r="K714" s="12">
        <v>4158.1260499999999</v>
      </c>
      <c r="L714" s="12">
        <v>4158.1260499999999</v>
      </c>
      <c r="M714" s="12">
        <v>0</v>
      </c>
      <c r="N714" s="12">
        <v>188.15050000000002</v>
      </c>
      <c r="O714" s="12">
        <v>3969.9755499999997</v>
      </c>
      <c r="P714" s="29">
        <v>15</v>
      </c>
      <c r="Q714" s="85" t="s">
        <v>156</v>
      </c>
    </row>
    <row r="715" spans="1:17" s="85" customFormat="1" ht="16.5" hidden="1" thickTop="1" thickBot="1" x14ac:dyDescent="0.3">
      <c r="A715" s="74" t="s">
        <v>111</v>
      </c>
      <c r="B715" s="25" t="s">
        <v>13</v>
      </c>
      <c r="C715" s="8" t="s">
        <v>0</v>
      </c>
      <c r="D715" s="7" t="s">
        <v>79</v>
      </c>
      <c r="E715" s="9" t="s">
        <v>67</v>
      </c>
      <c r="F715" s="10">
        <v>14</v>
      </c>
      <c r="G715" s="11" t="s">
        <v>139</v>
      </c>
      <c r="H715" s="7" t="s">
        <v>84</v>
      </c>
      <c r="I715" s="11" t="s">
        <v>15</v>
      </c>
      <c r="J715" s="11" t="s">
        <v>103</v>
      </c>
      <c r="K715" s="12">
        <v>5282.5230083924998</v>
      </c>
      <c r="L715" s="12">
        <v>5282.5230083924998</v>
      </c>
      <c r="M715" s="12">
        <v>0</v>
      </c>
      <c r="N715" s="12">
        <v>239.02819042500002</v>
      </c>
      <c r="O715" s="12">
        <v>5043.4948179675002</v>
      </c>
      <c r="P715" s="29">
        <v>15</v>
      </c>
      <c r="Q715" s="85" t="s">
        <v>156</v>
      </c>
    </row>
    <row r="716" spans="1:17" s="85" customFormat="1" ht="16.5" hidden="1" thickTop="1" thickBot="1" x14ac:dyDescent="0.3">
      <c r="A716" s="74" t="s">
        <v>111</v>
      </c>
      <c r="B716" s="25" t="s">
        <v>10</v>
      </c>
      <c r="C716" s="8" t="s">
        <v>0</v>
      </c>
      <c r="D716" s="7" t="s">
        <v>79</v>
      </c>
      <c r="E716" s="9" t="s">
        <v>67</v>
      </c>
      <c r="F716" s="10">
        <v>14</v>
      </c>
      <c r="G716" s="11" t="s">
        <v>139</v>
      </c>
      <c r="H716" s="7" t="s">
        <v>84</v>
      </c>
      <c r="I716" s="11" t="s">
        <v>96</v>
      </c>
      <c r="J716" s="11" t="s">
        <v>103</v>
      </c>
      <c r="K716" s="12">
        <v>500</v>
      </c>
      <c r="L716" s="12">
        <v>500</v>
      </c>
      <c r="M716" s="12">
        <v>0</v>
      </c>
      <c r="N716" s="12">
        <v>0</v>
      </c>
      <c r="O716" s="12">
        <v>500</v>
      </c>
      <c r="P716" s="29">
        <v>15</v>
      </c>
      <c r="Q716" s="85" t="s">
        <v>156</v>
      </c>
    </row>
    <row r="717" spans="1:17" s="85" customFormat="1" ht="16.5" hidden="1" thickTop="1" thickBot="1" x14ac:dyDescent="0.3">
      <c r="A717" s="74" t="s">
        <v>111</v>
      </c>
      <c r="B717" s="25" t="s">
        <v>11</v>
      </c>
      <c r="C717" s="8" t="s">
        <v>0</v>
      </c>
      <c r="D717" s="7" t="s">
        <v>79</v>
      </c>
      <c r="E717" s="9" t="s">
        <v>67</v>
      </c>
      <c r="F717" s="10">
        <v>20</v>
      </c>
      <c r="G717" s="11" t="s">
        <v>16</v>
      </c>
      <c r="H717" s="7" t="s">
        <v>85</v>
      </c>
      <c r="I717" s="11" t="s">
        <v>7</v>
      </c>
      <c r="J717" s="11" t="s">
        <v>103</v>
      </c>
      <c r="K717" s="12">
        <v>17144.075000000001</v>
      </c>
      <c r="L717" s="12">
        <v>17144.075000000001</v>
      </c>
      <c r="M717" s="12">
        <v>0</v>
      </c>
      <c r="N717" s="12">
        <f>L717*14%</f>
        <v>2400.1705000000002</v>
      </c>
      <c r="O717" s="12">
        <v>14401.023000000001</v>
      </c>
      <c r="P717" s="29">
        <v>15</v>
      </c>
    </row>
    <row r="718" spans="1:17" s="85" customFormat="1" ht="16.5" hidden="1" thickTop="1" thickBot="1" x14ac:dyDescent="0.3">
      <c r="A718" s="74" t="s">
        <v>111</v>
      </c>
      <c r="B718" s="25" t="s">
        <v>13</v>
      </c>
      <c r="C718" s="8" t="s">
        <v>0</v>
      </c>
      <c r="D718" s="7" t="s">
        <v>79</v>
      </c>
      <c r="E718" s="9" t="s">
        <v>67</v>
      </c>
      <c r="F718" s="10">
        <v>20</v>
      </c>
      <c r="G718" s="11" t="s">
        <v>16</v>
      </c>
      <c r="H718" s="7" t="s">
        <v>85</v>
      </c>
      <c r="I718" s="11" t="s">
        <v>113</v>
      </c>
      <c r="J718" s="11" t="s">
        <v>103</v>
      </c>
      <c r="K718" s="12">
        <v>1657.5</v>
      </c>
      <c r="L718" s="12">
        <v>1657.5</v>
      </c>
      <c r="M718" s="12">
        <v>0</v>
      </c>
      <c r="N718" s="12">
        <f>L718*16%</f>
        <v>265.2</v>
      </c>
      <c r="O718" s="12">
        <v>1392.3</v>
      </c>
      <c r="P718" s="29">
        <v>15</v>
      </c>
    </row>
    <row r="719" spans="1:17" s="85" customFormat="1" ht="16.5" hidden="1" thickTop="1" thickBot="1" x14ac:dyDescent="0.3">
      <c r="A719" s="74" t="s">
        <v>111</v>
      </c>
      <c r="B719" s="25" t="s">
        <v>13</v>
      </c>
      <c r="C719" s="8" t="s">
        <v>0</v>
      </c>
      <c r="D719" s="7" t="s">
        <v>79</v>
      </c>
      <c r="E719" s="9" t="s">
        <v>67</v>
      </c>
      <c r="F719" s="10">
        <v>20</v>
      </c>
      <c r="G719" s="11" t="s">
        <v>16</v>
      </c>
      <c r="H719" s="7" t="s">
        <v>85</v>
      </c>
      <c r="I719" s="11" t="s">
        <v>9</v>
      </c>
      <c r="J719" s="11" t="s">
        <v>103</v>
      </c>
      <c r="K719" s="12">
        <v>8265.4</v>
      </c>
      <c r="L719" s="12">
        <v>8265.4</v>
      </c>
      <c r="M719" s="12">
        <v>0</v>
      </c>
      <c r="N719" s="12">
        <f>L719*16%</f>
        <v>1322.4639999999999</v>
      </c>
      <c r="O719" s="12">
        <v>6942.9359999999997</v>
      </c>
      <c r="P719" s="29">
        <v>15</v>
      </c>
    </row>
    <row r="720" spans="1:17" s="85" customFormat="1" ht="16.5" hidden="1" thickTop="1" thickBot="1" x14ac:dyDescent="0.3">
      <c r="A720" s="74" t="s">
        <v>111</v>
      </c>
      <c r="B720" s="25" t="s">
        <v>13</v>
      </c>
      <c r="C720" s="8" t="s">
        <v>0</v>
      </c>
      <c r="D720" s="7" t="s">
        <v>79</v>
      </c>
      <c r="E720" s="9" t="s">
        <v>67</v>
      </c>
      <c r="F720" s="10">
        <v>20</v>
      </c>
      <c r="G720" s="11" t="s">
        <v>16</v>
      </c>
      <c r="H720" s="7" t="s">
        <v>85</v>
      </c>
      <c r="I720" s="11" t="s">
        <v>15</v>
      </c>
      <c r="J720" s="11" t="s">
        <v>103</v>
      </c>
      <c r="K720" s="12">
        <v>7542.73</v>
      </c>
      <c r="L720" s="12">
        <v>7542.73</v>
      </c>
      <c r="M720" s="12">
        <v>0</v>
      </c>
      <c r="N720" s="12">
        <f>L720*16%</f>
        <v>1206.8368</v>
      </c>
      <c r="O720" s="12">
        <v>6335.8931999999995</v>
      </c>
      <c r="P720" s="29">
        <v>15</v>
      </c>
    </row>
    <row r="721" spans="1:16" s="85" customFormat="1" ht="16.5" hidden="1" thickTop="1" thickBot="1" x14ac:dyDescent="0.3">
      <c r="A721" s="74" t="s">
        <v>111</v>
      </c>
      <c r="B721" s="25" t="s">
        <v>13</v>
      </c>
      <c r="C721" s="8" t="s">
        <v>0</v>
      </c>
      <c r="D721" s="7" t="s">
        <v>79</v>
      </c>
      <c r="E721" s="9" t="s">
        <v>67</v>
      </c>
      <c r="F721" s="10">
        <v>10</v>
      </c>
      <c r="G721" s="11" t="s">
        <v>18</v>
      </c>
      <c r="H721" s="7" t="s">
        <v>85</v>
      </c>
      <c r="I721" s="11" t="s">
        <v>9</v>
      </c>
      <c r="J721" s="11" t="s">
        <v>103</v>
      </c>
      <c r="K721" s="12">
        <v>4589.40895335</v>
      </c>
      <c r="L721" s="12">
        <v>4589.40895335</v>
      </c>
      <c r="M721" s="12">
        <v>0</v>
      </c>
      <c r="N721" s="12">
        <v>207.66556350000002</v>
      </c>
      <c r="O721" s="12">
        <v>4381.7433898500003</v>
      </c>
      <c r="P721" s="29">
        <v>10</v>
      </c>
    </row>
    <row r="722" spans="1:16" s="85" customFormat="1" ht="16.5" hidden="1" thickTop="1" thickBot="1" x14ac:dyDescent="0.3">
      <c r="A722" s="74" t="s">
        <v>111</v>
      </c>
      <c r="B722" s="25" t="s">
        <v>11</v>
      </c>
      <c r="C722" s="8" t="s">
        <v>0</v>
      </c>
      <c r="D722" s="7" t="s">
        <v>79</v>
      </c>
      <c r="E722" s="9" t="s">
        <v>67</v>
      </c>
      <c r="F722" s="10">
        <v>22</v>
      </c>
      <c r="G722" s="11" t="s">
        <v>24</v>
      </c>
      <c r="H722" s="7" t="s">
        <v>83</v>
      </c>
      <c r="I722" s="11" t="s">
        <v>7</v>
      </c>
      <c r="J722" s="11" t="s">
        <v>80</v>
      </c>
      <c r="K722" s="12">
        <v>60275.3</v>
      </c>
      <c r="L722" s="12">
        <f>K722</f>
        <v>60275.3</v>
      </c>
      <c r="M722" s="12">
        <v>0</v>
      </c>
      <c r="N722" s="12">
        <v>9672.26</v>
      </c>
      <c r="O722" s="12">
        <f>L722-N722</f>
        <v>50603.040000000001</v>
      </c>
      <c r="P722" s="29">
        <v>12</v>
      </c>
    </row>
    <row r="723" spans="1:16" s="85" customFormat="1" ht="16.5" hidden="1" thickTop="1" thickBot="1" x14ac:dyDescent="0.3">
      <c r="A723" s="74" t="s">
        <v>111</v>
      </c>
      <c r="B723" s="25" t="s">
        <v>13</v>
      </c>
      <c r="C723" s="8" t="s">
        <v>0</v>
      </c>
      <c r="D723" s="7" t="s">
        <v>79</v>
      </c>
      <c r="E723" s="9" t="s">
        <v>67</v>
      </c>
      <c r="F723" s="10">
        <v>22</v>
      </c>
      <c r="G723" s="11" t="s">
        <v>24</v>
      </c>
      <c r="H723" s="7" t="s">
        <v>83</v>
      </c>
      <c r="I723" s="11" t="s">
        <v>9</v>
      </c>
      <c r="J723" s="11" t="s">
        <v>80</v>
      </c>
      <c r="K723" s="12">
        <v>12949</v>
      </c>
      <c r="L723" s="12">
        <f>K723</f>
        <v>12949</v>
      </c>
      <c r="M723" s="12">
        <v>0</v>
      </c>
      <c r="N723" s="12">
        <f>L723*16%</f>
        <v>2071.84</v>
      </c>
      <c r="O723" s="12">
        <f>L723-N723</f>
        <v>10877.16</v>
      </c>
      <c r="P723" s="29">
        <v>12</v>
      </c>
    </row>
    <row r="724" spans="1:16" s="85" customFormat="1" ht="16.5" hidden="1" thickTop="1" thickBot="1" x14ac:dyDescent="0.3">
      <c r="A724" s="74" t="s">
        <v>111</v>
      </c>
      <c r="B724" s="25" t="s">
        <v>10</v>
      </c>
      <c r="C724" s="8" t="s">
        <v>0</v>
      </c>
      <c r="D724" s="7" t="s">
        <v>79</v>
      </c>
      <c r="E724" s="9" t="s">
        <v>67</v>
      </c>
      <c r="F724" s="10">
        <v>22</v>
      </c>
      <c r="G724" s="11" t="s">
        <v>24</v>
      </c>
      <c r="H724" s="7" t="s">
        <v>83</v>
      </c>
      <c r="I724" s="11" t="s">
        <v>96</v>
      </c>
      <c r="J724" s="11" t="s">
        <v>80</v>
      </c>
      <c r="K724" s="12">
        <v>1500</v>
      </c>
      <c r="L724" s="12">
        <v>1500</v>
      </c>
      <c r="M724" s="12">
        <v>0</v>
      </c>
      <c r="N724" s="12">
        <v>0</v>
      </c>
      <c r="O724" s="12">
        <v>1500</v>
      </c>
      <c r="P724" s="29">
        <v>12</v>
      </c>
    </row>
    <row r="725" spans="1:16" s="85" customFormat="1" ht="16.5" hidden="1" thickTop="1" thickBot="1" x14ac:dyDescent="0.3">
      <c r="A725" s="74" t="s">
        <v>111</v>
      </c>
      <c r="B725" s="25" t="s">
        <v>5</v>
      </c>
      <c r="C725" s="8" t="s">
        <v>25</v>
      </c>
      <c r="D725" s="7" t="s">
        <v>79</v>
      </c>
      <c r="E725" s="9" t="s">
        <v>67</v>
      </c>
      <c r="F725" s="10">
        <v>5</v>
      </c>
      <c r="G725" s="11" t="s">
        <v>26</v>
      </c>
      <c r="H725" s="7" t="s">
        <v>83</v>
      </c>
      <c r="I725" s="11" t="s">
        <v>7</v>
      </c>
      <c r="J725" s="11" t="s">
        <v>80</v>
      </c>
      <c r="K725" s="12">
        <v>21868.658146266753</v>
      </c>
      <c r="L725" s="12">
        <f t="shared" ref="L725:L731" si="46">K725</f>
        <v>21868.658146266753</v>
      </c>
      <c r="M725" s="12">
        <v>0</v>
      </c>
      <c r="N725" s="12">
        <v>0</v>
      </c>
      <c r="O725" s="12">
        <v>21868.658146266753</v>
      </c>
      <c r="P725" s="29">
        <v>25</v>
      </c>
    </row>
    <row r="726" spans="1:16" s="85" customFormat="1" ht="16.5" hidden="1" thickTop="1" thickBot="1" x14ac:dyDescent="0.3">
      <c r="A726" s="74" t="s">
        <v>111</v>
      </c>
      <c r="B726" s="25" t="s">
        <v>5</v>
      </c>
      <c r="C726" s="8" t="s">
        <v>25</v>
      </c>
      <c r="D726" s="7" t="s">
        <v>79</v>
      </c>
      <c r="E726" s="9" t="s">
        <v>67</v>
      </c>
      <c r="F726" s="10">
        <v>5</v>
      </c>
      <c r="G726" s="11" t="s">
        <v>26</v>
      </c>
      <c r="H726" s="7" t="s">
        <v>83</v>
      </c>
      <c r="I726" s="11" t="s">
        <v>9</v>
      </c>
      <c r="J726" s="11" t="s">
        <v>80</v>
      </c>
      <c r="K726" s="12">
        <v>4791.7362231179995</v>
      </c>
      <c r="L726" s="12">
        <f t="shared" si="46"/>
        <v>4791.7362231179995</v>
      </c>
      <c r="M726" s="12">
        <v>0</v>
      </c>
      <c r="N726" s="12">
        <v>0</v>
      </c>
      <c r="O726" s="12">
        <v>4791.7362231179995</v>
      </c>
      <c r="P726" s="29">
        <v>25</v>
      </c>
    </row>
    <row r="727" spans="1:16" s="85" customFormat="1" ht="16.5" hidden="1" thickTop="1" thickBot="1" x14ac:dyDescent="0.3">
      <c r="A727" s="74" t="s">
        <v>111</v>
      </c>
      <c r="B727" s="25" t="s">
        <v>5</v>
      </c>
      <c r="C727" s="8" t="s">
        <v>25</v>
      </c>
      <c r="D727" s="7" t="s">
        <v>79</v>
      </c>
      <c r="E727" s="9" t="s">
        <v>67</v>
      </c>
      <c r="F727" s="10">
        <v>5</v>
      </c>
      <c r="G727" s="11" t="s">
        <v>27</v>
      </c>
      <c r="H727" s="7" t="s">
        <v>83</v>
      </c>
      <c r="I727" s="11" t="s">
        <v>141</v>
      </c>
      <c r="J727" s="11" t="s">
        <v>80</v>
      </c>
      <c r="K727" s="12">
        <v>6193.06</v>
      </c>
      <c r="L727" s="12">
        <f t="shared" si="46"/>
        <v>6193.06</v>
      </c>
      <c r="M727" s="12">
        <v>0</v>
      </c>
      <c r="N727" s="12">
        <v>0</v>
      </c>
      <c r="O727" s="12">
        <v>6193.06</v>
      </c>
      <c r="P727" s="29">
        <v>25</v>
      </c>
    </row>
    <row r="728" spans="1:16" s="85" customFormat="1" ht="16.5" hidden="1" thickTop="1" thickBot="1" x14ac:dyDescent="0.3">
      <c r="A728" s="74" t="s">
        <v>111</v>
      </c>
      <c r="B728" s="25" t="s">
        <v>5</v>
      </c>
      <c r="C728" s="8" t="s">
        <v>25</v>
      </c>
      <c r="D728" s="7" t="s">
        <v>79</v>
      </c>
      <c r="E728" s="9" t="s">
        <v>67</v>
      </c>
      <c r="F728" s="10">
        <v>5</v>
      </c>
      <c r="G728" s="11" t="s">
        <v>27</v>
      </c>
      <c r="H728" s="7" t="s">
        <v>83</v>
      </c>
      <c r="I728" s="11" t="s">
        <v>7</v>
      </c>
      <c r="J728" s="11" t="s">
        <v>80</v>
      </c>
      <c r="K728" s="12">
        <v>21868.658146266745</v>
      </c>
      <c r="L728" s="12">
        <f t="shared" si="46"/>
        <v>21868.658146266745</v>
      </c>
      <c r="M728" s="12">
        <v>0</v>
      </c>
      <c r="N728" s="12">
        <v>0</v>
      </c>
      <c r="O728" s="12">
        <v>21868.658146266745</v>
      </c>
      <c r="P728" s="29">
        <v>25</v>
      </c>
    </row>
    <row r="729" spans="1:16" s="85" customFormat="1" ht="16.5" hidden="1" thickTop="1" thickBot="1" x14ac:dyDescent="0.3">
      <c r="A729" s="74" t="s">
        <v>111</v>
      </c>
      <c r="B729" s="25" t="s">
        <v>5</v>
      </c>
      <c r="C729" s="8" t="s">
        <v>25</v>
      </c>
      <c r="D729" s="7" t="s">
        <v>79</v>
      </c>
      <c r="E729" s="9" t="s">
        <v>67</v>
      </c>
      <c r="F729" s="10">
        <v>5</v>
      </c>
      <c r="G729" s="11" t="s">
        <v>27</v>
      </c>
      <c r="H729" s="7" t="s">
        <v>83</v>
      </c>
      <c r="I729" s="11" t="s">
        <v>9</v>
      </c>
      <c r="J729" s="11" t="s">
        <v>80</v>
      </c>
      <c r="K729" s="12">
        <v>4791.7362231179995</v>
      </c>
      <c r="L729" s="12">
        <f t="shared" si="46"/>
        <v>4791.7362231179995</v>
      </c>
      <c r="M729" s="12">
        <v>0</v>
      </c>
      <c r="N729" s="12">
        <v>0</v>
      </c>
      <c r="O729" s="12">
        <v>4791.7362231179995</v>
      </c>
      <c r="P729" s="29">
        <v>25</v>
      </c>
    </row>
    <row r="730" spans="1:16" s="85" customFormat="1" ht="16.5" hidden="1" thickTop="1" thickBot="1" x14ac:dyDescent="0.3">
      <c r="A730" s="74" t="s">
        <v>111</v>
      </c>
      <c r="B730" s="25" t="s">
        <v>5</v>
      </c>
      <c r="C730" s="8" t="s">
        <v>25</v>
      </c>
      <c r="D730" s="7" t="s">
        <v>79</v>
      </c>
      <c r="E730" s="9" t="s">
        <v>67</v>
      </c>
      <c r="F730" s="10">
        <v>5</v>
      </c>
      <c r="G730" s="11" t="s">
        <v>27</v>
      </c>
      <c r="H730" s="7" t="s">
        <v>83</v>
      </c>
      <c r="I730" s="11" t="s">
        <v>113</v>
      </c>
      <c r="J730" s="11" t="s">
        <v>80</v>
      </c>
      <c r="K730" s="12">
        <v>2015.0660041200001</v>
      </c>
      <c r="L730" s="12">
        <f t="shared" si="46"/>
        <v>2015.0660041200001</v>
      </c>
      <c r="M730" s="12">
        <v>0</v>
      </c>
      <c r="N730" s="12">
        <v>0</v>
      </c>
      <c r="O730" s="12">
        <v>2015.0660041200001</v>
      </c>
      <c r="P730" s="29">
        <v>25</v>
      </c>
    </row>
    <row r="731" spans="1:16" s="85" customFormat="1" ht="16.5" hidden="1" thickTop="1" thickBot="1" x14ac:dyDescent="0.3">
      <c r="A731" s="74" t="s">
        <v>111</v>
      </c>
      <c r="B731" s="25" t="s">
        <v>22</v>
      </c>
      <c r="C731" s="8" t="s">
        <v>25</v>
      </c>
      <c r="D731" s="7" t="s">
        <v>79</v>
      </c>
      <c r="E731" s="9" t="s">
        <v>67</v>
      </c>
      <c r="F731" s="10">
        <v>20</v>
      </c>
      <c r="G731" s="11" t="s">
        <v>29</v>
      </c>
      <c r="H731" s="7" t="s">
        <v>83</v>
      </c>
      <c r="I731" s="11" t="s">
        <v>9</v>
      </c>
      <c r="J731" s="11" t="s">
        <v>80</v>
      </c>
      <c r="K731" s="12">
        <v>8124.51</v>
      </c>
      <c r="L731" s="12">
        <f t="shared" si="46"/>
        <v>8124.51</v>
      </c>
      <c r="M731" s="12">
        <v>0</v>
      </c>
      <c r="N731" s="12">
        <v>0</v>
      </c>
      <c r="O731" s="12">
        <v>2240.7039719999998</v>
      </c>
      <c r="P731" s="29">
        <v>10</v>
      </c>
    </row>
    <row r="732" spans="1:16" s="85" customFormat="1" ht="16.5" hidden="1" thickTop="1" thickBot="1" x14ac:dyDescent="0.3">
      <c r="A732" s="74" t="s">
        <v>111</v>
      </c>
      <c r="B732" s="25" t="s">
        <v>22</v>
      </c>
      <c r="C732" s="8" t="s">
        <v>25</v>
      </c>
      <c r="D732" s="7" t="s">
        <v>79</v>
      </c>
      <c r="E732" s="9" t="s">
        <v>67</v>
      </c>
      <c r="F732" s="10">
        <v>20</v>
      </c>
      <c r="G732" s="13" t="s">
        <v>31</v>
      </c>
      <c r="H732" s="7" t="s">
        <v>83</v>
      </c>
      <c r="I732" s="11" t="s">
        <v>7</v>
      </c>
      <c r="J732" s="11" t="s">
        <v>80</v>
      </c>
      <c r="K732" s="12">
        <v>19669</v>
      </c>
      <c r="L732" s="12">
        <v>19669</v>
      </c>
      <c r="M732" s="12">
        <v>0</v>
      </c>
      <c r="N732" s="12">
        <v>0</v>
      </c>
      <c r="O732" s="12">
        <v>19669</v>
      </c>
      <c r="P732" s="29">
        <v>30</v>
      </c>
    </row>
    <row r="733" spans="1:16" s="85" customFormat="1" ht="16.5" hidden="1" thickTop="1" thickBot="1" x14ac:dyDescent="0.3">
      <c r="A733" s="74" t="s">
        <v>111</v>
      </c>
      <c r="B733" s="25" t="s">
        <v>5</v>
      </c>
      <c r="C733" s="8" t="s">
        <v>25</v>
      </c>
      <c r="D733" s="7" t="s">
        <v>79</v>
      </c>
      <c r="E733" s="9" t="s">
        <v>67</v>
      </c>
      <c r="F733" s="10">
        <v>20</v>
      </c>
      <c r="G733" s="11" t="s">
        <v>32</v>
      </c>
      <c r="H733" s="7" t="s">
        <v>83</v>
      </c>
      <c r="I733" s="11" t="s">
        <v>7</v>
      </c>
      <c r="J733" s="11" t="s">
        <v>80</v>
      </c>
      <c r="K733" s="12">
        <v>21216.65</v>
      </c>
      <c r="L733" s="12">
        <v>21216.65</v>
      </c>
      <c r="M733" s="12">
        <v>0</v>
      </c>
      <c r="N733" s="12">
        <v>1008.00076721625</v>
      </c>
      <c r="O733" s="12">
        <v>20208.649232783751</v>
      </c>
      <c r="P733" s="29">
        <v>10</v>
      </c>
    </row>
    <row r="734" spans="1:16" s="85" customFormat="1" ht="16.5" hidden="1" thickTop="1" thickBot="1" x14ac:dyDescent="0.3">
      <c r="A734" s="74" t="s">
        <v>111</v>
      </c>
      <c r="B734" s="25" t="s">
        <v>5</v>
      </c>
      <c r="C734" s="8" t="s">
        <v>25</v>
      </c>
      <c r="D734" s="7" t="s">
        <v>79</v>
      </c>
      <c r="E734" s="9" t="s">
        <v>67</v>
      </c>
      <c r="F734" s="10">
        <v>20</v>
      </c>
      <c r="G734" s="11" t="s">
        <v>32</v>
      </c>
      <c r="H734" s="7" t="s">
        <v>83</v>
      </c>
      <c r="I734" s="11" t="s">
        <v>97</v>
      </c>
      <c r="J734" s="11" t="s">
        <v>80</v>
      </c>
      <c r="K734" s="12">
        <v>10578.83</v>
      </c>
      <c r="L734" s="12">
        <v>10578.83</v>
      </c>
      <c r="M734" s="12">
        <v>0</v>
      </c>
      <c r="N734" s="12">
        <v>502.66571759999999</v>
      </c>
      <c r="O734" s="12">
        <v>10076.164282399999</v>
      </c>
      <c r="P734" s="29">
        <v>10</v>
      </c>
    </row>
    <row r="735" spans="1:16" s="85" customFormat="1" ht="16.5" hidden="1" thickTop="1" thickBot="1" x14ac:dyDescent="0.3">
      <c r="A735" s="74" t="s">
        <v>111</v>
      </c>
      <c r="B735" s="25" t="s">
        <v>5</v>
      </c>
      <c r="C735" s="8" t="s">
        <v>25</v>
      </c>
      <c r="D735" s="7" t="s">
        <v>79</v>
      </c>
      <c r="E735" s="9" t="s">
        <v>67</v>
      </c>
      <c r="F735" s="10">
        <v>20</v>
      </c>
      <c r="G735" s="11" t="s">
        <v>146</v>
      </c>
      <c r="H735" s="7" t="s">
        <v>83</v>
      </c>
      <c r="I735" s="11" t="s">
        <v>145</v>
      </c>
      <c r="J735" s="11" t="s">
        <v>80</v>
      </c>
      <c r="K735" s="12">
        <v>10637.82</v>
      </c>
      <c r="L735" s="12">
        <v>10637.82</v>
      </c>
      <c r="M735" s="12">
        <v>0</v>
      </c>
      <c r="N735" s="12">
        <v>505.32979499999999</v>
      </c>
      <c r="O735" s="12">
        <v>10132.490205</v>
      </c>
      <c r="P735" s="29">
        <v>10</v>
      </c>
    </row>
    <row r="736" spans="1:16" s="85" customFormat="1" ht="16.5" hidden="1" thickTop="1" thickBot="1" x14ac:dyDescent="0.3">
      <c r="A736" s="74" t="s">
        <v>111</v>
      </c>
      <c r="B736" s="25" t="s">
        <v>5</v>
      </c>
      <c r="C736" s="8" t="s">
        <v>25</v>
      </c>
      <c r="D736" s="7" t="s">
        <v>79</v>
      </c>
      <c r="E736" s="9" t="s">
        <v>67</v>
      </c>
      <c r="F736" s="10">
        <v>20</v>
      </c>
      <c r="G736" s="11" t="s">
        <v>146</v>
      </c>
      <c r="H736" s="7" t="s">
        <v>83</v>
      </c>
      <c r="I736" s="11" t="s">
        <v>7</v>
      </c>
      <c r="J736" s="11" t="s">
        <v>80</v>
      </c>
      <c r="K736" s="12">
        <v>10048.870000000001</v>
      </c>
      <c r="L736" s="12">
        <v>10048.870000000001</v>
      </c>
      <c r="M736" s="12">
        <v>0</v>
      </c>
      <c r="N736" s="12">
        <v>481.34</v>
      </c>
      <c r="O736" s="12">
        <v>9567.5300000000007</v>
      </c>
      <c r="P736" s="29">
        <v>10</v>
      </c>
    </row>
    <row r="737" spans="1:16" s="85" customFormat="1" ht="16.5" hidden="1" thickTop="1" thickBot="1" x14ac:dyDescent="0.3">
      <c r="A737" s="74" t="s">
        <v>111</v>
      </c>
      <c r="B737" s="25" t="s">
        <v>5</v>
      </c>
      <c r="C737" s="8" t="s">
        <v>25</v>
      </c>
      <c r="D737" s="7" t="s">
        <v>79</v>
      </c>
      <c r="E737" s="9" t="s">
        <v>67</v>
      </c>
      <c r="F737" s="10">
        <v>20</v>
      </c>
      <c r="G737" s="11" t="s">
        <v>32</v>
      </c>
      <c r="H737" s="7" t="s">
        <v>83</v>
      </c>
      <c r="I737" s="11" t="s">
        <v>98</v>
      </c>
      <c r="J737" s="11" t="s">
        <v>80</v>
      </c>
      <c r="K737" s="12">
        <v>14293.174999999999</v>
      </c>
      <c r="L737" s="12">
        <v>14293.174999999999</v>
      </c>
      <c r="M737" s="12">
        <v>0</v>
      </c>
      <c r="N737" s="12">
        <v>646.75</v>
      </c>
      <c r="O737" s="12">
        <v>13646.424999999999</v>
      </c>
      <c r="P737" s="29">
        <v>10</v>
      </c>
    </row>
    <row r="738" spans="1:16" s="85" customFormat="1" ht="16.5" hidden="1" thickTop="1" thickBot="1" x14ac:dyDescent="0.3">
      <c r="A738" s="74" t="s">
        <v>111</v>
      </c>
      <c r="B738" s="25" t="s">
        <v>10</v>
      </c>
      <c r="C738" s="8" t="s">
        <v>25</v>
      </c>
      <c r="D738" s="7" t="s">
        <v>79</v>
      </c>
      <c r="E738" s="9" t="s">
        <v>67</v>
      </c>
      <c r="F738" s="10">
        <v>20</v>
      </c>
      <c r="G738" s="11" t="s">
        <v>32</v>
      </c>
      <c r="H738" s="7" t="s">
        <v>83</v>
      </c>
      <c r="I738" s="11" t="s">
        <v>96</v>
      </c>
      <c r="J738" s="11" t="s">
        <v>80</v>
      </c>
      <c r="K738" s="12">
        <v>2000</v>
      </c>
      <c r="L738" s="12">
        <v>2000</v>
      </c>
      <c r="M738" s="12">
        <v>0</v>
      </c>
      <c r="N738" s="12">
        <v>0</v>
      </c>
      <c r="O738" s="12">
        <v>2000</v>
      </c>
      <c r="P738" s="29">
        <v>10</v>
      </c>
    </row>
    <row r="739" spans="1:16" s="85" customFormat="1" ht="16.5" hidden="1" thickTop="1" thickBot="1" x14ac:dyDescent="0.3">
      <c r="A739" s="74" t="s">
        <v>111</v>
      </c>
      <c r="B739" s="25" t="s">
        <v>11</v>
      </c>
      <c r="C739" s="8" t="s">
        <v>25</v>
      </c>
      <c r="D739" s="7" t="s">
        <v>79</v>
      </c>
      <c r="E739" s="9" t="s">
        <v>67</v>
      </c>
      <c r="F739" s="10">
        <v>15</v>
      </c>
      <c r="G739" s="11" t="s">
        <v>33</v>
      </c>
      <c r="H739" s="7" t="s">
        <v>83</v>
      </c>
      <c r="I739" s="11" t="s">
        <v>7</v>
      </c>
      <c r="J739" s="11" t="s">
        <v>80</v>
      </c>
      <c r="K739" s="12">
        <v>22528.080000000002</v>
      </c>
      <c r="L739" s="12">
        <f>K739</f>
        <v>22528.080000000002</v>
      </c>
      <c r="M739" s="12">
        <v>0</v>
      </c>
      <c r="N739" s="12">
        <f>L739*14%</f>
        <v>3153.9312000000004</v>
      </c>
      <c r="O739" s="12">
        <v>18925.236875999999</v>
      </c>
      <c r="P739" s="29">
        <v>30</v>
      </c>
    </row>
    <row r="740" spans="1:16" s="85" customFormat="1" ht="16.5" hidden="1" thickTop="1" thickBot="1" x14ac:dyDescent="0.3">
      <c r="A740" s="74" t="s">
        <v>111</v>
      </c>
      <c r="B740" s="25" t="s">
        <v>22</v>
      </c>
      <c r="C740" s="8" t="s">
        <v>25</v>
      </c>
      <c r="D740" s="7" t="s">
        <v>79</v>
      </c>
      <c r="E740" s="9" t="s">
        <v>67</v>
      </c>
      <c r="F740" s="10">
        <v>15</v>
      </c>
      <c r="G740" s="11" t="s">
        <v>120</v>
      </c>
      <c r="H740" s="7" t="s">
        <v>83</v>
      </c>
      <c r="I740" s="11" t="s">
        <v>9</v>
      </c>
      <c r="J740" s="11" t="s">
        <v>80</v>
      </c>
      <c r="K740" s="12">
        <v>4285.72</v>
      </c>
      <c r="L740" s="12">
        <v>4286.7038499999999</v>
      </c>
      <c r="M740" s="12">
        <v>0</v>
      </c>
      <c r="N740" s="12">
        <v>0</v>
      </c>
      <c r="O740" s="12">
        <v>4286.7038499999999</v>
      </c>
      <c r="P740" s="29">
        <v>30</v>
      </c>
    </row>
    <row r="741" spans="1:16" s="85" customFormat="1" ht="16.5" hidden="1" thickTop="1" thickBot="1" x14ac:dyDescent="0.3">
      <c r="A741" s="74" t="s">
        <v>111</v>
      </c>
      <c r="B741" s="25" t="s">
        <v>22</v>
      </c>
      <c r="C741" s="8" t="s">
        <v>25</v>
      </c>
      <c r="D741" s="7" t="s">
        <v>79</v>
      </c>
      <c r="E741" s="9" t="s">
        <v>67</v>
      </c>
      <c r="F741" s="10">
        <v>15</v>
      </c>
      <c r="G741" s="11" t="s">
        <v>33</v>
      </c>
      <c r="H741" s="7" t="s">
        <v>83</v>
      </c>
      <c r="I741" s="11" t="s">
        <v>9</v>
      </c>
      <c r="J741" s="11" t="s">
        <v>80</v>
      </c>
      <c r="K741" s="12">
        <v>8571.4500000000007</v>
      </c>
      <c r="L741" s="12">
        <v>8573.4076999999997</v>
      </c>
      <c r="M741" s="12">
        <v>0</v>
      </c>
      <c r="N741" s="12">
        <v>0</v>
      </c>
      <c r="O741" s="12">
        <v>8573.4076999999997</v>
      </c>
      <c r="P741" s="29">
        <v>30</v>
      </c>
    </row>
    <row r="742" spans="1:16" s="85" customFormat="1" ht="16.5" hidden="1" thickTop="1" thickBot="1" x14ac:dyDescent="0.3">
      <c r="A742" s="74" t="s">
        <v>111</v>
      </c>
      <c r="B742" s="25" t="s">
        <v>22</v>
      </c>
      <c r="C742" s="8" t="s">
        <v>60</v>
      </c>
      <c r="D742" s="7" t="s">
        <v>79</v>
      </c>
      <c r="E742" s="9" t="s">
        <v>67</v>
      </c>
      <c r="F742" s="10">
        <v>1</v>
      </c>
      <c r="G742" s="11" t="s">
        <v>34</v>
      </c>
      <c r="H742" s="7" t="s">
        <v>87</v>
      </c>
      <c r="I742" s="11" t="s">
        <v>20</v>
      </c>
      <c r="J742" s="11" t="s">
        <v>105</v>
      </c>
      <c r="K742" s="12">
        <v>40851.191603430001</v>
      </c>
      <c r="L742" s="12">
        <f>K742*60%</f>
        <v>24510.714962057998</v>
      </c>
      <c r="M742" s="12">
        <f>K742*40%</f>
        <v>16340.476641372001</v>
      </c>
      <c r="N742" s="12">
        <v>0</v>
      </c>
      <c r="O742" s="12">
        <v>40851.191603430001</v>
      </c>
      <c r="P742" s="29">
        <v>30</v>
      </c>
    </row>
    <row r="743" spans="1:16" s="85" customFormat="1" ht="16.5" hidden="1" thickTop="1" thickBot="1" x14ac:dyDescent="0.3">
      <c r="A743" s="74" t="s">
        <v>111</v>
      </c>
      <c r="B743" s="25" t="s">
        <v>22</v>
      </c>
      <c r="C743" s="8" t="s">
        <v>60</v>
      </c>
      <c r="D743" s="7" t="s">
        <v>79</v>
      </c>
      <c r="E743" s="9" t="s">
        <v>67</v>
      </c>
      <c r="F743" s="10">
        <v>1</v>
      </c>
      <c r="G743" s="11" t="s">
        <v>34</v>
      </c>
      <c r="H743" s="7" t="s">
        <v>87</v>
      </c>
      <c r="I743" s="11" t="s">
        <v>9</v>
      </c>
      <c r="J743" s="11" t="s">
        <v>105</v>
      </c>
      <c r="K743" s="72">
        <v>32314.78</v>
      </c>
      <c r="L743" s="12">
        <f t="shared" ref="L743:L749" si="47">K743*60%</f>
        <v>19388.867999999999</v>
      </c>
      <c r="M743" s="12">
        <f t="shared" ref="M743:M749" si="48">K743*40%</f>
        <v>12925.912</v>
      </c>
      <c r="N743" s="12">
        <v>0</v>
      </c>
      <c r="O743" s="12">
        <v>33354.561456449999</v>
      </c>
      <c r="P743" s="29">
        <v>30</v>
      </c>
    </row>
    <row r="744" spans="1:16" s="85" customFormat="1" ht="16.5" hidden="1" thickTop="1" thickBot="1" x14ac:dyDescent="0.3">
      <c r="A744" s="74" t="s">
        <v>111</v>
      </c>
      <c r="B744" s="25" t="s">
        <v>22</v>
      </c>
      <c r="C744" s="8" t="s">
        <v>60</v>
      </c>
      <c r="D744" s="7" t="s">
        <v>79</v>
      </c>
      <c r="E744" s="9" t="s">
        <v>67</v>
      </c>
      <c r="F744" s="10">
        <v>1</v>
      </c>
      <c r="G744" s="11" t="s">
        <v>35</v>
      </c>
      <c r="H744" s="7" t="s">
        <v>83</v>
      </c>
      <c r="I744" s="11" t="s">
        <v>9</v>
      </c>
      <c r="J744" s="11" t="s">
        <v>105</v>
      </c>
      <c r="K744" s="72">
        <v>23105.040000000001</v>
      </c>
      <c r="L744" s="12">
        <f t="shared" si="47"/>
        <v>13863.023999999999</v>
      </c>
      <c r="M744" s="12">
        <f t="shared" si="48"/>
        <v>9242.0160000000014</v>
      </c>
      <c r="N744" s="12">
        <v>0</v>
      </c>
      <c r="O744" s="12">
        <v>23847.740911214998</v>
      </c>
      <c r="P744" s="29">
        <v>30</v>
      </c>
    </row>
    <row r="745" spans="1:16" s="85" customFormat="1" ht="16.5" hidden="1" thickTop="1" thickBot="1" x14ac:dyDescent="0.3">
      <c r="A745" s="74" t="s">
        <v>111</v>
      </c>
      <c r="B745" s="25" t="s">
        <v>22</v>
      </c>
      <c r="C745" s="8" t="s">
        <v>60</v>
      </c>
      <c r="D745" s="7" t="s">
        <v>79</v>
      </c>
      <c r="E745" s="9" t="s">
        <v>67</v>
      </c>
      <c r="F745" s="10">
        <v>1</v>
      </c>
      <c r="G745" s="11" t="s">
        <v>36</v>
      </c>
      <c r="H745" s="7" t="s">
        <v>89</v>
      </c>
      <c r="I745" s="11" t="s">
        <v>20</v>
      </c>
      <c r="J745" s="11" t="s">
        <v>105</v>
      </c>
      <c r="K745" s="12">
        <v>40851.191603430001</v>
      </c>
      <c r="L745" s="12">
        <f t="shared" si="47"/>
        <v>24510.714962057998</v>
      </c>
      <c r="M745" s="12">
        <f t="shared" si="48"/>
        <v>16340.476641372001</v>
      </c>
      <c r="N745" s="12">
        <v>0</v>
      </c>
      <c r="O745" s="12">
        <v>40851.191603430001</v>
      </c>
      <c r="P745" s="29">
        <v>30</v>
      </c>
    </row>
    <row r="746" spans="1:16" s="85" customFormat="1" ht="16.5" hidden="1" thickTop="1" thickBot="1" x14ac:dyDescent="0.3">
      <c r="A746" s="74" t="s">
        <v>111</v>
      </c>
      <c r="B746" s="25" t="s">
        <v>22</v>
      </c>
      <c r="C746" s="8" t="s">
        <v>60</v>
      </c>
      <c r="D746" s="7" t="s">
        <v>79</v>
      </c>
      <c r="E746" s="9" t="s">
        <v>67</v>
      </c>
      <c r="F746" s="10">
        <v>1</v>
      </c>
      <c r="G746" s="11" t="s">
        <v>36</v>
      </c>
      <c r="H746" s="7" t="s">
        <v>89</v>
      </c>
      <c r="I746" s="11" t="s">
        <v>9</v>
      </c>
      <c r="J746" s="11" t="s">
        <v>105</v>
      </c>
      <c r="K746" s="72">
        <v>32314.78</v>
      </c>
      <c r="L746" s="12">
        <f t="shared" si="47"/>
        <v>19388.867999999999</v>
      </c>
      <c r="M746" s="12">
        <f t="shared" si="48"/>
        <v>12925.912</v>
      </c>
      <c r="N746" s="12">
        <v>0</v>
      </c>
      <c r="O746" s="12">
        <v>33354.561456449999</v>
      </c>
      <c r="P746" s="29">
        <v>30</v>
      </c>
    </row>
    <row r="747" spans="1:16" s="85" customFormat="1" ht="16.5" hidden="1" thickTop="1" thickBot="1" x14ac:dyDescent="0.3">
      <c r="A747" s="74" t="s">
        <v>111</v>
      </c>
      <c r="B747" s="25" t="s">
        <v>22</v>
      </c>
      <c r="C747" s="8" t="s">
        <v>60</v>
      </c>
      <c r="D747" s="7" t="s">
        <v>79</v>
      </c>
      <c r="E747" s="9" t="s">
        <v>67</v>
      </c>
      <c r="F747" s="10">
        <v>1</v>
      </c>
      <c r="G747" s="11" t="s">
        <v>37</v>
      </c>
      <c r="H747" s="7" t="s">
        <v>85</v>
      </c>
      <c r="I747" s="11" t="s">
        <v>9</v>
      </c>
      <c r="J747" s="11" t="s">
        <v>105</v>
      </c>
      <c r="K747" s="72">
        <v>13863.02</v>
      </c>
      <c r="L747" s="12">
        <f t="shared" si="47"/>
        <v>8317.8119999999999</v>
      </c>
      <c r="M747" s="12">
        <f t="shared" si="48"/>
        <v>5545.2080000000005</v>
      </c>
      <c r="N747" s="12">
        <v>0</v>
      </c>
      <c r="O747" s="12">
        <v>14308.64685198</v>
      </c>
      <c r="P747" s="29">
        <v>30</v>
      </c>
    </row>
    <row r="748" spans="1:16" s="85" customFormat="1" ht="16.5" hidden="1" thickTop="1" thickBot="1" x14ac:dyDescent="0.3">
      <c r="A748" s="74" t="s">
        <v>111</v>
      </c>
      <c r="B748" s="25" t="s">
        <v>22</v>
      </c>
      <c r="C748" s="8" t="s">
        <v>60</v>
      </c>
      <c r="D748" s="7" t="s">
        <v>79</v>
      </c>
      <c r="E748" s="9" t="s">
        <v>67</v>
      </c>
      <c r="F748" s="10">
        <v>1</v>
      </c>
      <c r="G748" s="11" t="s">
        <v>93</v>
      </c>
      <c r="H748" s="7" t="s">
        <v>85</v>
      </c>
      <c r="I748" s="11" t="s">
        <v>9</v>
      </c>
      <c r="J748" s="11" t="s">
        <v>105</v>
      </c>
      <c r="K748" s="72">
        <v>18484.02</v>
      </c>
      <c r="L748" s="12">
        <f t="shared" si="47"/>
        <v>11090.412</v>
      </c>
      <c r="M748" s="12">
        <f t="shared" si="48"/>
        <v>7393.6080000000002</v>
      </c>
      <c r="N748" s="12">
        <v>0</v>
      </c>
      <c r="O748" s="12">
        <v>19078.18811847</v>
      </c>
      <c r="P748" s="29">
        <v>30</v>
      </c>
    </row>
    <row r="749" spans="1:16" s="85" customFormat="1" ht="16.5" hidden="1" thickTop="1" thickBot="1" x14ac:dyDescent="0.3">
      <c r="A749" s="74" t="s">
        <v>111</v>
      </c>
      <c r="B749" s="25" t="s">
        <v>22</v>
      </c>
      <c r="C749" s="8" t="s">
        <v>60</v>
      </c>
      <c r="D749" s="7" t="s">
        <v>79</v>
      </c>
      <c r="E749" s="9" t="s">
        <v>67</v>
      </c>
      <c r="F749" s="10">
        <v>1</v>
      </c>
      <c r="G749" s="11" t="s">
        <v>38</v>
      </c>
      <c r="H749" s="7" t="s">
        <v>85</v>
      </c>
      <c r="I749" s="11" t="s">
        <v>9</v>
      </c>
      <c r="J749" s="11" t="s">
        <v>105</v>
      </c>
      <c r="K749" s="72">
        <v>13863.02</v>
      </c>
      <c r="L749" s="12">
        <f t="shared" si="47"/>
        <v>8317.8119999999999</v>
      </c>
      <c r="M749" s="12">
        <f t="shared" si="48"/>
        <v>5545.2080000000005</v>
      </c>
      <c r="N749" s="12">
        <v>0</v>
      </c>
      <c r="O749" s="12">
        <v>9539.0940592349998</v>
      </c>
      <c r="P749" s="29">
        <v>30</v>
      </c>
    </row>
    <row r="750" spans="1:16" s="85" customFormat="1" ht="16.5" hidden="1" thickTop="1" thickBot="1" x14ac:dyDescent="0.3">
      <c r="A750" s="74" t="s">
        <v>111</v>
      </c>
      <c r="B750" s="25" t="s">
        <v>11</v>
      </c>
      <c r="C750" s="8" t="s">
        <v>60</v>
      </c>
      <c r="D750" s="7" t="s">
        <v>79</v>
      </c>
      <c r="E750" s="9" t="s">
        <v>67</v>
      </c>
      <c r="F750" s="10">
        <v>20</v>
      </c>
      <c r="G750" s="11" t="s">
        <v>119</v>
      </c>
      <c r="H750" s="7" t="s">
        <v>85</v>
      </c>
      <c r="I750" s="11" t="s">
        <v>7</v>
      </c>
      <c r="J750" s="11" t="s">
        <v>103</v>
      </c>
      <c r="K750" s="12">
        <v>19006</v>
      </c>
      <c r="L750" s="12">
        <v>19006</v>
      </c>
      <c r="M750" s="12">
        <v>0</v>
      </c>
      <c r="N750" s="12">
        <f>L750*14%</f>
        <v>2660.84</v>
      </c>
      <c r="O750" s="12">
        <v>15965.04</v>
      </c>
      <c r="P750" s="29">
        <v>20</v>
      </c>
    </row>
    <row r="751" spans="1:16" s="85" customFormat="1" ht="16.5" hidden="1" thickTop="1" thickBot="1" x14ac:dyDescent="0.3">
      <c r="A751" s="74" t="s">
        <v>111</v>
      </c>
      <c r="B751" s="25" t="s">
        <v>13</v>
      </c>
      <c r="C751" s="8" t="s">
        <v>60</v>
      </c>
      <c r="D751" s="7" t="s">
        <v>79</v>
      </c>
      <c r="E751" s="9" t="s">
        <v>67</v>
      </c>
      <c r="F751" s="10">
        <v>20</v>
      </c>
      <c r="G751" s="11" t="s">
        <v>119</v>
      </c>
      <c r="H751" s="7" t="s">
        <v>85</v>
      </c>
      <c r="I751" s="11" t="s">
        <v>9</v>
      </c>
      <c r="J751" s="11" t="s">
        <v>103</v>
      </c>
      <c r="K751" s="12">
        <v>8619</v>
      </c>
      <c r="L751" s="12">
        <v>8619</v>
      </c>
      <c r="M751" s="12">
        <v>0</v>
      </c>
      <c r="N751" s="12">
        <f>L751*16%</f>
        <v>1379.04</v>
      </c>
      <c r="O751" s="12">
        <v>7239.96</v>
      </c>
      <c r="P751" s="29">
        <v>20</v>
      </c>
    </row>
    <row r="752" spans="1:16" s="85" customFormat="1" ht="16.5" hidden="1" thickTop="1" thickBot="1" x14ac:dyDescent="0.3">
      <c r="A752" s="74" t="s">
        <v>111</v>
      </c>
      <c r="B752" s="25" t="s">
        <v>10</v>
      </c>
      <c r="C752" s="8" t="s">
        <v>60</v>
      </c>
      <c r="D752" s="7" t="s">
        <v>79</v>
      </c>
      <c r="E752" s="9" t="s">
        <v>67</v>
      </c>
      <c r="F752" s="10">
        <v>20</v>
      </c>
      <c r="G752" s="11" t="s">
        <v>119</v>
      </c>
      <c r="H752" s="7" t="s">
        <v>85</v>
      </c>
      <c r="I752" s="11" t="s">
        <v>96</v>
      </c>
      <c r="J752" s="11" t="s">
        <v>103</v>
      </c>
      <c r="K752" s="12">
        <v>1785.7</v>
      </c>
      <c r="L752" s="12">
        <v>1785.7</v>
      </c>
      <c r="M752" s="12">
        <v>0</v>
      </c>
      <c r="N752" s="12">
        <v>0</v>
      </c>
      <c r="O752" s="12">
        <v>1785.7</v>
      </c>
      <c r="P752" s="29">
        <v>20</v>
      </c>
    </row>
    <row r="753" spans="1:16" s="85" customFormat="1" ht="16.5" hidden="1" thickTop="1" thickBot="1" x14ac:dyDescent="0.3">
      <c r="A753" s="74" t="s">
        <v>111</v>
      </c>
      <c r="B753" s="25" t="s">
        <v>13</v>
      </c>
      <c r="C753" s="8" t="s">
        <v>60</v>
      </c>
      <c r="D753" s="7" t="s">
        <v>79</v>
      </c>
      <c r="E753" s="9" t="s">
        <v>66</v>
      </c>
      <c r="F753" s="10">
        <v>20</v>
      </c>
      <c r="G753" s="11" t="s">
        <v>94</v>
      </c>
      <c r="H753" s="7" t="s">
        <v>86</v>
      </c>
      <c r="I753" s="11" t="s">
        <v>9</v>
      </c>
      <c r="J753" s="11" t="s">
        <v>103</v>
      </c>
      <c r="K753" s="12">
        <v>17100.98</v>
      </c>
      <c r="L753" s="12">
        <v>17100.98</v>
      </c>
      <c r="M753" s="12">
        <v>0</v>
      </c>
      <c r="N753" s="12">
        <f>L753*16%</f>
        <v>2736.1568000000002</v>
      </c>
      <c r="O753" s="12">
        <v>14364.823199999999</v>
      </c>
      <c r="P753" s="29">
        <v>20</v>
      </c>
    </row>
    <row r="754" spans="1:16" s="85" customFormat="1" ht="16.5" hidden="1" thickTop="1" thickBot="1" x14ac:dyDescent="0.3">
      <c r="A754" s="74" t="s">
        <v>111</v>
      </c>
      <c r="B754" s="25" t="s">
        <v>11</v>
      </c>
      <c r="C754" s="8" t="s">
        <v>60</v>
      </c>
      <c r="D754" s="7" t="s">
        <v>79</v>
      </c>
      <c r="E754" s="9" t="s">
        <v>66</v>
      </c>
      <c r="F754" s="10">
        <v>20</v>
      </c>
      <c r="G754" s="11" t="s">
        <v>94</v>
      </c>
      <c r="H754" s="7" t="s">
        <v>86</v>
      </c>
      <c r="I754" s="11" t="s">
        <v>15</v>
      </c>
      <c r="J754" s="11" t="s">
        <v>103</v>
      </c>
      <c r="K754" s="12">
        <v>7270.9</v>
      </c>
      <c r="L754" s="12">
        <f>K754</f>
        <v>7270.9</v>
      </c>
      <c r="M754" s="12">
        <v>0</v>
      </c>
      <c r="N754" s="12">
        <v>0</v>
      </c>
      <c r="O754" s="12">
        <v>1785.7</v>
      </c>
      <c r="P754" s="29">
        <v>20</v>
      </c>
    </row>
    <row r="755" spans="1:16" s="85" customFormat="1" ht="16.5" hidden="1" thickTop="1" thickBot="1" x14ac:dyDescent="0.3">
      <c r="A755" s="74" t="s">
        <v>111</v>
      </c>
      <c r="B755" s="25" t="s">
        <v>22</v>
      </c>
      <c r="C755" s="8" t="s">
        <v>61</v>
      </c>
      <c r="D755" s="7" t="s">
        <v>79</v>
      </c>
      <c r="E755" s="9" t="s">
        <v>67</v>
      </c>
      <c r="F755" s="10">
        <v>20</v>
      </c>
      <c r="G755" s="13" t="s">
        <v>39</v>
      </c>
      <c r="H755" s="7" t="s">
        <v>83</v>
      </c>
      <c r="I755" s="11" t="s">
        <v>7</v>
      </c>
      <c r="J755" s="11" t="s">
        <v>80</v>
      </c>
      <c r="K755" s="12">
        <v>20673.5597797423</v>
      </c>
      <c r="L755" s="12">
        <v>12404.13586784538</v>
      </c>
      <c r="M755" s="12">
        <v>8269.4239118969199</v>
      </c>
      <c r="N755" s="12">
        <v>0</v>
      </c>
      <c r="O755" s="12">
        <v>20673.5597797423</v>
      </c>
      <c r="P755" s="29">
        <v>17</v>
      </c>
    </row>
    <row r="756" spans="1:16" s="85" customFormat="1" ht="16.5" hidden="1" thickTop="1" thickBot="1" x14ac:dyDescent="0.3">
      <c r="A756" s="74" t="s">
        <v>111</v>
      </c>
      <c r="B756" s="25" t="s">
        <v>22</v>
      </c>
      <c r="C756" s="8" t="s">
        <v>61</v>
      </c>
      <c r="D756" s="7" t="s">
        <v>79</v>
      </c>
      <c r="E756" s="9" t="s">
        <v>67</v>
      </c>
      <c r="F756" s="10">
        <v>20</v>
      </c>
      <c r="G756" s="13" t="s">
        <v>92</v>
      </c>
      <c r="H756" s="7" t="s">
        <v>83</v>
      </c>
      <c r="I756" s="11" t="s">
        <v>9</v>
      </c>
      <c r="J756" s="11" t="s">
        <v>80</v>
      </c>
      <c r="K756" s="12">
        <v>5071.55</v>
      </c>
      <c r="L756" s="12">
        <v>5071.55</v>
      </c>
      <c r="M756" s="12">
        <v>0</v>
      </c>
      <c r="N756" s="12">
        <v>0</v>
      </c>
      <c r="O756" s="12">
        <v>5071.55</v>
      </c>
      <c r="P756" s="29">
        <v>15</v>
      </c>
    </row>
    <row r="757" spans="1:16" s="85" customFormat="1" ht="16.5" hidden="1" thickTop="1" thickBot="1" x14ac:dyDescent="0.3">
      <c r="A757" s="74" t="s">
        <v>111</v>
      </c>
      <c r="B757" s="25" t="s">
        <v>22</v>
      </c>
      <c r="C757" s="8" t="s">
        <v>61</v>
      </c>
      <c r="D757" s="7" t="s">
        <v>79</v>
      </c>
      <c r="E757" s="9" t="s">
        <v>67</v>
      </c>
      <c r="F757" s="10">
        <v>1</v>
      </c>
      <c r="G757" s="11" t="s">
        <v>45</v>
      </c>
      <c r="H757" s="7" t="s">
        <v>91</v>
      </c>
      <c r="I757" s="11" t="s">
        <v>20</v>
      </c>
      <c r="J757" s="11" t="s">
        <v>105</v>
      </c>
      <c r="K757" s="12">
        <v>40617.404573265005</v>
      </c>
      <c r="L757" s="12">
        <f t="shared" ref="L757:L766" si="49">K757*60%</f>
        <v>24370.442743959004</v>
      </c>
      <c r="M757" s="12">
        <f t="shared" ref="M757:M766" si="50">K757*40%</f>
        <v>16246.961829306003</v>
      </c>
      <c r="N757" s="12">
        <v>1837.8916096500002</v>
      </c>
      <c r="O757" s="12">
        <v>38779.512963615001</v>
      </c>
      <c r="P757" s="29">
        <v>30</v>
      </c>
    </row>
    <row r="758" spans="1:16" s="85" customFormat="1" ht="16.5" hidden="1" thickTop="1" thickBot="1" x14ac:dyDescent="0.3">
      <c r="A758" s="74" t="s">
        <v>111</v>
      </c>
      <c r="B758" s="25" t="s">
        <v>22</v>
      </c>
      <c r="C758" s="8" t="s">
        <v>61</v>
      </c>
      <c r="D758" s="7" t="s">
        <v>79</v>
      </c>
      <c r="E758" s="9" t="s">
        <v>67</v>
      </c>
      <c r="F758" s="10">
        <v>1</v>
      </c>
      <c r="G758" s="11" t="s">
        <v>132</v>
      </c>
      <c r="H758" s="7" t="s">
        <v>88</v>
      </c>
      <c r="I758" s="11" t="s">
        <v>9</v>
      </c>
      <c r="J758" s="11" t="s">
        <v>105</v>
      </c>
      <c r="K758" s="72">
        <v>32347.05</v>
      </c>
      <c r="L758" s="12">
        <f t="shared" si="49"/>
        <v>19408.23</v>
      </c>
      <c r="M758" s="12">
        <f t="shared" si="50"/>
        <v>12938.82</v>
      </c>
      <c r="N758" s="12">
        <v>0</v>
      </c>
      <c r="O758" s="12">
        <v>33386.834650000004</v>
      </c>
      <c r="P758" s="29">
        <v>30</v>
      </c>
    </row>
    <row r="759" spans="1:16" s="85" customFormat="1" ht="16.5" hidden="1" thickTop="1" thickBot="1" x14ac:dyDescent="0.3">
      <c r="A759" s="74" t="s">
        <v>111</v>
      </c>
      <c r="B759" s="25" t="s">
        <v>22</v>
      </c>
      <c r="C759" s="8" t="s">
        <v>61</v>
      </c>
      <c r="D759" s="7" t="s">
        <v>79</v>
      </c>
      <c r="E759" s="9" t="s">
        <v>67</v>
      </c>
      <c r="F759" s="10">
        <v>1</v>
      </c>
      <c r="G759" s="11" t="s">
        <v>129</v>
      </c>
      <c r="H759" s="7" t="s">
        <v>85</v>
      </c>
      <c r="I759" s="11" t="s">
        <v>9</v>
      </c>
      <c r="J759" s="11" t="s">
        <v>105</v>
      </c>
      <c r="K759" s="72">
        <v>27726.03</v>
      </c>
      <c r="L759" s="12">
        <f t="shared" si="49"/>
        <v>16635.617999999999</v>
      </c>
      <c r="M759" s="12">
        <f t="shared" si="50"/>
        <v>11090.412</v>
      </c>
      <c r="N759" s="12">
        <v>0</v>
      </c>
      <c r="O759" s="12">
        <v>28617.27895</v>
      </c>
      <c r="P759" s="29">
        <v>30</v>
      </c>
    </row>
    <row r="760" spans="1:16" s="85" customFormat="1" ht="16.5" hidden="1" thickTop="1" thickBot="1" x14ac:dyDescent="0.3">
      <c r="A760" s="74" t="s">
        <v>111</v>
      </c>
      <c r="B760" s="25" t="s">
        <v>22</v>
      </c>
      <c r="C760" s="8" t="s">
        <v>61</v>
      </c>
      <c r="D760" s="7" t="s">
        <v>79</v>
      </c>
      <c r="E760" s="9" t="s">
        <v>67</v>
      </c>
      <c r="F760" s="10">
        <v>1</v>
      </c>
      <c r="G760" s="11" t="s">
        <v>45</v>
      </c>
      <c r="H760" s="7" t="s">
        <v>91</v>
      </c>
      <c r="I760" s="11" t="s">
        <v>9</v>
      </c>
      <c r="J760" s="11" t="s">
        <v>105</v>
      </c>
      <c r="K760" s="72">
        <v>27726.04</v>
      </c>
      <c r="L760" s="12">
        <f t="shared" si="49"/>
        <v>16635.624</v>
      </c>
      <c r="M760" s="12">
        <f t="shared" si="50"/>
        <v>11090.416000000001</v>
      </c>
      <c r="N760" s="12">
        <v>1294.8996460500002</v>
      </c>
      <c r="O760" s="12">
        <v>27322.382531654999</v>
      </c>
      <c r="P760" s="29">
        <v>30</v>
      </c>
    </row>
    <row r="761" spans="1:16" s="85" customFormat="1" ht="16.5" hidden="1" thickTop="1" thickBot="1" x14ac:dyDescent="0.3">
      <c r="A761" s="74" t="s">
        <v>111</v>
      </c>
      <c r="B761" s="25" t="s">
        <v>22</v>
      </c>
      <c r="C761" s="8" t="s">
        <v>61</v>
      </c>
      <c r="D761" s="7" t="s">
        <v>79</v>
      </c>
      <c r="E761" s="9" t="s">
        <v>67</v>
      </c>
      <c r="F761" s="10">
        <v>1</v>
      </c>
      <c r="G761" s="11" t="s">
        <v>46</v>
      </c>
      <c r="H761" s="7" t="s">
        <v>85</v>
      </c>
      <c r="I761" s="11" t="s">
        <v>20</v>
      </c>
      <c r="J761" s="11" t="s">
        <v>105</v>
      </c>
      <c r="K761" s="12">
        <v>58492.355406029994</v>
      </c>
      <c r="L761" s="12">
        <f t="shared" si="49"/>
        <v>35095.413243617993</v>
      </c>
      <c r="M761" s="12">
        <f t="shared" si="50"/>
        <v>23396.942162412</v>
      </c>
      <c r="N761" s="12">
        <v>0</v>
      </c>
      <c r="O761" s="12">
        <v>58492.355406029994</v>
      </c>
      <c r="P761" s="29">
        <v>30</v>
      </c>
    </row>
    <row r="762" spans="1:16" s="85" customFormat="1" ht="16.5" hidden="1" thickTop="1" thickBot="1" x14ac:dyDescent="0.3">
      <c r="A762" s="74" t="s">
        <v>111</v>
      </c>
      <c r="B762" s="25" t="s">
        <v>22</v>
      </c>
      <c r="C762" s="8" t="s">
        <v>61</v>
      </c>
      <c r="D762" s="7" t="s">
        <v>79</v>
      </c>
      <c r="E762" s="9" t="s">
        <v>67</v>
      </c>
      <c r="F762" s="10">
        <v>1</v>
      </c>
      <c r="G762" s="11" t="s">
        <v>46</v>
      </c>
      <c r="H762" s="7" t="s">
        <v>85</v>
      </c>
      <c r="I762" s="11" t="s">
        <v>98</v>
      </c>
      <c r="J762" s="11" t="s">
        <v>105</v>
      </c>
      <c r="K762" s="12">
        <v>3457.8765000000003</v>
      </c>
      <c r="L762" s="12">
        <f t="shared" si="49"/>
        <v>2074.7258999999999</v>
      </c>
      <c r="M762" s="12">
        <f t="shared" si="50"/>
        <v>1383.1506000000002</v>
      </c>
      <c r="N762" s="12">
        <v>0</v>
      </c>
      <c r="O762" s="12">
        <v>3457.8765000000003</v>
      </c>
      <c r="P762" s="29">
        <v>30</v>
      </c>
    </row>
    <row r="763" spans="1:16" s="85" customFormat="1" ht="16.5" hidden="1" thickTop="1" thickBot="1" x14ac:dyDescent="0.3">
      <c r="A763" s="74" t="s">
        <v>111</v>
      </c>
      <c r="B763" s="25" t="s">
        <v>22</v>
      </c>
      <c r="C763" s="8" t="s">
        <v>61</v>
      </c>
      <c r="D763" s="7" t="s">
        <v>79</v>
      </c>
      <c r="E763" s="9" t="s">
        <v>67</v>
      </c>
      <c r="F763" s="10">
        <v>1</v>
      </c>
      <c r="G763" s="11" t="s">
        <v>46</v>
      </c>
      <c r="H763" s="7" t="s">
        <v>85</v>
      </c>
      <c r="I763" s="11" t="s">
        <v>9</v>
      </c>
      <c r="J763" s="11" t="s">
        <v>105</v>
      </c>
      <c r="K763" s="72">
        <v>41589.06</v>
      </c>
      <c r="L763" s="12">
        <f t="shared" si="49"/>
        <v>24953.435999999998</v>
      </c>
      <c r="M763" s="12">
        <f t="shared" si="50"/>
        <v>16635.624</v>
      </c>
      <c r="N763" s="12">
        <v>0</v>
      </c>
      <c r="O763" s="12">
        <v>42925.929029685009</v>
      </c>
      <c r="P763" s="29">
        <v>30</v>
      </c>
    </row>
    <row r="764" spans="1:16" s="85" customFormat="1" ht="16.5" hidden="1" thickTop="1" thickBot="1" x14ac:dyDescent="0.3">
      <c r="A764" s="74" t="s">
        <v>111</v>
      </c>
      <c r="B764" s="25" t="s">
        <v>22</v>
      </c>
      <c r="C764" s="8" t="s">
        <v>61</v>
      </c>
      <c r="D764" s="7" t="s">
        <v>79</v>
      </c>
      <c r="E764" s="9" t="s">
        <v>67</v>
      </c>
      <c r="F764" s="10">
        <v>1</v>
      </c>
      <c r="G764" s="11" t="s">
        <v>46</v>
      </c>
      <c r="H764" s="7" t="s">
        <v>85</v>
      </c>
      <c r="I764" s="11" t="s">
        <v>97</v>
      </c>
      <c r="J764" s="11" t="s">
        <v>105</v>
      </c>
      <c r="K764" s="12">
        <v>7072</v>
      </c>
      <c r="L764" s="12">
        <f t="shared" si="49"/>
        <v>4243.2</v>
      </c>
      <c r="M764" s="12">
        <f t="shared" si="50"/>
        <v>2828.8</v>
      </c>
      <c r="N764" s="12">
        <v>0</v>
      </c>
      <c r="O764" s="12">
        <v>7072</v>
      </c>
      <c r="P764" s="29">
        <v>30</v>
      </c>
    </row>
    <row r="765" spans="1:16" s="85" customFormat="1" ht="16.5" hidden="1" thickTop="1" thickBot="1" x14ac:dyDescent="0.3">
      <c r="A765" s="74" t="s">
        <v>111</v>
      </c>
      <c r="B765" s="25" t="s">
        <v>22</v>
      </c>
      <c r="C765" s="8" t="s">
        <v>61</v>
      </c>
      <c r="D765" s="7" t="s">
        <v>79</v>
      </c>
      <c r="E765" s="9" t="s">
        <v>67</v>
      </c>
      <c r="F765" s="10">
        <v>1</v>
      </c>
      <c r="G765" s="11" t="s">
        <v>47</v>
      </c>
      <c r="H765" s="7" t="s">
        <v>85</v>
      </c>
      <c r="I765" s="11" t="s">
        <v>9</v>
      </c>
      <c r="J765" s="11" t="s">
        <v>105</v>
      </c>
      <c r="K765" s="72">
        <v>32314.78</v>
      </c>
      <c r="L765" s="12">
        <f t="shared" si="49"/>
        <v>19388.867999999999</v>
      </c>
      <c r="M765" s="12">
        <f t="shared" si="50"/>
        <v>12925.912</v>
      </c>
      <c r="N765" s="12">
        <v>0</v>
      </c>
      <c r="O765" s="12">
        <v>33354.561456449999</v>
      </c>
      <c r="P765" s="29">
        <v>30</v>
      </c>
    </row>
    <row r="766" spans="1:16" s="85" customFormat="1" ht="16.5" hidden="1" thickTop="1" thickBot="1" x14ac:dyDescent="0.3">
      <c r="A766" s="74" t="s">
        <v>111</v>
      </c>
      <c r="B766" s="25" t="s">
        <v>22</v>
      </c>
      <c r="C766" s="8" t="s">
        <v>61</v>
      </c>
      <c r="D766" s="7" t="s">
        <v>79</v>
      </c>
      <c r="E766" s="9" t="s">
        <v>67</v>
      </c>
      <c r="F766" s="10">
        <v>1</v>
      </c>
      <c r="G766" s="11" t="s">
        <v>48</v>
      </c>
      <c r="H766" s="7" t="s">
        <v>85</v>
      </c>
      <c r="I766" s="11" t="s">
        <v>9</v>
      </c>
      <c r="J766" s="11" t="s">
        <v>105</v>
      </c>
      <c r="K766" s="72">
        <v>23137.31</v>
      </c>
      <c r="L766" s="12">
        <f t="shared" si="49"/>
        <v>13882.386</v>
      </c>
      <c r="M766" s="12">
        <f t="shared" si="50"/>
        <v>9254.9240000000009</v>
      </c>
      <c r="N766" s="12">
        <v>0</v>
      </c>
      <c r="O766" s="12">
        <v>23880.014425214998</v>
      </c>
      <c r="P766" s="29">
        <v>30</v>
      </c>
    </row>
    <row r="767" spans="1:16" s="85" customFormat="1" ht="16.5" hidden="1" thickTop="1" thickBot="1" x14ac:dyDescent="0.3">
      <c r="A767" s="74" t="s">
        <v>111</v>
      </c>
      <c r="B767" s="25" t="s">
        <v>22</v>
      </c>
      <c r="C767" s="8" t="s">
        <v>62</v>
      </c>
      <c r="D767" s="7" t="s">
        <v>79</v>
      </c>
      <c r="E767" s="9" t="s">
        <v>67</v>
      </c>
      <c r="F767" s="10">
        <v>10</v>
      </c>
      <c r="G767" s="13" t="s">
        <v>49</v>
      </c>
      <c r="H767" s="7" t="s">
        <v>85</v>
      </c>
      <c r="I767" s="11" t="s">
        <v>9</v>
      </c>
      <c r="J767" s="11" t="s">
        <v>105</v>
      </c>
      <c r="K767" s="12">
        <v>19227</v>
      </c>
      <c r="L767" s="12">
        <v>11536.199999999999</v>
      </c>
      <c r="M767" s="12">
        <v>7690.8</v>
      </c>
      <c r="N767" s="12">
        <v>0</v>
      </c>
      <c r="O767" s="12">
        <v>19227</v>
      </c>
      <c r="P767" s="29">
        <v>10</v>
      </c>
    </row>
    <row r="768" spans="1:16" s="85" customFormat="1" ht="16.5" hidden="1" thickTop="1" thickBot="1" x14ac:dyDescent="0.3">
      <c r="A768" s="74" t="s">
        <v>111</v>
      </c>
      <c r="B768" s="25" t="s">
        <v>22</v>
      </c>
      <c r="C768" s="8" t="s">
        <v>62</v>
      </c>
      <c r="D768" s="7" t="s">
        <v>79</v>
      </c>
      <c r="E768" s="9" t="s">
        <v>67</v>
      </c>
      <c r="F768" s="10">
        <v>10</v>
      </c>
      <c r="G768" s="13" t="s">
        <v>50</v>
      </c>
      <c r="H768" s="7" t="s">
        <v>85</v>
      </c>
      <c r="I768" s="11" t="s">
        <v>9</v>
      </c>
      <c r="J768" s="11" t="s">
        <v>105</v>
      </c>
      <c r="K768" s="12">
        <v>19227</v>
      </c>
      <c r="L768" s="12">
        <v>11536.199999999999</v>
      </c>
      <c r="M768" s="12">
        <v>7690.8</v>
      </c>
      <c r="N768" s="12">
        <v>0</v>
      </c>
      <c r="O768" s="12">
        <v>19227</v>
      </c>
      <c r="P768" s="29">
        <v>10</v>
      </c>
    </row>
    <row r="769" spans="1:17" s="85" customFormat="1" ht="16.5" hidden="1" thickTop="1" thickBot="1" x14ac:dyDescent="0.3">
      <c r="A769" s="74" t="s">
        <v>111</v>
      </c>
      <c r="B769" s="25" t="s">
        <v>11</v>
      </c>
      <c r="C769" s="8" t="s">
        <v>62</v>
      </c>
      <c r="D769" s="7" t="s">
        <v>79</v>
      </c>
      <c r="E769" s="9" t="s">
        <v>67</v>
      </c>
      <c r="F769" s="10">
        <v>16</v>
      </c>
      <c r="G769" s="13" t="s">
        <v>51</v>
      </c>
      <c r="H769" s="7" t="s">
        <v>83</v>
      </c>
      <c r="I769" s="11" t="s">
        <v>7</v>
      </c>
      <c r="J769" s="11" t="s">
        <v>80</v>
      </c>
      <c r="K769" s="12">
        <v>21132.94766324625</v>
      </c>
      <c r="L769" s="12">
        <v>21132.94766324625</v>
      </c>
      <c r="M769" s="12">
        <v>0</v>
      </c>
      <c r="N769" s="12">
        <f>L769*14%</f>
        <v>2958.6126728544755</v>
      </c>
      <c r="O769" s="12">
        <v>17751.67603712685</v>
      </c>
      <c r="P769" s="29">
        <v>30</v>
      </c>
    </row>
    <row r="770" spans="1:17" s="85" customFormat="1" ht="16.5" hidden="1" thickTop="1" thickBot="1" x14ac:dyDescent="0.3">
      <c r="A770" s="74" t="s">
        <v>111</v>
      </c>
      <c r="B770" s="25" t="s">
        <v>22</v>
      </c>
      <c r="C770" s="8" t="s">
        <v>62</v>
      </c>
      <c r="D770" s="7" t="s">
        <v>79</v>
      </c>
      <c r="E770" s="9" t="s">
        <v>67</v>
      </c>
      <c r="F770" s="10">
        <v>1</v>
      </c>
      <c r="G770" s="11" t="s">
        <v>54</v>
      </c>
      <c r="H770" s="7" t="s">
        <v>85</v>
      </c>
      <c r="I770" s="11" t="s">
        <v>20</v>
      </c>
      <c r="J770" s="11" t="s">
        <v>105</v>
      </c>
      <c r="K770" s="12">
        <v>40617.404573265005</v>
      </c>
      <c r="L770" s="12">
        <f t="shared" ref="L770:L776" si="51">K770*60%</f>
        <v>24370.442743959004</v>
      </c>
      <c r="M770" s="12">
        <f t="shared" ref="M770:M776" si="52">K770*40%</f>
        <v>16246.961829306003</v>
      </c>
      <c r="N770" s="12">
        <v>0</v>
      </c>
      <c r="O770" s="12">
        <v>40617.404573265005</v>
      </c>
      <c r="P770" s="29">
        <v>30</v>
      </c>
    </row>
    <row r="771" spans="1:17" s="85" customFormat="1" ht="16.5" hidden="1" thickTop="1" thickBot="1" x14ac:dyDescent="0.3">
      <c r="A771" s="74" t="s">
        <v>111</v>
      </c>
      <c r="B771" s="25" t="s">
        <v>22</v>
      </c>
      <c r="C771" s="8" t="s">
        <v>62</v>
      </c>
      <c r="D771" s="7" t="s">
        <v>79</v>
      </c>
      <c r="E771" s="9" t="s">
        <v>67</v>
      </c>
      <c r="F771" s="10">
        <v>1</v>
      </c>
      <c r="G771" s="11" t="s">
        <v>54</v>
      </c>
      <c r="H771" s="7" t="s">
        <v>85</v>
      </c>
      <c r="I771" s="11" t="s">
        <v>9</v>
      </c>
      <c r="J771" s="11" t="s">
        <v>105</v>
      </c>
      <c r="K771" s="72">
        <v>32314.78</v>
      </c>
      <c r="L771" s="12">
        <f t="shared" si="51"/>
        <v>19388.867999999999</v>
      </c>
      <c r="M771" s="12">
        <f t="shared" si="52"/>
        <v>12925.912</v>
      </c>
      <c r="N771" s="12">
        <v>0</v>
      </c>
      <c r="O771" s="12">
        <v>33354.561456449999</v>
      </c>
      <c r="P771" s="29">
        <v>30</v>
      </c>
    </row>
    <row r="772" spans="1:17" s="85" customFormat="1" ht="16.5" hidden="1" thickTop="1" thickBot="1" x14ac:dyDescent="0.3">
      <c r="A772" s="74" t="s">
        <v>111</v>
      </c>
      <c r="B772" s="25" t="s">
        <v>22</v>
      </c>
      <c r="C772" s="8" t="s">
        <v>62</v>
      </c>
      <c r="D772" s="7" t="s">
        <v>79</v>
      </c>
      <c r="E772" s="9" t="s">
        <v>67</v>
      </c>
      <c r="F772" s="10">
        <v>1</v>
      </c>
      <c r="G772" s="11" t="s">
        <v>55</v>
      </c>
      <c r="H772" s="7" t="s">
        <v>85</v>
      </c>
      <c r="I772" s="11" t="s">
        <v>20</v>
      </c>
      <c r="J772" s="11" t="s">
        <v>105</v>
      </c>
      <c r="K772" s="12">
        <v>34814.822702400001</v>
      </c>
      <c r="L772" s="12">
        <f t="shared" si="51"/>
        <v>20888.893621439998</v>
      </c>
      <c r="M772" s="12">
        <f t="shared" si="52"/>
        <v>13925.929080960001</v>
      </c>
      <c r="N772" s="12">
        <v>0</v>
      </c>
      <c r="O772" s="12">
        <v>34814.822702400001</v>
      </c>
      <c r="P772" s="29">
        <v>30</v>
      </c>
    </row>
    <row r="773" spans="1:17" s="85" customFormat="1" ht="16.5" hidden="1" thickTop="1" thickBot="1" x14ac:dyDescent="0.3">
      <c r="A773" s="74" t="s">
        <v>111</v>
      </c>
      <c r="B773" s="25" t="s">
        <v>22</v>
      </c>
      <c r="C773" s="8" t="s">
        <v>62</v>
      </c>
      <c r="D773" s="7" t="s">
        <v>79</v>
      </c>
      <c r="E773" s="9" t="s">
        <v>67</v>
      </c>
      <c r="F773" s="10">
        <v>1</v>
      </c>
      <c r="G773" s="11" t="s">
        <v>55</v>
      </c>
      <c r="H773" s="7" t="s">
        <v>85</v>
      </c>
      <c r="I773" s="11" t="s">
        <v>9</v>
      </c>
      <c r="J773" s="11" t="s">
        <v>105</v>
      </c>
      <c r="K773" s="72">
        <v>23105.040000000001</v>
      </c>
      <c r="L773" s="12">
        <f t="shared" si="51"/>
        <v>13863.023999999999</v>
      </c>
      <c r="M773" s="12">
        <f t="shared" si="52"/>
        <v>9242.0160000000014</v>
      </c>
      <c r="N773" s="12">
        <v>0</v>
      </c>
      <c r="O773" s="12">
        <v>23847.740911214998</v>
      </c>
      <c r="P773" s="29">
        <v>30</v>
      </c>
    </row>
    <row r="774" spans="1:17" s="85" customFormat="1" ht="16.5" hidden="1" thickTop="1" thickBot="1" x14ac:dyDescent="0.3">
      <c r="A774" s="74" t="s">
        <v>111</v>
      </c>
      <c r="B774" s="25" t="s">
        <v>22</v>
      </c>
      <c r="C774" s="8" t="s">
        <v>62</v>
      </c>
      <c r="D774" s="7" t="s">
        <v>79</v>
      </c>
      <c r="E774" s="9" t="s">
        <v>67</v>
      </c>
      <c r="F774" s="10">
        <v>1</v>
      </c>
      <c r="G774" s="11" t="s">
        <v>56</v>
      </c>
      <c r="H774" s="7" t="s">
        <v>85</v>
      </c>
      <c r="I774" s="11" t="s">
        <v>9</v>
      </c>
      <c r="J774" s="11" t="s">
        <v>105</v>
      </c>
      <c r="K774" s="72">
        <v>32347.05</v>
      </c>
      <c r="L774" s="12">
        <f t="shared" si="51"/>
        <v>19408.23</v>
      </c>
      <c r="M774" s="12">
        <f t="shared" si="52"/>
        <v>12938.82</v>
      </c>
      <c r="N774" s="12">
        <v>0</v>
      </c>
      <c r="O774" s="12">
        <v>33386.83497045</v>
      </c>
      <c r="P774" s="29">
        <v>30</v>
      </c>
    </row>
    <row r="775" spans="1:17" s="85" customFormat="1" ht="16.5" hidden="1" thickTop="1" thickBot="1" x14ac:dyDescent="0.3">
      <c r="A775" s="74" t="s">
        <v>111</v>
      </c>
      <c r="B775" s="25" t="s">
        <v>22</v>
      </c>
      <c r="C775" s="8" t="s">
        <v>62</v>
      </c>
      <c r="D775" s="7" t="s">
        <v>79</v>
      </c>
      <c r="E775" s="9" t="s">
        <v>67</v>
      </c>
      <c r="F775" s="10">
        <v>1</v>
      </c>
      <c r="G775" s="11" t="s">
        <v>57</v>
      </c>
      <c r="H775" s="7" t="s">
        <v>85</v>
      </c>
      <c r="I775" s="11" t="s">
        <v>9</v>
      </c>
      <c r="J775" s="11" t="s">
        <v>105</v>
      </c>
      <c r="K775" s="72">
        <v>32314.78</v>
      </c>
      <c r="L775" s="12">
        <f t="shared" si="51"/>
        <v>19388.867999999999</v>
      </c>
      <c r="M775" s="12">
        <f t="shared" si="52"/>
        <v>12925.912</v>
      </c>
      <c r="N775" s="12">
        <v>0</v>
      </c>
      <c r="O775" s="12">
        <v>33354.561456449999</v>
      </c>
      <c r="P775" s="29">
        <v>30</v>
      </c>
    </row>
    <row r="776" spans="1:17" s="85" customFormat="1" ht="16.5" hidden="1" thickTop="1" thickBot="1" x14ac:dyDescent="0.3">
      <c r="A776" s="74" t="s">
        <v>111</v>
      </c>
      <c r="B776" s="25" t="s">
        <v>22</v>
      </c>
      <c r="C776" s="8" t="s">
        <v>62</v>
      </c>
      <c r="D776" s="7" t="s">
        <v>79</v>
      </c>
      <c r="E776" s="9" t="s">
        <v>67</v>
      </c>
      <c r="F776" s="10">
        <v>1</v>
      </c>
      <c r="G776" s="11" t="s">
        <v>58</v>
      </c>
      <c r="H776" s="7" t="s">
        <v>85</v>
      </c>
      <c r="I776" s="11" t="s">
        <v>9</v>
      </c>
      <c r="J776" s="11" t="s">
        <v>105</v>
      </c>
      <c r="K776" s="72">
        <v>18484.02</v>
      </c>
      <c r="L776" s="12">
        <f t="shared" si="51"/>
        <v>11090.412</v>
      </c>
      <c r="M776" s="12">
        <f t="shared" si="52"/>
        <v>7393.6080000000002</v>
      </c>
      <c r="N776" s="12">
        <v>0</v>
      </c>
      <c r="O776" s="12">
        <v>19078.18811847</v>
      </c>
      <c r="P776" s="29">
        <v>30</v>
      </c>
    </row>
    <row r="777" spans="1:17" s="85" customFormat="1" ht="16.5" hidden="1" thickTop="1" thickBot="1" x14ac:dyDescent="0.3">
      <c r="A777" s="74" t="s">
        <v>111</v>
      </c>
      <c r="B777" s="25" t="s">
        <v>22</v>
      </c>
      <c r="C777" s="8" t="s">
        <v>61</v>
      </c>
      <c r="D777" s="7" t="s">
        <v>79</v>
      </c>
      <c r="E777" s="9" t="s">
        <v>67</v>
      </c>
      <c r="F777" s="10">
        <v>20</v>
      </c>
      <c r="G777" s="13" t="s">
        <v>92</v>
      </c>
      <c r="H777" s="7" t="s">
        <v>83</v>
      </c>
      <c r="I777" s="11" t="s">
        <v>7</v>
      </c>
      <c r="J777" s="11" t="s">
        <v>80</v>
      </c>
      <c r="K777" s="12">
        <v>19890</v>
      </c>
      <c r="L777" s="12">
        <v>19890</v>
      </c>
      <c r="M777" s="12">
        <v>0</v>
      </c>
      <c r="N777" s="12">
        <v>0</v>
      </c>
      <c r="O777" s="12">
        <v>19890</v>
      </c>
      <c r="P777" s="29">
        <v>15</v>
      </c>
    </row>
    <row r="778" spans="1:17" s="85" customFormat="1" ht="16.5" thickTop="1" thickBot="1" x14ac:dyDescent="0.3">
      <c r="A778" s="51"/>
      <c r="B778" s="25" t="s">
        <v>13</v>
      </c>
      <c r="C778" s="8" t="s">
        <v>61</v>
      </c>
      <c r="D778" s="7" t="s">
        <v>79</v>
      </c>
      <c r="E778" s="9" t="s">
        <v>68</v>
      </c>
      <c r="F778" s="10">
        <v>20</v>
      </c>
      <c r="G778" s="13" t="s">
        <v>90</v>
      </c>
      <c r="H778" s="15" t="s">
        <v>83</v>
      </c>
      <c r="I778" s="14" t="s">
        <v>9</v>
      </c>
      <c r="J778" s="11" t="s">
        <v>103</v>
      </c>
      <c r="K778" s="12">
        <v>4536.0249999999996</v>
      </c>
      <c r="L778" s="12">
        <f t="shared" ref="L778:L795" si="53">K778</f>
        <v>4536.0249999999996</v>
      </c>
      <c r="M778" s="12">
        <v>0</v>
      </c>
      <c r="N778" s="12">
        <f>L778*16%</f>
        <v>725.76400000000001</v>
      </c>
      <c r="O778" s="12">
        <f t="shared" ref="O778:O784" si="54">L778+M778-N778</f>
        <v>3810.2609999999995</v>
      </c>
      <c r="P778" s="29">
        <v>10</v>
      </c>
    </row>
    <row r="779" spans="1:17" s="85" customFormat="1" ht="16.5" thickTop="1" thickBot="1" x14ac:dyDescent="0.3">
      <c r="A779" s="51"/>
      <c r="B779" s="25" t="s">
        <v>22</v>
      </c>
      <c r="C779" s="8" t="s">
        <v>25</v>
      </c>
      <c r="D779" s="7" t="s">
        <v>79</v>
      </c>
      <c r="E779" s="9" t="s">
        <v>68</v>
      </c>
      <c r="F779" s="10">
        <v>28</v>
      </c>
      <c r="G779" s="11" t="s">
        <v>135</v>
      </c>
      <c r="H779" s="7" t="s">
        <v>83</v>
      </c>
      <c r="I779" s="11" t="s">
        <v>7</v>
      </c>
      <c r="J779" s="11" t="s">
        <v>80</v>
      </c>
      <c r="K779" s="12">
        <v>17695.12745</v>
      </c>
      <c r="L779" s="12">
        <f t="shared" si="53"/>
        <v>17695.12745</v>
      </c>
      <c r="M779" s="12">
        <v>0</v>
      </c>
      <c r="N779" s="12">
        <v>0</v>
      </c>
      <c r="O779" s="12">
        <f t="shared" si="54"/>
        <v>17695.12745</v>
      </c>
      <c r="P779" s="29">
        <v>18</v>
      </c>
    </row>
    <row r="780" spans="1:17" s="85" customFormat="1" ht="16.5" thickTop="1" thickBot="1" x14ac:dyDescent="0.3">
      <c r="A780" s="52"/>
      <c r="B780" s="40" t="s">
        <v>5</v>
      </c>
      <c r="C780" s="41" t="s">
        <v>0</v>
      </c>
      <c r="D780" s="42" t="s">
        <v>79</v>
      </c>
      <c r="E780" s="9" t="s">
        <v>68</v>
      </c>
      <c r="F780" s="44">
        <v>8</v>
      </c>
      <c r="G780" s="45" t="s">
        <v>6</v>
      </c>
      <c r="H780" s="42" t="s">
        <v>85</v>
      </c>
      <c r="I780" s="45" t="s">
        <v>7</v>
      </c>
      <c r="J780" s="45" t="s">
        <v>103</v>
      </c>
      <c r="K780" s="12">
        <v>41245.995459655351</v>
      </c>
      <c r="L780" s="12">
        <f t="shared" si="53"/>
        <v>41245.995459655351</v>
      </c>
      <c r="M780" s="12">
        <v>0</v>
      </c>
      <c r="N780" s="46">
        <v>1866.3346361835002</v>
      </c>
      <c r="O780" s="12">
        <f t="shared" si="54"/>
        <v>39379.660823471851</v>
      </c>
      <c r="P780" s="47">
        <v>10</v>
      </c>
      <c r="Q780" s="85" t="s">
        <v>156</v>
      </c>
    </row>
    <row r="781" spans="1:17" s="85" customFormat="1" ht="16.5" thickTop="1" thickBot="1" x14ac:dyDescent="0.3">
      <c r="A781" s="51"/>
      <c r="B781" s="25" t="s">
        <v>11</v>
      </c>
      <c r="C781" s="8" t="s">
        <v>0</v>
      </c>
      <c r="D781" s="7" t="s">
        <v>79</v>
      </c>
      <c r="E781" s="9" t="s">
        <v>68</v>
      </c>
      <c r="F781" s="44">
        <v>8</v>
      </c>
      <c r="G781" s="11" t="s">
        <v>8</v>
      </c>
      <c r="H781" s="7" t="s">
        <v>85</v>
      </c>
      <c r="I781" s="11" t="s">
        <v>7</v>
      </c>
      <c r="J781" s="11" t="s">
        <v>103</v>
      </c>
      <c r="K781" s="12">
        <v>19327.518303502504</v>
      </c>
      <c r="L781" s="12">
        <f t="shared" si="53"/>
        <v>19327.518303502504</v>
      </c>
      <c r="M781" s="12">
        <v>0</v>
      </c>
      <c r="N781" s="12">
        <v>874.54833952500019</v>
      </c>
      <c r="O781" s="12">
        <f t="shared" si="54"/>
        <v>18452.969963977503</v>
      </c>
      <c r="P781" s="29">
        <v>10</v>
      </c>
      <c r="Q781" s="85" t="s">
        <v>156</v>
      </c>
    </row>
    <row r="782" spans="1:17" s="85" customFormat="1" ht="16.5" thickTop="1" thickBot="1" x14ac:dyDescent="0.3">
      <c r="A782" s="51"/>
      <c r="B782" s="25" t="s">
        <v>11</v>
      </c>
      <c r="C782" s="8" t="s">
        <v>0</v>
      </c>
      <c r="D782" s="7" t="s">
        <v>79</v>
      </c>
      <c r="E782" s="9" t="s">
        <v>68</v>
      </c>
      <c r="F782" s="44">
        <v>8</v>
      </c>
      <c r="G782" s="11" t="s">
        <v>8</v>
      </c>
      <c r="H782" s="7" t="s">
        <v>85</v>
      </c>
      <c r="I782" s="11" t="s">
        <v>97</v>
      </c>
      <c r="J782" s="11" t="s">
        <v>103</v>
      </c>
      <c r="K782" s="12">
        <v>19327.518303502504</v>
      </c>
      <c r="L782" s="12">
        <f t="shared" si="53"/>
        <v>19327.518303502504</v>
      </c>
      <c r="M782" s="12">
        <v>0</v>
      </c>
      <c r="N782" s="12">
        <v>874.54833952500019</v>
      </c>
      <c r="O782" s="12">
        <f t="shared" si="54"/>
        <v>18452.969963977503</v>
      </c>
      <c r="P782" s="29">
        <v>10</v>
      </c>
      <c r="Q782" s="85" t="s">
        <v>156</v>
      </c>
    </row>
    <row r="783" spans="1:17" s="85" customFormat="1" ht="16.5" thickTop="1" thickBot="1" x14ac:dyDescent="0.3">
      <c r="A783" s="51"/>
      <c r="B783" s="25" t="s">
        <v>183</v>
      </c>
      <c r="C783" s="8" t="s">
        <v>0</v>
      </c>
      <c r="D783" s="7" t="s">
        <v>79</v>
      </c>
      <c r="E783" s="9" t="s">
        <v>68</v>
      </c>
      <c r="F783" s="44">
        <v>8</v>
      </c>
      <c r="G783" s="11" t="s">
        <v>8</v>
      </c>
      <c r="H783" s="7" t="s">
        <v>85</v>
      </c>
      <c r="I783" s="11" t="s">
        <v>9</v>
      </c>
      <c r="J783" s="11" t="s">
        <v>103</v>
      </c>
      <c r="K783" s="12">
        <v>16926.608031693751</v>
      </c>
      <c r="L783" s="12">
        <f t="shared" si="53"/>
        <v>16926.608031693751</v>
      </c>
      <c r="M783" s="12">
        <v>0</v>
      </c>
      <c r="N783" s="12">
        <v>765.90986568750009</v>
      </c>
      <c r="O783" s="12">
        <f t="shared" si="54"/>
        <v>16160.698166006252</v>
      </c>
      <c r="P783" s="29">
        <v>10</v>
      </c>
      <c r="Q783" s="85" t="s">
        <v>156</v>
      </c>
    </row>
    <row r="784" spans="1:17" s="85" customFormat="1" ht="16.5" thickTop="1" thickBot="1" x14ac:dyDescent="0.3">
      <c r="A784" s="51"/>
      <c r="B784" s="25" t="s">
        <v>183</v>
      </c>
      <c r="C784" s="8" t="s">
        <v>0</v>
      </c>
      <c r="D784" s="7" t="s">
        <v>79</v>
      </c>
      <c r="E784" s="9" t="s">
        <v>68</v>
      </c>
      <c r="F784" s="44">
        <v>8</v>
      </c>
      <c r="G784" s="11" t="s">
        <v>8</v>
      </c>
      <c r="H784" s="7" t="s">
        <v>85</v>
      </c>
      <c r="I784" s="11" t="s">
        <v>15</v>
      </c>
      <c r="J784" s="11" t="s">
        <v>103</v>
      </c>
      <c r="K784" s="12">
        <v>14433.306181368749</v>
      </c>
      <c r="L784" s="12">
        <f t="shared" si="53"/>
        <v>14433.306181368749</v>
      </c>
      <c r="M784" s="12">
        <v>0</v>
      </c>
      <c r="N784" s="12">
        <v>653.09077743750004</v>
      </c>
      <c r="O784" s="12">
        <f t="shared" si="54"/>
        <v>13780.215403931248</v>
      </c>
      <c r="P784" s="29">
        <v>10</v>
      </c>
      <c r="Q784" s="85" t="s">
        <v>156</v>
      </c>
    </row>
    <row r="785" spans="1:17" s="85" customFormat="1" ht="16.5" thickTop="1" thickBot="1" x14ac:dyDescent="0.3">
      <c r="A785" s="51"/>
      <c r="B785" s="25" t="s">
        <v>10</v>
      </c>
      <c r="C785" s="8" t="s">
        <v>0</v>
      </c>
      <c r="D785" s="7" t="s">
        <v>79</v>
      </c>
      <c r="E785" s="9" t="s">
        <v>68</v>
      </c>
      <c r="F785" s="44">
        <v>8</v>
      </c>
      <c r="G785" s="11" t="s">
        <v>8</v>
      </c>
      <c r="H785" s="7" t="s">
        <v>85</v>
      </c>
      <c r="I785" s="11" t="s">
        <v>96</v>
      </c>
      <c r="J785" s="11" t="s">
        <v>103</v>
      </c>
      <c r="K785" s="12">
        <v>2000</v>
      </c>
      <c r="L785" s="12">
        <f t="shared" si="53"/>
        <v>2000</v>
      </c>
      <c r="M785" s="12">
        <v>0</v>
      </c>
      <c r="N785" s="12">
        <v>0</v>
      </c>
      <c r="O785" s="12">
        <v>2000</v>
      </c>
      <c r="P785" s="29">
        <v>10</v>
      </c>
      <c r="Q785" s="85" t="s">
        <v>156</v>
      </c>
    </row>
    <row r="786" spans="1:17" s="85" customFormat="1" ht="16.5" thickTop="1" thickBot="1" x14ac:dyDescent="0.3">
      <c r="A786" s="51"/>
      <c r="B786" s="25" t="s">
        <v>10</v>
      </c>
      <c r="C786" s="8" t="s">
        <v>0</v>
      </c>
      <c r="D786" s="7" t="s">
        <v>79</v>
      </c>
      <c r="E786" s="9" t="s">
        <v>68</v>
      </c>
      <c r="F786" s="44">
        <v>8</v>
      </c>
      <c r="G786" s="11" t="s">
        <v>8</v>
      </c>
      <c r="H786" s="7" t="s">
        <v>85</v>
      </c>
      <c r="I786" s="11" t="s">
        <v>96</v>
      </c>
      <c r="J786" s="11" t="s">
        <v>103</v>
      </c>
      <c r="K786" s="12">
        <v>200</v>
      </c>
      <c r="L786" s="12">
        <f t="shared" si="53"/>
        <v>200</v>
      </c>
      <c r="M786" s="12">
        <v>0</v>
      </c>
      <c r="N786" s="12">
        <v>0</v>
      </c>
      <c r="O786" s="12">
        <v>200</v>
      </c>
      <c r="P786" s="29">
        <v>10</v>
      </c>
      <c r="Q786" s="85" t="s">
        <v>156</v>
      </c>
    </row>
    <row r="787" spans="1:17" s="85" customFormat="1" ht="16.5" thickTop="1" thickBot="1" x14ac:dyDescent="0.3">
      <c r="A787" s="51"/>
      <c r="B787" s="25" t="s">
        <v>11</v>
      </c>
      <c r="C787" s="8" t="s">
        <v>0</v>
      </c>
      <c r="D787" s="7" t="s">
        <v>79</v>
      </c>
      <c r="E787" s="9" t="s">
        <v>68</v>
      </c>
      <c r="F787" s="10">
        <v>14</v>
      </c>
      <c r="G787" s="11" t="s">
        <v>139</v>
      </c>
      <c r="H787" s="7" t="s">
        <v>84</v>
      </c>
      <c r="I787" s="11" t="s">
        <v>7</v>
      </c>
      <c r="J787" s="11" t="s">
        <v>103</v>
      </c>
      <c r="K787" s="12">
        <v>16311.633340859998</v>
      </c>
      <c r="L787" s="12">
        <f t="shared" si="53"/>
        <v>16311.633340859998</v>
      </c>
      <c r="M787" s="12">
        <v>0</v>
      </c>
      <c r="N787" s="12">
        <v>738.08295659999999</v>
      </c>
      <c r="O787" s="12">
        <f>L787+M787-N787</f>
        <v>15573.550384259999</v>
      </c>
      <c r="P787" s="29">
        <v>15</v>
      </c>
      <c r="Q787" s="85" t="s">
        <v>156</v>
      </c>
    </row>
    <row r="788" spans="1:17" s="85" customFormat="1" ht="16.5" thickTop="1" thickBot="1" x14ac:dyDescent="0.3">
      <c r="A788" s="51"/>
      <c r="B788" s="25" t="s">
        <v>13</v>
      </c>
      <c r="C788" s="8" t="s">
        <v>0</v>
      </c>
      <c r="D788" s="7" t="s">
        <v>79</v>
      </c>
      <c r="E788" s="9" t="s">
        <v>68</v>
      </c>
      <c r="F788" s="10">
        <v>14</v>
      </c>
      <c r="G788" s="11" t="s">
        <v>139</v>
      </c>
      <c r="H788" s="7" t="s">
        <v>84</v>
      </c>
      <c r="I788" s="11" t="s">
        <v>9</v>
      </c>
      <c r="J788" s="11" t="s">
        <v>103</v>
      </c>
      <c r="K788" s="12">
        <v>4158.1260499999999</v>
      </c>
      <c r="L788" s="12">
        <f t="shared" si="53"/>
        <v>4158.1260499999999</v>
      </c>
      <c r="M788" s="12">
        <v>0</v>
      </c>
      <c r="N788" s="12">
        <v>188.15050000000002</v>
      </c>
      <c r="O788" s="12">
        <f>L788+M788-N788</f>
        <v>3969.9755499999997</v>
      </c>
      <c r="P788" s="29">
        <v>15</v>
      </c>
      <c r="Q788" s="85" t="s">
        <v>156</v>
      </c>
    </row>
    <row r="789" spans="1:17" s="85" customFormat="1" ht="16.5" thickTop="1" thickBot="1" x14ac:dyDescent="0.3">
      <c r="A789" s="51"/>
      <c r="B789" s="25" t="s">
        <v>13</v>
      </c>
      <c r="C789" s="8" t="s">
        <v>0</v>
      </c>
      <c r="D789" s="7" t="s">
        <v>79</v>
      </c>
      <c r="E789" s="9" t="s">
        <v>68</v>
      </c>
      <c r="F789" s="10">
        <v>14</v>
      </c>
      <c r="G789" s="11" t="s">
        <v>139</v>
      </c>
      <c r="H789" s="7" t="s">
        <v>84</v>
      </c>
      <c r="I789" s="11" t="s">
        <v>15</v>
      </c>
      <c r="J789" s="11" t="s">
        <v>103</v>
      </c>
      <c r="K789" s="12">
        <v>5282.5230083924998</v>
      </c>
      <c r="L789" s="12">
        <f t="shared" si="53"/>
        <v>5282.5230083924998</v>
      </c>
      <c r="M789" s="12">
        <v>0</v>
      </c>
      <c r="N789" s="12">
        <v>239.02819042500002</v>
      </c>
      <c r="O789" s="12">
        <f>L789+M789-N789</f>
        <v>5043.4948179675002</v>
      </c>
      <c r="P789" s="29">
        <v>15</v>
      </c>
      <c r="Q789" s="85" t="s">
        <v>156</v>
      </c>
    </row>
    <row r="790" spans="1:17" s="85" customFormat="1" ht="16.5" thickTop="1" thickBot="1" x14ac:dyDescent="0.3">
      <c r="A790" s="51"/>
      <c r="B790" s="25" t="s">
        <v>10</v>
      </c>
      <c r="C790" s="8" t="s">
        <v>0</v>
      </c>
      <c r="D790" s="7" t="s">
        <v>79</v>
      </c>
      <c r="E790" s="9" t="s">
        <v>68</v>
      </c>
      <c r="F790" s="10">
        <v>14</v>
      </c>
      <c r="G790" s="11" t="s">
        <v>139</v>
      </c>
      <c r="H790" s="7" t="s">
        <v>84</v>
      </c>
      <c r="I790" s="11" t="s">
        <v>96</v>
      </c>
      <c r="J790" s="11" t="s">
        <v>103</v>
      </c>
      <c r="K790" s="12">
        <v>500</v>
      </c>
      <c r="L790" s="12">
        <f t="shared" si="53"/>
        <v>500</v>
      </c>
      <c r="M790" s="12">
        <v>0</v>
      </c>
      <c r="N790" s="12">
        <v>0</v>
      </c>
      <c r="O790" s="12">
        <v>500</v>
      </c>
      <c r="P790" s="29">
        <v>15</v>
      </c>
      <c r="Q790" s="85" t="s">
        <v>156</v>
      </c>
    </row>
    <row r="791" spans="1:17" s="85" customFormat="1" ht="16.5" thickTop="1" thickBot="1" x14ac:dyDescent="0.3">
      <c r="A791" s="51"/>
      <c r="B791" s="25" t="s">
        <v>11</v>
      </c>
      <c r="C791" s="8" t="s">
        <v>0</v>
      </c>
      <c r="D791" s="7" t="s">
        <v>79</v>
      </c>
      <c r="E791" s="9" t="s">
        <v>68</v>
      </c>
      <c r="F791" s="10">
        <v>20</v>
      </c>
      <c r="G791" s="11" t="s">
        <v>16</v>
      </c>
      <c r="H791" s="7" t="s">
        <v>85</v>
      </c>
      <c r="I791" s="11" t="s">
        <v>7</v>
      </c>
      <c r="J791" s="11" t="s">
        <v>103</v>
      </c>
      <c r="K791" s="12">
        <v>17144.075000000001</v>
      </c>
      <c r="L791" s="12">
        <f t="shared" si="53"/>
        <v>17144.075000000001</v>
      </c>
      <c r="M791" s="12">
        <v>0</v>
      </c>
      <c r="N791" s="12">
        <f>L791*14%</f>
        <v>2400.1705000000002</v>
      </c>
      <c r="O791" s="12">
        <f>L791+M791-N791</f>
        <v>14743.904500000001</v>
      </c>
      <c r="P791" s="29">
        <v>15</v>
      </c>
    </row>
    <row r="792" spans="1:17" s="85" customFormat="1" ht="16.5" thickTop="1" thickBot="1" x14ac:dyDescent="0.3">
      <c r="A792" s="51"/>
      <c r="B792" s="25" t="s">
        <v>13</v>
      </c>
      <c r="C792" s="8" t="s">
        <v>0</v>
      </c>
      <c r="D792" s="7" t="s">
        <v>79</v>
      </c>
      <c r="E792" s="9" t="s">
        <v>68</v>
      </c>
      <c r="F792" s="10">
        <v>20</v>
      </c>
      <c r="G792" s="11" t="s">
        <v>16</v>
      </c>
      <c r="H792" s="7" t="s">
        <v>85</v>
      </c>
      <c r="I792" s="11" t="s">
        <v>113</v>
      </c>
      <c r="J792" s="11" t="s">
        <v>103</v>
      </c>
      <c r="K792" s="12">
        <v>1657.5</v>
      </c>
      <c r="L792" s="12">
        <f t="shared" si="53"/>
        <v>1657.5</v>
      </c>
      <c r="M792" s="12">
        <v>0</v>
      </c>
      <c r="N792" s="12">
        <f>L792*16%</f>
        <v>265.2</v>
      </c>
      <c r="O792" s="12">
        <f>L792+M792-N792</f>
        <v>1392.3</v>
      </c>
      <c r="P792" s="29">
        <v>15</v>
      </c>
    </row>
    <row r="793" spans="1:17" s="85" customFormat="1" ht="16.5" thickTop="1" thickBot="1" x14ac:dyDescent="0.3">
      <c r="A793" s="51"/>
      <c r="B793" s="25" t="s">
        <v>13</v>
      </c>
      <c r="C793" s="8" t="s">
        <v>0</v>
      </c>
      <c r="D793" s="7" t="s">
        <v>79</v>
      </c>
      <c r="E793" s="9" t="s">
        <v>68</v>
      </c>
      <c r="F793" s="10">
        <v>20</v>
      </c>
      <c r="G793" s="11" t="s">
        <v>16</v>
      </c>
      <c r="H793" s="7" t="s">
        <v>85</v>
      </c>
      <c r="I793" s="11" t="s">
        <v>9</v>
      </c>
      <c r="J793" s="11" t="s">
        <v>103</v>
      </c>
      <c r="K793" s="12">
        <v>8265.4</v>
      </c>
      <c r="L793" s="12">
        <f t="shared" si="53"/>
        <v>8265.4</v>
      </c>
      <c r="M793" s="12">
        <v>0</v>
      </c>
      <c r="N793" s="12">
        <f>L793*16%</f>
        <v>1322.4639999999999</v>
      </c>
      <c r="O793" s="12">
        <f>L793+M793-N793</f>
        <v>6942.9359999999997</v>
      </c>
      <c r="P793" s="29">
        <v>15</v>
      </c>
    </row>
    <row r="794" spans="1:17" s="85" customFormat="1" ht="16.5" thickTop="1" thickBot="1" x14ac:dyDescent="0.3">
      <c r="A794" s="51"/>
      <c r="B794" s="25" t="s">
        <v>13</v>
      </c>
      <c r="C794" s="8" t="s">
        <v>0</v>
      </c>
      <c r="D794" s="7" t="s">
        <v>79</v>
      </c>
      <c r="E794" s="9" t="s">
        <v>68</v>
      </c>
      <c r="F794" s="10">
        <v>20</v>
      </c>
      <c r="G794" s="11" t="s">
        <v>16</v>
      </c>
      <c r="H794" s="7" t="s">
        <v>85</v>
      </c>
      <c r="I794" s="11" t="s">
        <v>15</v>
      </c>
      <c r="J794" s="11" t="s">
        <v>103</v>
      </c>
      <c r="K794" s="12">
        <v>7542.73</v>
      </c>
      <c r="L794" s="12">
        <f t="shared" si="53"/>
        <v>7542.73</v>
      </c>
      <c r="M794" s="12">
        <v>0</v>
      </c>
      <c r="N794" s="12">
        <f>L794*16%</f>
        <v>1206.8368</v>
      </c>
      <c r="O794" s="12">
        <f>L794+M794-N794</f>
        <v>6335.8931999999995</v>
      </c>
      <c r="P794" s="29">
        <v>15</v>
      </c>
    </row>
    <row r="795" spans="1:17" s="85" customFormat="1" ht="16.5" thickTop="1" thickBot="1" x14ac:dyDescent="0.3">
      <c r="A795" s="51"/>
      <c r="B795" s="25" t="s">
        <v>13</v>
      </c>
      <c r="C795" s="8" t="s">
        <v>0</v>
      </c>
      <c r="D795" s="7" t="s">
        <v>79</v>
      </c>
      <c r="E795" s="9" t="s">
        <v>68</v>
      </c>
      <c r="F795" s="10">
        <v>10</v>
      </c>
      <c r="G795" s="11" t="s">
        <v>18</v>
      </c>
      <c r="H795" s="7" t="s">
        <v>85</v>
      </c>
      <c r="I795" s="11" t="s">
        <v>9</v>
      </c>
      <c r="J795" s="11" t="s">
        <v>103</v>
      </c>
      <c r="K795" s="12">
        <v>4589.40895335</v>
      </c>
      <c r="L795" s="12">
        <f t="shared" si="53"/>
        <v>4589.40895335</v>
      </c>
      <c r="M795" s="12">
        <v>0</v>
      </c>
      <c r="N795" s="12">
        <v>207.66556350000002</v>
      </c>
      <c r="O795" s="12">
        <f>L795+M795-N795</f>
        <v>4381.7433898500003</v>
      </c>
      <c r="P795" s="29">
        <v>10</v>
      </c>
    </row>
    <row r="796" spans="1:17" s="85" customFormat="1" ht="16.5" thickTop="1" thickBot="1" x14ac:dyDescent="0.3">
      <c r="A796" s="51"/>
      <c r="B796" s="25" t="s">
        <v>11</v>
      </c>
      <c r="C796" s="8" t="s">
        <v>0</v>
      </c>
      <c r="D796" s="7" t="s">
        <v>147</v>
      </c>
      <c r="E796" s="9" t="s">
        <v>68</v>
      </c>
      <c r="F796" s="10">
        <v>20</v>
      </c>
      <c r="G796" s="11" t="s">
        <v>148</v>
      </c>
      <c r="H796" s="7" t="s">
        <v>83</v>
      </c>
      <c r="I796" s="11" t="s">
        <v>30</v>
      </c>
      <c r="J796" s="11" t="s">
        <v>80</v>
      </c>
      <c r="K796" s="12">
        <v>690</v>
      </c>
      <c r="L796" s="12">
        <v>690</v>
      </c>
      <c r="M796" s="12">
        <v>0</v>
      </c>
      <c r="N796" s="12">
        <v>34.5</v>
      </c>
      <c r="O796" s="12">
        <f t="shared" ref="O796:O804" si="55">K796-N796</f>
        <v>655.5</v>
      </c>
      <c r="P796" s="29">
        <v>7</v>
      </c>
    </row>
    <row r="797" spans="1:17" s="85" customFormat="1" ht="16.5" thickTop="1" thickBot="1" x14ac:dyDescent="0.3">
      <c r="A797" s="51"/>
      <c r="B797" s="25" t="s">
        <v>11</v>
      </c>
      <c r="C797" s="8" t="s">
        <v>0</v>
      </c>
      <c r="D797" s="7" t="s">
        <v>147</v>
      </c>
      <c r="E797" s="9" t="s">
        <v>68</v>
      </c>
      <c r="F797" s="10">
        <v>20</v>
      </c>
      <c r="G797" s="11" t="s">
        <v>149</v>
      </c>
      <c r="H797" s="7" t="s">
        <v>83</v>
      </c>
      <c r="I797" s="11" t="s">
        <v>30</v>
      </c>
      <c r="J797" s="11" t="s">
        <v>110</v>
      </c>
      <c r="K797" s="12">
        <v>690</v>
      </c>
      <c r="L797" s="12">
        <v>690</v>
      </c>
      <c r="M797" s="12">
        <v>0</v>
      </c>
      <c r="N797" s="12">
        <v>34.5</v>
      </c>
      <c r="O797" s="12">
        <f t="shared" si="55"/>
        <v>655.5</v>
      </c>
      <c r="P797" s="29">
        <v>7</v>
      </c>
    </row>
    <row r="798" spans="1:17" s="85" customFormat="1" ht="16.5" thickTop="1" thickBot="1" x14ac:dyDescent="0.3">
      <c r="A798" s="51"/>
      <c r="B798" s="25" t="s">
        <v>11</v>
      </c>
      <c r="C798" s="8" t="s">
        <v>0</v>
      </c>
      <c r="D798" s="7" t="s">
        <v>147</v>
      </c>
      <c r="E798" s="9" t="s">
        <v>68</v>
      </c>
      <c r="F798" s="10">
        <v>20</v>
      </c>
      <c r="G798" s="11" t="s">
        <v>150</v>
      </c>
      <c r="H798" s="7" t="s">
        <v>83</v>
      </c>
      <c r="I798" s="11" t="s">
        <v>30</v>
      </c>
      <c r="J798" s="11" t="s">
        <v>110</v>
      </c>
      <c r="K798" s="12">
        <v>690</v>
      </c>
      <c r="L798" s="12">
        <v>690</v>
      </c>
      <c r="M798" s="12">
        <v>0</v>
      </c>
      <c r="N798" s="12">
        <v>34.5</v>
      </c>
      <c r="O798" s="12">
        <f t="shared" si="55"/>
        <v>655.5</v>
      </c>
      <c r="P798" s="29">
        <v>7</v>
      </c>
    </row>
    <row r="799" spans="1:17" s="85" customFormat="1" ht="16.5" thickTop="1" thickBot="1" x14ac:dyDescent="0.3">
      <c r="A799" s="51"/>
      <c r="B799" s="25" t="s">
        <v>11</v>
      </c>
      <c r="C799" s="8" t="s">
        <v>0</v>
      </c>
      <c r="D799" s="7" t="s">
        <v>147</v>
      </c>
      <c r="E799" s="9" t="s">
        <v>68</v>
      </c>
      <c r="F799" s="10">
        <v>20</v>
      </c>
      <c r="G799" s="11" t="s">
        <v>151</v>
      </c>
      <c r="H799" s="7" t="s">
        <v>83</v>
      </c>
      <c r="I799" s="11" t="s">
        <v>30</v>
      </c>
      <c r="J799" s="11" t="s">
        <v>105</v>
      </c>
      <c r="K799" s="12">
        <v>690</v>
      </c>
      <c r="L799" s="12">
        <v>690</v>
      </c>
      <c r="M799" s="12">
        <v>0</v>
      </c>
      <c r="N799" s="12">
        <v>34.5</v>
      </c>
      <c r="O799" s="12">
        <f t="shared" si="55"/>
        <v>655.5</v>
      </c>
      <c r="P799" s="29">
        <v>7</v>
      </c>
    </row>
    <row r="800" spans="1:17" s="85" customFormat="1" ht="16.5" thickTop="1" thickBot="1" x14ac:dyDescent="0.3">
      <c r="A800" s="51"/>
      <c r="B800" s="25" t="s">
        <v>11</v>
      </c>
      <c r="C800" s="8" t="s">
        <v>0</v>
      </c>
      <c r="D800" s="7" t="s">
        <v>147</v>
      </c>
      <c r="E800" s="9" t="s">
        <v>68</v>
      </c>
      <c r="F800" s="10">
        <v>20</v>
      </c>
      <c r="G800" s="11" t="s">
        <v>152</v>
      </c>
      <c r="H800" s="7" t="s">
        <v>83</v>
      </c>
      <c r="I800" s="11" t="s">
        <v>30</v>
      </c>
      <c r="J800" s="11" t="s">
        <v>105</v>
      </c>
      <c r="K800" s="12">
        <v>690</v>
      </c>
      <c r="L800" s="12">
        <v>690</v>
      </c>
      <c r="M800" s="12">
        <v>0</v>
      </c>
      <c r="N800" s="12">
        <v>34.5</v>
      </c>
      <c r="O800" s="12">
        <f t="shared" si="55"/>
        <v>655.5</v>
      </c>
      <c r="P800" s="29">
        <v>7</v>
      </c>
    </row>
    <row r="801" spans="1:16" s="85" customFormat="1" ht="16.5" hidden="1" thickTop="1" thickBot="1" x14ac:dyDescent="0.3">
      <c r="A801" s="51"/>
      <c r="B801" s="25" t="s">
        <v>11</v>
      </c>
      <c r="C801" s="8" t="s">
        <v>61</v>
      </c>
      <c r="D801" s="7" t="s">
        <v>147</v>
      </c>
      <c r="E801" s="9" t="s">
        <v>69</v>
      </c>
      <c r="F801" s="10">
        <v>20</v>
      </c>
      <c r="G801" s="11" t="s">
        <v>92</v>
      </c>
      <c r="H801" s="7" t="s">
        <v>83</v>
      </c>
      <c r="I801" s="11" t="s">
        <v>30</v>
      </c>
      <c r="J801" s="11" t="s">
        <v>80</v>
      </c>
      <c r="K801" s="12">
        <v>690</v>
      </c>
      <c r="L801" s="12">
        <v>690</v>
      </c>
      <c r="M801" s="12">
        <v>0</v>
      </c>
      <c r="N801" s="12">
        <v>34.5</v>
      </c>
      <c r="O801" s="12">
        <f t="shared" si="55"/>
        <v>655.5</v>
      </c>
      <c r="P801" s="29">
        <v>7</v>
      </c>
    </row>
    <row r="802" spans="1:16" s="85" customFormat="1" ht="16.5" thickTop="1" thickBot="1" x14ac:dyDescent="0.3">
      <c r="A802" s="51"/>
      <c r="B802" s="25" t="s">
        <v>11</v>
      </c>
      <c r="C802" s="8" t="s">
        <v>62</v>
      </c>
      <c r="D802" s="7" t="s">
        <v>147</v>
      </c>
      <c r="E802" s="9" t="s">
        <v>68</v>
      </c>
      <c r="F802" s="10">
        <v>20</v>
      </c>
      <c r="G802" s="11" t="s">
        <v>49</v>
      </c>
      <c r="H802" s="7" t="s">
        <v>85</v>
      </c>
      <c r="I802" s="11" t="s">
        <v>30</v>
      </c>
      <c r="J802" s="11" t="s">
        <v>105</v>
      </c>
      <c r="K802" s="12">
        <v>1290</v>
      </c>
      <c r="L802" s="12">
        <v>1290</v>
      </c>
      <c r="M802" s="12">
        <v>0</v>
      </c>
      <c r="N802" s="12">
        <v>64.5</v>
      </c>
      <c r="O802" s="12">
        <f t="shared" si="55"/>
        <v>1225.5</v>
      </c>
      <c r="P802" s="29">
        <v>7</v>
      </c>
    </row>
    <row r="803" spans="1:16" s="85" customFormat="1" ht="16.5" thickTop="1" thickBot="1" x14ac:dyDescent="0.3">
      <c r="A803" s="51"/>
      <c r="B803" s="25" t="s">
        <v>11</v>
      </c>
      <c r="C803" s="8" t="s">
        <v>62</v>
      </c>
      <c r="D803" s="7" t="s">
        <v>147</v>
      </c>
      <c r="E803" s="9" t="s">
        <v>68</v>
      </c>
      <c r="F803" s="10">
        <v>20</v>
      </c>
      <c r="G803" s="11" t="s">
        <v>50</v>
      </c>
      <c r="H803" s="7" t="s">
        <v>85</v>
      </c>
      <c r="I803" s="11" t="s">
        <v>30</v>
      </c>
      <c r="J803" s="11" t="s">
        <v>105</v>
      </c>
      <c r="K803" s="12">
        <v>690</v>
      </c>
      <c r="L803" s="12">
        <v>690</v>
      </c>
      <c r="M803" s="12">
        <v>0</v>
      </c>
      <c r="N803" s="12">
        <v>34.5</v>
      </c>
      <c r="O803" s="12">
        <f t="shared" si="55"/>
        <v>655.5</v>
      </c>
      <c r="P803" s="29">
        <v>7</v>
      </c>
    </row>
    <row r="804" spans="1:16" s="85" customFormat="1" ht="16.5" thickTop="1" thickBot="1" x14ac:dyDescent="0.3">
      <c r="A804" s="51"/>
      <c r="B804" s="25" t="s">
        <v>11</v>
      </c>
      <c r="C804" s="8" t="s">
        <v>0</v>
      </c>
      <c r="D804" s="7" t="s">
        <v>147</v>
      </c>
      <c r="E804" s="9" t="s">
        <v>68</v>
      </c>
      <c r="F804" s="10">
        <v>20</v>
      </c>
      <c r="G804" s="11" t="s">
        <v>72</v>
      </c>
      <c r="H804" s="7" t="s">
        <v>83</v>
      </c>
      <c r="I804" s="11" t="s">
        <v>30</v>
      </c>
      <c r="J804" s="11" t="s">
        <v>109</v>
      </c>
      <c r="K804" s="12">
        <v>690</v>
      </c>
      <c r="L804" s="12">
        <f t="shared" ref="L804:L828" si="56">K804</f>
        <v>690</v>
      </c>
      <c r="M804" s="12">
        <v>0</v>
      </c>
      <c r="N804" s="12">
        <v>34.5</v>
      </c>
      <c r="O804" s="12">
        <f t="shared" si="55"/>
        <v>655.5</v>
      </c>
      <c r="P804" s="29">
        <v>7</v>
      </c>
    </row>
    <row r="805" spans="1:16" s="85" customFormat="1" ht="16.5" thickTop="1" thickBot="1" x14ac:dyDescent="0.3">
      <c r="A805" s="51"/>
      <c r="B805" s="25" t="s">
        <v>11</v>
      </c>
      <c r="C805" s="8" t="s">
        <v>0</v>
      </c>
      <c r="D805" s="7" t="s">
        <v>79</v>
      </c>
      <c r="E805" s="9" t="s">
        <v>68</v>
      </c>
      <c r="F805" s="10">
        <v>22</v>
      </c>
      <c r="G805" s="11" t="s">
        <v>24</v>
      </c>
      <c r="H805" s="7" t="s">
        <v>83</v>
      </c>
      <c r="I805" s="11" t="s">
        <v>7</v>
      </c>
      <c r="J805" s="11" t="s">
        <v>80</v>
      </c>
      <c r="K805" s="12">
        <v>61581.4</v>
      </c>
      <c r="L805" s="12">
        <f t="shared" si="56"/>
        <v>61581.4</v>
      </c>
      <c r="M805" s="12">
        <v>0</v>
      </c>
      <c r="N805" s="12">
        <f>L805*14%</f>
        <v>8621.3960000000006</v>
      </c>
      <c r="O805" s="12">
        <f>L805-N805</f>
        <v>52960.004000000001</v>
      </c>
      <c r="P805" s="29">
        <v>12</v>
      </c>
    </row>
    <row r="806" spans="1:16" s="85" customFormat="1" ht="16.5" thickTop="1" thickBot="1" x14ac:dyDescent="0.3">
      <c r="A806" s="51"/>
      <c r="B806" s="25" t="s">
        <v>13</v>
      </c>
      <c r="C806" s="8" t="s">
        <v>0</v>
      </c>
      <c r="D806" s="7" t="s">
        <v>79</v>
      </c>
      <c r="E806" s="9" t="s">
        <v>68</v>
      </c>
      <c r="F806" s="10">
        <v>22</v>
      </c>
      <c r="G806" s="11" t="s">
        <v>24</v>
      </c>
      <c r="H806" s="7" t="s">
        <v>83</v>
      </c>
      <c r="I806" s="11" t="s">
        <v>9</v>
      </c>
      <c r="J806" s="11" t="s">
        <v>80</v>
      </c>
      <c r="K806" s="12">
        <v>12949</v>
      </c>
      <c r="L806" s="12">
        <f t="shared" si="56"/>
        <v>12949</v>
      </c>
      <c r="M806" s="12">
        <v>0</v>
      </c>
      <c r="N806" s="12">
        <f>L806*16%</f>
        <v>2071.84</v>
      </c>
      <c r="O806" s="12">
        <f>L806-N806</f>
        <v>10877.16</v>
      </c>
      <c r="P806" s="29">
        <v>12</v>
      </c>
    </row>
    <row r="807" spans="1:16" s="85" customFormat="1" ht="16.5" thickTop="1" thickBot="1" x14ac:dyDescent="0.3">
      <c r="A807" s="51"/>
      <c r="B807" s="25" t="s">
        <v>10</v>
      </c>
      <c r="C807" s="8" t="s">
        <v>0</v>
      </c>
      <c r="D807" s="7" t="s">
        <v>79</v>
      </c>
      <c r="E807" s="9" t="s">
        <v>68</v>
      </c>
      <c r="F807" s="10">
        <v>22</v>
      </c>
      <c r="G807" s="11" t="s">
        <v>24</v>
      </c>
      <c r="H807" s="7" t="s">
        <v>83</v>
      </c>
      <c r="I807" s="11" t="s">
        <v>96</v>
      </c>
      <c r="J807" s="11" t="s">
        <v>80</v>
      </c>
      <c r="K807" s="12">
        <v>1500</v>
      </c>
      <c r="L807" s="12">
        <f t="shared" si="56"/>
        <v>1500</v>
      </c>
      <c r="M807" s="12">
        <v>0</v>
      </c>
      <c r="N807" s="12">
        <v>0</v>
      </c>
      <c r="O807" s="12">
        <v>1500</v>
      </c>
      <c r="P807" s="29">
        <v>12</v>
      </c>
    </row>
    <row r="808" spans="1:16" s="85" customFormat="1" ht="16.5" thickTop="1" thickBot="1" x14ac:dyDescent="0.3">
      <c r="A808" s="51"/>
      <c r="B808" s="25" t="s">
        <v>5</v>
      </c>
      <c r="C808" s="8" t="s">
        <v>25</v>
      </c>
      <c r="D808" s="7" t="s">
        <v>79</v>
      </c>
      <c r="E808" s="9" t="s">
        <v>68</v>
      </c>
      <c r="F808" s="10">
        <v>5</v>
      </c>
      <c r="G808" s="11" t="s">
        <v>26</v>
      </c>
      <c r="H808" s="7" t="s">
        <v>83</v>
      </c>
      <c r="I808" s="11" t="s">
        <v>7</v>
      </c>
      <c r="J808" s="11" t="s">
        <v>80</v>
      </c>
      <c r="K808" s="12">
        <v>21868.658146266753</v>
      </c>
      <c r="L808" s="12">
        <f t="shared" si="56"/>
        <v>21868.658146266753</v>
      </c>
      <c r="M808" s="12">
        <v>0</v>
      </c>
      <c r="N808" s="12">
        <v>0</v>
      </c>
      <c r="O808" s="12">
        <f t="shared" ref="O808:O813" si="57">L808+M808-N808</f>
        <v>21868.658146266753</v>
      </c>
      <c r="P808" s="29">
        <v>29</v>
      </c>
    </row>
    <row r="809" spans="1:16" s="85" customFormat="1" ht="15" customHeight="1" thickTop="1" thickBot="1" x14ac:dyDescent="0.3">
      <c r="A809" s="51"/>
      <c r="B809" s="25" t="s">
        <v>5</v>
      </c>
      <c r="C809" s="8" t="s">
        <v>25</v>
      </c>
      <c r="D809" s="7" t="s">
        <v>79</v>
      </c>
      <c r="E809" s="9" t="s">
        <v>68</v>
      </c>
      <c r="F809" s="10">
        <v>5</v>
      </c>
      <c r="G809" s="11" t="s">
        <v>26</v>
      </c>
      <c r="H809" s="7" t="s">
        <v>83</v>
      </c>
      <c r="I809" s="11" t="s">
        <v>9</v>
      </c>
      <c r="J809" s="11" t="s">
        <v>80</v>
      </c>
      <c r="K809" s="12">
        <v>4791.7362231179995</v>
      </c>
      <c r="L809" s="12">
        <f t="shared" si="56"/>
        <v>4791.7362231179995</v>
      </c>
      <c r="M809" s="12">
        <v>0</v>
      </c>
      <c r="N809" s="12">
        <v>0</v>
      </c>
      <c r="O809" s="12">
        <f t="shared" si="57"/>
        <v>4791.7362231179995</v>
      </c>
      <c r="P809" s="29">
        <v>29</v>
      </c>
    </row>
    <row r="810" spans="1:16" s="85" customFormat="1" ht="16.5" thickTop="1" thickBot="1" x14ac:dyDescent="0.3">
      <c r="A810" s="51"/>
      <c r="B810" s="25" t="s">
        <v>5</v>
      </c>
      <c r="C810" s="8" t="s">
        <v>25</v>
      </c>
      <c r="D810" s="7" t="s">
        <v>79</v>
      </c>
      <c r="E810" s="9" t="s">
        <v>68</v>
      </c>
      <c r="F810" s="10">
        <v>5</v>
      </c>
      <c r="G810" s="11" t="s">
        <v>27</v>
      </c>
      <c r="H810" s="7" t="s">
        <v>83</v>
      </c>
      <c r="I810" s="11" t="s">
        <v>141</v>
      </c>
      <c r="J810" s="11" t="s">
        <v>80</v>
      </c>
      <c r="K810" s="12">
        <v>6193.06</v>
      </c>
      <c r="L810" s="12">
        <f t="shared" si="56"/>
        <v>6193.06</v>
      </c>
      <c r="M810" s="12">
        <v>0</v>
      </c>
      <c r="N810" s="12">
        <v>0</v>
      </c>
      <c r="O810" s="12">
        <f t="shared" si="57"/>
        <v>6193.06</v>
      </c>
      <c r="P810" s="29">
        <v>29</v>
      </c>
    </row>
    <row r="811" spans="1:16" s="85" customFormat="1" ht="16.5" thickTop="1" thickBot="1" x14ac:dyDescent="0.3">
      <c r="A811" s="51"/>
      <c r="B811" s="25" t="s">
        <v>5</v>
      </c>
      <c r="C811" s="8" t="s">
        <v>25</v>
      </c>
      <c r="D811" s="7" t="s">
        <v>79</v>
      </c>
      <c r="E811" s="9" t="s">
        <v>68</v>
      </c>
      <c r="F811" s="10">
        <v>5</v>
      </c>
      <c r="G811" s="11" t="s">
        <v>27</v>
      </c>
      <c r="H811" s="7" t="s">
        <v>83</v>
      </c>
      <c r="I811" s="11" t="s">
        <v>7</v>
      </c>
      <c r="J811" s="11" t="s">
        <v>80</v>
      </c>
      <c r="K811" s="12">
        <v>21868.658146266745</v>
      </c>
      <c r="L811" s="12">
        <f t="shared" si="56"/>
        <v>21868.658146266745</v>
      </c>
      <c r="M811" s="12">
        <v>0</v>
      </c>
      <c r="N811" s="12">
        <v>0</v>
      </c>
      <c r="O811" s="12">
        <f t="shared" si="57"/>
        <v>21868.658146266745</v>
      </c>
      <c r="P811" s="29">
        <v>29</v>
      </c>
    </row>
    <row r="812" spans="1:16" s="85" customFormat="1" ht="16.5" thickTop="1" thickBot="1" x14ac:dyDescent="0.3">
      <c r="A812" s="51"/>
      <c r="B812" s="25" t="s">
        <v>5</v>
      </c>
      <c r="C812" s="8" t="s">
        <v>25</v>
      </c>
      <c r="D812" s="7" t="s">
        <v>79</v>
      </c>
      <c r="E812" s="9" t="s">
        <v>68</v>
      </c>
      <c r="F812" s="10">
        <v>5</v>
      </c>
      <c r="G812" s="11" t="s">
        <v>27</v>
      </c>
      <c r="H812" s="7" t="s">
        <v>83</v>
      </c>
      <c r="I812" s="11" t="s">
        <v>9</v>
      </c>
      <c r="J812" s="11" t="s">
        <v>80</v>
      </c>
      <c r="K812" s="12">
        <v>4791.7362231179995</v>
      </c>
      <c r="L812" s="12">
        <f t="shared" si="56"/>
        <v>4791.7362231179995</v>
      </c>
      <c r="M812" s="12">
        <v>0</v>
      </c>
      <c r="N812" s="12">
        <v>0</v>
      </c>
      <c r="O812" s="12">
        <f t="shared" si="57"/>
        <v>4791.7362231179995</v>
      </c>
      <c r="P812" s="29">
        <v>29</v>
      </c>
    </row>
    <row r="813" spans="1:16" s="85" customFormat="1" ht="16.5" thickTop="1" thickBot="1" x14ac:dyDescent="0.3">
      <c r="A813" s="51"/>
      <c r="B813" s="25" t="s">
        <v>5</v>
      </c>
      <c r="C813" s="8" t="s">
        <v>25</v>
      </c>
      <c r="D813" s="7" t="s">
        <v>79</v>
      </c>
      <c r="E813" s="9" t="s">
        <v>68</v>
      </c>
      <c r="F813" s="10">
        <v>5</v>
      </c>
      <c r="G813" s="11" t="s">
        <v>27</v>
      </c>
      <c r="H813" s="7" t="s">
        <v>83</v>
      </c>
      <c r="I813" s="11" t="s">
        <v>113</v>
      </c>
      <c r="J813" s="11" t="s">
        <v>80</v>
      </c>
      <c r="K813" s="12">
        <v>2015.0660041200001</v>
      </c>
      <c r="L813" s="12">
        <f t="shared" si="56"/>
        <v>2015.0660041200001</v>
      </c>
      <c r="M813" s="12">
        <v>0</v>
      </c>
      <c r="N813" s="12">
        <v>0</v>
      </c>
      <c r="O813" s="12">
        <f t="shared" si="57"/>
        <v>2015.0660041200001</v>
      </c>
      <c r="P813" s="29">
        <v>29</v>
      </c>
    </row>
    <row r="814" spans="1:16" s="85" customFormat="1" ht="16.5" thickTop="1" thickBot="1" x14ac:dyDescent="0.3">
      <c r="A814" s="51"/>
      <c r="B814" s="25" t="s">
        <v>11</v>
      </c>
      <c r="C814" s="8" t="s">
        <v>25</v>
      </c>
      <c r="D814" s="7" t="s">
        <v>79</v>
      </c>
      <c r="E814" s="9" t="s">
        <v>68</v>
      </c>
      <c r="F814" s="10">
        <v>20</v>
      </c>
      <c r="G814" s="11" t="s">
        <v>29</v>
      </c>
      <c r="H814" s="7" t="s">
        <v>83</v>
      </c>
      <c r="I814" s="11" t="s">
        <v>30</v>
      </c>
      <c r="J814" s="11" t="s">
        <v>80</v>
      </c>
      <c r="K814" s="12">
        <v>530</v>
      </c>
      <c r="L814" s="12">
        <f t="shared" si="56"/>
        <v>530</v>
      </c>
      <c r="M814" s="12">
        <v>0</v>
      </c>
      <c r="N814" s="12">
        <v>25</v>
      </c>
      <c r="O814" s="12">
        <v>475</v>
      </c>
      <c r="P814" s="29">
        <v>10</v>
      </c>
    </row>
    <row r="815" spans="1:16" s="85" customFormat="1" ht="16.5" thickTop="1" thickBot="1" x14ac:dyDescent="0.3">
      <c r="A815" s="51"/>
      <c r="B815" s="25" t="s">
        <v>22</v>
      </c>
      <c r="C815" s="8" t="s">
        <v>25</v>
      </c>
      <c r="D815" s="7" t="s">
        <v>79</v>
      </c>
      <c r="E815" s="9" t="s">
        <v>68</v>
      </c>
      <c r="F815" s="10">
        <v>20</v>
      </c>
      <c r="G815" s="11" t="s">
        <v>29</v>
      </c>
      <c r="H815" s="7" t="s">
        <v>83</v>
      </c>
      <c r="I815" s="11" t="s">
        <v>9</v>
      </c>
      <c r="J815" s="11" t="s">
        <v>80</v>
      </c>
      <c r="K815" s="12">
        <v>8124.51</v>
      </c>
      <c r="L815" s="12">
        <f t="shared" si="56"/>
        <v>8124.51</v>
      </c>
      <c r="M815" s="12">
        <v>0</v>
      </c>
      <c r="N815" s="12">
        <v>0</v>
      </c>
      <c r="O815" s="12">
        <f>L815+M815-N815</f>
        <v>8124.51</v>
      </c>
      <c r="P815" s="29">
        <v>10</v>
      </c>
    </row>
    <row r="816" spans="1:16" s="85" customFormat="1" ht="16.5" thickTop="1" thickBot="1" x14ac:dyDescent="0.3">
      <c r="A816" s="51"/>
      <c r="B816" s="25" t="s">
        <v>22</v>
      </c>
      <c r="C816" s="8" t="s">
        <v>25</v>
      </c>
      <c r="D816" s="7" t="s">
        <v>79</v>
      </c>
      <c r="E816" s="9" t="s">
        <v>68</v>
      </c>
      <c r="F816" s="10">
        <v>20</v>
      </c>
      <c r="G816" s="13" t="s">
        <v>31</v>
      </c>
      <c r="H816" s="7" t="s">
        <v>83</v>
      </c>
      <c r="I816" s="11" t="s">
        <v>7</v>
      </c>
      <c r="J816" s="11" t="s">
        <v>80</v>
      </c>
      <c r="K816" s="12">
        <v>19669</v>
      </c>
      <c r="L816" s="12">
        <f t="shared" si="56"/>
        <v>19669</v>
      </c>
      <c r="M816" s="12">
        <v>0</v>
      </c>
      <c r="N816" s="12">
        <v>0</v>
      </c>
      <c r="O816" s="12">
        <f>L816+M816-N816</f>
        <v>19669</v>
      </c>
      <c r="P816" s="29">
        <v>30</v>
      </c>
    </row>
    <row r="817" spans="1:16" s="85" customFormat="1" ht="16.5" thickTop="1" thickBot="1" x14ac:dyDescent="0.3">
      <c r="A817" s="51" t="s">
        <v>111</v>
      </c>
      <c r="B817" s="25" t="s">
        <v>5</v>
      </c>
      <c r="C817" s="8" t="s">
        <v>25</v>
      </c>
      <c r="D817" s="7" t="s">
        <v>79</v>
      </c>
      <c r="E817" s="9" t="s">
        <v>68</v>
      </c>
      <c r="F817" s="10">
        <v>20</v>
      </c>
      <c r="G817" s="11" t="s">
        <v>32</v>
      </c>
      <c r="H817" s="7" t="s">
        <v>83</v>
      </c>
      <c r="I817" s="11" t="s">
        <v>7</v>
      </c>
      <c r="J817" s="11" t="s">
        <v>80</v>
      </c>
      <c r="K817" s="12">
        <v>21216.65</v>
      </c>
      <c r="L817" s="12">
        <f t="shared" si="56"/>
        <v>21216.65</v>
      </c>
      <c r="M817" s="12">
        <v>0</v>
      </c>
      <c r="N817" s="12">
        <v>1008.00076721625</v>
      </c>
      <c r="O817" s="12">
        <f>L817+M817-N817</f>
        <v>20208.649232783751</v>
      </c>
      <c r="P817" s="29">
        <v>10</v>
      </c>
    </row>
    <row r="818" spans="1:16" s="85" customFormat="1" ht="16.5" thickTop="1" thickBot="1" x14ac:dyDescent="0.3">
      <c r="A818" s="51"/>
      <c r="B818" s="25" t="s">
        <v>5</v>
      </c>
      <c r="C818" s="8" t="s">
        <v>25</v>
      </c>
      <c r="D818" s="7" t="s">
        <v>79</v>
      </c>
      <c r="E818" s="9" t="s">
        <v>68</v>
      </c>
      <c r="F818" s="10">
        <v>20</v>
      </c>
      <c r="G818" s="11" t="s">
        <v>32</v>
      </c>
      <c r="H818" s="7" t="s">
        <v>83</v>
      </c>
      <c r="I818" s="11" t="s">
        <v>97</v>
      </c>
      <c r="J818" s="11" t="s">
        <v>80</v>
      </c>
      <c r="K818" s="12">
        <v>10578.83</v>
      </c>
      <c r="L818" s="12">
        <f t="shared" si="56"/>
        <v>10578.83</v>
      </c>
      <c r="M818" s="12">
        <v>0</v>
      </c>
      <c r="N818" s="12">
        <v>502.66571759999999</v>
      </c>
      <c r="O818" s="12">
        <f>L818+M818-N818</f>
        <v>10076.164282399999</v>
      </c>
      <c r="P818" s="29">
        <v>10</v>
      </c>
    </row>
    <row r="819" spans="1:16" s="85" customFormat="1" ht="16.5" thickTop="1" thickBot="1" x14ac:dyDescent="0.3">
      <c r="A819" s="51"/>
      <c r="B819" s="25" t="s">
        <v>11</v>
      </c>
      <c r="C819" s="8" t="s">
        <v>25</v>
      </c>
      <c r="D819" s="7" t="s">
        <v>79</v>
      </c>
      <c r="E819" s="9" t="s">
        <v>68</v>
      </c>
      <c r="F819" s="10">
        <v>20</v>
      </c>
      <c r="G819" s="11" t="s">
        <v>32</v>
      </c>
      <c r="H819" s="7" t="s">
        <v>83</v>
      </c>
      <c r="I819" s="11" t="s">
        <v>30</v>
      </c>
      <c r="J819" s="11" t="s">
        <v>80</v>
      </c>
      <c r="K819" s="12">
        <v>230</v>
      </c>
      <c r="L819" s="12">
        <f t="shared" si="56"/>
        <v>230</v>
      </c>
      <c r="M819" s="12">
        <v>0</v>
      </c>
      <c r="N819" s="12">
        <v>10</v>
      </c>
      <c r="O819" s="12">
        <v>190</v>
      </c>
      <c r="P819" s="29">
        <v>10</v>
      </c>
    </row>
    <row r="820" spans="1:16" s="85" customFormat="1" ht="16.5" thickTop="1" thickBot="1" x14ac:dyDescent="0.3">
      <c r="A820" s="51"/>
      <c r="B820" s="25" t="s">
        <v>5</v>
      </c>
      <c r="C820" s="8" t="s">
        <v>25</v>
      </c>
      <c r="D820" s="7" t="s">
        <v>79</v>
      </c>
      <c r="E820" s="9" t="s">
        <v>68</v>
      </c>
      <c r="F820" s="10">
        <v>20</v>
      </c>
      <c r="G820" s="11" t="s">
        <v>146</v>
      </c>
      <c r="H820" s="7" t="s">
        <v>83</v>
      </c>
      <c r="I820" s="11" t="s">
        <v>145</v>
      </c>
      <c r="J820" s="11" t="s">
        <v>80</v>
      </c>
      <c r="K820" s="12">
        <v>10637.82</v>
      </c>
      <c r="L820" s="12">
        <f t="shared" si="56"/>
        <v>10637.82</v>
      </c>
      <c r="M820" s="12">
        <v>0</v>
      </c>
      <c r="N820" s="12">
        <v>505.32979499999999</v>
      </c>
      <c r="O820" s="12">
        <f>L820+M820-N820</f>
        <v>10132.490205</v>
      </c>
      <c r="P820" s="29">
        <v>10</v>
      </c>
    </row>
    <row r="821" spans="1:16" s="85" customFormat="1" ht="16.5" thickTop="1" thickBot="1" x14ac:dyDescent="0.3">
      <c r="A821" s="51"/>
      <c r="B821" s="25" t="s">
        <v>5</v>
      </c>
      <c r="C821" s="8" t="s">
        <v>25</v>
      </c>
      <c r="D821" s="7" t="s">
        <v>79</v>
      </c>
      <c r="E821" s="9" t="s">
        <v>68</v>
      </c>
      <c r="F821" s="10">
        <v>20</v>
      </c>
      <c r="G821" s="11" t="s">
        <v>146</v>
      </c>
      <c r="H821" s="7" t="s">
        <v>83</v>
      </c>
      <c r="I821" s="11" t="s">
        <v>7</v>
      </c>
      <c r="J821" s="11" t="s">
        <v>80</v>
      </c>
      <c r="K821" s="12">
        <v>10048.870000000001</v>
      </c>
      <c r="L821" s="12">
        <f t="shared" si="56"/>
        <v>10048.870000000001</v>
      </c>
      <c r="M821" s="12">
        <v>0</v>
      </c>
      <c r="N821" s="12">
        <v>481.34</v>
      </c>
      <c r="O821" s="12">
        <f>K821-N821</f>
        <v>9567.5300000000007</v>
      </c>
      <c r="P821" s="29">
        <v>10</v>
      </c>
    </row>
    <row r="822" spans="1:16" s="85" customFormat="1" ht="16.5" thickTop="1" thickBot="1" x14ac:dyDescent="0.3">
      <c r="A822" s="51"/>
      <c r="B822" s="25" t="s">
        <v>5</v>
      </c>
      <c r="C822" s="8" t="s">
        <v>25</v>
      </c>
      <c r="D822" s="7" t="s">
        <v>79</v>
      </c>
      <c r="E822" s="9" t="s">
        <v>68</v>
      </c>
      <c r="F822" s="10">
        <v>20</v>
      </c>
      <c r="G822" s="11" t="s">
        <v>32</v>
      </c>
      <c r="H822" s="7" t="s">
        <v>83</v>
      </c>
      <c r="I822" s="11" t="s">
        <v>98</v>
      </c>
      <c r="J822" s="11" t="s">
        <v>80</v>
      </c>
      <c r="K822" s="12">
        <v>14293.174999999999</v>
      </c>
      <c r="L822" s="12">
        <f t="shared" si="56"/>
        <v>14293.174999999999</v>
      </c>
      <c r="M822" s="12">
        <v>0</v>
      </c>
      <c r="N822" s="12">
        <v>646.75</v>
      </c>
      <c r="O822" s="12">
        <f>L822+M822-N822</f>
        <v>13646.424999999999</v>
      </c>
      <c r="P822" s="29">
        <v>10</v>
      </c>
    </row>
    <row r="823" spans="1:16" s="85" customFormat="1" ht="16.5" thickTop="1" thickBot="1" x14ac:dyDescent="0.3">
      <c r="A823" s="51"/>
      <c r="B823" s="25" t="s">
        <v>10</v>
      </c>
      <c r="C823" s="8" t="s">
        <v>25</v>
      </c>
      <c r="D823" s="7" t="s">
        <v>79</v>
      </c>
      <c r="E823" s="9" t="s">
        <v>68</v>
      </c>
      <c r="F823" s="10">
        <v>20</v>
      </c>
      <c r="G823" s="11" t="s">
        <v>32</v>
      </c>
      <c r="H823" s="7" t="s">
        <v>83</v>
      </c>
      <c r="I823" s="11" t="s">
        <v>96</v>
      </c>
      <c r="J823" s="11" t="s">
        <v>80</v>
      </c>
      <c r="K823" s="12">
        <v>2000</v>
      </c>
      <c r="L823" s="12">
        <f t="shared" si="56"/>
        <v>2000</v>
      </c>
      <c r="M823" s="12">
        <v>0</v>
      </c>
      <c r="N823" s="12">
        <v>0</v>
      </c>
      <c r="O823" s="12">
        <v>2000</v>
      </c>
      <c r="P823" s="29">
        <v>10</v>
      </c>
    </row>
    <row r="824" spans="1:16" s="85" customFormat="1" ht="16.5" thickTop="1" thickBot="1" x14ac:dyDescent="0.3">
      <c r="A824" s="51"/>
      <c r="B824" s="25" t="s">
        <v>11</v>
      </c>
      <c r="C824" s="8" t="s">
        <v>25</v>
      </c>
      <c r="D824" s="7" t="s">
        <v>79</v>
      </c>
      <c r="E824" s="9" t="s">
        <v>68</v>
      </c>
      <c r="F824" s="10">
        <v>15</v>
      </c>
      <c r="G824" s="11" t="s">
        <v>33</v>
      </c>
      <c r="H824" s="7" t="s">
        <v>83</v>
      </c>
      <c r="I824" s="11" t="s">
        <v>7</v>
      </c>
      <c r="J824" s="11" t="s">
        <v>80</v>
      </c>
      <c r="K824" s="12">
        <v>22528.080000000002</v>
      </c>
      <c r="L824" s="12">
        <f t="shared" si="56"/>
        <v>22528.080000000002</v>
      </c>
      <c r="M824" s="12">
        <v>0</v>
      </c>
      <c r="N824" s="12">
        <f>L824*14%</f>
        <v>3153.9312000000004</v>
      </c>
      <c r="O824" s="12">
        <f>L824+M824-N824</f>
        <v>19374.148800000003</v>
      </c>
      <c r="P824" s="29">
        <v>30</v>
      </c>
    </row>
    <row r="825" spans="1:16" s="85" customFormat="1" ht="16.5" thickTop="1" thickBot="1" x14ac:dyDescent="0.3">
      <c r="A825" s="51"/>
      <c r="B825" s="25" t="s">
        <v>22</v>
      </c>
      <c r="C825" s="8" t="s">
        <v>25</v>
      </c>
      <c r="D825" s="7" t="s">
        <v>79</v>
      </c>
      <c r="E825" s="9" t="s">
        <v>68</v>
      </c>
      <c r="F825" s="10">
        <v>15</v>
      </c>
      <c r="G825" s="11" t="s">
        <v>120</v>
      </c>
      <c r="H825" s="7" t="s">
        <v>83</v>
      </c>
      <c r="I825" s="11" t="s">
        <v>9</v>
      </c>
      <c r="J825" s="11" t="s">
        <v>80</v>
      </c>
      <c r="K825" s="12">
        <v>4285.72</v>
      </c>
      <c r="L825" s="12">
        <f t="shared" si="56"/>
        <v>4285.72</v>
      </c>
      <c r="M825" s="12">
        <v>0</v>
      </c>
      <c r="N825" s="12">
        <v>0</v>
      </c>
      <c r="O825" s="12">
        <f>L825+M825-N825</f>
        <v>4285.72</v>
      </c>
      <c r="P825" s="29">
        <v>30</v>
      </c>
    </row>
    <row r="826" spans="1:16" s="85" customFormat="1" ht="16.5" thickTop="1" thickBot="1" x14ac:dyDescent="0.3">
      <c r="A826" s="51"/>
      <c r="B826" s="25" t="s">
        <v>22</v>
      </c>
      <c r="C826" s="8" t="s">
        <v>25</v>
      </c>
      <c r="D826" s="7" t="s">
        <v>79</v>
      </c>
      <c r="E826" s="9" t="s">
        <v>68</v>
      </c>
      <c r="F826" s="10">
        <v>15</v>
      </c>
      <c r="G826" s="11" t="s">
        <v>33</v>
      </c>
      <c r="H826" s="7" t="s">
        <v>83</v>
      </c>
      <c r="I826" s="11" t="s">
        <v>9</v>
      </c>
      <c r="J826" s="11" t="s">
        <v>80</v>
      </c>
      <c r="K826" s="12">
        <v>8571.4500000000007</v>
      </c>
      <c r="L826" s="12">
        <f t="shared" si="56"/>
        <v>8571.4500000000007</v>
      </c>
      <c r="M826" s="12">
        <v>0</v>
      </c>
      <c r="N826" s="12">
        <v>0</v>
      </c>
      <c r="O826" s="12">
        <f>L826+M826-N826</f>
        <v>8571.4500000000007</v>
      </c>
      <c r="P826" s="29">
        <v>30</v>
      </c>
    </row>
    <row r="827" spans="1:16" s="85" customFormat="1" ht="16.5" hidden="1" thickTop="1" thickBot="1" x14ac:dyDescent="0.3">
      <c r="A827" s="74" t="s">
        <v>111</v>
      </c>
      <c r="B827" s="25" t="s">
        <v>11</v>
      </c>
      <c r="C827" s="8" t="s">
        <v>25</v>
      </c>
      <c r="D827" s="7" t="s">
        <v>79</v>
      </c>
      <c r="E827" s="9" t="s">
        <v>67</v>
      </c>
      <c r="F827" s="10">
        <v>15</v>
      </c>
      <c r="G827" s="11" t="s">
        <v>33</v>
      </c>
      <c r="H827" s="7" t="s">
        <v>83</v>
      </c>
      <c r="I827" s="11" t="s">
        <v>30</v>
      </c>
      <c r="J827" s="11" t="s">
        <v>80</v>
      </c>
      <c r="K827" s="12">
        <v>200</v>
      </c>
      <c r="L827" s="12">
        <v>230</v>
      </c>
      <c r="M827" s="12">
        <v>0</v>
      </c>
      <c r="N827" s="12">
        <v>10</v>
      </c>
      <c r="O827" s="12">
        <v>190</v>
      </c>
      <c r="P827" s="29">
        <v>30</v>
      </c>
    </row>
    <row r="828" spans="1:16" s="85" customFormat="1" ht="16.5" thickTop="1" thickBot="1" x14ac:dyDescent="0.3">
      <c r="A828" s="51"/>
      <c r="B828" s="25" t="s">
        <v>11</v>
      </c>
      <c r="C828" s="8" t="s">
        <v>25</v>
      </c>
      <c r="D828" s="7" t="s">
        <v>79</v>
      </c>
      <c r="E828" s="9" t="s">
        <v>68</v>
      </c>
      <c r="F828" s="10">
        <v>15</v>
      </c>
      <c r="G828" s="11" t="s">
        <v>33</v>
      </c>
      <c r="H828" s="7" t="s">
        <v>83</v>
      </c>
      <c r="I828" s="11" t="s">
        <v>30</v>
      </c>
      <c r="J828" s="11" t="s">
        <v>80</v>
      </c>
      <c r="K828" s="12">
        <v>200</v>
      </c>
      <c r="L828" s="12">
        <f t="shared" si="56"/>
        <v>200</v>
      </c>
      <c r="M828" s="12">
        <v>0</v>
      </c>
      <c r="N828" s="12">
        <v>10</v>
      </c>
      <c r="O828" s="12">
        <v>190</v>
      </c>
      <c r="P828" s="29">
        <v>30</v>
      </c>
    </row>
    <row r="829" spans="1:16" s="85" customFormat="1" ht="16.5" thickTop="1" thickBot="1" x14ac:dyDescent="0.3">
      <c r="A829" s="74" t="s">
        <v>111</v>
      </c>
      <c r="B829" s="25" t="s">
        <v>22</v>
      </c>
      <c r="C829" s="8" t="s">
        <v>60</v>
      </c>
      <c r="D829" s="7" t="s">
        <v>79</v>
      </c>
      <c r="E829" s="9" t="s">
        <v>68</v>
      </c>
      <c r="F829" s="10">
        <v>1</v>
      </c>
      <c r="G829" s="11" t="s">
        <v>34</v>
      </c>
      <c r="H829" s="7" t="s">
        <v>87</v>
      </c>
      <c r="I829" s="11" t="s">
        <v>20</v>
      </c>
      <c r="J829" s="11" t="s">
        <v>105</v>
      </c>
      <c r="K829" s="12">
        <v>40851.191603430001</v>
      </c>
      <c r="L829" s="12">
        <f t="shared" ref="L829:L836" si="58">K829*60%</f>
        <v>24510.714962057998</v>
      </c>
      <c r="M829" s="12">
        <f t="shared" ref="M829:M836" si="59">K829*40%</f>
        <v>16340.476641372001</v>
      </c>
      <c r="N829" s="12">
        <v>0</v>
      </c>
      <c r="O829" s="12">
        <f t="shared" ref="O829:O838" si="60">L829+M829-N829</f>
        <v>40851.191603430001</v>
      </c>
      <c r="P829" s="29">
        <v>30</v>
      </c>
    </row>
    <row r="830" spans="1:16" s="85" customFormat="1" ht="16.5" thickTop="1" thickBot="1" x14ac:dyDescent="0.3">
      <c r="A830" s="74" t="s">
        <v>111</v>
      </c>
      <c r="B830" s="25" t="s">
        <v>22</v>
      </c>
      <c r="C830" s="8" t="s">
        <v>60</v>
      </c>
      <c r="D830" s="7" t="s">
        <v>79</v>
      </c>
      <c r="E830" s="9" t="s">
        <v>68</v>
      </c>
      <c r="F830" s="10">
        <v>1</v>
      </c>
      <c r="G830" s="11" t="s">
        <v>34</v>
      </c>
      <c r="H830" s="7" t="s">
        <v>87</v>
      </c>
      <c r="I830" s="11" t="s">
        <v>9</v>
      </c>
      <c r="J830" s="11" t="s">
        <v>105</v>
      </c>
      <c r="K830" s="146">
        <v>32314.78</v>
      </c>
      <c r="L830" s="12">
        <f t="shared" si="58"/>
        <v>19388.867999999999</v>
      </c>
      <c r="M830" s="12">
        <f t="shared" si="59"/>
        <v>12925.912</v>
      </c>
      <c r="N830" s="12">
        <v>0</v>
      </c>
      <c r="O830" s="12">
        <f t="shared" si="60"/>
        <v>32314.78</v>
      </c>
      <c r="P830" s="29">
        <v>30</v>
      </c>
    </row>
    <row r="831" spans="1:16" s="85" customFormat="1" ht="16.5" thickTop="1" thickBot="1" x14ac:dyDescent="0.3">
      <c r="A831" s="74" t="s">
        <v>111</v>
      </c>
      <c r="B831" s="25" t="s">
        <v>22</v>
      </c>
      <c r="C831" s="8" t="s">
        <v>60</v>
      </c>
      <c r="D831" s="7" t="s">
        <v>79</v>
      </c>
      <c r="E831" s="9" t="s">
        <v>68</v>
      </c>
      <c r="F831" s="10">
        <v>1</v>
      </c>
      <c r="G831" s="11" t="s">
        <v>35</v>
      </c>
      <c r="H831" s="7" t="s">
        <v>83</v>
      </c>
      <c r="I831" s="11" t="s">
        <v>9</v>
      </c>
      <c r="J831" s="11" t="s">
        <v>105</v>
      </c>
      <c r="K831" s="146">
        <v>23105.040000000001</v>
      </c>
      <c r="L831" s="12">
        <f t="shared" si="58"/>
        <v>13863.023999999999</v>
      </c>
      <c r="M831" s="12">
        <f t="shared" si="59"/>
        <v>9242.0160000000014</v>
      </c>
      <c r="N831" s="12">
        <v>0</v>
      </c>
      <c r="O831" s="12">
        <f t="shared" si="60"/>
        <v>23105.040000000001</v>
      </c>
      <c r="P831" s="29">
        <v>30</v>
      </c>
    </row>
    <row r="832" spans="1:16" s="85" customFormat="1" ht="16.5" thickTop="1" thickBot="1" x14ac:dyDescent="0.3">
      <c r="A832" s="74" t="s">
        <v>111</v>
      </c>
      <c r="B832" s="25" t="s">
        <v>22</v>
      </c>
      <c r="C832" s="8" t="s">
        <v>60</v>
      </c>
      <c r="D832" s="7" t="s">
        <v>79</v>
      </c>
      <c r="E832" s="9" t="s">
        <v>68</v>
      </c>
      <c r="F832" s="10">
        <v>1</v>
      </c>
      <c r="G832" s="11" t="s">
        <v>36</v>
      </c>
      <c r="H832" s="7" t="s">
        <v>89</v>
      </c>
      <c r="I832" s="11" t="s">
        <v>20</v>
      </c>
      <c r="J832" s="11" t="s">
        <v>105</v>
      </c>
      <c r="K832" s="12">
        <v>40851.191603430001</v>
      </c>
      <c r="L832" s="12">
        <f t="shared" si="58"/>
        <v>24510.714962057998</v>
      </c>
      <c r="M832" s="12">
        <f t="shared" si="59"/>
        <v>16340.476641372001</v>
      </c>
      <c r="N832" s="12">
        <v>0</v>
      </c>
      <c r="O832" s="12">
        <f t="shared" si="60"/>
        <v>40851.191603430001</v>
      </c>
      <c r="P832" s="29">
        <v>30</v>
      </c>
    </row>
    <row r="833" spans="1:16" s="85" customFormat="1" ht="16.5" thickTop="1" thickBot="1" x14ac:dyDescent="0.3">
      <c r="A833" s="74" t="s">
        <v>111</v>
      </c>
      <c r="B833" s="25" t="s">
        <v>22</v>
      </c>
      <c r="C833" s="8" t="s">
        <v>60</v>
      </c>
      <c r="D833" s="7" t="s">
        <v>79</v>
      </c>
      <c r="E833" s="9" t="s">
        <v>68</v>
      </c>
      <c r="F833" s="10">
        <v>1</v>
      </c>
      <c r="G833" s="11" t="s">
        <v>36</v>
      </c>
      <c r="H833" s="7" t="s">
        <v>89</v>
      </c>
      <c r="I833" s="11" t="s">
        <v>9</v>
      </c>
      <c r="J833" s="11" t="s">
        <v>105</v>
      </c>
      <c r="K833" s="146">
        <v>32314.78</v>
      </c>
      <c r="L833" s="12">
        <f t="shared" si="58"/>
        <v>19388.867999999999</v>
      </c>
      <c r="M833" s="12">
        <f t="shared" si="59"/>
        <v>12925.912</v>
      </c>
      <c r="N833" s="12">
        <v>0</v>
      </c>
      <c r="O833" s="12">
        <f t="shared" si="60"/>
        <v>32314.78</v>
      </c>
      <c r="P833" s="29">
        <v>30</v>
      </c>
    </row>
    <row r="834" spans="1:16" s="85" customFormat="1" ht="16.5" thickTop="1" thickBot="1" x14ac:dyDescent="0.3">
      <c r="A834" s="74" t="s">
        <v>111</v>
      </c>
      <c r="B834" s="25" t="s">
        <v>22</v>
      </c>
      <c r="C834" s="8" t="s">
        <v>60</v>
      </c>
      <c r="D834" s="7" t="s">
        <v>79</v>
      </c>
      <c r="E834" s="9" t="s">
        <v>68</v>
      </c>
      <c r="F834" s="10">
        <v>1</v>
      </c>
      <c r="G834" s="11" t="s">
        <v>37</v>
      </c>
      <c r="H834" s="7" t="s">
        <v>85</v>
      </c>
      <c r="I834" s="11" t="s">
        <v>9</v>
      </c>
      <c r="J834" s="11" t="s">
        <v>105</v>
      </c>
      <c r="K834" s="146">
        <v>13863.02</v>
      </c>
      <c r="L834" s="12">
        <f t="shared" si="58"/>
        <v>8317.8119999999999</v>
      </c>
      <c r="M834" s="12">
        <f t="shared" si="59"/>
        <v>5545.2080000000005</v>
      </c>
      <c r="N834" s="12">
        <v>0</v>
      </c>
      <c r="O834" s="12">
        <f t="shared" si="60"/>
        <v>13863.02</v>
      </c>
      <c r="P834" s="29">
        <v>30</v>
      </c>
    </row>
    <row r="835" spans="1:16" s="85" customFormat="1" ht="16.5" thickTop="1" thickBot="1" x14ac:dyDescent="0.3">
      <c r="A835" s="74" t="s">
        <v>111</v>
      </c>
      <c r="B835" s="25" t="s">
        <v>22</v>
      </c>
      <c r="C835" s="8" t="s">
        <v>60</v>
      </c>
      <c r="D835" s="7" t="s">
        <v>79</v>
      </c>
      <c r="E835" s="9" t="s">
        <v>68</v>
      </c>
      <c r="F835" s="10">
        <v>1</v>
      </c>
      <c r="G835" s="11" t="s">
        <v>93</v>
      </c>
      <c r="H835" s="7" t="s">
        <v>85</v>
      </c>
      <c r="I835" s="11" t="s">
        <v>9</v>
      </c>
      <c r="J835" s="11" t="s">
        <v>105</v>
      </c>
      <c r="K835" s="146">
        <v>18484.02</v>
      </c>
      <c r="L835" s="12">
        <f t="shared" si="58"/>
        <v>11090.412</v>
      </c>
      <c r="M835" s="12">
        <f t="shared" si="59"/>
        <v>7393.6080000000002</v>
      </c>
      <c r="N835" s="12">
        <v>0</v>
      </c>
      <c r="O835" s="12">
        <f t="shared" si="60"/>
        <v>18484.02</v>
      </c>
      <c r="P835" s="29">
        <v>30</v>
      </c>
    </row>
    <row r="836" spans="1:16" s="85" customFormat="1" ht="16.5" thickTop="1" thickBot="1" x14ac:dyDescent="0.3">
      <c r="A836" s="74" t="s">
        <v>111</v>
      </c>
      <c r="B836" s="25" t="s">
        <v>22</v>
      </c>
      <c r="C836" s="8" t="s">
        <v>60</v>
      </c>
      <c r="D836" s="7" t="s">
        <v>79</v>
      </c>
      <c r="E836" s="9" t="s">
        <v>68</v>
      </c>
      <c r="F836" s="10">
        <v>1</v>
      </c>
      <c r="G836" s="11" t="s">
        <v>38</v>
      </c>
      <c r="H836" s="7" t="s">
        <v>85</v>
      </c>
      <c r="I836" s="11" t="s">
        <v>9</v>
      </c>
      <c r="J836" s="11" t="s">
        <v>105</v>
      </c>
      <c r="K836" s="146">
        <v>13863.02</v>
      </c>
      <c r="L836" s="12">
        <f t="shared" si="58"/>
        <v>8317.8119999999999</v>
      </c>
      <c r="M836" s="12">
        <f t="shared" si="59"/>
        <v>5545.2080000000005</v>
      </c>
      <c r="N836" s="12">
        <v>0</v>
      </c>
      <c r="O836" s="12">
        <f t="shared" si="60"/>
        <v>13863.02</v>
      </c>
      <c r="P836" s="29">
        <v>30</v>
      </c>
    </row>
    <row r="837" spans="1:16" s="85" customFormat="1" ht="16.5" thickTop="1" thickBot="1" x14ac:dyDescent="0.3">
      <c r="A837" s="51"/>
      <c r="B837" s="25" t="s">
        <v>11</v>
      </c>
      <c r="C837" s="8" t="s">
        <v>60</v>
      </c>
      <c r="D837" s="7" t="s">
        <v>79</v>
      </c>
      <c r="E837" s="9" t="s">
        <v>68</v>
      </c>
      <c r="F837" s="10">
        <v>20</v>
      </c>
      <c r="G837" s="11" t="s">
        <v>119</v>
      </c>
      <c r="H837" s="7" t="s">
        <v>85</v>
      </c>
      <c r="I837" s="11" t="s">
        <v>7</v>
      </c>
      <c r="J837" s="11" t="s">
        <v>103</v>
      </c>
      <c r="K837" s="12">
        <v>19006</v>
      </c>
      <c r="L837" s="12">
        <f>K837</f>
        <v>19006</v>
      </c>
      <c r="M837" s="12">
        <v>0</v>
      </c>
      <c r="N837" s="12">
        <f>L837*14%</f>
        <v>2660.84</v>
      </c>
      <c r="O837" s="12">
        <f t="shared" si="60"/>
        <v>16345.16</v>
      </c>
      <c r="P837" s="29">
        <v>20</v>
      </c>
    </row>
    <row r="838" spans="1:16" s="85" customFormat="1" ht="16.5" thickTop="1" thickBot="1" x14ac:dyDescent="0.3">
      <c r="A838" s="51"/>
      <c r="B838" s="25" t="s">
        <v>13</v>
      </c>
      <c r="C838" s="8" t="s">
        <v>60</v>
      </c>
      <c r="D838" s="7" t="s">
        <v>79</v>
      </c>
      <c r="E838" s="9" t="s">
        <v>68</v>
      </c>
      <c r="F838" s="10">
        <v>20</v>
      </c>
      <c r="G838" s="11" t="s">
        <v>119</v>
      </c>
      <c r="H838" s="7" t="s">
        <v>85</v>
      </c>
      <c r="I838" s="11" t="s">
        <v>9</v>
      </c>
      <c r="J838" s="11" t="s">
        <v>103</v>
      </c>
      <c r="K838" s="12">
        <v>8619</v>
      </c>
      <c r="L838" s="12">
        <f>K838</f>
        <v>8619</v>
      </c>
      <c r="M838" s="12">
        <v>0</v>
      </c>
      <c r="N838" s="12">
        <f>L838*16%</f>
        <v>1379.04</v>
      </c>
      <c r="O838" s="12">
        <f t="shared" si="60"/>
        <v>7239.96</v>
      </c>
      <c r="P838" s="29">
        <v>20</v>
      </c>
    </row>
    <row r="839" spans="1:16" s="85" customFormat="1" ht="16.5" thickTop="1" thickBot="1" x14ac:dyDescent="0.3">
      <c r="A839" s="51"/>
      <c r="B839" s="25" t="s">
        <v>10</v>
      </c>
      <c r="C839" s="8" t="s">
        <v>60</v>
      </c>
      <c r="D839" s="7" t="s">
        <v>79</v>
      </c>
      <c r="E839" s="9" t="s">
        <v>68</v>
      </c>
      <c r="F839" s="10">
        <v>20</v>
      </c>
      <c r="G839" s="11" t="s">
        <v>119</v>
      </c>
      <c r="H839" s="7" t="s">
        <v>85</v>
      </c>
      <c r="I839" s="11" t="s">
        <v>96</v>
      </c>
      <c r="J839" s="11" t="s">
        <v>103</v>
      </c>
      <c r="K839" s="12">
        <v>1785.7</v>
      </c>
      <c r="L839" s="12">
        <f>K839</f>
        <v>1785.7</v>
      </c>
      <c r="M839" s="12">
        <v>0</v>
      </c>
      <c r="N839" s="12">
        <v>0</v>
      </c>
      <c r="O839" s="12">
        <v>1785.7</v>
      </c>
      <c r="P839" s="29">
        <v>20</v>
      </c>
    </row>
    <row r="840" spans="1:16" s="85" customFormat="1" ht="16.5" hidden="1" thickTop="1" thickBot="1" x14ac:dyDescent="0.3">
      <c r="A840" s="74" t="s">
        <v>111</v>
      </c>
      <c r="B840" s="25" t="s">
        <v>11</v>
      </c>
      <c r="C840" s="8" t="s">
        <v>60</v>
      </c>
      <c r="D840" s="7" t="s">
        <v>79</v>
      </c>
      <c r="E840" s="9" t="s">
        <v>65</v>
      </c>
      <c r="F840" s="10">
        <v>20</v>
      </c>
      <c r="G840" s="11" t="s">
        <v>94</v>
      </c>
      <c r="H840" s="7" t="s">
        <v>86</v>
      </c>
      <c r="I840" s="11" t="s">
        <v>7</v>
      </c>
      <c r="J840" s="11" t="s">
        <v>103</v>
      </c>
      <c r="K840" s="12">
        <v>27367.535</v>
      </c>
      <c r="L840" s="12">
        <v>27367.535</v>
      </c>
      <c r="M840" s="12">
        <v>0</v>
      </c>
      <c r="N840" s="12">
        <f>L840*14%</f>
        <v>3831.4549000000002</v>
      </c>
      <c r="O840" s="12">
        <v>22988.7294</v>
      </c>
      <c r="P840" s="29">
        <v>20</v>
      </c>
    </row>
    <row r="841" spans="1:16" s="85" customFormat="1" ht="16.5" hidden="1" thickTop="1" thickBot="1" x14ac:dyDescent="0.3">
      <c r="A841" s="74" t="s">
        <v>111</v>
      </c>
      <c r="B841" s="25" t="s">
        <v>13</v>
      </c>
      <c r="C841" s="8" t="s">
        <v>60</v>
      </c>
      <c r="D841" s="7" t="s">
        <v>79</v>
      </c>
      <c r="E841" s="9" t="s">
        <v>65</v>
      </c>
      <c r="F841" s="10">
        <v>20</v>
      </c>
      <c r="G841" s="11" t="s">
        <v>94</v>
      </c>
      <c r="H841" s="7" t="s">
        <v>86</v>
      </c>
      <c r="I841" s="11" t="s">
        <v>9</v>
      </c>
      <c r="J841" s="11" t="s">
        <v>103</v>
      </c>
      <c r="K841" s="12">
        <v>17100.98</v>
      </c>
      <c r="L841" s="12">
        <v>17100.98</v>
      </c>
      <c r="M841" s="12">
        <v>0</v>
      </c>
      <c r="N841" s="12">
        <f>L841*16%</f>
        <v>2736.1568000000002</v>
      </c>
      <c r="O841" s="12">
        <v>14364.823199999999</v>
      </c>
      <c r="P841" s="29">
        <v>20</v>
      </c>
    </row>
    <row r="842" spans="1:16" s="85" customFormat="1" ht="16.5" thickTop="1" thickBot="1" x14ac:dyDescent="0.3">
      <c r="A842" s="51"/>
      <c r="B842" s="25" t="s">
        <v>22</v>
      </c>
      <c r="C842" s="8" t="s">
        <v>61</v>
      </c>
      <c r="D842" s="7" t="s">
        <v>79</v>
      </c>
      <c r="E842" s="9" t="s">
        <v>68</v>
      </c>
      <c r="F842" s="10">
        <v>20</v>
      </c>
      <c r="G842" s="13" t="s">
        <v>39</v>
      </c>
      <c r="H842" s="7" t="s">
        <v>83</v>
      </c>
      <c r="I842" s="11" t="s">
        <v>7</v>
      </c>
      <c r="J842" s="11" t="s">
        <v>80</v>
      </c>
      <c r="K842" s="12">
        <v>20673.5597797423</v>
      </c>
      <c r="L842" s="12">
        <f>K842*60%</f>
        <v>12404.13586784538</v>
      </c>
      <c r="M842" s="12">
        <f>K842*40%</f>
        <v>8269.4239118969199</v>
      </c>
      <c r="N842" s="12">
        <v>0</v>
      </c>
      <c r="O842" s="12">
        <f>L842+M842-N842</f>
        <v>20673.5597797423</v>
      </c>
      <c r="P842" s="29">
        <v>17</v>
      </c>
    </row>
    <row r="843" spans="1:16" s="85" customFormat="1" ht="16.5" thickTop="1" thickBot="1" x14ac:dyDescent="0.3">
      <c r="A843" s="51"/>
      <c r="B843" s="25" t="s">
        <v>11</v>
      </c>
      <c r="C843" s="8" t="s">
        <v>61</v>
      </c>
      <c r="D843" s="7" t="s">
        <v>79</v>
      </c>
      <c r="E843" s="9" t="s">
        <v>68</v>
      </c>
      <c r="F843" s="10">
        <v>20</v>
      </c>
      <c r="G843" s="13" t="s">
        <v>40</v>
      </c>
      <c r="H843" s="7" t="s">
        <v>83</v>
      </c>
      <c r="I843" s="14" t="s">
        <v>30</v>
      </c>
      <c r="J843" s="14" t="s">
        <v>107</v>
      </c>
      <c r="K843" s="12">
        <v>230</v>
      </c>
      <c r="L843" s="12">
        <f>K843</f>
        <v>230</v>
      </c>
      <c r="M843" s="12">
        <v>0</v>
      </c>
      <c r="N843" s="12">
        <v>10</v>
      </c>
      <c r="O843" s="12">
        <v>190</v>
      </c>
      <c r="P843" s="29">
        <v>10</v>
      </c>
    </row>
    <row r="844" spans="1:16" s="85" customFormat="1" ht="16.5" thickTop="1" thickBot="1" x14ac:dyDescent="0.3">
      <c r="A844" s="51"/>
      <c r="B844" s="25" t="s">
        <v>11</v>
      </c>
      <c r="C844" s="8" t="s">
        <v>61</v>
      </c>
      <c r="D844" s="7" t="s">
        <v>79</v>
      </c>
      <c r="E844" s="9" t="s">
        <v>68</v>
      </c>
      <c r="F844" s="10">
        <v>20</v>
      </c>
      <c r="G844" s="13" t="s">
        <v>41</v>
      </c>
      <c r="H844" s="7" t="s">
        <v>83</v>
      </c>
      <c r="I844" s="14" t="s">
        <v>30</v>
      </c>
      <c r="J844" s="11" t="s">
        <v>80</v>
      </c>
      <c r="K844" s="12">
        <v>630</v>
      </c>
      <c r="L844" s="12">
        <f>K844</f>
        <v>630</v>
      </c>
      <c r="M844" s="12">
        <v>0</v>
      </c>
      <c r="N844" s="12">
        <v>30</v>
      </c>
      <c r="O844" s="12">
        <v>570</v>
      </c>
      <c r="P844" s="29">
        <v>25</v>
      </c>
    </row>
    <row r="845" spans="1:16" s="85" customFormat="1" ht="16.5" thickTop="1" thickBot="1" x14ac:dyDescent="0.3">
      <c r="A845" s="51"/>
      <c r="B845" s="25" t="s">
        <v>22</v>
      </c>
      <c r="C845" s="8" t="s">
        <v>61</v>
      </c>
      <c r="D845" s="7" t="s">
        <v>79</v>
      </c>
      <c r="E845" s="9" t="s">
        <v>68</v>
      </c>
      <c r="F845" s="10">
        <v>20</v>
      </c>
      <c r="G845" s="13" t="s">
        <v>92</v>
      </c>
      <c r="H845" s="7" t="s">
        <v>83</v>
      </c>
      <c r="I845" s="11" t="s">
        <v>9</v>
      </c>
      <c r="J845" s="11" t="s">
        <v>80</v>
      </c>
      <c r="K845" s="12">
        <v>5071.55</v>
      </c>
      <c r="L845" s="12">
        <v>5071.55</v>
      </c>
      <c r="M845" s="12">
        <v>0</v>
      </c>
      <c r="N845" s="12">
        <v>0</v>
      </c>
      <c r="O845" s="12">
        <v>5071.55</v>
      </c>
      <c r="P845" s="29">
        <v>15</v>
      </c>
    </row>
    <row r="846" spans="1:16" s="85" customFormat="1" ht="16.5" thickTop="1" thickBot="1" x14ac:dyDescent="0.3">
      <c r="A846" s="51"/>
      <c r="B846" s="25" t="s">
        <v>11</v>
      </c>
      <c r="C846" s="8" t="s">
        <v>61</v>
      </c>
      <c r="D846" s="7" t="s">
        <v>79</v>
      </c>
      <c r="E846" s="9" t="s">
        <v>68</v>
      </c>
      <c r="F846" s="10">
        <v>20</v>
      </c>
      <c r="G846" s="13" t="s">
        <v>43</v>
      </c>
      <c r="H846" s="7" t="s">
        <v>83</v>
      </c>
      <c r="I846" s="14" t="s">
        <v>30</v>
      </c>
      <c r="J846" s="14" t="s">
        <v>106</v>
      </c>
      <c r="K846" s="12">
        <v>230</v>
      </c>
      <c r="L846" s="12">
        <f>K846</f>
        <v>230</v>
      </c>
      <c r="M846" s="12">
        <v>0</v>
      </c>
      <c r="N846" s="12">
        <v>10</v>
      </c>
      <c r="O846" s="12">
        <v>190</v>
      </c>
      <c r="P846" s="29">
        <v>15</v>
      </c>
    </row>
    <row r="847" spans="1:16" s="85" customFormat="1" ht="16.5" thickTop="1" thickBot="1" x14ac:dyDescent="0.3">
      <c r="A847" s="74" t="s">
        <v>111</v>
      </c>
      <c r="B847" s="25" t="s">
        <v>22</v>
      </c>
      <c r="C847" s="8" t="s">
        <v>61</v>
      </c>
      <c r="D847" s="7" t="s">
        <v>79</v>
      </c>
      <c r="E847" s="9" t="s">
        <v>68</v>
      </c>
      <c r="F847" s="10">
        <v>1</v>
      </c>
      <c r="G847" s="11" t="s">
        <v>45</v>
      </c>
      <c r="H847" s="7" t="s">
        <v>91</v>
      </c>
      <c r="I847" s="11" t="s">
        <v>20</v>
      </c>
      <c r="J847" s="11" t="s">
        <v>105</v>
      </c>
      <c r="K847" s="12">
        <v>40617.404573265005</v>
      </c>
      <c r="L847" s="12">
        <f t="shared" ref="L847:L858" si="61">K847*60%</f>
        <v>24370.442743959004</v>
      </c>
      <c r="M847" s="12">
        <f t="shared" ref="M847:M858" si="62">K847*40%</f>
        <v>16246.961829306003</v>
      </c>
      <c r="N847" s="12">
        <v>1837.8916096500002</v>
      </c>
      <c r="O847" s="12">
        <f>L847+M847-N847</f>
        <v>38779.512963615001</v>
      </c>
      <c r="P847" s="29">
        <v>30</v>
      </c>
    </row>
    <row r="848" spans="1:16" s="85" customFormat="1" ht="16.5" thickTop="1" thickBot="1" x14ac:dyDescent="0.3">
      <c r="A848" s="74" t="s">
        <v>111</v>
      </c>
      <c r="B848" s="25" t="s">
        <v>22</v>
      </c>
      <c r="C848" s="8" t="s">
        <v>61</v>
      </c>
      <c r="D848" s="7" t="s">
        <v>79</v>
      </c>
      <c r="E848" s="9" t="s">
        <v>68</v>
      </c>
      <c r="F848" s="10">
        <v>1</v>
      </c>
      <c r="G848" s="11" t="s">
        <v>132</v>
      </c>
      <c r="H848" s="7" t="s">
        <v>88</v>
      </c>
      <c r="I848" s="11" t="s">
        <v>9</v>
      </c>
      <c r="J848" s="11" t="s">
        <v>105</v>
      </c>
      <c r="K848" s="146">
        <v>32347.05</v>
      </c>
      <c r="L848" s="12">
        <f t="shared" si="61"/>
        <v>19408.23</v>
      </c>
      <c r="M848" s="12">
        <f t="shared" si="62"/>
        <v>12938.82</v>
      </c>
      <c r="N848" s="12">
        <v>0</v>
      </c>
      <c r="O848" s="12">
        <f>L848+M848</f>
        <v>32347.05</v>
      </c>
      <c r="P848" s="29">
        <v>30</v>
      </c>
    </row>
    <row r="849" spans="1:16" s="85" customFormat="1" ht="16.5" thickTop="1" thickBot="1" x14ac:dyDescent="0.3">
      <c r="A849" s="74" t="s">
        <v>111</v>
      </c>
      <c r="B849" s="25" t="s">
        <v>22</v>
      </c>
      <c r="C849" s="8" t="s">
        <v>61</v>
      </c>
      <c r="D849" s="7" t="s">
        <v>79</v>
      </c>
      <c r="E849" s="9" t="s">
        <v>68</v>
      </c>
      <c r="F849" s="10">
        <v>1</v>
      </c>
      <c r="G849" s="11" t="s">
        <v>129</v>
      </c>
      <c r="H849" s="7" t="s">
        <v>85</v>
      </c>
      <c r="I849" s="11" t="s">
        <v>9</v>
      </c>
      <c r="J849" s="11" t="s">
        <v>105</v>
      </c>
      <c r="K849" s="146">
        <v>27726.03</v>
      </c>
      <c r="L849" s="12">
        <f t="shared" si="61"/>
        <v>16635.617999999999</v>
      </c>
      <c r="M849" s="12">
        <f t="shared" si="62"/>
        <v>11090.412</v>
      </c>
      <c r="N849" s="12">
        <v>0</v>
      </c>
      <c r="O849" s="12">
        <f>L849+M849</f>
        <v>27726.03</v>
      </c>
      <c r="P849" s="29">
        <v>30</v>
      </c>
    </row>
    <row r="850" spans="1:16" s="85" customFormat="1" ht="16.5" thickTop="1" thickBot="1" x14ac:dyDescent="0.3">
      <c r="A850" s="74" t="s">
        <v>111</v>
      </c>
      <c r="B850" s="25" t="s">
        <v>22</v>
      </c>
      <c r="C850" s="8" t="s">
        <v>61</v>
      </c>
      <c r="D850" s="7" t="s">
        <v>79</v>
      </c>
      <c r="E850" s="9" t="s">
        <v>68</v>
      </c>
      <c r="F850" s="10">
        <v>1</v>
      </c>
      <c r="G850" s="11" t="s">
        <v>45</v>
      </c>
      <c r="H850" s="7" t="s">
        <v>91</v>
      </c>
      <c r="I850" s="11" t="s">
        <v>9</v>
      </c>
      <c r="J850" s="11" t="s">
        <v>105</v>
      </c>
      <c r="K850" s="146">
        <v>27726.04</v>
      </c>
      <c r="L850" s="12">
        <f t="shared" si="61"/>
        <v>16635.624</v>
      </c>
      <c r="M850" s="12">
        <f t="shared" si="62"/>
        <v>11090.416000000001</v>
      </c>
      <c r="N850" s="12">
        <v>1294.8996460500002</v>
      </c>
      <c r="O850" s="12">
        <f t="shared" ref="O850:O867" si="63">L850+M850-N850</f>
        <v>26431.140353950002</v>
      </c>
      <c r="P850" s="29">
        <v>30</v>
      </c>
    </row>
    <row r="851" spans="1:16" s="85" customFormat="1" ht="16.5" thickTop="1" thickBot="1" x14ac:dyDescent="0.3">
      <c r="A851" s="74" t="s">
        <v>111</v>
      </c>
      <c r="B851" s="25" t="s">
        <v>22</v>
      </c>
      <c r="C851" s="8" t="s">
        <v>61</v>
      </c>
      <c r="D851" s="7" t="s">
        <v>79</v>
      </c>
      <c r="E851" s="9" t="s">
        <v>68</v>
      </c>
      <c r="F851" s="10">
        <v>1</v>
      </c>
      <c r="G851" s="11" t="s">
        <v>46</v>
      </c>
      <c r="H851" s="7" t="s">
        <v>85</v>
      </c>
      <c r="I851" s="11" t="s">
        <v>20</v>
      </c>
      <c r="J851" s="11" t="s">
        <v>105</v>
      </c>
      <c r="K851" s="12">
        <v>58492.355406029994</v>
      </c>
      <c r="L851" s="12">
        <f t="shared" si="61"/>
        <v>35095.413243617993</v>
      </c>
      <c r="M851" s="12">
        <f t="shared" si="62"/>
        <v>23396.942162412</v>
      </c>
      <c r="N851" s="12">
        <v>0</v>
      </c>
      <c r="O851" s="12">
        <f t="shared" si="63"/>
        <v>58492.355406029994</v>
      </c>
      <c r="P851" s="29">
        <v>30</v>
      </c>
    </row>
    <row r="852" spans="1:16" s="85" customFormat="1" ht="16.5" thickTop="1" thickBot="1" x14ac:dyDescent="0.3">
      <c r="A852" s="74" t="s">
        <v>111</v>
      </c>
      <c r="B852" s="25" t="s">
        <v>22</v>
      </c>
      <c r="C852" s="8" t="s">
        <v>61</v>
      </c>
      <c r="D852" s="7" t="s">
        <v>79</v>
      </c>
      <c r="E852" s="9" t="s">
        <v>68</v>
      </c>
      <c r="F852" s="10">
        <v>1</v>
      </c>
      <c r="G852" s="11" t="s">
        <v>46</v>
      </c>
      <c r="H852" s="7" t="s">
        <v>85</v>
      </c>
      <c r="I852" s="11" t="s">
        <v>98</v>
      </c>
      <c r="J852" s="11" t="s">
        <v>105</v>
      </c>
      <c r="K852" s="12">
        <v>3457.8765000000003</v>
      </c>
      <c r="L852" s="12">
        <f t="shared" si="61"/>
        <v>2074.7258999999999</v>
      </c>
      <c r="M852" s="12">
        <f t="shared" si="62"/>
        <v>1383.1506000000002</v>
      </c>
      <c r="N852" s="12">
        <v>0</v>
      </c>
      <c r="O852" s="12">
        <f t="shared" si="63"/>
        <v>3457.8765000000003</v>
      </c>
      <c r="P852" s="29">
        <v>30</v>
      </c>
    </row>
    <row r="853" spans="1:16" s="85" customFormat="1" ht="16.5" thickTop="1" thickBot="1" x14ac:dyDescent="0.3">
      <c r="A853" s="74" t="s">
        <v>111</v>
      </c>
      <c r="B853" s="25" t="s">
        <v>22</v>
      </c>
      <c r="C853" s="8" t="s">
        <v>61</v>
      </c>
      <c r="D853" s="7" t="s">
        <v>79</v>
      </c>
      <c r="E853" s="9" t="s">
        <v>68</v>
      </c>
      <c r="F853" s="10">
        <v>1</v>
      </c>
      <c r="G853" s="11" t="s">
        <v>46</v>
      </c>
      <c r="H853" s="7" t="s">
        <v>85</v>
      </c>
      <c r="I853" s="11" t="s">
        <v>9</v>
      </c>
      <c r="J853" s="11" t="s">
        <v>105</v>
      </c>
      <c r="K853" s="146">
        <v>41589.06</v>
      </c>
      <c r="L853" s="12">
        <f t="shared" si="61"/>
        <v>24953.435999999998</v>
      </c>
      <c r="M853" s="12">
        <f t="shared" si="62"/>
        <v>16635.624</v>
      </c>
      <c r="N853" s="12">
        <v>0</v>
      </c>
      <c r="O853" s="12">
        <f t="shared" si="63"/>
        <v>41589.06</v>
      </c>
      <c r="P853" s="29">
        <v>30</v>
      </c>
    </row>
    <row r="854" spans="1:16" s="85" customFormat="1" ht="16.5" thickTop="1" thickBot="1" x14ac:dyDescent="0.3">
      <c r="A854" s="74" t="s">
        <v>111</v>
      </c>
      <c r="B854" s="25" t="s">
        <v>22</v>
      </c>
      <c r="C854" s="8" t="s">
        <v>61</v>
      </c>
      <c r="D854" s="7" t="s">
        <v>79</v>
      </c>
      <c r="E854" s="9" t="s">
        <v>68</v>
      </c>
      <c r="F854" s="10">
        <v>1</v>
      </c>
      <c r="G854" s="11" t="s">
        <v>46</v>
      </c>
      <c r="H854" s="7" t="s">
        <v>85</v>
      </c>
      <c r="I854" s="11" t="s">
        <v>97</v>
      </c>
      <c r="J854" s="11" t="s">
        <v>105</v>
      </c>
      <c r="K854" s="12">
        <v>7072</v>
      </c>
      <c r="L854" s="12">
        <f t="shared" si="61"/>
        <v>4243.2</v>
      </c>
      <c r="M854" s="12">
        <f t="shared" si="62"/>
        <v>2828.8</v>
      </c>
      <c r="N854" s="12">
        <v>0</v>
      </c>
      <c r="O854" s="12">
        <f t="shared" si="63"/>
        <v>7072</v>
      </c>
      <c r="P854" s="29">
        <v>30</v>
      </c>
    </row>
    <row r="855" spans="1:16" s="85" customFormat="1" ht="16.5" thickTop="1" thickBot="1" x14ac:dyDescent="0.3">
      <c r="A855" s="74" t="s">
        <v>111</v>
      </c>
      <c r="B855" s="25" t="s">
        <v>22</v>
      </c>
      <c r="C855" s="8" t="s">
        <v>61</v>
      </c>
      <c r="D855" s="7" t="s">
        <v>79</v>
      </c>
      <c r="E855" s="9" t="s">
        <v>68</v>
      </c>
      <c r="F855" s="10">
        <v>1</v>
      </c>
      <c r="G855" s="11" t="s">
        <v>47</v>
      </c>
      <c r="H855" s="7" t="s">
        <v>85</v>
      </c>
      <c r="I855" s="11" t="s">
        <v>9</v>
      </c>
      <c r="J855" s="11" t="s">
        <v>105</v>
      </c>
      <c r="K855" s="146">
        <v>32314.78</v>
      </c>
      <c r="L855" s="12">
        <f t="shared" si="61"/>
        <v>19388.867999999999</v>
      </c>
      <c r="M855" s="12">
        <f t="shared" si="62"/>
        <v>12925.912</v>
      </c>
      <c r="N855" s="12">
        <v>0</v>
      </c>
      <c r="O855" s="12">
        <f t="shared" si="63"/>
        <v>32314.78</v>
      </c>
      <c r="P855" s="29">
        <v>30</v>
      </c>
    </row>
    <row r="856" spans="1:16" s="85" customFormat="1" ht="16.5" thickTop="1" thickBot="1" x14ac:dyDescent="0.3">
      <c r="A856" s="74" t="s">
        <v>111</v>
      </c>
      <c r="B856" s="25" t="s">
        <v>22</v>
      </c>
      <c r="C856" s="8" t="s">
        <v>61</v>
      </c>
      <c r="D856" s="7" t="s">
        <v>79</v>
      </c>
      <c r="E856" s="9" t="s">
        <v>68</v>
      </c>
      <c r="F856" s="10">
        <v>1</v>
      </c>
      <c r="G856" s="11" t="s">
        <v>48</v>
      </c>
      <c r="H856" s="7" t="s">
        <v>85</v>
      </c>
      <c r="I856" s="11" t="s">
        <v>9</v>
      </c>
      <c r="J856" s="11" t="s">
        <v>105</v>
      </c>
      <c r="K856" s="146">
        <v>23137.31</v>
      </c>
      <c r="L856" s="12">
        <f t="shared" si="61"/>
        <v>13882.386</v>
      </c>
      <c r="M856" s="12">
        <f t="shared" si="62"/>
        <v>9254.9240000000009</v>
      </c>
      <c r="N856" s="12">
        <v>0</v>
      </c>
      <c r="O856" s="12">
        <f t="shared" si="63"/>
        <v>23137.31</v>
      </c>
      <c r="P856" s="29">
        <v>30</v>
      </c>
    </row>
    <row r="857" spans="1:16" s="85" customFormat="1" ht="16.5" thickTop="1" thickBot="1" x14ac:dyDescent="0.3">
      <c r="A857" s="51"/>
      <c r="B857" s="25" t="s">
        <v>22</v>
      </c>
      <c r="C857" s="8" t="s">
        <v>62</v>
      </c>
      <c r="D857" s="7" t="s">
        <v>79</v>
      </c>
      <c r="E857" s="9" t="s">
        <v>68</v>
      </c>
      <c r="F857" s="10">
        <v>10</v>
      </c>
      <c r="G857" s="13" t="s">
        <v>49</v>
      </c>
      <c r="H857" s="7" t="s">
        <v>85</v>
      </c>
      <c r="I857" s="11" t="s">
        <v>9</v>
      </c>
      <c r="J857" s="11" t="s">
        <v>105</v>
      </c>
      <c r="K857" s="12">
        <v>19227</v>
      </c>
      <c r="L857" s="12">
        <f t="shared" si="61"/>
        <v>11536.199999999999</v>
      </c>
      <c r="M857" s="12">
        <f t="shared" si="62"/>
        <v>7690.8</v>
      </c>
      <c r="N857" s="12">
        <v>0</v>
      </c>
      <c r="O857" s="12">
        <f t="shared" si="63"/>
        <v>19227</v>
      </c>
      <c r="P857" s="29">
        <v>10</v>
      </c>
    </row>
    <row r="858" spans="1:16" s="85" customFormat="1" ht="16.5" thickTop="1" thickBot="1" x14ac:dyDescent="0.3">
      <c r="A858" s="51"/>
      <c r="B858" s="25" t="s">
        <v>22</v>
      </c>
      <c r="C858" s="8" t="s">
        <v>62</v>
      </c>
      <c r="D858" s="7" t="s">
        <v>79</v>
      </c>
      <c r="E858" s="9" t="s">
        <v>68</v>
      </c>
      <c r="F858" s="10">
        <v>10</v>
      </c>
      <c r="G858" s="13" t="s">
        <v>50</v>
      </c>
      <c r="H858" s="7" t="s">
        <v>85</v>
      </c>
      <c r="I858" s="11" t="s">
        <v>9</v>
      </c>
      <c r="J858" s="11" t="s">
        <v>105</v>
      </c>
      <c r="K858" s="12">
        <v>19227</v>
      </c>
      <c r="L858" s="12">
        <f t="shared" si="61"/>
        <v>11536.199999999999</v>
      </c>
      <c r="M858" s="12">
        <f t="shared" si="62"/>
        <v>7690.8</v>
      </c>
      <c r="N858" s="12">
        <v>0</v>
      </c>
      <c r="O858" s="12">
        <f t="shared" si="63"/>
        <v>19227</v>
      </c>
      <c r="P858" s="29">
        <v>10</v>
      </c>
    </row>
    <row r="859" spans="1:16" s="85" customFormat="1" ht="16.5" thickTop="1" thickBot="1" x14ac:dyDescent="0.3">
      <c r="A859" s="51"/>
      <c r="B859" s="25" t="s">
        <v>11</v>
      </c>
      <c r="C859" s="8" t="s">
        <v>62</v>
      </c>
      <c r="D859" s="7" t="s">
        <v>79</v>
      </c>
      <c r="E859" s="9" t="s">
        <v>68</v>
      </c>
      <c r="F859" s="10">
        <v>16</v>
      </c>
      <c r="G859" s="13" t="s">
        <v>51</v>
      </c>
      <c r="H859" s="7" t="s">
        <v>83</v>
      </c>
      <c r="I859" s="11" t="s">
        <v>7</v>
      </c>
      <c r="J859" s="11" t="s">
        <v>80</v>
      </c>
      <c r="K859" s="12">
        <v>21132.94766324625</v>
      </c>
      <c r="L859" s="12">
        <f>K859</f>
        <v>21132.94766324625</v>
      </c>
      <c r="M859" s="12">
        <v>0</v>
      </c>
      <c r="N859" s="12">
        <f>L859*14%</f>
        <v>2958.6126728544755</v>
      </c>
      <c r="O859" s="12">
        <f t="shared" si="63"/>
        <v>18174.334990391773</v>
      </c>
      <c r="P859" s="29">
        <v>30</v>
      </c>
    </row>
    <row r="860" spans="1:16" s="85" customFormat="1" ht="16.5" thickTop="1" thickBot="1" x14ac:dyDescent="0.3">
      <c r="A860" s="74" t="s">
        <v>111</v>
      </c>
      <c r="B860" s="25" t="s">
        <v>22</v>
      </c>
      <c r="C860" s="8" t="s">
        <v>62</v>
      </c>
      <c r="D860" s="7" t="s">
        <v>79</v>
      </c>
      <c r="E860" s="9" t="s">
        <v>68</v>
      </c>
      <c r="F860" s="10">
        <v>1</v>
      </c>
      <c r="G860" s="11" t="s">
        <v>54</v>
      </c>
      <c r="H860" s="7" t="s">
        <v>85</v>
      </c>
      <c r="I860" s="11" t="s">
        <v>20</v>
      </c>
      <c r="J860" s="11" t="s">
        <v>105</v>
      </c>
      <c r="K860" s="12">
        <v>40617.404573265005</v>
      </c>
      <c r="L860" s="12">
        <f t="shared" ref="L860:L866" si="64">K860*60%</f>
        <v>24370.442743959004</v>
      </c>
      <c r="M860" s="12">
        <f t="shared" ref="M860:M866" si="65">K860*40%</f>
        <v>16246.961829306003</v>
      </c>
      <c r="N860" s="12">
        <v>0</v>
      </c>
      <c r="O860" s="12">
        <f t="shared" si="63"/>
        <v>40617.404573265005</v>
      </c>
      <c r="P860" s="29">
        <v>30</v>
      </c>
    </row>
    <row r="861" spans="1:16" s="85" customFormat="1" ht="16.5" thickTop="1" thickBot="1" x14ac:dyDescent="0.3">
      <c r="A861" s="74" t="s">
        <v>111</v>
      </c>
      <c r="B861" s="25" t="s">
        <v>22</v>
      </c>
      <c r="C861" s="8" t="s">
        <v>62</v>
      </c>
      <c r="D861" s="7" t="s">
        <v>79</v>
      </c>
      <c r="E861" s="9" t="s">
        <v>68</v>
      </c>
      <c r="F861" s="10">
        <v>1</v>
      </c>
      <c r="G861" s="11" t="s">
        <v>54</v>
      </c>
      <c r="H861" s="7" t="s">
        <v>85</v>
      </c>
      <c r="I861" s="11" t="s">
        <v>9</v>
      </c>
      <c r="J861" s="11" t="s">
        <v>105</v>
      </c>
      <c r="K861" s="146">
        <v>32314.78</v>
      </c>
      <c r="L861" s="12">
        <f t="shared" si="64"/>
        <v>19388.867999999999</v>
      </c>
      <c r="M861" s="12">
        <f t="shared" si="65"/>
        <v>12925.912</v>
      </c>
      <c r="N861" s="12">
        <v>0</v>
      </c>
      <c r="O861" s="12">
        <f t="shared" si="63"/>
        <v>32314.78</v>
      </c>
      <c r="P861" s="29">
        <v>30</v>
      </c>
    </row>
    <row r="862" spans="1:16" s="85" customFormat="1" ht="16.5" thickTop="1" thickBot="1" x14ac:dyDescent="0.3">
      <c r="A862" s="74" t="s">
        <v>111</v>
      </c>
      <c r="B862" s="25" t="s">
        <v>22</v>
      </c>
      <c r="C862" s="8" t="s">
        <v>62</v>
      </c>
      <c r="D862" s="7" t="s">
        <v>79</v>
      </c>
      <c r="E862" s="9" t="s">
        <v>68</v>
      </c>
      <c r="F862" s="10">
        <v>1</v>
      </c>
      <c r="G862" s="11" t="s">
        <v>55</v>
      </c>
      <c r="H862" s="7" t="s">
        <v>85</v>
      </c>
      <c r="I862" s="11" t="s">
        <v>20</v>
      </c>
      <c r="J862" s="11" t="s">
        <v>105</v>
      </c>
      <c r="K862" s="12">
        <v>34814.822702400001</v>
      </c>
      <c r="L862" s="12">
        <f t="shared" si="64"/>
        <v>20888.893621439998</v>
      </c>
      <c r="M862" s="12">
        <f t="shared" si="65"/>
        <v>13925.929080960001</v>
      </c>
      <c r="N862" s="12">
        <v>0</v>
      </c>
      <c r="O862" s="12">
        <f t="shared" si="63"/>
        <v>34814.822702400001</v>
      </c>
      <c r="P862" s="29">
        <v>30</v>
      </c>
    </row>
    <row r="863" spans="1:16" s="85" customFormat="1" ht="16.5" thickTop="1" thickBot="1" x14ac:dyDescent="0.3">
      <c r="A863" s="74" t="s">
        <v>111</v>
      </c>
      <c r="B863" s="25" t="s">
        <v>22</v>
      </c>
      <c r="C863" s="8" t="s">
        <v>62</v>
      </c>
      <c r="D863" s="7" t="s">
        <v>79</v>
      </c>
      <c r="E863" s="9" t="s">
        <v>68</v>
      </c>
      <c r="F863" s="10">
        <v>1</v>
      </c>
      <c r="G863" s="11" t="s">
        <v>55</v>
      </c>
      <c r="H863" s="7" t="s">
        <v>85</v>
      </c>
      <c r="I863" s="11" t="s">
        <v>9</v>
      </c>
      <c r="J863" s="11" t="s">
        <v>105</v>
      </c>
      <c r="K863" s="146">
        <v>23105.040000000001</v>
      </c>
      <c r="L863" s="12">
        <f t="shared" si="64"/>
        <v>13863.023999999999</v>
      </c>
      <c r="M863" s="12">
        <f t="shared" si="65"/>
        <v>9242.0160000000014</v>
      </c>
      <c r="N863" s="12">
        <v>0</v>
      </c>
      <c r="O863" s="12">
        <f t="shared" si="63"/>
        <v>23105.040000000001</v>
      </c>
      <c r="P863" s="29">
        <v>30</v>
      </c>
    </row>
    <row r="864" spans="1:16" s="85" customFormat="1" ht="16.5" thickTop="1" thickBot="1" x14ac:dyDescent="0.3">
      <c r="A864" s="74" t="s">
        <v>111</v>
      </c>
      <c r="B864" s="25" t="s">
        <v>22</v>
      </c>
      <c r="C864" s="8" t="s">
        <v>62</v>
      </c>
      <c r="D864" s="7" t="s">
        <v>79</v>
      </c>
      <c r="E864" s="9" t="s">
        <v>68</v>
      </c>
      <c r="F864" s="10">
        <v>1</v>
      </c>
      <c r="G864" s="11" t="s">
        <v>56</v>
      </c>
      <c r="H864" s="7" t="s">
        <v>85</v>
      </c>
      <c r="I864" s="11" t="s">
        <v>9</v>
      </c>
      <c r="J864" s="11" t="s">
        <v>105</v>
      </c>
      <c r="K864" s="72">
        <v>32347.05</v>
      </c>
      <c r="L864" s="12">
        <f t="shared" si="64"/>
        <v>19408.23</v>
      </c>
      <c r="M864" s="12">
        <f t="shared" si="65"/>
        <v>12938.82</v>
      </c>
      <c r="N864" s="12">
        <v>0</v>
      </c>
      <c r="O864" s="12">
        <f t="shared" si="63"/>
        <v>32347.05</v>
      </c>
      <c r="P864" s="29">
        <v>30</v>
      </c>
    </row>
    <row r="865" spans="1:17" s="85" customFormat="1" ht="16.5" thickTop="1" thickBot="1" x14ac:dyDescent="0.3">
      <c r="A865" s="74" t="s">
        <v>111</v>
      </c>
      <c r="B865" s="25" t="s">
        <v>22</v>
      </c>
      <c r="C865" s="8" t="s">
        <v>62</v>
      </c>
      <c r="D865" s="7" t="s">
        <v>79</v>
      </c>
      <c r="E865" s="9" t="s">
        <v>68</v>
      </c>
      <c r="F865" s="10">
        <v>1</v>
      </c>
      <c r="G865" s="11" t="s">
        <v>57</v>
      </c>
      <c r="H865" s="7" t="s">
        <v>85</v>
      </c>
      <c r="I865" s="11" t="s">
        <v>9</v>
      </c>
      <c r="J865" s="11" t="s">
        <v>105</v>
      </c>
      <c r="K865" s="72">
        <v>32314.78</v>
      </c>
      <c r="L865" s="12">
        <f t="shared" si="64"/>
        <v>19388.867999999999</v>
      </c>
      <c r="M865" s="12">
        <f t="shared" si="65"/>
        <v>12925.912</v>
      </c>
      <c r="N865" s="12">
        <v>0</v>
      </c>
      <c r="O865" s="12">
        <f t="shared" si="63"/>
        <v>32314.78</v>
      </c>
      <c r="P865" s="29">
        <v>30</v>
      </c>
    </row>
    <row r="866" spans="1:17" s="85" customFormat="1" ht="16.5" thickTop="1" thickBot="1" x14ac:dyDescent="0.3">
      <c r="A866" s="74" t="s">
        <v>111</v>
      </c>
      <c r="B866" s="25" t="s">
        <v>22</v>
      </c>
      <c r="C866" s="8" t="s">
        <v>62</v>
      </c>
      <c r="D866" s="7" t="s">
        <v>79</v>
      </c>
      <c r="E866" s="9" t="s">
        <v>68</v>
      </c>
      <c r="F866" s="10">
        <v>1</v>
      </c>
      <c r="G866" s="11" t="s">
        <v>58</v>
      </c>
      <c r="H866" s="7" t="s">
        <v>85</v>
      </c>
      <c r="I866" s="11" t="s">
        <v>9</v>
      </c>
      <c r="J866" s="11" t="s">
        <v>105</v>
      </c>
      <c r="K866" s="72">
        <v>18484.02</v>
      </c>
      <c r="L866" s="12">
        <f t="shared" si="64"/>
        <v>11090.412</v>
      </c>
      <c r="M866" s="12">
        <f t="shared" si="65"/>
        <v>7393.6080000000002</v>
      </c>
      <c r="N866" s="12">
        <v>0</v>
      </c>
      <c r="O866" s="12">
        <f t="shared" si="63"/>
        <v>18484.02</v>
      </c>
      <c r="P866" s="29">
        <v>30</v>
      </c>
    </row>
    <row r="867" spans="1:17" s="85" customFormat="1" ht="16.5" thickTop="1" thickBot="1" x14ac:dyDescent="0.3">
      <c r="A867" s="51"/>
      <c r="B867" s="25" t="s">
        <v>22</v>
      </c>
      <c r="C867" s="8" t="s">
        <v>61</v>
      </c>
      <c r="D867" s="7" t="s">
        <v>79</v>
      </c>
      <c r="E867" s="9" t="s">
        <v>68</v>
      </c>
      <c r="F867" s="10">
        <v>20</v>
      </c>
      <c r="G867" s="13" t="s">
        <v>92</v>
      </c>
      <c r="H867" s="7" t="s">
        <v>83</v>
      </c>
      <c r="I867" s="11" t="s">
        <v>7</v>
      </c>
      <c r="J867" s="11" t="s">
        <v>80</v>
      </c>
      <c r="K867" s="12">
        <v>19890</v>
      </c>
      <c r="L867" s="12">
        <f>K867</f>
        <v>19890</v>
      </c>
      <c r="M867" s="12">
        <v>0</v>
      </c>
      <c r="N867" s="12">
        <v>0</v>
      </c>
      <c r="O867" s="12">
        <f t="shared" si="63"/>
        <v>19890</v>
      </c>
      <c r="P867" s="29">
        <v>15</v>
      </c>
    </row>
    <row r="868" spans="1:17" s="85" customFormat="1" ht="16.5" hidden="1" thickTop="1" thickBot="1" x14ac:dyDescent="0.3">
      <c r="A868" s="51"/>
      <c r="B868" s="25" t="s">
        <v>13</v>
      </c>
      <c r="C868" s="8" t="s">
        <v>61</v>
      </c>
      <c r="D868" s="7" t="s">
        <v>79</v>
      </c>
      <c r="E868" s="9" t="s">
        <v>69</v>
      </c>
      <c r="F868" s="10">
        <v>20</v>
      </c>
      <c r="G868" s="13" t="s">
        <v>90</v>
      </c>
      <c r="H868" s="15" t="s">
        <v>83</v>
      </c>
      <c r="I868" s="14" t="s">
        <v>9</v>
      </c>
      <c r="J868" s="11" t="s">
        <v>103</v>
      </c>
      <c r="K868" s="12">
        <v>4536.0249999999996</v>
      </c>
      <c r="L868" s="12">
        <v>4536.0249999999996</v>
      </c>
      <c r="M868" s="12">
        <v>0</v>
      </c>
      <c r="N868" s="12">
        <f>L868*16%</f>
        <v>725.76400000000001</v>
      </c>
      <c r="O868" s="12">
        <v>3810.2609999999995</v>
      </c>
      <c r="P868" s="29">
        <v>10</v>
      </c>
    </row>
    <row r="869" spans="1:17" s="85" customFormat="1" ht="16.5" hidden="1" thickTop="1" thickBot="1" x14ac:dyDescent="0.3">
      <c r="A869" s="51"/>
      <c r="B869" s="25" t="s">
        <v>22</v>
      </c>
      <c r="C869" s="8" t="s">
        <v>25</v>
      </c>
      <c r="D869" s="7" t="s">
        <v>79</v>
      </c>
      <c r="E869" s="9" t="s">
        <v>69</v>
      </c>
      <c r="F869" s="10">
        <v>28</v>
      </c>
      <c r="G869" s="11" t="s">
        <v>135</v>
      </c>
      <c r="H869" s="7" t="s">
        <v>83</v>
      </c>
      <c r="I869" s="11" t="s">
        <v>7</v>
      </c>
      <c r="J869" s="11" t="s">
        <v>80</v>
      </c>
      <c r="K869" s="12">
        <v>17695.12745</v>
      </c>
      <c r="L869" s="12">
        <v>17695.12745</v>
      </c>
      <c r="M869" s="12">
        <v>0</v>
      </c>
      <c r="N869" s="12">
        <v>0</v>
      </c>
      <c r="O869" s="12">
        <v>17695.12745</v>
      </c>
      <c r="P869" s="29">
        <v>18</v>
      </c>
    </row>
    <row r="870" spans="1:17" s="85" customFormat="1" ht="16.5" hidden="1" thickTop="1" thickBot="1" x14ac:dyDescent="0.3">
      <c r="A870" s="52"/>
      <c r="B870" s="40" t="s">
        <v>5</v>
      </c>
      <c r="C870" s="41" t="s">
        <v>0</v>
      </c>
      <c r="D870" s="42" t="s">
        <v>79</v>
      </c>
      <c r="E870" s="9" t="s">
        <v>69</v>
      </c>
      <c r="F870" s="44">
        <v>8</v>
      </c>
      <c r="G870" s="45" t="s">
        <v>6</v>
      </c>
      <c r="H870" s="42" t="s">
        <v>85</v>
      </c>
      <c r="I870" s="45" t="s">
        <v>7</v>
      </c>
      <c r="J870" s="45" t="s">
        <v>103</v>
      </c>
      <c r="K870" s="12">
        <v>41245.995459655351</v>
      </c>
      <c r="L870" s="12">
        <v>41245.995459655351</v>
      </c>
      <c r="M870" s="12">
        <v>0</v>
      </c>
      <c r="N870" s="46">
        <v>1866.3346361835002</v>
      </c>
      <c r="O870" s="12">
        <v>39379.660823471851</v>
      </c>
      <c r="P870" s="47">
        <v>10</v>
      </c>
      <c r="Q870" s="85" t="s">
        <v>156</v>
      </c>
    </row>
    <row r="871" spans="1:17" s="85" customFormat="1" ht="16.5" hidden="1" thickTop="1" thickBot="1" x14ac:dyDescent="0.3">
      <c r="A871" s="51"/>
      <c r="B871" s="25" t="s">
        <v>11</v>
      </c>
      <c r="C871" s="8" t="s">
        <v>0</v>
      </c>
      <c r="D871" s="7" t="s">
        <v>79</v>
      </c>
      <c r="E871" s="9" t="s">
        <v>69</v>
      </c>
      <c r="F871" s="44">
        <v>8</v>
      </c>
      <c r="G871" s="11" t="s">
        <v>8</v>
      </c>
      <c r="H871" s="7" t="s">
        <v>85</v>
      </c>
      <c r="I871" s="11" t="s">
        <v>7</v>
      </c>
      <c r="J871" s="11" t="s">
        <v>103</v>
      </c>
      <c r="K871" s="12">
        <v>19327.518303502504</v>
      </c>
      <c r="L871" s="12">
        <v>19327.518303502504</v>
      </c>
      <c r="M871" s="12">
        <v>0</v>
      </c>
      <c r="N871" s="12">
        <v>874.54833952500019</v>
      </c>
      <c r="O871" s="12">
        <v>18452.969963977503</v>
      </c>
      <c r="P871" s="29">
        <v>10</v>
      </c>
      <c r="Q871" s="85" t="s">
        <v>156</v>
      </c>
    </row>
    <row r="872" spans="1:17" s="85" customFormat="1" ht="16.5" hidden="1" thickTop="1" thickBot="1" x14ac:dyDescent="0.3">
      <c r="A872" s="51"/>
      <c r="B872" s="25" t="s">
        <v>11</v>
      </c>
      <c r="C872" s="8" t="s">
        <v>0</v>
      </c>
      <c r="D872" s="7" t="s">
        <v>79</v>
      </c>
      <c r="E872" s="9" t="s">
        <v>69</v>
      </c>
      <c r="F872" s="44">
        <v>8</v>
      </c>
      <c r="G872" s="11" t="s">
        <v>8</v>
      </c>
      <c r="H872" s="7" t="s">
        <v>85</v>
      </c>
      <c r="I872" s="11" t="s">
        <v>97</v>
      </c>
      <c r="J872" s="11" t="s">
        <v>103</v>
      </c>
      <c r="K872" s="12">
        <v>19327.518303502504</v>
      </c>
      <c r="L872" s="12">
        <v>19327.518303502504</v>
      </c>
      <c r="M872" s="12">
        <v>0</v>
      </c>
      <c r="N872" s="12">
        <v>874.54833952500019</v>
      </c>
      <c r="O872" s="12">
        <v>18452.969963977503</v>
      </c>
      <c r="P872" s="29">
        <v>10</v>
      </c>
      <c r="Q872" s="85" t="s">
        <v>156</v>
      </c>
    </row>
    <row r="873" spans="1:17" s="85" customFormat="1" ht="16.5" hidden="1" thickTop="1" thickBot="1" x14ac:dyDescent="0.3">
      <c r="A873" s="51"/>
      <c r="B873" s="25" t="s">
        <v>183</v>
      </c>
      <c r="C873" s="8" t="s">
        <v>0</v>
      </c>
      <c r="D873" s="7" t="s">
        <v>79</v>
      </c>
      <c r="E873" s="9" t="s">
        <v>69</v>
      </c>
      <c r="F873" s="44">
        <v>8</v>
      </c>
      <c r="G873" s="11" t="s">
        <v>8</v>
      </c>
      <c r="H873" s="7" t="s">
        <v>85</v>
      </c>
      <c r="I873" s="11" t="s">
        <v>9</v>
      </c>
      <c r="J873" s="11" t="s">
        <v>103</v>
      </c>
      <c r="K873" s="12">
        <v>16926.608031693751</v>
      </c>
      <c r="L873" s="12">
        <v>16926.608031693751</v>
      </c>
      <c r="M873" s="12">
        <v>0</v>
      </c>
      <c r="N873" s="12">
        <v>765.90986568750009</v>
      </c>
      <c r="O873" s="12">
        <v>16160.698166006252</v>
      </c>
      <c r="P873" s="29">
        <v>10</v>
      </c>
      <c r="Q873" s="85" t="s">
        <v>156</v>
      </c>
    </row>
    <row r="874" spans="1:17" s="85" customFormat="1" ht="16.5" hidden="1" thickTop="1" thickBot="1" x14ac:dyDescent="0.3">
      <c r="A874" s="51"/>
      <c r="B874" s="25" t="s">
        <v>183</v>
      </c>
      <c r="C874" s="8" t="s">
        <v>0</v>
      </c>
      <c r="D874" s="7" t="s">
        <v>79</v>
      </c>
      <c r="E874" s="9" t="s">
        <v>69</v>
      </c>
      <c r="F874" s="44">
        <v>8</v>
      </c>
      <c r="G874" s="11" t="s">
        <v>8</v>
      </c>
      <c r="H874" s="7" t="s">
        <v>85</v>
      </c>
      <c r="I874" s="11" t="s">
        <v>15</v>
      </c>
      <c r="J874" s="11" t="s">
        <v>103</v>
      </c>
      <c r="K874" s="12">
        <v>14433.306181368749</v>
      </c>
      <c r="L874" s="12">
        <v>14433.306181368749</v>
      </c>
      <c r="M874" s="12">
        <v>0</v>
      </c>
      <c r="N874" s="12">
        <v>653.09077743750004</v>
      </c>
      <c r="O874" s="12">
        <v>13780.215403931248</v>
      </c>
      <c r="P874" s="29">
        <v>10</v>
      </c>
      <c r="Q874" s="85" t="s">
        <v>156</v>
      </c>
    </row>
    <row r="875" spans="1:17" s="85" customFormat="1" ht="16.5" hidden="1" thickTop="1" thickBot="1" x14ac:dyDescent="0.3">
      <c r="A875" s="51"/>
      <c r="B875" s="25" t="s">
        <v>10</v>
      </c>
      <c r="C875" s="8" t="s">
        <v>0</v>
      </c>
      <c r="D875" s="7" t="s">
        <v>79</v>
      </c>
      <c r="E875" s="9" t="s">
        <v>69</v>
      </c>
      <c r="F875" s="44">
        <v>8</v>
      </c>
      <c r="G875" s="11" t="s">
        <v>8</v>
      </c>
      <c r="H875" s="7" t="s">
        <v>85</v>
      </c>
      <c r="I875" s="11" t="s">
        <v>96</v>
      </c>
      <c r="J875" s="11" t="s">
        <v>103</v>
      </c>
      <c r="K875" s="12">
        <v>2000</v>
      </c>
      <c r="L875" s="12">
        <v>2000</v>
      </c>
      <c r="M875" s="12">
        <v>0</v>
      </c>
      <c r="N875" s="12">
        <v>0</v>
      </c>
      <c r="O875" s="12">
        <v>2000</v>
      </c>
      <c r="P875" s="29">
        <v>10</v>
      </c>
      <c r="Q875" s="85" t="s">
        <v>156</v>
      </c>
    </row>
    <row r="876" spans="1:17" s="85" customFormat="1" ht="16.5" hidden="1" thickTop="1" thickBot="1" x14ac:dyDescent="0.3">
      <c r="A876" s="51"/>
      <c r="B876" s="25" t="s">
        <v>10</v>
      </c>
      <c r="C876" s="8" t="s">
        <v>0</v>
      </c>
      <c r="D876" s="7" t="s">
        <v>79</v>
      </c>
      <c r="E876" s="9" t="s">
        <v>69</v>
      </c>
      <c r="F876" s="44">
        <v>8</v>
      </c>
      <c r="G876" s="11" t="s">
        <v>8</v>
      </c>
      <c r="H876" s="7" t="s">
        <v>85</v>
      </c>
      <c r="I876" s="11" t="s">
        <v>96</v>
      </c>
      <c r="J876" s="11" t="s">
        <v>103</v>
      </c>
      <c r="K876" s="12">
        <v>200</v>
      </c>
      <c r="L876" s="12">
        <v>200</v>
      </c>
      <c r="M876" s="12">
        <v>0</v>
      </c>
      <c r="N876" s="12">
        <v>0</v>
      </c>
      <c r="O876" s="12">
        <v>200</v>
      </c>
      <c r="P876" s="29">
        <v>10</v>
      </c>
      <c r="Q876" s="85" t="s">
        <v>156</v>
      </c>
    </row>
    <row r="877" spans="1:17" s="85" customFormat="1" ht="16.5" hidden="1" thickTop="1" thickBot="1" x14ac:dyDescent="0.3">
      <c r="A877" s="51"/>
      <c r="B877" s="25" t="s">
        <v>11</v>
      </c>
      <c r="C877" s="8" t="s">
        <v>0</v>
      </c>
      <c r="D877" s="7" t="s">
        <v>79</v>
      </c>
      <c r="E877" s="9" t="s">
        <v>69</v>
      </c>
      <c r="F877" s="10">
        <v>14</v>
      </c>
      <c r="G877" s="11" t="s">
        <v>139</v>
      </c>
      <c r="H877" s="7" t="s">
        <v>84</v>
      </c>
      <c r="I877" s="11" t="s">
        <v>7</v>
      </c>
      <c r="J877" s="11" t="s">
        <v>103</v>
      </c>
      <c r="K877" s="12">
        <v>16311.633340859998</v>
      </c>
      <c r="L877" s="12">
        <v>16311.633340859998</v>
      </c>
      <c r="M877" s="12">
        <v>0</v>
      </c>
      <c r="N877" s="12">
        <v>738.08295659999999</v>
      </c>
      <c r="O877" s="12">
        <v>15573.550384259999</v>
      </c>
      <c r="P877" s="29">
        <v>15</v>
      </c>
      <c r="Q877" s="85" t="s">
        <v>156</v>
      </c>
    </row>
    <row r="878" spans="1:17" s="85" customFormat="1" ht="16.5" hidden="1" thickTop="1" thickBot="1" x14ac:dyDescent="0.3">
      <c r="A878" s="51"/>
      <c r="B878" s="25" t="s">
        <v>13</v>
      </c>
      <c r="C878" s="8" t="s">
        <v>0</v>
      </c>
      <c r="D878" s="7" t="s">
        <v>79</v>
      </c>
      <c r="E878" s="9" t="s">
        <v>69</v>
      </c>
      <c r="F878" s="10">
        <v>14</v>
      </c>
      <c r="G878" s="11" t="s">
        <v>139</v>
      </c>
      <c r="H878" s="7" t="s">
        <v>84</v>
      </c>
      <c r="I878" s="11" t="s">
        <v>9</v>
      </c>
      <c r="J878" s="11" t="s">
        <v>103</v>
      </c>
      <c r="K878" s="12">
        <v>4158.1260499999999</v>
      </c>
      <c r="L878" s="12">
        <v>4158.1260499999999</v>
      </c>
      <c r="M878" s="12">
        <v>0</v>
      </c>
      <c r="N878" s="12">
        <v>188.15050000000002</v>
      </c>
      <c r="O878" s="12">
        <v>3969.9755499999997</v>
      </c>
      <c r="P878" s="29">
        <v>15</v>
      </c>
      <c r="Q878" s="85" t="s">
        <v>156</v>
      </c>
    </row>
    <row r="879" spans="1:17" s="85" customFormat="1" ht="16.5" hidden="1" thickTop="1" thickBot="1" x14ac:dyDescent="0.3">
      <c r="A879" s="51"/>
      <c r="B879" s="25" t="s">
        <v>13</v>
      </c>
      <c r="C879" s="8" t="s">
        <v>0</v>
      </c>
      <c r="D879" s="7" t="s">
        <v>79</v>
      </c>
      <c r="E879" s="9" t="s">
        <v>69</v>
      </c>
      <c r="F879" s="10">
        <v>14</v>
      </c>
      <c r="G879" s="11" t="s">
        <v>139</v>
      </c>
      <c r="H879" s="7" t="s">
        <v>84</v>
      </c>
      <c r="I879" s="11" t="s">
        <v>15</v>
      </c>
      <c r="J879" s="11" t="s">
        <v>103</v>
      </c>
      <c r="K879" s="12">
        <v>5282.5230083924998</v>
      </c>
      <c r="L879" s="12">
        <v>5282.5230083924998</v>
      </c>
      <c r="M879" s="12">
        <v>0</v>
      </c>
      <c r="N879" s="12">
        <v>239.02819042500002</v>
      </c>
      <c r="O879" s="12">
        <v>5043.4948179675002</v>
      </c>
      <c r="P879" s="29">
        <v>15</v>
      </c>
      <c r="Q879" s="85" t="s">
        <v>156</v>
      </c>
    </row>
    <row r="880" spans="1:17" s="85" customFormat="1" ht="16.5" hidden="1" thickTop="1" thickBot="1" x14ac:dyDescent="0.3">
      <c r="A880" s="51"/>
      <c r="B880" s="25" t="s">
        <v>10</v>
      </c>
      <c r="C880" s="8" t="s">
        <v>0</v>
      </c>
      <c r="D880" s="7" t="s">
        <v>79</v>
      </c>
      <c r="E880" s="9" t="s">
        <v>69</v>
      </c>
      <c r="F880" s="10">
        <v>14</v>
      </c>
      <c r="G880" s="11" t="s">
        <v>139</v>
      </c>
      <c r="H880" s="7" t="s">
        <v>84</v>
      </c>
      <c r="I880" s="11" t="s">
        <v>96</v>
      </c>
      <c r="J880" s="11" t="s">
        <v>103</v>
      </c>
      <c r="K880" s="12">
        <v>500</v>
      </c>
      <c r="L880" s="12">
        <v>500</v>
      </c>
      <c r="M880" s="12">
        <v>0</v>
      </c>
      <c r="N880" s="12">
        <v>0</v>
      </c>
      <c r="O880" s="12">
        <v>500</v>
      </c>
      <c r="P880" s="29">
        <v>15</v>
      </c>
      <c r="Q880" s="85" t="s">
        <v>156</v>
      </c>
    </row>
    <row r="881" spans="1:16" s="85" customFormat="1" ht="16.5" hidden="1" thickTop="1" thickBot="1" x14ac:dyDescent="0.3">
      <c r="A881" s="51"/>
      <c r="B881" s="25" t="s">
        <v>11</v>
      </c>
      <c r="C881" s="8" t="s">
        <v>0</v>
      </c>
      <c r="D881" s="7" t="s">
        <v>79</v>
      </c>
      <c r="E881" s="9" t="s">
        <v>69</v>
      </c>
      <c r="F881" s="10">
        <v>20</v>
      </c>
      <c r="G881" s="11" t="s">
        <v>16</v>
      </c>
      <c r="H881" s="7" t="s">
        <v>85</v>
      </c>
      <c r="I881" s="11" t="s">
        <v>7</v>
      </c>
      <c r="J881" s="11" t="s">
        <v>103</v>
      </c>
      <c r="K881" s="12">
        <v>17144.075000000001</v>
      </c>
      <c r="L881" s="12">
        <v>17144.075000000001</v>
      </c>
      <c r="M881" s="12">
        <v>0</v>
      </c>
      <c r="N881" s="12">
        <f>L881*14%</f>
        <v>2400.1705000000002</v>
      </c>
      <c r="O881" s="12">
        <v>14401.023000000001</v>
      </c>
      <c r="P881" s="29">
        <v>15</v>
      </c>
    </row>
    <row r="882" spans="1:16" s="85" customFormat="1" ht="16.5" hidden="1" thickTop="1" thickBot="1" x14ac:dyDescent="0.3">
      <c r="A882" s="51"/>
      <c r="B882" s="25" t="s">
        <v>13</v>
      </c>
      <c r="C882" s="8" t="s">
        <v>0</v>
      </c>
      <c r="D882" s="7" t="s">
        <v>79</v>
      </c>
      <c r="E882" s="9" t="s">
        <v>69</v>
      </c>
      <c r="F882" s="10">
        <v>20</v>
      </c>
      <c r="G882" s="11" t="s">
        <v>16</v>
      </c>
      <c r="H882" s="7" t="s">
        <v>85</v>
      </c>
      <c r="I882" s="11" t="s">
        <v>113</v>
      </c>
      <c r="J882" s="11" t="s">
        <v>103</v>
      </c>
      <c r="K882" s="12">
        <v>1657.5</v>
      </c>
      <c r="L882" s="12">
        <v>1657.5</v>
      </c>
      <c r="M882" s="12">
        <v>0</v>
      </c>
      <c r="N882" s="12">
        <f>L882*16%</f>
        <v>265.2</v>
      </c>
      <c r="O882" s="12">
        <v>1392.3</v>
      </c>
      <c r="P882" s="29">
        <v>15</v>
      </c>
    </row>
    <row r="883" spans="1:16" s="85" customFormat="1" ht="16.5" hidden="1" thickTop="1" thickBot="1" x14ac:dyDescent="0.3">
      <c r="A883" s="51"/>
      <c r="B883" s="25" t="s">
        <v>13</v>
      </c>
      <c r="C883" s="8" t="s">
        <v>0</v>
      </c>
      <c r="D883" s="7" t="s">
        <v>79</v>
      </c>
      <c r="E883" s="9" t="s">
        <v>69</v>
      </c>
      <c r="F883" s="10">
        <v>20</v>
      </c>
      <c r="G883" s="11" t="s">
        <v>16</v>
      </c>
      <c r="H883" s="7" t="s">
        <v>85</v>
      </c>
      <c r="I883" s="11" t="s">
        <v>9</v>
      </c>
      <c r="J883" s="11" t="s">
        <v>103</v>
      </c>
      <c r="K883" s="12">
        <v>8265.4</v>
      </c>
      <c r="L883" s="12">
        <v>8265.4</v>
      </c>
      <c r="M883" s="12">
        <v>0</v>
      </c>
      <c r="N883" s="12">
        <f>L883*16%</f>
        <v>1322.4639999999999</v>
      </c>
      <c r="O883" s="12">
        <v>6942.9359999999997</v>
      </c>
      <c r="P883" s="29">
        <v>15</v>
      </c>
    </row>
    <row r="884" spans="1:16" s="85" customFormat="1" ht="16.5" hidden="1" thickTop="1" thickBot="1" x14ac:dyDescent="0.3">
      <c r="A884" s="51"/>
      <c r="B884" s="25" t="s">
        <v>13</v>
      </c>
      <c r="C884" s="8" t="s">
        <v>0</v>
      </c>
      <c r="D884" s="7" t="s">
        <v>79</v>
      </c>
      <c r="E884" s="9" t="s">
        <v>69</v>
      </c>
      <c r="F884" s="10">
        <v>20</v>
      </c>
      <c r="G884" s="11" t="s">
        <v>16</v>
      </c>
      <c r="H884" s="7" t="s">
        <v>85</v>
      </c>
      <c r="I884" s="11" t="s">
        <v>15</v>
      </c>
      <c r="J884" s="11" t="s">
        <v>103</v>
      </c>
      <c r="K884" s="12">
        <v>7542.73</v>
      </c>
      <c r="L884" s="12">
        <v>7542.73</v>
      </c>
      <c r="M884" s="12">
        <v>0</v>
      </c>
      <c r="N884" s="12">
        <f>L884*16%</f>
        <v>1206.8368</v>
      </c>
      <c r="O884" s="12">
        <v>6335.8931999999995</v>
      </c>
      <c r="P884" s="29">
        <v>15</v>
      </c>
    </row>
    <row r="885" spans="1:16" s="85" customFormat="1" ht="16.5" hidden="1" thickTop="1" thickBot="1" x14ac:dyDescent="0.3">
      <c r="A885" s="51"/>
      <c r="B885" s="25" t="s">
        <v>13</v>
      </c>
      <c r="C885" s="8" t="s">
        <v>0</v>
      </c>
      <c r="D885" s="7" t="s">
        <v>79</v>
      </c>
      <c r="E885" s="9" t="s">
        <v>69</v>
      </c>
      <c r="F885" s="10">
        <v>10</v>
      </c>
      <c r="G885" s="11" t="s">
        <v>18</v>
      </c>
      <c r="H885" s="7" t="s">
        <v>85</v>
      </c>
      <c r="I885" s="11" t="s">
        <v>9</v>
      </c>
      <c r="J885" s="11" t="s">
        <v>103</v>
      </c>
      <c r="K885" s="12">
        <v>4589.40895335</v>
      </c>
      <c r="L885" s="12">
        <v>4589.40895335</v>
      </c>
      <c r="M885" s="12">
        <v>0</v>
      </c>
      <c r="N885" s="12">
        <v>207.66556350000002</v>
      </c>
      <c r="O885" s="12">
        <v>4381.7433898500003</v>
      </c>
      <c r="P885" s="29">
        <v>10</v>
      </c>
    </row>
    <row r="886" spans="1:16" s="85" customFormat="1" ht="16.5" hidden="1" thickTop="1" thickBot="1" x14ac:dyDescent="0.3">
      <c r="A886" s="51"/>
      <c r="B886" s="25" t="s">
        <v>11</v>
      </c>
      <c r="C886" s="8" t="s">
        <v>0</v>
      </c>
      <c r="D886" s="7" t="s">
        <v>79</v>
      </c>
      <c r="E886" s="9" t="s">
        <v>69</v>
      </c>
      <c r="F886" s="10">
        <v>22</v>
      </c>
      <c r="G886" s="11" t="s">
        <v>24</v>
      </c>
      <c r="H886" s="7" t="s">
        <v>83</v>
      </c>
      <c r="I886" s="11" t="s">
        <v>7</v>
      </c>
      <c r="J886" s="11" t="s">
        <v>80</v>
      </c>
      <c r="K886" s="12">
        <v>61581.4</v>
      </c>
      <c r="L886" s="12">
        <f>K886</f>
        <v>61581.4</v>
      </c>
      <c r="M886" s="12">
        <v>0</v>
      </c>
      <c r="N886" s="12">
        <f>L886*14%</f>
        <v>8621.3960000000006</v>
      </c>
      <c r="O886" s="12">
        <f>L886-N886</f>
        <v>52960.004000000001</v>
      </c>
      <c r="P886" s="29">
        <v>12</v>
      </c>
    </row>
    <row r="887" spans="1:16" s="85" customFormat="1" ht="16.5" hidden="1" thickTop="1" thickBot="1" x14ac:dyDescent="0.3">
      <c r="A887" s="51"/>
      <c r="B887" s="25" t="s">
        <v>13</v>
      </c>
      <c r="C887" s="8" t="s">
        <v>0</v>
      </c>
      <c r="D887" s="7" t="s">
        <v>79</v>
      </c>
      <c r="E887" s="9" t="s">
        <v>69</v>
      </c>
      <c r="F887" s="10">
        <v>22</v>
      </c>
      <c r="G887" s="11" t="s">
        <v>24</v>
      </c>
      <c r="H887" s="7" t="s">
        <v>83</v>
      </c>
      <c r="I887" s="11" t="s">
        <v>9</v>
      </c>
      <c r="J887" s="11" t="s">
        <v>80</v>
      </c>
      <c r="K887" s="12">
        <v>12949</v>
      </c>
      <c r="L887" s="12">
        <f>K887</f>
        <v>12949</v>
      </c>
      <c r="M887" s="12">
        <v>0</v>
      </c>
      <c r="N887" s="12">
        <f>L887*16%</f>
        <v>2071.84</v>
      </c>
      <c r="O887" s="12">
        <f>L887-N887</f>
        <v>10877.16</v>
      </c>
      <c r="P887" s="29">
        <v>12</v>
      </c>
    </row>
    <row r="888" spans="1:16" s="85" customFormat="1" ht="16.5" hidden="1" thickTop="1" thickBot="1" x14ac:dyDescent="0.3">
      <c r="A888" s="51"/>
      <c r="B888" s="25" t="s">
        <v>10</v>
      </c>
      <c r="C888" s="8" t="s">
        <v>0</v>
      </c>
      <c r="D888" s="7" t="s">
        <v>79</v>
      </c>
      <c r="E888" s="9" t="s">
        <v>69</v>
      </c>
      <c r="F888" s="10">
        <v>22</v>
      </c>
      <c r="G888" s="11" t="s">
        <v>24</v>
      </c>
      <c r="H888" s="7" t="s">
        <v>83</v>
      </c>
      <c r="I888" s="11" t="s">
        <v>96</v>
      </c>
      <c r="J888" s="11" t="s">
        <v>80</v>
      </c>
      <c r="K888" s="12">
        <v>1500</v>
      </c>
      <c r="L888" s="12">
        <v>1500</v>
      </c>
      <c r="M888" s="12">
        <v>0</v>
      </c>
      <c r="N888" s="12">
        <v>0</v>
      </c>
      <c r="O888" s="12">
        <v>1500</v>
      </c>
      <c r="P888" s="29">
        <v>12</v>
      </c>
    </row>
    <row r="889" spans="1:16" s="85" customFormat="1" ht="16.5" hidden="1" thickTop="1" thickBot="1" x14ac:dyDescent="0.3">
      <c r="A889" s="51"/>
      <c r="B889" s="25" t="s">
        <v>5</v>
      </c>
      <c r="C889" s="8" t="s">
        <v>25</v>
      </c>
      <c r="D889" s="7" t="s">
        <v>79</v>
      </c>
      <c r="E889" s="9" t="s">
        <v>69</v>
      </c>
      <c r="F889" s="10">
        <v>5</v>
      </c>
      <c r="G889" s="11" t="s">
        <v>26</v>
      </c>
      <c r="H889" s="7" t="s">
        <v>83</v>
      </c>
      <c r="I889" s="11" t="s">
        <v>7</v>
      </c>
      <c r="J889" s="11" t="s">
        <v>80</v>
      </c>
      <c r="K889" s="12">
        <v>21868.658146266753</v>
      </c>
      <c r="L889" s="12">
        <f t="shared" ref="L889:L895" si="66">K889</f>
        <v>21868.658146266753</v>
      </c>
      <c r="M889" s="12">
        <v>0</v>
      </c>
      <c r="N889" s="12">
        <v>0</v>
      </c>
      <c r="O889" s="12">
        <v>21868.658146266753</v>
      </c>
      <c r="P889" s="29">
        <v>28</v>
      </c>
    </row>
    <row r="890" spans="1:16" s="85" customFormat="1" ht="16.5" hidden="1" thickTop="1" thickBot="1" x14ac:dyDescent="0.3">
      <c r="A890" s="51"/>
      <c r="B890" s="25" t="s">
        <v>5</v>
      </c>
      <c r="C890" s="8" t="s">
        <v>25</v>
      </c>
      <c r="D890" s="7" t="s">
        <v>79</v>
      </c>
      <c r="E890" s="9" t="s">
        <v>69</v>
      </c>
      <c r="F890" s="10">
        <v>5</v>
      </c>
      <c r="G890" s="11" t="s">
        <v>26</v>
      </c>
      <c r="H890" s="7" t="s">
        <v>83</v>
      </c>
      <c r="I890" s="11" t="s">
        <v>9</v>
      </c>
      <c r="J890" s="11" t="s">
        <v>80</v>
      </c>
      <c r="K890" s="12">
        <v>4791.7362231179995</v>
      </c>
      <c r="L890" s="12">
        <f t="shared" si="66"/>
        <v>4791.7362231179995</v>
      </c>
      <c r="M890" s="12">
        <v>0</v>
      </c>
      <c r="N890" s="12">
        <v>0</v>
      </c>
      <c r="O890" s="12">
        <v>4791.7362231179995</v>
      </c>
      <c r="P890" s="29">
        <v>28</v>
      </c>
    </row>
    <row r="891" spans="1:16" s="85" customFormat="1" ht="16.5" hidden="1" thickTop="1" thickBot="1" x14ac:dyDescent="0.3">
      <c r="A891" s="51"/>
      <c r="B891" s="25" t="s">
        <v>5</v>
      </c>
      <c r="C891" s="8" t="s">
        <v>25</v>
      </c>
      <c r="D891" s="7" t="s">
        <v>79</v>
      </c>
      <c r="E891" s="9" t="s">
        <v>69</v>
      </c>
      <c r="F891" s="10">
        <v>5</v>
      </c>
      <c r="G891" s="11" t="s">
        <v>27</v>
      </c>
      <c r="H891" s="7" t="s">
        <v>83</v>
      </c>
      <c r="I891" s="11" t="s">
        <v>141</v>
      </c>
      <c r="J891" s="11" t="s">
        <v>80</v>
      </c>
      <c r="K891" s="12">
        <v>6193.06</v>
      </c>
      <c r="L891" s="12">
        <f t="shared" si="66"/>
        <v>6193.06</v>
      </c>
      <c r="M891" s="12">
        <v>0</v>
      </c>
      <c r="N891" s="12">
        <v>0</v>
      </c>
      <c r="O891" s="12">
        <v>6193.06</v>
      </c>
      <c r="P891" s="29">
        <v>28</v>
      </c>
    </row>
    <row r="892" spans="1:16" s="85" customFormat="1" ht="16.5" hidden="1" thickTop="1" thickBot="1" x14ac:dyDescent="0.3">
      <c r="A892" s="51"/>
      <c r="B892" s="25" t="s">
        <v>5</v>
      </c>
      <c r="C892" s="8" t="s">
        <v>25</v>
      </c>
      <c r="D892" s="7" t="s">
        <v>79</v>
      </c>
      <c r="E892" s="9" t="s">
        <v>69</v>
      </c>
      <c r="F892" s="10">
        <v>5</v>
      </c>
      <c r="G892" s="11" t="s">
        <v>27</v>
      </c>
      <c r="H892" s="7" t="s">
        <v>83</v>
      </c>
      <c r="I892" s="11" t="s">
        <v>7</v>
      </c>
      <c r="J892" s="11" t="s">
        <v>80</v>
      </c>
      <c r="K892" s="12">
        <v>21868.658146266745</v>
      </c>
      <c r="L892" s="12">
        <f t="shared" si="66"/>
        <v>21868.658146266745</v>
      </c>
      <c r="M892" s="12">
        <v>0</v>
      </c>
      <c r="N892" s="12">
        <v>0</v>
      </c>
      <c r="O892" s="12">
        <v>21868.658146266745</v>
      </c>
      <c r="P892" s="29">
        <v>28</v>
      </c>
    </row>
    <row r="893" spans="1:16" s="85" customFormat="1" ht="16.5" hidden="1" thickTop="1" thickBot="1" x14ac:dyDescent="0.3">
      <c r="A893" s="51"/>
      <c r="B893" s="25" t="s">
        <v>5</v>
      </c>
      <c r="C893" s="8" t="s">
        <v>25</v>
      </c>
      <c r="D893" s="7" t="s">
        <v>79</v>
      </c>
      <c r="E893" s="9" t="s">
        <v>69</v>
      </c>
      <c r="F893" s="10">
        <v>5</v>
      </c>
      <c r="G893" s="11" t="s">
        <v>27</v>
      </c>
      <c r="H893" s="7" t="s">
        <v>83</v>
      </c>
      <c r="I893" s="11" t="s">
        <v>9</v>
      </c>
      <c r="J893" s="11" t="s">
        <v>80</v>
      </c>
      <c r="K893" s="12">
        <v>4791.7362231179995</v>
      </c>
      <c r="L893" s="12">
        <f t="shared" si="66"/>
        <v>4791.7362231179995</v>
      </c>
      <c r="M893" s="12">
        <v>0</v>
      </c>
      <c r="N893" s="12">
        <v>0</v>
      </c>
      <c r="O893" s="12">
        <v>4791.7362231179995</v>
      </c>
      <c r="P893" s="29">
        <v>28</v>
      </c>
    </row>
    <row r="894" spans="1:16" s="85" customFormat="1" ht="16.5" hidden="1" thickTop="1" thickBot="1" x14ac:dyDescent="0.3">
      <c r="A894" s="51"/>
      <c r="B894" s="25" t="s">
        <v>5</v>
      </c>
      <c r="C894" s="8" t="s">
        <v>25</v>
      </c>
      <c r="D894" s="7" t="s">
        <v>79</v>
      </c>
      <c r="E894" s="9" t="s">
        <v>69</v>
      </c>
      <c r="F894" s="10">
        <v>5</v>
      </c>
      <c r="G894" s="11" t="s">
        <v>27</v>
      </c>
      <c r="H894" s="7" t="s">
        <v>83</v>
      </c>
      <c r="I894" s="11" t="s">
        <v>113</v>
      </c>
      <c r="J894" s="11" t="s">
        <v>80</v>
      </c>
      <c r="K894" s="12">
        <v>2015.0660041200001</v>
      </c>
      <c r="L894" s="12">
        <f t="shared" si="66"/>
        <v>2015.0660041200001</v>
      </c>
      <c r="M894" s="12">
        <v>0</v>
      </c>
      <c r="N894" s="12">
        <v>0</v>
      </c>
      <c r="O894" s="12">
        <v>2015.0660041200001</v>
      </c>
      <c r="P894" s="29">
        <v>28</v>
      </c>
    </row>
    <row r="895" spans="1:16" s="85" customFormat="1" ht="16.5" hidden="1" thickTop="1" thickBot="1" x14ac:dyDescent="0.3">
      <c r="A895" s="51"/>
      <c r="B895" s="25" t="s">
        <v>22</v>
      </c>
      <c r="C895" s="8" t="s">
        <v>25</v>
      </c>
      <c r="D895" s="7" t="s">
        <v>79</v>
      </c>
      <c r="E895" s="9" t="s">
        <v>69</v>
      </c>
      <c r="F895" s="10">
        <v>20</v>
      </c>
      <c r="G895" s="11" t="s">
        <v>29</v>
      </c>
      <c r="H895" s="7" t="s">
        <v>83</v>
      </c>
      <c r="I895" s="11" t="s">
        <v>9</v>
      </c>
      <c r="J895" s="11" t="s">
        <v>80</v>
      </c>
      <c r="K895" s="12">
        <v>8124.51</v>
      </c>
      <c r="L895" s="12">
        <f t="shared" si="66"/>
        <v>8124.51</v>
      </c>
      <c r="M895" s="12">
        <v>0</v>
      </c>
      <c r="N895" s="12">
        <v>0</v>
      </c>
      <c r="O895" s="12">
        <v>2240.7039719999998</v>
      </c>
      <c r="P895" s="29">
        <v>10</v>
      </c>
    </row>
    <row r="896" spans="1:16" s="85" customFormat="1" ht="16.5" hidden="1" thickTop="1" thickBot="1" x14ac:dyDescent="0.3">
      <c r="A896" s="51"/>
      <c r="B896" s="25" t="s">
        <v>22</v>
      </c>
      <c r="C896" s="8" t="s">
        <v>25</v>
      </c>
      <c r="D896" s="7" t="s">
        <v>79</v>
      </c>
      <c r="E896" s="9" t="s">
        <v>69</v>
      </c>
      <c r="F896" s="10">
        <v>20</v>
      </c>
      <c r="G896" s="13" t="s">
        <v>31</v>
      </c>
      <c r="H896" s="7" t="s">
        <v>83</v>
      </c>
      <c r="I896" s="11" t="s">
        <v>7</v>
      </c>
      <c r="J896" s="11" t="s">
        <v>80</v>
      </c>
      <c r="K896" s="12">
        <v>19669</v>
      </c>
      <c r="L896" s="12">
        <v>19669</v>
      </c>
      <c r="M896" s="12">
        <v>0</v>
      </c>
      <c r="N896" s="12">
        <v>0</v>
      </c>
      <c r="O896" s="12">
        <v>19669</v>
      </c>
      <c r="P896" s="29">
        <v>30</v>
      </c>
    </row>
    <row r="897" spans="1:16" s="85" customFormat="1" ht="16.5" hidden="1" thickTop="1" thickBot="1" x14ac:dyDescent="0.3">
      <c r="A897" s="51"/>
      <c r="B897" s="25" t="s">
        <v>5</v>
      </c>
      <c r="C897" s="8" t="s">
        <v>25</v>
      </c>
      <c r="D897" s="7" t="s">
        <v>79</v>
      </c>
      <c r="E897" s="9" t="s">
        <v>69</v>
      </c>
      <c r="F897" s="10">
        <v>20</v>
      </c>
      <c r="G897" s="11" t="s">
        <v>32</v>
      </c>
      <c r="H897" s="7" t="s">
        <v>83</v>
      </c>
      <c r="I897" s="11" t="s">
        <v>7</v>
      </c>
      <c r="J897" s="11" t="s">
        <v>80</v>
      </c>
      <c r="K897" s="12">
        <v>21216.65</v>
      </c>
      <c r="L897" s="12">
        <v>21216.65</v>
      </c>
      <c r="M897" s="12">
        <v>0</v>
      </c>
      <c r="N897" s="12">
        <v>1008.00076721625</v>
      </c>
      <c r="O897" s="12">
        <v>20208.649232783751</v>
      </c>
      <c r="P897" s="29">
        <v>10</v>
      </c>
    </row>
    <row r="898" spans="1:16" s="85" customFormat="1" ht="16.5" hidden="1" thickTop="1" thickBot="1" x14ac:dyDescent="0.3">
      <c r="A898" s="51"/>
      <c r="B898" s="25" t="s">
        <v>5</v>
      </c>
      <c r="C898" s="8" t="s">
        <v>25</v>
      </c>
      <c r="D898" s="7" t="s">
        <v>79</v>
      </c>
      <c r="E898" s="9" t="s">
        <v>69</v>
      </c>
      <c r="F898" s="10">
        <v>20</v>
      </c>
      <c r="G898" s="11" t="s">
        <v>32</v>
      </c>
      <c r="H898" s="7" t="s">
        <v>83</v>
      </c>
      <c r="I898" s="11" t="s">
        <v>97</v>
      </c>
      <c r="J898" s="11" t="s">
        <v>80</v>
      </c>
      <c r="K898" s="12">
        <v>10578.83</v>
      </c>
      <c r="L898" s="12">
        <v>10578.83</v>
      </c>
      <c r="M898" s="12">
        <v>0</v>
      </c>
      <c r="N898" s="12">
        <v>502.66571759999999</v>
      </c>
      <c r="O898" s="12">
        <v>10076.164282399999</v>
      </c>
      <c r="P898" s="29">
        <v>10</v>
      </c>
    </row>
    <row r="899" spans="1:16" s="85" customFormat="1" ht="16.5" hidden="1" thickTop="1" thickBot="1" x14ac:dyDescent="0.3">
      <c r="A899" s="51"/>
      <c r="B899" s="25" t="s">
        <v>5</v>
      </c>
      <c r="C899" s="8" t="s">
        <v>25</v>
      </c>
      <c r="D899" s="7" t="s">
        <v>79</v>
      </c>
      <c r="E899" s="9" t="s">
        <v>69</v>
      </c>
      <c r="F899" s="10">
        <v>20</v>
      </c>
      <c r="G899" s="11" t="s">
        <v>146</v>
      </c>
      <c r="H899" s="7" t="s">
        <v>83</v>
      </c>
      <c r="I899" s="11" t="s">
        <v>145</v>
      </c>
      <c r="J899" s="11" t="s">
        <v>80</v>
      </c>
      <c r="K899" s="12">
        <v>10637.82</v>
      </c>
      <c r="L899" s="12">
        <v>10637.82</v>
      </c>
      <c r="M899" s="12">
        <v>0</v>
      </c>
      <c r="N899" s="12">
        <v>505.32979499999999</v>
      </c>
      <c r="O899" s="12">
        <v>10132.490205</v>
      </c>
      <c r="P899" s="29">
        <v>10</v>
      </c>
    </row>
    <row r="900" spans="1:16" s="85" customFormat="1" ht="16.5" hidden="1" thickTop="1" thickBot="1" x14ac:dyDescent="0.3">
      <c r="A900" s="51"/>
      <c r="B900" s="25" t="s">
        <v>5</v>
      </c>
      <c r="C900" s="8" t="s">
        <v>25</v>
      </c>
      <c r="D900" s="7" t="s">
        <v>79</v>
      </c>
      <c r="E900" s="9" t="s">
        <v>69</v>
      </c>
      <c r="F900" s="10">
        <v>20</v>
      </c>
      <c r="G900" s="11" t="s">
        <v>146</v>
      </c>
      <c r="H900" s="7" t="s">
        <v>83</v>
      </c>
      <c r="I900" s="11" t="s">
        <v>7</v>
      </c>
      <c r="J900" s="11" t="s">
        <v>80</v>
      </c>
      <c r="K900" s="12">
        <v>10048.870000000001</v>
      </c>
      <c r="L900" s="12">
        <v>10048.870000000001</v>
      </c>
      <c r="M900" s="12">
        <v>0</v>
      </c>
      <c r="N900" s="12">
        <v>481.34</v>
      </c>
      <c r="O900" s="12">
        <v>9567.5300000000007</v>
      </c>
      <c r="P900" s="29">
        <v>10</v>
      </c>
    </row>
    <row r="901" spans="1:16" s="85" customFormat="1" ht="16.5" hidden="1" thickTop="1" thickBot="1" x14ac:dyDescent="0.3">
      <c r="A901" s="51"/>
      <c r="B901" s="25" t="s">
        <v>5</v>
      </c>
      <c r="C901" s="8" t="s">
        <v>25</v>
      </c>
      <c r="D901" s="7" t="s">
        <v>79</v>
      </c>
      <c r="E901" s="9" t="s">
        <v>69</v>
      </c>
      <c r="F901" s="10">
        <v>20</v>
      </c>
      <c r="G901" s="11" t="s">
        <v>32</v>
      </c>
      <c r="H901" s="7" t="s">
        <v>83</v>
      </c>
      <c r="I901" s="11" t="s">
        <v>98</v>
      </c>
      <c r="J901" s="11" t="s">
        <v>80</v>
      </c>
      <c r="K901" s="12">
        <v>14293.174999999999</v>
      </c>
      <c r="L901" s="12">
        <v>14293.174999999999</v>
      </c>
      <c r="M901" s="12">
        <v>0</v>
      </c>
      <c r="N901" s="12">
        <v>646.75</v>
      </c>
      <c r="O901" s="12">
        <v>13646.424999999999</v>
      </c>
      <c r="P901" s="29">
        <v>10</v>
      </c>
    </row>
    <row r="902" spans="1:16" s="85" customFormat="1" ht="16.5" hidden="1" thickTop="1" thickBot="1" x14ac:dyDescent="0.3">
      <c r="A902" s="51"/>
      <c r="B902" s="25" t="s">
        <v>10</v>
      </c>
      <c r="C902" s="8" t="s">
        <v>25</v>
      </c>
      <c r="D902" s="7" t="s">
        <v>79</v>
      </c>
      <c r="E902" s="9" t="s">
        <v>69</v>
      </c>
      <c r="F902" s="10">
        <v>20</v>
      </c>
      <c r="G902" s="11" t="s">
        <v>32</v>
      </c>
      <c r="H902" s="7" t="s">
        <v>83</v>
      </c>
      <c r="I902" s="11" t="s">
        <v>96</v>
      </c>
      <c r="J902" s="11" t="s">
        <v>80</v>
      </c>
      <c r="K902" s="12">
        <v>2000</v>
      </c>
      <c r="L902" s="12">
        <v>2000</v>
      </c>
      <c r="M902" s="12">
        <v>0</v>
      </c>
      <c r="N902" s="12">
        <v>0</v>
      </c>
      <c r="O902" s="12">
        <v>2000</v>
      </c>
      <c r="P902" s="29">
        <v>10</v>
      </c>
    </row>
    <row r="903" spans="1:16" s="85" customFormat="1" ht="16.5" hidden="1" thickTop="1" thickBot="1" x14ac:dyDescent="0.3">
      <c r="A903" s="51"/>
      <c r="B903" s="25" t="s">
        <v>11</v>
      </c>
      <c r="C903" s="8" t="s">
        <v>25</v>
      </c>
      <c r="D903" s="7" t="s">
        <v>79</v>
      </c>
      <c r="E903" s="9" t="s">
        <v>69</v>
      </c>
      <c r="F903" s="10">
        <v>15</v>
      </c>
      <c r="G903" s="11" t="s">
        <v>33</v>
      </c>
      <c r="H903" s="7" t="s">
        <v>83</v>
      </c>
      <c r="I903" s="11" t="s">
        <v>7</v>
      </c>
      <c r="J903" s="11" t="s">
        <v>80</v>
      </c>
      <c r="K903" s="12">
        <v>22528.080000000002</v>
      </c>
      <c r="L903" s="12">
        <f>K903</f>
        <v>22528.080000000002</v>
      </c>
      <c r="M903" s="12">
        <v>0</v>
      </c>
      <c r="N903" s="12">
        <f>L903*14%</f>
        <v>3153.9312000000004</v>
      </c>
      <c r="O903" s="12">
        <v>18925.236875999999</v>
      </c>
      <c r="P903" s="29">
        <v>30</v>
      </c>
    </row>
    <row r="904" spans="1:16" s="85" customFormat="1" ht="16.5" hidden="1" thickTop="1" thickBot="1" x14ac:dyDescent="0.3">
      <c r="A904" s="51"/>
      <c r="B904" s="25" t="s">
        <v>22</v>
      </c>
      <c r="C904" s="8" t="s">
        <v>25</v>
      </c>
      <c r="D904" s="7" t="s">
        <v>79</v>
      </c>
      <c r="E904" s="9" t="s">
        <v>69</v>
      </c>
      <c r="F904" s="10">
        <v>15</v>
      </c>
      <c r="G904" s="11" t="s">
        <v>120</v>
      </c>
      <c r="H904" s="7" t="s">
        <v>83</v>
      </c>
      <c r="I904" s="11" t="s">
        <v>9</v>
      </c>
      <c r="J904" s="11" t="s">
        <v>80</v>
      </c>
      <c r="K904" s="12">
        <v>4285.72</v>
      </c>
      <c r="L904" s="12">
        <v>4286.7038499999999</v>
      </c>
      <c r="M904" s="12">
        <v>0</v>
      </c>
      <c r="N904" s="12">
        <v>0</v>
      </c>
      <c r="O904" s="12">
        <v>4286.7038499999999</v>
      </c>
      <c r="P904" s="29">
        <v>30</v>
      </c>
    </row>
    <row r="905" spans="1:16" s="85" customFormat="1" ht="16.5" hidden="1" thickTop="1" thickBot="1" x14ac:dyDescent="0.3">
      <c r="A905" s="51"/>
      <c r="B905" s="25" t="s">
        <v>22</v>
      </c>
      <c r="C905" s="8" t="s">
        <v>25</v>
      </c>
      <c r="D905" s="7" t="s">
        <v>79</v>
      </c>
      <c r="E905" s="9" t="s">
        <v>69</v>
      </c>
      <c r="F905" s="10">
        <v>15</v>
      </c>
      <c r="G905" s="11" t="s">
        <v>33</v>
      </c>
      <c r="H905" s="7" t="s">
        <v>83</v>
      </c>
      <c r="I905" s="11" t="s">
        <v>9</v>
      </c>
      <c r="J905" s="11" t="s">
        <v>80</v>
      </c>
      <c r="K905" s="12">
        <v>8571.4500000000007</v>
      </c>
      <c r="L905" s="12">
        <v>8573.4076999999997</v>
      </c>
      <c r="M905" s="12">
        <v>0</v>
      </c>
      <c r="N905" s="12">
        <v>0</v>
      </c>
      <c r="O905" s="12">
        <v>8573.4076999999997</v>
      </c>
      <c r="P905" s="29">
        <v>30</v>
      </c>
    </row>
    <row r="906" spans="1:16" s="85" customFormat="1" ht="16.5" hidden="1" thickTop="1" thickBot="1" x14ac:dyDescent="0.3">
      <c r="A906" s="51"/>
      <c r="B906" s="25" t="s">
        <v>22</v>
      </c>
      <c r="C906" s="8" t="s">
        <v>60</v>
      </c>
      <c r="D906" s="7" t="s">
        <v>79</v>
      </c>
      <c r="E906" s="9" t="s">
        <v>69</v>
      </c>
      <c r="F906" s="10">
        <v>1</v>
      </c>
      <c r="G906" s="11" t="s">
        <v>34</v>
      </c>
      <c r="H906" s="7" t="s">
        <v>87</v>
      </c>
      <c r="I906" s="11" t="s">
        <v>20</v>
      </c>
      <c r="J906" s="11" t="s">
        <v>105</v>
      </c>
      <c r="K906" s="12">
        <v>40851.191603430001</v>
      </c>
      <c r="L906" s="12">
        <v>24510.714962057998</v>
      </c>
      <c r="M906" s="12">
        <v>16340.476641372001</v>
      </c>
      <c r="N906" s="12">
        <v>0</v>
      </c>
      <c r="O906" s="12">
        <v>40851.191603430001</v>
      </c>
      <c r="P906" s="29">
        <v>30</v>
      </c>
    </row>
    <row r="907" spans="1:16" s="85" customFormat="1" ht="16.5" hidden="1" thickTop="1" thickBot="1" x14ac:dyDescent="0.3">
      <c r="A907" s="51"/>
      <c r="B907" s="25" t="s">
        <v>22</v>
      </c>
      <c r="C907" s="8" t="s">
        <v>60</v>
      </c>
      <c r="D907" s="7" t="s">
        <v>79</v>
      </c>
      <c r="E907" s="9" t="s">
        <v>69</v>
      </c>
      <c r="F907" s="10">
        <v>1</v>
      </c>
      <c r="G907" s="11" t="s">
        <v>34</v>
      </c>
      <c r="H907" s="7" t="s">
        <v>87</v>
      </c>
      <c r="I907" s="11" t="s">
        <v>9</v>
      </c>
      <c r="J907" s="11" t="s">
        <v>105</v>
      </c>
      <c r="K907" s="146">
        <v>32314.78</v>
      </c>
      <c r="L907" s="12">
        <v>20012.736873869999</v>
      </c>
      <c r="M907" s="12">
        <v>13341.82458258</v>
      </c>
      <c r="N907" s="12">
        <v>0</v>
      </c>
      <c r="O907" s="12">
        <v>33354.561456449999</v>
      </c>
      <c r="P907" s="29">
        <v>30</v>
      </c>
    </row>
    <row r="908" spans="1:16" s="85" customFormat="1" ht="16.5" hidden="1" thickTop="1" thickBot="1" x14ac:dyDescent="0.3">
      <c r="A908" s="51"/>
      <c r="B908" s="25" t="s">
        <v>22</v>
      </c>
      <c r="C908" s="8" t="s">
        <v>60</v>
      </c>
      <c r="D908" s="7" t="s">
        <v>79</v>
      </c>
      <c r="E908" s="9" t="s">
        <v>69</v>
      </c>
      <c r="F908" s="10">
        <v>1</v>
      </c>
      <c r="G908" s="11" t="s">
        <v>35</v>
      </c>
      <c r="H908" s="7" t="s">
        <v>83</v>
      </c>
      <c r="I908" s="11" t="s">
        <v>9</v>
      </c>
      <c r="J908" s="11" t="s">
        <v>105</v>
      </c>
      <c r="K908" s="146">
        <v>23105.040000000001</v>
      </c>
      <c r="L908" s="12">
        <v>14308.644546728998</v>
      </c>
      <c r="M908" s="12">
        <v>9539.0963644860003</v>
      </c>
      <c r="N908" s="12">
        <v>0</v>
      </c>
      <c r="O908" s="12">
        <v>23847.740911214998</v>
      </c>
      <c r="P908" s="29">
        <v>30</v>
      </c>
    </row>
    <row r="909" spans="1:16" s="85" customFormat="1" ht="16.5" hidden="1" thickTop="1" thickBot="1" x14ac:dyDescent="0.3">
      <c r="A909" s="51"/>
      <c r="B909" s="25" t="s">
        <v>22</v>
      </c>
      <c r="C909" s="8" t="s">
        <v>60</v>
      </c>
      <c r="D909" s="7" t="s">
        <v>79</v>
      </c>
      <c r="E909" s="9" t="s">
        <v>69</v>
      </c>
      <c r="F909" s="10">
        <v>1</v>
      </c>
      <c r="G909" s="11" t="s">
        <v>36</v>
      </c>
      <c r="H909" s="7" t="s">
        <v>89</v>
      </c>
      <c r="I909" s="11" t="s">
        <v>20</v>
      </c>
      <c r="J909" s="11" t="s">
        <v>105</v>
      </c>
      <c r="K909" s="12">
        <v>40851.191603430001</v>
      </c>
      <c r="L909" s="12">
        <v>24510.714962057998</v>
      </c>
      <c r="M909" s="12">
        <v>16340.476641372001</v>
      </c>
      <c r="N909" s="12">
        <v>0</v>
      </c>
      <c r="O909" s="12">
        <v>40851.191603430001</v>
      </c>
      <c r="P909" s="29">
        <v>30</v>
      </c>
    </row>
    <row r="910" spans="1:16" s="85" customFormat="1" ht="16.5" hidden="1" thickTop="1" thickBot="1" x14ac:dyDescent="0.3">
      <c r="A910" s="51"/>
      <c r="B910" s="25" t="s">
        <v>22</v>
      </c>
      <c r="C910" s="8" t="s">
        <v>60</v>
      </c>
      <c r="D910" s="7" t="s">
        <v>79</v>
      </c>
      <c r="E910" s="9" t="s">
        <v>69</v>
      </c>
      <c r="F910" s="10">
        <v>1</v>
      </c>
      <c r="G910" s="11" t="s">
        <v>36</v>
      </c>
      <c r="H910" s="7" t="s">
        <v>89</v>
      </c>
      <c r="I910" s="11" t="s">
        <v>9</v>
      </c>
      <c r="J910" s="11" t="s">
        <v>105</v>
      </c>
      <c r="K910" s="146">
        <v>32314.78</v>
      </c>
      <c r="L910" s="12">
        <v>20012.736873869999</v>
      </c>
      <c r="M910" s="12">
        <v>13341.82458258</v>
      </c>
      <c r="N910" s="12">
        <v>0</v>
      </c>
      <c r="O910" s="12">
        <v>33354.561456449999</v>
      </c>
      <c r="P910" s="29">
        <v>30</v>
      </c>
    </row>
    <row r="911" spans="1:16" s="85" customFormat="1" ht="16.5" hidden="1" thickTop="1" thickBot="1" x14ac:dyDescent="0.3">
      <c r="A911" s="51"/>
      <c r="B911" s="25" t="s">
        <v>22</v>
      </c>
      <c r="C911" s="8" t="s">
        <v>60</v>
      </c>
      <c r="D911" s="7" t="s">
        <v>79</v>
      </c>
      <c r="E911" s="9" t="s">
        <v>69</v>
      </c>
      <c r="F911" s="10">
        <v>1</v>
      </c>
      <c r="G911" s="11" t="s">
        <v>37</v>
      </c>
      <c r="H911" s="7" t="s">
        <v>85</v>
      </c>
      <c r="I911" s="11" t="s">
        <v>9</v>
      </c>
      <c r="J911" s="11" t="s">
        <v>105</v>
      </c>
      <c r="K911" s="146">
        <v>13863.02</v>
      </c>
      <c r="L911" s="12">
        <v>8585.1881111879993</v>
      </c>
      <c r="M911" s="12">
        <v>5723.4587407920008</v>
      </c>
      <c r="N911" s="12">
        <v>0</v>
      </c>
      <c r="O911" s="12">
        <v>14308.64685198</v>
      </c>
      <c r="P911" s="29">
        <v>30</v>
      </c>
    </row>
    <row r="912" spans="1:16" s="85" customFormat="1" ht="16.5" hidden="1" thickTop="1" thickBot="1" x14ac:dyDescent="0.3">
      <c r="A912" s="51"/>
      <c r="B912" s="25" t="s">
        <v>22</v>
      </c>
      <c r="C912" s="8" t="s">
        <v>60</v>
      </c>
      <c r="D912" s="7" t="s">
        <v>79</v>
      </c>
      <c r="E912" s="9" t="s">
        <v>69</v>
      </c>
      <c r="F912" s="10">
        <v>1</v>
      </c>
      <c r="G912" s="11" t="s">
        <v>93</v>
      </c>
      <c r="H912" s="7" t="s">
        <v>85</v>
      </c>
      <c r="I912" s="11" t="s">
        <v>9</v>
      </c>
      <c r="J912" s="11" t="s">
        <v>105</v>
      </c>
      <c r="K912" s="146">
        <v>18484.02</v>
      </c>
      <c r="L912" s="12">
        <v>11446.912871081999</v>
      </c>
      <c r="M912" s="12">
        <v>7631.275247388</v>
      </c>
      <c r="N912" s="12">
        <v>0</v>
      </c>
      <c r="O912" s="12">
        <v>19078.18811847</v>
      </c>
      <c r="P912" s="29">
        <v>30</v>
      </c>
    </row>
    <row r="913" spans="1:16" s="85" customFormat="1" ht="16.5" hidden="1" thickTop="1" thickBot="1" x14ac:dyDescent="0.3">
      <c r="A913" s="51"/>
      <c r="B913" s="25" t="s">
        <v>22</v>
      </c>
      <c r="C913" s="8" t="s">
        <v>60</v>
      </c>
      <c r="D913" s="7" t="s">
        <v>79</v>
      </c>
      <c r="E913" s="9" t="s">
        <v>69</v>
      </c>
      <c r="F913" s="10">
        <v>1</v>
      </c>
      <c r="G913" s="11" t="s">
        <v>38</v>
      </c>
      <c r="H913" s="7" t="s">
        <v>85</v>
      </c>
      <c r="I913" s="11" t="s">
        <v>9</v>
      </c>
      <c r="J913" s="11" t="s">
        <v>105</v>
      </c>
      <c r="K913" s="146">
        <v>13863.02</v>
      </c>
      <c r="L913" s="12">
        <v>5723.4564355409993</v>
      </c>
      <c r="M913" s="12">
        <v>3815.637623694</v>
      </c>
      <c r="N913" s="12">
        <v>0</v>
      </c>
      <c r="O913" s="12">
        <v>9539.0940592349998</v>
      </c>
      <c r="P913" s="29">
        <v>30</v>
      </c>
    </row>
    <row r="914" spans="1:16" s="85" customFormat="1" ht="16.5" hidden="1" thickTop="1" thickBot="1" x14ac:dyDescent="0.3">
      <c r="A914" s="51"/>
      <c r="B914" s="25" t="s">
        <v>11</v>
      </c>
      <c r="C914" s="8" t="s">
        <v>60</v>
      </c>
      <c r="D914" s="7" t="s">
        <v>79</v>
      </c>
      <c r="E914" s="9" t="s">
        <v>69</v>
      </c>
      <c r="F914" s="10">
        <v>20</v>
      </c>
      <c r="G914" s="11" t="s">
        <v>119</v>
      </c>
      <c r="H914" s="7" t="s">
        <v>85</v>
      </c>
      <c r="I914" s="11" t="s">
        <v>7</v>
      </c>
      <c r="J914" s="11" t="s">
        <v>103</v>
      </c>
      <c r="K914" s="12">
        <v>19006</v>
      </c>
      <c r="L914" s="12">
        <v>19006</v>
      </c>
      <c r="M914" s="12">
        <v>0</v>
      </c>
      <c r="N914" s="12">
        <f>L914*14%</f>
        <v>2660.84</v>
      </c>
      <c r="O914" s="12">
        <v>15965.04</v>
      </c>
      <c r="P914" s="29">
        <v>20</v>
      </c>
    </row>
    <row r="915" spans="1:16" s="85" customFormat="1" ht="16.5" hidden="1" thickTop="1" thickBot="1" x14ac:dyDescent="0.3">
      <c r="A915" s="51"/>
      <c r="B915" s="25" t="s">
        <v>13</v>
      </c>
      <c r="C915" s="8" t="s">
        <v>60</v>
      </c>
      <c r="D915" s="7" t="s">
        <v>79</v>
      </c>
      <c r="E915" s="9" t="s">
        <v>69</v>
      </c>
      <c r="F915" s="10">
        <v>20</v>
      </c>
      <c r="G915" s="11" t="s">
        <v>119</v>
      </c>
      <c r="H915" s="7" t="s">
        <v>85</v>
      </c>
      <c r="I915" s="11" t="s">
        <v>9</v>
      </c>
      <c r="J915" s="11" t="s">
        <v>103</v>
      </c>
      <c r="K915" s="12">
        <v>8619</v>
      </c>
      <c r="L915" s="12">
        <v>8619</v>
      </c>
      <c r="M915" s="12">
        <v>0</v>
      </c>
      <c r="N915" s="12">
        <f>L915*16%</f>
        <v>1379.04</v>
      </c>
      <c r="O915" s="12">
        <v>7239.96</v>
      </c>
      <c r="P915" s="29">
        <v>20</v>
      </c>
    </row>
    <row r="916" spans="1:16" s="85" customFormat="1" ht="16.5" hidden="1" thickTop="1" thickBot="1" x14ac:dyDescent="0.3">
      <c r="A916" s="51"/>
      <c r="B916" s="25" t="s">
        <v>10</v>
      </c>
      <c r="C916" s="8" t="s">
        <v>60</v>
      </c>
      <c r="D916" s="7" t="s">
        <v>79</v>
      </c>
      <c r="E916" s="9" t="s">
        <v>69</v>
      </c>
      <c r="F916" s="10">
        <v>20</v>
      </c>
      <c r="G916" s="11" t="s">
        <v>119</v>
      </c>
      <c r="H916" s="7" t="s">
        <v>85</v>
      </c>
      <c r="I916" s="11" t="s">
        <v>96</v>
      </c>
      <c r="J916" s="11" t="s">
        <v>103</v>
      </c>
      <c r="K916" s="12">
        <v>1785.7</v>
      </c>
      <c r="L916" s="12">
        <v>1785.7</v>
      </c>
      <c r="M916" s="12">
        <v>0</v>
      </c>
      <c r="N916" s="12">
        <v>0</v>
      </c>
      <c r="O916" s="12">
        <v>1785.7</v>
      </c>
      <c r="P916" s="29">
        <v>20</v>
      </c>
    </row>
    <row r="917" spans="1:16" s="85" customFormat="1" ht="16.5" hidden="1" thickTop="1" thickBot="1" x14ac:dyDescent="0.3">
      <c r="A917" s="74" t="s">
        <v>111</v>
      </c>
      <c r="B917" s="25" t="s">
        <v>11</v>
      </c>
      <c r="C917" s="8" t="s">
        <v>60</v>
      </c>
      <c r="D917" s="7" t="s">
        <v>79</v>
      </c>
      <c r="E917" s="9" t="s">
        <v>65</v>
      </c>
      <c r="F917" s="10">
        <v>20</v>
      </c>
      <c r="G917" s="11" t="s">
        <v>94</v>
      </c>
      <c r="H917" s="7" t="s">
        <v>86</v>
      </c>
      <c r="I917" s="11" t="s">
        <v>15</v>
      </c>
      <c r="J917" s="11" t="s">
        <v>103</v>
      </c>
      <c r="K917" s="12">
        <v>7270.9</v>
      </c>
      <c r="L917" s="12">
        <f>K917</f>
        <v>7270.9</v>
      </c>
      <c r="M917" s="12">
        <v>0</v>
      </c>
      <c r="N917" s="12">
        <v>0</v>
      </c>
      <c r="O917" s="12">
        <v>1785.7</v>
      </c>
      <c r="P917" s="29">
        <v>20</v>
      </c>
    </row>
    <row r="918" spans="1:16" s="86" customFormat="1" ht="16.5" hidden="1" thickTop="1" thickBot="1" x14ac:dyDescent="0.3">
      <c r="A918" s="74" t="s">
        <v>111</v>
      </c>
      <c r="B918" s="64" t="s">
        <v>11</v>
      </c>
      <c r="C918" s="65" t="s">
        <v>60</v>
      </c>
      <c r="D918" s="66" t="s">
        <v>79</v>
      </c>
      <c r="E918" s="67" t="s">
        <v>64</v>
      </c>
      <c r="F918" s="68">
        <v>20</v>
      </c>
      <c r="G918" s="69" t="s">
        <v>94</v>
      </c>
      <c r="H918" s="66" t="s">
        <v>86</v>
      </c>
      <c r="I918" s="69" t="s">
        <v>7</v>
      </c>
      <c r="J918" s="69" t="s">
        <v>103</v>
      </c>
      <c r="K918" s="70">
        <v>27367.535</v>
      </c>
      <c r="L918" s="70">
        <v>27367.535</v>
      </c>
      <c r="M918" s="70">
        <v>0</v>
      </c>
      <c r="N918" s="70">
        <f>L918*14%</f>
        <v>3831.4549000000002</v>
      </c>
      <c r="O918" s="70">
        <v>22988.7294</v>
      </c>
      <c r="P918" s="71">
        <v>20</v>
      </c>
    </row>
    <row r="919" spans="1:16" s="85" customFormat="1" ht="16.5" hidden="1" thickTop="1" thickBot="1" x14ac:dyDescent="0.3">
      <c r="A919" s="74"/>
      <c r="B919" s="25" t="s">
        <v>22</v>
      </c>
      <c r="C919" s="8" t="s">
        <v>61</v>
      </c>
      <c r="D919" s="7" t="s">
        <v>79</v>
      </c>
      <c r="E919" s="9" t="s">
        <v>69</v>
      </c>
      <c r="F919" s="10">
        <v>20</v>
      </c>
      <c r="G919" s="13" t="s">
        <v>39</v>
      </c>
      <c r="H919" s="7" t="s">
        <v>83</v>
      </c>
      <c r="I919" s="11" t="s">
        <v>7</v>
      </c>
      <c r="J919" s="11" t="s">
        <v>80</v>
      </c>
      <c r="K919" s="12">
        <v>20673.5597797423</v>
      </c>
      <c r="L919" s="12">
        <v>12404.13586784538</v>
      </c>
      <c r="M919" s="12">
        <v>8269.4239118969199</v>
      </c>
      <c r="N919" s="12">
        <v>0</v>
      </c>
      <c r="O919" s="12">
        <v>20673.5597797423</v>
      </c>
      <c r="P919" s="29">
        <v>17</v>
      </c>
    </row>
    <row r="920" spans="1:16" s="85" customFormat="1" ht="16.5" hidden="1" thickTop="1" thickBot="1" x14ac:dyDescent="0.3">
      <c r="A920" s="74"/>
      <c r="B920" s="25" t="s">
        <v>22</v>
      </c>
      <c r="C920" s="8" t="s">
        <v>61</v>
      </c>
      <c r="D920" s="7" t="s">
        <v>79</v>
      </c>
      <c r="E920" s="9" t="s">
        <v>69</v>
      </c>
      <c r="F920" s="10">
        <v>20</v>
      </c>
      <c r="G920" s="13" t="s">
        <v>92</v>
      </c>
      <c r="H920" s="7" t="s">
        <v>83</v>
      </c>
      <c r="I920" s="11" t="s">
        <v>9</v>
      </c>
      <c r="J920" s="11" t="s">
        <v>80</v>
      </c>
      <c r="K920" s="12">
        <v>5071.55</v>
      </c>
      <c r="L920" s="12">
        <v>5071.55</v>
      </c>
      <c r="M920" s="12">
        <v>0</v>
      </c>
      <c r="N920" s="12">
        <v>0</v>
      </c>
      <c r="O920" s="12">
        <v>5071.55</v>
      </c>
      <c r="P920" s="29">
        <v>15</v>
      </c>
    </row>
    <row r="921" spans="1:16" s="85" customFormat="1" ht="16.5" hidden="1" thickTop="1" thickBot="1" x14ac:dyDescent="0.3">
      <c r="A921" s="74"/>
      <c r="B921" s="25" t="s">
        <v>22</v>
      </c>
      <c r="C921" s="8" t="s">
        <v>61</v>
      </c>
      <c r="D921" s="7" t="s">
        <v>79</v>
      </c>
      <c r="E921" s="9" t="s">
        <v>69</v>
      </c>
      <c r="F921" s="10">
        <v>1</v>
      </c>
      <c r="G921" s="11" t="s">
        <v>45</v>
      </c>
      <c r="H921" s="7" t="s">
        <v>91</v>
      </c>
      <c r="I921" s="11" t="s">
        <v>20</v>
      </c>
      <c r="J921" s="11" t="s">
        <v>105</v>
      </c>
      <c r="K921" s="12">
        <v>40617.404573265005</v>
      </c>
      <c r="L921" s="12">
        <v>24370.442743959004</v>
      </c>
      <c r="M921" s="12">
        <v>16246.961829306003</v>
      </c>
      <c r="N921" s="12">
        <v>1837.8916096500002</v>
      </c>
      <c r="O921" s="12">
        <v>38779.512963615001</v>
      </c>
      <c r="P921" s="29">
        <v>30</v>
      </c>
    </row>
    <row r="922" spans="1:16" s="85" customFormat="1" ht="16.5" hidden="1" thickTop="1" thickBot="1" x14ac:dyDescent="0.3">
      <c r="A922" s="74"/>
      <c r="B922" s="25" t="s">
        <v>22</v>
      </c>
      <c r="C922" s="8" t="s">
        <v>61</v>
      </c>
      <c r="D922" s="7" t="s">
        <v>79</v>
      </c>
      <c r="E922" s="9" t="s">
        <v>69</v>
      </c>
      <c r="F922" s="10">
        <v>1</v>
      </c>
      <c r="G922" s="11" t="s">
        <v>132</v>
      </c>
      <c r="H922" s="7" t="s">
        <v>88</v>
      </c>
      <c r="I922" s="11" t="s">
        <v>9</v>
      </c>
      <c r="J922" s="11" t="s">
        <v>105</v>
      </c>
      <c r="K922" s="146">
        <v>32347.05</v>
      </c>
      <c r="L922" s="12">
        <v>20032.10079</v>
      </c>
      <c r="M922" s="12">
        <v>13354.733860000002</v>
      </c>
      <c r="N922" s="12">
        <v>0</v>
      </c>
      <c r="O922" s="12">
        <v>33386.834650000004</v>
      </c>
      <c r="P922" s="29">
        <v>30</v>
      </c>
    </row>
    <row r="923" spans="1:16" s="85" customFormat="1" ht="16.5" hidden="1" thickTop="1" thickBot="1" x14ac:dyDescent="0.3">
      <c r="A923" s="74"/>
      <c r="B923" s="25" t="s">
        <v>22</v>
      </c>
      <c r="C923" s="8" t="s">
        <v>61</v>
      </c>
      <c r="D923" s="7" t="s">
        <v>79</v>
      </c>
      <c r="E923" s="9" t="s">
        <v>69</v>
      </c>
      <c r="F923" s="10">
        <v>1</v>
      </c>
      <c r="G923" s="11" t="s">
        <v>129</v>
      </c>
      <c r="H923" s="7" t="s">
        <v>85</v>
      </c>
      <c r="I923" s="11" t="s">
        <v>9</v>
      </c>
      <c r="J923" s="11" t="s">
        <v>105</v>
      </c>
      <c r="K923" s="146">
        <v>27726.03</v>
      </c>
      <c r="L923" s="12">
        <v>17170.36737</v>
      </c>
      <c r="M923" s="12">
        <v>11446.91158</v>
      </c>
      <c r="N923" s="12">
        <v>0</v>
      </c>
      <c r="O923" s="12">
        <v>28617.27895</v>
      </c>
      <c r="P923" s="29">
        <v>30</v>
      </c>
    </row>
    <row r="924" spans="1:16" s="85" customFormat="1" ht="16.5" hidden="1" thickTop="1" thickBot="1" x14ac:dyDescent="0.3">
      <c r="A924" s="74"/>
      <c r="B924" s="25" t="s">
        <v>22</v>
      </c>
      <c r="C924" s="8" t="s">
        <v>61</v>
      </c>
      <c r="D924" s="7" t="s">
        <v>79</v>
      </c>
      <c r="E924" s="9" t="s">
        <v>69</v>
      </c>
      <c r="F924" s="10">
        <v>1</v>
      </c>
      <c r="G924" s="11" t="s">
        <v>45</v>
      </c>
      <c r="H924" s="7" t="s">
        <v>91</v>
      </c>
      <c r="I924" s="11" t="s">
        <v>9</v>
      </c>
      <c r="J924" s="11" t="s">
        <v>105</v>
      </c>
      <c r="K924" s="146">
        <v>27726.04</v>
      </c>
      <c r="L924" s="12">
        <v>17170.369306623001</v>
      </c>
      <c r="M924" s="12">
        <v>11446.912871082</v>
      </c>
      <c r="N924" s="12">
        <v>1294.8996460500002</v>
      </c>
      <c r="O924" s="12">
        <v>27322.382531654999</v>
      </c>
      <c r="P924" s="29">
        <v>30</v>
      </c>
    </row>
    <row r="925" spans="1:16" s="85" customFormat="1" ht="16.5" hidden="1" thickTop="1" thickBot="1" x14ac:dyDescent="0.3">
      <c r="A925" s="74"/>
      <c r="B925" s="25" t="s">
        <v>22</v>
      </c>
      <c r="C925" s="8" t="s">
        <v>61</v>
      </c>
      <c r="D925" s="7" t="s">
        <v>79</v>
      </c>
      <c r="E925" s="9" t="s">
        <v>69</v>
      </c>
      <c r="F925" s="10">
        <v>1</v>
      </c>
      <c r="G925" s="11" t="s">
        <v>46</v>
      </c>
      <c r="H925" s="7" t="s">
        <v>85</v>
      </c>
      <c r="I925" s="11" t="s">
        <v>20</v>
      </c>
      <c r="J925" s="11" t="s">
        <v>105</v>
      </c>
      <c r="K925" s="12">
        <v>58492.355406029994</v>
      </c>
      <c r="L925" s="12">
        <v>35095.413243617993</v>
      </c>
      <c r="M925" s="12">
        <v>23396.942162412</v>
      </c>
      <c r="N925" s="12">
        <v>0</v>
      </c>
      <c r="O925" s="12">
        <v>58492.355406029994</v>
      </c>
      <c r="P925" s="29">
        <v>30</v>
      </c>
    </row>
    <row r="926" spans="1:16" s="85" customFormat="1" ht="16.5" hidden="1" thickTop="1" thickBot="1" x14ac:dyDescent="0.3">
      <c r="A926" s="74"/>
      <c r="B926" s="25" t="s">
        <v>22</v>
      </c>
      <c r="C926" s="8" t="s">
        <v>61</v>
      </c>
      <c r="D926" s="7" t="s">
        <v>79</v>
      </c>
      <c r="E926" s="9" t="s">
        <v>69</v>
      </c>
      <c r="F926" s="10">
        <v>1</v>
      </c>
      <c r="G926" s="11" t="s">
        <v>46</v>
      </c>
      <c r="H926" s="7" t="s">
        <v>85</v>
      </c>
      <c r="I926" s="11" t="s">
        <v>98</v>
      </c>
      <c r="J926" s="11" t="s">
        <v>105</v>
      </c>
      <c r="K926" s="12">
        <v>3457.8765000000003</v>
      </c>
      <c r="L926" s="12">
        <v>2074.7258999999999</v>
      </c>
      <c r="M926" s="12">
        <v>1383.1506000000002</v>
      </c>
      <c r="N926" s="12">
        <v>0</v>
      </c>
      <c r="O926" s="12">
        <v>3457.8765000000003</v>
      </c>
      <c r="P926" s="29">
        <v>30</v>
      </c>
    </row>
    <row r="927" spans="1:16" s="85" customFormat="1" ht="16.5" hidden="1" thickTop="1" thickBot="1" x14ac:dyDescent="0.3">
      <c r="A927" s="74"/>
      <c r="B927" s="25" t="s">
        <v>22</v>
      </c>
      <c r="C927" s="8" t="s">
        <v>61</v>
      </c>
      <c r="D927" s="7" t="s">
        <v>79</v>
      </c>
      <c r="E927" s="9" t="s">
        <v>69</v>
      </c>
      <c r="F927" s="10">
        <v>1</v>
      </c>
      <c r="G927" s="11" t="s">
        <v>46</v>
      </c>
      <c r="H927" s="7" t="s">
        <v>85</v>
      </c>
      <c r="I927" s="11" t="s">
        <v>9</v>
      </c>
      <c r="J927" s="11" t="s">
        <v>105</v>
      </c>
      <c r="K927" s="146">
        <v>41589.06</v>
      </c>
      <c r="L927" s="12">
        <v>25755.557417811004</v>
      </c>
      <c r="M927" s="12">
        <v>17170.371611874005</v>
      </c>
      <c r="N927" s="12">
        <v>0</v>
      </c>
      <c r="O927" s="12">
        <v>42925.929029685009</v>
      </c>
      <c r="P927" s="29">
        <v>30</v>
      </c>
    </row>
    <row r="928" spans="1:16" s="85" customFormat="1" ht="16.5" hidden="1" thickTop="1" thickBot="1" x14ac:dyDescent="0.3">
      <c r="A928" s="74"/>
      <c r="B928" s="25" t="s">
        <v>22</v>
      </c>
      <c r="C928" s="8" t="s">
        <v>61</v>
      </c>
      <c r="D928" s="7" t="s">
        <v>79</v>
      </c>
      <c r="E928" s="9" t="s">
        <v>69</v>
      </c>
      <c r="F928" s="10">
        <v>1</v>
      </c>
      <c r="G928" s="11" t="s">
        <v>46</v>
      </c>
      <c r="H928" s="7" t="s">
        <v>85</v>
      </c>
      <c r="I928" s="11" t="s">
        <v>97</v>
      </c>
      <c r="J928" s="11" t="s">
        <v>105</v>
      </c>
      <c r="K928" s="72">
        <v>32314.78</v>
      </c>
      <c r="L928" s="12">
        <v>4243.2</v>
      </c>
      <c r="M928" s="12">
        <v>2828.8</v>
      </c>
      <c r="N928" s="12">
        <v>0</v>
      </c>
      <c r="O928" s="12">
        <v>7072</v>
      </c>
      <c r="P928" s="29">
        <v>30</v>
      </c>
    </row>
    <row r="929" spans="1:17" s="85" customFormat="1" ht="16.5" hidden="1" thickTop="1" thickBot="1" x14ac:dyDescent="0.3">
      <c r="A929" s="74"/>
      <c r="B929" s="25" t="s">
        <v>22</v>
      </c>
      <c r="C929" s="8" t="s">
        <v>61</v>
      </c>
      <c r="D929" s="7" t="s">
        <v>79</v>
      </c>
      <c r="E929" s="9" t="s">
        <v>69</v>
      </c>
      <c r="F929" s="10">
        <v>1</v>
      </c>
      <c r="G929" s="11" t="s">
        <v>47</v>
      </c>
      <c r="H929" s="7" t="s">
        <v>85</v>
      </c>
      <c r="I929" s="11" t="s">
        <v>9</v>
      </c>
      <c r="J929" s="11" t="s">
        <v>105</v>
      </c>
      <c r="K929" s="146">
        <v>32314.78</v>
      </c>
      <c r="L929" s="12">
        <v>20012.736873869999</v>
      </c>
      <c r="M929" s="12">
        <v>13341.82458258</v>
      </c>
      <c r="N929" s="12">
        <v>0</v>
      </c>
      <c r="O929" s="12">
        <v>33354.561456449999</v>
      </c>
      <c r="P929" s="29">
        <v>30</v>
      </c>
    </row>
    <row r="930" spans="1:17" s="85" customFormat="1" ht="16.5" hidden="1" thickTop="1" thickBot="1" x14ac:dyDescent="0.3">
      <c r="A930" s="74"/>
      <c r="B930" s="25" t="s">
        <v>22</v>
      </c>
      <c r="C930" s="8" t="s">
        <v>61</v>
      </c>
      <c r="D930" s="7" t="s">
        <v>79</v>
      </c>
      <c r="E930" s="9" t="s">
        <v>69</v>
      </c>
      <c r="F930" s="10">
        <v>1</v>
      </c>
      <c r="G930" s="11" t="s">
        <v>48</v>
      </c>
      <c r="H930" s="7" t="s">
        <v>85</v>
      </c>
      <c r="I930" s="11" t="s">
        <v>9</v>
      </c>
      <c r="J930" s="11" t="s">
        <v>105</v>
      </c>
      <c r="K930" s="146">
        <v>23137.31</v>
      </c>
      <c r="L930" s="12">
        <v>14328.008655128999</v>
      </c>
      <c r="M930" s="12">
        <v>9552.0057700859998</v>
      </c>
      <c r="N930" s="12">
        <v>0</v>
      </c>
      <c r="O930" s="12">
        <v>23880.014425214998</v>
      </c>
      <c r="P930" s="29">
        <v>30</v>
      </c>
    </row>
    <row r="931" spans="1:17" s="85" customFormat="1" ht="16.5" hidden="1" thickTop="1" thickBot="1" x14ac:dyDescent="0.3">
      <c r="A931" s="74"/>
      <c r="B931" s="25" t="s">
        <v>22</v>
      </c>
      <c r="C931" s="8" t="s">
        <v>62</v>
      </c>
      <c r="D931" s="7" t="s">
        <v>79</v>
      </c>
      <c r="E931" s="9" t="s">
        <v>69</v>
      </c>
      <c r="F931" s="10">
        <v>10</v>
      </c>
      <c r="G931" s="13" t="s">
        <v>49</v>
      </c>
      <c r="H931" s="7" t="s">
        <v>85</v>
      </c>
      <c r="I931" s="11" t="s">
        <v>9</v>
      </c>
      <c r="J931" s="11" t="s">
        <v>105</v>
      </c>
      <c r="K931" s="12">
        <v>19227</v>
      </c>
      <c r="L931" s="12">
        <v>11536.199999999999</v>
      </c>
      <c r="M931" s="12">
        <v>7690.8</v>
      </c>
      <c r="N931" s="12">
        <v>0</v>
      </c>
      <c r="O931" s="12">
        <v>19227</v>
      </c>
      <c r="P931" s="29">
        <v>10</v>
      </c>
    </row>
    <row r="932" spans="1:17" s="85" customFormat="1" ht="16.5" hidden="1" thickTop="1" thickBot="1" x14ac:dyDescent="0.3">
      <c r="A932" s="74"/>
      <c r="B932" s="25" t="s">
        <v>22</v>
      </c>
      <c r="C932" s="8" t="s">
        <v>62</v>
      </c>
      <c r="D932" s="7" t="s">
        <v>79</v>
      </c>
      <c r="E932" s="9" t="s">
        <v>69</v>
      </c>
      <c r="F932" s="10">
        <v>10</v>
      </c>
      <c r="G932" s="13" t="s">
        <v>50</v>
      </c>
      <c r="H932" s="7" t="s">
        <v>85</v>
      </c>
      <c r="I932" s="11" t="s">
        <v>9</v>
      </c>
      <c r="J932" s="11" t="s">
        <v>105</v>
      </c>
      <c r="K932" s="12">
        <v>19227</v>
      </c>
      <c r="L932" s="12">
        <v>11536.199999999999</v>
      </c>
      <c r="M932" s="12">
        <v>7690.8</v>
      </c>
      <c r="N932" s="12">
        <v>0</v>
      </c>
      <c r="O932" s="12">
        <v>19227</v>
      </c>
      <c r="P932" s="29">
        <v>10</v>
      </c>
    </row>
    <row r="933" spans="1:17" s="85" customFormat="1" ht="16.5" hidden="1" thickTop="1" thickBot="1" x14ac:dyDescent="0.3">
      <c r="A933" s="74"/>
      <c r="B933" s="25" t="s">
        <v>11</v>
      </c>
      <c r="C933" s="8" t="s">
        <v>62</v>
      </c>
      <c r="D933" s="7" t="s">
        <v>79</v>
      </c>
      <c r="E933" s="9" t="s">
        <v>69</v>
      </c>
      <c r="F933" s="10">
        <v>16</v>
      </c>
      <c r="G933" s="13" t="s">
        <v>51</v>
      </c>
      <c r="H933" s="7" t="s">
        <v>83</v>
      </c>
      <c r="I933" s="11" t="s">
        <v>7</v>
      </c>
      <c r="J933" s="11" t="s">
        <v>80</v>
      </c>
      <c r="K933" s="12">
        <v>21132.94766324625</v>
      </c>
      <c r="L933" s="12">
        <v>21132.94766324625</v>
      </c>
      <c r="M933" s="12">
        <v>0</v>
      </c>
      <c r="N933" s="12">
        <f>L933*14%</f>
        <v>2958.6126728544755</v>
      </c>
      <c r="O933" s="12">
        <v>17751.67603712685</v>
      </c>
      <c r="P933" s="29">
        <v>30</v>
      </c>
    </row>
    <row r="934" spans="1:17" s="85" customFormat="1" ht="16.5" hidden="1" thickTop="1" thickBot="1" x14ac:dyDescent="0.3">
      <c r="A934" s="74"/>
      <c r="B934" s="25" t="s">
        <v>22</v>
      </c>
      <c r="C934" s="8" t="s">
        <v>62</v>
      </c>
      <c r="D934" s="7" t="s">
        <v>79</v>
      </c>
      <c r="E934" s="9" t="s">
        <v>69</v>
      </c>
      <c r="F934" s="10">
        <v>1</v>
      </c>
      <c r="G934" s="11" t="s">
        <v>54</v>
      </c>
      <c r="H934" s="7" t="s">
        <v>85</v>
      </c>
      <c r="I934" s="11" t="s">
        <v>20</v>
      </c>
      <c r="J934" s="11" t="s">
        <v>105</v>
      </c>
      <c r="K934" s="12">
        <v>40617.404573265005</v>
      </c>
      <c r="L934" s="12">
        <v>24370.442743959004</v>
      </c>
      <c r="M934" s="12">
        <v>16246.961829306003</v>
      </c>
      <c r="N934" s="12">
        <v>0</v>
      </c>
      <c r="O934" s="12">
        <v>40617.404573265005</v>
      </c>
      <c r="P934" s="29">
        <v>30</v>
      </c>
    </row>
    <row r="935" spans="1:17" s="85" customFormat="1" ht="16.5" hidden="1" thickTop="1" thickBot="1" x14ac:dyDescent="0.3">
      <c r="A935" s="74"/>
      <c r="B935" s="25" t="s">
        <v>22</v>
      </c>
      <c r="C935" s="8" t="s">
        <v>62</v>
      </c>
      <c r="D935" s="7" t="s">
        <v>79</v>
      </c>
      <c r="E935" s="9" t="s">
        <v>69</v>
      </c>
      <c r="F935" s="10">
        <v>1</v>
      </c>
      <c r="G935" s="11" t="s">
        <v>54</v>
      </c>
      <c r="H935" s="7" t="s">
        <v>85</v>
      </c>
      <c r="I935" s="11" t="s">
        <v>9</v>
      </c>
      <c r="J935" s="11" t="s">
        <v>105</v>
      </c>
      <c r="K935" s="146">
        <v>32314.78</v>
      </c>
      <c r="L935" s="12">
        <v>20012.736873869999</v>
      </c>
      <c r="M935" s="12">
        <v>13341.82458258</v>
      </c>
      <c r="N935" s="12">
        <v>0</v>
      </c>
      <c r="O935" s="12">
        <v>33354.561456449999</v>
      </c>
      <c r="P935" s="29">
        <v>30</v>
      </c>
    </row>
    <row r="936" spans="1:17" s="85" customFormat="1" ht="16.5" hidden="1" thickTop="1" thickBot="1" x14ac:dyDescent="0.3">
      <c r="A936" s="74"/>
      <c r="B936" s="25" t="s">
        <v>22</v>
      </c>
      <c r="C936" s="8" t="s">
        <v>62</v>
      </c>
      <c r="D936" s="7" t="s">
        <v>79</v>
      </c>
      <c r="E936" s="9" t="s">
        <v>69</v>
      </c>
      <c r="F936" s="10">
        <v>1</v>
      </c>
      <c r="G936" s="11" t="s">
        <v>55</v>
      </c>
      <c r="H936" s="7" t="s">
        <v>85</v>
      </c>
      <c r="I936" s="11" t="s">
        <v>20</v>
      </c>
      <c r="J936" s="11" t="s">
        <v>105</v>
      </c>
      <c r="K936" s="72">
        <v>23105.040000000001</v>
      </c>
      <c r="L936" s="12">
        <v>20888.893621439998</v>
      </c>
      <c r="M936" s="12">
        <v>13925.929080960001</v>
      </c>
      <c r="N936" s="12">
        <v>0</v>
      </c>
      <c r="O936" s="12">
        <v>34814.822702400001</v>
      </c>
      <c r="P936" s="29">
        <v>30</v>
      </c>
    </row>
    <row r="937" spans="1:17" s="85" customFormat="1" ht="16.5" hidden="1" thickTop="1" thickBot="1" x14ac:dyDescent="0.3">
      <c r="A937" s="74"/>
      <c r="B937" s="25" t="s">
        <v>22</v>
      </c>
      <c r="C937" s="8" t="s">
        <v>62</v>
      </c>
      <c r="D937" s="7" t="s">
        <v>79</v>
      </c>
      <c r="E937" s="9" t="s">
        <v>69</v>
      </c>
      <c r="F937" s="10">
        <v>1</v>
      </c>
      <c r="G937" s="11" t="s">
        <v>55</v>
      </c>
      <c r="H937" s="7" t="s">
        <v>85</v>
      </c>
      <c r="I937" s="11" t="s">
        <v>9</v>
      </c>
      <c r="J937" s="11" t="s">
        <v>105</v>
      </c>
      <c r="K937" s="146">
        <v>23105.040000000001</v>
      </c>
      <c r="L937" s="12">
        <v>14308.644546728998</v>
      </c>
      <c r="M937" s="12">
        <v>9539.0963644860003</v>
      </c>
      <c r="N937" s="12">
        <v>0</v>
      </c>
      <c r="O937" s="12">
        <v>23847.740911214998</v>
      </c>
      <c r="P937" s="29">
        <v>30</v>
      </c>
    </row>
    <row r="938" spans="1:17" s="85" customFormat="1" ht="16.5" hidden="1" thickTop="1" thickBot="1" x14ac:dyDescent="0.3">
      <c r="A938" s="74"/>
      <c r="B938" s="25" t="s">
        <v>22</v>
      </c>
      <c r="C938" s="8" t="s">
        <v>62</v>
      </c>
      <c r="D938" s="7" t="s">
        <v>79</v>
      </c>
      <c r="E938" s="9" t="s">
        <v>69</v>
      </c>
      <c r="F938" s="10">
        <v>1</v>
      </c>
      <c r="G938" s="11" t="s">
        <v>56</v>
      </c>
      <c r="H938" s="7" t="s">
        <v>85</v>
      </c>
      <c r="I938" s="11" t="s">
        <v>9</v>
      </c>
      <c r="J938" s="11" t="s">
        <v>105</v>
      </c>
      <c r="K938" s="146">
        <v>32347.05</v>
      </c>
      <c r="L938" s="12">
        <v>20032.10098227</v>
      </c>
      <c r="M938" s="12">
        <v>13354.73398818</v>
      </c>
      <c r="N938" s="12">
        <v>0</v>
      </c>
      <c r="O938" s="12">
        <v>33386.83497045</v>
      </c>
      <c r="P938" s="29">
        <v>30</v>
      </c>
    </row>
    <row r="939" spans="1:17" s="85" customFormat="1" ht="16.5" hidden="1" thickTop="1" thickBot="1" x14ac:dyDescent="0.3">
      <c r="A939" s="74"/>
      <c r="B939" s="25" t="s">
        <v>22</v>
      </c>
      <c r="C939" s="8" t="s">
        <v>62</v>
      </c>
      <c r="D939" s="7" t="s">
        <v>79</v>
      </c>
      <c r="E939" s="9" t="s">
        <v>69</v>
      </c>
      <c r="F939" s="10">
        <v>1</v>
      </c>
      <c r="G939" s="11" t="s">
        <v>57</v>
      </c>
      <c r="H939" s="7" t="s">
        <v>85</v>
      </c>
      <c r="I939" s="11" t="s">
        <v>9</v>
      </c>
      <c r="J939" s="11" t="s">
        <v>105</v>
      </c>
      <c r="K939" s="146">
        <v>32314.78</v>
      </c>
      <c r="L939" s="12">
        <v>20012.736873869999</v>
      </c>
      <c r="M939" s="12">
        <v>13341.82458258</v>
      </c>
      <c r="N939" s="12">
        <v>0</v>
      </c>
      <c r="O939" s="12">
        <v>33354.561456449999</v>
      </c>
      <c r="P939" s="29">
        <v>30</v>
      </c>
    </row>
    <row r="940" spans="1:17" s="85" customFormat="1" ht="16.5" hidden="1" thickTop="1" thickBot="1" x14ac:dyDescent="0.3">
      <c r="A940" s="74"/>
      <c r="B940" s="25" t="s">
        <v>22</v>
      </c>
      <c r="C940" s="8" t="s">
        <v>62</v>
      </c>
      <c r="D940" s="7" t="s">
        <v>79</v>
      </c>
      <c r="E940" s="9" t="s">
        <v>69</v>
      </c>
      <c r="F940" s="10">
        <v>1</v>
      </c>
      <c r="G940" s="11" t="s">
        <v>58</v>
      </c>
      <c r="H940" s="7" t="s">
        <v>85</v>
      </c>
      <c r="I940" s="11" t="s">
        <v>9</v>
      </c>
      <c r="J940" s="11" t="s">
        <v>105</v>
      </c>
      <c r="K940" s="146">
        <v>18484.02</v>
      </c>
      <c r="L940" s="12">
        <v>11446.912871081999</v>
      </c>
      <c r="M940" s="12">
        <v>7631.275247388</v>
      </c>
      <c r="N940" s="12">
        <v>0</v>
      </c>
      <c r="O940" s="12">
        <v>19078.18811847</v>
      </c>
      <c r="P940" s="29">
        <v>30</v>
      </c>
    </row>
    <row r="941" spans="1:17" s="85" customFormat="1" ht="16.5" hidden="1" thickTop="1" thickBot="1" x14ac:dyDescent="0.3">
      <c r="A941" s="74"/>
      <c r="B941" s="25" t="s">
        <v>22</v>
      </c>
      <c r="C941" s="8" t="s">
        <v>61</v>
      </c>
      <c r="D941" s="7" t="s">
        <v>79</v>
      </c>
      <c r="E941" s="9" t="s">
        <v>69</v>
      </c>
      <c r="F941" s="10">
        <v>20</v>
      </c>
      <c r="G941" s="13" t="s">
        <v>92</v>
      </c>
      <c r="H941" s="7" t="s">
        <v>83</v>
      </c>
      <c r="I941" s="11" t="s">
        <v>7</v>
      </c>
      <c r="J941" s="11" t="s">
        <v>80</v>
      </c>
      <c r="K941" s="12">
        <v>19890</v>
      </c>
      <c r="L941" s="12">
        <v>19890</v>
      </c>
      <c r="M941" s="12">
        <v>0</v>
      </c>
      <c r="N941" s="12">
        <v>0</v>
      </c>
      <c r="O941" s="12">
        <v>19890</v>
      </c>
      <c r="P941" s="29">
        <v>15</v>
      </c>
    </row>
    <row r="942" spans="1:17" s="85" customFormat="1" ht="16.5" hidden="1" thickTop="1" thickBot="1" x14ac:dyDescent="0.3">
      <c r="A942" s="74"/>
      <c r="B942" s="25" t="s">
        <v>13</v>
      </c>
      <c r="C942" s="8" t="s">
        <v>61</v>
      </c>
      <c r="D942" s="7" t="s">
        <v>79</v>
      </c>
      <c r="E942" s="9" t="s">
        <v>70</v>
      </c>
      <c r="F942" s="10">
        <v>20</v>
      </c>
      <c r="G942" s="13" t="s">
        <v>90</v>
      </c>
      <c r="H942" s="15" t="s">
        <v>83</v>
      </c>
      <c r="I942" s="14" t="s">
        <v>9</v>
      </c>
      <c r="J942" s="11" t="s">
        <v>103</v>
      </c>
      <c r="K942" s="12">
        <v>4536.0249999999996</v>
      </c>
      <c r="L942" s="12">
        <v>4536.0249999999996</v>
      </c>
      <c r="M942" s="12">
        <v>0</v>
      </c>
      <c r="N942" s="12">
        <f>L942*16%</f>
        <v>725.76400000000001</v>
      </c>
      <c r="O942" s="12">
        <v>3810.2609999999995</v>
      </c>
      <c r="P942" s="29">
        <v>10</v>
      </c>
    </row>
    <row r="943" spans="1:17" s="85" customFormat="1" ht="16.5" hidden="1" thickTop="1" thickBot="1" x14ac:dyDescent="0.3">
      <c r="A943" s="74"/>
      <c r="B943" s="25" t="s">
        <v>22</v>
      </c>
      <c r="C943" s="8" t="s">
        <v>25</v>
      </c>
      <c r="D943" s="7" t="s">
        <v>79</v>
      </c>
      <c r="E943" s="9" t="s">
        <v>70</v>
      </c>
      <c r="F943" s="10">
        <v>28</v>
      </c>
      <c r="G943" s="11" t="s">
        <v>135</v>
      </c>
      <c r="H943" s="7" t="s">
        <v>83</v>
      </c>
      <c r="I943" s="11" t="s">
        <v>7</v>
      </c>
      <c r="J943" s="11" t="s">
        <v>80</v>
      </c>
      <c r="K943" s="12">
        <v>17695.12745</v>
      </c>
      <c r="L943" s="12">
        <v>17695.12745</v>
      </c>
      <c r="M943" s="12">
        <v>0</v>
      </c>
      <c r="N943" s="12">
        <v>0</v>
      </c>
      <c r="O943" s="12">
        <v>17695.12745</v>
      </c>
      <c r="P943" s="29">
        <v>18</v>
      </c>
    </row>
    <row r="944" spans="1:17" s="85" customFormat="1" ht="16.5" hidden="1" thickTop="1" thickBot="1" x14ac:dyDescent="0.3">
      <c r="A944" s="74"/>
      <c r="B944" s="40" t="s">
        <v>5</v>
      </c>
      <c r="C944" s="41" t="s">
        <v>0</v>
      </c>
      <c r="D944" s="42" t="s">
        <v>79</v>
      </c>
      <c r="E944" s="9" t="s">
        <v>70</v>
      </c>
      <c r="F944" s="44">
        <v>8</v>
      </c>
      <c r="G944" s="45" t="s">
        <v>6</v>
      </c>
      <c r="H944" s="42" t="s">
        <v>85</v>
      </c>
      <c r="I944" s="45" t="s">
        <v>7</v>
      </c>
      <c r="J944" s="45" t="s">
        <v>103</v>
      </c>
      <c r="K944" s="12">
        <v>41245.995459655351</v>
      </c>
      <c r="L944" s="12">
        <v>41245.995459655351</v>
      </c>
      <c r="M944" s="12">
        <v>0</v>
      </c>
      <c r="N944" s="46">
        <v>1866.3346361835002</v>
      </c>
      <c r="O944" s="12">
        <v>39379.660823471851</v>
      </c>
      <c r="P944" s="47">
        <v>10</v>
      </c>
      <c r="Q944" s="85" t="s">
        <v>156</v>
      </c>
    </row>
    <row r="945" spans="1:17" s="85" customFormat="1" ht="16.5" hidden="1" thickTop="1" thickBot="1" x14ac:dyDescent="0.3">
      <c r="A945" s="74"/>
      <c r="B945" s="25" t="s">
        <v>11</v>
      </c>
      <c r="C945" s="8" t="s">
        <v>0</v>
      </c>
      <c r="D945" s="7" t="s">
        <v>79</v>
      </c>
      <c r="E945" s="9" t="s">
        <v>70</v>
      </c>
      <c r="F945" s="44">
        <v>8</v>
      </c>
      <c r="G945" s="11" t="s">
        <v>8</v>
      </c>
      <c r="H945" s="7" t="s">
        <v>85</v>
      </c>
      <c r="I945" s="11" t="s">
        <v>7</v>
      </c>
      <c r="J945" s="11" t="s">
        <v>103</v>
      </c>
      <c r="K945" s="12">
        <v>19327.518303502504</v>
      </c>
      <c r="L945" s="12">
        <v>19327.518303502504</v>
      </c>
      <c r="M945" s="12">
        <v>0</v>
      </c>
      <c r="N945" s="12">
        <v>874.54833952500019</v>
      </c>
      <c r="O945" s="12">
        <v>18452.969963977503</v>
      </c>
      <c r="P945" s="29">
        <v>10</v>
      </c>
      <c r="Q945" s="85" t="s">
        <v>156</v>
      </c>
    </row>
    <row r="946" spans="1:17" s="85" customFormat="1" ht="16.5" hidden="1" thickTop="1" thickBot="1" x14ac:dyDescent="0.3">
      <c r="A946" s="74"/>
      <c r="B946" s="25" t="s">
        <v>11</v>
      </c>
      <c r="C946" s="8" t="s">
        <v>0</v>
      </c>
      <c r="D946" s="7" t="s">
        <v>79</v>
      </c>
      <c r="E946" s="9" t="s">
        <v>70</v>
      </c>
      <c r="F946" s="44">
        <v>8</v>
      </c>
      <c r="G946" s="11" t="s">
        <v>8</v>
      </c>
      <c r="H946" s="7" t="s">
        <v>85</v>
      </c>
      <c r="I946" s="11" t="s">
        <v>97</v>
      </c>
      <c r="J946" s="11" t="s">
        <v>103</v>
      </c>
      <c r="K946" s="12">
        <v>19327.518303502504</v>
      </c>
      <c r="L946" s="12">
        <v>19327.518303502504</v>
      </c>
      <c r="M946" s="12">
        <v>0</v>
      </c>
      <c r="N946" s="12">
        <v>874.54833952500019</v>
      </c>
      <c r="O946" s="12">
        <v>18452.969963977503</v>
      </c>
      <c r="P946" s="29">
        <v>10</v>
      </c>
      <c r="Q946" s="85" t="s">
        <v>156</v>
      </c>
    </row>
    <row r="947" spans="1:17" s="85" customFormat="1" ht="16.5" hidden="1" thickTop="1" thickBot="1" x14ac:dyDescent="0.3">
      <c r="A947" s="74"/>
      <c r="B947" s="25" t="s">
        <v>183</v>
      </c>
      <c r="C947" s="8" t="s">
        <v>0</v>
      </c>
      <c r="D947" s="7" t="s">
        <v>79</v>
      </c>
      <c r="E947" s="9" t="s">
        <v>70</v>
      </c>
      <c r="F947" s="44">
        <v>8</v>
      </c>
      <c r="G947" s="11" t="s">
        <v>8</v>
      </c>
      <c r="H947" s="7" t="s">
        <v>85</v>
      </c>
      <c r="I947" s="11" t="s">
        <v>9</v>
      </c>
      <c r="J947" s="11" t="s">
        <v>103</v>
      </c>
      <c r="K947" s="12">
        <v>16926.608031693751</v>
      </c>
      <c r="L947" s="12">
        <v>16926.608031693751</v>
      </c>
      <c r="M947" s="12">
        <v>0</v>
      </c>
      <c r="N947" s="12">
        <v>765.90986568750009</v>
      </c>
      <c r="O947" s="12">
        <v>16160.698166006252</v>
      </c>
      <c r="P947" s="29">
        <v>10</v>
      </c>
      <c r="Q947" s="85" t="s">
        <v>156</v>
      </c>
    </row>
    <row r="948" spans="1:17" s="85" customFormat="1" ht="16.5" hidden="1" thickTop="1" thickBot="1" x14ac:dyDescent="0.3">
      <c r="A948" s="74"/>
      <c r="B948" s="25" t="s">
        <v>183</v>
      </c>
      <c r="C948" s="8" t="s">
        <v>0</v>
      </c>
      <c r="D948" s="7" t="s">
        <v>79</v>
      </c>
      <c r="E948" s="9" t="s">
        <v>70</v>
      </c>
      <c r="F948" s="44">
        <v>8</v>
      </c>
      <c r="G948" s="11" t="s">
        <v>8</v>
      </c>
      <c r="H948" s="7" t="s">
        <v>85</v>
      </c>
      <c r="I948" s="11" t="s">
        <v>15</v>
      </c>
      <c r="J948" s="11" t="s">
        <v>103</v>
      </c>
      <c r="K948" s="12">
        <v>14433.306181368749</v>
      </c>
      <c r="L948" s="12">
        <v>14433.306181368749</v>
      </c>
      <c r="M948" s="12">
        <v>0</v>
      </c>
      <c r="N948" s="12">
        <v>653.09077743750004</v>
      </c>
      <c r="O948" s="12">
        <v>13780.215403931248</v>
      </c>
      <c r="P948" s="29">
        <v>10</v>
      </c>
      <c r="Q948" s="85" t="s">
        <v>156</v>
      </c>
    </row>
    <row r="949" spans="1:17" s="85" customFormat="1" ht="16.5" hidden="1" thickTop="1" thickBot="1" x14ac:dyDescent="0.3">
      <c r="A949" s="74"/>
      <c r="B949" s="25" t="s">
        <v>10</v>
      </c>
      <c r="C949" s="8" t="s">
        <v>0</v>
      </c>
      <c r="D949" s="7" t="s">
        <v>79</v>
      </c>
      <c r="E949" s="9" t="s">
        <v>70</v>
      </c>
      <c r="F949" s="44">
        <v>8</v>
      </c>
      <c r="G949" s="11" t="s">
        <v>8</v>
      </c>
      <c r="H949" s="7" t="s">
        <v>85</v>
      </c>
      <c r="I949" s="11" t="s">
        <v>96</v>
      </c>
      <c r="J949" s="11" t="s">
        <v>103</v>
      </c>
      <c r="K949" s="12">
        <v>2000</v>
      </c>
      <c r="L949" s="12">
        <v>2000</v>
      </c>
      <c r="M949" s="12">
        <v>0</v>
      </c>
      <c r="N949" s="12">
        <v>0</v>
      </c>
      <c r="O949" s="12">
        <v>2000</v>
      </c>
      <c r="P949" s="29">
        <v>10</v>
      </c>
      <c r="Q949" s="85" t="s">
        <v>156</v>
      </c>
    </row>
    <row r="950" spans="1:17" s="85" customFormat="1" ht="16.5" hidden="1" thickTop="1" thickBot="1" x14ac:dyDescent="0.3">
      <c r="A950" s="74"/>
      <c r="B950" s="25" t="s">
        <v>10</v>
      </c>
      <c r="C950" s="8" t="s">
        <v>0</v>
      </c>
      <c r="D950" s="7" t="s">
        <v>79</v>
      </c>
      <c r="E950" s="9" t="s">
        <v>70</v>
      </c>
      <c r="F950" s="44">
        <v>8</v>
      </c>
      <c r="G950" s="11" t="s">
        <v>8</v>
      </c>
      <c r="H950" s="7" t="s">
        <v>85</v>
      </c>
      <c r="I950" s="11" t="s">
        <v>96</v>
      </c>
      <c r="J950" s="11" t="s">
        <v>103</v>
      </c>
      <c r="K950" s="12">
        <v>200</v>
      </c>
      <c r="L950" s="12">
        <v>200</v>
      </c>
      <c r="M950" s="12">
        <v>0</v>
      </c>
      <c r="N950" s="12">
        <v>0</v>
      </c>
      <c r="O950" s="12">
        <v>200</v>
      </c>
      <c r="P950" s="29">
        <v>10</v>
      </c>
      <c r="Q950" s="85" t="s">
        <v>156</v>
      </c>
    </row>
    <row r="951" spans="1:17" s="85" customFormat="1" ht="16.5" hidden="1" thickTop="1" thickBot="1" x14ac:dyDescent="0.3">
      <c r="A951" s="74"/>
      <c r="B951" s="25" t="s">
        <v>11</v>
      </c>
      <c r="C951" s="8" t="s">
        <v>0</v>
      </c>
      <c r="D951" s="7" t="s">
        <v>79</v>
      </c>
      <c r="E951" s="9" t="s">
        <v>70</v>
      </c>
      <c r="F951" s="10">
        <v>14</v>
      </c>
      <c r="G951" s="11" t="s">
        <v>139</v>
      </c>
      <c r="H951" s="7" t="s">
        <v>84</v>
      </c>
      <c r="I951" s="11" t="s">
        <v>7</v>
      </c>
      <c r="J951" s="11" t="s">
        <v>103</v>
      </c>
      <c r="K951" s="12">
        <v>16311.633340859998</v>
      </c>
      <c r="L951" s="12">
        <v>16311.633340859998</v>
      </c>
      <c r="M951" s="12">
        <v>0</v>
      </c>
      <c r="N951" s="12">
        <v>738.08295659999999</v>
      </c>
      <c r="O951" s="12">
        <v>15573.550384259999</v>
      </c>
      <c r="P951" s="29">
        <v>15</v>
      </c>
      <c r="Q951" s="85" t="s">
        <v>156</v>
      </c>
    </row>
    <row r="952" spans="1:17" s="85" customFormat="1" ht="16.5" hidden="1" thickTop="1" thickBot="1" x14ac:dyDescent="0.3">
      <c r="A952" s="74"/>
      <c r="B952" s="25" t="s">
        <v>13</v>
      </c>
      <c r="C952" s="8" t="s">
        <v>0</v>
      </c>
      <c r="D952" s="7" t="s">
        <v>79</v>
      </c>
      <c r="E952" s="9" t="s">
        <v>70</v>
      </c>
      <c r="F952" s="10">
        <v>14</v>
      </c>
      <c r="G952" s="11" t="s">
        <v>139</v>
      </c>
      <c r="H952" s="7" t="s">
        <v>84</v>
      </c>
      <c r="I952" s="11" t="s">
        <v>9</v>
      </c>
      <c r="J952" s="11" t="s">
        <v>103</v>
      </c>
      <c r="K952" s="12">
        <v>4158.1260499999999</v>
      </c>
      <c r="L952" s="12">
        <v>4158.1260499999999</v>
      </c>
      <c r="M952" s="12">
        <v>0</v>
      </c>
      <c r="N952" s="12">
        <v>188.15050000000002</v>
      </c>
      <c r="O952" s="12">
        <v>3969.9755499999997</v>
      </c>
      <c r="P952" s="29">
        <v>15</v>
      </c>
      <c r="Q952" s="85" t="s">
        <v>156</v>
      </c>
    </row>
    <row r="953" spans="1:17" s="85" customFormat="1" ht="16.5" hidden="1" thickTop="1" thickBot="1" x14ac:dyDescent="0.3">
      <c r="A953" s="74"/>
      <c r="B953" s="25" t="s">
        <v>13</v>
      </c>
      <c r="C953" s="8" t="s">
        <v>0</v>
      </c>
      <c r="D953" s="7" t="s">
        <v>79</v>
      </c>
      <c r="E953" s="9" t="s">
        <v>70</v>
      </c>
      <c r="F953" s="10">
        <v>14</v>
      </c>
      <c r="G953" s="11" t="s">
        <v>139</v>
      </c>
      <c r="H953" s="7" t="s">
        <v>84</v>
      </c>
      <c r="I953" s="11" t="s">
        <v>15</v>
      </c>
      <c r="J953" s="11" t="s">
        <v>103</v>
      </c>
      <c r="K953" s="12">
        <v>5282.5230083924998</v>
      </c>
      <c r="L953" s="12">
        <v>5282.5230083924998</v>
      </c>
      <c r="M953" s="12">
        <v>0</v>
      </c>
      <c r="N953" s="12">
        <v>239.02819042500002</v>
      </c>
      <c r="O953" s="12">
        <v>5043.4948179675002</v>
      </c>
      <c r="P953" s="29">
        <v>15</v>
      </c>
      <c r="Q953" s="85" t="s">
        <v>156</v>
      </c>
    </row>
    <row r="954" spans="1:17" s="85" customFormat="1" ht="16.5" hidden="1" thickTop="1" thickBot="1" x14ac:dyDescent="0.3">
      <c r="A954" s="74"/>
      <c r="B954" s="25" t="s">
        <v>10</v>
      </c>
      <c r="C954" s="8" t="s">
        <v>0</v>
      </c>
      <c r="D954" s="7" t="s">
        <v>79</v>
      </c>
      <c r="E954" s="9" t="s">
        <v>70</v>
      </c>
      <c r="F954" s="10">
        <v>14</v>
      </c>
      <c r="G954" s="11" t="s">
        <v>139</v>
      </c>
      <c r="H954" s="7" t="s">
        <v>84</v>
      </c>
      <c r="I954" s="11" t="s">
        <v>96</v>
      </c>
      <c r="J954" s="11" t="s">
        <v>103</v>
      </c>
      <c r="K954" s="12">
        <v>500</v>
      </c>
      <c r="L954" s="12">
        <v>500</v>
      </c>
      <c r="M954" s="12">
        <v>0</v>
      </c>
      <c r="N954" s="12">
        <v>0</v>
      </c>
      <c r="O954" s="12">
        <v>500</v>
      </c>
      <c r="P954" s="29">
        <v>15</v>
      </c>
      <c r="Q954" s="85" t="s">
        <v>156</v>
      </c>
    </row>
    <row r="955" spans="1:17" s="85" customFormat="1" ht="16.5" hidden="1" thickTop="1" thickBot="1" x14ac:dyDescent="0.3">
      <c r="A955" s="74"/>
      <c r="B955" s="25" t="s">
        <v>11</v>
      </c>
      <c r="C955" s="8" t="s">
        <v>0</v>
      </c>
      <c r="D955" s="7" t="s">
        <v>79</v>
      </c>
      <c r="E955" s="9" t="s">
        <v>70</v>
      </c>
      <c r="F955" s="10">
        <v>20</v>
      </c>
      <c r="G955" s="11" t="s">
        <v>16</v>
      </c>
      <c r="H955" s="7" t="s">
        <v>85</v>
      </c>
      <c r="I955" s="11" t="s">
        <v>7</v>
      </c>
      <c r="J955" s="11" t="s">
        <v>103</v>
      </c>
      <c r="K955" s="12">
        <v>17144.075000000001</v>
      </c>
      <c r="L955" s="12">
        <v>17144.075000000001</v>
      </c>
      <c r="M955" s="12">
        <v>0</v>
      </c>
      <c r="N955" s="12">
        <f>L955*14%</f>
        <v>2400.1705000000002</v>
      </c>
      <c r="O955" s="12">
        <v>14401.023000000001</v>
      </c>
      <c r="P955" s="29">
        <v>15</v>
      </c>
    </row>
    <row r="956" spans="1:17" s="85" customFormat="1" ht="16.5" hidden="1" thickTop="1" thickBot="1" x14ac:dyDescent="0.3">
      <c r="A956" s="74"/>
      <c r="B956" s="25" t="s">
        <v>13</v>
      </c>
      <c r="C956" s="8" t="s">
        <v>0</v>
      </c>
      <c r="D956" s="7" t="s">
        <v>79</v>
      </c>
      <c r="E956" s="9" t="s">
        <v>70</v>
      </c>
      <c r="F956" s="10">
        <v>20</v>
      </c>
      <c r="G956" s="11" t="s">
        <v>16</v>
      </c>
      <c r="H956" s="7" t="s">
        <v>85</v>
      </c>
      <c r="I956" s="11" t="s">
        <v>113</v>
      </c>
      <c r="J956" s="11" t="s">
        <v>103</v>
      </c>
      <c r="K956" s="12">
        <v>1657.5</v>
      </c>
      <c r="L956" s="12">
        <v>1657.5</v>
      </c>
      <c r="M956" s="12">
        <v>0</v>
      </c>
      <c r="N956" s="12">
        <f>L956*16%</f>
        <v>265.2</v>
      </c>
      <c r="O956" s="12">
        <v>1392.3</v>
      </c>
      <c r="P956" s="29">
        <v>15</v>
      </c>
    </row>
    <row r="957" spans="1:17" s="85" customFormat="1" ht="16.5" hidden="1" thickTop="1" thickBot="1" x14ac:dyDescent="0.3">
      <c r="A957" s="74"/>
      <c r="B957" s="25" t="s">
        <v>13</v>
      </c>
      <c r="C957" s="8" t="s">
        <v>0</v>
      </c>
      <c r="D957" s="7" t="s">
        <v>79</v>
      </c>
      <c r="E957" s="9" t="s">
        <v>70</v>
      </c>
      <c r="F957" s="10">
        <v>20</v>
      </c>
      <c r="G957" s="11" t="s">
        <v>16</v>
      </c>
      <c r="H957" s="7" t="s">
        <v>85</v>
      </c>
      <c r="I957" s="11" t="s">
        <v>9</v>
      </c>
      <c r="J957" s="11" t="s">
        <v>103</v>
      </c>
      <c r="K957" s="12">
        <v>8265.4</v>
      </c>
      <c r="L957" s="12">
        <v>8265.4</v>
      </c>
      <c r="M957" s="12">
        <v>0</v>
      </c>
      <c r="N957" s="12">
        <f>L957*16%</f>
        <v>1322.4639999999999</v>
      </c>
      <c r="O957" s="12">
        <v>6942.9359999999997</v>
      </c>
      <c r="P957" s="29">
        <v>15</v>
      </c>
    </row>
    <row r="958" spans="1:17" s="85" customFormat="1" ht="16.5" hidden="1" thickTop="1" thickBot="1" x14ac:dyDescent="0.3">
      <c r="A958" s="74"/>
      <c r="B958" s="25" t="s">
        <v>13</v>
      </c>
      <c r="C958" s="8" t="s">
        <v>0</v>
      </c>
      <c r="D958" s="7" t="s">
        <v>79</v>
      </c>
      <c r="E958" s="9" t="s">
        <v>70</v>
      </c>
      <c r="F958" s="10">
        <v>20</v>
      </c>
      <c r="G958" s="11" t="s">
        <v>16</v>
      </c>
      <c r="H958" s="7" t="s">
        <v>85</v>
      </c>
      <c r="I958" s="11" t="s">
        <v>15</v>
      </c>
      <c r="J958" s="11" t="s">
        <v>103</v>
      </c>
      <c r="K958" s="12">
        <v>7542.73</v>
      </c>
      <c r="L958" s="12">
        <v>7542.73</v>
      </c>
      <c r="M958" s="12">
        <v>0</v>
      </c>
      <c r="N958" s="12">
        <f>L958*16%</f>
        <v>1206.8368</v>
      </c>
      <c r="O958" s="12">
        <v>6335.8931999999995</v>
      </c>
      <c r="P958" s="29">
        <v>15</v>
      </c>
    </row>
    <row r="959" spans="1:17" s="85" customFormat="1" ht="16.5" hidden="1" thickTop="1" thickBot="1" x14ac:dyDescent="0.3">
      <c r="A959" s="74"/>
      <c r="B959" s="25" t="s">
        <v>13</v>
      </c>
      <c r="C959" s="8" t="s">
        <v>0</v>
      </c>
      <c r="D959" s="7" t="s">
        <v>79</v>
      </c>
      <c r="E959" s="9" t="s">
        <v>70</v>
      </c>
      <c r="F959" s="10">
        <v>10</v>
      </c>
      <c r="G959" s="11" t="s">
        <v>18</v>
      </c>
      <c r="H959" s="7" t="s">
        <v>85</v>
      </c>
      <c r="I959" s="11" t="s">
        <v>9</v>
      </c>
      <c r="J959" s="11" t="s">
        <v>103</v>
      </c>
      <c r="K959" s="12">
        <v>4589.40895335</v>
      </c>
      <c r="L959" s="12">
        <v>4589.40895335</v>
      </c>
      <c r="M959" s="12">
        <v>0</v>
      </c>
      <c r="N959" s="12">
        <v>207.66556350000002</v>
      </c>
      <c r="O959" s="12">
        <v>4381.7433898500003</v>
      </c>
      <c r="P959" s="29">
        <v>10</v>
      </c>
    </row>
    <row r="960" spans="1:17" s="85" customFormat="1" ht="16.5" hidden="1" thickTop="1" thickBot="1" x14ac:dyDescent="0.3">
      <c r="A960" s="74"/>
      <c r="B960" s="25" t="s">
        <v>11</v>
      </c>
      <c r="C960" s="8" t="s">
        <v>0</v>
      </c>
      <c r="D960" s="7" t="s">
        <v>147</v>
      </c>
      <c r="E960" s="9" t="s">
        <v>70</v>
      </c>
      <c r="F960" s="10">
        <v>20</v>
      </c>
      <c r="G960" s="11" t="s">
        <v>148</v>
      </c>
      <c r="H960" s="7" t="s">
        <v>83</v>
      </c>
      <c r="I960" s="11" t="s">
        <v>30</v>
      </c>
      <c r="J960" s="11" t="s">
        <v>80</v>
      </c>
      <c r="K960" s="12">
        <v>690</v>
      </c>
      <c r="L960" s="12">
        <v>690</v>
      </c>
      <c r="M960" s="12">
        <v>0</v>
      </c>
      <c r="N960" s="12">
        <v>34.5</v>
      </c>
      <c r="O960" s="12">
        <v>655.5</v>
      </c>
      <c r="P960" s="29">
        <v>7</v>
      </c>
    </row>
    <row r="961" spans="1:16" s="85" customFormat="1" ht="16.5" hidden="1" thickTop="1" thickBot="1" x14ac:dyDescent="0.3">
      <c r="A961" s="74"/>
      <c r="B961" s="25" t="s">
        <v>11</v>
      </c>
      <c r="C961" s="8" t="s">
        <v>0</v>
      </c>
      <c r="D961" s="7" t="s">
        <v>147</v>
      </c>
      <c r="E961" s="9" t="s">
        <v>70</v>
      </c>
      <c r="F961" s="10">
        <v>20</v>
      </c>
      <c r="G961" s="11" t="s">
        <v>149</v>
      </c>
      <c r="H961" s="7" t="s">
        <v>83</v>
      </c>
      <c r="I961" s="11" t="s">
        <v>30</v>
      </c>
      <c r="J961" s="11" t="s">
        <v>110</v>
      </c>
      <c r="K961" s="12">
        <v>690</v>
      </c>
      <c r="L961" s="12">
        <v>690</v>
      </c>
      <c r="M961" s="12">
        <v>0</v>
      </c>
      <c r="N961" s="12">
        <v>34.5</v>
      </c>
      <c r="O961" s="12">
        <v>655.5</v>
      </c>
      <c r="P961" s="29">
        <v>7</v>
      </c>
    </row>
    <row r="962" spans="1:16" s="85" customFormat="1" ht="16.5" hidden="1" thickTop="1" thickBot="1" x14ac:dyDescent="0.3">
      <c r="A962" s="74"/>
      <c r="B962" s="25" t="s">
        <v>11</v>
      </c>
      <c r="C962" s="8" t="s">
        <v>0</v>
      </c>
      <c r="D962" s="7" t="s">
        <v>147</v>
      </c>
      <c r="E962" s="9" t="s">
        <v>70</v>
      </c>
      <c r="F962" s="10">
        <v>20</v>
      </c>
      <c r="G962" s="11" t="s">
        <v>150</v>
      </c>
      <c r="H962" s="7" t="s">
        <v>83</v>
      </c>
      <c r="I962" s="11" t="s">
        <v>30</v>
      </c>
      <c r="J962" s="11" t="s">
        <v>110</v>
      </c>
      <c r="K962" s="12">
        <v>690</v>
      </c>
      <c r="L962" s="12">
        <v>690</v>
      </c>
      <c r="M962" s="12">
        <v>0</v>
      </c>
      <c r="N962" s="12">
        <v>34.5</v>
      </c>
      <c r="O962" s="12">
        <v>655.5</v>
      </c>
      <c r="P962" s="29">
        <v>7</v>
      </c>
    </row>
    <row r="963" spans="1:16" s="85" customFormat="1" ht="16.5" hidden="1" thickTop="1" thickBot="1" x14ac:dyDescent="0.3">
      <c r="A963" s="74"/>
      <c r="B963" s="25" t="s">
        <v>11</v>
      </c>
      <c r="C963" s="8" t="s">
        <v>0</v>
      </c>
      <c r="D963" s="7" t="s">
        <v>147</v>
      </c>
      <c r="E963" s="9" t="s">
        <v>70</v>
      </c>
      <c r="F963" s="10">
        <v>20</v>
      </c>
      <c r="G963" s="11" t="s">
        <v>151</v>
      </c>
      <c r="H963" s="7" t="s">
        <v>83</v>
      </c>
      <c r="I963" s="11" t="s">
        <v>30</v>
      </c>
      <c r="J963" s="11" t="s">
        <v>105</v>
      </c>
      <c r="K963" s="12">
        <v>690</v>
      </c>
      <c r="L963" s="12">
        <v>690</v>
      </c>
      <c r="M963" s="12">
        <v>0</v>
      </c>
      <c r="N963" s="12">
        <v>34.5</v>
      </c>
      <c r="O963" s="12">
        <v>655.5</v>
      </c>
      <c r="P963" s="29">
        <v>7</v>
      </c>
    </row>
    <row r="964" spans="1:16" s="85" customFormat="1" ht="16.5" hidden="1" thickTop="1" thickBot="1" x14ac:dyDescent="0.3">
      <c r="A964" s="74"/>
      <c r="B964" s="25" t="s">
        <v>11</v>
      </c>
      <c r="C964" s="8" t="s">
        <v>0</v>
      </c>
      <c r="D964" s="7" t="s">
        <v>147</v>
      </c>
      <c r="E964" s="9" t="s">
        <v>70</v>
      </c>
      <c r="F964" s="10">
        <v>20</v>
      </c>
      <c r="G964" s="11" t="s">
        <v>152</v>
      </c>
      <c r="H964" s="7" t="s">
        <v>83</v>
      </c>
      <c r="I964" s="11" t="s">
        <v>30</v>
      </c>
      <c r="J964" s="11" t="s">
        <v>105</v>
      </c>
      <c r="K964" s="12">
        <v>690</v>
      </c>
      <c r="L964" s="12">
        <v>690</v>
      </c>
      <c r="M964" s="12">
        <v>0</v>
      </c>
      <c r="N964" s="12">
        <v>34.5</v>
      </c>
      <c r="O964" s="12">
        <v>655.5</v>
      </c>
      <c r="P964" s="29">
        <v>7</v>
      </c>
    </row>
    <row r="965" spans="1:16" s="85" customFormat="1" ht="16.5" hidden="1" thickTop="1" thickBot="1" x14ac:dyDescent="0.3">
      <c r="A965" s="74"/>
      <c r="B965" s="25" t="s">
        <v>11</v>
      </c>
      <c r="C965" s="8" t="s">
        <v>62</v>
      </c>
      <c r="D965" s="7" t="s">
        <v>147</v>
      </c>
      <c r="E965" s="9" t="s">
        <v>70</v>
      </c>
      <c r="F965" s="10">
        <v>20</v>
      </c>
      <c r="G965" s="11" t="s">
        <v>49</v>
      </c>
      <c r="H965" s="7" t="s">
        <v>85</v>
      </c>
      <c r="I965" s="11" t="s">
        <v>30</v>
      </c>
      <c r="J965" s="11" t="s">
        <v>105</v>
      </c>
      <c r="K965" s="12">
        <v>1290</v>
      </c>
      <c r="L965" s="12">
        <v>1290</v>
      </c>
      <c r="M965" s="12">
        <v>0</v>
      </c>
      <c r="N965" s="12">
        <v>64.5</v>
      </c>
      <c r="O965" s="12">
        <v>1225.5</v>
      </c>
      <c r="P965" s="29">
        <v>7</v>
      </c>
    </row>
    <row r="966" spans="1:16" s="85" customFormat="1" ht="16.5" hidden="1" thickTop="1" thickBot="1" x14ac:dyDescent="0.3">
      <c r="A966" s="74"/>
      <c r="B966" s="25" t="s">
        <v>11</v>
      </c>
      <c r="C966" s="8" t="s">
        <v>62</v>
      </c>
      <c r="D966" s="7" t="s">
        <v>147</v>
      </c>
      <c r="E966" s="9" t="s">
        <v>70</v>
      </c>
      <c r="F966" s="10">
        <v>20</v>
      </c>
      <c r="G966" s="11" t="s">
        <v>50</v>
      </c>
      <c r="H966" s="7" t="s">
        <v>85</v>
      </c>
      <c r="I966" s="11" t="s">
        <v>30</v>
      </c>
      <c r="J966" s="11" t="s">
        <v>105</v>
      </c>
      <c r="K966" s="12">
        <v>690</v>
      </c>
      <c r="L966" s="12">
        <v>690</v>
      </c>
      <c r="M966" s="12">
        <v>0</v>
      </c>
      <c r="N966" s="12">
        <v>34.5</v>
      </c>
      <c r="O966" s="12">
        <v>655.5</v>
      </c>
      <c r="P966" s="29">
        <v>7</v>
      </c>
    </row>
    <row r="967" spans="1:16" s="85" customFormat="1" ht="16.5" hidden="1" thickTop="1" thickBot="1" x14ac:dyDescent="0.3">
      <c r="A967" s="74"/>
      <c r="B967" s="25" t="s">
        <v>11</v>
      </c>
      <c r="C967" s="8" t="s">
        <v>0</v>
      </c>
      <c r="D967" s="7" t="s">
        <v>147</v>
      </c>
      <c r="E967" s="9" t="s">
        <v>70</v>
      </c>
      <c r="F967" s="10">
        <v>20</v>
      </c>
      <c r="G967" s="11" t="s">
        <v>72</v>
      </c>
      <c r="H967" s="7" t="s">
        <v>83</v>
      </c>
      <c r="I967" s="11" t="s">
        <v>30</v>
      </c>
      <c r="J967" s="11" t="s">
        <v>109</v>
      </c>
      <c r="K967" s="12">
        <v>690</v>
      </c>
      <c r="L967" s="12">
        <v>690</v>
      </c>
      <c r="M967" s="12">
        <v>0</v>
      </c>
      <c r="N967" s="12">
        <v>34.5</v>
      </c>
      <c r="O967" s="12">
        <v>655.5</v>
      </c>
      <c r="P967" s="29">
        <v>7</v>
      </c>
    </row>
    <row r="968" spans="1:16" s="85" customFormat="1" ht="16.5" hidden="1" thickTop="1" thickBot="1" x14ac:dyDescent="0.3">
      <c r="A968" s="74"/>
      <c r="B968" s="25" t="s">
        <v>11</v>
      </c>
      <c r="C968" s="8" t="s">
        <v>0</v>
      </c>
      <c r="D968" s="7" t="s">
        <v>79</v>
      </c>
      <c r="E968" s="9" t="s">
        <v>70</v>
      </c>
      <c r="F968" s="10">
        <v>22</v>
      </c>
      <c r="G968" s="11" t="s">
        <v>24</v>
      </c>
      <c r="H968" s="7" t="s">
        <v>83</v>
      </c>
      <c r="I968" s="11" t="s">
        <v>7</v>
      </c>
      <c r="J968" s="11" t="s">
        <v>80</v>
      </c>
      <c r="K968" s="12">
        <v>61581.4</v>
      </c>
      <c r="L968" s="12">
        <f>K968</f>
        <v>61581.4</v>
      </c>
      <c r="M968" s="12">
        <v>0</v>
      </c>
      <c r="N968" s="12">
        <f>L968*14%</f>
        <v>8621.3960000000006</v>
      </c>
      <c r="O968" s="12">
        <f>L968-N968</f>
        <v>52960.004000000001</v>
      </c>
      <c r="P968" s="29">
        <v>12</v>
      </c>
    </row>
    <row r="969" spans="1:16" s="85" customFormat="1" ht="16.5" hidden="1" thickTop="1" thickBot="1" x14ac:dyDescent="0.3">
      <c r="A969" s="74"/>
      <c r="B969" s="25" t="s">
        <v>13</v>
      </c>
      <c r="C969" s="8" t="s">
        <v>0</v>
      </c>
      <c r="D969" s="7" t="s">
        <v>79</v>
      </c>
      <c r="E969" s="9" t="s">
        <v>70</v>
      </c>
      <c r="F969" s="10">
        <v>22</v>
      </c>
      <c r="G969" s="11" t="s">
        <v>24</v>
      </c>
      <c r="H969" s="7" t="s">
        <v>83</v>
      </c>
      <c r="I969" s="11" t="s">
        <v>9</v>
      </c>
      <c r="J969" s="11" t="s">
        <v>80</v>
      </c>
      <c r="K969" s="12">
        <v>12949</v>
      </c>
      <c r="L969" s="12">
        <f>K969</f>
        <v>12949</v>
      </c>
      <c r="M969" s="12">
        <v>0</v>
      </c>
      <c r="N969" s="12">
        <f>L969*16%</f>
        <v>2071.84</v>
      </c>
      <c r="O969" s="12">
        <f>L969-N969</f>
        <v>10877.16</v>
      </c>
      <c r="P969" s="29">
        <v>12</v>
      </c>
    </row>
    <row r="970" spans="1:16" s="85" customFormat="1" ht="16.5" hidden="1" thickTop="1" thickBot="1" x14ac:dyDescent="0.3">
      <c r="A970" s="74"/>
      <c r="B970" s="25" t="s">
        <v>10</v>
      </c>
      <c r="C970" s="8" t="s">
        <v>0</v>
      </c>
      <c r="D970" s="7" t="s">
        <v>79</v>
      </c>
      <c r="E970" s="9" t="s">
        <v>70</v>
      </c>
      <c r="F970" s="10">
        <v>22</v>
      </c>
      <c r="G970" s="11" t="s">
        <v>24</v>
      </c>
      <c r="H970" s="7" t="s">
        <v>83</v>
      </c>
      <c r="I970" s="11" t="s">
        <v>96</v>
      </c>
      <c r="J970" s="11" t="s">
        <v>80</v>
      </c>
      <c r="K970" s="12">
        <v>1500</v>
      </c>
      <c r="L970" s="12">
        <v>1500</v>
      </c>
      <c r="M970" s="12">
        <v>0</v>
      </c>
      <c r="N970" s="12">
        <v>0</v>
      </c>
      <c r="O970" s="12">
        <v>1500</v>
      </c>
      <c r="P970" s="29">
        <v>12</v>
      </c>
    </row>
    <row r="971" spans="1:16" s="85" customFormat="1" ht="16.5" hidden="1" thickTop="1" thickBot="1" x14ac:dyDescent="0.3">
      <c r="A971" s="74"/>
      <c r="B971" s="25" t="s">
        <v>5</v>
      </c>
      <c r="C971" s="8" t="s">
        <v>25</v>
      </c>
      <c r="D971" s="7" t="s">
        <v>79</v>
      </c>
      <c r="E971" s="9" t="s">
        <v>70</v>
      </c>
      <c r="F971" s="10">
        <v>5</v>
      </c>
      <c r="G971" s="11" t="s">
        <v>26</v>
      </c>
      <c r="H971" s="7" t="s">
        <v>83</v>
      </c>
      <c r="I971" s="11" t="s">
        <v>7</v>
      </c>
      <c r="J971" s="11" t="s">
        <v>80</v>
      </c>
      <c r="K971" s="12">
        <v>21868.658146266753</v>
      </c>
      <c r="L971" s="12">
        <f t="shared" ref="L971:L978" si="67">K971</f>
        <v>21868.658146266753</v>
      </c>
      <c r="M971" s="12">
        <v>0</v>
      </c>
      <c r="N971" s="12">
        <v>0</v>
      </c>
      <c r="O971" s="12">
        <v>21868.658146266753</v>
      </c>
      <c r="P971" s="29">
        <v>24</v>
      </c>
    </row>
    <row r="972" spans="1:16" s="85" customFormat="1" ht="16.5" hidden="1" thickTop="1" thickBot="1" x14ac:dyDescent="0.3">
      <c r="A972" s="74"/>
      <c r="B972" s="25" t="s">
        <v>5</v>
      </c>
      <c r="C972" s="8" t="s">
        <v>25</v>
      </c>
      <c r="D972" s="7" t="s">
        <v>79</v>
      </c>
      <c r="E972" s="9" t="s">
        <v>70</v>
      </c>
      <c r="F972" s="10">
        <v>5</v>
      </c>
      <c r="G972" s="11" t="s">
        <v>26</v>
      </c>
      <c r="H972" s="7" t="s">
        <v>83</v>
      </c>
      <c r="I972" s="11" t="s">
        <v>9</v>
      </c>
      <c r="J972" s="11" t="s">
        <v>80</v>
      </c>
      <c r="K972" s="12">
        <v>4791.7362231179995</v>
      </c>
      <c r="L972" s="12">
        <f t="shared" si="67"/>
        <v>4791.7362231179995</v>
      </c>
      <c r="M972" s="12">
        <v>0</v>
      </c>
      <c r="N972" s="12">
        <v>0</v>
      </c>
      <c r="O972" s="12">
        <v>4791.7362231179995</v>
      </c>
      <c r="P972" s="29">
        <v>24</v>
      </c>
    </row>
    <row r="973" spans="1:16" s="85" customFormat="1" ht="16.5" hidden="1" thickTop="1" thickBot="1" x14ac:dyDescent="0.3">
      <c r="A973" s="74"/>
      <c r="B973" s="25" t="s">
        <v>5</v>
      </c>
      <c r="C973" s="8" t="s">
        <v>25</v>
      </c>
      <c r="D973" s="7" t="s">
        <v>79</v>
      </c>
      <c r="E973" s="9" t="s">
        <v>70</v>
      </c>
      <c r="F973" s="10">
        <v>5</v>
      </c>
      <c r="G973" s="11" t="s">
        <v>27</v>
      </c>
      <c r="H973" s="7" t="s">
        <v>83</v>
      </c>
      <c r="I973" s="11" t="s">
        <v>141</v>
      </c>
      <c r="J973" s="11" t="s">
        <v>80</v>
      </c>
      <c r="K973" s="12">
        <v>6193.06</v>
      </c>
      <c r="L973" s="12">
        <f t="shared" si="67"/>
        <v>6193.06</v>
      </c>
      <c r="M973" s="12">
        <v>0</v>
      </c>
      <c r="N973" s="12">
        <v>0</v>
      </c>
      <c r="O973" s="12">
        <v>6193.06</v>
      </c>
      <c r="P973" s="29">
        <v>24</v>
      </c>
    </row>
    <row r="974" spans="1:16" s="85" customFormat="1" ht="16.5" hidden="1" thickTop="1" thickBot="1" x14ac:dyDescent="0.3">
      <c r="A974" s="74"/>
      <c r="B974" s="25" t="s">
        <v>5</v>
      </c>
      <c r="C974" s="8" t="s">
        <v>25</v>
      </c>
      <c r="D974" s="7" t="s">
        <v>79</v>
      </c>
      <c r="E974" s="9" t="s">
        <v>70</v>
      </c>
      <c r="F974" s="10">
        <v>5</v>
      </c>
      <c r="G974" s="11" t="s">
        <v>27</v>
      </c>
      <c r="H974" s="7" t="s">
        <v>83</v>
      </c>
      <c r="I974" s="11" t="s">
        <v>7</v>
      </c>
      <c r="J974" s="11" t="s">
        <v>80</v>
      </c>
      <c r="K974" s="12">
        <v>21868.658146266745</v>
      </c>
      <c r="L974" s="12">
        <f t="shared" si="67"/>
        <v>21868.658146266745</v>
      </c>
      <c r="M974" s="12">
        <v>0</v>
      </c>
      <c r="N974" s="12">
        <v>0</v>
      </c>
      <c r="O974" s="12">
        <v>21868.658146266745</v>
      </c>
      <c r="P974" s="29">
        <v>24</v>
      </c>
    </row>
    <row r="975" spans="1:16" s="85" customFormat="1" ht="16.5" hidden="1" thickTop="1" thickBot="1" x14ac:dyDescent="0.3">
      <c r="A975" s="74"/>
      <c r="B975" s="25" t="s">
        <v>5</v>
      </c>
      <c r="C975" s="8" t="s">
        <v>25</v>
      </c>
      <c r="D975" s="7" t="s">
        <v>79</v>
      </c>
      <c r="E975" s="9" t="s">
        <v>70</v>
      </c>
      <c r="F975" s="10">
        <v>5</v>
      </c>
      <c r="G975" s="11" t="s">
        <v>27</v>
      </c>
      <c r="H975" s="7" t="s">
        <v>83</v>
      </c>
      <c r="I975" s="11" t="s">
        <v>9</v>
      </c>
      <c r="J975" s="11" t="s">
        <v>80</v>
      </c>
      <c r="K975" s="12">
        <v>4791.7362231179995</v>
      </c>
      <c r="L975" s="12">
        <f t="shared" si="67"/>
        <v>4791.7362231179995</v>
      </c>
      <c r="M975" s="12">
        <v>0</v>
      </c>
      <c r="N975" s="12">
        <v>0</v>
      </c>
      <c r="O975" s="12">
        <v>4791.7362231179995</v>
      </c>
      <c r="P975" s="29">
        <v>24</v>
      </c>
    </row>
    <row r="976" spans="1:16" s="85" customFormat="1" ht="16.5" hidden="1" thickTop="1" thickBot="1" x14ac:dyDescent="0.3">
      <c r="A976" s="74"/>
      <c r="B976" s="25" t="s">
        <v>5</v>
      </c>
      <c r="C976" s="8" t="s">
        <v>25</v>
      </c>
      <c r="D976" s="7" t="s">
        <v>79</v>
      </c>
      <c r="E976" s="9" t="s">
        <v>70</v>
      </c>
      <c r="F976" s="10">
        <v>5</v>
      </c>
      <c r="G976" s="11" t="s">
        <v>27</v>
      </c>
      <c r="H976" s="7" t="s">
        <v>83</v>
      </c>
      <c r="I976" s="11" t="s">
        <v>113</v>
      </c>
      <c r="J976" s="11" t="s">
        <v>80</v>
      </c>
      <c r="K976" s="12">
        <v>2015.0660041200001</v>
      </c>
      <c r="L976" s="12">
        <f t="shared" si="67"/>
        <v>2015.0660041200001</v>
      </c>
      <c r="M976" s="12">
        <v>0</v>
      </c>
      <c r="N976" s="12">
        <v>0</v>
      </c>
      <c r="O976" s="12">
        <v>2015.0660041200001</v>
      </c>
      <c r="P976" s="29">
        <v>24</v>
      </c>
    </row>
    <row r="977" spans="1:16" s="85" customFormat="1" ht="16.5" hidden="1" thickTop="1" thickBot="1" x14ac:dyDescent="0.3">
      <c r="A977" s="74"/>
      <c r="B977" s="25" t="s">
        <v>11</v>
      </c>
      <c r="C977" s="8" t="s">
        <v>25</v>
      </c>
      <c r="D977" s="7" t="s">
        <v>79</v>
      </c>
      <c r="E977" s="9" t="s">
        <v>69</v>
      </c>
      <c r="F977" s="10">
        <v>20</v>
      </c>
      <c r="G977" s="11" t="s">
        <v>29</v>
      </c>
      <c r="H977" s="7" t="s">
        <v>83</v>
      </c>
      <c r="I977" s="11" t="s">
        <v>30</v>
      </c>
      <c r="J977" s="11" t="s">
        <v>80</v>
      </c>
      <c r="K977" s="12">
        <v>530</v>
      </c>
      <c r="L977" s="12">
        <f t="shared" si="67"/>
        <v>530</v>
      </c>
      <c r="M977" s="12">
        <v>0</v>
      </c>
      <c r="N977" s="12">
        <v>25</v>
      </c>
      <c r="O977" s="12">
        <v>475</v>
      </c>
      <c r="P977" s="29">
        <v>10</v>
      </c>
    </row>
    <row r="978" spans="1:16" s="85" customFormat="1" ht="16.5" hidden="1" thickTop="1" thickBot="1" x14ac:dyDescent="0.3">
      <c r="A978" s="74"/>
      <c r="B978" s="25" t="s">
        <v>11</v>
      </c>
      <c r="C978" s="8" t="s">
        <v>25</v>
      </c>
      <c r="D978" s="7" t="s">
        <v>79</v>
      </c>
      <c r="E978" s="9" t="s">
        <v>70</v>
      </c>
      <c r="F978" s="10">
        <v>20</v>
      </c>
      <c r="G978" s="11" t="s">
        <v>29</v>
      </c>
      <c r="H978" s="7" t="s">
        <v>83</v>
      </c>
      <c r="I978" s="11" t="s">
        <v>30</v>
      </c>
      <c r="J978" s="11" t="s">
        <v>80</v>
      </c>
      <c r="K978" s="12">
        <v>530</v>
      </c>
      <c r="L978" s="12">
        <f t="shared" si="67"/>
        <v>530</v>
      </c>
      <c r="M978" s="12">
        <v>0</v>
      </c>
      <c r="N978" s="12">
        <v>25</v>
      </c>
      <c r="O978" s="12">
        <v>475</v>
      </c>
      <c r="P978" s="29">
        <v>10</v>
      </c>
    </row>
    <row r="979" spans="1:16" s="85" customFormat="1" ht="16.5" hidden="1" thickTop="1" thickBot="1" x14ac:dyDescent="0.3">
      <c r="A979" s="74"/>
      <c r="B979" s="25" t="s">
        <v>11</v>
      </c>
      <c r="C979" s="8" t="s">
        <v>25</v>
      </c>
      <c r="D979" s="7" t="s">
        <v>79</v>
      </c>
      <c r="E979" s="9" t="s">
        <v>71</v>
      </c>
      <c r="F979" s="10">
        <v>20</v>
      </c>
      <c r="G979" s="11" t="s">
        <v>29</v>
      </c>
      <c r="H979" s="7" t="s">
        <v>83</v>
      </c>
      <c r="I979" s="11" t="s">
        <v>30</v>
      </c>
      <c r="J979" s="11" t="s">
        <v>80</v>
      </c>
      <c r="K979" s="12">
        <v>530</v>
      </c>
      <c r="L979" s="12">
        <v>530</v>
      </c>
      <c r="M979" s="12">
        <v>0</v>
      </c>
      <c r="N979" s="12">
        <v>25</v>
      </c>
      <c r="O979" s="12">
        <v>475</v>
      </c>
      <c r="P979" s="29">
        <v>10</v>
      </c>
    </row>
    <row r="980" spans="1:16" s="85" customFormat="1" ht="16.5" hidden="1" thickTop="1" thickBot="1" x14ac:dyDescent="0.3">
      <c r="A980" s="74"/>
      <c r="B980" s="25" t="s">
        <v>22</v>
      </c>
      <c r="C980" s="8" t="s">
        <v>25</v>
      </c>
      <c r="D980" s="7" t="s">
        <v>79</v>
      </c>
      <c r="E980" s="9" t="s">
        <v>70</v>
      </c>
      <c r="F980" s="10">
        <v>20</v>
      </c>
      <c r="G980" s="11" t="s">
        <v>29</v>
      </c>
      <c r="H980" s="7" t="s">
        <v>83</v>
      </c>
      <c r="I980" s="11" t="s">
        <v>9</v>
      </c>
      <c r="J980" s="11" t="s">
        <v>80</v>
      </c>
      <c r="K980" s="12">
        <v>8124.51</v>
      </c>
      <c r="L980" s="12">
        <f>K980</f>
        <v>8124.51</v>
      </c>
      <c r="M980" s="12">
        <v>0</v>
      </c>
      <c r="N980" s="12">
        <v>0</v>
      </c>
      <c r="O980" s="12">
        <v>2240.7039719999998</v>
      </c>
      <c r="P980" s="29">
        <v>10</v>
      </c>
    </row>
    <row r="981" spans="1:16" s="85" customFormat="1" ht="16.5" hidden="1" thickTop="1" thickBot="1" x14ac:dyDescent="0.3">
      <c r="A981" s="74"/>
      <c r="B981" s="25" t="s">
        <v>22</v>
      </c>
      <c r="C981" s="8" t="s">
        <v>25</v>
      </c>
      <c r="D981" s="7" t="s">
        <v>79</v>
      </c>
      <c r="E981" s="9" t="s">
        <v>70</v>
      </c>
      <c r="F981" s="10">
        <v>20</v>
      </c>
      <c r="G981" s="13" t="s">
        <v>31</v>
      </c>
      <c r="H981" s="7" t="s">
        <v>83</v>
      </c>
      <c r="I981" s="11" t="s">
        <v>7</v>
      </c>
      <c r="J981" s="11" t="s">
        <v>80</v>
      </c>
      <c r="K981" s="12">
        <v>19669</v>
      </c>
      <c r="L981" s="12">
        <v>19669</v>
      </c>
      <c r="M981" s="12">
        <v>0</v>
      </c>
      <c r="N981" s="12">
        <v>0</v>
      </c>
      <c r="O981" s="12">
        <v>19669</v>
      </c>
      <c r="P981" s="29">
        <v>30</v>
      </c>
    </row>
    <row r="982" spans="1:16" s="85" customFormat="1" ht="16.5" hidden="1" thickTop="1" thickBot="1" x14ac:dyDescent="0.3">
      <c r="A982" s="74"/>
      <c r="B982" s="25" t="s">
        <v>5</v>
      </c>
      <c r="C982" s="8" t="s">
        <v>25</v>
      </c>
      <c r="D982" s="7" t="s">
        <v>79</v>
      </c>
      <c r="E982" s="9" t="s">
        <v>70</v>
      </c>
      <c r="F982" s="10">
        <v>20</v>
      </c>
      <c r="G982" s="11" t="s">
        <v>32</v>
      </c>
      <c r="H982" s="7" t="s">
        <v>83</v>
      </c>
      <c r="I982" s="11" t="s">
        <v>7</v>
      </c>
      <c r="J982" s="11" t="s">
        <v>80</v>
      </c>
      <c r="K982" s="12">
        <v>21216.65</v>
      </c>
      <c r="L982" s="12">
        <v>21216.65</v>
      </c>
      <c r="M982" s="12">
        <v>0</v>
      </c>
      <c r="N982" s="12">
        <v>1008.00076721625</v>
      </c>
      <c r="O982" s="12">
        <v>20208.649232783751</v>
      </c>
      <c r="P982" s="29">
        <v>10</v>
      </c>
    </row>
    <row r="983" spans="1:16" s="85" customFormat="1" ht="16.5" hidden="1" thickTop="1" thickBot="1" x14ac:dyDescent="0.3">
      <c r="A983" s="74"/>
      <c r="B983" s="25" t="s">
        <v>5</v>
      </c>
      <c r="C983" s="8" t="s">
        <v>25</v>
      </c>
      <c r="D983" s="7" t="s">
        <v>79</v>
      </c>
      <c r="E983" s="9" t="s">
        <v>70</v>
      </c>
      <c r="F983" s="10">
        <v>20</v>
      </c>
      <c r="G983" s="11" t="s">
        <v>32</v>
      </c>
      <c r="H983" s="7" t="s">
        <v>83</v>
      </c>
      <c r="I983" s="11" t="s">
        <v>97</v>
      </c>
      <c r="J983" s="11" t="s">
        <v>80</v>
      </c>
      <c r="K983" s="12">
        <v>10578.83</v>
      </c>
      <c r="L983" s="12">
        <v>10578.83</v>
      </c>
      <c r="M983" s="12">
        <v>0</v>
      </c>
      <c r="N983" s="12">
        <v>502.66571759999999</v>
      </c>
      <c r="O983" s="12">
        <v>10076.164282399999</v>
      </c>
      <c r="P983" s="29">
        <v>10</v>
      </c>
    </row>
    <row r="984" spans="1:16" s="85" customFormat="1" ht="16.5" hidden="1" thickTop="1" thickBot="1" x14ac:dyDescent="0.3">
      <c r="A984" s="74"/>
      <c r="B984" s="25" t="s">
        <v>11</v>
      </c>
      <c r="C984" s="8" t="s">
        <v>25</v>
      </c>
      <c r="D984" s="7" t="s">
        <v>79</v>
      </c>
      <c r="E984" s="9" t="s">
        <v>70</v>
      </c>
      <c r="F984" s="10">
        <v>20</v>
      </c>
      <c r="G984" s="11" t="s">
        <v>32</v>
      </c>
      <c r="H984" s="7" t="s">
        <v>83</v>
      </c>
      <c r="I984" s="11" t="s">
        <v>30</v>
      </c>
      <c r="J984" s="11" t="s">
        <v>80</v>
      </c>
      <c r="K984" s="12">
        <v>230</v>
      </c>
      <c r="L984" s="12">
        <v>230</v>
      </c>
      <c r="M984" s="12">
        <v>0</v>
      </c>
      <c r="N984" s="12">
        <v>10</v>
      </c>
      <c r="O984" s="12">
        <v>190</v>
      </c>
      <c r="P984" s="29">
        <v>10</v>
      </c>
    </row>
    <row r="985" spans="1:16" s="85" customFormat="1" ht="16.5" hidden="1" thickTop="1" thickBot="1" x14ac:dyDescent="0.3">
      <c r="A985" s="74"/>
      <c r="B985" s="25" t="s">
        <v>5</v>
      </c>
      <c r="C985" s="8" t="s">
        <v>25</v>
      </c>
      <c r="D985" s="7" t="s">
        <v>79</v>
      </c>
      <c r="E985" s="9" t="s">
        <v>70</v>
      </c>
      <c r="F985" s="10">
        <v>20</v>
      </c>
      <c r="G985" s="11" t="s">
        <v>146</v>
      </c>
      <c r="H985" s="7" t="s">
        <v>83</v>
      </c>
      <c r="I985" s="11" t="s">
        <v>145</v>
      </c>
      <c r="J985" s="11" t="s">
        <v>80</v>
      </c>
      <c r="K985" s="12">
        <v>10637.82</v>
      </c>
      <c r="L985" s="12">
        <v>10637.82</v>
      </c>
      <c r="M985" s="12">
        <v>0</v>
      </c>
      <c r="N985" s="12">
        <v>505.32979499999999</v>
      </c>
      <c r="O985" s="12">
        <v>10132.490205</v>
      </c>
      <c r="P985" s="29">
        <v>10</v>
      </c>
    </row>
    <row r="986" spans="1:16" s="85" customFormat="1" ht="16.5" hidden="1" thickTop="1" thickBot="1" x14ac:dyDescent="0.3">
      <c r="A986" s="74"/>
      <c r="B986" s="25" t="s">
        <v>5</v>
      </c>
      <c r="C986" s="8" t="s">
        <v>25</v>
      </c>
      <c r="D986" s="7" t="s">
        <v>79</v>
      </c>
      <c r="E986" s="9" t="s">
        <v>70</v>
      </c>
      <c r="F986" s="10">
        <v>20</v>
      </c>
      <c r="G986" s="11" t="s">
        <v>146</v>
      </c>
      <c r="H986" s="7" t="s">
        <v>83</v>
      </c>
      <c r="I986" s="11" t="s">
        <v>7</v>
      </c>
      <c r="J986" s="11" t="s">
        <v>80</v>
      </c>
      <c r="K986" s="12">
        <v>10048.870000000001</v>
      </c>
      <c r="L986" s="12">
        <v>10048.870000000001</v>
      </c>
      <c r="M986" s="12">
        <v>0</v>
      </c>
      <c r="N986" s="12">
        <v>481.34</v>
      </c>
      <c r="O986" s="12">
        <v>9567.5300000000007</v>
      </c>
      <c r="P986" s="29">
        <v>10</v>
      </c>
    </row>
    <row r="987" spans="1:16" s="85" customFormat="1" ht="16.5" hidden="1" thickTop="1" thickBot="1" x14ac:dyDescent="0.3">
      <c r="A987" s="74"/>
      <c r="B987" s="25" t="s">
        <v>5</v>
      </c>
      <c r="C987" s="8" t="s">
        <v>25</v>
      </c>
      <c r="D987" s="7" t="s">
        <v>79</v>
      </c>
      <c r="E987" s="9" t="s">
        <v>70</v>
      </c>
      <c r="F987" s="10">
        <v>20</v>
      </c>
      <c r="G987" s="11" t="s">
        <v>32</v>
      </c>
      <c r="H987" s="7" t="s">
        <v>83</v>
      </c>
      <c r="I987" s="11" t="s">
        <v>98</v>
      </c>
      <c r="J987" s="11" t="s">
        <v>80</v>
      </c>
      <c r="K987" s="12">
        <v>14293.174999999999</v>
      </c>
      <c r="L987" s="12">
        <v>14293.174999999999</v>
      </c>
      <c r="M987" s="12">
        <v>0</v>
      </c>
      <c r="N987" s="12">
        <v>646.75</v>
      </c>
      <c r="O987" s="12">
        <v>13646.424999999999</v>
      </c>
      <c r="P987" s="29">
        <v>10</v>
      </c>
    </row>
    <row r="988" spans="1:16" s="85" customFormat="1" ht="16.5" hidden="1" thickTop="1" thickBot="1" x14ac:dyDescent="0.3">
      <c r="A988" s="74"/>
      <c r="B988" s="25" t="s">
        <v>10</v>
      </c>
      <c r="C988" s="8" t="s">
        <v>25</v>
      </c>
      <c r="D988" s="7" t="s">
        <v>79</v>
      </c>
      <c r="E988" s="9" t="s">
        <v>70</v>
      </c>
      <c r="F988" s="10">
        <v>20</v>
      </c>
      <c r="G988" s="11" t="s">
        <v>32</v>
      </c>
      <c r="H988" s="7" t="s">
        <v>83</v>
      </c>
      <c r="I988" s="11" t="s">
        <v>96</v>
      </c>
      <c r="J988" s="11" t="s">
        <v>80</v>
      </c>
      <c r="K988" s="12">
        <v>2000</v>
      </c>
      <c r="L988" s="12">
        <v>2000</v>
      </c>
      <c r="M988" s="12">
        <v>0</v>
      </c>
      <c r="N988" s="12">
        <v>0</v>
      </c>
      <c r="O988" s="12">
        <v>2000</v>
      </c>
      <c r="P988" s="29">
        <v>10</v>
      </c>
    </row>
    <row r="989" spans="1:16" s="85" customFormat="1" ht="16.5" hidden="1" thickTop="1" thickBot="1" x14ac:dyDescent="0.3">
      <c r="A989" s="74"/>
      <c r="B989" s="25" t="s">
        <v>11</v>
      </c>
      <c r="C989" s="8" t="s">
        <v>25</v>
      </c>
      <c r="D989" s="7" t="s">
        <v>79</v>
      </c>
      <c r="E989" s="9" t="s">
        <v>70</v>
      </c>
      <c r="F989" s="10">
        <v>15</v>
      </c>
      <c r="G989" s="11" t="s">
        <v>33</v>
      </c>
      <c r="H989" s="7" t="s">
        <v>83</v>
      </c>
      <c r="I989" s="11" t="s">
        <v>7</v>
      </c>
      <c r="J989" s="11" t="s">
        <v>80</v>
      </c>
      <c r="K989" s="12">
        <v>22528.080000000002</v>
      </c>
      <c r="L989" s="12">
        <f>K989</f>
        <v>22528.080000000002</v>
      </c>
      <c r="M989" s="12">
        <v>0</v>
      </c>
      <c r="N989" s="12">
        <f>L989*14%</f>
        <v>3153.9312000000004</v>
      </c>
      <c r="O989" s="12">
        <v>18925.236875999999</v>
      </c>
      <c r="P989" s="29">
        <v>30</v>
      </c>
    </row>
    <row r="990" spans="1:16" s="85" customFormat="1" ht="16.5" hidden="1" thickTop="1" thickBot="1" x14ac:dyDescent="0.3">
      <c r="A990" s="74"/>
      <c r="B990" s="25" t="s">
        <v>22</v>
      </c>
      <c r="C990" s="8" t="s">
        <v>25</v>
      </c>
      <c r="D990" s="7" t="s">
        <v>79</v>
      </c>
      <c r="E990" s="9" t="s">
        <v>70</v>
      </c>
      <c r="F990" s="10">
        <v>15</v>
      </c>
      <c r="G990" s="11" t="s">
        <v>120</v>
      </c>
      <c r="H990" s="7" t="s">
        <v>83</v>
      </c>
      <c r="I990" s="11" t="s">
        <v>9</v>
      </c>
      <c r="J990" s="11" t="s">
        <v>80</v>
      </c>
      <c r="K990" s="12">
        <v>4285.72</v>
      </c>
      <c r="L990" s="12">
        <v>4286.7038499999999</v>
      </c>
      <c r="M990" s="12">
        <v>0</v>
      </c>
      <c r="N990" s="12">
        <v>0</v>
      </c>
      <c r="O990" s="12">
        <v>4286.7038499999999</v>
      </c>
      <c r="P990" s="29">
        <v>30</v>
      </c>
    </row>
    <row r="991" spans="1:16" s="85" customFormat="1" ht="16.5" hidden="1" thickTop="1" thickBot="1" x14ac:dyDescent="0.3">
      <c r="A991" s="74"/>
      <c r="B991" s="25" t="s">
        <v>22</v>
      </c>
      <c r="C991" s="8" t="s">
        <v>25</v>
      </c>
      <c r="D991" s="7" t="s">
        <v>79</v>
      </c>
      <c r="E991" s="9" t="s">
        <v>70</v>
      </c>
      <c r="F991" s="10">
        <v>15</v>
      </c>
      <c r="G991" s="11" t="s">
        <v>33</v>
      </c>
      <c r="H991" s="7" t="s">
        <v>83</v>
      </c>
      <c r="I991" s="11" t="s">
        <v>9</v>
      </c>
      <c r="J991" s="11" t="s">
        <v>80</v>
      </c>
      <c r="K991" s="12">
        <v>8571.4500000000007</v>
      </c>
      <c r="L991" s="12">
        <v>8573.4076999999997</v>
      </c>
      <c r="M991" s="12">
        <v>0</v>
      </c>
      <c r="N991" s="12">
        <v>0</v>
      </c>
      <c r="O991" s="12">
        <v>8573.4076999999997</v>
      </c>
      <c r="P991" s="29">
        <v>30</v>
      </c>
    </row>
    <row r="992" spans="1:16" s="85" customFormat="1" ht="16.5" hidden="1" thickTop="1" thickBot="1" x14ac:dyDescent="0.3">
      <c r="A992" s="51"/>
      <c r="B992" s="25" t="s">
        <v>11</v>
      </c>
      <c r="C992" s="8" t="s">
        <v>25</v>
      </c>
      <c r="D992" s="7" t="s">
        <v>79</v>
      </c>
      <c r="E992" s="9" t="s">
        <v>69</v>
      </c>
      <c r="F992" s="10">
        <v>15</v>
      </c>
      <c r="G992" s="11" t="s">
        <v>33</v>
      </c>
      <c r="H992" s="7" t="s">
        <v>83</v>
      </c>
      <c r="I992" s="11" t="s">
        <v>30</v>
      </c>
      <c r="J992" s="11" t="s">
        <v>80</v>
      </c>
      <c r="K992" s="12">
        <v>200</v>
      </c>
      <c r="L992" s="12">
        <f>K992</f>
        <v>200</v>
      </c>
      <c r="M992" s="12">
        <v>0</v>
      </c>
      <c r="N992" s="12">
        <v>10</v>
      </c>
      <c r="O992" s="12">
        <v>190</v>
      </c>
      <c r="P992" s="29">
        <v>30</v>
      </c>
    </row>
    <row r="993" spans="1:16" s="85" customFormat="1" ht="16.5" hidden="1" thickTop="1" thickBot="1" x14ac:dyDescent="0.3">
      <c r="A993" s="51"/>
      <c r="B993" s="25" t="s">
        <v>11</v>
      </c>
      <c r="C993" s="8" t="s">
        <v>25</v>
      </c>
      <c r="D993" s="7" t="s">
        <v>79</v>
      </c>
      <c r="E993" s="9" t="s">
        <v>71</v>
      </c>
      <c r="F993" s="10">
        <v>15</v>
      </c>
      <c r="G993" s="11" t="s">
        <v>33</v>
      </c>
      <c r="H993" s="7" t="s">
        <v>83</v>
      </c>
      <c r="I993" s="11" t="s">
        <v>30</v>
      </c>
      <c r="J993" s="11" t="s">
        <v>80</v>
      </c>
      <c r="K993" s="12">
        <v>200</v>
      </c>
      <c r="L993" s="12">
        <f>K993</f>
        <v>200</v>
      </c>
      <c r="M993" s="12">
        <v>0</v>
      </c>
      <c r="N993" s="12">
        <v>10</v>
      </c>
      <c r="O993" s="12">
        <v>190</v>
      </c>
      <c r="P993" s="29">
        <v>30</v>
      </c>
    </row>
    <row r="994" spans="1:16" s="85" customFormat="1" ht="16.5" hidden="1" thickTop="1" thickBot="1" x14ac:dyDescent="0.3">
      <c r="A994" s="74"/>
      <c r="B994" s="25" t="s">
        <v>11</v>
      </c>
      <c r="C994" s="8" t="s">
        <v>25</v>
      </c>
      <c r="D994" s="7" t="s">
        <v>79</v>
      </c>
      <c r="E994" s="9" t="s">
        <v>70</v>
      </c>
      <c r="F994" s="10">
        <v>15</v>
      </c>
      <c r="G994" s="11" t="s">
        <v>33</v>
      </c>
      <c r="H994" s="7" t="s">
        <v>83</v>
      </c>
      <c r="I994" s="11" t="s">
        <v>30</v>
      </c>
      <c r="J994" s="11" t="s">
        <v>80</v>
      </c>
      <c r="K994" s="12">
        <v>200</v>
      </c>
      <c r="L994" s="12">
        <v>230</v>
      </c>
      <c r="M994" s="12">
        <v>0</v>
      </c>
      <c r="N994" s="12">
        <v>10</v>
      </c>
      <c r="O994" s="12">
        <v>190</v>
      </c>
      <c r="P994" s="29">
        <v>30</v>
      </c>
    </row>
    <row r="995" spans="1:16" s="85" customFormat="1" ht="16.5" hidden="1" thickTop="1" thickBot="1" x14ac:dyDescent="0.3">
      <c r="A995" s="74"/>
      <c r="B995" s="25" t="s">
        <v>22</v>
      </c>
      <c r="C995" s="8" t="s">
        <v>60</v>
      </c>
      <c r="D995" s="7" t="s">
        <v>79</v>
      </c>
      <c r="E995" s="9" t="s">
        <v>70</v>
      </c>
      <c r="F995" s="10">
        <v>1</v>
      </c>
      <c r="G995" s="11" t="s">
        <v>34</v>
      </c>
      <c r="H995" s="7" t="s">
        <v>87</v>
      </c>
      <c r="I995" s="11" t="s">
        <v>20</v>
      </c>
      <c r="J995" s="11" t="s">
        <v>105</v>
      </c>
      <c r="K995" s="12">
        <v>40851.191603430001</v>
      </c>
      <c r="L995" s="12">
        <v>24510.714962057998</v>
      </c>
      <c r="M995" s="12">
        <v>16340.476641372001</v>
      </c>
      <c r="N995" s="12">
        <v>0</v>
      </c>
      <c r="O995" s="12">
        <v>40851.191603430001</v>
      </c>
      <c r="P995" s="29">
        <v>30</v>
      </c>
    </row>
    <row r="996" spans="1:16" s="85" customFormat="1" ht="16.5" hidden="1" thickTop="1" thickBot="1" x14ac:dyDescent="0.3">
      <c r="A996" s="74"/>
      <c r="B996" s="25" t="s">
        <v>22</v>
      </c>
      <c r="C996" s="8" t="s">
        <v>60</v>
      </c>
      <c r="D996" s="7" t="s">
        <v>79</v>
      </c>
      <c r="E996" s="9" t="s">
        <v>70</v>
      </c>
      <c r="F996" s="10">
        <v>1</v>
      </c>
      <c r="G996" s="11" t="s">
        <v>34</v>
      </c>
      <c r="H996" s="7" t="s">
        <v>87</v>
      </c>
      <c r="I996" s="11" t="s">
        <v>9</v>
      </c>
      <c r="J996" s="11" t="s">
        <v>105</v>
      </c>
      <c r="K996" s="146">
        <v>32314.78</v>
      </c>
      <c r="L996" s="12">
        <v>20012.736873869999</v>
      </c>
      <c r="M996" s="12">
        <v>13341.82458258</v>
      </c>
      <c r="N996" s="12">
        <v>0</v>
      </c>
      <c r="O996" s="12">
        <v>33354.561456449999</v>
      </c>
      <c r="P996" s="29">
        <v>30</v>
      </c>
    </row>
    <row r="997" spans="1:16" s="85" customFormat="1" ht="16.5" hidden="1" thickTop="1" thickBot="1" x14ac:dyDescent="0.3">
      <c r="A997" s="74"/>
      <c r="B997" s="25" t="s">
        <v>22</v>
      </c>
      <c r="C997" s="8" t="s">
        <v>60</v>
      </c>
      <c r="D997" s="7" t="s">
        <v>79</v>
      </c>
      <c r="E997" s="9" t="s">
        <v>70</v>
      </c>
      <c r="F997" s="10">
        <v>1</v>
      </c>
      <c r="G997" s="11" t="s">
        <v>35</v>
      </c>
      <c r="H997" s="7" t="s">
        <v>83</v>
      </c>
      <c r="I997" s="11" t="s">
        <v>9</v>
      </c>
      <c r="J997" s="11" t="s">
        <v>105</v>
      </c>
      <c r="K997" s="146">
        <v>23105.040000000001</v>
      </c>
      <c r="L997" s="12">
        <v>14308.644546728998</v>
      </c>
      <c r="M997" s="12">
        <v>9539.0963644860003</v>
      </c>
      <c r="N997" s="12">
        <v>0</v>
      </c>
      <c r="O997" s="12">
        <v>23847.740911214998</v>
      </c>
      <c r="P997" s="29">
        <v>30</v>
      </c>
    </row>
    <row r="998" spans="1:16" s="85" customFormat="1" ht="16.5" hidden="1" thickTop="1" thickBot="1" x14ac:dyDescent="0.3">
      <c r="A998" s="74"/>
      <c r="B998" s="25" t="s">
        <v>22</v>
      </c>
      <c r="C998" s="8" t="s">
        <v>60</v>
      </c>
      <c r="D998" s="7" t="s">
        <v>79</v>
      </c>
      <c r="E998" s="9" t="s">
        <v>70</v>
      </c>
      <c r="F998" s="10">
        <v>1</v>
      </c>
      <c r="G998" s="11" t="s">
        <v>36</v>
      </c>
      <c r="H998" s="7" t="s">
        <v>89</v>
      </c>
      <c r="I998" s="11" t="s">
        <v>20</v>
      </c>
      <c r="J998" s="11" t="s">
        <v>105</v>
      </c>
      <c r="K998" s="12">
        <v>40851.191603430001</v>
      </c>
      <c r="L998" s="12">
        <v>24510.714962057998</v>
      </c>
      <c r="M998" s="12">
        <v>16340.476641372001</v>
      </c>
      <c r="N998" s="12">
        <v>0</v>
      </c>
      <c r="O998" s="12">
        <v>40851.191603430001</v>
      </c>
      <c r="P998" s="29">
        <v>30</v>
      </c>
    </row>
    <row r="999" spans="1:16" s="85" customFormat="1" ht="16.5" hidden="1" thickTop="1" thickBot="1" x14ac:dyDescent="0.3">
      <c r="A999" s="74"/>
      <c r="B999" s="25" t="s">
        <v>22</v>
      </c>
      <c r="C999" s="8" t="s">
        <v>60</v>
      </c>
      <c r="D999" s="7" t="s">
        <v>79</v>
      </c>
      <c r="E999" s="9" t="s">
        <v>70</v>
      </c>
      <c r="F999" s="10">
        <v>1</v>
      </c>
      <c r="G999" s="11" t="s">
        <v>36</v>
      </c>
      <c r="H999" s="7" t="s">
        <v>89</v>
      </c>
      <c r="I999" s="11" t="s">
        <v>9</v>
      </c>
      <c r="J999" s="11" t="s">
        <v>105</v>
      </c>
      <c r="K999" s="146">
        <v>32314.78</v>
      </c>
      <c r="L999" s="12">
        <v>20012.736873869999</v>
      </c>
      <c r="M999" s="12">
        <v>13341.82458258</v>
      </c>
      <c r="N999" s="12">
        <v>0</v>
      </c>
      <c r="O999" s="12">
        <v>33354.561456449999</v>
      </c>
      <c r="P999" s="29">
        <v>30</v>
      </c>
    </row>
    <row r="1000" spans="1:16" s="85" customFormat="1" ht="16.5" hidden="1" thickTop="1" thickBot="1" x14ac:dyDescent="0.3">
      <c r="A1000" s="74"/>
      <c r="B1000" s="25" t="s">
        <v>22</v>
      </c>
      <c r="C1000" s="8" t="s">
        <v>60</v>
      </c>
      <c r="D1000" s="7" t="s">
        <v>79</v>
      </c>
      <c r="E1000" s="9" t="s">
        <v>70</v>
      </c>
      <c r="F1000" s="10">
        <v>1</v>
      </c>
      <c r="G1000" s="11" t="s">
        <v>37</v>
      </c>
      <c r="H1000" s="7" t="s">
        <v>85</v>
      </c>
      <c r="I1000" s="11" t="s">
        <v>9</v>
      </c>
      <c r="J1000" s="11" t="s">
        <v>105</v>
      </c>
      <c r="K1000" s="146">
        <v>13863.02</v>
      </c>
      <c r="L1000" s="12">
        <v>8585.1881111879993</v>
      </c>
      <c r="M1000" s="12">
        <v>5723.4587407920008</v>
      </c>
      <c r="N1000" s="12">
        <v>0</v>
      </c>
      <c r="O1000" s="12">
        <v>14308.64685198</v>
      </c>
      <c r="P1000" s="29">
        <v>30</v>
      </c>
    </row>
    <row r="1001" spans="1:16" s="85" customFormat="1" ht="16.5" hidden="1" thickTop="1" thickBot="1" x14ac:dyDescent="0.3">
      <c r="A1001" s="74"/>
      <c r="B1001" s="25" t="s">
        <v>22</v>
      </c>
      <c r="C1001" s="8" t="s">
        <v>60</v>
      </c>
      <c r="D1001" s="7" t="s">
        <v>79</v>
      </c>
      <c r="E1001" s="9" t="s">
        <v>70</v>
      </c>
      <c r="F1001" s="10">
        <v>1</v>
      </c>
      <c r="G1001" s="11" t="s">
        <v>93</v>
      </c>
      <c r="H1001" s="7" t="s">
        <v>85</v>
      </c>
      <c r="I1001" s="11" t="s">
        <v>9</v>
      </c>
      <c r="J1001" s="11" t="s">
        <v>105</v>
      </c>
      <c r="K1001" s="146">
        <v>18484.02</v>
      </c>
      <c r="L1001" s="12">
        <v>11446.912871081999</v>
      </c>
      <c r="M1001" s="12">
        <v>7631.275247388</v>
      </c>
      <c r="N1001" s="12">
        <v>0</v>
      </c>
      <c r="O1001" s="12">
        <v>19078.18811847</v>
      </c>
      <c r="P1001" s="29">
        <v>30</v>
      </c>
    </row>
    <row r="1002" spans="1:16" s="85" customFormat="1" ht="16.5" hidden="1" thickTop="1" thickBot="1" x14ac:dyDescent="0.3">
      <c r="A1002" s="74"/>
      <c r="B1002" s="25" t="s">
        <v>22</v>
      </c>
      <c r="C1002" s="8" t="s">
        <v>60</v>
      </c>
      <c r="D1002" s="7" t="s">
        <v>79</v>
      </c>
      <c r="E1002" s="9" t="s">
        <v>70</v>
      </c>
      <c r="F1002" s="10">
        <v>1</v>
      </c>
      <c r="G1002" s="11" t="s">
        <v>38</v>
      </c>
      <c r="H1002" s="7" t="s">
        <v>85</v>
      </c>
      <c r="I1002" s="11" t="s">
        <v>9</v>
      </c>
      <c r="J1002" s="11" t="s">
        <v>105</v>
      </c>
      <c r="K1002" s="146">
        <v>13863.02</v>
      </c>
      <c r="L1002" s="12">
        <v>5723.4564355409993</v>
      </c>
      <c r="M1002" s="12">
        <v>3815.637623694</v>
      </c>
      <c r="N1002" s="12">
        <v>0</v>
      </c>
      <c r="O1002" s="12">
        <v>9539.0940592349998</v>
      </c>
      <c r="P1002" s="29">
        <v>30</v>
      </c>
    </row>
    <row r="1003" spans="1:16" s="85" customFormat="1" ht="16.5" hidden="1" thickTop="1" thickBot="1" x14ac:dyDescent="0.3">
      <c r="A1003" s="74"/>
      <c r="B1003" s="25" t="s">
        <v>11</v>
      </c>
      <c r="C1003" s="8" t="s">
        <v>60</v>
      </c>
      <c r="D1003" s="7" t="s">
        <v>79</v>
      </c>
      <c r="E1003" s="9" t="s">
        <v>70</v>
      </c>
      <c r="F1003" s="10">
        <v>20</v>
      </c>
      <c r="G1003" s="11" t="s">
        <v>119</v>
      </c>
      <c r="H1003" s="7" t="s">
        <v>85</v>
      </c>
      <c r="I1003" s="11" t="s">
        <v>7</v>
      </c>
      <c r="J1003" s="11" t="s">
        <v>103</v>
      </c>
      <c r="K1003" s="12">
        <v>19006</v>
      </c>
      <c r="L1003" s="12">
        <v>19006</v>
      </c>
      <c r="M1003" s="12">
        <v>0</v>
      </c>
      <c r="N1003" s="12">
        <f>L1003*14%</f>
        <v>2660.84</v>
      </c>
      <c r="O1003" s="12">
        <v>15965.04</v>
      </c>
      <c r="P1003" s="29">
        <v>20</v>
      </c>
    </row>
    <row r="1004" spans="1:16" s="85" customFormat="1" ht="16.5" hidden="1" thickTop="1" thickBot="1" x14ac:dyDescent="0.3">
      <c r="A1004" s="74"/>
      <c r="B1004" s="25" t="s">
        <v>13</v>
      </c>
      <c r="C1004" s="8" t="s">
        <v>60</v>
      </c>
      <c r="D1004" s="7" t="s">
        <v>79</v>
      </c>
      <c r="E1004" s="9" t="s">
        <v>70</v>
      </c>
      <c r="F1004" s="10">
        <v>20</v>
      </c>
      <c r="G1004" s="11" t="s">
        <v>119</v>
      </c>
      <c r="H1004" s="7" t="s">
        <v>85</v>
      </c>
      <c r="I1004" s="11" t="s">
        <v>9</v>
      </c>
      <c r="J1004" s="11" t="s">
        <v>103</v>
      </c>
      <c r="K1004" s="12">
        <v>8619</v>
      </c>
      <c r="L1004" s="12">
        <v>8619</v>
      </c>
      <c r="M1004" s="12">
        <v>0</v>
      </c>
      <c r="N1004" s="12">
        <f>L1004*16%</f>
        <v>1379.04</v>
      </c>
      <c r="O1004" s="12">
        <v>7239.96</v>
      </c>
      <c r="P1004" s="29">
        <v>20</v>
      </c>
    </row>
    <row r="1005" spans="1:16" s="85" customFormat="1" ht="16.5" hidden="1" thickTop="1" thickBot="1" x14ac:dyDescent="0.3">
      <c r="A1005" s="74"/>
      <c r="B1005" s="25" t="s">
        <v>10</v>
      </c>
      <c r="C1005" s="8" t="s">
        <v>60</v>
      </c>
      <c r="D1005" s="7" t="s">
        <v>79</v>
      </c>
      <c r="E1005" s="9" t="s">
        <v>70</v>
      </c>
      <c r="F1005" s="10">
        <v>20</v>
      </c>
      <c r="G1005" s="11" t="s">
        <v>119</v>
      </c>
      <c r="H1005" s="7" t="s">
        <v>85</v>
      </c>
      <c r="I1005" s="11" t="s">
        <v>96</v>
      </c>
      <c r="J1005" s="11" t="s">
        <v>103</v>
      </c>
      <c r="K1005" s="12">
        <v>1785.7</v>
      </c>
      <c r="L1005" s="12">
        <v>1785.7</v>
      </c>
      <c r="M1005" s="12">
        <v>0</v>
      </c>
      <c r="N1005" s="12">
        <v>0</v>
      </c>
      <c r="O1005" s="12">
        <v>1785.7</v>
      </c>
      <c r="P1005" s="29">
        <v>20</v>
      </c>
    </row>
    <row r="1006" spans="1:16" s="86" customFormat="1" ht="16.5" hidden="1" thickTop="1" thickBot="1" x14ac:dyDescent="0.3">
      <c r="A1006" s="74" t="s">
        <v>111</v>
      </c>
      <c r="B1006" s="64" t="s">
        <v>13</v>
      </c>
      <c r="C1006" s="65" t="s">
        <v>60</v>
      </c>
      <c r="D1006" s="66" t="s">
        <v>79</v>
      </c>
      <c r="E1006" s="67" t="s">
        <v>64</v>
      </c>
      <c r="F1006" s="68">
        <v>20</v>
      </c>
      <c r="G1006" s="69" t="s">
        <v>94</v>
      </c>
      <c r="H1006" s="66" t="s">
        <v>86</v>
      </c>
      <c r="I1006" s="69" t="s">
        <v>9</v>
      </c>
      <c r="J1006" s="69" t="s">
        <v>103</v>
      </c>
      <c r="K1006" s="70">
        <v>17100.98</v>
      </c>
      <c r="L1006" s="70">
        <v>17100.98</v>
      </c>
      <c r="M1006" s="70">
        <v>0</v>
      </c>
      <c r="N1006" s="70">
        <f>L1006*16%</f>
        <v>2736.1568000000002</v>
      </c>
      <c r="O1006" s="70">
        <v>14364.823199999999</v>
      </c>
      <c r="P1006" s="71">
        <v>20</v>
      </c>
    </row>
    <row r="1007" spans="1:16" s="85" customFormat="1" ht="16.5" hidden="1" thickTop="1" thickBot="1" x14ac:dyDescent="0.3">
      <c r="A1007" s="74" t="s">
        <v>111</v>
      </c>
      <c r="B1007" s="25" t="s">
        <v>11</v>
      </c>
      <c r="C1007" s="8" t="s">
        <v>60</v>
      </c>
      <c r="D1007" s="7" t="s">
        <v>79</v>
      </c>
      <c r="E1007" s="9" t="s">
        <v>64</v>
      </c>
      <c r="F1007" s="10">
        <v>20</v>
      </c>
      <c r="G1007" s="11" t="s">
        <v>94</v>
      </c>
      <c r="H1007" s="7" t="s">
        <v>86</v>
      </c>
      <c r="I1007" s="11" t="s">
        <v>15</v>
      </c>
      <c r="J1007" s="11" t="s">
        <v>103</v>
      </c>
      <c r="K1007" s="12">
        <v>7270.9</v>
      </c>
      <c r="L1007" s="12">
        <f>K1007</f>
        <v>7270.9</v>
      </c>
      <c r="M1007" s="12">
        <v>0</v>
      </c>
      <c r="N1007" s="12">
        <v>0</v>
      </c>
      <c r="O1007" s="12">
        <v>1785.7</v>
      </c>
      <c r="P1007" s="29">
        <v>20</v>
      </c>
    </row>
    <row r="1008" spans="1:16" s="85" customFormat="1" ht="16.5" hidden="1" thickTop="1" thickBot="1" x14ac:dyDescent="0.3">
      <c r="A1008" s="51"/>
      <c r="B1008" s="25" t="s">
        <v>22</v>
      </c>
      <c r="C1008" s="8" t="s">
        <v>61</v>
      </c>
      <c r="D1008" s="7" t="s">
        <v>79</v>
      </c>
      <c r="E1008" s="9" t="s">
        <v>70</v>
      </c>
      <c r="F1008" s="10">
        <v>20</v>
      </c>
      <c r="G1008" s="13" t="s">
        <v>39</v>
      </c>
      <c r="H1008" s="7" t="s">
        <v>83</v>
      </c>
      <c r="I1008" s="11" t="s">
        <v>7</v>
      </c>
      <c r="J1008" s="11" t="s">
        <v>80</v>
      </c>
      <c r="K1008" s="12">
        <v>20673.5597797423</v>
      </c>
      <c r="L1008" s="12">
        <v>12404.13586784538</v>
      </c>
      <c r="M1008" s="12">
        <v>8269.4239118969199</v>
      </c>
      <c r="N1008" s="12">
        <v>0</v>
      </c>
      <c r="O1008" s="12">
        <v>20673.5597797423</v>
      </c>
      <c r="P1008" s="29">
        <v>17</v>
      </c>
    </row>
    <row r="1009" spans="1:16" s="85" customFormat="1" ht="16.5" hidden="1" thickTop="1" thickBot="1" x14ac:dyDescent="0.3">
      <c r="A1009" s="51"/>
      <c r="B1009" s="25" t="s">
        <v>11</v>
      </c>
      <c r="C1009" s="8" t="s">
        <v>61</v>
      </c>
      <c r="D1009" s="7" t="s">
        <v>79</v>
      </c>
      <c r="E1009" s="9" t="s">
        <v>70</v>
      </c>
      <c r="F1009" s="10">
        <v>20</v>
      </c>
      <c r="G1009" s="13" t="s">
        <v>40</v>
      </c>
      <c r="H1009" s="7" t="s">
        <v>83</v>
      </c>
      <c r="I1009" s="14" t="s">
        <v>30</v>
      </c>
      <c r="J1009" s="14" t="s">
        <v>107</v>
      </c>
      <c r="K1009" s="12">
        <v>230</v>
      </c>
      <c r="L1009" s="12">
        <v>230</v>
      </c>
      <c r="M1009" s="12">
        <v>0</v>
      </c>
      <c r="N1009" s="12">
        <v>10</v>
      </c>
      <c r="O1009" s="12">
        <v>190</v>
      </c>
      <c r="P1009" s="29">
        <v>10</v>
      </c>
    </row>
    <row r="1010" spans="1:16" s="85" customFormat="1" ht="16.5" hidden="1" thickTop="1" thickBot="1" x14ac:dyDescent="0.3">
      <c r="A1010" s="51"/>
      <c r="B1010" s="25" t="s">
        <v>11</v>
      </c>
      <c r="C1010" s="8" t="s">
        <v>61</v>
      </c>
      <c r="D1010" s="7" t="s">
        <v>79</v>
      </c>
      <c r="E1010" s="9" t="s">
        <v>70</v>
      </c>
      <c r="F1010" s="10">
        <v>20</v>
      </c>
      <c r="G1010" s="13" t="s">
        <v>41</v>
      </c>
      <c r="H1010" s="7" t="s">
        <v>83</v>
      </c>
      <c r="I1010" s="14" t="s">
        <v>30</v>
      </c>
      <c r="J1010" s="11" t="s">
        <v>80</v>
      </c>
      <c r="K1010" s="12">
        <v>630</v>
      </c>
      <c r="L1010" s="12">
        <v>630</v>
      </c>
      <c r="M1010" s="12">
        <v>0</v>
      </c>
      <c r="N1010" s="12">
        <v>30</v>
      </c>
      <c r="O1010" s="12">
        <v>570</v>
      </c>
      <c r="P1010" s="29">
        <v>25</v>
      </c>
    </row>
    <row r="1011" spans="1:16" s="85" customFormat="1" ht="16.5" hidden="1" thickTop="1" thickBot="1" x14ac:dyDescent="0.3">
      <c r="A1011" s="51"/>
      <c r="B1011" s="25" t="s">
        <v>22</v>
      </c>
      <c r="C1011" s="8" t="s">
        <v>61</v>
      </c>
      <c r="D1011" s="7" t="s">
        <v>79</v>
      </c>
      <c r="E1011" s="9" t="s">
        <v>70</v>
      </c>
      <c r="F1011" s="10">
        <v>20</v>
      </c>
      <c r="G1011" s="13" t="s">
        <v>92</v>
      </c>
      <c r="H1011" s="7" t="s">
        <v>83</v>
      </c>
      <c r="I1011" s="11" t="s">
        <v>9</v>
      </c>
      <c r="J1011" s="11" t="s">
        <v>80</v>
      </c>
      <c r="K1011" s="12">
        <v>5071.55</v>
      </c>
      <c r="L1011" s="12">
        <v>5071.55</v>
      </c>
      <c r="M1011" s="12">
        <v>0</v>
      </c>
      <c r="N1011" s="12">
        <v>0</v>
      </c>
      <c r="O1011" s="12">
        <v>5071.55</v>
      </c>
      <c r="P1011" s="29">
        <v>15</v>
      </c>
    </row>
    <row r="1012" spans="1:16" s="85" customFormat="1" ht="16.5" hidden="1" thickTop="1" thickBot="1" x14ac:dyDescent="0.3">
      <c r="A1012" s="51"/>
      <c r="B1012" s="25" t="s">
        <v>11</v>
      </c>
      <c r="C1012" s="8" t="s">
        <v>61</v>
      </c>
      <c r="D1012" s="7" t="s">
        <v>79</v>
      </c>
      <c r="E1012" s="9" t="s">
        <v>70</v>
      </c>
      <c r="F1012" s="10">
        <v>20</v>
      </c>
      <c r="G1012" s="13" t="s">
        <v>43</v>
      </c>
      <c r="H1012" s="7" t="s">
        <v>83</v>
      </c>
      <c r="I1012" s="14" t="s">
        <v>30</v>
      </c>
      <c r="J1012" s="14" t="s">
        <v>106</v>
      </c>
      <c r="K1012" s="12">
        <v>230</v>
      </c>
      <c r="L1012" s="12">
        <v>230</v>
      </c>
      <c r="M1012" s="12">
        <v>0</v>
      </c>
      <c r="N1012" s="12">
        <v>10</v>
      </c>
      <c r="O1012" s="12">
        <v>190</v>
      </c>
      <c r="P1012" s="29">
        <v>15</v>
      </c>
    </row>
    <row r="1013" spans="1:16" s="85" customFormat="1" ht="16.5" hidden="1" thickTop="1" thickBot="1" x14ac:dyDescent="0.3">
      <c r="A1013" s="51"/>
      <c r="B1013" s="25" t="s">
        <v>22</v>
      </c>
      <c r="C1013" s="8" t="s">
        <v>61</v>
      </c>
      <c r="D1013" s="7" t="s">
        <v>79</v>
      </c>
      <c r="E1013" s="9" t="s">
        <v>70</v>
      </c>
      <c r="F1013" s="10">
        <v>1</v>
      </c>
      <c r="G1013" s="11" t="s">
        <v>45</v>
      </c>
      <c r="H1013" s="7" t="s">
        <v>91</v>
      </c>
      <c r="I1013" s="11" t="s">
        <v>20</v>
      </c>
      <c r="J1013" s="11" t="s">
        <v>105</v>
      </c>
      <c r="K1013" s="12">
        <v>40617.404573265005</v>
      </c>
      <c r="L1013" s="12">
        <v>24370.442743959004</v>
      </c>
      <c r="M1013" s="12">
        <v>16246.961829306003</v>
      </c>
      <c r="N1013" s="12">
        <v>1837.8916096500002</v>
      </c>
      <c r="O1013" s="12">
        <v>38779.512963615001</v>
      </c>
      <c r="P1013" s="29">
        <v>30</v>
      </c>
    </row>
    <row r="1014" spans="1:16" s="85" customFormat="1" ht="16.5" hidden="1" thickTop="1" thickBot="1" x14ac:dyDescent="0.3">
      <c r="A1014" s="51"/>
      <c r="B1014" s="25" t="s">
        <v>22</v>
      </c>
      <c r="C1014" s="8" t="s">
        <v>61</v>
      </c>
      <c r="D1014" s="7" t="s">
        <v>79</v>
      </c>
      <c r="E1014" s="9" t="s">
        <v>70</v>
      </c>
      <c r="F1014" s="10">
        <v>1</v>
      </c>
      <c r="G1014" s="11" t="s">
        <v>132</v>
      </c>
      <c r="H1014" s="7" t="s">
        <v>88</v>
      </c>
      <c r="I1014" s="11" t="s">
        <v>9</v>
      </c>
      <c r="J1014" s="11" t="s">
        <v>105</v>
      </c>
      <c r="K1014" s="146">
        <v>32347.05</v>
      </c>
      <c r="L1014" s="12">
        <v>20032.10079</v>
      </c>
      <c r="M1014" s="12">
        <v>13354.733860000002</v>
      </c>
      <c r="N1014" s="12">
        <v>0</v>
      </c>
      <c r="O1014" s="12">
        <v>33386.834650000004</v>
      </c>
      <c r="P1014" s="29">
        <v>30</v>
      </c>
    </row>
    <row r="1015" spans="1:16" s="85" customFormat="1" ht="16.5" hidden="1" thickTop="1" thickBot="1" x14ac:dyDescent="0.3">
      <c r="A1015" s="51"/>
      <c r="B1015" s="25" t="s">
        <v>22</v>
      </c>
      <c r="C1015" s="8" t="s">
        <v>61</v>
      </c>
      <c r="D1015" s="7" t="s">
        <v>79</v>
      </c>
      <c r="E1015" s="9" t="s">
        <v>70</v>
      </c>
      <c r="F1015" s="10">
        <v>1</v>
      </c>
      <c r="G1015" s="11" t="s">
        <v>129</v>
      </c>
      <c r="H1015" s="7" t="s">
        <v>85</v>
      </c>
      <c r="I1015" s="11" t="s">
        <v>9</v>
      </c>
      <c r="J1015" s="11" t="s">
        <v>105</v>
      </c>
      <c r="K1015" s="146">
        <v>27726.03</v>
      </c>
      <c r="L1015" s="12">
        <v>17170.36737</v>
      </c>
      <c r="M1015" s="12">
        <v>11446.91158</v>
      </c>
      <c r="N1015" s="12">
        <v>0</v>
      </c>
      <c r="O1015" s="12">
        <v>28617.27895</v>
      </c>
      <c r="P1015" s="29">
        <v>30</v>
      </c>
    </row>
    <row r="1016" spans="1:16" s="85" customFormat="1" ht="16.5" hidden="1" thickTop="1" thickBot="1" x14ac:dyDescent="0.3">
      <c r="A1016" s="51"/>
      <c r="B1016" s="25" t="s">
        <v>22</v>
      </c>
      <c r="C1016" s="8" t="s">
        <v>61</v>
      </c>
      <c r="D1016" s="7" t="s">
        <v>79</v>
      </c>
      <c r="E1016" s="9" t="s">
        <v>70</v>
      </c>
      <c r="F1016" s="10">
        <v>1</v>
      </c>
      <c r="G1016" s="11" t="s">
        <v>45</v>
      </c>
      <c r="H1016" s="7" t="s">
        <v>91</v>
      </c>
      <c r="I1016" s="11" t="s">
        <v>9</v>
      </c>
      <c r="J1016" s="11" t="s">
        <v>105</v>
      </c>
      <c r="K1016" s="146">
        <v>27726.04</v>
      </c>
      <c r="L1016" s="12">
        <v>17170.369306623001</v>
      </c>
      <c r="M1016" s="12">
        <v>11446.912871082</v>
      </c>
      <c r="N1016" s="12">
        <v>1294.8996460500002</v>
      </c>
      <c r="O1016" s="12">
        <v>27322.382531654999</v>
      </c>
      <c r="P1016" s="29">
        <v>30</v>
      </c>
    </row>
    <row r="1017" spans="1:16" s="85" customFormat="1" ht="16.5" hidden="1" thickTop="1" thickBot="1" x14ac:dyDescent="0.3">
      <c r="A1017" s="51"/>
      <c r="B1017" s="25" t="s">
        <v>22</v>
      </c>
      <c r="C1017" s="8" t="s">
        <v>61</v>
      </c>
      <c r="D1017" s="7" t="s">
        <v>79</v>
      </c>
      <c r="E1017" s="9" t="s">
        <v>70</v>
      </c>
      <c r="F1017" s="10">
        <v>1</v>
      </c>
      <c r="G1017" s="11" t="s">
        <v>46</v>
      </c>
      <c r="H1017" s="7" t="s">
        <v>85</v>
      </c>
      <c r="I1017" s="11" t="s">
        <v>20</v>
      </c>
      <c r="J1017" s="11" t="s">
        <v>105</v>
      </c>
      <c r="K1017" s="12">
        <v>58492.355406029994</v>
      </c>
      <c r="L1017" s="12">
        <v>35095.413243617993</v>
      </c>
      <c r="M1017" s="12">
        <v>23396.942162412</v>
      </c>
      <c r="N1017" s="12">
        <v>0</v>
      </c>
      <c r="O1017" s="12">
        <v>58492.355406029994</v>
      </c>
      <c r="P1017" s="29">
        <v>30</v>
      </c>
    </row>
    <row r="1018" spans="1:16" s="85" customFormat="1" ht="16.5" hidden="1" thickTop="1" thickBot="1" x14ac:dyDescent="0.3">
      <c r="A1018" s="51"/>
      <c r="B1018" s="25" t="s">
        <v>22</v>
      </c>
      <c r="C1018" s="8" t="s">
        <v>61</v>
      </c>
      <c r="D1018" s="7" t="s">
        <v>79</v>
      </c>
      <c r="E1018" s="9" t="s">
        <v>70</v>
      </c>
      <c r="F1018" s="10">
        <v>1</v>
      </c>
      <c r="G1018" s="11" t="s">
        <v>46</v>
      </c>
      <c r="H1018" s="7" t="s">
        <v>85</v>
      </c>
      <c r="I1018" s="11" t="s">
        <v>98</v>
      </c>
      <c r="J1018" s="11" t="s">
        <v>105</v>
      </c>
      <c r="K1018" s="12">
        <v>3457.8765000000003</v>
      </c>
      <c r="L1018" s="12">
        <v>2074.7258999999999</v>
      </c>
      <c r="M1018" s="12">
        <v>1383.1506000000002</v>
      </c>
      <c r="N1018" s="12">
        <v>0</v>
      </c>
      <c r="O1018" s="12">
        <v>3457.8765000000003</v>
      </c>
      <c r="P1018" s="29">
        <v>30</v>
      </c>
    </row>
    <row r="1019" spans="1:16" s="85" customFormat="1" ht="16.5" hidden="1" thickTop="1" thickBot="1" x14ac:dyDescent="0.3">
      <c r="A1019" s="51"/>
      <c r="B1019" s="25" t="s">
        <v>22</v>
      </c>
      <c r="C1019" s="8" t="s">
        <v>61</v>
      </c>
      <c r="D1019" s="7" t="s">
        <v>79</v>
      </c>
      <c r="E1019" s="9" t="s">
        <v>70</v>
      </c>
      <c r="F1019" s="10">
        <v>1</v>
      </c>
      <c r="G1019" s="11" t="s">
        <v>46</v>
      </c>
      <c r="H1019" s="7" t="s">
        <v>85</v>
      </c>
      <c r="I1019" s="11" t="s">
        <v>9</v>
      </c>
      <c r="J1019" s="11" t="s">
        <v>105</v>
      </c>
      <c r="K1019" s="146">
        <v>41589.06</v>
      </c>
      <c r="L1019" s="12">
        <v>25755.557417811004</v>
      </c>
      <c r="M1019" s="12">
        <v>17170.371611874005</v>
      </c>
      <c r="N1019" s="12">
        <v>0</v>
      </c>
      <c r="O1019" s="12">
        <v>42925.929029685009</v>
      </c>
      <c r="P1019" s="29">
        <v>30</v>
      </c>
    </row>
    <row r="1020" spans="1:16" s="85" customFormat="1" ht="16.5" hidden="1" thickTop="1" thickBot="1" x14ac:dyDescent="0.3">
      <c r="A1020" s="51"/>
      <c r="B1020" s="25" t="s">
        <v>22</v>
      </c>
      <c r="C1020" s="8" t="s">
        <v>61</v>
      </c>
      <c r="D1020" s="7" t="s">
        <v>79</v>
      </c>
      <c r="E1020" s="9" t="s">
        <v>70</v>
      </c>
      <c r="F1020" s="10">
        <v>1</v>
      </c>
      <c r="G1020" s="11" t="s">
        <v>46</v>
      </c>
      <c r="H1020" s="7" t="s">
        <v>85</v>
      </c>
      <c r="I1020" s="11" t="s">
        <v>97</v>
      </c>
      <c r="J1020" s="11" t="s">
        <v>105</v>
      </c>
      <c r="K1020" s="12">
        <v>7072</v>
      </c>
      <c r="L1020" s="12">
        <v>4243.2</v>
      </c>
      <c r="M1020" s="12">
        <v>2828.8</v>
      </c>
      <c r="N1020" s="12">
        <v>0</v>
      </c>
      <c r="O1020" s="12">
        <v>7072</v>
      </c>
      <c r="P1020" s="29">
        <v>30</v>
      </c>
    </row>
    <row r="1021" spans="1:16" s="85" customFormat="1" ht="16.5" hidden="1" thickTop="1" thickBot="1" x14ac:dyDescent="0.3">
      <c r="A1021" s="51"/>
      <c r="B1021" s="25" t="s">
        <v>22</v>
      </c>
      <c r="C1021" s="8" t="s">
        <v>61</v>
      </c>
      <c r="D1021" s="7" t="s">
        <v>79</v>
      </c>
      <c r="E1021" s="9" t="s">
        <v>70</v>
      </c>
      <c r="F1021" s="10">
        <v>1</v>
      </c>
      <c r="G1021" s="11" t="s">
        <v>47</v>
      </c>
      <c r="H1021" s="7" t="s">
        <v>85</v>
      </c>
      <c r="I1021" s="11" t="s">
        <v>9</v>
      </c>
      <c r="J1021" s="11" t="s">
        <v>105</v>
      </c>
      <c r="K1021" s="146">
        <v>32314.78</v>
      </c>
      <c r="L1021" s="12">
        <v>20012.736873869999</v>
      </c>
      <c r="M1021" s="12">
        <v>13341.82458258</v>
      </c>
      <c r="N1021" s="12">
        <v>0</v>
      </c>
      <c r="O1021" s="12">
        <v>33354.561456449999</v>
      </c>
      <c r="P1021" s="29">
        <v>30</v>
      </c>
    </row>
    <row r="1022" spans="1:16" s="85" customFormat="1" ht="16.5" hidden="1" thickTop="1" thickBot="1" x14ac:dyDescent="0.3">
      <c r="A1022" s="51"/>
      <c r="B1022" s="25" t="s">
        <v>22</v>
      </c>
      <c r="C1022" s="8" t="s">
        <v>61</v>
      </c>
      <c r="D1022" s="7" t="s">
        <v>79</v>
      </c>
      <c r="E1022" s="9" t="s">
        <v>70</v>
      </c>
      <c r="F1022" s="10">
        <v>1</v>
      </c>
      <c r="G1022" s="11" t="s">
        <v>48</v>
      </c>
      <c r="H1022" s="7" t="s">
        <v>85</v>
      </c>
      <c r="I1022" s="11" t="s">
        <v>9</v>
      </c>
      <c r="J1022" s="11" t="s">
        <v>105</v>
      </c>
      <c r="K1022" s="146">
        <v>23137.31</v>
      </c>
      <c r="L1022" s="12">
        <v>14328.008655128999</v>
      </c>
      <c r="M1022" s="12">
        <v>9552.0057700859998</v>
      </c>
      <c r="N1022" s="12">
        <v>0</v>
      </c>
      <c r="O1022" s="12">
        <v>23880.014425214998</v>
      </c>
      <c r="P1022" s="29">
        <v>30</v>
      </c>
    </row>
    <row r="1023" spans="1:16" s="85" customFormat="1" ht="16.5" hidden="1" thickTop="1" thickBot="1" x14ac:dyDescent="0.3">
      <c r="A1023" s="51"/>
      <c r="B1023" s="25" t="s">
        <v>22</v>
      </c>
      <c r="C1023" s="8" t="s">
        <v>62</v>
      </c>
      <c r="D1023" s="7" t="s">
        <v>79</v>
      </c>
      <c r="E1023" s="9" t="s">
        <v>70</v>
      </c>
      <c r="F1023" s="10">
        <v>10</v>
      </c>
      <c r="G1023" s="13" t="s">
        <v>49</v>
      </c>
      <c r="H1023" s="7" t="s">
        <v>85</v>
      </c>
      <c r="I1023" s="11" t="s">
        <v>9</v>
      </c>
      <c r="J1023" s="11" t="s">
        <v>105</v>
      </c>
      <c r="K1023" s="12">
        <v>19227</v>
      </c>
      <c r="L1023" s="12">
        <v>11536.199999999999</v>
      </c>
      <c r="M1023" s="12">
        <v>7690.8</v>
      </c>
      <c r="N1023" s="12">
        <v>0</v>
      </c>
      <c r="O1023" s="12">
        <v>19227</v>
      </c>
      <c r="P1023" s="29">
        <v>10</v>
      </c>
    </row>
    <row r="1024" spans="1:16" s="85" customFormat="1" ht="16.5" hidden="1" thickTop="1" thickBot="1" x14ac:dyDescent="0.3">
      <c r="A1024" s="51"/>
      <c r="B1024" s="25" t="s">
        <v>22</v>
      </c>
      <c r="C1024" s="8" t="s">
        <v>62</v>
      </c>
      <c r="D1024" s="7" t="s">
        <v>79</v>
      </c>
      <c r="E1024" s="9" t="s">
        <v>70</v>
      </c>
      <c r="F1024" s="10">
        <v>10</v>
      </c>
      <c r="G1024" s="13" t="s">
        <v>50</v>
      </c>
      <c r="H1024" s="7" t="s">
        <v>85</v>
      </c>
      <c r="I1024" s="11" t="s">
        <v>9</v>
      </c>
      <c r="J1024" s="11" t="s">
        <v>105</v>
      </c>
      <c r="K1024" s="12">
        <v>19227</v>
      </c>
      <c r="L1024" s="12">
        <v>11536.199999999999</v>
      </c>
      <c r="M1024" s="12">
        <v>7690.8</v>
      </c>
      <c r="N1024" s="12">
        <v>0</v>
      </c>
      <c r="O1024" s="12">
        <v>19227</v>
      </c>
      <c r="P1024" s="29">
        <v>10</v>
      </c>
    </row>
    <row r="1025" spans="1:17" s="85" customFormat="1" ht="16.5" hidden="1" thickTop="1" thickBot="1" x14ac:dyDescent="0.3">
      <c r="A1025" s="51"/>
      <c r="B1025" s="25" t="s">
        <v>11</v>
      </c>
      <c r="C1025" s="8" t="s">
        <v>62</v>
      </c>
      <c r="D1025" s="7" t="s">
        <v>79</v>
      </c>
      <c r="E1025" s="9" t="s">
        <v>70</v>
      </c>
      <c r="F1025" s="10">
        <v>16</v>
      </c>
      <c r="G1025" s="13" t="s">
        <v>51</v>
      </c>
      <c r="H1025" s="7" t="s">
        <v>83</v>
      </c>
      <c r="I1025" s="11" t="s">
        <v>7</v>
      </c>
      <c r="J1025" s="11" t="s">
        <v>80</v>
      </c>
      <c r="K1025" s="12">
        <v>21132.94766324625</v>
      </c>
      <c r="L1025" s="12">
        <v>21132.94766324625</v>
      </c>
      <c r="M1025" s="12">
        <v>0</v>
      </c>
      <c r="N1025" s="12">
        <f>L1025*14%</f>
        <v>2958.6126728544755</v>
      </c>
      <c r="O1025" s="12">
        <v>17751.67603712685</v>
      </c>
      <c r="P1025" s="29">
        <v>30</v>
      </c>
    </row>
    <row r="1026" spans="1:17" s="85" customFormat="1" ht="16.5" hidden="1" thickTop="1" thickBot="1" x14ac:dyDescent="0.3">
      <c r="A1026" s="51"/>
      <c r="B1026" s="25" t="s">
        <v>22</v>
      </c>
      <c r="C1026" s="8" t="s">
        <v>62</v>
      </c>
      <c r="D1026" s="7" t="s">
        <v>79</v>
      </c>
      <c r="E1026" s="9" t="s">
        <v>70</v>
      </c>
      <c r="F1026" s="10">
        <v>1</v>
      </c>
      <c r="G1026" s="11" t="s">
        <v>54</v>
      </c>
      <c r="H1026" s="7" t="s">
        <v>85</v>
      </c>
      <c r="I1026" s="11" t="s">
        <v>20</v>
      </c>
      <c r="J1026" s="11" t="s">
        <v>105</v>
      </c>
      <c r="K1026" s="12">
        <v>40617.404573265005</v>
      </c>
      <c r="L1026" s="12">
        <v>24370.442743959004</v>
      </c>
      <c r="M1026" s="12">
        <v>16246.961829306003</v>
      </c>
      <c r="N1026" s="12">
        <v>0</v>
      </c>
      <c r="O1026" s="12">
        <v>40617.404573265005</v>
      </c>
      <c r="P1026" s="29">
        <v>30</v>
      </c>
    </row>
    <row r="1027" spans="1:17" s="85" customFormat="1" ht="16.5" hidden="1" thickTop="1" thickBot="1" x14ac:dyDescent="0.3">
      <c r="A1027" s="51"/>
      <c r="B1027" s="25" t="s">
        <v>22</v>
      </c>
      <c r="C1027" s="8" t="s">
        <v>62</v>
      </c>
      <c r="D1027" s="7" t="s">
        <v>79</v>
      </c>
      <c r="E1027" s="9" t="s">
        <v>70</v>
      </c>
      <c r="F1027" s="10">
        <v>1</v>
      </c>
      <c r="G1027" s="11" t="s">
        <v>54</v>
      </c>
      <c r="H1027" s="7" t="s">
        <v>85</v>
      </c>
      <c r="I1027" s="11" t="s">
        <v>9</v>
      </c>
      <c r="J1027" s="11" t="s">
        <v>105</v>
      </c>
      <c r="K1027" s="146">
        <v>32314.78</v>
      </c>
      <c r="L1027" s="12">
        <v>20012.736873869999</v>
      </c>
      <c r="M1027" s="12">
        <v>13341.82458258</v>
      </c>
      <c r="N1027" s="12">
        <v>0</v>
      </c>
      <c r="O1027" s="12">
        <v>33354.561456449999</v>
      </c>
      <c r="P1027" s="29">
        <v>30</v>
      </c>
    </row>
    <row r="1028" spans="1:17" s="85" customFormat="1" ht="16.5" hidden="1" thickTop="1" thickBot="1" x14ac:dyDescent="0.3">
      <c r="A1028" s="51"/>
      <c r="B1028" s="25" t="s">
        <v>22</v>
      </c>
      <c r="C1028" s="8" t="s">
        <v>62</v>
      </c>
      <c r="D1028" s="7" t="s">
        <v>79</v>
      </c>
      <c r="E1028" s="9" t="s">
        <v>70</v>
      </c>
      <c r="F1028" s="10">
        <v>1</v>
      </c>
      <c r="G1028" s="11" t="s">
        <v>55</v>
      </c>
      <c r="H1028" s="7" t="s">
        <v>85</v>
      </c>
      <c r="I1028" s="11" t="s">
        <v>20</v>
      </c>
      <c r="J1028" s="11" t="s">
        <v>105</v>
      </c>
      <c r="K1028" s="12">
        <v>34814.822702400001</v>
      </c>
      <c r="L1028" s="12">
        <v>20888.893621439998</v>
      </c>
      <c r="M1028" s="12">
        <v>13925.929080960001</v>
      </c>
      <c r="N1028" s="12">
        <v>0</v>
      </c>
      <c r="O1028" s="12">
        <v>34814.822702400001</v>
      </c>
      <c r="P1028" s="29">
        <v>30</v>
      </c>
    </row>
    <row r="1029" spans="1:17" s="85" customFormat="1" ht="16.5" hidden="1" thickTop="1" thickBot="1" x14ac:dyDescent="0.3">
      <c r="A1029" s="51"/>
      <c r="B1029" s="25" t="s">
        <v>22</v>
      </c>
      <c r="C1029" s="8" t="s">
        <v>62</v>
      </c>
      <c r="D1029" s="7" t="s">
        <v>79</v>
      </c>
      <c r="E1029" s="9" t="s">
        <v>70</v>
      </c>
      <c r="F1029" s="10">
        <v>1</v>
      </c>
      <c r="G1029" s="11" t="s">
        <v>55</v>
      </c>
      <c r="H1029" s="7" t="s">
        <v>85</v>
      </c>
      <c r="I1029" s="11" t="s">
        <v>9</v>
      </c>
      <c r="J1029" s="11" t="s">
        <v>105</v>
      </c>
      <c r="K1029" s="146">
        <v>23105.040000000001</v>
      </c>
      <c r="L1029" s="12">
        <v>14308.644546728998</v>
      </c>
      <c r="M1029" s="12">
        <v>9539.0963644860003</v>
      </c>
      <c r="N1029" s="12">
        <v>0</v>
      </c>
      <c r="O1029" s="12">
        <v>23847.740911214998</v>
      </c>
      <c r="P1029" s="29">
        <v>30</v>
      </c>
    </row>
    <row r="1030" spans="1:17" s="85" customFormat="1" ht="16.5" hidden="1" thickTop="1" thickBot="1" x14ac:dyDescent="0.3">
      <c r="A1030" s="51"/>
      <c r="B1030" s="25" t="s">
        <v>22</v>
      </c>
      <c r="C1030" s="8" t="s">
        <v>62</v>
      </c>
      <c r="D1030" s="7" t="s">
        <v>79</v>
      </c>
      <c r="E1030" s="9" t="s">
        <v>70</v>
      </c>
      <c r="F1030" s="10">
        <v>1</v>
      </c>
      <c r="G1030" s="11" t="s">
        <v>56</v>
      </c>
      <c r="H1030" s="7" t="s">
        <v>85</v>
      </c>
      <c r="I1030" s="11" t="s">
        <v>9</v>
      </c>
      <c r="J1030" s="11" t="s">
        <v>105</v>
      </c>
      <c r="K1030" s="146">
        <v>32347.05</v>
      </c>
      <c r="L1030" s="12">
        <v>20032.10098227</v>
      </c>
      <c r="M1030" s="12">
        <v>13354.73398818</v>
      </c>
      <c r="N1030" s="12">
        <v>0</v>
      </c>
      <c r="O1030" s="12">
        <v>33386.83497045</v>
      </c>
      <c r="P1030" s="29">
        <v>30</v>
      </c>
    </row>
    <row r="1031" spans="1:17" s="85" customFormat="1" ht="16.5" hidden="1" thickTop="1" thickBot="1" x14ac:dyDescent="0.3">
      <c r="A1031" s="51"/>
      <c r="B1031" s="25" t="s">
        <v>22</v>
      </c>
      <c r="C1031" s="8" t="s">
        <v>62</v>
      </c>
      <c r="D1031" s="7" t="s">
        <v>79</v>
      </c>
      <c r="E1031" s="9" t="s">
        <v>70</v>
      </c>
      <c r="F1031" s="10">
        <v>1</v>
      </c>
      <c r="G1031" s="11" t="s">
        <v>57</v>
      </c>
      <c r="H1031" s="7" t="s">
        <v>85</v>
      </c>
      <c r="I1031" s="11" t="s">
        <v>9</v>
      </c>
      <c r="J1031" s="11" t="s">
        <v>105</v>
      </c>
      <c r="K1031" s="146">
        <v>32314.78</v>
      </c>
      <c r="L1031" s="12">
        <v>20012.736873869999</v>
      </c>
      <c r="M1031" s="12">
        <v>13341.82458258</v>
      </c>
      <c r="N1031" s="12">
        <v>0</v>
      </c>
      <c r="O1031" s="12">
        <v>33354.561456449999</v>
      </c>
      <c r="P1031" s="29">
        <v>30</v>
      </c>
    </row>
    <row r="1032" spans="1:17" s="85" customFormat="1" ht="16.5" hidden="1" thickTop="1" thickBot="1" x14ac:dyDescent="0.3">
      <c r="A1032" s="51"/>
      <c r="B1032" s="25" t="s">
        <v>22</v>
      </c>
      <c r="C1032" s="8" t="s">
        <v>62</v>
      </c>
      <c r="D1032" s="7" t="s">
        <v>79</v>
      </c>
      <c r="E1032" s="9" t="s">
        <v>70</v>
      </c>
      <c r="F1032" s="10">
        <v>1</v>
      </c>
      <c r="G1032" s="11" t="s">
        <v>58</v>
      </c>
      <c r="H1032" s="7" t="s">
        <v>85</v>
      </c>
      <c r="I1032" s="11" t="s">
        <v>9</v>
      </c>
      <c r="J1032" s="11" t="s">
        <v>105</v>
      </c>
      <c r="K1032" s="146">
        <v>18484.02</v>
      </c>
      <c r="L1032" s="12">
        <v>11446.912871081999</v>
      </c>
      <c r="M1032" s="12">
        <v>7631.275247388</v>
      </c>
      <c r="N1032" s="12">
        <v>0</v>
      </c>
      <c r="O1032" s="12">
        <v>19078.18811847</v>
      </c>
      <c r="P1032" s="29">
        <v>30</v>
      </c>
    </row>
    <row r="1033" spans="1:17" s="85" customFormat="1" ht="16.5" hidden="1" thickTop="1" thickBot="1" x14ac:dyDescent="0.3">
      <c r="A1033" s="51"/>
      <c r="B1033" s="25" t="s">
        <v>22</v>
      </c>
      <c r="C1033" s="8" t="s">
        <v>61</v>
      </c>
      <c r="D1033" s="7" t="s">
        <v>79</v>
      </c>
      <c r="E1033" s="9" t="s">
        <v>70</v>
      </c>
      <c r="F1033" s="10">
        <v>20</v>
      </c>
      <c r="G1033" s="13" t="s">
        <v>92</v>
      </c>
      <c r="H1033" s="7" t="s">
        <v>83</v>
      </c>
      <c r="I1033" s="11" t="s">
        <v>7</v>
      </c>
      <c r="J1033" s="11" t="s">
        <v>80</v>
      </c>
      <c r="K1033" s="12">
        <v>19890</v>
      </c>
      <c r="L1033" s="12">
        <v>19890</v>
      </c>
      <c r="M1033" s="12">
        <v>0</v>
      </c>
      <c r="N1033" s="12">
        <v>0</v>
      </c>
      <c r="O1033" s="12">
        <v>19890</v>
      </c>
      <c r="P1033" s="29">
        <v>15</v>
      </c>
    </row>
    <row r="1034" spans="1:17" s="85" customFormat="1" ht="16.5" hidden="1" thickTop="1" thickBot="1" x14ac:dyDescent="0.3">
      <c r="A1034" s="51"/>
      <c r="B1034" s="25" t="s">
        <v>13</v>
      </c>
      <c r="C1034" s="8" t="s">
        <v>61</v>
      </c>
      <c r="D1034" s="7" t="s">
        <v>79</v>
      </c>
      <c r="E1034" s="9" t="s">
        <v>71</v>
      </c>
      <c r="F1034" s="10">
        <v>20</v>
      </c>
      <c r="G1034" s="13" t="s">
        <v>90</v>
      </c>
      <c r="H1034" s="15" t="s">
        <v>83</v>
      </c>
      <c r="I1034" s="14" t="s">
        <v>9</v>
      </c>
      <c r="J1034" s="11" t="s">
        <v>103</v>
      </c>
      <c r="K1034" s="12">
        <v>4536.0249999999996</v>
      </c>
      <c r="L1034" s="12">
        <v>4536.0249999999996</v>
      </c>
      <c r="M1034" s="12">
        <v>0</v>
      </c>
      <c r="N1034" s="12">
        <f>L1034*16%</f>
        <v>725.76400000000001</v>
      </c>
      <c r="O1034" s="12">
        <v>3810.2609999999995</v>
      </c>
      <c r="P1034" s="29">
        <v>10</v>
      </c>
    </row>
    <row r="1035" spans="1:17" s="85" customFormat="1" ht="16.5" hidden="1" thickTop="1" thickBot="1" x14ac:dyDescent="0.3">
      <c r="A1035" s="51"/>
      <c r="B1035" s="25" t="s">
        <v>22</v>
      </c>
      <c r="C1035" s="8" t="s">
        <v>25</v>
      </c>
      <c r="D1035" s="7" t="s">
        <v>79</v>
      </c>
      <c r="E1035" s="9" t="s">
        <v>71</v>
      </c>
      <c r="F1035" s="10">
        <v>28</v>
      </c>
      <c r="G1035" s="11" t="s">
        <v>135</v>
      </c>
      <c r="H1035" s="7" t="s">
        <v>83</v>
      </c>
      <c r="I1035" s="11" t="s">
        <v>7</v>
      </c>
      <c r="J1035" s="11" t="s">
        <v>80</v>
      </c>
      <c r="K1035" s="12">
        <v>17695.12745</v>
      </c>
      <c r="L1035" s="12">
        <v>17695.12745</v>
      </c>
      <c r="M1035" s="12">
        <v>0</v>
      </c>
      <c r="N1035" s="12">
        <v>0</v>
      </c>
      <c r="O1035" s="12">
        <v>17695.12745</v>
      </c>
      <c r="P1035" s="29">
        <v>18</v>
      </c>
    </row>
    <row r="1036" spans="1:17" s="85" customFormat="1" ht="16.5" hidden="1" thickTop="1" thickBot="1" x14ac:dyDescent="0.3">
      <c r="A1036" s="52"/>
      <c r="B1036" s="40" t="s">
        <v>5</v>
      </c>
      <c r="C1036" s="41" t="s">
        <v>0</v>
      </c>
      <c r="D1036" s="42" t="s">
        <v>79</v>
      </c>
      <c r="E1036" s="9" t="s">
        <v>71</v>
      </c>
      <c r="F1036" s="44">
        <v>8</v>
      </c>
      <c r="G1036" s="45" t="s">
        <v>6</v>
      </c>
      <c r="H1036" s="42" t="s">
        <v>85</v>
      </c>
      <c r="I1036" s="45" t="s">
        <v>7</v>
      </c>
      <c r="J1036" s="45" t="s">
        <v>103</v>
      </c>
      <c r="K1036" s="12">
        <v>41245.995459655351</v>
      </c>
      <c r="L1036" s="12">
        <v>41245.995459655351</v>
      </c>
      <c r="M1036" s="12">
        <v>0</v>
      </c>
      <c r="N1036" s="46">
        <v>1866.3346361835002</v>
      </c>
      <c r="O1036" s="12">
        <v>39379.660823471851</v>
      </c>
      <c r="P1036" s="47">
        <v>10</v>
      </c>
      <c r="Q1036" s="85" t="s">
        <v>156</v>
      </c>
    </row>
    <row r="1037" spans="1:17" s="85" customFormat="1" ht="16.5" hidden="1" thickTop="1" thickBot="1" x14ac:dyDescent="0.3">
      <c r="A1037" s="51"/>
      <c r="B1037" s="25" t="s">
        <v>11</v>
      </c>
      <c r="C1037" s="8" t="s">
        <v>0</v>
      </c>
      <c r="D1037" s="7" t="s">
        <v>79</v>
      </c>
      <c r="E1037" s="9" t="s">
        <v>71</v>
      </c>
      <c r="F1037" s="44">
        <v>8</v>
      </c>
      <c r="G1037" s="11" t="s">
        <v>8</v>
      </c>
      <c r="H1037" s="7" t="s">
        <v>85</v>
      </c>
      <c r="I1037" s="11" t="s">
        <v>7</v>
      </c>
      <c r="J1037" s="11" t="s">
        <v>103</v>
      </c>
      <c r="K1037" s="12">
        <v>19327.518303502504</v>
      </c>
      <c r="L1037" s="12">
        <v>19327.518303502504</v>
      </c>
      <c r="M1037" s="12">
        <v>0</v>
      </c>
      <c r="N1037" s="12">
        <v>874.54833952500019</v>
      </c>
      <c r="O1037" s="12">
        <v>18452.969963977503</v>
      </c>
      <c r="P1037" s="29">
        <v>10</v>
      </c>
      <c r="Q1037" s="85" t="s">
        <v>156</v>
      </c>
    </row>
    <row r="1038" spans="1:17" s="85" customFormat="1" ht="16.5" hidden="1" thickTop="1" thickBot="1" x14ac:dyDescent="0.3">
      <c r="A1038" s="51"/>
      <c r="B1038" s="25" t="s">
        <v>11</v>
      </c>
      <c r="C1038" s="8" t="s">
        <v>0</v>
      </c>
      <c r="D1038" s="7" t="s">
        <v>79</v>
      </c>
      <c r="E1038" s="9" t="s">
        <v>71</v>
      </c>
      <c r="F1038" s="44">
        <v>8</v>
      </c>
      <c r="G1038" s="11" t="s">
        <v>8</v>
      </c>
      <c r="H1038" s="7" t="s">
        <v>85</v>
      </c>
      <c r="I1038" s="11" t="s">
        <v>97</v>
      </c>
      <c r="J1038" s="11" t="s">
        <v>103</v>
      </c>
      <c r="K1038" s="12">
        <v>19327.518303502504</v>
      </c>
      <c r="L1038" s="12">
        <v>19327.518303502504</v>
      </c>
      <c r="M1038" s="12">
        <v>0</v>
      </c>
      <c r="N1038" s="12">
        <v>874.54833952500019</v>
      </c>
      <c r="O1038" s="12">
        <v>18452.969963977503</v>
      </c>
      <c r="P1038" s="29">
        <v>10</v>
      </c>
      <c r="Q1038" s="85" t="s">
        <v>156</v>
      </c>
    </row>
    <row r="1039" spans="1:17" s="85" customFormat="1" ht="16.5" hidden="1" thickTop="1" thickBot="1" x14ac:dyDescent="0.3">
      <c r="A1039" s="51"/>
      <c r="B1039" s="25" t="s">
        <v>183</v>
      </c>
      <c r="C1039" s="8" t="s">
        <v>0</v>
      </c>
      <c r="D1039" s="7" t="s">
        <v>79</v>
      </c>
      <c r="E1039" s="9" t="s">
        <v>71</v>
      </c>
      <c r="F1039" s="44">
        <v>8</v>
      </c>
      <c r="G1039" s="11" t="s">
        <v>8</v>
      </c>
      <c r="H1039" s="7" t="s">
        <v>85</v>
      </c>
      <c r="I1039" s="11" t="s">
        <v>9</v>
      </c>
      <c r="J1039" s="11" t="s">
        <v>103</v>
      </c>
      <c r="K1039" s="12">
        <v>16926.608031693751</v>
      </c>
      <c r="L1039" s="12">
        <v>16926.608031693751</v>
      </c>
      <c r="M1039" s="12">
        <v>0</v>
      </c>
      <c r="N1039" s="12">
        <v>765.90986568750009</v>
      </c>
      <c r="O1039" s="12">
        <v>16160.698166006252</v>
      </c>
      <c r="P1039" s="29">
        <v>10</v>
      </c>
      <c r="Q1039" s="85" t="s">
        <v>156</v>
      </c>
    </row>
    <row r="1040" spans="1:17" s="85" customFormat="1" ht="16.5" hidden="1" thickTop="1" thickBot="1" x14ac:dyDescent="0.3">
      <c r="A1040" s="51"/>
      <c r="B1040" s="25" t="s">
        <v>183</v>
      </c>
      <c r="C1040" s="8" t="s">
        <v>0</v>
      </c>
      <c r="D1040" s="7" t="s">
        <v>79</v>
      </c>
      <c r="E1040" s="9" t="s">
        <v>71</v>
      </c>
      <c r="F1040" s="44">
        <v>8</v>
      </c>
      <c r="G1040" s="11" t="s">
        <v>8</v>
      </c>
      <c r="H1040" s="7" t="s">
        <v>85</v>
      </c>
      <c r="I1040" s="11" t="s">
        <v>15</v>
      </c>
      <c r="J1040" s="11" t="s">
        <v>103</v>
      </c>
      <c r="K1040" s="12">
        <v>14433.306181368749</v>
      </c>
      <c r="L1040" s="12">
        <v>14433.306181368749</v>
      </c>
      <c r="M1040" s="12">
        <v>0</v>
      </c>
      <c r="N1040" s="12">
        <v>653.09077743750004</v>
      </c>
      <c r="O1040" s="12">
        <v>13780.215403931248</v>
      </c>
      <c r="P1040" s="29">
        <v>10</v>
      </c>
      <c r="Q1040" s="85" t="s">
        <v>156</v>
      </c>
    </row>
    <row r="1041" spans="1:17" s="85" customFormat="1" ht="16.5" hidden="1" thickTop="1" thickBot="1" x14ac:dyDescent="0.3">
      <c r="A1041" s="51"/>
      <c r="B1041" s="25" t="s">
        <v>10</v>
      </c>
      <c r="C1041" s="8" t="s">
        <v>0</v>
      </c>
      <c r="D1041" s="7" t="s">
        <v>79</v>
      </c>
      <c r="E1041" s="9" t="s">
        <v>71</v>
      </c>
      <c r="F1041" s="44">
        <v>8</v>
      </c>
      <c r="G1041" s="11" t="s">
        <v>8</v>
      </c>
      <c r="H1041" s="7" t="s">
        <v>85</v>
      </c>
      <c r="I1041" s="11" t="s">
        <v>96</v>
      </c>
      <c r="J1041" s="11" t="s">
        <v>103</v>
      </c>
      <c r="K1041" s="12">
        <v>2000</v>
      </c>
      <c r="L1041" s="12">
        <v>2000</v>
      </c>
      <c r="M1041" s="12">
        <v>0</v>
      </c>
      <c r="N1041" s="12">
        <v>0</v>
      </c>
      <c r="O1041" s="12">
        <v>2000</v>
      </c>
      <c r="P1041" s="29">
        <v>10</v>
      </c>
      <c r="Q1041" s="85" t="s">
        <v>156</v>
      </c>
    </row>
    <row r="1042" spans="1:17" s="85" customFormat="1" ht="16.5" hidden="1" thickTop="1" thickBot="1" x14ac:dyDescent="0.3">
      <c r="A1042" s="51"/>
      <c r="B1042" s="25" t="s">
        <v>10</v>
      </c>
      <c r="C1042" s="8" t="s">
        <v>0</v>
      </c>
      <c r="D1042" s="7" t="s">
        <v>79</v>
      </c>
      <c r="E1042" s="9" t="s">
        <v>71</v>
      </c>
      <c r="F1042" s="44">
        <v>8</v>
      </c>
      <c r="G1042" s="11" t="s">
        <v>8</v>
      </c>
      <c r="H1042" s="7" t="s">
        <v>85</v>
      </c>
      <c r="I1042" s="11" t="s">
        <v>96</v>
      </c>
      <c r="J1042" s="11" t="s">
        <v>103</v>
      </c>
      <c r="K1042" s="12">
        <v>200</v>
      </c>
      <c r="L1042" s="12">
        <v>200</v>
      </c>
      <c r="M1042" s="12">
        <v>0</v>
      </c>
      <c r="N1042" s="12">
        <v>0</v>
      </c>
      <c r="O1042" s="12">
        <v>200</v>
      </c>
      <c r="P1042" s="29">
        <v>10</v>
      </c>
      <c r="Q1042" s="85" t="s">
        <v>156</v>
      </c>
    </row>
    <row r="1043" spans="1:17" s="85" customFormat="1" ht="16.5" hidden="1" thickTop="1" thickBot="1" x14ac:dyDescent="0.3">
      <c r="A1043" s="51"/>
      <c r="B1043" s="25" t="s">
        <v>11</v>
      </c>
      <c r="C1043" s="8" t="s">
        <v>0</v>
      </c>
      <c r="D1043" s="7" t="s">
        <v>79</v>
      </c>
      <c r="E1043" s="9" t="s">
        <v>71</v>
      </c>
      <c r="F1043" s="10">
        <v>14</v>
      </c>
      <c r="G1043" s="11" t="s">
        <v>139</v>
      </c>
      <c r="H1043" s="7" t="s">
        <v>84</v>
      </c>
      <c r="I1043" s="11" t="s">
        <v>7</v>
      </c>
      <c r="J1043" s="11" t="s">
        <v>103</v>
      </c>
      <c r="K1043" s="12">
        <v>16311.633340859998</v>
      </c>
      <c r="L1043" s="12">
        <v>16311.633340859998</v>
      </c>
      <c r="M1043" s="12">
        <v>0</v>
      </c>
      <c r="N1043" s="12">
        <v>738.08295659999999</v>
      </c>
      <c r="O1043" s="12">
        <v>15573.550384259999</v>
      </c>
      <c r="P1043" s="29">
        <v>15</v>
      </c>
      <c r="Q1043" s="85" t="s">
        <v>156</v>
      </c>
    </row>
    <row r="1044" spans="1:17" s="85" customFormat="1" ht="16.5" hidden="1" thickTop="1" thickBot="1" x14ac:dyDescent="0.3">
      <c r="A1044" s="51"/>
      <c r="B1044" s="25" t="s">
        <v>13</v>
      </c>
      <c r="C1044" s="8" t="s">
        <v>0</v>
      </c>
      <c r="D1044" s="7" t="s">
        <v>79</v>
      </c>
      <c r="E1044" s="9" t="s">
        <v>71</v>
      </c>
      <c r="F1044" s="10">
        <v>14</v>
      </c>
      <c r="G1044" s="11" t="s">
        <v>139</v>
      </c>
      <c r="H1044" s="7" t="s">
        <v>84</v>
      </c>
      <c r="I1044" s="11" t="s">
        <v>9</v>
      </c>
      <c r="J1044" s="11" t="s">
        <v>103</v>
      </c>
      <c r="K1044" s="12">
        <v>4158.1260499999999</v>
      </c>
      <c r="L1044" s="12">
        <v>4158.1260499999999</v>
      </c>
      <c r="M1044" s="12">
        <v>0</v>
      </c>
      <c r="N1044" s="12">
        <v>188.15050000000002</v>
      </c>
      <c r="O1044" s="12">
        <v>3969.9755499999997</v>
      </c>
      <c r="P1044" s="29">
        <v>15</v>
      </c>
      <c r="Q1044" s="85" t="s">
        <v>156</v>
      </c>
    </row>
    <row r="1045" spans="1:17" s="85" customFormat="1" ht="16.5" hidden="1" thickTop="1" thickBot="1" x14ac:dyDescent="0.3">
      <c r="A1045" s="51"/>
      <c r="B1045" s="25" t="s">
        <v>13</v>
      </c>
      <c r="C1045" s="8" t="s">
        <v>0</v>
      </c>
      <c r="D1045" s="7" t="s">
        <v>79</v>
      </c>
      <c r="E1045" s="9" t="s">
        <v>71</v>
      </c>
      <c r="F1045" s="10">
        <v>14</v>
      </c>
      <c r="G1045" s="11" t="s">
        <v>139</v>
      </c>
      <c r="H1045" s="7" t="s">
        <v>84</v>
      </c>
      <c r="I1045" s="11" t="s">
        <v>15</v>
      </c>
      <c r="J1045" s="11" t="s">
        <v>103</v>
      </c>
      <c r="K1045" s="12">
        <v>5282.5230083924998</v>
      </c>
      <c r="L1045" s="12">
        <v>5282.5230083924998</v>
      </c>
      <c r="M1045" s="12">
        <v>0</v>
      </c>
      <c r="N1045" s="12">
        <v>239.02819042500002</v>
      </c>
      <c r="O1045" s="12">
        <v>5043.4948179675002</v>
      </c>
      <c r="P1045" s="29">
        <v>15</v>
      </c>
      <c r="Q1045" s="85" t="s">
        <v>156</v>
      </c>
    </row>
    <row r="1046" spans="1:17" s="85" customFormat="1" ht="16.5" hidden="1" thickTop="1" thickBot="1" x14ac:dyDescent="0.3">
      <c r="A1046" s="51"/>
      <c r="B1046" s="25" t="s">
        <v>10</v>
      </c>
      <c r="C1046" s="8" t="s">
        <v>0</v>
      </c>
      <c r="D1046" s="7" t="s">
        <v>79</v>
      </c>
      <c r="E1046" s="9" t="s">
        <v>71</v>
      </c>
      <c r="F1046" s="10">
        <v>14</v>
      </c>
      <c r="G1046" s="11" t="s">
        <v>139</v>
      </c>
      <c r="H1046" s="7" t="s">
        <v>84</v>
      </c>
      <c r="I1046" s="11" t="s">
        <v>96</v>
      </c>
      <c r="J1046" s="11" t="s">
        <v>103</v>
      </c>
      <c r="K1046" s="12">
        <v>500</v>
      </c>
      <c r="L1046" s="12">
        <v>500</v>
      </c>
      <c r="M1046" s="12">
        <v>0</v>
      </c>
      <c r="N1046" s="12">
        <v>0</v>
      </c>
      <c r="O1046" s="12">
        <v>500</v>
      </c>
      <c r="P1046" s="29">
        <v>15</v>
      </c>
      <c r="Q1046" s="85" t="s">
        <v>156</v>
      </c>
    </row>
    <row r="1047" spans="1:17" s="85" customFormat="1" ht="16.5" hidden="1" thickTop="1" thickBot="1" x14ac:dyDescent="0.3">
      <c r="A1047" s="51"/>
      <c r="B1047" s="25" t="s">
        <v>11</v>
      </c>
      <c r="C1047" s="8" t="s">
        <v>0</v>
      </c>
      <c r="D1047" s="7" t="s">
        <v>79</v>
      </c>
      <c r="E1047" s="9" t="s">
        <v>71</v>
      </c>
      <c r="F1047" s="10">
        <v>20</v>
      </c>
      <c r="G1047" s="11" t="s">
        <v>16</v>
      </c>
      <c r="H1047" s="7" t="s">
        <v>85</v>
      </c>
      <c r="I1047" s="11" t="s">
        <v>7</v>
      </c>
      <c r="J1047" s="11" t="s">
        <v>103</v>
      </c>
      <c r="K1047" s="12">
        <v>17144.075000000001</v>
      </c>
      <c r="L1047" s="12">
        <v>17144.075000000001</v>
      </c>
      <c r="M1047" s="12">
        <v>0</v>
      </c>
      <c r="N1047" s="12">
        <f>L1047*14%</f>
        <v>2400.1705000000002</v>
      </c>
      <c r="O1047" s="12">
        <v>14401.023000000001</v>
      </c>
      <c r="P1047" s="29">
        <v>15</v>
      </c>
    </row>
    <row r="1048" spans="1:17" s="85" customFormat="1" ht="16.5" hidden="1" thickTop="1" thickBot="1" x14ac:dyDescent="0.3">
      <c r="A1048" s="51"/>
      <c r="B1048" s="25" t="s">
        <v>13</v>
      </c>
      <c r="C1048" s="8" t="s">
        <v>0</v>
      </c>
      <c r="D1048" s="7" t="s">
        <v>79</v>
      </c>
      <c r="E1048" s="9" t="s">
        <v>71</v>
      </c>
      <c r="F1048" s="10">
        <v>20</v>
      </c>
      <c r="G1048" s="11" t="s">
        <v>16</v>
      </c>
      <c r="H1048" s="7" t="s">
        <v>85</v>
      </c>
      <c r="I1048" s="11" t="s">
        <v>113</v>
      </c>
      <c r="J1048" s="11" t="s">
        <v>103</v>
      </c>
      <c r="K1048" s="12">
        <v>1657.5</v>
      </c>
      <c r="L1048" s="12">
        <v>1657.5</v>
      </c>
      <c r="M1048" s="12">
        <v>0</v>
      </c>
      <c r="N1048" s="12">
        <f>L1048*16%</f>
        <v>265.2</v>
      </c>
      <c r="O1048" s="12">
        <v>1392.3</v>
      </c>
      <c r="P1048" s="29">
        <v>15</v>
      </c>
    </row>
    <row r="1049" spans="1:17" s="85" customFormat="1" ht="16.5" hidden="1" thickTop="1" thickBot="1" x14ac:dyDescent="0.3">
      <c r="A1049" s="51"/>
      <c r="B1049" s="25" t="s">
        <v>13</v>
      </c>
      <c r="C1049" s="8" t="s">
        <v>0</v>
      </c>
      <c r="D1049" s="7" t="s">
        <v>79</v>
      </c>
      <c r="E1049" s="9" t="s">
        <v>71</v>
      </c>
      <c r="F1049" s="10">
        <v>20</v>
      </c>
      <c r="G1049" s="11" t="s">
        <v>16</v>
      </c>
      <c r="H1049" s="7" t="s">
        <v>85</v>
      </c>
      <c r="I1049" s="11" t="s">
        <v>9</v>
      </c>
      <c r="J1049" s="11" t="s">
        <v>103</v>
      </c>
      <c r="K1049" s="12">
        <v>8265.4</v>
      </c>
      <c r="L1049" s="12">
        <v>8265.4</v>
      </c>
      <c r="M1049" s="12">
        <v>0</v>
      </c>
      <c r="N1049" s="12">
        <f>L1049*16%</f>
        <v>1322.4639999999999</v>
      </c>
      <c r="O1049" s="12">
        <v>6942.9359999999997</v>
      </c>
      <c r="P1049" s="29">
        <v>15</v>
      </c>
    </row>
    <row r="1050" spans="1:17" s="85" customFormat="1" ht="16.5" hidden="1" thickTop="1" thickBot="1" x14ac:dyDescent="0.3">
      <c r="A1050" s="51"/>
      <c r="B1050" s="25" t="s">
        <v>13</v>
      </c>
      <c r="C1050" s="8" t="s">
        <v>0</v>
      </c>
      <c r="D1050" s="7" t="s">
        <v>79</v>
      </c>
      <c r="E1050" s="9" t="s">
        <v>71</v>
      </c>
      <c r="F1050" s="10">
        <v>20</v>
      </c>
      <c r="G1050" s="11" t="s">
        <v>16</v>
      </c>
      <c r="H1050" s="7" t="s">
        <v>85</v>
      </c>
      <c r="I1050" s="11" t="s">
        <v>15</v>
      </c>
      <c r="J1050" s="11" t="s">
        <v>103</v>
      </c>
      <c r="K1050" s="12">
        <v>7542.73</v>
      </c>
      <c r="L1050" s="12">
        <v>7542.73</v>
      </c>
      <c r="M1050" s="12">
        <v>0</v>
      </c>
      <c r="N1050" s="12">
        <f>L1050*16%</f>
        <v>1206.8368</v>
      </c>
      <c r="O1050" s="12">
        <v>6335.8931999999995</v>
      </c>
      <c r="P1050" s="29">
        <v>15</v>
      </c>
    </row>
    <row r="1051" spans="1:17" s="85" customFormat="1" ht="16.5" hidden="1" thickTop="1" thickBot="1" x14ac:dyDescent="0.3">
      <c r="A1051" s="51"/>
      <c r="B1051" s="25" t="s">
        <v>13</v>
      </c>
      <c r="C1051" s="8" t="s">
        <v>0</v>
      </c>
      <c r="D1051" s="7" t="s">
        <v>79</v>
      </c>
      <c r="E1051" s="9" t="s">
        <v>71</v>
      </c>
      <c r="F1051" s="10">
        <v>10</v>
      </c>
      <c r="G1051" s="11" t="s">
        <v>18</v>
      </c>
      <c r="H1051" s="7" t="s">
        <v>85</v>
      </c>
      <c r="I1051" s="11" t="s">
        <v>9</v>
      </c>
      <c r="J1051" s="11" t="s">
        <v>103</v>
      </c>
      <c r="K1051" s="12">
        <v>4589.40895335</v>
      </c>
      <c r="L1051" s="12">
        <v>4589.40895335</v>
      </c>
      <c r="M1051" s="12">
        <v>0</v>
      </c>
      <c r="N1051" s="12">
        <v>207.66556350000002</v>
      </c>
      <c r="O1051" s="12">
        <v>4381.7433898500003</v>
      </c>
      <c r="P1051" s="29">
        <v>10</v>
      </c>
    </row>
    <row r="1052" spans="1:17" s="85" customFormat="1" ht="16.5" hidden="1" thickTop="1" thickBot="1" x14ac:dyDescent="0.3">
      <c r="A1052" s="51"/>
      <c r="B1052" s="25" t="s">
        <v>11</v>
      </c>
      <c r="C1052" s="8" t="s">
        <v>0</v>
      </c>
      <c r="D1052" s="7" t="s">
        <v>79</v>
      </c>
      <c r="E1052" s="9" t="s">
        <v>71</v>
      </c>
      <c r="F1052" s="10">
        <v>22</v>
      </c>
      <c r="G1052" s="11" t="s">
        <v>24</v>
      </c>
      <c r="H1052" s="7" t="s">
        <v>83</v>
      </c>
      <c r="I1052" s="11" t="s">
        <v>7</v>
      </c>
      <c r="J1052" s="11" t="s">
        <v>80</v>
      </c>
      <c r="K1052" s="12">
        <v>61581.4</v>
      </c>
      <c r="L1052" s="12">
        <f>K1052</f>
        <v>61581.4</v>
      </c>
      <c r="M1052" s="12">
        <v>0</v>
      </c>
      <c r="N1052" s="12">
        <f>L1052*14%</f>
        <v>8621.3960000000006</v>
      </c>
      <c r="O1052" s="12">
        <f>L1052-N1052</f>
        <v>52960.004000000001</v>
      </c>
      <c r="P1052" s="29">
        <v>12</v>
      </c>
    </row>
    <row r="1053" spans="1:17" s="85" customFormat="1" ht="16.5" hidden="1" thickTop="1" thickBot="1" x14ac:dyDescent="0.3">
      <c r="A1053" s="51"/>
      <c r="B1053" s="25" t="s">
        <v>13</v>
      </c>
      <c r="C1053" s="8" t="s">
        <v>0</v>
      </c>
      <c r="D1053" s="7" t="s">
        <v>79</v>
      </c>
      <c r="E1053" s="9" t="s">
        <v>71</v>
      </c>
      <c r="F1053" s="10">
        <v>22</v>
      </c>
      <c r="G1053" s="11" t="s">
        <v>24</v>
      </c>
      <c r="H1053" s="7" t="s">
        <v>83</v>
      </c>
      <c r="I1053" s="11" t="s">
        <v>9</v>
      </c>
      <c r="J1053" s="11" t="s">
        <v>80</v>
      </c>
      <c r="K1053" s="12">
        <v>12949</v>
      </c>
      <c r="L1053" s="12">
        <f>K1053</f>
        <v>12949</v>
      </c>
      <c r="M1053" s="12">
        <v>0</v>
      </c>
      <c r="N1053" s="12">
        <f>L1053*16%</f>
        <v>2071.84</v>
      </c>
      <c r="O1053" s="12">
        <f>L1053-N1053</f>
        <v>10877.16</v>
      </c>
      <c r="P1053" s="29">
        <v>12</v>
      </c>
    </row>
    <row r="1054" spans="1:17" s="85" customFormat="1" ht="16.5" hidden="1" thickTop="1" thickBot="1" x14ac:dyDescent="0.3">
      <c r="A1054" s="51"/>
      <c r="B1054" s="25" t="s">
        <v>10</v>
      </c>
      <c r="C1054" s="8" t="s">
        <v>0</v>
      </c>
      <c r="D1054" s="7" t="s">
        <v>79</v>
      </c>
      <c r="E1054" s="9" t="s">
        <v>71</v>
      </c>
      <c r="F1054" s="10">
        <v>22</v>
      </c>
      <c r="G1054" s="11" t="s">
        <v>24</v>
      </c>
      <c r="H1054" s="7" t="s">
        <v>83</v>
      </c>
      <c r="I1054" s="11" t="s">
        <v>96</v>
      </c>
      <c r="J1054" s="11" t="s">
        <v>80</v>
      </c>
      <c r="K1054" s="12">
        <v>1500</v>
      </c>
      <c r="L1054" s="12">
        <v>1500</v>
      </c>
      <c r="M1054" s="12">
        <v>0</v>
      </c>
      <c r="N1054" s="12">
        <v>0</v>
      </c>
      <c r="O1054" s="12">
        <v>1500</v>
      </c>
      <c r="P1054" s="29">
        <v>12</v>
      </c>
    </row>
    <row r="1055" spans="1:17" s="85" customFormat="1" ht="16.5" hidden="1" thickTop="1" thickBot="1" x14ac:dyDescent="0.3">
      <c r="A1055" s="51"/>
      <c r="B1055" s="25" t="s">
        <v>5</v>
      </c>
      <c r="C1055" s="8" t="s">
        <v>25</v>
      </c>
      <c r="D1055" s="7" t="s">
        <v>79</v>
      </c>
      <c r="E1055" s="9" t="s">
        <v>71</v>
      </c>
      <c r="F1055" s="10">
        <v>5</v>
      </c>
      <c r="G1055" s="11" t="s">
        <v>26</v>
      </c>
      <c r="H1055" s="7" t="s">
        <v>83</v>
      </c>
      <c r="I1055" s="11" t="s">
        <v>7</v>
      </c>
      <c r="J1055" s="11" t="s">
        <v>80</v>
      </c>
      <c r="K1055" s="12">
        <v>21868.658146266753</v>
      </c>
      <c r="L1055" s="12">
        <f t="shared" ref="L1055:L1061" si="68">K1055</f>
        <v>21868.658146266753</v>
      </c>
      <c r="M1055" s="12">
        <v>0</v>
      </c>
      <c r="N1055" s="12">
        <v>0</v>
      </c>
      <c r="O1055" s="12">
        <v>21868.658146266753</v>
      </c>
      <c r="P1055" s="29">
        <v>29</v>
      </c>
    </row>
    <row r="1056" spans="1:17" s="85" customFormat="1" ht="16.5" hidden="1" thickTop="1" thickBot="1" x14ac:dyDescent="0.3">
      <c r="A1056" s="51"/>
      <c r="B1056" s="25" t="s">
        <v>5</v>
      </c>
      <c r="C1056" s="8" t="s">
        <v>25</v>
      </c>
      <c r="D1056" s="7" t="s">
        <v>79</v>
      </c>
      <c r="E1056" s="9" t="s">
        <v>71</v>
      </c>
      <c r="F1056" s="10">
        <v>5</v>
      </c>
      <c r="G1056" s="11" t="s">
        <v>26</v>
      </c>
      <c r="H1056" s="7" t="s">
        <v>83</v>
      </c>
      <c r="I1056" s="11" t="s">
        <v>9</v>
      </c>
      <c r="J1056" s="11" t="s">
        <v>80</v>
      </c>
      <c r="K1056" s="12">
        <v>4791.7362231179995</v>
      </c>
      <c r="L1056" s="12">
        <f t="shared" si="68"/>
        <v>4791.7362231179995</v>
      </c>
      <c r="M1056" s="12">
        <v>0</v>
      </c>
      <c r="N1056" s="12">
        <v>0</v>
      </c>
      <c r="O1056" s="12">
        <v>4791.7362231179995</v>
      </c>
      <c r="P1056" s="29">
        <v>29</v>
      </c>
    </row>
    <row r="1057" spans="1:16" s="85" customFormat="1" ht="16.5" hidden="1" thickTop="1" thickBot="1" x14ac:dyDescent="0.3">
      <c r="A1057" s="51"/>
      <c r="B1057" s="25" t="s">
        <v>5</v>
      </c>
      <c r="C1057" s="8" t="s">
        <v>25</v>
      </c>
      <c r="D1057" s="7" t="s">
        <v>79</v>
      </c>
      <c r="E1057" s="9" t="s">
        <v>71</v>
      </c>
      <c r="F1057" s="10">
        <v>5</v>
      </c>
      <c r="G1057" s="11" t="s">
        <v>27</v>
      </c>
      <c r="H1057" s="7" t="s">
        <v>83</v>
      </c>
      <c r="I1057" s="11" t="s">
        <v>141</v>
      </c>
      <c r="J1057" s="11" t="s">
        <v>80</v>
      </c>
      <c r="K1057" s="12">
        <v>6193.06</v>
      </c>
      <c r="L1057" s="12">
        <f t="shared" si="68"/>
        <v>6193.06</v>
      </c>
      <c r="M1057" s="12">
        <v>0</v>
      </c>
      <c r="N1057" s="12">
        <v>0</v>
      </c>
      <c r="O1057" s="12">
        <v>6193.06</v>
      </c>
      <c r="P1057" s="29">
        <v>29</v>
      </c>
    </row>
    <row r="1058" spans="1:16" s="85" customFormat="1" ht="16.5" hidden="1" thickTop="1" thickBot="1" x14ac:dyDescent="0.3">
      <c r="A1058" s="51"/>
      <c r="B1058" s="25" t="s">
        <v>5</v>
      </c>
      <c r="C1058" s="8" t="s">
        <v>25</v>
      </c>
      <c r="D1058" s="7" t="s">
        <v>79</v>
      </c>
      <c r="E1058" s="9" t="s">
        <v>71</v>
      </c>
      <c r="F1058" s="10">
        <v>5</v>
      </c>
      <c r="G1058" s="11" t="s">
        <v>27</v>
      </c>
      <c r="H1058" s="7" t="s">
        <v>83</v>
      </c>
      <c r="I1058" s="11" t="s">
        <v>7</v>
      </c>
      <c r="J1058" s="11" t="s">
        <v>80</v>
      </c>
      <c r="K1058" s="12">
        <v>21868.658146266745</v>
      </c>
      <c r="L1058" s="12">
        <f t="shared" si="68"/>
        <v>21868.658146266745</v>
      </c>
      <c r="M1058" s="12">
        <v>0</v>
      </c>
      <c r="N1058" s="12">
        <v>0</v>
      </c>
      <c r="O1058" s="12">
        <v>21868.658146266745</v>
      </c>
      <c r="P1058" s="29">
        <v>29</v>
      </c>
    </row>
    <row r="1059" spans="1:16" s="85" customFormat="1" ht="16.5" hidden="1" thickTop="1" thickBot="1" x14ac:dyDescent="0.3">
      <c r="A1059" s="51"/>
      <c r="B1059" s="25" t="s">
        <v>5</v>
      </c>
      <c r="C1059" s="8" t="s">
        <v>25</v>
      </c>
      <c r="D1059" s="7" t="s">
        <v>79</v>
      </c>
      <c r="E1059" s="9" t="s">
        <v>71</v>
      </c>
      <c r="F1059" s="10">
        <v>5</v>
      </c>
      <c r="G1059" s="11" t="s">
        <v>27</v>
      </c>
      <c r="H1059" s="7" t="s">
        <v>83</v>
      </c>
      <c r="I1059" s="11" t="s">
        <v>9</v>
      </c>
      <c r="J1059" s="11" t="s">
        <v>80</v>
      </c>
      <c r="K1059" s="12">
        <v>4791.7362231179995</v>
      </c>
      <c r="L1059" s="12">
        <f t="shared" si="68"/>
        <v>4791.7362231179995</v>
      </c>
      <c r="M1059" s="12">
        <v>0</v>
      </c>
      <c r="N1059" s="12">
        <v>0</v>
      </c>
      <c r="O1059" s="12">
        <v>4791.7362231179995</v>
      </c>
      <c r="P1059" s="29">
        <v>29</v>
      </c>
    </row>
    <row r="1060" spans="1:16" s="85" customFormat="1" ht="16.5" hidden="1" thickTop="1" thickBot="1" x14ac:dyDescent="0.3">
      <c r="A1060" s="51"/>
      <c r="B1060" s="25" t="s">
        <v>5</v>
      </c>
      <c r="C1060" s="8" t="s">
        <v>25</v>
      </c>
      <c r="D1060" s="7" t="s">
        <v>79</v>
      </c>
      <c r="E1060" s="9" t="s">
        <v>71</v>
      </c>
      <c r="F1060" s="10">
        <v>5</v>
      </c>
      <c r="G1060" s="11" t="s">
        <v>27</v>
      </c>
      <c r="H1060" s="7" t="s">
        <v>83</v>
      </c>
      <c r="I1060" s="11" t="s">
        <v>113</v>
      </c>
      <c r="J1060" s="11" t="s">
        <v>80</v>
      </c>
      <c r="K1060" s="12">
        <v>2015.0660041200001</v>
      </c>
      <c r="L1060" s="12">
        <f t="shared" si="68"/>
        <v>2015.0660041200001</v>
      </c>
      <c r="M1060" s="12">
        <v>0</v>
      </c>
      <c r="N1060" s="12">
        <v>0</v>
      </c>
      <c r="O1060" s="12">
        <v>2015.0660041200001</v>
      </c>
      <c r="P1060" s="29">
        <v>29</v>
      </c>
    </row>
    <row r="1061" spans="1:16" s="85" customFormat="1" ht="16.5" hidden="1" thickTop="1" thickBot="1" x14ac:dyDescent="0.3">
      <c r="A1061" s="51"/>
      <c r="B1061" s="25" t="s">
        <v>22</v>
      </c>
      <c r="C1061" s="8" t="s">
        <v>25</v>
      </c>
      <c r="D1061" s="7" t="s">
        <v>79</v>
      </c>
      <c r="E1061" s="9" t="s">
        <v>71</v>
      </c>
      <c r="F1061" s="10">
        <v>20</v>
      </c>
      <c r="G1061" s="11" t="s">
        <v>29</v>
      </c>
      <c r="H1061" s="7" t="s">
        <v>83</v>
      </c>
      <c r="I1061" s="11" t="s">
        <v>9</v>
      </c>
      <c r="J1061" s="11" t="s">
        <v>80</v>
      </c>
      <c r="K1061" s="12">
        <v>8124.51</v>
      </c>
      <c r="L1061" s="12">
        <f t="shared" si="68"/>
        <v>8124.51</v>
      </c>
      <c r="M1061" s="12">
        <v>0</v>
      </c>
      <c r="N1061" s="12">
        <v>0</v>
      </c>
      <c r="O1061" s="12">
        <v>2240.7039719999998</v>
      </c>
      <c r="P1061" s="29">
        <v>10</v>
      </c>
    </row>
    <row r="1062" spans="1:16" s="85" customFormat="1" ht="16.5" hidden="1" thickTop="1" thickBot="1" x14ac:dyDescent="0.3">
      <c r="A1062" s="51"/>
      <c r="B1062" s="25" t="s">
        <v>22</v>
      </c>
      <c r="C1062" s="8" t="s">
        <v>25</v>
      </c>
      <c r="D1062" s="7" t="s">
        <v>79</v>
      </c>
      <c r="E1062" s="9" t="s">
        <v>71</v>
      </c>
      <c r="F1062" s="10">
        <v>20</v>
      </c>
      <c r="G1062" s="13" t="s">
        <v>31</v>
      </c>
      <c r="H1062" s="7" t="s">
        <v>83</v>
      </c>
      <c r="I1062" s="11" t="s">
        <v>7</v>
      </c>
      <c r="J1062" s="11" t="s">
        <v>80</v>
      </c>
      <c r="K1062" s="12">
        <v>19669</v>
      </c>
      <c r="L1062" s="12">
        <v>19669</v>
      </c>
      <c r="M1062" s="12">
        <v>0</v>
      </c>
      <c r="N1062" s="12">
        <v>0</v>
      </c>
      <c r="O1062" s="12">
        <v>19669</v>
      </c>
      <c r="P1062" s="29">
        <v>30</v>
      </c>
    </row>
    <row r="1063" spans="1:16" s="85" customFormat="1" ht="16.5" hidden="1" thickTop="1" thickBot="1" x14ac:dyDescent="0.3">
      <c r="A1063" s="51"/>
      <c r="B1063" s="25" t="s">
        <v>5</v>
      </c>
      <c r="C1063" s="8" t="s">
        <v>25</v>
      </c>
      <c r="D1063" s="7" t="s">
        <v>79</v>
      </c>
      <c r="E1063" s="9" t="s">
        <v>71</v>
      </c>
      <c r="F1063" s="10">
        <v>20</v>
      </c>
      <c r="G1063" s="11" t="s">
        <v>32</v>
      </c>
      <c r="H1063" s="7" t="s">
        <v>83</v>
      </c>
      <c r="I1063" s="11" t="s">
        <v>7</v>
      </c>
      <c r="J1063" s="11" t="s">
        <v>80</v>
      </c>
      <c r="K1063" s="12">
        <v>21216.65</v>
      </c>
      <c r="L1063" s="12">
        <v>21216.65</v>
      </c>
      <c r="M1063" s="12">
        <v>0</v>
      </c>
      <c r="N1063" s="12">
        <v>1008.00076721625</v>
      </c>
      <c r="O1063" s="12">
        <v>20208.649232783751</v>
      </c>
      <c r="P1063" s="29">
        <v>10</v>
      </c>
    </row>
    <row r="1064" spans="1:16" s="85" customFormat="1" ht="16.5" hidden="1" thickTop="1" thickBot="1" x14ac:dyDescent="0.3">
      <c r="A1064" s="51"/>
      <c r="B1064" s="25" t="s">
        <v>5</v>
      </c>
      <c r="C1064" s="8" t="s">
        <v>25</v>
      </c>
      <c r="D1064" s="7" t="s">
        <v>79</v>
      </c>
      <c r="E1064" s="9" t="s">
        <v>71</v>
      </c>
      <c r="F1064" s="10">
        <v>20</v>
      </c>
      <c r="G1064" s="11" t="s">
        <v>32</v>
      </c>
      <c r="H1064" s="7" t="s">
        <v>83</v>
      </c>
      <c r="I1064" s="11" t="s">
        <v>97</v>
      </c>
      <c r="J1064" s="11" t="s">
        <v>80</v>
      </c>
      <c r="K1064" s="12">
        <v>10578.83</v>
      </c>
      <c r="L1064" s="12">
        <v>10578.83</v>
      </c>
      <c r="M1064" s="12">
        <v>0</v>
      </c>
      <c r="N1064" s="12">
        <v>502.66571759999999</v>
      </c>
      <c r="O1064" s="12">
        <v>10076.164282399999</v>
      </c>
      <c r="P1064" s="29">
        <v>10</v>
      </c>
    </row>
    <row r="1065" spans="1:16" s="85" customFormat="1" ht="16.5" hidden="1" thickTop="1" thickBot="1" x14ac:dyDescent="0.3">
      <c r="A1065" s="51"/>
      <c r="B1065" s="25" t="s">
        <v>5</v>
      </c>
      <c r="C1065" s="8" t="s">
        <v>25</v>
      </c>
      <c r="D1065" s="7" t="s">
        <v>79</v>
      </c>
      <c r="E1065" s="9" t="s">
        <v>71</v>
      </c>
      <c r="F1065" s="10">
        <v>20</v>
      </c>
      <c r="G1065" s="11" t="s">
        <v>146</v>
      </c>
      <c r="H1065" s="7" t="s">
        <v>83</v>
      </c>
      <c r="I1065" s="11" t="s">
        <v>145</v>
      </c>
      <c r="J1065" s="11" t="s">
        <v>80</v>
      </c>
      <c r="K1065" s="12">
        <v>10637.82</v>
      </c>
      <c r="L1065" s="12">
        <v>10637.82</v>
      </c>
      <c r="M1065" s="12">
        <v>0</v>
      </c>
      <c r="N1065" s="12">
        <v>505.32979499999999</v>
      </c>
      <c r="O1065" s="12">
        <v>10132.490205</v>
      </c>
      <c r="P1065" s="29">
        <v>10</v>
      </c>
    </row>
    <row r="1066" spans="1:16" s="85" customFormat="1" ht="16.5" hidden="1" thickTop="1" thickBot="1" x14ac:dyDescent="0.3">
      <c r="A1066" s="51"/>
      <c r="B1066" s="25" t="s">
        <v>5</v>
      </c>
      <c r="C1066" s="8" t="s">
        <v>25</v>
      </c>
      <c r="D1066" s="7" t="s">
        <v>79</v>
      </c>
      <c r="E1066" s="9" t="s">
        <v>71</v>
      </c>
      <c r="F1066" s="10">
        <v>20</v>
      </c>
      <c r="G1066" s="11" t="s">
        <v>146</v>
      </c>
      <c r="H1066" s="7" t="s">
        <v>83</v>
      </c>
      <c r="I1066" s="11" t="s">
        <v>7</v>
      </c>
      <c r="J1066" s="11" t="s">
        <v>80</v>
      </c>
      <c r="K1066" s="12">
        <v>10048.870000000001</v>
      </c>
      <c r="L1066" s="12">
        <v>10048.870000000001</v>
      </c>
      <c r="M1066" s="12">
        <v>0</v>
      </c>
      <c r="N1066" s="12">
        <v>481.34</v>
      </c>
      <c r="O1066" s="12">
        <v>9567.5300000000007</v>
      </c>
      <c r="P1066" s="29">
        <v>10</v>
      </c>
    </row>
    <row r="1067" spans="1:16" s="85" customFormat="1" ht="16.5" hidden="1" thickTop="1" thickBot="1" x14ac:dyDescent="0.3">
      <c r="A1067" s="51"/>
      <c r="B1067" s="25" t="s">
        <v>5</v>
      </c>
      <c r="C1067" s="8" t="s">
        <v>25</v>
      </c>
      <c r="D1067" s="7" t="s">
        <v>79</v>
      </c>
      <c r="E1067" s="9" t="s">
        <v>71</v>
      </c>
      <c r="F1067" s="10">
        <v>20</v>
      </c>
      <c r="G1067" s="11" t="s">
        <v>32</v>
      </c>
      <c r="H1067" s="7" t="s">
        <v>83</v>
      </c>
      <c r="I1067" s="11" t="s">
        <v>98</v>
      </c>
      <c r="J1067" s="11" t="s">
        <v>80</v>
      </c>
      <c r="K1067" s="12">
        <v>14293.174999999999</v>
      </c>
      <c r="L1067" s="12">
        <v>14293.174999999999</v>
      </c>
      <c r="M1067" s="12">
        <v>0</v>
      </c>
      <c r="N1067" s="12">
        <v>646.75</v>
      </c>
      <c r="O1067" s="12">
        <v>13646.424999999999</v>
      </c>
      <c r="P1067" s="29">
        <v>10</v>
      </c>
    </row>
    <row r="1068" spans="1:16" s="85" customFormat="1" ht="16.5" hidden="1" thickTop="1" thickBot="1" x14ac:dyDescent="0.3">
      <c r="A1068" s="51"/>
      <c r="B1068" s="25" t="s">
        <v>10</v>
      </c>
      <c r="C1068" s="8" t="s">
        <v>25</v>
      </c>
      <c r="D1068" s="7" t="s">
        <v>79</v>
      </c>
      <c r="E1068" s="9" t="s">
        <v>71</v>
      </c>
      <c r="F1068" s="10">
        <v>20</v>
      </c>
      <c r="G1068" s="11" t="s">
        <v>32</v>
      </c>
      <c r="H1068" s="7" t="s">
        <v>83</v>
      </c>
      <c r="I1068" s="11" t="s">
        <v>96</v>
      </c>
      <c r="J1068" s="11" t="s">
        <v>80</v>
      </c>
      <c r="K1068" s="12">
        <v>2000</v>
      </c>
      <c r="L1068" s="12">
        <v>2000</v>
      </c>
      <c r="M1068" s="12">
        <v>0</v>
      </c>
      <c r="N1068" s="12">
        <v>0</v>
      </c>
      <c r="O1068" s="12">
        <v>2000</v>
      </c>
      <c r="P1068" s="29">
        <v>10</v>
      </c>
    </row>
    <row r="1069" spans="1:16" s="85" customFormat="1" ht="16.5" hidden="1" thickTop="1" thickBot="1" x14ac:dyDescent="0.3">
      <c r="A1069" s="51"/>
      <c r="B1069" s="25" t="s">
        <v>11</v>
      </c>
      <c r="C1069" s="8" t="s">
        <v>25</v>
      </c>
      <c r="D1069" s="7" t="s">
        <v>79</v>
      </c>
      <c r="E1069" s="9" t="s">
        <v>71</v>
      </c>
      <c r="F1069" s="10">
        <v>15</v>
      </c>
      <c r="G1069" s="11" t="s">
        <v>33</v>
      </c>
      <c r="H1069" s="7" t="s">
        <v>83</v>
      </c>
      <c r="I1069" s="11" t="s">
        <v>7</v>
      </c>
      <c r="J1069" s="11" t="s">
        <v>80</v>
      </c>
      <c r="K1069" s="12">
        <v>22528.080000000002</v>
      </c>
      <c r="L1069" s="12">
        <f>K1069</f>
        <v>22528.080000000002</v>
      </c>
      <c r="M1069" s="12">
        <v>0</v>
      </c>
      <c r="N1069" s="12">
        <f>L1069*14%</f>
        <v>3153.9312000000004</v>
      </c>
      <c r="O1069" s="12">
        <v>18925.236875999999</v>
      </c>
      <c r="P1069" s="29">
        <v>30</v>
      </c>
    </row>
    <row r="1070" spans="1:16" s="85" customFormat="1" ht="16.5" hidden="1" thickTop="1" thickBot="1" x14ac:dyDescent="0.3">
      <c r="A1070" s="51"/>
      <c r="B1070" s="25" t="s">
        <v>22</v>
      </c>
      <c r="C1070" s="8" t="s">
        <v>25</v>
      </c>
      <c r="D1070" s="7" t="s">
        <v>79</v>
      </c>
      <c r="E1070" s="9" t="s">
        <v>71</v>
      </c>
      <c r="F1070" s="10">
        <v>15</v>
      </c>
      <c r="G1070" s="11" t="s">
        <v>120</v>
      </c>
      <c r="H1070" s="7" t="s">
        <v>83</v>
      </c>
      <c r="I1070" s="11" t="s">
        <v>9</v>
      </c>
      <c r="J1070" s="11" t="s">
        <v>80</v>
      </c>
      <c r="K1070" s="12">
        <v>4285.72</v>
      </c>
      <c r="L1070" s="12">
        <v>4286.7038499999999</v>
      </c>
      <c r="M1070" s="12">
        <v>0</v>
      </c>
      <c r="N1070" s="12">
        <v>0</v>
      </c>
      <c r="O1070" s="12">
        <v>4286.7038499999999</v>
      </c>
      <c r="P1070" s="29">
        <v>30</v>
      </c>
    </row>
    <row r="1071" spans="1:16" s="85" customFormat="1" ht="16.5" hidden="1" thickTop="1" thickBot="1" x14ac:dyDescent="0.3">
      <c r="A1071" s="51"/>
      <c r="B1071" s="25" t="s">
        <v>22</v>
      </c>
      <c r="C1071" s="8" t="s">
        <v>25</v>
      </c>
      <c r="D1071" s="7" t="s">
        <v>79</v>
      </c>
      <c r="E1071" s="9" t="s">
        <v>71</v>
      </c>
      <c r="F1071" s="10">
        <v>15</v>
      </c>
      <c r="G1071" s="11" t="s">
        <v>33</v>
      </c>
      <c r="H1071" s="7" t="s">
        <v>83</v>
      </c>
      <c r="I1071" s="11" t="s">
        <v>9</v>
      </c>
      <c r="J1071" s="11" t="s">
        <v>80</v>
      </c>
      <c r="K1071" s="12">
        <v>8571.4500000000007</v>
      </c>
      <c r="L1071" s="12">
        <v>8573.4076999999997</v>
      </c>
      <c r="M1071" s="12">
        <v>0</v>
      </c>
      <c r="N1071" s="12">
        <v>0</v>
      </c>
      <c r="O1071" s="12">
        <v>8573.4076999999997</v>
      </c>
      <c r="P1071" s="29">
        <v>30</v>
      </c>
    </row>
    <row r="1072" spans="1:16" s="85" customFormat="1" ht="16.5" hidden="1" thickTop="1" thickBot="1" x14ac:dyDescent="0.3">
      <c r="A1072" s="51"/>
      <c r="B1072" s="25" t="s">
        <v>22</v>
      </c>
      <c r="C1072" s="8" t="s">
        <v>60</v>
      </c>
      <c r="D1072" s="7" t="s">
        <v>79</v>
      </c>
      <c r="E1072" s="9" t="s">
        <v>71</v>
      </c>
      <c r="F1072" s="10">
        <v>1</v>
      </c>
      <c r="G1072" s="11" t="s">
        <v>34</v>
      </c>
      <c r="H1072" s="7" t="s">
        <v>87</v>
      </c>
      <c r="I1072" s="11" t="s">
        <v>20</v>
      </c>
      <c r="J1072" s="11" t="s">
        <v>105</v>
      </c>
      <c r="K1072" s="12">
        <v>40851.191603430001</v>
      </c>
      <c r="L1072" s="12">
        <v>24510.714962057998</v>
      </c>
      <c r="M1072" s="12">
        <v>16340.476641372001</v>
      </c>
      <c r="N1072" s="12">
        <v>0</v>
      </c>
      <c r="O1072" s="12">
        <v>40851.191603430001</v>
      </c>
      <c r="P1072" s="29">
        <v>30</v>
      </c>
    </row>
    <row r="1073" spans="1:16" s="85" customFormat="1" ht="16.5" hidden="1" thickTop="1" thickBot="1" x14ac:dyDescent="0.3">
      <c r="A1073" s="51"/>
      <c r="B1073" s="25" t="s">
        <v>22</v>
      </c>
      <c r="C1073" s="8" t="s">
        <v>60</v>
      </c>
      <c r="D1073" s="7" t="s">
        <v>79</v>
      </c>
      <c r="E1073" s="9" t="s">
        <v>71</v>
      </c>
      <c r="F1073" s="10">
        <v>1</v>
      </c>
      <c r="G1073" s="11" t="s">
        <v>34</v>
      </c>
      <c r="H1073" s="7" t="s">
        <v>87</v>
      </c>
      <c r="I1073" s="11" t="s">
        <v>9</v>
      </c>
      <c r="J1073" s="11" t="s">
        <v>105</v>
      </c>
      <c r="K1073" s="126">
        <v>32314.78</v>
      </c>
      <c r="L1073" s="12">
        <v>20012.736873869999</v>
      </c>
      <c r="M1073" s="12">
        <v>13341.82458258</v>
      </c>
      <c r="N1073" s="12">
        <v>0</v>
      </c>
      <c r="O1073" s="12">
        <v>33354.561456449999</v>
      </c>
      <c r="P1073" s="29">
        <v>30</v>
      </c>
    </row>
    <row r="1074" spans="1:16" s="85" customFormat="1" ht="16.5" hidden="1" thickTop="1" thickBot="1" x14ac:dyDescent="0.3">
      <c r="A1074" s="51"/>
      <c r="B1074" s="25" t="s">
        <v>22</v>
      </c>
      <c r="C1074" s="8" t="s">
        <v>60</v>
      </c>
      <c r="D1074" s="7" t="s">
        <v>79</v>
      </c>
      <c r="E1074" s="9" t="s">
        <v>71</v>
      </c>
      <c r="F1074" s="10">
        <v>1</v>
      </c>
      <c r="G1074" s="11" t="s">
        <v>35</v>
      </c>
      <c r="H1074" s="7" t="s">
        <v>83</v>
      </c>
      <c r="I1074" s="11" t="s">
        <v>9</v>
      </c>
      <c r="J1074" s="11" t="s">
        <v>105</v>
      </c>
      <c r="K1074" s="126">
        <v>23105.040000000001</v>
      </c>
      <c r="L1074" s="12">
        <v>14308.644546728998</v>
      </c>
      <c r="M1074" s="12">
        <v>9539.0963644860003</v>
      </c>
      <c r="N1074" s="12">
        <v>0</v>
      </c>
      <c r="O1074" s="12">
        <v>23847.740911214998</v>
      </c>
      <c r="P1074" s="29">
        <v>30</v>
      </c>
    </row>
    <row r="1075" spans="1:16" s="85" customFormat="1" ht="16.5" hidden="1" thickTop="1" thickBot="1" x14ac:dyDescent="0.3">
      <c r="A1075" s="51"/>
      <c r="B1075" s="25" t="s">
        <v>22</v>
      </c>
      <c r="C1075" s="8" t="s">
        <v>60</v>
      </c>
      <c r="D1075" s="7" t="s">
        <v>79</v>
      </c>
      <c r="E1075" s="9" t="s">
        <v>71</v>
      </c>
      <c r="F1075" s="10">
        <v>1</v>
      </c>
      <c r="G1075" s="11" t="s">
        <v>36</v>
      </c>
      <c r="H1075" s="7" t="s">
        <v>89</v>
      </c>
      <c r="I1075" s="11" t="s">
        <v>20</v>
      </c>
      <c r="J1075" s="11" t="s">
        <v>105</v>
      </c>
      <c r="K1075" s="12">
        <v>40851.191603430001</v>
      </c>
      <c r="L1075" s="12">
        <v>24510.714962057998</v>
      </c>
      <c r="M1075" s="12">
        <v>16340.476641372001</v>
      </c>
      <c r="N1075" s="12">
        <v>0</v>
      </c>
      <c r="O1075" s="12">
        <v>40851.191603430001</v>
      </c>
      <c r="P1075" s="29">
        <v>30</v>
      </c>
    </row>
    <row r="1076" spans="1:16" s="85" customFormat="1" ht="16.5" hidden="1" thickTop="1" thickBot="1" x14ac:dyDescent="0.3">
      <c r="A1076" s="51"/>
      <c r="B1076" s="25" t="s">
        <v>22</v>
      </c>
      <c r="C1076" s="8" t="s">
        <v>60</v>
      </c>
      <c r="D1076" s="7" t="s">
        <v>79</v>
      </c>
      <c r="E1076" s="9" t="s">
        <v>71</v>
      </c>
      <c r="F1076" s="10">
        <v>1</v>
      </c>
      <c r="G1076" s="11" t="s">
        <v>36</v>
      </c>
      <c r="H1076" s="7" t="s">
        <v>89</v>
      </c>
      <c r="I1076" s="11" t="s">
        <v>9</v>
      </c>
      <c r="J1076" s="11" t="s">
        <v>105</v>
      </c>
      <c r="K1076" s="126">
        <v>32314.78</v>
      </c>
      <c r="L1076" s="12">
        <v>20012.736873869999</v>
      </c>
      <c r="M1076" s="12">
        <v>13341.82458258</v>
      </c>
      <c r="N1076" s="12">
        <v>0</v>
      </c>
      <c r="O1076" s="12">
        <v>33354.561456449999</v>
      </c>
      <c r="P1076" s="29">
        <v>30</v>
      </c>
    </row>
    <row r="1077" spans="1:16" s="85" customFormat="1" ht="16.5" hidden="1" thickTop="1" thickBot="1" x14ac:dyDescent="0.3">
      <c r="A1077" s="51"/>
      <c r="B1077" s="25" t="s">
        <v>22</v>
      </c>
      <c r="C1077" s="8" t="s">
        <v>60</v>
      </c>
      <c r="D1077" s="7" t="s">
        <v>79</v>
      </c>
      <c r="E1077" s="9" t="s">
        <v>71</v>
      </c>
      <c r="F1077" s="10">
        <v>1</v>
      </c>
      <c r="G1077" s="11" t="s">
        <v>37</v>
      </c>
      <c r="H1077" s="7" t="s">
        <v>85</v>
      </c>
      <c r="I1077" s="11" t="s">
        <v>9</v>
      </c>
      <c r="J1077" s="11" t="s">
        <v>105</v>
      </c>
      <c r="K1077" s="126">
        <v>13863.02</v>
      </c>
      <c r="L1077" s="12">
        <v>8585.1881111879993</v>
      </c>
      <c r="M1077" s="12">
        <v>5723.4587407920008</v>
      </c>
      <c r="N1077" s="12">
        <v>0</v>
      </c>
      <c r="O1077" s="12">
        <v>14308.64685198</v>
      </c>
      <c r="P1077" s="29">
        <v>30</v>
      </c>
    </row>
    <row r="1078" spans="1:16" s="85" customFormat="1" ht="16.5" hidden="1" thickTop="1" thickBot="1" x14ac:dyDescent="0.3">
      <c r="A1078" s="51"/>
      <c r="B1078" s="25" t="s">
        <v>22</v>
      </c>
      <c r="C1078" s="8" t="s">
        <v>60</v>
      </c>
      <c r="D1078" s="7" t="s">
        <v>79</v>
      </c>
      <c r="E1078" s="9" t="s">
        <v>71</v>
      </c>
      <c r="F1078" s="10">
        <v>1</v>
      </c>
      <c r="G1078" s="11" t="s">
        <v>93</v>
      </c>
      <c r="H1078" s="7" t="s">
        <v>85</v>
      </c>
      <c r="I1078" s="11" t="s">
        <v>9</v>
      </c>
      <c r="J1078" s="11" t="s">
        <v>105</v>
      </c>
      <c r="K1078" s="126">
        <v>18484.02</v>
      </c>
      <c r="L1078" s="12">
        <v>11446.912871081999</v>
      </c>
      <c r="M1078" s="12">
        <v>7631.275247388</v>
      </c>
      <c r="N1078" s="12">
        <v>0</v>
      </c>
      <c r="O1078" s="12">
        <v>19078.18811847</v>
      </c>
      <c r="P1078" s="29">
        <v>30</v>
      </c>
    </row>
    <row r="1079" spans="1:16" s="85" customFormat="1" ht="16.5" hidden="1" thickTop="1" thickBot="1" x14ac:dyDescent="0.3">
      <c r="A1079" s="51"/>
      <c r="B1079" s="25" t="s">
        <v>22</v>
      </c>
      <c r="C1079" s="8" t="s">
        <v>60</v>
      </c>
      <c r="D1079" s="7" t="s">
        <v>79</v>
      </c>
      <c r="E1079" s="9" t="s">
        <v>71</v>
      </c>
      <c r="F1079" s="10">
        <v>1</v>
      </c>
      <c r="G1079" s="11" t="s">
        <v>38</v>
      </c>
      <c r="H1079" s="7" t="s">
        <v>85</v>
      </c>
      <c r="I1079" s="11" t="s">
        <v>9</v>
      </c>
      <c r="J1079" s="11" t="s">
        <v>105</v>
      </c>
      <c r="K1079" s="126">
        <v>13863.02</v>
      </c>
      <c r="L1079" s="12">
        <v>5723.4564355409993</v>
      </c>
      <c r="M1079" s="12">
        <v>3815.637623694</v>
      </c>
      <c r="N1079" s="12">
        <v>0</v>
      </c>
      <c r="O1079" s="12">
        <v>9539.0940592349998</v>
      </c>
      <c r="P1079" s="29">
        <v>30</v>
      </c>
    </row>
    <row r="1080" spans="1:16" s="85" customFormat="1" ht="16.5" hidden="1" thickTop="1" thickBot="1" x14ac:dyDescent="0.3">
      <c r="A1080" s="51"/>
      <c r="B1080" s="25" t="s">
        <v>11</v>
      </c>
      <c r="C1080" s="8" t="s">
        <v>60</v>
      </c>
      <c r="D1080" s="7" t="s">
        <v>79</v>
      </c>
      <c r="E1080" s="9" t="s">
        <v>71</v>
      </c>
      <c r="F1080" s="10">
        <v>20</v>
      </c>
      <c r="G1080" s="11" t="s">
        <v>119</v>
      </c>
      <c r="H1080" s="7" t="s">
        <v>85</v>
      </c>
      <c r="I1080" s="11" t="s">
        <v>7</v>
      </c>
      <c r="J1080" s="11" t="s">
        <v>103</v>
      </c>
      <c r="K1080" s="12">
        <v>19006</v>
      </c>
      <c r="L1080" s="12">
        <v>19006</v>
      </c>
      <c r="M1080" s="12">
        <v>0</v>
      </c>
      <c r="N1080" s="12">
        <f>L1080*14%</f>
        <v>2660.84</v>
      </c>
      <c r="O1080" s="12">
        <v>15965.04</v>
      </c>
      <c r="P1080" s="29">
        <v>20</v>
      </c>
    </row>
    <row r="1081" spans="1:16" s="85" customFormat="1" ht="16.5" hidden="1" thickTop="1" thickBot="1" x14ac:dyDescent="0.3">
      <c r="A1081" s="51"/>
      <c r="B1081" s="25" t="s">
        <v>13</v>
      </c>
      <c r="C1081" s="8" t="s">
        <v>60</v>
      </c>
      <c r="D1081" s="7" t="s">
        <v>79</v>
      </c>
      <c r="E1081" s="9" t="s">
        <v>71</v>
      </c>
      <c r="F1081" s="10">
        <v>20</v>
      </c>
      <c r="G1081" s="11" t="s">
        <v>119</v>
      </c>
      <c r="H1081" s="7" t="s">
        <v>85</v>
      </c>
      <c r="I1081" s="11" t="s">
        <v>9</v>
      </c>
      <c r="J1081" s="11" t="s">
        <v>103</v>
      </c>
      <c r="K1081" s="12">
        <v>8619</v>
      </c>
      <c r="L1081" s="12">
        <v>8619</v>
      </c>
      <c r="M1081" s="12">
        <v>0</v>
      </c>
      <c r="N1081" s="12">
        <f>L1081*16%</f>
        <v>1379.04</v>
      </c>
      <c r="O1081" s="12">
        <v>7239.96</v>
      </c>
      <c r="P1081" s="29">
        <v>20</v>
      </c>
    </row>
    <row r="1082" spans="1:16" s="85" customFormat="1" ht="16.5" hidden="1" thickTop="1" thickBot="1" x14ac:dyDescent="0.3">
      <c r="A1082" s="51"/>
      <c r="B1082" s="25" t="s">
        <v>10</v>
      </c>
      <c r="C1082" s="8" t="s">
        <v>60</v>
      </c>
      <c r="D1082" s="7" t="s">
        <v>79</v>
      </c>
      <c r="E1082" s="9" t="s">
        <v>71</v>
      </c>
      <c r="F1082" s="10">
        <v>20</v>
      </c>
      <c r="G1082" s="11" t="s">
        <v>119</v>
      </c>
      <c r="H1082" s="7" t="s">
        <v>85</v>
      </c>
      <c r="I1082" s="11" t="s">
        <v>96</v>
      </c>
      <c r="J1082" s="11" t="s">
        <v>103</v>
      </c>
      <c r="K1082" s="12">
        <v>1785.7</v>
      </c>
      <c r="L1082" s="12">
        <v>1785.7</v>
      </c>
      <c r="M1082" s="12">
        <v>0</v>
      </c>
      <c r="N1082" s="12">
        <v>0</v>
      </c>
      <c r="O1082" s="12">
        <v>1785.7</v>
      </c>
      <c r="P1082" s="29">
        <v>20</v>
      </c>
    </row>
    <row r="1083" spans="1:16" s="85" customFormat="1" ht="16.5" hidden="1" thickTop="1" thickBot="1" x14ac:dyDescent="0.3">
      <c r="A1083" s="51"/>
      <c r="B1083" s="25" t="s">
        <v>11</v>
      </c>
      <c r="C1083" s="8" t="s">
        <v>60</v>
      </c>
      <c r="D1083" s="7" t="s">
        <v>79</v>
      </c>
      <c r="E1083" s="9" t="s">
        <v>70</v>
      </c>
      <c r="F1083" s="10">
        <v>20</v>
      </c>
      <c r="G1083" s="11" t="s">
        <v>94</v>
      </c>
      <c r="H1083" s="7" t="s">
        <v>86</v>
      </c>
      <c r="I1083" s="11" t="s">
        <v>7</v>
      </c>
      <c r="J1083" s="11" t="s">
        <v>103</v>
      </c>
      <c r="K1083" s="12">
        <v>27367.535</v>
      </c>
      <c r="L1083" s="12">
        <v>27367.535</v>
      </c>
      <c r="M1083" s="12">
        <v>0</v>
      </c>
      <c r="N1083" s="12">
        <f>L1083*14%</f>
        <v>3831.4549000000002</v>
      </c>
      <c r="O1083" s="12">
        <v>22988.7294</v>
      </c>
      <c r="P1083" s="29">
        <v>20</v>
      </c>
    </row>
    <row r="1084" spans="1:16" s="85" customFormat="1" ht="16.5" hidden="1" thickTop="1" thickBot="1" x14ac:dyDescent="0.3">
      <c r="A1084" s="51"/>
      <c r="B1084" s="25" t="s">
        <v>13</v>
      </c>
      <c r="C1084" s="8" t="s">
        <v>60</v>
      </c>
      <c r="D1084" s="7" t="s">
        <v>79</v>
      </c>
      <c r="E1084" s="9" t="s">
        <v>70</v>
      </c>
      <c r="F1084" s="10">
        <v>20</v>
      </c>
      <c r="G1084" s="11" t="s">
        <v>94</v>
      </c>
      <c r="H1084" s="7" t="s">
        <v>86</v>
      </c>
      <c r="I1084" s="11" t="s">
        <v>9</v>
      </c>
      <c r="J1084" s="11" t="s">
        <v>103</v>
      </c>
      <c r="K1084" s="12">
        <v>17100.98</v>
      </c>
      <c r="L1084" s="12">
        <v>17100.98</v>
      </c>
      <c r="M1084" s="12">
        <v>0</v>
      </c>
      <c r="N1084" s="12">
        <f>L1084*16%</f>
        <v>2736.1568000000002</v>
      </c>
      <c r="O1084" s="12">
        <v>14364.823199999999</v>
      </c>
      <c r="P1084" s="29">
        <v>20</v>
      </c>
    </row>
    <row r="1085" spans="1:16" s="85" customFormat="1" ht="16.5" hidden="1" thickTop="1" thickBot="1" x14ac:dyDescent="0.3">
      <c r="A1085" s="51"/>
      <c r="B1085" s="25" t="s">
        <v>22</v>
      </c>
      <c r="C1085" s="8" t="s">
        <v>61</v>
      </c>
      <c r="D1085" s="7" t="s">
        <v>79</v>
      </c>
      <c r="E1085" s="9" t="s">
        <v>71</v>
      </c>
      <c r="F1085" s="10">
        <v>20</v>
      </c>
      <c r="G1085" s="13" t="s">
        <v>39</v>
      </c>
      <c r="H1085" s="7" t="s">
        <v>83</v>
      </c>
      <c r="I1085" s="11" t="s">
        <v>7</v>
      </c>
      <c r="J1085" s="11" t="s">
        <v>80</v>
      </c>
      <c r="K1085" s="12">
        <v>20673.5597797423</v>
      </c>
      <c r="L1085" s="12">
        <v>12404.13586784538</v>
      </c>
      <c r="M1085" s="12">
        <v>8269.4239118969199</v>
      </c>
      <c r="N1085" s="12">
        <v>0</v>
      </c>
      <c r="O1085" s="12">
        <v>20673.5597797423</v>
      </c>
      <c r="P1085" s="29">
        <v>17</v>
      </c>
    </row>
    <row r="1086" spans="1:16" s="85" customFormat="1" ht="16.5" hidden="1" thickTop="1" thickBot="1" x14ac:dyDescent="0.3">
      <c r="A1086" s="51"/>
      <c r="B1086" s="25" t="s">
        <v>22</v>
      </c>
      <c r="C1086" s="8" t="s">
        <v>61</v>
      </c>
      <c r="D1086" s="7" t="s">
        <v>79</v>
      </c>
      <c r="E1086" s="9" t="s">
        <v>71</v>
      </c>
      <c r="F1086" s="10">
        <v>20</v>
      </c>
      <c r="G1086" s="13" t="s">
        <v>92</v>
      </c>
      <c r="H1086" s="7" t="s">
        <v>83</v>
      </c>
      <c r="I1086" s="11" t="s">
        <v>9</v>
      </c>
      <c r="J1086" s="11" t="s">
        <v>80</v>
      </c>
      <c r="K1086" s="12">
        <v>5071.55</v>
      </c>
      <c r="L1086" s="12">
        <v>5071.55</v>
      </c>
      <c r="M1086" s="12">
        <v>0</v>
      </c>
      <c r="N1086" s="12">
        <v>0</v>
      </c>
      <c r="O1086" s="12">
        <v>5071.55</v>
      </c>
      <c r="P1086" s="29">
        <v>15</v>
      </c>
    </row>
    <row r="1087" spans="1:16" s="85" customFormat="1" ht="16.5" hidden="1" thickTop="1" thickBot="1" x14ac:dyDescent="0.3">
      <c r="A1087" s="51"/>
      <c r="B1087" s="25" t="s">
        <v>22</v>
      </c>
      <c r="C1087" s="8" t="s">
        <v>61</v>
      </c>
      <c r="D1087" s="7" t="s">
        <v>79</v>
      </c>
      <c r="E1087" s="9" t="s">
        <v>71</v>
      </c>
      <c r="F1087" s="10">
        <v>1</v>
      </c>
      <c r="G1087" s="11" t="s">
        <v>45</v>
      </c>
      <c r="H1087" s="7" t="s">
        <v>91</v>
      </c>
      <c r="I1087" s="11" t="s">
        <v>20</v>
      </c>
      <c r="J1087" s="11" t="s">
        <v>105</v>
      </c>
      <c r="K1087" s="16">
        <v>40617.404573265005</v>
      </c>
      <c r="L1087" s="12">
        <v>24370.442743959004</v>
      </c>
      <c r="M1087" s="12">
        <v>16246.961829306003</v>
      </c>
      <c r="N1087" s="12">
        <v>1837.8916096500002</v>
      </c>
      <c r="O1087" s="12">
        <v>38779.512963615001</v>
      </c>
      <c r="P1087" s="29">
        <v>30</v>
      </c>
    </row>
    <row r="1088" spans="1:16" s="85" customFormat="1" ht="16.5" hidden="1" thickTop="1" thickBot="1" x14ac:dyDescent="0.3">
      <c r="A1088" s="51"/>
      <c r="B1088" s="25" t="s">
        <v>22</v>
      </c>
      <c r="C1088" s="8" t="s">
        <v>61</v>
      </c>
      <c r="D1088" s="7" t="s">
        <v>79</v>
      </c>
      <c r="E1088" s="9" t="s">
        <v>71</v>
      </c>
      <c r="F1088" s="10">
        <v>1</v>
      </c>
      <c r="G1088" s="11" t="s">
        <v>132</v>
      </c>
      <c r="H1088" s="7" t="s">
        <v>88</v>
      </c>
      <c r="I1088" s="11" t="s">
        <v>9</v>
      </c>
      <c r="J1088" s="11" t="s">
        <v>105</v>
      </c>
      <c r="K1088" s="126">
        <v>32347.05</v>
      </c>
      <c r="L1088" s="12">
        <v>20032.10079</v>
      </c>
      <c r="M1088" s="12">
        <v>13354.733860000002</v>
      </c>
      <c r="N1088" s="12">
        <v>0</v>
      </c>
      <c r="O1088" s="12">
        <v>33386.834650000004</v>
      </c>
      <c r="P1088" s="29">
        <v>30</v>
      </c>
    </row>
    <row r="1089" spans="1:16" s="85" customFormat="1" ht="16.5" hidden="1" thickTop="1" thickBot="1" x14ac:dyDescent="0.3">
      <c r="A1089" s="51"/>
      <c r="B1089" s="25" t="s">
        <v>22</v>
      </c>
      <c r="C1089" s="8" t="s">
        <v>61</v>
      </c>
      <c r="D1089" s="7" t="s">
        <v>79</v>
      </c>
      <c r="E1089" s="9" t="s">
        <v>71</v>
      </c>
      <c r="F1089" s="10">
        <v>1</v>
      </c>
      <c r="G1089" s="11" t="s">
        <v>129</v>
      </c>
      <c r="H1089" s="7" t="s">
        <v>85</v>
      </c>
      <c r="I1089" s="11" t="s">
        <v>9</v>
      </c>
      <c r="J1089" s="11" t="s">
        <v>105</v>
      </c>
      <c r="K1089" s="126">
        <v>27726.03</v>
      </c>
      <c r="L1089" s="12">
        <v>17170.36737</v>
      </c>
      <c r="M1089" s="12">
        <v>11446.91158</v>
      </c>
      <c r="N1089" s="12">
        <v>0</v>
      </c>
      <c r="O1089" s="12">
        <v>28617.27895</v>
      </c>
      <c r="P1089" s="29">
        <v>30</v>
      </c>
    </row>
    <row r="1090" spans="1:16" s="85" customFormat="1" ht="16.5" hidden="1" thickTop="1" thickBot="1" x14ac:dyDescent="0.3">
      <c r="A1090" s="51"/>
      <c r="B1090" s="25" t="s">
        <v>22</v>
      </c>
      <c r="C1090" s="8" t="s">
        <v>61</v>
      </c>
      <c r="D1090" s="7" t="s">
        <v>79</v>
      </c>
      <c r="E1090" s="9" t="s">
        <v>71</v>
      </c>
      <c r="F1090" s="10">
        <v>1</v>
      </c>
      <c r="G1090" s="11" t="s">
        <v>45</v>
      </c>
      <c r="H1090" s="7" t="s">
        <v>91</v>
      </c>
      <c r="I1090" s="11" t="s">
        <v>9</v>
      </c>
      <c r="J1090" s="11" t="s">
        <v>105</v>
      </c>
      <c r="K1090" s="126">
        <v>27726.04</v>
      </c>
      <c r="L1090" s="12">
        <v>17170.369306623001</v>
      </c>
      <c r="M1090" s="12">
        <v>11446.912871082</v>
      </c>
      <c r="N1090" s="12">
        <v>1294.8996460500002</v>
      </c>
      <c r="O1090" s="12">
        <v>27322.382531654999</v>
      </c>
      <c r="P1090" s="29">
        <v>30</v>
      </c>
    </row>
    <row r="1091" spans="1:16" s="85" customFormat="1" ht="16.5" hidden="1" thickTop="1" thickBot="1" x14ac:dyDescent="0.3">
      <c r="A1091" s="51"/>
      <c r="B1091" s="25" t="s">
        <v>22</v>
      </c>
      <c r="C1091" s="8" t="s">
        <v>61</v>
      </c>
      <c r="D1091" s="7" t="s">
        <v>79</v>
      </c>
      <c r="E1091" s="9" t="s">
        <v>71</v>
      </c>
      <c r="F1091" s="10">
        <v>1</v>
      </c>
      <c r="G1091" s="11" t="s">
        <v>46</v>
      </c>
      <c r="H1091" s="7" t="s">
        <v>85</v>
      </c>
      <c r="I1091" s="11" t="s">
        <v>20</v>
      </c>
      <c r="J1091" s="11" t="s">
        <v>105</v>
      </c>
      <c r="K1091" s="16">
        <v>58492.355406029994</v>
      </c>
      <c r="L1091" s="12">
        <v>35095.413243617993</v>
      </c>
      <c r="M1091" s="12">
        <v>23396.942162412</v>
      </c>
      <c r="N1091" s="12">
        <v>0</v>
      </c>
      <c r="O1091" s="12">
        <v>58492.355406029994</v>
      </c>
      <c r="P1091" s="29">
        <v>30</v>
      </c>
    </row>
    <row r="1092" spans="1:16" s="85" customFormat="1" ht="16.5" hidden="1" thickTop="1" thickBot="1" x14ac:dyDescent="0.3">
      <c r="A1092" s="51"/>
      <c r="B1092" s="25" t="s">
        <v>22</v>
      </c>
      <c r="C1092" s="8" t="s">
        <v>61</v>
      </c>
      <c r="D1092" s="7" t="s">
        <v>79</v>
      </c>
      <c r="E1092" s="9" t="s">
        <v>71</v>
      </c>
      <c r="F1092" s="10">
        <v>1</v>
      </c>
      <c r="G1092" s="11" t="s">
        <v>46</v>
      </c>
      <c r="H1092" s="7" t="s">
        <v>85</v>
      </c>
      <c r="I1092" s="11" t="s">
        <v>98</v>
      </c>
      <c r="J1092" s="11" t="s">
        <v>105</v>
      </c>
      <c r="K1092" s="12">
        <v>3457.8765000000003</v>
      </c>
      <c r="L1092" s="12">
        <v>2074.7258999999999</v>
      </c>
      <c r="M1092" s="12">
        <v>1383.1506000000002</v>
      </c>
      <c r="N1092" s="12">
        <v>0</v>
      </c>
      <c r="O1092" s="12">
        <v>3457.8765000000003</v>
      </c>
      <c r="P1092" s="29">
        <v>30</v>
      </c>
    </row>
    <row r="1093" spans="1:16" s="85" customFormat="1" ht="16.5" hidden="1" thickTop="1" thickBot="1" x14ac:dyDescent="0.3">
      <c r="A1093" s="51"/>
      <c r="B1093" s="25" t="s">
        <v>22</v>
      </c>
      <c r="C1093" s="8" t="s">
        <v>61</v>
      </c>
      <c r="D1093" s="7" t="s">
        <v>79</v>
      </c>
      <c r="E1093" s="9" t="s">
        <v>71</v>
      </c>
      <c r="F1093" s="10">
        <v>1</v>
      </c>
      <c r="G1093" s="11" t="s">
        <v>46</v>
      </c>
      <c r="H1093" s="7" t="s">
        <v>85</v>
      </c>
      <c r="I1093" s="11" t="s">
        <v>9</v>
      </c>
      <c r="J1093" s="11" t="s">
        <v>105</v>
      </c>
      <c r="K1093" s="126">
        <v>41589.06</v>
      </c>
      <c r="L1093" s="12">
        <v>25755.557417811004</v>
      </c>
      <c r="M1093" s="12">
        <v>17170.371611874005</v>
      </c>
      <c r="N1093" s="12">
        <v>0</v>
      </c>
      <c r="O1093" s="12">
        <v>42925.929029685009</v>
      </c>
      <c r="P1093" s="29">
        <v>30</v>
      </c>
    </row>
    <row r="1094" spans="1:16" s="85" customFormat="1" ht="16.5" hidden="1" thickTop="1" thickBot="1" x14ac:dyDescent="0.3">
      <c r="A1094" s="51"/>
      <c r="B1094" s="25" t="s">
        <v>22</v>
      </c>
      <c r="C1094" s="8" t="s">
        <v>61</v>
      </c>
      <c r="D1094" s="7" t="s">
        <v>79</v>
      </c>
      <c r="E1094" s="9" t="s">
        <v>71</v>
      </c>
      <c r="F1094" s="10">
        <v>1</v>
      </c>
      <c r="G1094" s="11" t="s">
        <v>46</v>
      </c>
      <c r="H1094" s="7" t="s">
        <v>85</v>
      </c>
      <c r="I1094" s="11" t="s">
        <v>97</v>
      </c>
      <c r="J1094" s="11" t="s">
        <v>105</v>
      </c>
      <c r="K1094" s="146">
        <v>32314.78</v>
      </c>
      <c r="L1094" s="12">
        <v>4243.2</v>
      </c>
      <c r="M1094" s="12">
        <v>2828.8</v>
      </c>
      <c r="N1094" s="12">
        <v>0</v>
      </c>
      <c r="O1094" s="12">
        <v>7072</v>
      </c>
      <c r="P1094" s="29">
        <v>30</v>
      </c>
    </row>
    <row r="1095" spans="1:16" s="85" customFormat="1" ht="16.5" hidden="1" thickTop="1" thickBot="1" x14ac:dyDescent="0.3">
      <c r="A1095" s="51"/>
      <c r="B1095" s="25" t="s">
        <v>22</v>
      </c>
      <c r="C1095" s="8" t="s">
        <v>61</v>
      </c>
      <c r="D1095" s="7" t="s">
        <v>79</v>
      </c>
      <c r="E1095" s="9" t="s">
        <v>71</v>
      </c>
      <c r="F1095" s="10">
        <v>1</v>
      </c>
      <c r="G1095" s="11" t="s">
        <v>47</v>
      </c>
      <c r="H1095" s="7" t="s">
        <v>85</v>
      </c>
      <c r="I1095" s="11" t="s">
        <v>9</v>
      </c>
      <c r="J1095" s="11" t="s">
        <v>105</v>
      </c>
      <c r="K1095" s="126">
        <v>32314.78</v>
      </c>
      <c r="L1095" s="12">
        <v>20012.736873869999</v>
      </c>
      <c r="M1095" s="12">
        <v>13341.82458258</v>
      </c>
      <c r="N1095" s="12">
        <v>0</v>
      </c>
      <c r="O1095" s="12">
        <v>33354.561456449999</v>
      </c>
      <c r="P1095" s="29">
        <v>30</v>
      </c>
    </row>
    <row r="1096" spans="1:16" s="85" customFormat="1" ht="16.5" hidden="1" thickTop="1" thickBot="1" x14ac:dyDescent="0.3">
      <c r="A1096" s="51"/>
      <c r="B1096" s="25" t="s">
        <v>22</v>
      </c>
      <c r="C1096" s="8" t="s">
        <v>61</v>
      </c>
      <c r="D1096" s="7" t="s">
        <v>79</v>
      </c>
      <c r="E1096" s="9" t="s">
        <v>71</v>
      </c>
      <c r="F1096" s="10">
        <v>1</v>
      </c>
      <c r="G1096" s="11" t="s">
        <v>48</v>
      </c>
      <c r="H1096" s="7" t="s">
        <v>85</v>
      </c>
      <c r="I1096" s="11" t="s">
        <v>9</v>
      </c>
      <c r="J1096" s="11" t="s">
        <v>105</v>
      </c>
      <c r="K1096" s="126">
        <v>23137.31</v>
      </c>
      <c r="L1096" s="12">
        <v>14328.008655128999</v>
      </c>
      <c r="M1096" s="12">
        <v>9552.0057700859998</v>
      </c>
      <c r="N1096" s="12">
        <v>0</v>
      </c>
      <c r="O1096" s="12">
        <v>23880.014425214998</v>
      </c>
      <c r="P1096" s="29">
        <v>30</v>
      </c>
    </row>
    <row r="1097" spans="1:16" s="85" customFormat="1" ht="16.5" hidden="1" thickTop="1" thickBot="1" x14ac:dyDescent="0.3">
      <c r="A1097" s="51"/>
      <c r="B1097" s="25" t="s">
        <v>22</v>
      </c>
      <c r="C1097" s="8" t="s">
        <v>62</v>
      </c>
      <c r="D1097" s="7" t="s">
        <v>79</v>
      </c>
      <c r="E1097" s="9" t="s">
        <v>71</v>
      </c>
      <c r="F1097" s="10">
        <v>10</v>
      </c>
      <c r="G1097" s="13" t="s">
        <v>49</v>
      </c>
      <c r="H1097" s="7" t="s">
        <v>85</v>
      </c>
      <c r="I1097" s="11" t="s">
        <v>9</v>
      </c>
      <c r="J1097" s="11" t="s">
        <v>105</v>
      </c>
      <c r="K1097" s="146">
        <v>32314.78</v>
      </c>
      <c r="L1097" s="12">
        <v>11536.199999999999</v>
      </c>
      <c r="M1097" s="12">
        <v>7690.8</v>
      </c>
      <c r="N1097" s="12">
        <v>0</v>
      </c>
      <c r="O1097" s="12">
        <v>19227</v>
      </c>
      <c r="P1097" s="29">
        <v>10</v>
      </c>
    </row>
    <row r="1098" spans="1:16" s="85" customFormat="1" ht="16.5" hidden="1" thickTop="1" thickBot="1" x14ac:dyDescent="0.3">
      <c r="A1098" s="51"/>
      <c r="B1098" s="25" t="s">
        <v>22</v>
      </c>
      <c r="C1098" s="8" t="s">
        <v>62</v>
      </c>
      <c r="D1098" s="7" t="s">
        <v>79</v>
      </c>
      <c r="E1098" s="9" t="s">
        <v>71</v>
      </c>
      <c r="F1098" s="10">
        <v>10</v>
      </c>
      <c r="G1098" s="13" t="s">
        <v>50</v>
      </c>
      <c r="H1098" s="7" t="s">
        <v>85</v>
      </c>
      <c r="I1098" s="11" t="s">
        <v>9</v>
      </c>
      <c r="J1098" s="11" t="s">
        <v>105</v>
      </c>
      <c r="K1098" s="12">
        <v>19227</v>
      </c>
      <c r="L1098" s="12">
        <v>11536.199999999999</v>
      </c>
      <c r="M1098" s="12">
        <v>7690.8</v>
      </c>
      <c r="N1098" s="12">
        <v>0</v>
      </c>
      <c r="O1098" s="12">
        <v>19227</v>
      </c>
      <c r="P1098" s="29">
        <v>10</v>
      </c>
    </row>
    <row r="1099" spans="1:16" s="85" customFormat="1" ht="16.5" hidden="1" thickTop="1" thickBot="1" x14ac:dyDescent="0.3">
      <c r="A1099" s="51"/>
      <c r="B1099" s="25" t="s">
        <v>11</v>
      </c>
      <c r="C1099" s="8" t="s">
        <v>62</v>
      </c>
      <c r="D1099" s="7" t="s">
        <v>79</v>
      </c>
      <c r="E1099" s="9" t="s">
        <v>71</v>
      </c>
      <c r="F1099" s="10">
        <v>16</v>
      </c>
      <c r="G1099" s="13" t="s">
        <v>51</v>
      </c>
      <c r="H1099" s="7" t="s">
        <v>83</v>
      </c>
      <c r="I1099" s="11" t="s">
        <v>7</v>
      </c>
      <c r="J1099" s="11" t="s">
        <v>80</v>
      </c>
      <c r="K1099" s="12">
        <v>21132.94766324625</v>
      </c>
      <c r="L1099" s="12">
        <v>21132.94766324625</v>
      </c>
      <c r="M1099" s="12">
        <v>0</v>
      </c>
      <c r="N1099" s="12">
        <f>L1099*14%</f>
        <v>2958.6126728544755</v>
      </c>
      <c r="O1099" s="12">
        <v>17751.67603712685</v>
      </c>
      <c r="P1099" s="29">
        <v>30</v>
      </c>
    </row>
    <row r="1100" spans="1:16" s="85" customFormat="1" ht="16.5" hidden="1" thickTop="1" thickBot="1" x14ac:dyDescent="0.3">
      <c r="A1100" s="51"/>
      <c r="B1100" s="25" t="s">
        <v>22</v>
      </c>
      <c r="C1100" s="8" t="s">
        <v>62</v>
      </c>
      <c r="D1100" s="7" t="s">
        <v>79</v>
      </c>
      <c r="E1100" s="9" t="s">
        <v>71</v>
      </c>
      <c r="F1100" s="10">
        <v>1</v>
      </c>
      <c r="G1100" s="11" t="s">
        <v>54</v>
      </c>
      <c r="H1100" s="7" t="s">
        <v>85</v>
      </c>
      <c r="I1100" s="11" t="s">
        <v>20</v>
      </c>
      <c r="J1100" s="11" t="s">
        <v>105</v>
      </c>
      <c r="K1100" s="16">
        <v>40617.404573265005</v>
      </c>
      <c r="L1100" s="12">
        <v>24370.442743959004</v>
      </c>
      <c r="M1100" s="12">
        <v>16246.961829306003</v>
      </c>
      <c r="N1100" s="12">
        <v>0</v>
      </c>
      <c r="O1100" s="12">
        <v>40617.404573265005</v>
      </c>
      <c r="P1100" s="29">
        <v>30</v>
      </c>
    </row>
    <row r="1101" spans="1:16" s="85" customFormat="1" ht="16.5" hidden="1" thickTop="1" thickBot="1" x14ac:dyDescent="0.3">
      <c r="A1101" s="51"/>
      <c r="B1101" s="25" t="s">
        <v>22</v>
      </c>
      <c r="C1101" s="8" t="s">
        <v>62</v>
      </c>
      <c r="D1101" s="7" t="s">
        <v>79</v>
      </c>
      <c r="E1101" s="9" t="s">
        <v>71</v>
      </c>
      <c r="F1101" s="10">
        <v>1</v>
      </c>
      <c r="G1101" s="11" t="s">
        <v>54</v>
      </c>
      <c r="H1101" s="7" t="s">
        <v>85</v>
      </c>
      <c r="I1101" s="11" t="s">
        <v>9</v>
      </c>
      <c r="J1101" s="11" t="s">
        <v>105</v>
      </c>
      <c r="K1101" s="126">
        <v>32314.78</v>
      </c>
      <c r="L1101" s="12">
        <v>20012.736873869999</v>
      </c>
      <c r="M1101" s="12">
        <v>13341.82458258</v>
      </c>
      <c r="N1101" s="12">
        <v>0</v>
      </c>
      <c r="O1101" s="12">
        <v>33354.561456449999</v>
      </c>
      <c r="P1101" s="29">
        <v>30</v>
      </c>
    </row>
    <row r="1102" spans="1:16" s="85" customFormat="1" ht="16.5" hidden="1" thickTop="1" thickBot="1" x14ac:dyDescent="0.3">
      <c r="A1102" s="51"/>
      <c r="B1102" s="25" t="s">
        <v>22</v>
      </c>
      <c r="C1102" s="8" t="s">
        <v>62</v>
      </c>
      <c r="D1102" s="7" t="s">
        <v>79</v>
      </c>
      <c r="E1102" s="9" t="s">
        <v>71</v>
      </c>
      <c r="F1102" s="10">
        <v>1</v>
      </c>
      <c r="G1102" s="11" t="s">
        <v>55</v>
      </c>
      <c r="H1102" s="7" t="s">
        <v>85</v>
      </c>
      <c r="I1102" s="11" t="s">
        <v>20</v>
      </c>
      <c r="J1102" s="11" t="s">
        <v>105</v>
      </c>
      <c r="K1102" s="16">
        <v>34814.822702400001</v>
      </c>
      <c r="L1102" s="12">
        <v>20888.893621439998</v>
      </c>
      <c r="M1102" s="12">
        <v>13925.929080960001</v>
      </c>
      <c r="N1102" s="12">
        <v>0</v>
      </c>
      <c r="O1102" s="12">
        <v>34814.822702400001</v>
      </c>
      <c r="P1102" s="29">
        <v>30</v>
      </c>
    </row>
    <row r="1103" spans="1:16" s="85" customFormat="1" ht="16.5" hidden="1" thickTop="1" thickBot="1" x14ac:dyDescent="0.3">
      <c r="A1103" s="51"/>
      <c r="B1103" s="25" t="s">
        <v>22</v>
      </c>
      <c r="C1103" s="8" t="s">
        <v>62</v>
      </c>
      <c r="D1103" s="7" t="s">
        <v>79</v>
      </c>
      <c r="E1103" s="9" t="s">
        <v>71</v>
      </c>
      <c r="F1103" s="10">
        <v>1</v>
      </c>
      <c r="G1103" s="11" t="s">
        <v>55</v>
      </c>
      <c r="H1103" s="7" t="s">
        <v>85</v>
      </c>
      <c r="I1103" s="11" t="s">
        <v>9</v>
      </c>
      <c r="J1103" s="11" t="s">
        <v>105</v>
      </c>
      <c r="K1103" s="126">
        <v>23105.040000000001</v>
      </c>
      <c r="L1103" s="12">
        <v>14308.644546728998</v>
      </c>
      <c r="M1103" s="12">
        <v>9539.0963644860003</v>
      </c>
      <c r="N1103" s="12">
        <v>0</v>
      </c>
      <c r="O1103" s="12">
        <v>23847.740911214998</v>
      </c>
      <c r="P1103" s="29">
        <v>30</v>
      </c>
    </row>
    <row r="1104" spans="1:16" s="85" customFormat="1" ht="16.5" hidden="1" thickTop="1" thickBot="1" x14ac:dyDescent="0.3">
      <c r="A1104" s="51"/>
      <c r="B1104" s="25" t="s">
        <v>22</v>
      </c>
      <c r="C1104" s="8" t="s">
        <v>62</v>
      </c>
      <c r="D1104" s="7" t="s">
        <v>79</v>
      </c>
      <c r="E1104" s="9" t="s">
        <v>71</v>
      </c>
      <c r="F1104" s="10">
        <v>1</v>
      </c>
      <c r="G1104" s="11" t="s">
        <v>56</v>
      </c>
      <c r="H1104" s="7" t="s">
        <v>85</v>
      </c>
      <c r="I1104" s="11" t="s">
        <v>9</v>
      </c>
      <c r="J1104" s="11" t="s">
        <v>105</v>
      </c>
      <c r="K1104" s="126">
        <v>32347.05</v>
      </c>
      <c r="L1104" s="12">
        <v>20032.10098227</v>
      </c>
      <c r="M1104" s="12">
        <v>13354.73398818</v>
      </c>
      <c r="N1104" s="12">
        <v>0</v>
      </c>
      <c r="O1104" s="12">
        <v>33386.83497045</v>
      </c>
      <c r="P1104" s="29">
        <v>30</v>
      </c>
    </row>
    <row r="1105" spans="1:16" s="85" customFormat="1" ht="16.5" hidden="1" thickTop="1" thickBot="1" x14ac:dyDescent="0.3">
      <c r="A1105" s="74" t="s">
        <v>111</v>
      </c>
      <c r="B1105" s="25" t="s">
        <v>22</v>
      </c>
      <c r="C1105" s="8" t="s">
        <v>62</v>
      </c>
      <c r="D1105" s="7" t="s">
        <v>79</v>
      </c>
      <c r="E1105" s="9" t="s">
        <v>71</v>
      </c>
      <c r="F1105" s="10">
        <v>1</v>
      </c>
      <c r="G1105" s="11" t="s">
        <v>57</v>
      </c>
      <c r="H1105" s="7" t="s">
        <v>85</v>
      </c>
      <c r="I1105" s="11" t="s">
        <v>9</v>
      </c>
      <c r="J1105" s="11" t="s">
        <v>105</v>
      </c>
      <c r="K1105" s="126">
        <v>32314.78</v>
      </c>
      <c r="L1105" s="12">
        <v>20012.736873869999</v>
      </c>
      <c r="M1105" s="12">
        <v>13341.82458258</v>
      </c>
      <c r="N1105" s="12">
        <v>0</v>
      </c>
      <c r="O1105" s="12">
        <v>33354.561456449999</v>
      </c>
      <c r="P1105" s="29">
        <v>30</v>
      </c>
    </row>
    <row r="1106" spans="1:16" s="85" customFormat="1" ht="16.5" hidden="1" thickTop="1" thickBot="1" x14ac:dyDescent="0.3">
      <c r="A1106" s="51"/>
      <c r="B1106" s="25" t="s">
        <v>22</v>
      </c>
      <c r="C1106" s="8" t="s">
        <v>62</v>
      </c>
      <c r="D1106" s="7" t="s">
        <v>79</v>
      </c>
      <c r="E1106" s="9" t="s">
        <v>71</v>
      </c>
      <c r="F1106" s="10">
        <v>1</v>
      </c>
      <c r="G1106" s="11" t="s">
        <v>58</v>
      </c>
      <c r="H1106" s="7" t="s">
        <v>85</v>
      </c>
      <c r="I1106" s="11" t="s">
        <v>9</v>
      </c>
      <c r="J1106" s="11" t="s">
        <v>105</v>
      </c>
      <c r="K1106" s="126">
        <v>18484.02</v>
      </c>
      <c r="L1106" s="12">
        <v>11446.912871081999</v>
      </c>
      <c r="M1106" s="12">
        <v>7631.275247388</v>
      </c>
      <c r="N1106" s="12">
        <v>0</v>
      </c>
      <c r="O1106" s="12">
        <v>19078.18811847</v>
      </c>
      <c r="P1106" s="29">
        <v>30</v>
      </c>
    </row>
    <row r="1107" spans="1:16" s="85" customFormat="1" ht="16.5" hidden="1" thickTop="1" thickBot="1" x14ac:dyDescent="0.3">
      <c r="A1107" s="51"/>
      <c r="B1107" s="25" t="s">
        <v>22</v>
      </c>
      <c r="C1107" s="8" t="s">
        <v>61</v>
      </c>
      <c r="D1107" s="7" t="s">
        <v>79</v>
      </c>
      <c r="E1107" s="9" t="s">
        <v>71</v>
      </c>
      <c r="F1107" s="10">
        <v>20</v>
      </c>
      <c r="G1107" s="13" t="s">
        <v>92</v>
      </c>
      <c r="H1107" s="7" t="s">
        <v>83</v>
      </c>
      <c r="I1107" s="11" t="s">
        <v>7</v>
      </c>
      <c r="J1107" s="11" t="s">
        <v>80</v>
      </c>
      <c r="K1107" s="12">
        <v>19890</v>
      </c>
      <c r="L1107" s="12">
        <v>19890</v>
      </c>
      <c r="M1107" s="12">
        <v>0</v>
      </c>
      <c r="N1107" s="12">
        <v>0</v>
      </c>
      <c r="O1107" s="12">
        <v>19890</v>
      </c>
      <c r="P1107" s="29">
        <v>15</v>
      </c>
    </row>
    <row r="1108" spans="1:16" s="85" customFormat="1" ht="16.5" hidden="1" thickTop="1" thickBot="1" x14ac:dyDescent="0.3">
      <c r="A1108" s="74" t="s">
        <v>111</v>
      </c>
      <c r="B1108" s="25" t="s">
        <v>22</v>
      </c>
      <c r="C1108" s="8" t="s">
        <v>60</v>
      </c>
      <c r="D1108" s="7" t="s">
        <v>79</v>
      </c>
      <c r="E1108" s="9" t="s">
        <v>154</v>
      </c>
      <c r="F1108" s="10">
        <v>5</v>
      </c>
      <c r="G1108" s="11" t="s">
        <v>155</v>
      </c>
      <c r="H1108" s="7" t="s">
        <v>83</v>
      </c>
      <c r="I1108" s="11" t="s">
        <v>7</v>
      </c>
      <c r="J1108" s="11" t="s">
        <v>80</v>
      </c>
      <c r="K1108" s="12">
        <v>17715</v>
      </c>
      <c r="L1108" s="12">
        <f>K1108</f>
        <v>17715</v>
      </c>
      <c r="M1108" s="12">
        <v>0</v>
      </c>
      <c r="N1108" s="12">
        <v>0</v>
      </c>
      <c r="O1108" s="12">
        <f>K1108</f>
        <v>17715</v>
      </c>
      <c r="P1108" s="29">
        <v>30</v>
      </c>
    </row>
    <row r="1109" spans="1:16" s="85" customFormat="1" ht="16.5" hidden="1" thickTop="1" thickBot="1" x14ac:dyDescent="0.3">
      <c r="A1109" s="74" t="s">
        <v>111</v>
      </c>
      <c r="B1109" s="25" t="s">
        <v>22</v>
      </c>
      <c r="C1109" s="8" t="s">
        <v>60</v>
      </c>
      <c r="D1109" s="7" t="s">
        <v>79</v>
      </c>
      <c r="E1109" s="9" t="s">
        <v>63</v>
      </c>
      <c r="F1109" s="10">
        <v>5</v>
      </c>
      <c r="G1109" s="11" t="s">
        <v>155</v>
      </c>
      <c r="H1109" s="7" t="s">
        <v>83</v>
      </c>
      <c r="I1109" s="11" t="s">
        <v>7</v>
      </c>
      <c r="J1109" s="11" t="s">
        <v>80</v>
      </c>
      <c r="K1109" s="12">
        <v>17715</v>
      </c>
      <c r="L1109" s="12">
        <f>K1109</f>
        <v>17715</v>
      </c>
      <c r="M1109" s="12">
        <v>0</v>
      </c>
      <c r="N1109" s="12">
        <v>0</v>
      </c>
      <c r="O1109" s="12">
        <f>K1109</f>
        <v>17715</v>
      </c>
      <c r="P1109" s="29">
        <v>30</v>
      </c>
    </row>
    <row r="1110" spans="1:16" s="85" customFormat="1" ht="16.5" hidden="1" thickTop="1" thickBot="1" x14ac:dyDescent="0.3">
      <c r="A1110" s="91" t="s">
        <v>111</v>
      </c>
      <c r="B1110" s="25" t="s">
        <v>11</v>
      </c>
      <c r="C1110" s="8" t="s">
        <v>0</v>
      </c>
      <c r="D1110" s="7" t="s">
        <v>147</v>
      </c>
      <c r="E1110" s="9" t="s">
        <v>64</v>
      </c>
      <c r="F1110" s="10">
        <v>20</v>
      </c>
      <c r="G1110" s="11" t="s">
        <v>148</v>
      </c>
      <c r="H1110" s="7" t="s">
        <v>83</v>
      </c>
      <c r="I1110" s="11" t="s">
        <v>30</v>
      </c>
      <c r="J1110" s="11" t="s">
        <v>80</v>
      </c>
      <c r="K1110" s="12">
        <v>690</v>
      </c>
      <c r="L1110" s="12">
        <v>690</v>
      </c>
      <c r="M1110" s="12">
        <v>0</v>
      </c>
      <c r="N1110" s="12">
        <v>20.7</v>
      </c>
      <c r="O1110" s="12">
        <f>L1110-N1110</f>
        <v>669.3</v>
      </c>
      <c r="P1110" s="29">
        <v>7</v>
      </c>
    </row>
    <row r="1111" spans="1:16" s="85" customFormat="1" ht="16.5" hidden="1" thickTop="1" thickBot="1" x14ac:dyDescent="0.3">
      <c r="A1111" s="74" t="s">
        <v>111</v>
      </c>
      <c r="B1111" s="25" t="s">
        <v>5</v>
      </c>
      <c r="C1111" s="8" t="s">
        <v>25</v>
      </c>
      <c r="D1111" s="7" t="s">
        <v>79</v>
      </c>
      <c r="E1111" s="9" t="s">
        <v>65</v>
      </c>
      <c r="F1111" s="10">
        <v>5</v>
      </c>
      <c r="G1111" s="11" t="s">
        <v>27</v>
      </c>
      <c r="H1111" s="7" t="s">
        <v>83</v>
      </c>
      <c r="I1111" s="11" t="s">
        <v>113</v>
      </c>
      <c r="J1111" s="11" t="s">
        <v>80</v>
      </c>
      <c r="K1111" s="12">
        <v>2015.0660041200001</v>
      </c>
      <c r="L1111" s="12">
        <f t="shared" ref="L1111:L1122" si="69">K1111</f>
        <v>2015.0660041200001</v>
      </c>
      <c r="M1111" s="12">
        <v>0</v>
      </c>
      <c r="N1111" s="12">
        <v>0</v>
      </c>
      <c r="O1111" s="12">
        <v>2015.0660041200001</v>
      </c>
      <c r="P1111" s="29">
        <v>30</v>
      </c>
    </row>
    <row r="1112" spans="1:16" s="85" customFormat="1" ht="16.5" hidden="1" thickTop="1" thickBot="1" x14ac:dyDescent="0.3">
      <c r="A1112" s="74" t="s">
        <v>111</v>
      </c>
      <c r="B1112" s="25" t="s">
        <v>22</v>
      </c>
      <c r="C1112" s="8" t="s">
        <v>60</v>
      </c>
      <c r="D1112" s="7" t="s">
        <v>79</v>
      </c>
      <c r="E1112" s="9" t="s">
        <v>66</v>
      </c>
      <c r="F1112" s="10">
        <v>28</v>
      </c>
      <c r="G1112" s="11" t="s">
        <v>155</v>
      </c>
      <c r="H1112" s="7" t="s">
        <v>83</v>
      </c>
      <c r="I1112" s="11" t="s">
        <v>7</v>
      </c>
      <c r="J1112" s="11" t="s">
        <v>80</v>
      </c>
      <c r="K1112" s="12">
        <v>15275</v>
      </c>
      <c r="L1112" s="12">
        <f t="shared" si="69"/>
        <v>15275</v>
      </c>
      <c r="M1112" s="12">
        <v>0</v>
      </c>
      <c r="N1112" s="12">
        <v>0</v>
      </c>
      <c r="O1112" s="12">
        <f t="shared" ref="O1112:O1117" si="70">K1112</f>
        <v>15275</v>
      </c>
      <c r="P1112" s="29">
        <v>30</v>
      </c>
    </row>
    <row r="1113" spans="1:16" s="85" customFormat="1" ht="16.5" hidden="1" thickTop="1" thickBot="1" x14ac:dyDescent="0.3">
      <c r="A1113" s="58" t="s">
        <v>111</v>
      </c>
      <c r="B1113" s="25" t="s">
        <v>22</v>
      </c>
      <c r="C1113" s="8" t="s">
        <v>60</v>
      </c>
      <c r="D1113" s="7" t="s">
        <v>79</v>
      </c>
      <c r="E1113" s="9" t="s">
        <v>67</v>
      </c>
      <c r="F1113" s="10">
        <v>28</v>
      </c>
      <c r="G1113" s="11" t="s">
        <v>155</v>
      </c>
      <c r="H1113" s="7" t="s">
        <v>83</v>
      </c>
      <c r="I1113" s="11" t="s">
        <v>7</v>
      </c>
      <c r="J1113" s="11" t="s">
        <v>80</v>
      </c>
      <c r="K1113" s="12">
        <v>15275</v>
      </c>
      <c r="L1113" s="12">
        <f t="shared" si="69"/>
        <v>15275</v>
      </c>
      <c r="M1113" s="12">
        <v>0</v>
      </c>
      <c r="N1113" s="12">
        <v>0</v>
      </c>
      <c r="O1113" s="12">
        <f t="shared" si="70"/>
        <v>15275</v>
      </c>
      <c r="P1113" s="29">
        <v>30</v>
      </c>
    </row>
    <row r="1114" spans="1:16" s="85" customFormat="1" ht="16.5" thickTop="1" thickBot="1" x14ac:dyDescent="0.3">
      <c r="A1114" s="58"/>
      <c r="B1114" s="25" t="s">
        <v>22</v>
      </c>
      <c r="C1114" s="8" t="s">
        <v>60</v>
      </c>
      <c r="D1114" s="7" t="s">
        <v>79</v>
      </c>
      <c r="E1114" s="9" t="s">
        <v>68</v>
      </c>
      <c r="F1114" s="10">
        <v>28</v>
      </c>
      <c r="G1114" s="11" t="s">
        <v>155</v>
      </c>
      <c r="H1114" s="7" t="s">
        <v>83</v>
      </c>
      <c r="I1114" s="11" t="s">
        <v>7</v>
      </c>
      <c r="J1114" s="11" t="s">
        <v>80</v>
      </c>
      <c r="K1114" s="12">
        <v>15275</v>
      </c>
      <c r="L1114" s="12">
        <f t="shared" si="69"/>
        <v>15275</v>
      </c>
      <c r="M1114" s="12">
        <v>0</v>
      </c>
      <c r="N1114" s="12">
        <v>0</v>
      </c>
      <c r="O1114" s="12">
        <f t="shared" si="70"/>
        <v>15275</v>
      </c>
      <c r="P1114" s="29">
        <v>30</v>
      </c>
    </row>
    <row r="1115" spans="1:16" s="85" customFormat="1" ht="16.5" hidden="1" thickTop="1" thickBot="1" x14ac:dyDescent="0.3">
      <c r="A1115" s="58"/>
      <c r="B1115" s="25" t="s">
        <v>22</v>
      </c>
      <c r="C1115" s="8" t="s">
        <v>60</v>
      </c>
      <c r="D1115" s="7" t="s">
        <v>79</v>
      </c>
      <c r="E1115" s="9" t="s">
        <v>69</v>
      </c>
      <c r="F1115" s="10">
        <v>28</v>
      </c>
      <c r="G1115" s="11" t="s">
        <v>155</v>
      </c>
      <c r="H1115" s="7" t="s">
        <v>83</v>
      </c>
      <c r="I1115" s="11" t="s">
        <v>7</v>
      </c>
      <c r="J1115" s="11" t="s">
        <v>80</v>
      </c>
      <c r="K1115" s="12">
        <v>15275</v>
      </c>
      <c r="L1115" s="12">
        <f t="shared" si="69"/>
        <v>15275</v>
      </c>
      <c r="M1115" s="12">
        <v>0</v>
      </c>
      <c r="N1115" s="12">
        <v>0</v>
      </c>
      <c r="O1115" s="12">
        <f t="shared" si="70"/>
        <v>15275</v>
      </c>
      <c r="P1115" s="29">
        <v>30</v>
      </c>
    </row>
    <row r="1116" spans="1:16" s="85" customFormat="1" ht="16.5" hidden="1" thickTop="1" thickBot="1" x14ac:dyDescent="0.3">
      <c r="A1116" s="58"/>
      <c r="B1116" s="25" t="s">
        <v>22</v>
      </c>
      <c r="C1116" s="8" t="s">
        <v>60</v>
      </c>
      <c r="D1116" s="7" t="s">
        <v>79</v>
      </c>
      <c r="E1116" s="9" t="s">
        <v>70</v>
      </c>
      <c r="F1116" s="10">
        <v>28</v>
      </c>
      <c r="G1116" s="11" t="s">
        <v>155</v>
      </c>
      <c r="H1116" s="7" t="s">
        <v>83</v>
      </c>
      <c r="I1116" s="11" t="s">
        <v>7</v>
      </c>
      <c r="J1116" s="11" t="s">
        <v>80</v>
      </c>
      <c r="K1116" s="12">
        <v>15275</v>
      </c>
      <c r="L1116" s="12">
        <f t="shared" si="69"/>
        <v>15275</v>
      </c>
      <c r="M1116" s="12">
        <v>0</v>
      </c>
      <c r="N1116" s="12">
        <v>0</v>
      </c>
      <c r="O1116" s="12">
        <f t="shared" si="70"/>
        <v>15275</v>
      </c>
      <c r="P1116" s="29">
        <v>30</v>
      </c>
    </row>
    <row r="1117" spans="1:16" s="85" customFormat="1" ht="16.5" hidden="1" thickTop="1" thickBot="1" x14ac:dyDescent="0.3">
      <c r="A1117" s="58"/>
      <c r="B1117" s="25" t="s">
        <v>22</v>
      </c>
      <c r="C1117" s="8" t="s">
        <v>60</v>
      </c>
      <c r="D1117" s="7" t="s">
        <v>79</v>
      </c>
      <c r="E1117" s="9" t="s">
        <v>71</v>
      </c>
      <c r="F1117" s="10">
        <v>28</v>
      </c>
      <c r="G1117" s="11" t="s">
        <v>155</v>
      </c>
      <c r="H1117" s="7" t="s">
        <v>83</v>
      </c>
      <c r="I1117" s="11" t="s">
        <v>7</v>
      </c>
      <c r="J1117" s="11" t="s">
        <v>80</v>
      </c>
      <c r="K1117" s="12">
        <v>15275</v>
      </c>
      <c r="L1117" s="12">
        <f t="shared" si="69"/>
        <v>15275</v>
      </c>
      <c r="M1117" s="12">
        <v>0</v>
      </c>
      <c r="N1117" s="12">
        <v>0</v>
      </c>
      <c r="O1117" s="12">
        <f t="shared" si="70"/>
        <v>15275</v>
      </c>
      <c r="P1117" s="29">
        <v>30</v>
      </c>
    </row>
    <row r="1118" spans="1:16" s="86" customFormat="1" ht="16.5" hidden="1" thickTop="1" thickBot="1" x14ac:dyDescent="0.3">
      <c r="A1118" s="74" t="s">
        <v>111</v>
      </c>
      <c r="B1118" s="64" t="s">
        <v>11</v>
      </c>
      <c r="C1118" s="65" t="s">
        <v>0</v>
      </c>
      <c r="D1118" s="66" t="s">
        <v>79</v>
      </c>
      <c r="E1118" s="67" t="s">
        <v>154</v>
      </c>
      <c r="F1118" s="10">
        <v>20</v>
      </c>
      <c r="G1118" s="75" t="s">
        <v>167</v>
      </c>
      <c r="H1118" s="66" t="s">
        <v>85</v>
      </c>
      <c r="I1118" s="69" t="s">
        <v>20</v>
      </c>
      <c r="J1118" s="69" t="s">
        <v>105</v>
      </c>
      <c r="K1118" s="70">
        <v>61929.65</v>
      </c>
      <c r="L1118" s="70">
        <f t="shared" si="69"/>
        <v>61929.65</v>
      </c>
      <c r="M1118" s="12">
        <v>0</v>
      </c>
      <c r="N1118" s="12">
        <f>L1118*14%</f>
        <v>8670.1510000000017</v>
      </c>
      <c r="O1118" s="70">
        <f>L1118-N1118</f>
        <v>53259.498999999996</v>
      </c>
      <c r="P1118" s="71">
        <v>10</v>
      </c>
    </row>
    <row r="1119" spans="1:16" s="85" customFormat="1" ht="16.5" hidden="1" thickTop="1" thickBot="1" x14ac:dyDescent="0.3">
      <c r="A1119" s="74" t="s">
        <v>111</v>
      </c>
      <c r="B1119" s="25" t="s">
        <v>11</v>
      </c>
      <c r="C1119" s="8" t="s">
        <v>0</v>
      </c>
      <c r="D1119" s="7" t="s">
        <v>79</v>
      </c>
      <c r="E1119" s="9" t="s">
        <v>154</v>
      </c>
      <c r="F1119" s="10">
        <v>20</v>
      </c>
      <c r="G1119" s="75" t="s">
        <v>166</v>
      </c>
      <c r="H1119" s="7" t="s">
        <v>161</v>
      </c>
      <c r="I1119" s="11" t="s">
        <v>20</v>
      </c>
      <c r="J1119" s="11" t="s">
        <v>105</v>
      </c>
      <c r="K1119" s="12">
        <v>16750.439999999999</v>
      </c>
      <c r="L1119" s="70">
        <f t="shared" si="69"/>
        <v>16750.439999999999</v>
      </c>
      <c r="M1119" s="12">
        <v>0</v>
      </c>
      <c r="N1119" s="12">
        <f>L1119*14%</f>
        <v>2345.0616</v>
      </c>
      <c r="O1119" s="70">
        <f>L1119-N1119</f>
        <v>14405.378399999998</v>
      </c>
      <c r="P1119" s="29">
        <v>10</v>
      </c>
    </row>
    <row r="1120" spans="1:16" s="85" customFormat="1" ht="16.5" hidden="1" thickTop="1" thickBot="1" x14ac:dyDescent="0.3">
      <c r="A1120" s="74" t="s">
        <v>111</v>
      </c>
      <c r="B1120" s="25" t="s">
        <v>11</v>
      </c>
      <c r="C1120" s="8" t="s">
        <v>0</v>
      </c>
      <c r="D1120" s="7" t="s">
        <v>79</v>
      </c>
      <c r="E1120" s="9" t="s">
        <v>154</v>
      </c>
      <c r="F1120" s="10">
        <v>20</v>
      </c>
      <c r="G1120" s="75" t="s">
        <v>168</v>
      </c>
      <c r="H1120" s="7" t="s">
        <v>160</v>
      </c>
      <c r="I1120" s="11" t="s">
        <v>20</v>
      </c>
      <c r="J1120" s="11" t="s">
        <v>105</v>
      </c>
      <c r="K1120" s="12">
        <v>11166.96</v>
      </c>
      <c r="L1120" s="12">
        <f t="shared" si="69"/>
        <v>11166.96</v>
      </c>
      <c r="M1120" s="12">
        <v>0</v>
      </c>
      <c r="N1120" s="12">
        <f>L1120*14%</f>
        <v>1563.3743999999999</v>
      </c>
      <c r="O1120" s="70">
        <f>L1120-N1120</f>
        <v>9603.5855999999985</v>
      </c>
      <c r="P1120" s="29">
        <v>10</v>
      </c>
    </row>
    <row r="1121" spans="1:16" s="85" customFormat="1" ht="16.5" hidden="1" thickTop="1" thickBot="1" x14ac:dyDescent="0.3">
      <c r="A1121" s="74" t="s">
        <v>111</v>
      </c>
      <c r="B1121" s="31" t="s">
        <v>22</v>
      </c>
      <c r="C1121" s="8" t="s">
        <v>25</v>
      </c>
      <c r="D1121" s="7" t="s">
        <v>157</v>
      </c>
      <c r="E1121" s="9" t="s">
        <v>154</v>
      </c>
      <c r="F1121" s="10">
        <v>23</v>
      </c>
      <c r="G1121" s="11" t="s">
        <v>158</v>
      </c>
      <c r="H1121" s="7" t="s">
        <v>84</v>
      </c>
      <c r="I1121" s="11" t="s">
        <v>7</v>
      </c>
      <c r="J1121" s="11" t="s">
        <v>80</v>
      </c>
      <c r="K1121" s="12">
        <v>1560</v>
      </c>
      <c r="L1121" s="12">
        <f t="shared" si="69"/>
        <v>1560</v>
      </c>
      <c r="M1121" s="12"/>
      <c r="N1121" s="12"/>
      <c r="O1121" s="12">
        <f>L1121</f>
        <v>1560</v>
      </c>
      <c r="P1121" s="29">
        <v>28</v>
      </c>
    </row>
    <row r="1122" spans="1:16" s="85" customFormat="1" ht="16.5" hidden="1" thickTop="1" thickBot="1" x14ac:dyDescent="0.3">
      <c r="A1122" s="58" t="s">
        <v>111</v>
      </c>
      <c r="B1122" s="25" t="s">
        <v>11</v>
      </c>
      <c r="C1122" s="8" t="s">
        <v>60</v>
      </c>
      <c r="D1122" s="7" t="s">
        <v>79</v>
      </c>
      <c r="E1122" s="9" t="s">
        <v>154</v>
      </c>
      <c r="F1122" s="10">
        <v>20</v>
      </c>
      <c r="G1122" s="11" t="s">
        <v>94</v>
      </c>
      <c r="H1122" s="7" t="s">
        <v>86</v>
      </c>
      <c r="I1122" s="11" t="s">
        <v>15</v>
      </c>
      <c r="J1122" s="11" t="s">
        <v>103</v>
      </c>
      <c r="K1122" s="12">
        <v>7270.9</v>
      </c>
      <c r="L1122" s="12">
        <f t="shared" si="69"/>
        <v>7270.9</v>
      </c>
      <c r="M1122" s="12">
        <v>0</v>
      </c>
      <c r="N1122" s="12">
        <f>L1122*14%</f>
        <v>1017.926</v>
      </c>
      <c r="O1122" s="12">
        <f>L1122-N1122</f>
        <v>6252.9739999999993</v>
      </c>
      <c r="P1122" s="29">
        <v>20</v>
      </c>
    </row>
    <row r="1123" spans="1:16" s="85" customFormat="1" ht="16.5" hidden="1" thickTop="1" thickBot="1" x14ac:dyDescent="0.3">
      <c r="A1123" s="74" t="s">
        <v>111</v>
      </c>
      <c r="B1123" s="25" t="s">
        <v>22</v>
      </c>
      <c r="C1123" s="8" t="s">
        <v>60</v>
      </c>
      <c r="D1123" s="7" t="s">
        <v>79</v>
      </c>
      <c r="E1123" s="9" t="s">
        <v>63</v>
      </c>
      <c r="F1123" s="10">
        <v>1</v>
      </c>
      <c r="G1123" s="11" t="s">
        <v>34</v>
      </c>
      <c r="H1123" s="7" t="s">
        <v>87</v>
      </c>
      <c r="I1123" s="11" t="s">
        <v>113</v>
      </c>
      <c r="J1123" s="11" t="s">
        <v>105</v>
      </c>
      <c r="K1123" s="12">
        <v>875</v>
      </c>
      <c r="L1123" s="12">
        <f t="shared" ref="L1123:L1134" si="71">K1123*60%</f>
        <v>525</v>
      </c>
      <c r="M1123" s="12">
        <f t="shared" ref="M1123:M1134" si="72">K1123*40%</f>
        <v>350</v>
      </c>
      <c r="N1123" s="12">
        <v>0</v>
      </c>
      <c r="O1123" s="12">
        <f t="shared" ref="O1123:O1134" si="73">L1123+M1123</f>
        <v>875</v>
      </c>
      <c r="P1123" s="29">
        <v>30</v>
      </c>
    </row>
    <row r="1124" spans="1:16" s="85" customFormat="1" ht="16.5" hidden="1" thickTop="1" thickBot="1" x14ac:dyDescent="0.3">
      <c r="A1124" s="74" t="s">
        <v>111</v>
      </c>
      <c r="B1124" s="25" t="s">
        <v>22</v>
      </c>
      <c r="C1124" s="8" t="s">
        <v>60</v>
      </c>
      <c r="D1124" s="7" t="s">
        <v>79</v>
      </c>
      <c r="E1124" s="9" t="s">
        <v>63</v>
      </c>
      <c r="F1124" s="10">
        <v>1</v>
      </c>
      <c r="G1124" s="11" t="s">
        <v>36</v>
      </c>
      <c r="H1124" s="7" t="s">
        <v>89</v>
      </c>
      <c r="I1124" s="11" t="s">
        <v>113</v>
      </c>
      <c r="J1124" s="11" t="s">
        <v>105</v>
      </c>
      <c r="K1124" s="12">
        <v>875</v>
      </c>
      <c r="L1124" s="12">
        <f t="shared" si="71"/>
        <v>525</v>
      </c>
      <c r="M1124" s="12">
        <f t="shared" si="72"/>
        <v>350</v>
      </c>
      <c r="N1124" s="12">
        <v>0</v>
      </c>
      <c r="O1124" s="12">
        <f t="shared" si="73"/>
        <v>875</v>
      </c>
      <c r="P1124" s="29">
        <v>30</v>
      </c>
    </row>
    <row r="1125" spans="1:16" s="85" customFormat="1" ht="16.5" hidden="1" thickTop="1" thickBot="1" x14ac:dyDescent="0.3">
      <c r="A1125" s="74" t="s">
        <v>111</v>
      </c>
      <c r="B1125" s="25" t="s">
        <v>22</v>
      </c>
      <c r="C1125" s="8" t="s">
        <v>61</v>
      </c>
      <c r="D1125" s="7" t="s">
        <v>79</v>
      </c>
      <c r="E1125" s="9" t="s">
        <v>63</v>
      </c>
      <c r="F1125" s="10">
        <v>1</v>
      </c>
      <c r="G1125" s="11" t="s">
        <v>132</v>
      </c>
      <c r="H1125" s="7" t="s">
        <v>88</v>
      </c>
      <c r="I1125" s="11" t="s">
        <v>113</v>
      </c>
      <c r="J1125" s="11" t="s">
        <v>105</v>
      </c>
      <c r="K1125" s="12">
        <v>875</v>
      </c>
      <c r="L1125" s="12">
        <f t="shared" si="71"/>
        <v>525</v>
      </c>
      <c r="M1125" s="12">
        <f t="shared" si="72"/>
        <v>350</v>
      </c>
      <c r="N1125" s="12">
        <v>0</v>
      </c>
      <c r="O1125" s="12">
        <f t="shared" si="73"/>
        <v>875</v>
      </c>
      <c r="P1125" s="29">
        <v>30</v>
      </c>
    </row>
    <row r="1126" spans="1:16" s="85" customFormat="1" ht="16.5" hidden="1" thickTop="1" thickBot="1" x14ac:dyDescent="0.3">
      <c r="A1126" s="74" t="s">
        <v>111</v>
      </c>
      <c r="B1126" s="25" t="s">
        <v>22</v>
      </c>
      <c r="C1126" s="8" t="s">
        <v>61</v>
      </c>
      <c r="D1126" s="7" t="s">
        <v>79</v>
      </c>
      <c r="E1126" s="9" t="s">
        <v>63</v>
      </c>
      <c r="F1126" s="10">
        <v>1</v>
      </c>
      <c r="G1126" s="11" t="s">
        <v>129</v>
      </c>
      <c r="H1126" s="7" t="s">
        <v>85</v>
      </c>
      <c r="I1126" s="11" t="s">
        <v>113</v>
      </c>
      <c r="J1126" s="11" t="s">
        <v>105</v>
      </c>
      <c r="K1126" s="12">
        <v>875</v>
      </c>
      <c r="L1126" s="12">
        <f t="shared" si="71"/>
        <v>525</v>
      </c>
      <c r="M1126" s="12">
        <f t="shared" si="72"/>
        <v>350</v>
      </c>
      <c r="N1126" s="12">
        <v>0</v>
      </c>
      <c r="O1126" s="12">
        <f t="shared" si="73"/>
        <v>875</v>
      </c>
      <c r="P1126" s="29">
        <v>30</v>
      </c>
    </row>
    <row r="1127" spans="1:16" s="85" customFormat="1" ht="15.75" hidden="1" customHeight="1" thickTop="1" thickBot="1" x14ac:dyDescent="0.3">
      <c r="A1127" s="74" t="s">
        <v>111</v>
      </c>
      <c r="B1127" s="25" t="s">
        <v>5</v>
      </c>
      <c r="C1127" s="8" t="s">
        <v>61</v>
      </c>
      <c r="D1127" s="7" t="s">
        <v>79</v>
      </c>
      <c r="E1127" s="9" t="s">
        <v>63</v>
      </c>
      <c r="F1127" s="10">
        <v>1</v>
      </c>
      <c r="G1127" s="11" t="s">
        <v>45</v>
      </c>
      <c r="H1127" s="7" t="s">
        <v>91</v>
      </c>
      <c r="I1127" s="11" t="s">
        <v>113</v>
      </c>
      <c r="J1127" s="11" t="s">
        <v>105</v>
      </c>
      <c r="K1127" s="12">
        <v>875</v>
      </c>
      <c r="L1127" s="12">
        <f t="shared" si="71"/>
        <v>525</v>
      </c>
      <c r="M1127" s="12">
        <f t="shared" si="72"/>
        <v>350</v>
      </c>
      <c r="N1127" s="12">
        <v>0</v>
      </c>
      <c r="O1127" s="12">
        <f t="shared" si="73"/>
        <v>875</v>
      </c>
      <c r="P1127" s="29">
        <v>30</v>
      </c>
    </row>
    <row r="1128" spans="1:16" s="85" customFormat="1" ht="16.5" hidden="1" thickTop="1" thickBot="1" x14ac:dyDescent="0.3">
      <c r="A1128" s="74" t="s">
        <v>111</v>
      </c>
      <c r="B1128" s="25" t="s">
        <v>22</v>
      </c>
      <c r="C1128" s="8" t="s">
        <v>61</v>
      </c>
      <c r="D1128" s="7" t="s">
        <v>79</v>
      </c>
      <c r="E1128" s="9" t="s">
        <v>63</v>
      </c>
      <c r="F1128" s="10">
        <v>1</v>
      </c>
      <c r="G1128" s="11" t="s">
        <v>46</v>
      </c>
      <c r="H1128" s="7" t="s">
        <v>85</v>
      </c>
      <c r="I1128" s="11" t="s">
        <v>113</v>
      </c>
      <c r="J1128" s="11" t="s">
        <v>105</v>
      </c>
      <c r="K1128" s="12">
        <v>875</v>
      </c>
      <c r="L1128" s="12">
        <f t="shared" si="71"/>
        <v>525</v>
      </c>
      <c r="M1128" s="12">
        <f t="shared" si="72"/>
        <v>350</v>
      </c>
      <c r="N1128" s="12">
        <v>0</v>
      </c>
      <c r="O1128" s="12">
        <f t="shared" si="73"/>
        <v>875</v>
      </c>
      <c r="P1128" s="29">
        <v>30</v>
      </c>
    </row>
    <row r="1129" spans="1:16" s="85" customFormat="1" ht="16.5" hidden="1" thickTop="1" thickBot="1" x14ac:dyDescent="0.3">
      <c r="A1129" s="74" t="s">
        <v>111</v>
      </c>
      <c r="B1129" s="25" t="s">
        <v>22</v>
      </c>
      <c r="C1129" s="8" t="s">
        <v>61</v>
      </c>
      <c r="D1129" s="7" t="s">
        <v>79</v>
      </c>
      <c r="E1129" s="9" t="s">
        <v>63</v>
      </c>
      <c r="F1129" s="10">
        <v>1</v>
      </c>
      <c r="G1129" s="11" t="s">
        <v>47</v>
      </c>
      <c r="H1129" s="7" t="s">
        <v>85</v>
      </c>
      <c r="I1129" s="11" t="s">
        <v>113</v>
      </c>
      <c r="J1129" s="11" t="s">
        <v>105</v>
      </c>
      <c r="K1129" s="12">
        <v>875</v>
      </c>
      <c r="L1129" s="12">
        <f t="shared" si="71"/>
        <v>525</v>
      </c>
      <c r="M1129" s="12">
        <f t="shared" si="72"/>
        <v>350</v>
      </c>
      <c r="N1129" s="12">
        <v>0</v>
      </c>
      <c r="O1129" s="12">
        <f t="shared" si="73"/>
        <v>875</v>
      </c>
      <c r="P1129" s="29">
        <v>30</v>
      </c>
    </row>
    <row r="1130" spans="1:16" s="85" customFormat="1" ht="16.5" hidden="1" thickTop="1" thickBot="1" x14ac:dyDescent="0.3">
      <c r="A1130" s="74" t="s">
        <v>111</v>
      </c>
      <c r="B1130" s="25" t="s">
        <v>22</v>
      </c>
      <c r="C1130" s="8" t="s">
        <v>61</v>
      </c>
      <c r="D1130" s="7" t="s">
        <v>79</v>
      </c>
      <c r="E1130" s="9" t="s">
        <v>63</v>
      </c>
      <c r="F1130" s="10">
        <v>1</v>
      </c>
      <c r="G1130" s="11" t="s">
        <v>48</v>
      </c>
      <c r="H1130" s="7" t="s">
        <v>85</v>
      </c>
      <c r="I1130" s="11" t="s">
        <v>113</v>
      </c>
      <c r="J1130" s="11" t="s">
        <v>105</v>
      </c>
      <c r="K1130" s="12">
        <v>875</v>
      </c>
      <c r="L1130" s="12">
        <f t="shared" si="71"/>
        <v>525</v>
      </c>
      <c r="M1130" s="12">
        <f t="shared" si="72"/>
        <v>350</v>
      </c>
      <c r="N1130" s="12">
        <v>0</v>
      </c>
      <c r="O1130" s="12">
        <f t="shared" si="73"/>
        <v>875</v>
      </c>
      <c r="P1130" s="29">
        <v>30</v>
      </c>
    </row>
    <row r="1131" spans="1:16" s="85" customFormat="1" ht="16.5" hidden="1" thickTop="1" thickBot="1" x14ac:dyDescent="0.3">
      <c r="A1131" s="74" t="s">
        <v>111</v>
      </c>
      <c r="B1131" s="25" t="s">
        <v>22</v>
      </c>
      <c r="C1131" s="8" t="s">
        <v>62</v>
      </c>
      <c r="D1131" s="7" t="s">
        <v>79</v>
      </c>
      <c r="E1131" s="9" t="s">
        <v>63</v>
      </c>
      <c r="F1131" s="10">
        <v>1</v>
      </c>
      <c r="G1131" s="11" t="s">
        <v>55</v>
      </c>
      <c r="H1131" s="7" t="s">
        <v>85</v>
      </c>
      <c r="I1131" s="11" t="s">
        <v>113</v>
      </c>
      <c r="J1131" s="11" t="s">
        <v>105</v>
      </c>
      <c r="K1131" s="12">
        <v>875</v>
      </c>
      <c r="L1131" s="12">
        <f t="shared" si="71"/>
        <v>525</v>
      </c>
      <c r="M1131" s="12">
        <f t="shared" si="72"/>
        <v>350</v>
      </c>
      <c r="N1131" s="12">
        <v>0</v>
      </c>
      <c r="O1131" s="12">
        <f t="shared" si="73"/>
        <v>875</v>
      </c>
      <c r="P1131" s="29">
        <v>30</v>
      </c>
    </row>
    <row r="1132" spans="1:16" s="85" customFormat="1" ht="16.5" hidden="1" thickTop="1" thickBot="1" x14ac:dyDescent="0.3">
      <c r="A1132" s="74" t="s">
        <v>111</v>
      </c>
      <c r="B1132" s="25" t="s">
        <v>22</v>
      </c>
      <c r="C1132" s="8" t="s">
        <v>62</v>
      </c>
      <c r="D1132" s="7" t="s">
        <v>79</v>
      </c>
      <c r="E1132" s="9" t="s">
        <v>63</v>
      </c>
      <c r="F1132" s="10">
        <v>1</v>
      </c>
      <c r="G1132" s="11" t="s">
        <v>56</v>
      </c>
      <c r="H1132" s="7" t="s">
        <v>85</v>
      </c>
      <c r="I1132" s="11" t="s">
        <v>113</v>
      </c>
      <c r="J1132" s="11" t="s">
        <v>105</v>
      </c>
      <c r="K1132" s="12">
        <v>875</v>
      </c>
      <c r="L1132" s="12">
        <f t="shared" si="71"/>
        <v>525</v>
      </c>
      <c r="M1132" s="12">
        <f t="shared" si="72"/>
        <v>350</v>
      </c>
      <c r="N1132" s="12">
        <v>0</v>
      </c>
      <c r="O1132" s="12">
        <f t="shared" si="73"/>
        <v>875</v>
      </c>
      <c r="P1132" s="29">
        <v>30</v>
      </c>
    </row>
    <row r="1133" spans="1:16" s="85" customFormat="1" ht="16.5" hidden="1" thickTop="1" thickBot="1" x14ac:dyDescent="0.3">
      <c r="A1133" s="74" t="s">
        <v>111</v>
      </c>
      <c r="B1133" s="25" t="s">
        <v>22</v>
      </c>
      <c r="C1133" s="8" t="s">
        <v>62</v>
      </c>
      <c r="D1133" s="7" t="s">
        <v>79</v>
      </c>
      <c r="E1133" s="9" t="s">
        <v>63</v>
      </c>
      <c r="F1133" s="10">
        <v>1</v>
      </c>
      <c r="G1133" s="11" t="s">
        <v>57</v>
      </c>
      <c r="H1133" s="7" t="s">
        <v>85</v>
      </c>
      <c r="I1133" s="11" t="s">
        <v>113</v>
      </c>
      <c r="J1133" s="11" t="s">
        <v>105</v>
      </c>
      <c r="K1133" s="12">
        <v>875</v>
      </c>
      <c r="L1133" s="12">
        <f t="shared" si="71"/>
        <v>525</v>
      </c>
      <c r="M1133" s="12">
        <f t="shared" si="72"/>
        <v>350</v>
      </c>
      <c r="N1133" s="12">
        <v>0</v>
      </c>
      <c r="O1133" s="12">
        <f t="shared" si="73"/>
        <v>875</v>
      </c>
      <c r="P1133" s="29">
        <v>30</v>
      </c>
    </row>
    <row r="1134" spans="1:16" s="85" customFormat="1" ht="16.5" hidden="1" thickTop="1" thickBot="1" x14ac:dyDescent="0.3">
      <c r="A1134" s="74" t="s">
        <v>111</v>
      </c>
      <c r="B1134" s="25" t="s">
        <v>22</v>
      </c>
      <c r="C1134" s="8" t="s">
        <v>62</v>
      </c>
      <c r="D1134" s="7" t="s">
        <v>79</v>
      </c>
      <c r="E1134" s="9" t="s">
        <v>63</v>
      </c>
      <c r="F1134" s="10">
        <v>1</v>
      </c>
      <c r="G1134" s="11" t="s">
        <v>58</v>
      </c>
      <c r="H1134" s="7" t="s">
        <v>85</v>
      </c>
      <c r="I1134" s="11" t="s">
        <v>113</v>
      </c>
      <c r="J1134" s="11" t="s">
        <v>105</v>
      </c>
      <c r="K1134" s="12">
        <v>875</v>
      </c>
      <c r="L1134" s="12">
        <f t="shared" si="71"/>
        <v>525</v>
      </c>
      <c r="M1134" s="12">
        <f t="shared" si="72"/>
        <v>350</v>
      </c>
      <c r="N1134" s="12">
        <v>0</v>
      </c>
      <c r="O1134" s="12">
        <f t="shared" si="73"/>
        <v>875</v>
      </c>
      <c r="P1134" s="29">
        <v>30</v>
      </c>
    </row>
    <row r="1135" spans="1:16" s="85" customFormat="1" ht="16.5" hidden="1" thickTop="1" thickBot="1" x14ac:dyDescent="0.3">
      <c r="A1135" s="74" t="s">
        <v>111</v>
      </c>
      <c r="B1135" s="25" t="s">
        <v>22</v>
      </c>
      <c r="C1135" s="8" t="s">
        <v>60</v>
      </c>
      <c r="D1135" s="7" t="s">
        <v>79</v>
      </c>
      <c r="E1135" s="9" t="s">
        <v>64</v>
      </c>
      <c r="F1135" s="10">
        <v>28</v>
      </c>
      <c r="G1135" s="11" t="s">
        <v>155</v>
      </c>
      <c r="H1135" s="7" t="s">
        <v>83</v>
      </c>
      <c r="I1135" s="11" t="s">
        <v>7</v>
      </c>
      <c r="J1135" s="11" t="s">
        <v>80</v>
      </c>
      <c r="K1135" s="12">
        <v>17715</v>
      </c>
      <c r="L1135" s="12">
        <f>K1135</f>
        <v>17715</v>
      </c>
      <c r="M1135" s="12">
        <v>0</v>
      </c>
      <c r="N1135" s="12">
        <v>0</v>
      </c>
      <c r="O1135" s="12">
        <f>K1135</f>
        <v>17715</v>
      </c>
      <c r="P1135" s="29">
        <v>30</v>
      </c>
    </row>
    <row r="1136" spans="1:16" s="85" customFormat="1" ht="16.5" hidden="1" thickTop="1" thickBot="1" x14ac:dyDescent="0.3">
      <c r="A1136" s="74" t="s">
        <v>111</v>
      </c>
      <c r="B1136" s="25" t="s">
        <v>11</v>
      </c>
      <c r="C1136" s="8" t="s">
        <v>25</v>
      </c>
      <c r="D1136" s="7" t="s">
        <v>79</v>
      </c>
      <c r="E1136" s="9" t="s">
        <v>64</v>
      </c>
      <c r="F1136" s="10">
        <v>20</v>
      </c>
      <c r="G1136" s="11" t="s">
        <v>32</v>
      </c>
      <c r="H1136" s="7" t="s">
        <v>83</v>
      </c>
      <c r="I1136" s="11" t="s">
        <v>30</v>
      </c>
      <c r="J1136" s="11" t="s">
        <v>80</v>
      </c>
      <c r="K1136" s="12">
        <v>230</v>
      </c>
      <c r="L1136" s="12">
        <v>230</v>
      </c>
      <c r="M1136" s="12">
        <v>0</v>
      </c>
      <c r="N1136" s="12">
        <v>10</v>
      </c>
      <c r="O1136" s="12">
        <v>190</v>
      </c>
      <c r="P1136" s="29">
        <v>10</v>
      </c>
    </row>
    <row r="1137" spans="1:16" s="85" customFormat="1" ht="16.5" hidden="1" thickTop="1" thickBot="1" x14ac:dyDescent="0.3">
      <c r="A1137" s="74" t="s">
        <v>111</v>
      </c>
      <c r="B1137" s="25" t="s">
        <v>5</v>
      </c>
      <c r="C1137" s="8" t="s">
        <v>25</v>
      </c>
      <c r="D1137" s="7" t="s">
        <v>79</v>
      </c>
      <c r="E1137" s="9" t="s">
        <v>64</v>
      </c>
      <c r="F1137" s="10">
        <v>20</v>
      </c>
      <c r="G1137" s="11" t="s">
        <v>32</v>
      </c>
      <c r="H1137" s="7" t="s">
        <v>83</v>
      </c>
      <c r="I1137" s="11" t="s">
        <v>7</v>
      </c>
      <c r="J1137" s="11" t="s">
        <v>80</v>
      </c>
      <c r="K1137" s="12">
        <v>21216.65</v>
      </c>
      <c r="L1137" s="12">
        <v>21216.65</v>
      </c>
      <c r="M1137" s="12">
        <v>0</v>
      </c>
      <c r="N1137" s="12">
        <v>1008.00076721625</v>
      </c>
      <c r="O1137" s="12">
        <v>20208.649232783751</v>
      </c>
      <c r="P1137" s="29">
        <v>10</v>
      </c>
    </row>
    <row r="1138" spans="1:16" s="85" customFormat="1" ht="16.5" hidden="1" thickTop="1" thickBot="1" x14ac:dyDescent="0.3">
      <c r="A1138" s="74" t="s">
        <v>111</v>
      </c>
      <c r="B1138" s="25" t="s">
        <v>5</v>
      </c>
      <c r="C1138" s="8" t="s">
        <v>25</v>
      </c>
      <c r="D1138" s="7" t="s">
        <v>79</v>
      </c>
      <c r="E1138" s="9" t="s">
        <v>64</v>
      </c>
      <c r="F1138" s="10">
        <v>20</v>
      </c>
      <c r="G1138" s="11" t="s">
        <v>32</v>
      </c>
      <c r="H1138" s="7" t="s">
        <v>83</v>
      </c>
      <c r="I1138" s="11" t="s">
        <v>97</v>
      </c>
      <c r="J1138" s="11" t="s">
        <v>80</v>
      </c>
      <c r="K1138" s="12">
        <v>10578.83</v>
      </c>
      <c r="L1138" s="12">
        <v>10578.83</v>
      </c>
      <c r="M1138" s="12">
        <v>0</v>
      </c>
      <c r="N1138" s="12">
        <v>502.66571759999999</v>
      </c>
      <c r="O1138" s="12">
        <v>10076.164282399999</v>
      </c>
      <c r="P1138" s="29">
        <v>10</v>
      </c>
    </row>
    <row r="1139" spans="1:16" s="85" customFormat="1" ht="15.75" hidden="1" customHeight="1" thickTop="1" thickBot="1" x14ac:dyDescent="0.3">
      <c r="A1139" s="74" t="s">
        <v>111</v>
      </c>
      <c r="B1139" s="25" t="s">
        <v>5</v>
      </c>
      <c r="C1139" s="8" t="s">
        <v>25</v>
      </c>
      <c r="D1139" s="7" t="s">
        <v>79</v>
      </c>
      <c r="E1139" s="9" t="s">
        <v>64</v>
      </c>
      <c r="F1139" s="10">
        <v>20</v>
      </c>
      <c r="G1139" s="11" t="s">
        <v>32</v>
      </c>
      <c r="H1139" s="7" t="s">
        <v>83</v>
      </c>
      <c r="I1139" s="11" t="s">
        <v>98</v>
      </c>
      <c r="J1139" s="11" t="s">
        <v>80</v>
      </c>
      <c r="K1139" s="12">
        <v>14293.174999999999</v>
      </c>
      <c r="L1139" s="12">
        <v>14293.174999999999</v>
      </c>
      <c r="M1139" s="12">
        <v>0</v>
      </c>
      <c r="N1139" s="12">
        <v>646.75</v>
      </c>
      <c r="O1139" s="12">
        <v>13646.424999999999</v>
      </c>
      <c r="P1139" s="29">
        <v>10</v>
      </c>
    </row>
    <row r="1140" spans="1:16" s="85" customFormat="1" ht="16.5" hidden="1" thickTop="1" thickBot="1" x14ac:dyDescent="0.3">
      <c r="A1140" s="74" t="s">
        <v>111</v>
      </c>
      <c r="B1140" s="25" t="s">
        <v>10</v>
      </c>
      <c r="C1140" s="8" t="s">
        <v>25</v>
      </c>
      <c r="D1140" s="7" t="s">
        <v>79</v>
      </c>
      <c r="E1140" s="9" t="s">
        <v>64</v>
      </c>
      <c r="F1140" s="10">
        <v>20</v>
      </c>
      <c r="G1140" s="11" t="s">
        <v>32</v>
      </c>
      <c r="H1140" s="7" t="s">
        <v>83</v>
      </c>
      <c r="I1140" s="11" t="s">
        <v>96</v>
      </c>
      <c r="J1140" s="11" t="s">
        <v>80</v>
      </c>
      <c r="K1140" s="12">
        <v>2000</v>
      </c>
      <c r="L1140" s="12">
        <v>2000</v>
      </c>
      <c r="M1140" s="12">
        <v>0</v>
      </c>
      <c r="N1140" s="12">
        <v>0</v>
      </c>
      <c r="O1140" s="12">
        <v>2000</v>
      </c>
      <c r="P1140" s="29">
        <v>10</v>
      </c>
    </row>
    <row r="1141" spans="1:16" s="85" customFormat="1" ht="16.5" hidden="1" thickTop="1" thickBot="1" x14ac:dyDescent="0.3">
      <c r="A1141" s="74" t="s">
        <v>111</v>
      </c>
      <c r="B1141" s="25" t="s">
        <v>22</v>
      </c>
      <c r="C1141" s="8" t="s">
        <v>62</v>
      </c>
      <c r="D1141" s="7" t="s">
        <v>79</v>
      </c>
      <c r="E1141" s="9" t="s">
        <v>64</v>
      </c>
      <c r="F1141" s="10">
        <v>1</v>
      </c>
      <c r="G1141" s="11" t="s">
        <v>59</v>
      </c>
      <c r="H1141" s="7" t="s">
        <v>85</v>
      </c>
      <c r="I1141" s="11" t="s">
        <v>9</v>
      </c>
      <c r="J1141" s="11" t="s">
        <v>105</v>
      </c>
      <c r="K1141" s="12">
        <v>4769.5527927450003</v>
      </c>
      <c r="L1141" s="12">
        <v>2861.731675647</v>
      </c>
      <c r="M1141" s="12">
        <v>1907.8211170980003</v>
      </c>
      <c r="N1141" s="12">
        <v>0</v>
      </c>
      <c r="O1141" s="12">
        <v>4769.5527927450003</v>
      </c>
      <c r="P1141" s="29">
        <v>30</v>
      </c>
    </row>
    <row r="1142" spans="1:16" s="85" customFormat="1" ht="16.5" hidden="1" thickTop="1" thickBot="1" x14ac:dyDescent="0.3">
      <c r="A1142" s="74" t="s">
        <v>111</v>
      </c>
      <c r="B1142" s="25" t="s">
        <v>11</v>
      </c>
      <c r="C1142" s="8" t="s">
        <v>0</v>
      </c>
      <c r="D1142" s="7" t="s">
        <v>147</v>
      </c>
      <c r="E1142" s="9" t="s">
        <v>64</v>
      </c>
      <c r="F1142" s="10">
        <v>20</v>
      </c>
      <c r="G1142" s="11" t="s">
        <v>72</v>
      </c>
      <c r="H1142" s="7" t="s">
        <v>83</v>
      </c>
      <c r="I1142" s="11" t="s">
        <v>30</v>
      </c>
      <c r="J1142" s="11" t="s">
        <v>109</v>
      </c>
      <c r="K1142" s="12">
        <v>690</v>
      </c>
      <c r="L1142" s="12">
        <v>690</v>
      </c>
      <c r="M1142" s="12">
        <v>0</v>
      </c>
      <c r="N1142" s="12">
        <v>20.7</v>
      </c>
      <c r="O1142" s="12">
        <f>L1142-N1142</f>
        <v>669.3</v>
      </c>
      <c r="P1142" s="29">
        <v>7</v>
      </c>
    </row>
    <row r="1143" spans="1:16" s="85" customFormat="1" ht="16.5" hidden="1" thickTop="1" thickBot="1" x14ac:dyDescent="0.3">
      <c r="A1143" s="74" t="s">
        <v>111</v>
      </c>
      <c r="B1143" s="25" t="s">
        <v>11</v>
      </c>
      <c r="C1143" s="8" t="s">
        <v>62</v>
      </c>
      <c r="D1143" s="7" t="s">
        <v>79</v>
      </c>
      <c r="E1143" s="9" t="s">
        <v>64</v>
      </c>
      <c r="F1143" s="10">
        <v>16</v>
      </c>
      <c r="G1143" s="13" t="s">
        <v>51</v>
      </c>
      <c r="H1143" s="7" t="s">
        <v>83</v>
      </c>
      <c r="I1143" s="11" t="s">
        <v>7</v>
      </c>
      <c r="J1143" s="11" t="s">
        <v>80</v>
      </c>
      <c r="K1143" s="12">
        <v>21132.94766324625</v>
      </c>
      <c r="L1143" s="12">
        <v>21132.94766324625</v>
      </c>
      <c r="M1143" s="12">
        <v>0</v>
      </c>
      <c r="N1143" s="12">
        <f>L1143*14%</f>
        <v>2958.6126728544755</v>
      </c>
      <c r="O1143" s="12">
        <v>17751.67603712685</v>
      </c>
      <c r="P1143" s="29">
        <v>30</v>
      </c>
    </row>
    <row r="1144" spans="1:16" s="85" customFormat="1" ht="16.5" hidden="1" thickTop="1" thickBot="1" x14ac:dyDescent="0.3">
      <c r="A1144" s="91" t="s">
        <v>111</v>
      </c>
      <c r="B1144" s="25" t="s">
        <v>11</v>
      </c>
      <c r="C1144" s="8" t="s">
        <v>25</v>
      </c>
      <c r="D1144" s="7" t="s">
        <v>79</v>
      </c>
      <c r="E1144" s="9" t="s">
        <v>64</v>
      </c>
      <c r="F1144" s="10">
        <v>20</v>
      </c>
      <c r="G1144" s="11" t="s">
        <v>29</v>
      </c>
      <c r="H1144" s="7" t="s">
        <v>83</v>
      </c>
      <c r="I1144" s="11" t="s">
        <v>30</v>
      </c>
      <c r="J1144" s="11" t="s">
        <v>80</v>
      </c>
      <c r="K1144" s="12">
        <v>530</v>
      </c>
      <c r="L1144" s="12">
        <v>530</v>
      </c>
      <c r="M1144" s="12">
        <v>0</v>
      </c>
      <c r="N1144" s="12">
        <v>25</v>
      </c>
      <c r="O1144" s="12">
        <v>475</v>
      </c>
      <c r="P1144" s="29">
        <v>10</v>
      </c>
    </row>
    <row r="1145" spans="1:16" s="85" customFormat="1" ht="16.5" hidden="1" thickTop="1" thickBot="1" x14ac:dyDescent="0.3">
      <c r="A1145" s="91" t="s">
        <v>111</v>
      </c>
      <c r="B1145" s="25" t="s">
        <v>22</v>
      </c>
      <c r="C1145" s="8" t="s">
        <v>25</v>
      </c>
      <c r="D1145" s="7" t="s">
        <v>79</v>
      </c>
      <c r="E1145" s="9" t="s">
        <v>64</v>
      </c>
      <c r="F1145" s="10">
        <v>20</v>
      </c>
      <c r="G1145" s="11" t="s">
        <v>29</v>
      </c>
      <c r="H1145" s="7" t="s">
        <v>83</v>
      </c>
      <c r="I1145" s="11" t="s">
        <v>9</v>
      </c>
      <c r="J1145" s="11" t="s">
        <v>80</v>
      </c>
      <c r="K1145" s="12">
        <v>8124.51</v>
      </c>
      <c r="L1145" s="12">
        <f>K1145</f>
        <v>8124.51</v>
      </c>
      <c r="M1145" s="12">
        <v>0</v>
      </c>
      <c r="N1145" s="12">
        <v>0</v>
      </c>
      <c r="O1145" s="12">
        <v>2240.7039719999998</v>
      </c>
      <c r="P1145" s="29">
        <v>10</v>
      </c>
    </row>
    <row r="1146" spans="1:16" s="85" customFormat="1" ht="16.5" hidden="1" thickTop="1" thickBot="1" x14ac:dyDescent="0.3">
      <c r="A1146" s="74" t="s">
        <v>111</v>
      </c>
      <c r="B1146" s="25" t="s">
        <v>13</v>
      </c>
      <c r="C1146" s="8" t="s">
        <v>0</v>
      </c>
      <c r="D1146" s="7" t="s">
        <v>79</v>
      </c>
      <c r="E1146" s="9" t="s">
        <v>64</v>
      </c>
      <c r="F1146" s="10">
        <v>5</v>
      </c>
      <c r="G1146" s="90" t="s">
        <v>21</v>
      </c>
      <c r="H1146" s="7" t="s">
        <v>85</v>
      </c>
      <c r="I1146" s="11" t="s">
        <v>9</v>
      </c>
      <c r="J1146" s="11" t="s">
        <v>105</v>
      </c>
      <c r="K1146" s="12">
        <v>35159.32</v>
      </c>
      <c r="L1146" s="12">
        <v>35159.32</v>
      </c>
      <c r="M1146" s="12">
        <v>0</v>
      </c>
      <c r="N1146" s="12">
        <f>L1146*16%</f>
        <v>5625.4912000000004</v>
      </c>
      <c r="O1146" s="12">
        <f>K1146-N1146</f>
        <v>29533.828799999999</v>
      </c>
      <c r="P1146" s="29">
        <v>10</v>
      </c>
    </row>
    <row r="1147" spans="1:16" s="85" customFormat="1" ht="16.5" hidden="1" thickTop="1" thickBot="1" x14ac:dyDescent="0.3">
      <c r="A1147" s="74" t="s">
        <v>111</v>
      </c>
      <c r="B1147" s="25" t="s">
        <v>22</v>
      </c>
      <c r="C1147" s="8" t="s">
        <v>60</v>
      </c>
      <c r="D1147" s="7" t="s">
        <v>79</v>
      </c>
      <c r="E1147" s="9" t="s">
        <v>65</v>
      </c>
      <c r="F1147" s="10">
        <v>28</v>
      </c>
      <c r="G1147" s="11" t="s">
        <v>155</v>
      </c>
      <c r="H1147" s="7" t="s">
        <v>83</v>
      </c>
      <c r="I1147" s="11" t="s">
        <v>7</v>
      </c>
      <c r="J1147" s="11" t="s">
        <v>80</v>
      </c>
      <c r="K1147" s="12">
        <v>15275</v>
      </c>
      <c r="L1147" s="12">
        <f>K1147</f>
        <v>15275</v>
      </c>
      <c r="M1147" s="12">
        <v>0</v>
      </c>
      <c r="N1147" s="12">
        <v>0</v>
      </c>
      <c r="O1147" s="12">
        <f>K1147</f>
        <v>15275</v>
      </c>
      <c r="P1147" s="29">
        <v>30</v>
      </c>
    </row>
    <row r="1148" spans="1:16" s="85" customFormat="1" ht="16.5" hidden="1" thickTop="1" thickBot="1" x14ac:dyDescent="0.3">
      <c r="A1148" s="74"/>
      <c r="B1148" s="25" t="s">
        <v>11</v>
      </c>
      <c r="C1148" s="8" t="s">
        <v>25</v>
      </c>
      <c r="D1148" s="7" t="s">
        <v>79</v>
      </c>
      <c r="E1148" s="9" t="s">
        <v>65</v>
      </c>
      <c r="F1148" s="10">
        <v>20</v>
      </c>
      <c r="G1148" s="11" t="s">
        <v>32</v>
      </c>
      <c r="H1148" s="7" t="s">
        <v>83</v>
      </c>
      <c r="I1148" s="11" t="s">
        <v>30</v>
      </c>
      <c r="J1148" s="11" t="s">
        <v>80</v>
      </c>
      <c r="K1148" s="12">
        <v>230</v>
      </c>
      <c r="L1148" s="12">
        <v>230</v>
      </c>
      <c r="M1148" s="12">
        <v>0</v>
      </c>
      <c r="N1148" s="12">
        <v>10</v>
      </c>
      <c r="O1148" s="12">
        <v>190</v>
      </c>
      <c r="P1148" s="29">
        <v>10</v>
      </c>
    </row>
    <row r="1149" spans="1:16" s="85" customFormat="1" ht="16.5" hidden="1" thickTop="1" thickBot="1" x14ac:dyDescent="0.3">
      <c r="A1149" s="74"/>
      <c r="B1149" s="25" t="s">
        <v>5</v>
      </c>
      <c r="C1149" s="8" t="s">
        <v>25</v>
      </c>
      <c r="D1149" s="7" t="s">
        <v>79</v>
      </c>
      <c r="E1149" s="9" t="s">
        <v>65</v>
      </c>
      <c r="F1149" s="10">
        <v>20</v>
      </c>
      <c r="G1149" s="11" t="s">
        <v>32</v>
      </c>
      <c r="H1149" s="7" t="s">
        <v>83</v>
      </c>
      <c r="I1149" s="11" t="s">
        <v>7</v>
      </c>
      <c r="J1149" s="11" t="s">
        <v>80</v>
      </c>
      <c r="K1149" s="12">
        <v>21216.65</v>
      </c>
      <c r="L1149" s="12">
        <v>21216.65</v>
      </c>
      <c r="M1149" s="12">
        <v>0</v>
      </c>
      <c r="N1149" s="12">
        <v>1008.00076721625</v>
      </c>
      <c r="O1149" s="12">
        <v>20208.649232783751</v>
      </c>
      <c r="P1149" s="29">
        <v>10</v>
      </c>
    </row>
    <row r="1150" spans="1:16" s="85" customFormat="1" ht="16.5" hidden="1" thickTop="1" thickBot="1" x14ac:dyDescent="0.3">
      <c r="A1150" s="74"/>
      <c r="B1150" s="25" t="s">
        <v>5</v>
      </c>
      <c r="C1150" s="8" t="s">
        <v>25</v>
      </c>
      <c r="D1150" s="7" t="s">
        <v>79</v>
      </c>
      <c r="E1150" s="9" t="s">
        <v>65</v>
      </c>
      <c r="F1150" s="10">
        <v>20</v>
      </c>
      <c r="G1150" s="11" t="s">
        <v>32</v>
      </c>
      <c r="H1150" s="7" t="s">
        <v>83</v>
      </c>
      <c r="I1150" s="11" t="s">
        <v>97</v>
      </c>
      <c r="J1150" s="11" t="s">
        <v>80</v>
      </c>
      <c r="K1150" s="12">
        <v>10578.83</v>
      </c>
      <c r="L1150" s="12">
        <v>10578.83</v>
      </c>
      <c r="M1150" s="12">
        <v>0</v>
      </c>
      <c r="N1150" s="12">
        <v>502.66571759999999</v>
      </c>
      <c r="O1150" s="12">
        <v>10076.164282399999</v>
      </c>
      <c r="P1150" s="29">
        <v>10</v>
      </c>
    </row>
    <row r="1151" spans="1:16" s="85" customFormat="1" ht="15.75" hidden="1" customHeight="1" thickTop="1" thickBot="1" x14ac:dyDescent="0.3">
      <c r="A1151" s="74" t="s">
        <v>111</v>
      </c>
      <c r="B1151" s="25" t="s">
        <v>11</v>
      </c>
      <c r="C1151" s="8" t="s">
        <v>25</v>
      </c>
      <c r="D1151" s="7" t="s">
        <v>79</v>
      </c>
      <c r="E1151" s="9" t="s">
        <v>67</v>
      </c>
      <c r="F1151" s="10">
        <v>20</v>
      </c>
      <c r="G1151" s="11" t="s">
        <v>32</v>
      </c>
      <c r="H1151" s="7" t="s">
        <v>83</v>
      </c>
      <c r="I1151" s="11" t="s">
        <v>30</v>
      </c>
      <c r="J1151" s="11" t="s">
        <v>80</v>
      </c>
      <c r="K1151" s="12">
        <v>230</v>
      </c>
      <c r="L1151" s="12">
        <v>230</v>
      </c>
      <c r="M1151" s="12">
        <v>0</v>
      </c>
      <c r="N1151" s="12">
        <v>10</v>
      </c>
      <c r="O1151" s="12">
        <v>190</v>
      </c>
      <c r="P1151" s="29">
        <v>10</v>
      </c>
    </row>
    <row r="1152" spans="1:16" s="85" customFormat="1" ht="16.5" hidden="1" thickTop="1" thickBot="1" x14ac:dyDescent="0.3">
      <c r="A1152" s="74"/>
      <c r="B1152" s="25" t="s">
        <v>5</v>
      </c>
      <c r="C1152" s="8" t="s">
        <v>25</v>
      </c>
      <c r="D1152" s="7" t="s">
        <v>79</v>
      </c>
      <c r="E1152" s="9" t="s">
        <v>65</v>
      </c>
      <c r="F1152" s="10">
        <v>20</v>
      </c>
      <c r="G1152" s="11" t="s">
        <v>32</v>
      </c>
      <c r="H1152" s="7" t="s">
        <v>83</v>
      </c>
      <c r="I1152" s="11" t="s">
        <v>98</v>
      </c>
      <c r="J1152" s="11" t="s">
        <v>80</v>
      </c>
      <c r="K1152" s="12">
        <v>14293.174999999999</v>
      </c>
      <c r="L1152" s="12">
        <v>14293.174999999999</v>
      </c>
      <c r="M1152" s="12">
        <v>0</v>
      </c>
      <c r="N1152" s="12">
        <v>646.75</v>
      </c>
      <c r="O1152" s="12">
        <v>13646.424999999999</v>
      </c>
      <c r="P1152" s="29">
        <v>10</v>
      </c>
    </row>
    <row r="1153" spans="1:17" s="85" customFormat="1" ht="16.5" hidden="1" thickTop="1" thickBot="1" x14ac:dyDescent="0.3">
      <c r="A1153" s="74"/>
      <c r="B1153" s="25" t="s">
        <v>10</v>
      </c>
      <c r="C1153" s="8" t="s">
        <v>25</v>
      </c>
      <c r="D1153" s="7" t="s">
        <v>79</v>
      </c>
      <c r="E1153" s="9" t="s">
        <v>65</v>
      </c>
      <c r="F1153" s="10">
        <v>20</v>
      </c>
      <c r="G1153" s="11" t="s">
        <v>32</v>
      </c>
      <c r="H1153" s="7" t="s">
        <v>83</v>
      </c>
      <c r="I1153" s="11" t="s">
        <v>96</v>
      </c>
      <c r="J1153" s="11" t="s">
        <v>80</v>
      </c>
      <c r="K1153" s="12">
        <v>2000</v>
      </c>
      <c r="L1153" s="12">
        <v>2000</v>
      </c>
      <c r="M1153" s="12">
        <v>0</v>
      </c>
      <c r="N1153" s="12">
        <v>0</v>
      </c>
      <c r="O1153" s="12">
        <v>2000</v>
      </c>
      <c r="P1153" s="29">
        <v>10</v>
      </c>
    </row>
    <row r="1154" spans="1:17" s="85" customFormat="1" ht="16.5" hidden="1" thickTop="1" thickBot="1" x14ac:dyDescent="0.3">
      <c r="A1154" s="74" t="s">
        <v>111</v>
      </c>
      <c r="B1154" s="25" t="s">
        <v>11</v>
      </c>
      <c r="C1154" s="8" t="s">
        <v>62</v>
      </c>
      <c r="D1154" s="7" t="s">
        <v>79</v>
      </c>
      <c r="E1154" s="9" t="s">
        <v>65</v>
      </c>
      <c r="F1154" s="10">
        <v>16</v>
      </c>
      <c r="G1154" s="13" t="s">
        <v>51</v>
      </c>
      <c r="H1154" s="7" t="s">
        <v>83</v>
      </c>
      <c r="I1154" s="11" t="s">
        <v>7</v>
      </c>
      <c r="J1154" s="11" t="s">
        <v>80</v>
      </c>
      <c r="K1154" s="12">
        <v>17311.150000000001</v>
      </c>
      <c r="L1154" s="12">
        <f>K1154</f>
        <v>17311.150000000001</v>
      </c>
      <c r="M1154" s="12">
        <v>0</v>
      </c>
      <c r="N1154" s="12">
        <v>1661.87</v>
      </c>
      <c r="O1154" s="12">
        <f>L1154-N1154</f>
        <v>15649.280000000002</v>
      </c>
      <c r="P1154" s="29">
        <v>30</v>
      </c>
    </row>
    <row r="1155" spans="1:17" s="85" customFormat="1" ht="16.5" hidden="1" thickTop="1" thickBot="1" x14ac:dyDescent="0.3">
      <c r="A1155" s="74"/>
      <c r="B1155" s="25" t="s">
        <v>11</v>
      </c>
      <c r="C1155" s="8" t="s">
        <v>25</v>
      </c>
      <c r="D1155" s="7" t="s">
        <v>79</v>
      </c>
      <c r="E1155" s="9" t="s">
        <v>65</v>
      </c>
      <c r="F1155" s="10">
        <v>20</v>
      </c>
      <c r="G1155" s="11" t="s">
        <v>29</v>
      </c>
      <c r="H1155" s="7" t="s">
        <v>83</v>
      </c>
      <c r="I1155" s="11" t="s">
        <v>30</v>
      </c>
      <c r="J1155" s="11" t="s">
        <v>80</v>
      </c>
      <c r="K1155" s="12">
        <v>530</v>
      </c>
      <c r="L1155" s="12">
        <v>530</v>
      </c>
      <c r="M1155" s="12">
        <v>0</v>
      </c>
      <c r="N1155" s="12">
        <v>25</v>
      </c>
      <c r="O1155" s="12">
        <v>475</v>
      </c>
      <c r="P1155" s="29">
        <v>10</v>
      </c>
    </row>
    <row r="1156" spans="1:17" s="85" customFormat="1" ht="16.5" hidden="1" thickTop="1" thickBot="1" x14ac:dyDescent="0.3">
      <c r="A1156" s="74"/>
      <c r="B1156" s="25" t="s">
        <v>22</v>
      </c>
      <c r="C1156" s="8" t="s">
        <v>25</v>
      </c>
      <c r="D1156" s="7" t="s">
        <v>79</v>
      </c>
      <c r="E1156" s="9" t="s">
        <v>65</v>
      </c>
      <c r="F1156" s="10">
        <v>20</v>
      </c>
      <c r="G1156" s="11" t="s">
        <v>29</v>
      </c>
      <c r="H1156" s="7" t="s">
        <v>83</v>
      </c>
      <c r="I1156" s="11" t="s">
        <v>9</v>
      </c>
      <c r="J1156" s="11" t="s">
        <v>80</v>
      </c>
      <c r="K1156" s="12">
        <v>8124.51</v>
      </c>
      <c r="L1156" s="12">
        <f>K1156</f>
        <v>8124.51</v>
      </c>
      <c r="M1156" s="12">
        <v>0</v>
      </c>
      <c r="N1156" s="12">
        <v>0</v>
      </c>
      <c r="O1156" s="12">
        <v>2240.7039719999998</v>
      </c>
      <c r="P1156" s="29">
        <v>10</v>
      </c>
    </row>
    <row r="1157" spans="1:17" s="85" customFormat="1" ht="16.5" hidden="1" thickTop="1" thickBot="1" x14ac:dyDescent="0.3">
      <c r="A1157" s="74" t="s">
        <v>111</v>
      </c>
      <c r="B1157" s="25" t="s">
        <v>13</v>
      </c>
      <c r="C1157" s="8" t="s">
        <v>0</v>
      </c>
      <c r="D1157" s="7" t="s">
        <v>79</v>
      </c>
      <c r="E1157" s="9" t="s">
        <v>65</v>
      </c>
      <c r="F1157" s="10">
        <v>5</v>
      </c>
      <c r="G1157" s="90" t="s">
        <v>21</v>
      </c>
      <c r="H1157" s="7" t="s">
        <v>85</v>
      </c>
      <c r="I1157" s="11" t="s">
        <v>9</v>
      </c>
      <c r="J1157" s="11" t="s">
        <v>105</v>
      </c>
      <c r="K1157" s="12">
        <v>35159.32</v>
      </c>
      <c r="L1157" s="12">
        <v>35159.32</v>
      </c>
      <c r="M1157" s="12">
        <v>0</v>
      </c>
      <c r="N1157" s="12">
        <f>L1157*16%</f>
        <v>5625.4912000000004</v>
      </c>
      <c r="O1157" s="12">
        <f>K1157-N1157</f>
        <v>29533.828799999999</v>
      </c>
      <c r="P1157" s="29">
        <v>10</v>
      </c>
    </row>
    <row r="1158" spans="1:17" s="85" customFormat="1" ht="16.5" hidden="1" thickTop="1" thickBot="1" x14ac:dyDescent="0.3">
      <c r="A1158" s="74" t="s">
        <v>111</v>
      </c>
      <c r="B1158" s="111" t="s">
        <v>11</v>
      </c>
      <c r="C1158" s="65" t="s">
        <v>0</v>
      </c>
      <c r="D1158" s="66" t="s">
        <v>79</v>
      </c>
      <c r="E1158" s="9" t="s">
        <v>64</v>
      </c>
      <c r="F1158" s="10">
        <v>20</v>
      </c>
      <c r="G1158" s="90" t="s">
        <v>167</v>
      </c>
      <c r="H1158" s="66" t="s">
        <v>85</v>
      </c>
      <c r="I1158" s="69" t="s">
        <v>20</v>
      </c>
      <c r="J1158" s="69" t="s">
        <v>105</v>
      </c>
      <c r="K1158" s="70">
        <v>61929.65</v>
      </c>
      <c r="L1158" s="70">
        <v>61929.65</v>
      </c>
      <c r="M1158" s="12">
        <v>0</v>
      </c>
      <c r="N1158" s="12">
        <v>8670.1510000000017</v>
      </c>
      <c r="O1158" s="70">
        <v>53259.498999999996</v>
      </c>
      <c r="P1158" s="71">
        <v>10</v>
      </c>
      <c r="Q1158" s="86"/>
    </row>
    <row r="1159" spans="1:17" s="85" customFormat="1" ht="16.5" hidden="1" thickTop="1" thickBot="1" x14ac:dyDescent="0.3">
      <c r="A1159" s="74"/>
      <c r="B1159" s="111" t="s">
        <v>11</v>
      </c>
      <c r="C1159" s="65" t="s">
        <v>0</v>
      </c>
      <c r="D1159" s="66" t="s">
        <v>79</v>
      </c>
      <c r="E1159" s="9" t="s">
        <v>65</v>
      </c>
      <c r="F1159" s="10">
        <v>20</v>
      </c>
      <c r="G1159" s="90" t="s">
        <v>167</v>
      </c>
      <c r="H1159" s="66" t="s">
        <v>85</v>
      </c>
      <c r="I1159" s="69" t="s">
        <v>20</v>
      </c>
      <c r="J1159" s="69" t="s">
        <v>105</v>
      </c>
      <c r="K1159" s="70">
        <v>61929.65</v>
      </c>
      <c r="L1159" s="70">
        <v>61929.65</v>
      </c>
      <c r="M1159" s="12">
        <v>0</v>
      </c>
      <c r="N1159" s="12">
        <v>8670.1510000000017</v>
      </c>
      <c r="O1159" s="70">
        <v>53259.498999999996</v>
      </c>
      <c r="P1159" s="71">
        <v>10</v>
      </c>
      <c r="Q1159" s="86"/>
    </row>
    <row r="1160" spans="1:17" s="85" customFormat="1" ht="16.5" hidden="1" thickTop="1" thickBot="1" x14ac:dyDescent="0.3">
      <c r="A1160" s="74" t="s">
        <v>111</v>
      </c>
      <c r="B1160" s="40" t="s">
        <v>11</v>
      </c>
      <c r="C1160" s="8" t="s">
        <v>25</v>
      </c>
      <c r="D1160" s="7" t="s">
        <v>79</v>
      </c>
      <c r="E1160" s="9" t="s">
        <v>66</v>
      </c>
      <c r="F1160" s="10">
        <v>28</v>
      </c>
      <c r="G1160" s="13" t="s">
        <v>169</v>
      </c>
      <c r="H1160" s="7" t="s">
        <v>84</v>
      </c>
      <c r="I1160" s="11" t="s">
        <v>170</v>
      </c>
      <c r="J1160" s="11" t="s">
        <v>103</v>
      </c>
      <c r="K1160" s="12">
        <v>43144</v>
      </c>
      <c r="L1160" s="12"/>
      <c r="M1160" s="12">
        <v>0</v>
      </c>
      <c r="N1160" s="12"/>
      <c r="O1160" s="12"/>
      <c r="P1160" s="29"/>
    </row>
    <row r="1161" spans="1:17" s="85" customFormat="1" ht="16.5" hidden="1" thickTop="1" thickBot="1" x14ac:dyDescent="0.3">
      <c r="A1161" s="74" t="s">
        <v>111</v>
      </c>
      <c r="B1161" s="40" t="s">
        <v>11</v>
      </c>
      <c r="C1161" s="8" t="s">
        <v>25</v>
      </c>
      <c r="D1161" s="7" t="s">
        <v>79</v>
      </c>
      <c r="E1161" s="9" t="s">
        <v>67</v>
      </c>
      <c r="F1161" s="10">
        <v>28</v>
      </c>
      <c r="G1161" s="13" t="s">
        <v>169</v>
      </c>
      <c r="H1161" s="7" t="s">
        <v>84</v>
      </c>
      <c r="I1161" s="11" t="s">
        <v>170</v>
      </c>
      <c r="J1161" s="11" t="s">
        <v>103</v>
      </c>
      <c r="K1161" s="12">
        <v>43144</v>
      </c>
      <c r="L1161" s="12"/>
      <c r="M1161" s="12">
        <v>0</v>
      </c>
      <c r="N1161" s="12"/>
      <c r="O1161" s="12"/>
      <c r="P1161" s="29">
        <v>15</v>
      </c>
    </row>
    <row r="1162" spans="1:17" s="85" customFormat="1" ht="16.5" thickTop="1" thickBot="1" x14ac:dyDescent="0.3">
      <c r="A1162" s="74"/>
      <c r="B1162" s="40" t="s">
        <v>11</v>
      </c>
      <c r="C1162" s="8" t="s">
        <v>25</v>
      </c>
      <c r="D1162" s="7" t="s">
        <v>79</v>
      </c>
      <c r="E1162" s="9" t="s">
        <v>68</v>
      </c>
      <c r="F1162" s="10">
        <v>28</v>
      </c>
      <c r="G1162" s="13" t="s">
        <v>169</v>
      </c>
      <c r="H1162" s="7" t="s">
        <v>84</v>
      </c>
      <c r="I1162" s="11" t="s">
        <v>170</v>
      </c>
      <c r="J1162" s="11" t="s">
        <v>103</v>
      </c>
      <c r="K1162" s="12">
        <v>43144</v>
      </c>
      <c r="L1162" s="12"/>
      <c r="M1162" s="12">
        <v>0</v>
      </c>
      <c r="N1162" s="12"/>
      <c r="O1162" s="12">
        <v>37427</v>
      </c>
      <c r="P1162" s="29">
        <v>15</v>
      </c>
    </row>
    <row r="1163" spans="1:17" s="85" customFormat="1" ht="16.5" hidden="1" thickTop="1" thickBot="1" x14ac:dyDescent="0.3">
      <c r="A1163" s="74"/>
      <c r="B1163" s="40" t="s">
        <v>11</v>
      </c>
      <c r="C1163" s="8" t="s">
        <v>25</v>
      </c>
      <c r="D1163" s="7" t="s">
        <v>79</v>
      </c>
      <c r="E1163" s="9" t="s">
        <v>69</v>
      </c>
      <c r="F1163" s="10">
        <v>28</v>
      </c>
      <c r="G1163" s="13" t="s">
        <v>169</v>
      </c>
      <c r="H1163" s="7" t="s">
        <v>84</v>
      </c>
      <c r="I1163" s="11" t="s">
        <v>170</v>
      </c>
      <c r="J1163" s="11" t="s">
        <v>103</v>
      </c>
      <c r="K1163" s="12">
        <v>43144</v>
      </c>
      <c r="L1163" s="12"/>
      <c r="M1163" s="12">
        <v>0</v>
      </c>
      <c r="N1163" s="12"/>
      <c r="O1163" s="12"/>
      <c r="P1163" s="29"/>
    </row>
    <row r="1164" spans="1:17" s="85" customFormat="1" ht="16.5" hidden="1" thickTop="1" thickBot="1" x14ac:dyDescent="0.3">
      <c r="A1164" s="74"/>
      <c r="B1164" s="40" t="s">
        <v>11</v>
      </c>
      <c r="C1164" s="8" t="s">
        <v>25</v>
      </c>
      <c r="D1164" s="7" t="s">
        <v>79</v>
      </c>
      <c r="E1164" s="9" t="s">
        <v>70</v>
      </c>
      <c r="F1164" s="10">
        <v>28</v>
      </c>
      <c r="G1164" s="13" t="s">
        <v>169</v>
      </c>
      <c r="H1164" s="7" t="s">
        <v>84</v>
      </c>
      <c r="I1164" s="11" t="s">
        <v>170</v>
      </c>
      <c r="J1164" s="11" t="s">
        <v>103</v>
      </c>
      <c r="K1164" s="12">
        <v>43144</v>
      </c>
      <c r="L1164" s="12"/>
      <c r="M1164" s="12">
        <v>0</v>
      </c>
      <c r="N1164" s="12"/>
      <c r="O1164" s="12"/>
      <c r="P1164" s="29"/>
    </row>
    <row r="1165" spans="1:17" s="85" customFormat="1" ht="16.5" hidden="1" thickTop="1" thickBot="1" x14ac:dyDescent="0.3">
      <c r="A1165" s="74"/>
      <c r="B1165" s="40" t="s">
        <v>11</v>
      </c>
      <c r="C1165" s="8" t="s">
        <v>25</v>
      </c>
      <c r="D1165" s="7" t="s">
        <v>79</v>
      </c>
      <c r="E1165" s="9" t="s">
        <v>71</v>
      </c>
      <c r="F1165" s="10">
        <v>28</v>
      </c>
      <c r="G1165" s="13" t="s">
        <v>169</v>
      </c>
      <c r="H1165" s="7" t="s">
        <v>84</v>
      </c>
      <c r="I1165" s="11" t="s">
        <v>170</v>
      </c>
      <c r="J1165" s="11" t="s">
        <v>103</v>
      </c>
      <c r="K1165" s="12">
        <v>43144</v>
      </c>
      <c r="L1165" s="12"/>
      <c r="M1165" s="12">
        <v>0</v>
      </c>
      <c r="N1165" s="12"/>
      <c r="O1165" s="12"/>
      <c r="P1165" s="29"/>
    </row>
    <row r="1166" spans="1:17" s="85" customFormat="1" ht="16.5" hidden="1" thickTop="1" thickBot="1" x14ac:dyDescent="0.3">
      <c r="A1166" s="74" t="s">
        <v>111</v>
      </c>
      <c r="B1166" s="25" t="s">
        <v>13</v>
      </c>
      <c r="C1166" s="8" t="s">
        <v>0</v>
      </c>
      <c r="D1166" s="7" t="s">
        <v>79</v>
      </c>
      <c r="E1166" s="9" t="s">
        <v>63</v>
      </c>
      <c r="F1166" s="10">
        <v>5</v>
      </c>
      <c r="G1166" s="90" t="s">
        <v>21</v>
      </c>
      <c r="H1166" s="7" t="s">
        <v>85</v>
      </c>
      <c r="I1166" s="11" t="s">
        <v>9</v>
      </c>
      <c r="J1166" s="11" t="s">
        <v>105</v>
      </c>
      <c r="K1166" s="12">
        <v>35159.32</v>
      </c>
      <c r="L1166" s="12">
        <v>35159.32</v>
      </c>
      <c r="M1166" s="12">
        <v>0</v>
      </c>
      <c r="N1166" s="12">
        <f>L1166*16%</f>
        <v>5625.4912000000004</v>
      </c>
      <c r="O1166" s="12">
        <f>K1166-N1166</f>
        <v>29533.828799999999</v>
      </c>
      <c r="P1166" s="29">
        <v>10</v>
      </c>
    </row>
    <row r="1167" spans="1:17" s="86" customFormat="1" ht="16.5" hidden="1" thickTop="1" thickBot="1" x14ac:dyDescent="0.3">
      <c r="A1167" s="74" t="s">
        <v>111</v>
      </c>
      <c r="B1167" s="64" t="s">
        <v>11</v>
      </c>
      <c r="C1167" s="65" t="s">
        <v>0</v>
      </c>
      <c r="D1167" s="66" t="s">
        <v>79</v>
      </c>
      <c r="E1167" s="9" t="s">
        <v>63</v>
      </c>
      <c r="F1167" s="10">
        <v>20</v>
      </c>
      <c r="G1167" s="90" t="s">
        <v>167</v>
      </c>
      <c r="H1167" s="66" t="s">
        <v>85</v>
      </c>
      <c r="I1167" s="69" t="s">
        <v>20</v>
      </c>
      <c r="J1167" s="69" t="s">
        <v>105</v>
      </c>
      <c r="K1167" s="70">
        <v>61929.65</v>
      </c>
      <c r="L1167" s="70">
        <v>61929.65</v>
      </c>
      <c r="M1167" s="12">
        <v>0</v>
      </c>
      <c r="N1167" s="12">
        <v>8670.1510000000017</v>
      </c>
      <c r="O1167" s="70">
        <v>53259.498999999996</v>
      </c>
      <c r="P1167" s="71">
        <v>10</v>
      </c>
    </row>
    <row r="1168" spans="1:17" s="85" customFormat="1" ht="16.5" hidden="1" thickTop="1" thickBot="1" x14ac:dyDescent="0.3">
      <c r="A1168" s="74" t="s">
        <v>111</v>
      </c>
      <c r="B1168" s="25" t="s">
        <v>11</v>
      </c>
      <c r="C1168" s="8" t="s">
        <v>0</v>
      </c>
      <c r="D1168" s="7" t="s">
        <v>79</v>
      </c>
      <c r="E1168" s="9" t="s">
        <v>63</v>
      </c>
      <c r="F1168" s="10">
        <v>20</v>
      </c>
      <c r="G1168" s="90" t="s">
        <v>166</v>
      </c>
      <c r="H1168" s="7" t="s">
        <v>161</v>
      </c>
      <c r="I1168" s="11" t="s">
        <v>20</v>
      </c>
      <c r="J1168" s="11" t="s">
        <v>105</v>
      </c>
      <c r="K1168" s="12">
        <v>16750.439999999999</v>
      </c>
      <c r="L1168" s="70">
        <v>16750.439999999999</v>
      </c>
      <c r="M1168" s="12">
        <v>0</v>
      </c>
      <c r="N1168" s="12">
        <v>2345.0616</v>
      </c>
      <c r="O1168" s="70">
        <v>14405.378399999998</v>
      </c>
      <c r="P1168" s="29">
        <v>10</v>
      </c>
    </row>
    <row r="1169" spans="1:17" s="85" customFormat="1" ht="16.5" hidden="1" thickTop="1" thickBot="1" x14ac:dyDescent="0.3">
      <c r="A1169" s="74" t="s">
        <v>111</v>
      </c>
      <c r="B1169" s="25" t="s">
        <v>11</v>
      </c>
      <c r="C1169" s="8" t="s">
        <v>0</v>
      </c>
      <c r="D1169" s="7" t="s">
        <v>79</v>
      </c>
      <c r="E1169" s="9" t="s">
        <v>63</v>
      </c>
      <c r="F1169" s="10">
        <v>20</v>
      </c>
      <c r="G1169" s="90" t="s">
        <v>168</v>
      </c>
      <c r="H1169" s="7" t="s">
        <v>160</v>
      </c>
      <c r="I1169" s="11" t="s">
        <v>20</v>
      </c>
      <c r="J1169" s="11" t="s">
        <v>105</v>
      </c>
      <c r="K1169" s="12">
        <v>11166.96</v>
      </c>
      <c r="L1169" s="12">
        <v>11166.96</v>
      </c>
      <c r="M1169" s="12">
        <v>0</v>
      </c>
      <c r="N1169" s="12">
        <v>1563.3743999999999</v>
      </c>
      <c r="O1169" s="70">
        <v>9603.5855999999985</v>
      </c>
      <c r="P1169" s="29">
        <v>10</v>
      </c>
    </row>
    <row r="1170" spans="1:17" s="85" customFormat="1" ht="16.5" hidden="1" thickTop="1" thickBot="1" x14ac:dyDescent="0.3">
      <c r="A1170" s="91" t="s">
        <v>111</v>
      </c>
      <c r="B1170" s="25" t="s">
        <v>11</v>
      </c>
      <c r="C1170" s="8" t="s">
        <v>0</v>
      </c>
      <c r="D1170" s="7" t="s">
        <v>79</v>
      </c>
      <c r="E1170" s="9" t="s">
        <v>64</v>
      </c>
      <c r="F1170" s="10">
        <v>20</v>
      </c>
      <c r="G1170" s="90" t="s">
        <v>168</v>
      </c>
      <c r="H1170" s="7" t="s">
        <v>160</v>
      </c>
      <c r="I1170" s="11" t="s">
        <v>20</v>
      </c>
      <c r="J1170" s="11" t="s">
        <v>105</v>
      </c>
      <c r="K1170" s="12">
        <v>11166.96</v>
      </c>
      <c r="L1170" s="12">
        <v>11166.96</v>
      </c>
      <c r="M1170" s="12">
        <v>0</v>
      </c>
      <c r="N1170" s="12">
        <v>1563.3743999999999</v>
      </c>
      <c r="O1170" s="70">
        <v>9603.5855999999985</v>
      </c>
      <c r="P1170" s="29">
        <v>10</v>
      </c>
    </row>
    <row r="1171" spans="1:17" s="86" customFormat="1" ht="16.5" hidden="1" thickTop="1" thickBot="1" x14ac:dyDescent="0.3">
      <c r="A1171" s="74" t="s">
        <v>111</v>
      </c>
      <c r="B1171" s="25" t="s">
        <v>11</v>
      </c>
      <c r="C1171" s="8" t="s">
        <v>0</v>
      </c>
      <c r="D1171" s="7" t="s">
        <v>79</v>
      </c>
      <c r="E1171" s="9" t="s">
        <v>64</v>
      </c>
      <c r="F1171" s="10">
        <v>20</v>
      </c>
      <c r="G1171" s="90" t="s">
        <v>166</v>
      </c>
      <c r="H1171" s="7" t="s">
        <v>161</v>
      </c>
      <c r="I1171" s="11" t="s">
        <v>20</v>
      </c>
      <c r="J1171" s="11" t="s">
        <v>105</v>
      </c>
      <c r="K1171" s="12">
        <v>16750.439999999999</v>
      </c>
      <c r="L1171" s="70">
        <v>16750.439999999999</v>
      </c>
      <c r="M1171" s="12">
        <v>0</v>
      </c>
      <c r="N1171" s="12">
        <v>2345.0616</v>
      </c>
      <c r="O1171" s="70">
        <v>14405.378399999998</v>
      </c>
      <c r="P1171" s="29">
        <v>10</v>
      </c>
      <c r="Q1171" s="85"/>
    </row>
    <row r="1172" spans="1:17" s="85" customFormat="1" ht="16.5" hidden="1" thickTop="1" thickBot="1" x14ac:dyDescent="0.3">
      <c r="A1172" s="74" t="s">
        <v>111</v>
      </c>
      <c r="B1172" s="25" t="s">
        <v>22</v>
      </c>
      <c r="C1172" s="8" t="s">
        <v>25</v>
      </c>
      <c r="D1172" s="7" t="s">
        <v>79</v>
      </c>
      <c r="E1172" s="9" t="s">
        <v>64</v>
      </c>
      <c r="F1172" s="10">
        <v>15</v>
      </c>
      <c r="G1172" s="11" t="s">
        <v>121</v>
      </c>
      <c r="H1172" s="7" t="s">
        <v>83</v>
      </c>
      <c r="I1172" s="11" t="s">
        <v>9</v>
      </c>
      <c r="J1172" s="11" t="s">
        <v>80</v>
      </c>
      <c r="K1172" s="12">
        <v>4285.72</v>
      </c>
      <c r="L1172" s="12">
        <f>K1172</f>
        <v>4285.72</v>
      </c>
      <c r="M1172" s="12">
        <v>0</v>
      </c>
      <c r="N1172" s="12">
        <v>0</v>
      </c>
      <c r="O1172" s="12">
        <v>4286.7038499999999</v>
      </c>
      <c r="P1172" s="29">
        <v>30</v>
      </c>
    </row>
    <row r="1173" spans="1:17" s="85" customFormat="1" ht="16.5" hidden="1" thickTop="1" thickBot="1" x14ac:dyDescent="0.3">
      <c r="A1173" s="74" t="s">
        <v>111</v>
      </c>
      <c r="B1173" s="25" t="s">
        <v>11</v>
      </c>
      <c r="C1173" s="8" t="s">
        <v>25</v>
      </c>
      <c r="D1173" s="7" t="s">
        <v>79</v>
      </c>
      <c r="E1173" s="9" t="s">
        <v>64</v>
      </c>
      <c r="F1173" s="10">
        <v>15</v>
      </c>
      <c r="G1173" s="11" t="s">
        <v>33</v>
      </c>
      <c r="H1173" s="7" t="s">
        <v>83</v>
      </c>
      <c r="I1173" s="11" t="s">
        <v>30</v>
      </c>
      <c r="J1173" s="11" t="s">
        <v>80</v>
      </c>
      <c r="K1173" s="12">
        <v>200</v>
      </c>
      <c r="L1173" s="12">
        <v>200</v>
      </c>
      <c r="M1173" s="12">
        <v>0</v>
      </c>
      <c r="N1173" s="12">
        <v>10</v>
      </c>
      <c r="O1173" s="12">
        <v>190</v>
      </c>
      <c r="P1173" s="29">
        <v>30</v>
      </c>
    </row>
    <row r="1174" spans="1:17" s="85" customFormat="1" ht="16.5" hidden="1" thickTop="1" thickBot="1" x14ac:dyDescent="0.3">
      <c r="A1174" s="74"/>
      <c r="B1174" s="25" t="s">
        <v>11</v>
      </c>
      <c r="C1174" s="8" t="s">
        <v>0</v>
      </c>
      <c r="D1174" s="7" t="s">
        <v>79</v>
      </c>
      <c r="E1174" s="9" t="s">
        <v>65</v>
      </c>
      <c r="F1174" s="10">
        <v>20</v>
      </c>
      <c r="G1174" s="90" t="s">
        <v>168</v>
      </c>
      <c r="H1174" s="7" t="s">
        <v>160</v>
      </c>
      <c r="I1174" s="11" t="s">
        <v>20</v>
      </c>
      <c r="J1174" s="11" t="s">
        <v>105</v>
      </c>
      <c r="K1174" s="12">
        <v>11166.96</v>
      </c>
      <c r="L1174" s="12">
        <v>11166.96</v>
      </c>
      <c r="M1174" s="12">
        <v>0</v>
      </c>
      <c r="N1174" s="12">
        <v>1563.3743999999999</v>
      </c>
      <c r="O1174" s="70">
        <v>9603.5855999999985</v>
      </c>
      <c r="P1174" s="29">
        <v>10</v>
      </c>
    </row>
    <row r="1175" spans="1:17" s="86" customFormat="1" ht="16.5" hidden="1" thickTop="1" thickBot="1" x14ac:dyDescent="0.3">
      <c r="A1175" s="74"/>
      <c r="B1175" s="25" t="s">
        <v>11</v>
      </c>
      <c r="C1175" s="8" t="s">
        <v>0</v>
      </c>
      <c r="D1175" s="7" t="s">
        <v>79</v>
      </c>
      <c r="E1175" s="9" t="s">
        <v>65</v>
      </c>
      <c r="F1175" s="10">
        <v>20</v>
      </c>
      <c r="G1175" s="90" t="s">
        <v>166</v>
      </c>
      <c r="H1175" s="7" t="s">
        <v>161</v>
      </c>
      <c r="I1175" s="11" t="s">
        <v>20</v>
      </c>
      <c r="J1175" s="11" t="s">
        <v>105</v>
      </c>
      <c r="K1175" s="12">
        <v>16750.439999999999</v>
      </c>
      <c r="L1175" s="70">
        <v>16750.439999999999</v>
      </c>
      <c r="M1175" s="12">
        <v>0</v>
      </c>
      <c r="N1175" s="12">
        <v>2345.0616</v>
      </c>
      <c r="O1175" s="70">
        <v>14405.378399999998</v>
      </c>
      <c r="P1175" s="29">
        <v>10</v>
      </c>
      <c r="Q1175" s="85"/>
    </row>
    <row r="1176" spans="1:17" s="85" customFormat="1" ht="16.5" hidden="1" thickTop="1" thickBot="1" x14ac:dyDescent="0.3">
      <c r="A1176" s="74" t="s">
        <v>111</v>
      </c>
      <c r="B1176" s="25" t="s">
        <v>22</v>
      </c>
      <c r="C1176" s="8" t="s">
        <v>25</v>
      </c>
      <c r="D1176" s="7" t="s">
        <v>79</v>
      </c>
      <c r="E1176" s="9" t="s">
        <v>65</v>
      </c>
      <c r="F1176" s="10">
        <v>15</v>
      </c>
      <c r="G1176" s="11" t="s">
        <v>121</v>
      </c>
      <c r="H1176" s="7" t="s">
        <v>83</v>
      </c>
      <c r="I1176" s="11" t="s">
        <v>9</v>
      </c>
      <c r="J1176" s="11" t="s">
        <v>80</v>
      </c>
      <c r="K1176" s="12">
        <v>4285.72</v>
      </c>
      <c r="L1176" s="12">
        <v>4286.7038499999999</v>
      </c>
      <c r="M1176" s="12">
        <v>0</v>
      </c>
      <c r="N1176" s="12">
        <v>0</v>
      </c>
      <c r="O1176" s="12">
        <v>4286.7038499999999</v>
      </c>
      <c r="P1176" s="29">
        <v>30</v>
      </c>
    </row>
    <row r="1177" spans="1:17" s="85" customFormat="1" ht="16.5" hidden="1" thickTop="1" thickBot="1" x14ac:dyDescent="0.3">
      <c r="A1177" s="74" t="s">
        <v>111</v>
      </c>
      <c r="B1177" s="25" t="s">
        <v>11</v>
      </c>
      <c r="C1177" s="8" t="s">
        <v>25</v>
      </c>
      <c r="D1177" s="7" t="s">
        <v>79</v>
      </c>
      <c r="E1177" s="9" t="s">
        <v>65</v>
      </c>
      <c r="F1177" s="10">
        <v>15</v>
      </c>
      <c r="G1177" s="11" t="s">
        <v>33</v>
      </c>
      <c r="H1177" s="7" t="s">
        <v>83</v>
      </c>
      <c r="I1177" s="11" t="s">
        <v>30</v>
      </c>
      <c r="J1177" s="11" t="s">
        <v>80</v>
      </c>
      <c r="K1177" s="12">
        <v>200</v>
      </c>
      <c r="L1177" s="12">
        <v>200</v>
      </c>
      <c r="M1177" s="12">
        <v>0</v>
      </c>
      <c r="N1177" s="12">
        <v>10</v>
      </c>
      <c r="O1177" s="12">
        <v>190</v>
      </c>
      <c r="P1177" s="29">
        <v>30</v>
      </c>
    </row>
    <row r="1178" spans="1:17" s="85" customFormat="1" ht="16.5" hidden="1" thickTop="1" thickBot="1" x14ac:dyDescent="0.3">
      <c r="A1178" s="74" t="s">
        <v>111</v>
      </c>
      <c r="B1178" s="25" t="s">
        <v>13</v>
      </c>
      <c r="C1178" s="8" t="s">
        <v>0</v>
      </c>
      <c r="D1178" s="7" t="s">
        <v>79</v>
      </c>
      <c r="E1178" s="9" t="s">
        <v>66</v>
      </c>
      <c r="F1178" s="10">
        <v>5</v>
      </c>
      <c r="G1178" s="90" t="s">
        <v>21</v>
      </c>
      <c r="H1178" s="7" t="s">
        <v>85</v>
      </c>
      <c r="I1178" s="11" t="s">
        <v>9</v>
      </c>
      <c r="J1178" s="11" t="s">
        <v>105</v>
      </c>
      <c r="K1178" s="12">
        <v>35159.32</v>
      </c>
      <c r="L1178" s="12">
        <v>35159.32</v>
      </c>
      <c r="M1178" s="12">
        <v>0</v>
      </c>
      <c r="N1178" s="12">
        <f>L1178*16%</f>
        <v>5625.4912000000004</v>
      </c>
      <c r="O1178" s="12">
        <f>K1178-N1178</f>
        <v>29533.828799999999</v>
      </c>
      <c r="P1178" s="29">
        <v>10</v>
      </c>
    </row>
    <row r="1179" spans="1:17" s="85" customFormat="1" ht="16.5" hidden="1" thickTop="1" thickBot="1" x14ac:dyDescent="0.3">
      <c r="A1179" s="74" t="s">
        <v>111</v>
      </c>
      <c r="B1179" s="25" t="s">
        <v>22</v>
      </c>
      <c r="C1179" s="8" t="s">
        <v>60</v>
      </c>
      <c r="D1179" s="7" t="s">
        <v>79</v>
      </c>
      <c r="E1179" s="9" t="s">
        <v>66</v>
      </c>
      <c r="F1179" s="10">
        <v>20</v>
      </c>
      <c r="G1179" s="90" t="s">
        <v>187</v>
      </c>
      <c r="H1179" s="7" t="s">
        <v>85</v>
      </c>
      <c r="I1179" s="11" t="s">
        <v>9</v>
      </c>
      <c r="J1179" s="11" t="s">
        <v>80</v>
      </c>
      <c r="K1179" s="12">
        <v>14755.68</v>
      </c>
      <c r="L1179" s="12"/>
      <c r="M1179" s="12"/>
      <c r="N1179" s="12"/>
      <c r="O1179" s="12">
        <f>K1179</f>
        <v>14755.68</v>
      </c>
      <c r="P1179" s="29">
        <v>1</v>
      </c>
    </row>
    <row r="1180" spans="1:17" s="86" customFormat="1" ht="16.5" hidden="1" thickTop="1" thickBot="1" x14ac:dyDescent="0.3">
      <c r="A1180" s="74" t="s">
        <v>111</v>
      </c>
      <c r="B1180" s="64" t="s">
        <v>11</v>
      </c>
      <c r="C1180" s="65" t="s">
        <v>0</v>
      </c>
      <c r="D1180" s="66" t="s">
        <v>79</v>
      </c>
      <c r="E1180" s="9" t="s">
        <v>66</v>
      </c>
      <c r="F1180" s="10">
        <v>20</v>
      </c>
      <c r="G1180" s="90" t="s">
        <v>188</v>
      </c>
      <c r="H1180" s="66" t="s">
        <v>85</v>
      </c>
      <c r="I1180" s="69" t="s">
        <v>20</v>
      </c>
      <c r="J1180" s="69" t="s">
        <v>105</v>
      </c>
      <c r="K1180" s="70">
        <v>44336.77</v>
      </c>
      <c r="L1180" s="70">
        <f>K1180</f>
        <v>44336.77</v>
      </c>
      <c r="M1180" s="12">
        <v>0</v>
      </c>
      <c r="N1180" s="12">
        <v>8670.1510000000017</v>
      </c>
      <c r="O1180" s="70">
        <v>53259.498999999996</v>
      </c>
      <c r="P1180" s="71">
        <v>10</v>
      </c>
    </row>
    <row r="1181" spans="1:17" s="85" customFormat="1" ht="16.5" hidden="1" thickTop="1" thickBot="1" x14ac:dyDescent="0.3">
      <c r="A1181" s="74" t="s">
        <v>111</v>
      </c>
      <c r="B1181" s="25" t="s">
        <v>11</v>
      </c>
      <c r="C1181" s="8" t="s">
        <v>0</v>
      </c>
      <c r="D1181" s="7" t="s">
        <v>79</v>
      </c>
      <c r="E1181" s="9" t="s">
        <v>66</v>
      </c>
      <c r="F1181" s="10">
        <v>20</v>
      </c>
      <c r="G1181" s="90" t="s">
        <v>166</v>
      </c>
      <c r="H1181" s="7" t="s">
        <v>161</v>
      </c>
      <c r="I1181" s="11" t="s">
        <v>20</v>
      </c>
      <c r="J1181" s="11" t="s">
        <v>105</v>
      </c>
      <c r="K1181" s="12">
        <v>16750.439999999999</v>
      </c>
      <c r="L1181" s="70">
        <v>16750.439999999999</v>
      </c>
      <c r="M1181" s="12">
        <v>0</v>
      </c>
      <c r="N1181" s="12">
        <v>2345.0616</v>
      </c>
      <c r="O1181" s="70">
        <v>14405.378399999998</v>
      </c>
      <c r="P1181" s="29">
        <v>10</v>
      </c>
    </row>
    <row r="1182" spans="1:17" s="85" customFormat="1" ht="16.5" hidden="1" thickTop="1" thickBot="1" x14ac:dyDescent="0.3">
      <c r="A1182" s="74" t="s">
        <v>111</v>
      </c>
      <c r="B1182" s="25" t="s">
        <v>11</v>
      </c>
      <c r="C1182" s="8" t="s">
        <v>0</v>
      </c>
      <c r="D1182" s="7" t="s">
        <v>79</v>
      </c>
      <c r="E1182" s="9" t="s">
        <v>66</v>
      </c>
      <c r="F1182" s="10">
        <v>20</v>
      </c>
      <c r="G1182" s="90" t="s">
        <v>168</v>
      </c>
      <c r="H1182" s="7" t="s">
        <v>160</v>
      </c>
      <c r="I1182" s="11" t="s">
        <v>20</v>
      </c>
      <c r="J1182" s="11" t="s">
        <v>105</v>
      </c>
      <c r="K1182" s="12">
        <v>11166.96</v>
      </c>
      <c r="L1182" s="12">
        <v>11166.96</v>
      </c>
      <c r="M1182" s="12">
        <v>0</v>
      </c>
      <c r="N1182" s="12">
        <v>1563.3743999999999</v>
      </c>
      <c r="O1182" s="70">
        <v>9603.5855999999985</v>
      </c>
      <c r="P1182" s="29">
        <v>10</v>
      </c>
    </row>
    <row r="1183" spans="1:17" s="85" customFormat="1" ht="16.5" hidden="1" thickTop="1" thickBot="1" x14ac:dyDescent="0.3">
      <c r="A1183" s="74" t="s">
        <v>111</v>
      </c>
      <c r="B1183" s="25" t="s">
        <v>13</v>
      </c>
      <c r="C1183" s="8" t="s">
        <v>0</v>
      </c>
      <c r="D1183" s="7" t="s">
        <v>79</v>
      </c>
      <c r="E1183" s="9" t="s">
        <v>67</v>
      </c>
      <c r="F1183" s="10">
        <v>5</v>
      </c>
      <c r="G1183" s="90" t="s">
        <v>21</v>
      </c>
      <c r="H1183" s="7" t="s">
        <v>85</v>
      </c>
      <c r="I1183" s="11" t="s">
        <v>9</v>
      </c>
      <c r="J1183" s="11" t="s">
        <v>105</v>
      </c>
      <c r="K1183" s="12">
        <v>35159.32</v>
      </c>
      <c r="L1183" s="12">
        <v>35159.32</v>
      </c>
      <c r="M1183" s="12">
        <v>0</v>
      </c>
      <c r="N1183" s="12">
        <f>L1183*16%</f>
        <v>5625.4912000000004</v>
      </c>
      <c r="O1183" s="12">
        <f>K1183-N1183</f>
        <v>29533.828799999999</v>
      </c>
      <c r="P1183" s="29">
        <v>10</v>
      </c>
    </row>
    <row r="1184" spans="1:17" s="86" customFormat="1" ht="16.5" hidden="1" thickTop="1" thickBot="1" x14ac:dyDescent="0.3">
      <c r="A1184" s="74" t="s">
        <v>111</v>
      </c>
      <c r="B1184" s="64" t="s">
        <v>11</v>
      </c>
      <c r="C1184" s="65" t="s">
        <v>0</v>
      </c>
      <c r="D1184" s="66" t="s">
        <v>79</v>
      </c>
      <c r="E1184" s="9" t="s">
        <v>67</v>
      </c>
      <c r="F1184" s="10">
        <v>20</v>
      </c>
      <c r="G1184" s="90" t="s">
        <v>167</v>
      </c>
      <c r="H1184" s="66" t="s">
        <v>85</v>
      </c>
      <c r="I1184" s="69" t="s">
        <v>20</v>
      </c>
      <c r="J1184" s="69" t="s">
        <v>105</v>
      </c>
      <c r="K1184" s="70">
        <v>61929.65</v>
      </c>
      <c r="L1184" s="70">
        <v>61929.65</v>
      </c>
      <c r="M1184" s="12">
        <v>0</v>
      </c>
      <c r="N1184" s="12">
        <v>8670.1510000000017</v>
      </c>
      <c r="O1184" s="70">
        <v>53259.498999999996</v>
      </c>
      <c r="P1184" s="71">
        <v>10</v>
      </c>
    </row>
    <row r="1185" spans="1:16" s="85" customFormat="1" ht="16.5" hidden="1" thickTop="1" thickBot="1" x14ac:dyDescent="0.3">
      <c r="A1185" s="74" t="s">
        <v>111</v>
      </c>
      <c r="B1185" s="25" t="s">
        <v>11</v>
      </c>
      <c r="C1185" s="8" t="s">
        <v>0</v>
      </c>
      <c r="D1185" s="7" t="s">
        <v>79</v>
      </c>
      <c r="E1185" s="9" t="s">
        <v>67</v>
      </c>
      <c r="F1185" s="10">
        <v>20</v>
      </c>
      <c r="G1185" s="90" t="s">
        <v>166</v>
      </c>
      <c r="H1185" s="7" t="s">
        <v>161</v>
      </c>
      <c r="I1185" s="11" t="s">
        <v>20</v>
      </c>
      <c r="J1185" s="11" t="s">
        <v>105</v>
      </c>
      <c r="K1185" s="12">
        <v>16750.439999999999</v>
      </c>
      <c r="L1185" s="70">
        <v>16750.439999999999</v>
      </c>
      <c r="M1185" s="12">
        <v>0</v>
      </c>
      <c r="N1185" s="12">
        <v>2345.0616</v>
      </c>
      <c r="O1185" s="70">
        <v>14405.378399999998</v>
      </c>
      <c r="P1185" s="29">
        <v>10</v>
      </c>
    </row>
    <row r="1186" spans="1:16" s="85" customFormat="1" ht="16.5" hidden="1" thickTop="1" thickBot="1" x14ac:dyDescent="0.3">
      <c r="A1186" s="74" t="s">
        <v>111</v>
      </c>
      <c r="B1186" s="25" t="s">
        <v>11</v>
      </c>
      <c r="C1186" s="8" t="s">
        <v>0</v>
      </c>
      <c r="D1186" s="7" t="s">
        <v>79</v>
      </c>
      <c r="E1186" s="9" t="s">
        <v>67</v>
      </c>
      <c r="F1186" s="10">
        <v>20</v>
      </c>
      <c r="G1186" s="90" t="s">
        <v>168</v>
      </c>
      <c r="H1186" s="7" t="s">
        <v>160</v>
      </c>
      <c r="I1186" s="11" t="s">
        <v>20</v>
      </c>
      <c r="J1186" s="11" t="s">
        <v>105</v>
      </c>
      <c r="K1186" s="12">
        <v>11166.96</v>
      </c>
      <c r="L1186" s="12">
        <v>11166.96</v>
      </c>
      <c r="M1186" s="12">
        <v>0</v>
      </c>
      <c r="N1186" s="12">
        <v>1563.3743999999999</v>
      </c>
      <c r="O1186" s="70">
        <v>9603.5855999999985</v>
      </c>
      <c r="P1186" s="29">
        <v>10</v>
      </c>
    </row>
    <row r="1187" spans="1:16" s="85" customFormat="1" ht="16.5" thickTop="1" thickBot="1" x14ac:dyDescent="0.3">
      <c r="A1187" s="74"/>
      <c r="B1187" s="25" t="s">
        <v>13</v>
      </c>
      <c r="C1187" s="8" t="s">
        <v>0</v>
      </c>
      <c r="D1187" s="7" t="s">
        <v>79</v>
      </c>
      <c r="E1187" s="9" t="s">
        <v>68</v>
      </c>
      <c r="F1187" s="10">
        <v>5</v>
      </c>
      <c r="G1187" s="90" t="s">
        <v>21</v>
      </c>
      <c r="H1187" s="7" t="s">
        <v>85</v>
      </c>
      <c r="I1187" s="11" t="s">
        <v>9</v>
      </c>
      <c r="J1187" s="11" t="s">
        <v>105</v>
      </c>
      <c r="K1187" s="12">
        <v>35159.32</v>
      </c>
      <c r="L1187" s="12">
        <v>35159.32</v>
      </c>
      <c r="M1187" s="12">
        <v>0</v>
      </c>
      <c r="N1187" s="12">
        <f>L1187*16%</f>
        <v>5625.4912000000004</v>
      </c>
      <c r="O1187" s="12">
        <f>K1187-N1187</f>
        <v>29533.828799999999</v>
      </c>
      <c r="P1187" s="29">
        <v>10</v>
      </c>
    </row>
    <row r="1188" spans="1:16" s="86" customFormat="1" ht="16.5" thickTop="1" thickBot="1" x14ac:dyDescent="0.3">
      <c r="A1188" s="74"/>
      <c r="B1188" s="64" t="s">
        <v>11</v>
      </c>
      <c r="C1188" s="65" t="s">
        <v>0</v>
      </c>
      <c r="D1188" s="66" t="s">
        <v>79</v>
      </c>
      <c r="E1188" s="9" t="s">
        <v>68</v>
      </c>
      <c r="F1188" s="10">
        <v>20</v>
      </c>
      <c r="G1188" s="90" t="s">
        <v>167</v>
      </c>
      <c r="H1188" s="66" t="s">
        <v>85</v>
      </c>
      <c r="I1188" s="69" t="s">
        <v>20</v>
      </c>
      <c r="J1188" s="69" t="s">
        <v>105</v>
      </c>
      <c r="K1188" s="70">
        <v>61929.65</v>
      </c>
      <c r="L1188" s="70">
        <v>61929.65</v>
      </c>
      <c r="M1188" s="12">
        <v>0</v>
      </c>
      <c r="N1188" s="12">
        <v>8670.1510000000017</v>
      </c>
      <c r="O1188" s="70">
        <v>53259.498999999996</v>
      </c>
      <c r="P1188" s="71">
        <v>10</v>
      </c>
    </row>
    <row r="1189" spans="1:16" s="85" customFormat="1" ht="16.5" thickTop="1" thickBot="1" x14ac:dyDescent="0.3">
      <c r="A1189" s="74"/>
      <c r="B1189" s="25" t="s">
        <v>11</v>
      </c>
      <c r="C1189" s="8" t="s">
        <v>0</v>
      </c>
      <c r="D1189" s="7" t="s">
        <v>79</v>
      </c>
      <c r="E1189" s="9" t="s">
        <v>68</v>
      </c>
      <c r="F1189" s="10">
        <v>20</v>
      </c>
      <c r="G1189" s="90" t="s">
        <v>166</v>
      </c>
      <c r="H1189" s="7" t="s">
        <v>161</v>
      </c>
      <c r="I1189" s="11" t="s">
        <v>20</v>
      </c>
      <c r="J1189" s="11" t="s">
        <v>105</v>
      </c>
      <c r="K1189" s="12">
        <v>16750.439999999999</v>
      </c>
      <c r="L1189" s="70">
        <v>16750.439999999999</v>
      </c>
      <c r="M1189" s="12">
        <v>0</v>
      </c>
      <c r="N1189" s="12">
        <v>2345.0616</v>
      </c>
      <c r="O1189" s="70">
        <v>14405.378399999998</v>
      </c>
      <c r="P1189" s="29">
        <v>10</v>
      </c>
    </row>
    <row r="1190" spans="1:16" s="85" customFormat="1" ht="16.5" thickTop="1" thickBot="1" x14ac:dyDescent="0.3">
      <c r="A1190" s="74"/>
      <c r="B1190" s="25" t="s">
        <v>11</v>
      </c>
      <c r="C1190" s="8" t="s">
        <v>0</v>
      </c>
      <c r="D1190" s="7" t="s">
        <v>79</v>
      </c>
      <c r="E1190" s="9" t="s">
        <v>68</v>
      </c>
      <c r="F1190" s="10">
        <v>20</v>
      </c>
      <c r="G1190" s="90" t="s">
        <v>168</v>
      </c>
      <c r="H1190" s="7" t="s">
        <v>160</v>
      </c>
      <c r="I1190" s="11" t="s">
        <v>20</v>
      </c>
      <c r="J1190" s="11" t="s">
        <v>105</v>
      </c>
      <c r="K1190" s="12">
        <v>11166.96</v>
      </c>
      <c r="L1190" s="12">
        <v>11166.96</v>
      </c>
      <c r="M1190" s="12">
        <v>0</v>
      </c>
      <c r="N1190" s="12">
        <v>1563.3743999999999</v>
      </c>
      <c r="O1190" s="70">
        <v>9603.5855999999985</v>
      </c>
      <c r="P1190" s="29">
        <v>10</v>
      </c>
    </row>
    <row r="1191" spans="1:16" s="85" customFormat="1" ht="16.5" hidden="1" thickTop="1" thickBot="1" x14ac:dyDescent="0.3">
      <c r="A1191" s="74"/>
      <c r="B1191" s="25" t="s">
        <v>13</v>
      </c>
      <c r="C1191" s="8" t="s">
        <v>0</v>
      </c>
      <c r="D1191" s="7" t="s">
        <v>79</v>
      </c>
      <c r="E1191" s="9" t="s">
        <v>69</v>
      </c>
      <c r="F1191" s="10">
        <v>5</v>
      </c>
      <c r="G1191" s="90" t="s">
        <v>21</v>
      </c>
      <c r="H1191" s="7" t="s">
        <v>85</v>
      </c>
      <c r="I1191" s="11" t="s">
        <v>9</v>
      </c>
      <c r="J1191" s="11" t="s">
        <v>105</v>
      </c>
      <c r="K1191" s="12">
        <v>35159.32</v>
      </c>
      <c r="L1191" s="12">
        <v>35159.32</v>
      </c>
      <c r="M1191" s="12">
        <v>0</v>
      </c>
      <c r="N1191" s="12">
        <f>L1191*16%</f>
        <v>5625.4912000000004</v>
      </c>
      <c r="O1191" s="12">
        <f>K1191-N1191</f>
        <v>29533.828799999999</v>
      </c>
      <c r="P1191" s="29">
        <v>10</v>
      </c>
    </row>
    <row r="1192" spans="1:16" s="86" customFormat="1" ht="16.5" hidden="1" thickTop="1" thickBot="1" x14ac:dyDescent="0.3">
      <c r="A1192" s="74"/>
      <c r="B1192" s="64" t="s">
        <v>11</v>
      </c>
      <c r="C1192" s="65" t="s">
        <v>0</v>
      </c>
      <c r="D1192" s="66" t="s">
        <v>79</v>
      </c>
      <c r="E1192" s="9" t="s">
        <v>69</v>
      </c>
      <c r="F1192" s="10">
        <v>20</v>
      </c>
      <c r="G1192" s="90" t="s">
        <v>167</v>
      </c>
      <c r="H1192" s="66" t="s">
        <v>85</v>
      </c>
      <c r="I1192" s="69" t="s">
        <v>20</v>
      </c>
      <c r="J1192" s="69" t="s">
        <v>105</v>
      </c>
      <c r="K1192" s="70">
        <v>61929.65</v>
      </c>
      <c r="L1192" s="70">
        <v>61929.65</v>
      </c>
      <c r="M1192" s="12">
        <v>0</v>
      </c>
      <c r="N1192" s="12">
        <v>8670.1510000000017</v>
      </c>
      <c r="O1192" s="70">
        <v>53259.498999999996</v>
      </c>
      <c r="P1192" s="71">
        <v>10</v>
      </c>
    </row>
    <row r="1193" spans="1:16" s="85" customFormat="1" ht="16.5" hidden="1" thickTop="1" thickBot="1" x14ac:dyDescent="0.3">
      <c r="A1193" s="74"/>
      <c r="B1193" s="25" t="s">
        <v>11</v>
      </c>
      <c r="C1193" s="8" t="s">
        <v>0</v>
      </c>
      <c r="D1193" s="7" t="s">
        <v>79</v>
      </c>
      <c r="E1193" s="9" t="s">
        <v>69</v>
      </c>
      <c r="F1193" s="10">
        <v>20</v>
      </c>
      <c r="G1193" s="90" t="s">
        <v>166</v>
      </c>
      <c r="H1193" s="7" t="s">
        <v>161</v>
      </c>
      <c r="I1193" s="11" t="s">
        <v>20</v>
      </c>
      <c r="J1193" s="11" t="s">
        <v>105</v>
      </c>
      <c r="K1193" s="12">
        <v>16750.439999999999</v>
      </c>
      <c r="L1193" s="70">
        <v>16750.439999999999</v>
      </c>
      <c r="M1193" s="12">
        <v>0</v>
      </c>
      <c r="N1193" s="12">
        <v>2345.0616</v>
      </c>
      <c r="O1193" s="70">
        <v>14405.378399999998</v>
      </c>
      <c r="P1193" s="29">
        <v>10</v>
      </c>
    </row>
    <row r="1194" spans="1:16" s="85" customFormat="1" ht="16.5" hidden="1" thickTop="1" thickBot="1" x14ac:dyDescent="0.3">
      <c r="A1194" s="74"/>
      <c r="B1194" s="25" t="s">
        <v>11</v>
      </c>
      <c r="C1194" s="8" t="s">
        <v>0</v>
      </c>
      <c r="D1194" s="7" t="s">
        <v>79</v>
      </c>
      <c r="E1194" s="9" t="s">
        <v>69</v>
      </c>
      <c r="F1194" s="10">
        <v>20</v>
      </c>
      <c r="G1194" s="90" t="s">
        <v>168</v>
      </c>
      <c r="H1194" s="7" t="s">
        <v>160</v>
      </c>
      <c r="I1194" s="11" t="s">
        <v>20</v>
      </c>
      <c r="J1194" s="11" t="s">
        <v>105</v>
      </c>
      <c r="K1194" s="12">
        <v>11166.96</v>
      </c>
      <c r="L1194" s="12">
        <v>11166.96</v>
      </c>
      <c r="M1194" s="12">
        <v>0</v>
      </c>
      <c r="N1194" s="12">
        <v>1563.3743999999999</v>
      </c>
      <c r="O1194" s="70">
        <v>9603.5855999999985</v>
      </c>
      <c r="P1194" s="29">
        <v>10</v>
      </c>
    </row>
    <row r="1195" spans="1:16" s="85" customFormat="1" ht="16.5" hidden="1" thickTop="1" thickBot="1" x14ac:dyDescent="0.3">
      <c r="A1195" s="74"/>
      <c r="B1195" s="25" t="s">
        <v>13</v>
      </c>
      <c r="C1195" s="8" t="s">
        <v>0</v>
      </c>
      <c r="D1195" s="7" t="s">
        <v>79</v>
      </c>
      <c r="E1195" s="9" t="s">
        <v>70</v>
      </c>
      <c r="F1195" s="10">
        <v>5</v>
      </c>
      <c r="G1195" s="90" t="s">
        <v>21</v>
      </c>
      <c r="H1195" s="7" t="s">
        <v>85</v>
      </c>
      <c r="I1195" s="11" t="s">
        <v>9</v>
      </c>
      <c r="J1195" s="11" t="s">
        <v>105</v>
      </c>
      <c r="K1195" s="12">
        <v>35159.32</v>
      </c>
      <c r="L1195" s="12">
        <v>35159.32</v>
      </c>
      <c r="M1195" s="12">
        <v>0</v>
      </c>
      <c r="N1195" s="12">
        <f>L1195*16%</f>
        <v>5625.4912000000004</v>
      </c>
      <c r="O1195" s="12">
        <f>K1195-N1195</f>
        <v>29533.828799999999</v>
      </c>
      <c r="P1195" s="29">
        <v>10</v>
      </c>
    </row>
    <row r="1196" spans="1:16" s="86" customFormat="1" ht="16.5" hidden="1" thickTop="1" thickBot="1" x14ac:dyDescent="0.3">
      <c r="A1196" s="74"/>
      <c r="B1196" s="64" t="s">
        <v>11</v>
      </c>
      <c r="C1196" s="65" t="s">
        <v>0</v>
      </c>
      <c r="D1196" s="66" t="s">
        <v>79</v>
      </c>
      <c r="E1196" s="9" t="s">
        <v>70</v>
      </c>
      <c r="F1196" s="10">
        <v>20</v>
      </c>
      <c r="G1196" s="90" t="s">
        <v>167</v>
      </c>
      <c r="H1196" s="66" t="s">
        <v>85</v>
      </c>
      <c r="I1196" s="69" t="s">
        <v>20</v>
      </c>
      <c r="J1196" s="69" t="s">
        <v>105</v>
      </c>
      <c r="K1196" s="70">
        <v>61929.65</v>
      </c>
      <c r="L1196" s="70">
        <v>61929.65</v>
      </c>
      <c r="M1196" s="12">
        <v>0</v>
      </c>
      <c r="N1196" s="12">
        <v>8670.1510000000017</v>
      </c>
      <c r="O1196" s="70">
        <v>53259.498999999996</v>
      </c>
      <c r="P1196" s="71">
        <v>10</v>
      </c>
    </row>
    <row r="1197" spans="1:16" s="85" customFormat="1" ht="16.5" hidden="1" thickTop="1" thickBot="1" x14ac:dyDescent="0.3">
      <c r="A1197" s="74"/>
      <c r="B1197" s="25" t="s">
        <v>11</v>
      </c>
      <c r="C1197" s="8" t="s">
        <v>0</v>
      </c>
      <c r="D1197" s="7" t="s">
        <v>79</v>
      </c>
      <c r="E1197" s="9" t="s">
        <v>70</v>
      </c>
      <c r="F1197" s="10">
        <v>20</v>
      </c>
      <c r="G1197" s="90" t="s">
        <v>166</v>
      </c>
      <c r="H1197" s="7" t="s">
        <v>161</v>
      </c>
      <c r="I1197" s="11" t="s">
        <v>20</v>
      </c>
      <c r="J1197" s="11" t="s">
        <v>105</v>
      </c>
      <c r="K1197" s="12">
        <v>16750.439999999999</v>
      </c>
      <c r="L1197" s="70">
        <v>16750.439999999999</v>
      </c>
      <c r="M1197" s="12">
        <v>0</v>
      </c>
      <c r="N1197" s="12">
        <v>2345.0616</v>
      </c>
      <c r="O1197" s="70">
        <v>14405.378399999998</v>
      </c>
      <c r="P1197" s="29">
        <v>10</v>
      </c>
    </row>
    <row r="1198" spans="1:16" s="85" customFormat="1" ht="16.5" hidden="1" thickTop="1" thickBot="1" x14ac:dyDescent="0.3">
      <c r="A1198" s="74"/>
      <c r="B1198" s="25" t="s">
        <v>11</v>
      </c>
      <c r="C1198" s="8" t="s">
        <v>0</v>
      </c>
      <c r="D1198" s="7" t="s">
        <v>79</v>
      </c>
      <c r="E1198" s="9" t="s">
        <v>70</v>
      </c>
      <c r="F1198" s="10">
        <v>20</v>
      </c>
      <c r="G1198" s="90" t="s">
        <v>168</v>
      </c>
      <c r="H1198" s="7" t="s">
        <v>160</v>
      </c>
      <c r="I1198" s="11" t="s">
        <v>20</v>
      </c>
      <c r="J1198" s="11" t="s">
        <v>105</v>
      </c>
      <c r="K1198" s="12">
        <v>11166.96</v>
      </c>
      <c r="L1198" s="12">
        <v>11166.96</v>
      </c>
      <c r="M1198" s="12">
        <v>0</v>
      </c>
      <c r="N1198" s="12">
        <v>1563.3743999999999</v>
      </c>
      <c r="O1198" s="70">
        <v>9603.5855999999985</v>
      </c>
      <c r="P1198" s="29">
        <v>10</v>
      </c>
    </row>
    <row r="1199" spans="1:16" s="85" customFormat="1" ht="16.5" hidden="1" thickTop="1" thickBot="1" x14ac:dyDescent="0.3">
      <c r="A1199" s="74"/>
      <c r="B1199" s="25" t="s">
        <v>13</v>
      </c>
      <c r="C1199" s="8" t="s">
        <v>0</v>
      </c>
      <c r="D1199" s="7" t="s">
        <v>79</v>
      </c>
      <c r="E1199" s="9" t="s">
        <v>71</v>
      </c>
      <c r="F1199" s="10">
        <v>5</v>
      </c>
      <c r="G1199" s="90" t="s">
        <v>21</v>
      </c>
      <c r="H1199" s="7" t="s">
        <v>85</v>
      </c>
      <c r="I1199" s="11" t="s">
        <v>9</v>
      </c>
      <c r="J1199" s="11" t="s">
        <v>105</v>
      </c>
      <c r="K1199" s="12">
        <v>35159.32</v>
      </c>
      <c r="L1199" s="12">
        <v>35159.32</v>
      </c>
      <c r="M1199" s="12">
        <v>0</v>
      </c>
      <c r="N1199" s="12">
        <f>L1199*16%</f>
        <v>5625.4912000000004</v>
      </c>
      <c r="O1199" s="12">
        <f>K1199-N1199</f>
        <v>29533.828799999999</v>
      </c>
      <c r="P1199" s="29">
        <v>10</v>
      </c>
    </row>
    <row r="1200" spans="1:16" s="86" customFormat="1" ht="16.5" hidden="1" thickTop="1" thickBot="1" x14ac:dyDescent="0.3">
      <c r="A1200" s="74"/>
      <c r="B1200" s="64" t="s">
        <v>11</v>
      </c>
      <c r="C1200" s="65" t="s">
        <v>0</v>
      </c>
      <c r="D1200" s="66" t="s">
        <v>79</v>
      </c>
      <c r="E1200" s="9" t="s">
        <v>71</v>
      </c>
      <c r="F1200" s="10">
        <v>20</v>
      </c>
      <c r="G1200" s="90" t="s">
        <v>167</v>
      </c>
      <c r="H1200" s="66" t="s">
        <v>85</v>
      </c>
      <c r="I1200" s="69" t="s">
        <v>20</v>
      </c>
      <c r="J1200" s="69" t="s">
        <v>105</v>
      </c>
      <c r="K1200" s="70">
        <v>61929.65</v>
      </c>
      <c r="L1200" s="70">
        <v>61929.65</v>
      </c>
      <c r="M1200" s="12">
        <v>0</v>
      </c>
      <c r="N1200" s="12">
        <v>8670.1510000000017</v>
      </c>
      <c r="O1200" s="70">
        <v>53259.498999999996</v>
      </c>
      <c r="P1200" s="71">
        <v>10</v>
      </c>
    </row>
    <row r="1201" spans="1:16" s="85" customFormat="1" ht="16.5" hidden="1" thickTop="1" thickBot="1" x14ac:dyDescent="0.3">
      <c r="A1201" s="74"/>
      <c r="B1201" s="25" t="s">
        <v>11</v>
      </c>
      <c r="C1201" s="8" t="s">
        <v>0</v>
      </c>
      <c r="D1201" s="7" t="s">
        <v>79</v>
      </c>
      <c r="E1201" s="9" t="s">
        <v>71</v>
      </c>
      <c r="F1201" s="10">
        <v>20</v>
      </c>
      <c r="G1201" s="90" t="s">
        <v>166</v>
      </c>
      <c r="H1201" s="7" t="s">
        <v>161</v>
      </c>
      <c r="I1201" s="11" t="s">
        <v>20</v>
      </c>
      <c r="J1201" s="11" t="s">
        <v>105</v>
      </c>
      <c r="K1201" s="12">
        <v>16750.439999999999</v>
      </c>
      <c r="L1201" s="70">
        <v>16750.439999999999</v>
      </c>
      <c r="M1201" s="12">
        <v>0</v>
      </c>
      <c r="N1201" s="12">
        <v>2345.0616</v>
      </c>
      <c r="O1201" s="70">
        <v>14405.378399999998</v>
      </c>
      <c r="P1201" s="29">
        <v>10</v>
      </c>
    </row>
    <row r="1202" spans="1:16" s="85" customFormat="1" ht="16.5" hidden="1" thickTop="1" thickBot="1" x14ac:dyDescent="0.3">
      <c r="A1202" s="74"/>
      <c r="B1202" s="25" t="s">
        <v>11</v>
      </c>
      <c r="C1202" s="8" t="s">
        <v>0</v>
      </c>
      <c r="D1202" s="7" t="s">
        <v>79</v>
      </c>
      <c r="E1202" s="9" t="s">
        <v>71</v>
      </c>
      <c r="F1202" s="10">
        <v>20</v>
      </c>
      <c r="G1202" s="90" t="s">
        <v>168</v>
      </c>
      <c r="H1202" s="7" t="s">
        <v>160</v>
      </c>
      <c r="I1202" s="11" t="s">
        <v>20</v>
      </c>
      <c r="J1202" s="11" t="s">
        <v>105</v>
      </c>
      <c r="K1202" s="12">
        <v>11166.96</v>
      </c>
      <c r="L1202" s="12">
        <v>11166.96</v>
      </c>
      <c r="M1202" s="12">
        <v>0</v>
      </c>
      <c r="N1202" s="12">
        <v>1563.3743999999999</v>
      </c>
      <c r="O1202" s="70">
        <v>9603.5855999999985</v>
      </c>
      <c r="P1202" s="29">
        <v>10</v>
      </c>
    </row>
    <row r="1203" spans="1:16" s="85" customFormat="1" ht="16.5" hidden="1" thickTop="1" thickBot="1" x14ac:dyDescent="0.3">
      <c r="A1203" s="74" t="s">
        <v>111</v>
      </c>
      <c r="B1203" s="25" t="s">
        <v>11</v>
      </c>
      <c r="C1203" s="8" t="s">
        <v>60</v>
      </c>
      <c r="D1203" s="7" t="s">
        <v>79</v>
      </c>
      <c r="E1203" s="9" t="s">
        <v>70</v>
      </c>
      <c r="F1203" s="10">
        <v>20</v>
      </c>
      <c r="G1203" s="11" t="s">
        <v>94</v>
      </c>
      <c r="H1203" s="7" t="s">
        <v>86</v>
      </c>
      <c r="I1203" s="11" t="s">
        <v>15</v>
      </c>
      <c r="J1203" s="11" t="s">
        <v>103</v>
      </c>
      <c r="K1203" s="12">
        <v>7270.9</v>
      </c>
      <c r="L1203" s="12">
        <f>K1203</f>
        <v>7270.9</v>
      </c>
      <c r="M1203" s="12">
        <v>0</v>
      </c>
      <c r="N1203" s="12">
        <v>0</v>
      </c>
      <c r="O1203" s="12">
        <v>1785.7</v>
      </c>
      <c r="P1203" s="29">
        <v>20</v>
      </c>
    </row>
    <row r="1204" spans="1:16" s="85" customFormat="1" ht="14.25" hidden="1" customHeight="1" thickTop="1" thickBot="1" x14ac:dyDescent="0.3">
      <c r="A1204" s="74" t="s">
        <v>111</v>
      </c>
      <c r="B1204" s="25" t="s">
        <v>11</v>
      </c>
      <c r="C1204" s="8" t="s">
        <v>25</v>
      </c>
      <c r="D1204" s="7" t="s">
        <v>79</v>
      </c>
      <c r="E1204" s="9" t="s">
        <v>64</v>
      </c>
      <c r="F1204" s="10">
        <v>15</v>
      </c>
      <c r="G1204" s="11" t="s">
        <v>33</v>
      </c>
      <c r="H1204" s="7" t="s">
        <v>83</v>
      </c>
      <c r="I1204" s="11" t="s">
        <v>7</v>
      </c>
      <c r="J1204" s="11" t="s">
        <v>80</v>
      </c>
      <c r="K1204" s="12">
        <v>22528.080000000002</v>
      </c>
      <c r="L1204" s="12">
        <f>K1204</f>
        <v>22528.080000000002</v>
      </c>
      <c r="M1204" s="12">
        <v>0</v>
      </c>
      <c r="N1204" s="12">
        <f>L1204*14%</f>
        <v>3153.9312000000004</v>
      </c>
      <c r="O1204" s="12">
        <v>18925.236875999999</v>
      </c>
      <c r="P1204" s="29">
        <v>30</v>
      </c>
    </row>
    <row r="1205" spans="1:16" s="85" customFormat="1" ht="14.25" hidden="1" customHeight="1" thickTop="1" thickBot="1" x14ac:dyDescent="0.3">
      <c r="A1205" s="74" t="s">
        <v>111</v>
      </c>
      <c r="B1205" s="25" t="s">
        <v>11</v>
      </c>
      <c r="C1205" s="8" t="s">
        <v>25</v>
      </c>
      <c r="D1205" s="7" t="s">
        <v>79</v>
      </c>
      <c r="E1205" s="9" t="s">
        <v>65</v>
      </c>
      <c r="F1205" s="10">
        <v>15</v>
      </c>
      <c r="G1205" s="11" t="s">
        <v>33</v>
      </c>
      <c r="H1205" s="7" t="s">
        <v>83</v>
      </c>
      <c r="I1205" s="11" t="s">
        <v>7</v>
      </c>
      <c r="J1205" s="11" t="s">
        <v>80</v>
      </c>
      <c r="K1205" s="12">
        <v>22528.080000000002</v>
      </c>
      <c r="L1205" s="12">
        <f>K1205</f>
        <v>22528.080000000002</v>
      </c>
      <c r="M1205" s="12">
        <v>0</v>
      </c>
      <c r="N1205" s="12">
        <f>L1205*14%</f>
        <v>3153.9312000000004</v>
      </c>
      <c r="O1205" s="12">
        <v>18925.236875999999</v>
      </c>
      <c r="P1205" s="29">
        <v>30</v>
      </c>
    </row>
    <row r="1206" spans="1:16" s="85" customFormat="1" ht="14.25" hidden="1" customHeight="1" thickTop="1" thickBot="1" x14ac:dyDescent="0.3">
      <c r="A1206" s="51"/>
      <c r="B1206" s="25" t="s">
        <v>11</v>
      </c>
      <c r="C1206" s="8" t="s">
        <v>60</v>
      </c>
      <c r="D1206" s="7" t="s">
        <v>79</v>
      </c>
      <c r="E1206" s="9" t="s">
        <v>69</v>
      </c>
      <c r="F1206" s="10">
        <v>20</v>
      </c>
      <c r="G1206" s="11" t="s">
        <v>94</v>
      </c>
      <c r="H1206" s="7" t="s">
        <v>86</v>
      </c>
      <c r="I1206" s="11" t="s">
        <v>7</v>
      </c>
      <c r="J1206" s="11" t="s">
        <v>103</v>
      </c>
      <c r="K1206" s="12">
        <v>27367.535</v>
      </c>
      <c r="L1206" s="12">
        <v>27367.535</v>
      </c>
      <c r="M1206" s="12">
        <v>0</v>
      </c>
      <c r="N1206" s="12">
        <f>L1206*14%</f>
        <v>3831.4549000000002</v>
      </c>
      <c r="O1206" s="12">
        <v>22988.7294</v>
      </c>
      <c r="P1206" s="29">
        <v>20</v>
      </c>
    </row>
    <row r="1207" spans="1:16" s="85" customFormat="1" ht="14.25" hidden="1" customHeight="1" thickTop="1" thickBot="1" x14ac:dyDescent="0.3">
      <c r="A1207" s="51"/>
      <c r="B1207" s="25" t="s">
        <v>13</v>
      </c>
      <c r="C1207" s="8" t="s">
        <v>60</v>
      </c>
      <c r="D1207" s="7" t="s">
        <v>79</v>
      </c>
      <c r="E1207" s="9" t="s">
        <v>69</v>
      </c>
      <c r="F1207" s="10">
        <v>20</v>
      </c>
      <c r="G1207" s="11" t="s">
        <v>94</v>
      </c>
      <c r="H1207" s="7" t="s">
        <v>86</v>
      </c>
      <c r="I1207" s="11" t="s">
        <v>9</v>
      </c>
      <c r="J1207" s="11" t="s">
        <v>103</v>
      </c>
      <c r="K1207" s="12">
        <v>17100.98</v>
      </c>
      <c r="L1207" s="12">
        <v>17100.98</v>
      </c>
      <c r="M1207" s="12">
        <v>0</v>
      </c>
      <c r="N1207" s="12">
        <f>L1207*16%</f>
        <v>2736.1568000000002</v>
      </c>
      <c r="O1207" s="12">
        <v>14364.823199999999</v>
      </c>
      <c r="P1207" s="29">
        <v>20</v>
      </c>
    </row>
    <row r="1208" spans="1:16" s="85" customFormat="1" ht="14.25" hidden="1" customHeight="1" thickTop="1" thickBot="1" x14ac:dyDescent="0.3">
      <c r="A1208" s="74" t="s">
        <v>111</v>
      </c>
      <c r="B1208" s="25" t="s">
        <v>11</v>
      </c>
      <c r="C1208" s="8" t="s">
        <v>60</v>
      </c>
      <c r="D1208" s="7" t="s">
        <v>79</v>
      </c>
      <c r="E1208" s="9" t="s">
        <v>69</v>
      </c>
      <c r="F1208" s="10">
        <v>20</v>
      </c>
      <c r="G1208" s="11" t="s">
        <v>94</v>
      </c>
      <c r="H1208" s="7" t="s">
        <v>86</v>
      </c>
      <c r="I1208" s="11" t="s">
        <v>15</v>
      </c>
      <c r="J1208" s="11" t="s">
        <v>103</v>
      </c>
      <c r="K1208" s="12">
        <v>7270.9</v>
      </c>
      <c r="L1208" s="12">
        <f>K1208</f>
        <v>7270.9</v>
      </c>
      <c r="M1208" s="12">
        <v>0</v>
      </c>
      <c r="N1208" s="12">
        <v>0</v>
      </c>
      <c r="O1208" s="12">
        <v>1785.7</v>
      </c>
      <c r="P1208" s="29">
        <v>20</v>
      </c>
    </row>
    <row r="1209" spans="1:16" s="85" customFormat="1" ht="14.25" customHeight="1" thickTop="1" thickBot="1" x14ac:dyDescent="0.3">
      <c r="A1209" s="51"/>
      <c r="B1209" s="25" t="s">
        <v>11</v>
      </c>
      <c r="C1209" s="8" t="s">
        <v>60</v>
      </c>
      <c r="D1209" s="7" t="s">
        <v>79</v>
      </c>
      <c r="E1209" s="9" t="s">
        <v>68</v>
      </c>
      <c r="F1209" s="10">
        <v>20</v>
      </c>
      <c r="G1209" s="11" t="s">
        <v>94</v>
      </c>
      <c r="H1209" s="7" t="s">
        <v>86</v>
      </c>
      <c r="I1209" s="11" t="s">
        <v>7</v>
      </c>
      <c r="J1209" s="11" t="s">
        <v>103</v>
      </c>
      <c r="K1209" s="12">
        <v>27367.535</v>
      </c>
      <c r="L1209" s="12">
        <f>K1209</f>
        <v>27367.535</v>
      </c>
      <c r="M1209" s="12">
        <v>0</v>
      </c>
      <c r="N1209" s="12">
        <f>L1209*14%</f>
        <v>3831.4549000000002</v>
      </c>
      <c r="O1209" s="12">
        <f>L1209+M1209-N1209</f>
        <v>23536.080099999999</v>
      </c>
      <c r="P1209" s="29">
        <v>20</v>
      </c>
    </row>
    <row r="1210" spans="1:16" s="85" customFormat="1" ht="14.25" customHeight="1" thickTop="1" thickBot="1" x14ac:dyDescent="0.3">
      <c r="A1210" s="51"/>
      <c r="B1210" s="25" t="s">
        <v>13</v>
      </c>
      <c r="C1210" s="8" t="s">
        <v>60</v>
      </c>
      <c r="D1210" s="7" t="s">
        <v>79</v>
      </c>
      <c r="E1210" s="9" t="s">
        <v>68</v>
      </c>
      <c r="F1210" s="10">
        <v>20</v>
      </c>
      <c r="G1210" s="11" t="s">
        <v>94</v>
      </c>
      <c r="H1210" s="7" t="s">
        <v>86</v>
      </c>
      <c r="I1210" s="11" t="s">
        <v>9</v>
      </c>
      <c r="J1210" s="11" t="s">
        <v>103</v>
      </c>
      <c r="K1210" s="12">
        <v>17100.98</v>
      </c>
      <c r="L1210" s="12">
        <f>K1210</f>
        <v>17100.98</v>
      </c>
      <c r="M1210" s="12">
        <v>0</v>
      </c>
      <c r="N1210" s="12">
        <f>L1210*16%</f>
        <v>2736.1568000000002</v>
      </c>
      <c r="O1210" s="12">
        <f>L1210+M1210-N1210</f>
        <v>14364.823199999999</v>
      </c>
      <c r="P1210" s="29">
        <v>20</v>
      </c>
    </row>
    <row r="1211" spans="1:16" s="85" customFormat="1" ht="14.25" customHeight="1" thickTop="1" thickBot="1" x14ac:dyDescent="0.3">
      <c r="A1211" s="74"/>
      <c r="B1211" s="25" t="s">
        <v>11</v>
      </c>
      <c r="C1211" s="8" t="s">
        <v>60</v>
      </c>
      <c r="D1211" s="7" t="s">
        <v>79</v>
      </c>
      <c r="E1211" s="9" t="s">
        <v>68</v>
      </c>
      <c r="F1211" s="10">
        <v>20</v>
      </c>
      <c r="G1211" s="11" t="s">
        <v>94</v>
      </c>
      <c r="H1211" s="7" t="s">
        <v>86</v>
      </c>
      <c r="I1211" s="11" t="s">
        <v>15</v>
      </c>
      <c r="J1211" s="11" t="s">
        <v>103</v>
      </c>
      <c r="K1211" s="12">
        <v>7270.9</v>
      </c>
      <c r="L1211" s="12">
        <f>K1211</f>
        <v>7270.9</v>
      </c>
      <c r="M1211" s="12">
        <v>0</v>
      </c>
      <c r="N1211" s="12">
        <v>0</v>
      </c>
      <c r="O1211" s="12">
        <v>1785.7</v>
      </c>
      <c r="P1211" s="29">
        <v>20</v>
      </c>
    </row>
    <row r="1212" spans="1:16" s="85" customFormat="1" ht="16.5" hidden="1" thickTop="1" thickBot="1" x14ac:dyDescent="0.3">
      <c r="A1212" s="74" t="s">
        <v>111</v>
      </c>
      <c r="B1212" s="25" t="s">
        <v>22</v>
      </c>
      <c r="C1212" s="8" t="s">
        <v>61</v>
      </c>
      <c r="D1212" s="7" t="s">
        <v>79</v>
      </c>
      <c r="E1212" s="9" t="s">
        <v>63</v>
      </c>
      <c r="F1212" s="10">
        <v>20</v>
      </c>
      <c r="G1212" s="13" t="s">
        <v>92</v>
      </c>
      <c r="H1212" s="7" t="s">
        <v>83</v>
      </c>
      <c r="I1212" s="11" t="s">
        <v>98</v>
      </c>
      <c r="J1212" s="11" t="s">
        <v>80</v>
      </c>
      <c r="K1212" s="12">
        <v>9815.6299999999992</v>
      </c>
      <c r="L1212" s="12">
        <v>9815.6299999999992</v>
      </c>
      <c r="M1212" s="12">
        <v>0</v>
      </c>
      <c r="N1212" s="12">
        <v>0</v>
      </c>
      <c r="O1212" s="12">
        <f>L1212</f>
        <v>9815.6299999999992</v>
      </c>
      <c r="P1212" s="29">
        <v>9</v>
      </c>
    </row>
    <row r="1213" spans="1:16" s="85" customFormat="1" ht="16.5" hidden="1" thickTop="1" thickBot="1" x14ac:dyDescent="0.3">
      <c r="A1213" s="74" t="s">
        <v>111</v>
      </c>
      <c r="B1213" s="25" t="s">
        <v>22</v>
      </c>
      <c r="C1213" s="8" t="s">
        <v>25</v>
      </c>
      <c r="D1213" s="7" t="s">
        <v>79</v>
      </c>
      <c r="E1213" s="9" t="s">
        <v>64</v>
      </c>
      <c r="F1213" s="10">
        <v>15</v>
      </c>
      <c r="G1213" s="11" t="s">
        <v>33</v>
      </c>
      <c r="H1213" s="7" t="s">
        <v>83</v>
      </c>
      <c r="I1213" s="11" t="s">
        <v>9</v>
      </c>
      <c r="J1213" s="11" t="s">
        <v>80</v>
      </c>
      <c r="K1213" s="12">
        <v>8571.4500000000007</v>
      </c>
      <c r="L1213" s="12">
        <f>K1213</f>
        <v>8571.4500000000007</v>
      </c>
      <c r="M1213" s="12">
        <v>0</v>
      </c>
      <c r="N1213" s="12">
        <v>0</v>
      </c>
      <c r="O1213" s="12">
        <v>8573.4076999999997</v>
      </c>
      <c r="P1213" s="29">
        <v>30</v>
      </c>
    </row>
    <row r="1214" spans="1:16" s="85" customFormat="1" ht="16.5" hidden="1" thickTop="1" thickBot="1" x14ac:dyDescent="0.3">
      <c r="A1214" s="74" t="s">
        <v>111</v>
      </c>
      <c r="B1214" s="25" t="s">
        <v>22</v>
      </c>
      <c r="C1214" s="8" t="s">
        <v>25</v>
      </c>
      <c r="D1214" s="7" t="s">
        <v>79</v>
      </c>
      <c r="E1214" s="9" t="s">
        <v>65</v>
      </c>
      <c r="F1214" s="10">
        <v>15</v>
      </c>
      <c r="G1214" s="11" t="s">
        <v>33</v>
      </c>
      <c r="H1214" s="7" t="s">
        <v>83</v>
      </c>
      <c r="I1214" s="11" t="s">
        <v>9</v>
      </c>
      <c r="J1214" s="11" t="s">
        <v>80</v>
      </c>
      <c r="K1214" s="12">
        <v>8571.4500000000007</v>
      </c>
      <c r="L1214" s="12">
        <f>K1214</f>
        <v>8571.4500000000007</v>
      </c>
      <c r="M1214" s="12">
        <v>0</v>
      </c>
      <c r="N1214" s="12">
        <v>0</v>
      </c>
      <c r="O1214" s="12">
        <v>8573.4076999999997</v>
      </c>
      <c r="P1214" s="29">
        <v>30</v>
      </c>
    </row>
    <row r="1215" spans="1:16" s="85" customFormat="1" ht="16.5" hidden="1" thickTop="1" thickBot="1" x14ac:dyDescent="0.3">
      <c r="A1215" s="74" t="s">
        <v>111</v>
      </c>
      <c r="B1215" s="25" t="s">
        <v>22</v>
      </c>
      <c r="C1215" s="8" t="s">
        <v>61</v>
      </c>
      <c r="D1215" s="7" t="s">
        <v>79</v>
      </c>
      <c r="E1215" s="9" t="s">
        <v>66</v>
      </c>
      <c r="F1215" s="10">
        <v>20</v>
      </c>
      <c r="G1215" s="13" t="s">
        <v>92</v>
      </c>
      <c r="H1215" s="7" t="s">
        <v>83</v>
      </c>
      <c r="I1215" s="11" t="s">
        <v>98</v>
      </c>
      <c r="J1215" s="11" t="s">
        <v>80</v>
      </c>
      <c r="K1215" s="12">
        <v>26460</v>
      </c>
      <c r="L1215" s="12">
        <f t="shared" ref="L1215:L1220" si="74">K1215</f>
        <v>26460</v>
      </c>
      <c r="M1215" s="12">
        <v>0</v>
      </c>
      <c r="N1215" s="12">
        <v>0</v>
      </c>
      <c r="O1215" s="12">
        <f t="shared" ref="O1215:O1220" si="75">L1215</f>
        <v>26460</v>
      </c>
      <c r="P1215" s="29">
        <v>9</v>
      </c>
    </row>
    <row r="1216" spans="1:16" s="85" customFormat="1" ht="16.5" hidden="1" thickTop="1" thickBot="1" x14ac:dyDescent="0.3">
      <c r="A1216" s="74" t="s">
        <v>111</v>
      </c>
      <c r="B1216" s="25" t="s">
        <v>22</v>
      </c>
      <c r="C1216" s="8" t="s">
        <v>61</v>
      </c>
      <c r="D1216" s="7" t="s">
        <v>79</v>
      </c>
      <c r="E1216" s="9" t="s">
        <v>67</v>
      </c>
      <c r="F1216" s="10">
        <v>20</v>
      </c>
      <c r="G1216" s="13" t="s">
        <v>92</v>
      </c>
      <c r="H1216" s="7" t="s">
        <v>83</v>
      </c>
      <c r="I1216" s="11" t="s">
        <v>98</v>
      </c>
      <c r="J1216" s="11" t="s">
        <v>80</v>
      </c>
      <c r="K1216" s="12">
        <v>26460</v>
      </c>
      <c r="L1216" s="12">
        <f t="shared" si="74"/>
        <v>26460</v>
      </c>
      <c r="M1216" s="12">
        <v>0</v>
      </c>
      <c r="N1216" s="12">
        <v>0</v>
      </c>
      <c r="O1216" s="12">
        <f t="shared" si="75"/>
        <v>26460</v>
      </c>
      <c r="P1216" s="29">
        <v>9</v>
      </c>
    </row>
    <row r="1217" spans="1:16" s="85" customFormat="1" ht="16.5" thickTop="1" thickBot="1" x14ac:dyDescent="0.3">
      <c r="A1217" s="74"/>
      <c r="B1217" s="25" t="s">
        <v>22</v>
      </c>
      <c r="C1217" s="8" t="s">
        <v>61</v>
      </c>
      <c r="D1217" s="7" t="s">
        <v>79</v>
      </c>
      <c r="E1217" s="9" t="s">
        <v>68</v>
      </c>
      <c r="F1217" s="10">
        <v>20</v>
      </c>
      <c r="G1217" s="13" t="s">
        <v>92</v>
      </c>
      <c r="H1217" s="7" t="s">
        <v>83</v>
      </c>
      <c r="I1217" s="11" t="s">
        <v>98</v>
      </c>
      <c r="J1217" s="11" t="s">
        <v>80</v>
      </c>
      <c r="K1217" s="12">
        <v>25606</v>
      </c>
      <c r="L1217" s="12">
        <f t="shared" si="74"/>
        <v>25606</v>
      </c>
      <c r="M1217" s="12">
        <v>0</v>
      </c>
      <c r="N1217" s="12">
        <v>0</v>
      </c>
      <c r="O1217" s="12">
        <f t="shared" si="75"/>
        <v>25606</v>
      </c>
      <c r="P1217" s="29">
        <v>9</v>
      </c>
    </row>
    <row r="1218" spans="1:16" s="85" customFormat="1" ht="16.5" hidden="1" thickTop="1" thickBot="1" x14ac:dyDescent="0.3">
      <c r="A1218" s="74" t="s">
        <v>111</v>
      </c>
      <c r="B1218" s="25" t="s">
        <v>22</v>
      </c>
      <c r="C1218" s="8" t="s">
        <v>61</v>
      </c>
      <c r="D1218" s="7" t="s">
        <v>79</v>
      </c>
      <c r="E1218" s="9" t="s">
        <v>69</v>
      </c>
      <c r="F1218" s="10">
        <v>20</v>
      </c>
      <c r="G1218" s="13" t="s">
        <v>92</v>
      </c>
      <c r="H1218" s="7" t="s">
        <v>83</v>
      </c>
      <c r="I1218" s="11" t="s">
        <v>98</v>
      </c>
      <c r="J1218" s="11" t="s">
        <v>80</v>
      </c>
      <c r="K1218" s="12">
        <v>26460</v>
      </c>
      <c r="L1218" s="12">
        <f t="shared" si="74"/>
        <v>26460</v>
      </c>
      <c r="M1218" s="12">
        <v>0</v>
      </c>
      <c r="N1218" s="12">
        <v>0</v>
      </c>
      <c r="O1218" s="12">
        <f t="shared" si="75"/>
        <v>26460</v>
      </c>
      <c r="P1218" s="29">
        <v>9</v>
      </c>
    </row>
    <row r="1219" spans="1:16" s="85" customFormat="1" ht="16.5" hidden="1" thickTop="1" thickBot="1" x14ac:dyDescent="0.3">
      <c r="A1219" s="74" t="s">
        <v>111</v>
      </c>
      <c r="B1219" s="25" t="s">
        <v>22</v>
      </c>
      <c r="C1219" s="8" t="s">
        <v>61</v>
      </c>
      <c r="D1219" s="7" t="s">
        <v>79</v>
      </c>
      <c r="E1219" s="9" t="s">
        <v>70</v>
      </c>
      <c r="F1219" s="10">
        <v>20</v>
      </c>
      <c r="G1219" s="13" t="s">
        <v>92</v>
      </c>
      <c r="H1219" s="7" t="s">
        <v>83</v>
      </c>
      <c r="I1219" s="11" t="s">
        <v>98</v>
      </c>
      <c r="J1219" s="11" t="s">
        <v>80</v>
      </c>
      <c r="K1219" s="12">
        <v>25606</v>
      </c>
      <c r="L1219" s="12">
        <f t="shared" si="74"/>
        <v>25606</v>
      </c>
      <c r="M1219" s="12">
        <v>0</v>
      </c>
      <c r="N1219" s="12">
        <v>0</v>
      </c>
      <c r="O1219" s="12">
        <f t="shared" si="75"/>
        <v>25606</v>
      </c>
      <c r="P1219" s="29">
        <v>9</v>
      </c>
    </row>
    <row r="1220" spans="1:16" s="85" customFormat="1" ht="16.5" hidden="1" thickTop="1" thickBot="1" x14ac:dyDescent="0.3">
      <c r="A1220" s="74" t="s">
        <v>111</v>
      </c>
      <c r="B1220" s="25" t="s">
        <v>22</v>
      </c>
      <c r="C1220" s="8" t="s">
        <v>61</v>
      </c>
      <c r="D1220" s="7" t="s">
        <v>79</v>
      </c>
      <c r="E1220" s="9" t="s">
        <v>71</v>
      </c>
      <c r="F1220" s="10">
        <v>20</v>
      </c>
      <c r="G1220" s="13" t="s">
        <v>92</v>
      </c>
      <c r="H1220" s="7" t="s">
        <v>83</v>
      </c>
      <c r="I1220" s="11" t="s">
        <v>98</v>
      </c>
      <c r="J1220" s="11" t="s">
        <v>80</v>
      </c>
      <c r="K1220" s="12">
        <v>26460</v>
      </c>
      <c r="L1220" s="12">
        <f t="shared" si="74"/>
        <v>26460</v>
      </c>
      <c r="M1220" s="12">
        <v>0</v>
      </c>
      <c r="N1220" s="12">
        <v>0</v>
      </c>
      <c r="O1220" s="12">
        <f t="shared" si="75"/>
        <v>26460</v>
      </c>
      <c r="P1220" s="29">
        <v>9</v>
      </c>
    </row>
    <row r="1221" spans="1:16" ht="16.5" hidden="1" thickTop="1" thickBot="1" x14ac:dyDescent="0.3">
      <c r="A1221" s="74" t="s">
        <v>111</v>
      </c>
      <c r="B1221" s="25" t="s">
        <v>22</v>
      </c>
      <c r="C1221" s="119" t="s">
        <v>60</v>
      </c>
      <c r="D1221" s="7" t="s">
        <v>79</v>
      </c>
      <c r="E1221" s="9" t="s">
        <v>66</v>
      </c>
      <c r="F1221" s="10">
        <v>1</v>
      </c>
      <c r="G1221" s="144" t="s">
        <v>186</v>
      </c>
      <c r="H1221" s="120" t="s">
        <v>85</v>
      </c>
      <c r="I1221" s="123" t="s">
        <v>9</v>
      </c>
      <c r="J1221" s="123" t="s">
        <v>105</v>
      </c>
      <c r="K1221" s="143">
        <v>9242.02</v>
      </c>
      <c r="L1221" s="12">
        <f t="shared" ref="L1221:L1226" si="76">K1221*60%</f>
        <v>5545.2120000000004</v>
      </c>
      <c r="M1221" s="12">
        <f t="shared" ref="M1221:M1226" si="77">K1221*40%</f>
        <v>3696.8080000000004</v>
      </c>
      <c r="N1221" s="12">
        <v>0</v>
      </c>
      <c r="O1221" s="12">
        <f>L1221+M1221</f>
        <v>9242.02</v>
      </c>
      <c r="P1221" s="29">
        <v>30</v>
      </c>
    </row>
    <row r="1222" spans="1:16" ht="16.5" hidden="1" thickTop="1" thickBot="1" x14ac:dyDescent="0.3">
      <c r="A1222" s="74" t="s">
        <v>111</v>
      </c>
      <c r="B1222" s="25" t="s">
        <v>22</v>
      </c>
      <c r="C1222" s="119" t="s">
        <v>60</v>
      </c>
      <c r="D1222" s="120" t="s">
        <v>79</v>
      </c>
      <c r="E1222" s="9" t="s">
        <v>67</v>
      </c>
      <c r="F1222" s="122">
        <v>1</v>
      </c>
      <c r="G1222" s="144" t="s">
        <v>186</v>
      </c>
      <c r="H1222" s="120" t="s">
        <v>85</v>
      </c>
      <c r="I1222" s="123" t="s">
        <v>9</v>
      </c>
      <c r="J1222" s="123" t="s">
        <v>105</v>
      </c>
      <c r="K1222" s="129">
        <v>9242.02</v>
      </c>
      <c r="L1222" s="12">
        <f t="shared" si="76"/>
        <v>5545.2120000000004</v>
      </c>
      <c r="M1222" s="12">
        <f t="shared" si="77"/>
        <v>3696.8080000000004</v>
      </c>
      <c r="N1222" s="124"/>
      <c r="O1222" s="124">
        <v>11764.89</v>
      </c>
      <c r="P1222" s="125"/>
    </row>
    <row r="1223" spans="1:16" ht="16.5" thickTop="1" thickBot="1" x14ac:dyDescent="0.3">
      <c r="A1223" s="74" t="s">
        <v>111</v>
      </c>
      <c r="B1223" s="25" t="s">
        <v>22</v>
      </c>
      <c r="C1223" s="119" t="s">
        <v>60</v>
      </c>
      <c r="D1223" s="120" t="s">
        <v>79</v>
      </c>
      <c r="E1223" s="9" t="s">
        <v>68</v>
      </c>
      <c r="F1223" s="122">
        <v>1</v>
      </c>
      <c r="G1223" s="144" t="s">
        <v>186</v>
      </c>
      <c r="H1223" s="120" t="s">
        <v>85</v>
      </c>
      <c r="I1223" s="123" t="s">
        <v>9</v>
      </c>
      <c r="J1223" s="123" t="s">
        <v>105</v>
      </c>
      <c r="K1223" s="129">
        <v>9242.02</v>
      </c>
      <c r="L1223" s="124">
        <f t="shared" si="76"/>
        <v>5545.2120000000004</v>
      </c>
      <c r="M1223" s="124">
        <f t="shared" si="77"/>
        <v>3696.8080000000004</v>
      </c>
      <c r="N1223" s="124"/>
      <c r="O1223" s="124">
        <v>11764.89</v>
      </c>
      <c r="P1223" s="125">
        <v>30</v>
      </c>
    </row>
    <row r="1224" spans="1:16" ht="16.5" hidden="1" thickTop="1" thickBot="1" x14ac:dyDescent="0.3">
      <c r="A1224" s="51"/>
      <c r="B1224" s="25" t="s">
        <v>22</v>
      </c>
      <c r="C1224" s="119" t="s">
        <v>60</v>
      </c>
      <c r="D1224" s="120" t="s">
        <v>79</v>
      </c>
      <c r="E1224" s="9" t="s">
        <v>69</v>
      </c>
      <c r="F1224" s="122">
        <v>1</v>
      </c>
      <c r="G1224" s="144" t="s">
        <v>186</v>
      </c>
      <c r="H1224" s="120" t="s">
        <v>85</v>
      </c>
      <c r="I1224" s="123" t="s">
        <v>9</v>
      </c>
      <c r="J1224" s="123" t="s">
        <v>105</v>
      </c>
      <c r="K1224" s="143">
        <v>9242.02</v>
      </c>
      <c r="L1224" s="124">
        <f t="shared" si="76"/>
        <v>5545.2120000000004</v>
      </c>
      <c r="M1224" s="124">
        <f t="shared" si="77"/>
        <v>3696.8080000000004</v>
      </c>
      <c r="N1224" s="124"/>
      <c r="O1224" s="124">
        <v>11764.89</v>
      </c>
      <c r="P1224" s="125"/>
    </row>
    <row r="1225" spans="1:16" ht="16.5" hidden="1" thickTop="1" thickBot="1" x14ac:dyDescent="0.3">
      <c r="A1225" s="51"/>
      <c r="B1225" s="25" t="s">
        <v>22</v>
      </c>
      <c r="C1225" s="119" t="s">
        <v>60</v>
      </c>
      <c r="D1225" s="120" t="s">
        <v>79</v>
      </c>
      <c r="E1225" s="9" t="s">
        <v>70</v>
      </c>
      <c r="F1225" s="122">
        <v>1</v>
      </c>
      <c r="G1225" s="144" t="s">
        <v>186</v>
      </c>
      <c r="H1225" s="120" t="s">
        <v>85</v>
      </c>
      <c r="I1225" s="123" t="s">
        <v>9</v>
      </c>
      <c r="J1225" s="123" t="s">
        <v>105</v>
      </c>
      <c r="K1225" s="129">
        <v>9242.02</v>
      </c>
      <c r="L1225" s="124">
        <f t="shared" si="76"/>
        <v>5545.2120000000004</v>
      </c>
      <c r="M1225" s="124">
        <f t="shared" si="77"/>
        <v>3696.8080000000004</v>
      </c>
      <c r="N1225" s="124"/>
      <c r="O1225" s="124">
        <v>11764.89</v>
      </c>
      <c r="P1225" s="125"/>
    </row>
    <row r="1226" spans="1:16" ht="16.5" hidden="1" thickTop="1" thickBot="1" x14ac:dyDescent="0.3">
      <c r="A1226" s="51"/>
      <c r="B1226" s="25" t="s">
        <v>22</v>
      </c>
      <c r="C1226" s="119" t="s">
        <v>60</v>
      </c>
      <c r="D1226" s="120" t="s">
        <v>79</v>
      </c>
      <c r="E1226" s="9" t="s">
        <v>71</v>
      </c>
      <c r="F1226" s="122">
        <v>1</v>
      </c>
      <c r="G1226" s="144" t="s">
        <v>186</v>
      </c>
      <c r="H1226" s="120" t="s">
        <v>85</v>
      </c>
      <c r="I1226" s="123" t="s">
        <v>9</v>
      </c>
      <c r="J1226" s="123" t="s">
        <v>105</v>
      </c>
      <c r="K1226" s="139">
        <v>9242.02</v>
      </c>
      <c r="L1226" s="124">
        <f t="shared" si="76"/>
        <v>5545.2120000000004</v>
      </c>
      <c r="M1226" s="124">
        <f t="shared" si="77"/>
        <v>3696.8080000000004</v>
      </c>
      <c r="N1226" s="124"/>
      <c r="O1226" s="124">
        <v>11764.89</v>
      </c>
      <c r="P1226" s="125"/>
    </row>
    <row r="1227" spans="1:16" s="85" customFormat="1" ht="16.5" hidden="1" thickTop="1" thickBot="1" x14ac:dyDescent="0.3">
      <c r="A1227" s="74" t="s">
        <v>111</v>
      </c>
      <c r="B1227" s="25" t="s">
        <v>22</v>
      </c>
      <c r="C1227" s="8" t="s">
        <v>60</v>
      </c>
      <c r="D1227" s="7" t="s">
        <v>79</v>
      </c>
      <c r="E1227" s="9" t="s">
        <v>66</v>
      </c>
      <c r="F1227" s="10">
        <v>1</v>
      </c>
      <c r="G1227" s="11" t="s">
        <v>181</v>
      </c>
      <c r="H1227" s="7" t="s">
        <v>85</v>
      </c>
      <c r="I1227" s="11" t="s">
        <v>182</v>
      </c>
      <c r="J1227" s="11" t="s">
        <v>80</v>
      </c>
      <c r="K1227" s="12">
        <v>6192</v>
      </c>
      <c r="L1227" s="12">
        <f t="shared" ref="L1227:L1238" si="78">K1227</f>
        <v>6192</v>
      </c>
      <c r="M1227" s="12"/>
      <c r="N1227" s="12"/>
      <c r="O1227" s="12">
        <f t="shared" ref="O1227:O1238" si="79">L1227</f>
        <v>6192</v>
      </c>
      <c r="P1227" s="29">
        <v>25</v>
      </c>
    </row>
    <row r="1228" spans="1:16" s="85" customFormat="1" ht="16.5" hidden="1" thickTop="1" thickBot="1" x14ac:dyDescent="0.3">
      <c r="A1228" s="74" t="s">
        <v>111</v>
      </c>
      <c r="B1228" s="25" t="s">
        <v>22</v>
      </c>
      <c r="C1228" s="8" t="s">
        <v>60</v>
      </c>
      <c r="D1228" s="7" t="s">
        <v>79</v>
      </c>
      <c r="E1228" s="9" t="s">
        <v>66</v>
      </c>
      <c r="F1228" s="10">
        <v>1</v>
      </c>
      <c r="G1228" s="11" t="s">
        <v>181</v>
      </c>
      <c r="H1228" s="7" t="s">
        <v>85</v>
      </c>
      <c r="I1228" s="11" t="s">
        <v>9</v>
      </c>
      <c r="J1228" s="11" t="s">
        <v>80</v>
      </c>
      <c r="K1228" s="12">
        <v>4410</v>
      </c>
      <c r="L1228" s="12">
        <f t="shared" si="78"/>
        <v>4410</v>
      </c>
      <c r="M1228" s="12"/>
      <c r="N1228" s="12"/>
      <c r="O1228" s="12">
        <f t="shared" si="79"/>
        <v>4410</v>
      </c>
      <c r="P1228" s="29">
        <v>25</v>
      </c>
    </row>
    <row r="1229" spans="1:16" s="85" customFormat="1" ht="16.5" hidden="1" thickTop="1" thickBot="1" x14ac:dyDescent="0.3">
      <c r="A1229" s="74" t="s">
        <v>111</v>
      </c>
      <c r="B1229" s="25" t="s">
        <v>22</v>
      </c>
      <c r="C1229" s="8" t="s">
        <v>60</v>
      </c>
      <c r="D1229" s="7" t="s">
        <v>79</v>
      </c>
      <c r="E1229" s="9" t="s">
        <v>67</v>
      </c>
      <c r="F1229" s="10">
        <v>1</v>
      </c>
      <c r="G1229" s="11" t="s">
        <v>181</v>
      </c>
      <c r="H1229" s="7" t="s">
        <v>85</v>
      </c>
      <c r="I1229" s="11" t="s">
        <v>182</v>
      </c>
      <c r="J1229" s="11" t="s">
        <v>80</v>
      </c>
      <c r="K1229" s="12">
        <v>6192</v>
      </c>
      <c r="L1229" s="12">
        <f t="shared" si="78"/>
        <v>6192</v>
      </c>
      <c r="M1229" s="12"/>
      <c r="N1229" s="12"/>
      <c r="O1229" s="12">
        <f t="shared" si="79"/>
        <v>6192</v>
      </c>
      <c r="P1229" s="29">
        <v>25</v>
      </c>
    </row>
    <row r="1230" spans="1:16" s="85" customFormat="1" ht="16.5" hidden="1" thickTop="1" thickBot="1" x14ac:dyDescent="0.3">
      <c r="A1230" s="74" t="s">
        <v>111</v>
      </c>
      <c r="B1230" s="25" t="s">
        <v>22</v>
      </c>
      <c r="C1230" s="8" t="s">
        <v>60</v>
      </c>
      <c r="D1230" s="7" t="s">
        <v>79</v>
      </c>
      <c r="E1230" s="9" t="s">
        <v>67</v>
      </c>
      <c r="F1230" s="10">
        <v>1</v>
      </c>
      <c r="G1230" s="11" t="s">
        <v>181</v>
      </c>
      <c r="H1230" s="7" t="s">
        <v>85</v>
      </c>
      <c r="I1230" s="11" t="s">
        <v>9</v>
      </c>
      <c r="J1230" s="11" t="s">
        <v>80</v>
      </c>
      <c r="K1230" s="12">
        <v>4410</v>
      </c>
      <c r="L1230" s="12">
        <f t="shared" si="78"/>
        <v>4410</v>
      </c>
      <c r="M1230" s="12"/>
      <c r="N1230" s="12"/>
      <c r="O1230" s="12">
        <f t="shared" si="79"/>
        <v>4410</v>
      </c>
      <c r="P1230" s="29">
        <v>25</v>
      </c>
    </row>
    <row r="1231" spans="1:16" s="85" customFormat="1" ht="16.5" thickTop="1" thickBot="1" x14ac:dyDescent="0.3">
      <c r="A1231" s="74" t="s">
        <v>111</v>
      </c>
      <c r="B1231" s="25" t="s">
        <v>22</v>
      </c>
      <c r="C1231" s="8" t="s">
        <v>60</v>
      </c>
      <c r="D1231" s="7" t="s">
        <v>79</v>
      </c>
      <c r="E1231" s="9" t="s">
        <v>68</v>
      </c>
      <c r="F1231" s="10">
        <v>1</v>
      </c>
      <c r="G1231" s="11" t="s">
        <v>181</v>
      </c>
      <c r="H1231" s="7" t="s">
        <v>85</v>
      </c>
      <c r="I1231" s="11" t="s">
        <v>182</v>
      </c>
      <c r="J1231" s="11" t="s">
        <v>80</v>
      </c>
      <c r="K1231" s="12">
        <v>6192</v>
      </c>
      <c r="L1231" s="12">
        <f t="shared" si="78"/>
        <v>6192</v>
      </c>
      <c r="M1231" s="12"/>
      <c r="N1231" s="12"/>
      <c r="O1231" s="12">
        <f t="shared" si="79"/>
        <v>6192</v>
      </c>
      <c r="P1231" s="29">
        <v>25</v>
      </c>
    </row>
    <row r="1232" spans="1:16" s="85" customFormat="1" ht="16.5" thickTop="1" thickBot="1" x14ac:dyDescent="0.3">
      <c r="A1232" s="74" t="s">
        <v>111</v>
      </c>
      <c r="B1232" s="25" t="s">
        <v>22</v>
      </c>
      <c r="C1232" s="8" t="s">
        <v>60</v>
      </c>
      <c r="D1232" s="7" t="s">
        <v>79</v>
      </c>
      <c r="E1232" s="9" t="s">
        <v>68</v>
      </c>
      <c r="F1232" s="10">
        <v>1</v>
      </c>
      <c r="G1232" s="11" t="s">
        <v>181</v>
      </c>
      <c r="H1232" s="7" t="s">
        <v>85</v>
      </c>
      <c r="I1232" s="11" t="s">
        <v>9</v>
      </c>
      <c r="J1232" s="11" t="s">
        <v>80</v>
      </c>
      <c r="K1232" s="12">
        <v>4410</v>
      </c>
      <c r="L1232" s="12">
        <f t="shared" si="78"/>
        <v>4410</v>
      </c>
      <c r="M1232" s="12"/>
      <c r="N1232" s="12"/>
      <c r="O1232" s="12">
        <f t="shared" si="79"/>
        <v>4410</v>
      </c>
      <c r="P1232" s="29">
        <v>25</v>
      </c>
    </row>
    <row r="1233" spans="1:16" s="85" customFormat="1" ht="16.5" hidden="1" thickTop="1" thickBot="1" x14ac:dyDescent="0.3">
      <c r="A1233" s="74"/>
      <c r="B1233" s="25" t="s">
        <v>22</v>
      </c>
      <c r="C1233" s="8" t="s">
        <v>60</v>
      </c>
      <c r="D1233" s="7" t="s">
        <v>79</v>
      </c>
      <c r="E1233" s="9" t="s">
        <v>69</v>
      </c>
      <c r="F1233" s="10">
        <v>1</v>
      </c>
      <c r="G1233" s="11" t="s">
        <v>181</v>
      </c>
      <c r="H1233" s="7" t="s">
        <v>85</v>
      </c>
      <c r="I1233" s="11" t="s">
        <v>182</v>
      </c>
      <c r="J1233" s="11" t="s">
        <v>80</v>
      </c>
      <c r="K1233" s="12">
        <v>6192</v>
      </c>
      <c r="L1233" s="12">
        <f t="shared" si="78"/>
        <v>6192</v>
      </c>
      <c r="M1233" s="12"/>
      <c r="N1233" s="12"/>
      <c r="O1233" s="12">
        <f t="shared" si="79"/>
        <v>6192</v>
      </c>
      <c r="P1233" s="29">
        <v>25</v>
      </c>
    </row>
    <row r="1234" spans="1:16" s="85" customFormat="1" ht="16.5" hidden="1" thickTop="1" thickBot="1" x14ac:dyDescent="0.3">
      <c r="A1234" s="74"/>
      <c r="B1234" s="25" t="s">
        <v>22</v>
      </c>
      <c r="C1234" s="8" t="s">
        <v>60</v>
      </c>
      <c r="D1234" s="7" t="s">
        <v>79</v>
      </c>
      <c r="E1234" s="9" t="s">
        <v>69</v>
      </c>
      <c r="F1234" s="10">
        <v>1</v>
      </c>
      <c r="G1234" s="11" t="s">
        <v>181</v>
      </c>
      <c r="H1234" s="7" t="s">
        <v>85</v>
      </c>
      <c r="I1234" s="11" t="s">
        <v>9</v>
      </c>
      <c r="J1234" s="11" t="s">
        <v>80</v>
      </c>
      <c r="K1234" s="12">
        <v>4410</v>
      </c>
      <c r="L1234" s="12">
        <f t="shared" si="78"/>
        <v>4410</v>
      </c>
      <c r="M1234" s="12"/>
      <c r="N1234" s="12"/>
      <c r="O1234" s="12">
        <f t="shared" si="79"/>
        <v>4410</v>
      </c>
      <c r="P1234" s="29">
        <v>25</v>
      </c>
    </row>
    <row r="1235" spans="1:16" s="85" customFormat="1" ht="16.5" hidden="1" thickTop="1" thickBot="1" x14ac:dyDescent="0.3">
      <c r="A1235" s="74"/>
      <c r="B1235" s="25" t="s">
        <v>22</v>
      </c>
      <c r="C1235" s="8" t="s">
        <v>60</v>
      </c>
      <c r="D1235" s="7" t="s">
        <v>79</v>
      </c>
      <c r="E1235" s="9" t="s">
        <v>70</v>
      </c>
      <c r="F1235" s="10">
        <v>1</v>
      </c>
      <c r="G1235" s="11" t="s">
        <v>181</v>
      </c>
      <c r="H1235" s="7" t="s">
        <v>85</v>
      </c>
      <c r="I1235" s="11" t="s">
        <v>182</v>
      </c>
      <c r="J1235" s="11" t="s">
        <v>80</v>
      </c>
      <c r="K1235" s="12">
        <v>6192</v>
      </c>
      <c r="L1235" s="12">
        <f t="shared" si="78"/>
        <v>6192</v>
      </c>
      <c r="M1235" s="12"/>
      <c r="N1235" s="12"/>
      <c r="O1235" s="12">
        <f t="shared" si="79"/>
        <v>6192</v>
      </c>
      <c r="P1235" s="29">
        <v>25</v>
      </c>
    </row>
    <row r="1236" spans="1:16" s="85" customFormat="1" ht="16.5" hidden="1" thickTop="1" thickBot="1" x14ac:dyDescent="0.3">
      <c r="A1236" s="74"/>
      <c r="B1236" s="25" t="s">
        <v>22</v>
      </c>
      <c r="C1236" s="8" t="s">
        <v>60</v>
      </c>
      <c r="D1236" s="7" t="s">
        <v>79</v>
      </c>
      <c r="E1236" s="9" t="s">
        <v>70</v>
      </c>
      <c r="F1236" s="10">
        <v>1</v>
      </c>
      <c r="G1236" s="11" t="s">
        <v>181</v>
      </c>
      <c r="H1236" s="7" t="s">
        <v>85</v>
      </c>
      <c r="I1236" s="11" t="s">
        <v>9</v>
      </c>
      <c r="J1236" s="11" t="s">
        <v>80</v>
      </c>
      <c r="K1236" s="12">
        <v>4410</v>
      </c>
      <c r="L1236" s="12">
        <f t="shared" si="78"/>
        <v>4410</v>
      </c>
      <c r="M1236" s="12"/>
      <c r="N1236" s="12"/>
      <c r="O1236" s="12">
        <f t="shared" si="79"/>
        <v>4410</v>
      </c>
      <c r="P1236" s="29">
        <v>25</v>
      </c>
    </row>
    <row r="1237" spans="1:16" s="85" customFormat="1" ht="16.5" hidden="1" thickTop="1" thickBot="1" x14ac:dyDescent="0.3">
      <c r="A1237" s="74"/>
      <c r="B1237" s="25" t="s">
        <v>22</v>
      </c>
      <c r="C1237" s="8" t="s">
        <v>60</v>
      </c>
      <c r="D1237" s="7" t="s">
        <v>79</v>
      </c>
      <c r="E1237" s="9" t="s">
        <v>71</v>
      </c>
      <c r="F1237" s="10">
        <v>1</v>
      </c>
      <c r="G1237" s="11" t="s">
        <v>181</v>
      </c>
      <c r="H1237" s="7" t="s">
        <v>85</v>
      </c>
      <c r="I1237" s="11" t="s">
        <v>182</v>
      </c>
      <c r="J1237" s="11" t="s">
        <v>80</v>
      </c>
      <c r="K1237" s="12">
        <v>6192</v>
      </c>
      <c r="L1237" s="12">
        <f t="shared" si="78"/>
        <v>6192</v>
      </c>
      <c r="M1237" s="12"/>
      <c r="N1237" s="12"/>
      <c r="O1237" s="12">
        <f t="shared" si="79"/>
        <v>6192</v>
      </c>
      <c r="P1237" s="29">
        <v>25</v>
      </c>
    </row>
    <row r="1238" spans="1:16" s="85" customFormat="1" ht="16.5" hidden="1" thickTop="1" thickBot="1" x14ac:dyDescent="0.3">
      <c r="A1238" s="74"/>
      <c r="B1238" s="25" t="s">
        <v>22</v>
      </c>
      <c r="C1238" s="8" t="s">
        <v>60</v>
      </c>
      <c r="D1238" s="7" t="s">
        <v>79</v>
      </c>
      <c r="E1238" s="9" t="s">
        <v>71</v>
      </c>
      <c r="F1238" s="10">
        <v>1</v>
      </c>
      <c r="G1238" s="11" t="s">
        <v>181</v>
      </c>
      <c r="H1238" s="7" t="s">
        <v>85</v>
      </c>
      <c r="I1238" s="11" t="s">
        <v>9</v>
      </c>
      <c r="J1238" s="11" t="s">
        <v>80</v>
      </c>
      <c r="K1238" s="12">
        <v>4410</v>
      </c>
      <c r="L1238" s="12">
        <f t="shared" si="78"/>
        <v>4410</v>
      </c>
      <c r="M1238" s="12"/>
      <c r="N1238" s="12"/>
      <c r="O1238" s="12">
        <f t="shared" si="79"/>
        <v>4410</v>
      </c>
      <c r="P1238" s="29">
        <v>25</v>
      </c>
    </row>
    <row r="1239" spans="1:16" s="85" customFormat="1" ht="16.5" hidden="1" thickTop="1" thickBot="1" x14ac:dyDescent="0.3">
      <c r="A1239" s="74" t="s">
        <v>111</v>
      </c>
      <c r="B1239" s="25" t="s">
        <v>22</v>
      </c>
      <c r="C1239" s="8" t="s">
        <v>62</v>
      </c>
      <c r="D1239" s="7" t="s">
        <v>79</v>
      </c>
      <c r="E1239" s="9" t="s">
        <v>66</v>
      </c>
      <c r="F1239" s="10">
        <v>1</v>
      </c>
      <c r="G1239" s="11" t="s">
        <v>58</v>
      </c>
      <c r="H1239" s="7" t="s">
        <v>85</v>
      </c>
      <c r="I1239" s="11" t="s">
        <v>113</v>
      </c>
      <c r="J1239" s="11" t="s">
        <v>105</v>
      </c>
      <c r="K1239" s="12">
        <v>875</v>
      </c>
      <c r="L1239" s="12">
        <f t="shared" ref="L1239:L1262" si="80">K1239*60%</f>
        <v>525</v>
      </c>
      <c r="M1239" s="12">
        <f t="shared" ref="M1239:M1262" si="81">K1239*40%</f>
        <v>350</v>
      </c>
      <c r="N1239" s="12">
        <v>0</v>
      </c>
      <c r="O1239" s="12">
        <v>875</v>
      </c>
      <c r="P1239" s="29">
        <v>30</v>
      </c>
    </row>
    <row r="1240" spans="1:16" s="85" customFormat="1" ht="16.5" hidden="1" thickTop="1" thickBot="1" x14ac:dyDescent="0.3">
      <c r="A1240" s="74" t="s">
        <v>111</v>
      </c>
      <c r="B1240" s="25" t="s">
        <v>22</v>
      </c>
      <c r="C1240" s="8" t="s">
        <v>61</v>
      </c>
      <c r="D1240" s="7" t="s">
        <v>79</v>
      </c>
      <c r="E1240" s="9" t="s">
        <v>66</v>
      </c>
      <c r="F1240" s="10">
        <v>1</v>
      </c>
      <c r="G1240" s="11" t="s">
        <v>132</v>
      </c>
      <c r="H1240" s="7" t="s">
        <v>88</v>
      </c>
      <c r="I1240" s="11" t="s">
        <v>113</v>
      </c>
      <c r="J1240" s="11" t="s">
        <v>105</v>
      </c>
      <c r="K1240" s="98">
        <v>875</v>
      </c>
      <c r="L1240" s="12">
        <f t="shared" si="80"/>
        <v>525</v>
      </c>
      <c r="M1240" s="12">
        <f t="shared" si="81"/>
        <v>350</v>
      </c>
      <c r="N1240" s="12">
        <v>0</v>
      </c>
      <c r="O1240" s="12">
        <v>875</v>
      </c>
      <c r="P1240" s="29">
        <v>30</v>
      </c>
    </row>
    <row r="1241" spans="1:16" s="85" customFormat="1" ht="16.5" hidden="1" thickTop="1" thickBot="1" x14ac:dyDescent="0.3">
      <c r="A1241" s="74" t="s">
        <v>111</v>
      </c>
      <c r="B1241" s="25" t="s">
        <v>22</v>
      </c>
      <c r="C1241" s="8" t="s">
        <v>61</v>
      </c>
      <c r="D1241" s="7" t="s">
        <v>79</v>
      </c>
      <c r="E1241" s="9" t="s">
        <v>66</v>
      </c>
      <c r="F1241" s="10">
        <v>1</v>
      </c>
      <c r="G1241" s="11" t="s">
        <v>47</v>
      </c>
      <c r="H1241" s="7" t="s">
        <v>85</v>
      </c>
      <c r="I1241" s="11" t="s">
        <v>113</v>
      </c>
      <c r="J1241" s="11" t="s">
        <v>105</v>
      </c>
      <c r="K1241" s="98">
        <v>875</v>
      </c>
      <c r="L1241" s="12">
        <f t="shared" si="80"/>
        <v>525</v>
      </c>
      <c r="M1241" s="12">
        <f t="shared" si="81"/>
        <v>350</v>
      </c>
      <c r="N1241" s="12">
        <v>0</v>
      </c>
      <c r="O1241" s="12">
        <v>875</v>
      </c>
      <c r="P1241" s="29">
        <v>30</v>
      </c>
    </row>
    <row r="1242" spans="1:16" s="85" customFormat="1" ht="16.5" hidden="1" thickTop="1" thickBot="1" x14ac:dyDescent="0.3">
      <c r="A1242" s="74" t="s">
        <v>111</v>
      </c>
      <c r="B1242" s="25" t="s">
        <v>22</v>
      </c>
      <c r="C1242" s="8" t="s">
        <v>61</v>
      </c>
      <c r="D1242" s="7" t="s">
        <v>79</v>
      </c>
      <c r="E1242" s="9" t="s">
        <v>66</v>
      </c>
      <c r="F1242" s="10">
        <v>1</v>
      </c>
      <c r="G1242" s="11" t="s">
        <v>46</v>
      </c>
      <c r="H1242" s="7" t="s">
        <v>85</v>
      </c>
      <c r="I1242" s="11" t="s">
        <v>113</v>
      </c>
      <c r="J1242" s="11" t="s">
        <v>105</v>
      </c>
      <c r="K1242" s="12">
        <v>875</v>
      </c>
      <c r="L1242" s="12">
        <f t="shared" si="80"/>
        <v>525</v>
      </c>
      <c r="M1242" s="12">
        <f t="shared" si="81"/>
        <v>350</v>
      </c>
      <c r="N1242" s="12">
        <v>0</v>
      </c>
      <c r="O1242" s="12">
        <v>875</v>
      </c>
      <c r="P1242" s="29">
        <v>30</v>
      </c>
    </row>
    <row r="1243" spans="1:16" s="85" customFormat="1" ht="16.5" hidden="1" thickTop="1" thickBot="1" x14ac:dyDescent="0.3">
      <c r="A1243" s="74" t="s">
        <v>111</v>
      </c>
      <c r="B1243" s="25" t="s">
        <v>22</v>
      </c>
      <c r="C1243" s="8" t="s">
        <v>61</v>
      </c>
      <c r="D1243" s="7" t="s">
        <v>79</v>
      </c>
      <c r="E1243" s="9" t="s">
        <v>66</v>
      </c>
      <c r="F1243" s="10">
        <v>1</v>
      </c>
      <c r="G1243" s="11" t="s">
        <v>129</v>
      </c>
      <c r="H1243" s="7" t="s">
        <v>85</v>
      </c>
      <c r="I1243" s="11" t="s">
        <v>113</v>
      </c>
      <c r="J1243" s="11" t="s">
        <v>105</v>
      </c>
      <c r="K1243" s="12">
        <v>875</v>
      </c>
      <c r="L1243" s="12">
        <f t="shared" si="80"/>
        <v>525</v>
      </c>
      <c r="M1243" s="12">
        <f t="shared" si="81"/>
        <v>350</v>
      </c>
      <c r="N1243" s="12">
        <v>0</v>
      </c>
      <c r="O1243" s="12">
        <v>875</v>
      </c>
      <c r="P1243" s="29">
        <v>30</v>
      </c>
    </row>
    <row r="1244" spans="1:16" s="85" customFormat="1" ht="16.5" hidden="1" thickTop="1" thickBot="1" x14ac:dyDescent="0.3">
      <c r="A1244" s="74" t="s">
        <v>111</v>
      </c>
      <c r="B1244" s="25" t="s">
        <v>22</v>
      </c>
      <c r="C1244" s="8" t="s">
        <v>60</v>
      </c>
      <c r="D1244" s="7" t="s">
        <v>79</v>
      </c>
      <c r="E1244" s="9" t="s">
        <v>66</v>
      </c>
      <c r="F1244" s="10">
        <v>1</v>
      </c>
      <c r="G1244" s="11" t="s">
        <v>34</v>
      </c>
      <c r="H1244" s="7" t="s">
        <v>87</v>
      </c>
      <c r="I1244" s="11" t="s">
        <v>113</v>
      </c>
      <c r="J1244" s="11" t="s">
        <v>105</v>
      </c>
      <c r="K1244" s="12">
        <v>875</v>
      </c>
      <c r="L1244" s="12">
        <f t="shared" si="80"/>
        <v>525</v>
      </c>
      <c r="M1244" s="12">
        <f t="shared" si="81"/>
        <v>350</v>
      </c>
      <c r="N1244" s="12">
        <v>0</v>
      </c>
      <c r="O1244" s="12">
        <v>875</v>
      </c>
      <c r="P1244" s="29">
        <v>30</v>
      </c>
    </row>
    <row r="1245" spans="1:16" s="85" customFormat="1" ht="16.5" hidden="1" thickTop="1" thickBot="1" x14ac:dyDescent="0.3">
      <c r="A1245" s="74" t="s">
        <v>111</v>
      </c>
      <c r="B1245" s="25" t="s">
        <v>22</v>
      </c>
      <c r="C1245" s="8" t="s">
        <v>61</v>
      </c>
      <c r="D1245" s="7" t="s">
        <v>79</v>
      </c>
      <c r="E1245" s="9" t="s">
        <v>66</v>
      </c>
      <c r="F1245" s="10">
        <v>1</v>
      </c>
      <c r="G1245" s="11" t="s">
        <v>45</v>
      </c>
      <c r="H1245" s="7" t="s">
        <v>91</v>
      </c>
      <c r="I1245" s="11" t="s">
        <v>113</v>
      </c>
      <c r="J1245" s="11" t="s">
        <v>105</v>
      </c>
      <c r="K1245" s="12">
        <v>875</v>
      </c>
      <c r="L1245" s="12">
        <f t="shared" si="80"/>
        <v>525</v>
      </c>
      <c r="M1245" s="12">
        <f t="shared" si="81"/>
        <v>350</v>
      </c>
      <c r="N1245" s="12">
        <v>0</v>
      </c>
      <c r="O1245" s="12">
        <v>875</v>
      </c>
      <c r="P1245" s="29">
        <v>30</v>
      </c>
    </row>
    <row r="1246" spans="1:16" s="85" customFormat="1" ht="16.5" hidden="1" thickTop="1" thickBot="1" x14ac:dyDescent="0.3">
      <c r="A1246" s="74" t="s">
        <v>111</v>
      </c>
      <c r="B1246" s="25" t="s">
        <v>22</v>
      </c>
      <c r="C1246" s="8" t="s">
        <v>60</v>
      </c>
      <c r="D1246" s="7" t="s">
        <v>79</v>
      </c>
      <c r="E1246" s="9" t="s">
        <v>66</v>
      </c>
      <c r="F1246" s="10">
        <v>1</v>
      </c>
      <c r="G1246" s="11" t="s">
        <v>36</v>
      </c>
      <c r="H1246" s="7" t="s">
        <v>89</v>
      </c>
      <c r="I1246" s="11" t="s">
        <v>113</v>
      </c>
      <c r="J1246" s="11" t="s">
        <v>105</v>
      </c>
      <c r="K1246" s="12">
        <v>875</v>
      </c>
      <c r="L1246" s="12">
        <f t="shared" si="80"/>
        <v>525</v>
      </c>
      <c r="M1246" s="12">
        <f t="shared" si="81"/>
        <v>350</v>
      </c>
      <c r="N1246" s="12">
        <v>0</v>
      </c>
      <c r="O1246" s="12">
        <v>875</v>
      </c>
      <c r="P1246" s="29">
        <v>30</v>
      </c>
    </row>
    <row r="1247" spans="1:16" s="85" customFormat="1" ht="16.5" hidden="1" thickTop="1" thickBot="1" x14ac:dyDescent="0.3">
      <c r="A1247" s="74" t="s">
        <v>111</v>
      </c>
      <c r="B1247" s="25" t="s">
        <v>22</v>
      </c>
      <c r="C1247" s="8" t="s">
        <v>62</v>
      </c>
      <c r="D1247" s="7" t="s">
        <v>79</v>
      </c>
      <c r="E1247" s="9" t="s">
        <v>66</v>
      </c>
      <c r="F1247" s="10">
        <v>1</v>
      </c>
      <c r="G1247" s="11" t="s">
        <v>55</v>
      </c>
      <c r="H1247" s="7" t="s">
        <v>85</v>
      </c>
      <c r="I1247" s="11" t="s">
        <v>113</v>
      </c>
      <c r="J1247" s="11" t="s">
        <v>105</v>
      </c>
      <c r="K1247" s="12">
        <v>875</v>
      </c>
      <c r="L1247" s="12">
        <f t="shared" si="80"/>
        <v>525</v>
      </c>
      <c r="M1247" s="12">
        <f t="shared" si="81"/>
        <v>350</v>
      </c>
      <c r="N1247" s="12">
        <v>0</v>
      </c>
      <c r="O1247" s="12">
        <v>875</v>
      </c>
      <c r="P1247" s="29">
        <v>30</v>
      </c>
    </row>
    <row r="1248" spans="1:16" s="85" customFormat="1" ht="16.5" hidden="1" thickTop="1" thickBot="1" x14ac:dyDescent="0.3">
      <c r="A1248" s="74" t="s">
        <v>111</v>
      </c>
      <c r="B1248" s="25" t="s">
        <v>22</v>
      </c>
      <c r="C1248" s="8" t="s">
        <v>61</v>
      </c>
      <c r="D1248" s="7" t="s">
        <v>79</v>
      </c>
      <c r="E1248" s="9" t="s">
        <v>66</v>
      </c>
      <c r="F1248" s="10">
        <v>1</v>
      </c>
      <c r="G1248" s="11" t="s">
        <v>48</v>
      </c>
      <c r="H1248" s="7" t="s">
        <v>85</v>
      </c>
      <c r="I1248" s="11" t="s">
        <v>113</v>
      </c>
      <c r="J1248" s="11" t="s">
        <v>105</v>
      </c>
      <c r="K1248" s="12">
        <v>875</v>
      </c>
      <c r="L1248" s="12">
        <f t="shared" si="80"/>
        <v>525</v>
      </c>
      <c r="M1248" s="12">
        <f t="shared" si="81"/>
        <v>350</v>
      </c>
      <c r="N1248" s="12">
        <v>0</v>
      </c>
      <c r="O1248" s="12">
        <v>875</v>
      </c>
      <c r="P1248" s="29">
        <v>30</v>
      </c>
    </row>
    <row r="1249" spans="1:16" s="85" customFormat="1" ht="16.5" hidden="1" thickTop="1" thickBot="1" x14ac:dyDescent="0.3">
      <c r="A1249" s="74" t="s">
        <v>111</v>
      </c>
      <c r="B1249" s="25" t="s">
        <v>22</v>
      </c>
      <c r="C1249" s="8" t="s">
        <v>62</v>
      </c>
      <c r="D1249" s="7" t="s">
        <v>79</v>
      </c>
      <c r="E1249" s="9" t="s">
        <v>66</v>
      </c>
      <c r="F1249" s="10">
        <v>1</v>
      </c>
      <c r="G1249" s="11" t="s">
        <v>56</v>
      </c>
      <c r="H1249" s="7" t="s">
        <v>85</v>
      </c>
      <c r="I1249" s="11" t="s">
        <v>113</v>
      </c>
      <c r="J1249" s="11" t="s">
        <v>105</v>
      </c>
      <c r="K1249" s="12">
        <v>875</v>
      </c>
      <c r="L1249" s="12">
        <f t="shared" si="80"/>
        <v>525</v>
      </c>
      <c r="M1249" s="12">
        <f t="shared" si="81"/>
        <v>350</v>
      </c>
      <c r="N1249" s="12">
        <v>0</v>
      </c>
      <c r="O1249" s="12">
        <v>875</v>
      </c>
      <c r="P1249" s="29">
        <v>30</v>
      </c>
    </row>
    <row r="1250" spans="1:16" s="85" customFormat="1" ht="16.5" hidden="1" thickTop="1" thickBot="1" x14ac:dyDescent="0.3">
      <c r="A1250" s="74" t="s">
        <v>111</v>
      </c>
      <c r="B1250" s="25" t="s">
        <v>22</v>
      </c>
      <c r="C1250" s="8" t="s">
        <v>62</v>
      </c>
      <c r="D1250" s="7" t="s">
        <v>79</v>
      </c>
      <c r="E1250" s="9" t="s">
        <v>66</v>
      </c>
      <c r="F1250" s="10">
        <v>1</v>
      </c>
      <c r="G1250" s="11" t="s">
        <v>57</v>
      </c>
      <c r="H1250" s="7" t="s">
        <v>85</v>
      </c>
      <c r="I1250" s="11" t="s">
        <v>113</v>
      </c>
      <c r="J1250" s="11" t="s">
        <v>105</v>
      </c>
      <c r="K1250" s="12">
        <v>875</v>
      </c>
      <c r="L1250" s="12">
        <f t="shared" si="80"/>
        <v>525</v>
      </c>
      <c r="M1250" s="12">
        <f t="shared" si="81"/>
        <v>350</v>
      </c>
      <c r="N1250" s="12">
        <v>0</v>
      </c>
      <c r="O1250" s="12">
        <v>875</v>
      </c>
      <c r="P1250" s="29">
        <v>30</v>
      </c>
    </row>
    <row r="1251" spans="1:16" s="85" customFormat="1" ht="16.5" hidden="1" thickTop="1" thickBot="1" x14ac:dyDescent="0.3">
      <c r="A1251" s="74" t="s">
        <v>111</v>
      </c>
      <c r="B1251" s="25" t="s">
        <v>22</v>
      </c>
      <c r="C1251" s="8" t="s">
        <v>62</v>
      </c>
      <c r="D1251" s="7" t="s">
        <v>79</v>
      </c>
      <c r="E1251" s="9" t="s">
        <v>67</v>
      </c>
      <c r="F1251" s="10">
        <v>1</v>
      </c>
      <c r="G1251" s="11" t="s">
        <v>58</v>
      </c>
      <c r="H1251" s="7" t="s">
        <v>85</v>
      </c>
      <c r="I1251" s="11" t="s">
        <v>113</v>
      </c>
      <c r="J1251" s="11" t="s">
        <v>105</v>
      </c>
      <c r="K1251" s="12">
        <v>875</v>
      </c>
      <c r="L1251" s="12">
        <f t="shared" si="80"/>
        <v>525</v>
      </c>
      <c r="M1251" s="12">
        <f t="shared" si="81"/>
        <v>350</v>
      </c>
      <c r="N1251" s="12">
        <v>0</v>
      </c>
      <c r="O1251" s="12">
        <v>875</v>
      </c>
      <c r="P1251" s="29">
        <v>30</v>
      </c>
    </row>
    <row r="1252" spans="1:16" s="85" customFormat="1" ht="16.5" hidden="1" thickTop="1" thickBot="1" x14ac:dyDescent="0.3">
      <c r="A1252" s="74" t="s">
        <v>111</v>
      </c>
      <c r="B1252" s="25" t="s">
        <v>22</v>
      </c>
      <c r="C1252" s="8" t="s">
        <v>61</v>
      </c>
      <c r="D1252" s="7" t="s">
        <v>79</v>
      </c>
      <c r="E1252" s="9" t="s">
        <v>67</v>
      </c>
      <c r="F1252" s="10">
        <v>1</v>
      </c>
      <c r="G1252" s="11" t="s">
        <v>132</v>
      </c>
      <c r="H1252" s="7" t="s">
        <v>88</v>
      </c>
      <c r="I1252" s="11" t="s">
        <v>113</v>
      </c>
      <c r="J1252" s="11" t="s">
        <v>105</v>
      </c>
      <c r="K1252" s="98">
        <v>875</v>
      </c>
      <c r="L1252" s="12">
        <f t="shared" si="80"/>
        <v>525</v>
      </c>
      <c r="M1252" s="12">
        <f t="shared" si="81"/>
        <v>350</v>
      </c>
      <c r="N1252" s="12">
        <v>0</v>
      </c>
      <c r="O1252" s="12">
        <v>875</v>
      </c>
      <c r="P1252" s="29">
        <v>30</v>
      </c>
    </row>
    <row r="1253" spans="1:16" s="85" customFormat="1" ht="16.5" hidden="1" thickTop="1" thickBot="1" x14ac:dyDescent="0.3">
      <c r="A1253" s="74" t="s">
        <v>111</v>
      </c>
      <c r="B1253" s="25" t="s">
        <v>22</v>
      </c>
      <c r="C1253" s="8" t="s">
        <v>61</v>
      </c>
      <c r="D1253" s="7" t="s">
        <v>79</v>
      </c>
      <c r="E1253" s="9" t="s">
        <v>67</v>
      </c>
      <c r="F1253" s="10">
        <v>1</v>
      </c>
      <c r="G1253" s="11" t="s">
        <v>47</v>
      </c>
      <c r="H1253" s="7" t="s">
        <v>85</v>
      </c>
      <c r="I1253" s="11" t="s">
        <v>113</v>
      </c>
      <c r="J1253" s="11" t="s">
        <v>105</v>
      </c>
      <c r="K1253" s="98">
        <v>875</v>
      </c>
      <c r="L1253" s="12">
        <f t="shared" si="80"/>
        <v>525</v>
      </c>
      <c r="M1253" s="12">
        <f t="shared" si="81"/>
        <v>350</v>
      </c>
      <c r="N1253" s="12">
        <v>0</v>
      </c>
      <c r="O1253" s="12">
        <v>875</v>
      </c>
      <c r="P1253" s="29">
        <v>30</v>
      </c>
    </row>
    <row r="1254" spans="1:16" s="85" customFormat="1" ht="16.5" hidden="1" thickTop="1" thickBot="1" x14ac:dyDescent="0.3">
      <c r="A1254" s="74" t="s">
        <v>111</v>
      </c>
      <c r="B1254" s="25" t="s">
        <v>22</v>
      </c>
      <c r="C1254" s="8" t="s">
        <v>61</v>
      </c>
      <c r="D1254" s="7" t="s">
        <v>79</v>
      </c>
      <c r="E1254" s="9" t="s">
        <v>67</v>
      </c>
      <c r="F1254" s="10">
        <v>1</v>
      </c>
      <c r="G1254" s="11" t="s">
        <v>46</v>
      </c>
      <c r="H1254" s="7" t="s">
        <v>85</v>
      </c>
      <c r="I1254" s="11" t="s">
        <v>113</v>
      </c>
      <c r="J1254" s="11" t="s">
        <v>105</v>
      </c>
      <c r="K1254" s="12">
        <v>875</v>
      </c>
      <c r="L1254" s="12">
        <f t="shared" si="80"/>
        <v>525</v>
      </c>
      <c r="M1254" s="12">
        <f t="shared" si="81"/>
        <v>350</v>
      </c>
      <c r="N1254" s="12">
        <v>0</v>
      </c>
      <c r="O1254" s="12">
        <v>875</v>
      </c>
      <c r="P1254" s="29">
        <v>30</v>
      </c>
    </row>
    <row r="1255" spans="1:16" s="85" customFormat="1" ht="16.5" hidden="1" thickTop="1" thickBot="1" x14ac:dyDescent="0.3">
      <c r="A1255" s="74" t="s">
        <v>111</v>
      </c>
      <c r="B1255" s="25" t="s">
        <v>22</v>
      </c>
      <c r="C1255" s="8" t="s">
        <v>61</v>
      </c>
      <c r="D1255" s="7" t="s">
        <v>79</v>
      </c>
      <c r="E1255" s="9" t="s">
        <v>67</v>
      </c>
      <c r="F1255" s="10">
        <v>1</v>
      </c>
      <c r="G1255" s="11" t="s">
        <v>129</v>
      </c>
      <c r="H1255" s="7" t="s">
        <v>85</v>
      </c>
      <c r="I1255" s="11" t="s">
        <v>113</v>
      </c>
      <c r="J1255" s="11" t="s">
        <v>105</v>
      </c>
      <c r="K1255" s="12">
        <v>875</v>
      </c>
      <c r="L1255" s="12">
        <f t="shared" si="80"/>
        <v>525</v>
      </c>
      <c r="M1255" s="12">
        <f t="shared" si="81"/>
        <v>350</v>
      </c>
      <c r="N1255" s="12">
        <v>0</v>
      </c>
      <c r="O1255" s="12">
        <v>875</v>
      </c>
      <c r="P1255" s="29">
        <v>30</v>
      </c>
    </row>
    <row r="1256" spans="1:16" s="85" customFormat="1" ht="16.5" hidden="1" thickTop="1" thickBot="1" x14ac:dyDescent="0.3">
      <c r="A1256" s="74" t="s">
        <v>111</v>
      </c>
      <c r="B1256" s="25" t="s">
        <v>22</v>
      </c>
      <c r="C1256" s="8" t="s">
        <v>60</v>
      </c>
      <c r="D1256" s="7" t="s">
        <v>79</v>
      </c>
      <c r="E1256" s="9" t="s">
        <v>67</v>
      </c>
      <c r="F1256" s="10">
        <v>1</v>
      </c>
      <c r="G1256" s="11" t="s">
        <v>34</v>
      </c>
      <c r="H1256" s="7" t="s">
        <v>87</v>
      </c>
      <c r="I1256" s="11" t="s">
        <v>113</v>
      </c>
      <c r="J1256" s="11" t="s">
        <v>105</v>
      </c>
      <c r="K1256" s="12">
        <v>875</v>
      </c>
      <c r="L1256" s="12">
        <f t="shared" si="80"/>
        <v>525</v>
      </c>
      <c r="M1256" s="12">
        <f t="shared" si="81"/>
        <v>350</v>
      </c>
      <c r="N1256" s="12">
        <v>0</v>
      </c>
      <c r="O1256" s="12">
        <v>875</v>
      </c>
      <c r="P1256" s="29">
        <v>30</v>
      </c>
    </row>
    <row r="1257" spans="1:16" s="85" customFormat="1" ht="16.5" hidden="1" thickTop="1" thickBot="1" x14ac:dyDescent="0.3">
      <c r="A1257" s="74" t="s">
        <v>111</v>
      </c>
      <c r="B1257" s="25" t="s">
        <v>22</v>
      </c>
      <c r="C1257" s="8" t="s">
        <v>61</v>
      </c>
      <c r="D1257" s="7" t="s">
        <v>79</v>
      </c>
      <c r="E1257" s="9" t="s">
        <v>67</v>
      </c>
      <c r="F1257" s="10">
        <v>1</v>
      </c>
      <c r="G1257" s="11" t="s">
        <v>45</v>
      </c>
      <c r="H1257" s="7" t="s">
        <v>91</v>
      </c>
      <c r="I1257" s="11" t="s">
        <v>113</v>
      </c>
      <c r="J1257" s="11" t="s">
        <v>105</v>
      </c>
      <c r="K1257" s="12">
        <v>875</v>
      </c>
      <c r="L1257" s="12">
        <f t="shared" si="80"/>
        <v>525</v>
      </c>
      <c r="M1257" s="12">
        <f t="shared" si="81"/>
        <v>350</v>
      </c>
      <c r="N1257" s="12">
        <v>0</v>
      </c>
      <c r="O1257" s="12">
        <v>875</v>
      </c>
      <c r="P1257" s="29">
        <v>30</v>
      </c>
    </row>
    <row r="1258" spans="1:16" s="85" customFormat="1" ht="16.5" hidden="1" thickTop="1" thickBot="1" x14ac:dyDescent="0.3">
      <c r="A1258" s="74" t="s">
        <v>111</v>
      </c>
      <c r="B1258" s="25" t="s">
        <v>22</v>
      </c>
      <c r="C1258" s="8" t="s">
        <v>60</v>
      </c>
      <c r="D1258" s="7" t="s">
        <v>79</v>
      </c>
      <c r="E1258" s="9" t="s">
        <v>67</v>
      </c>
      <c r="F1258" s="10">
        <v>1</v>
      </c>
      <c r="G1258" s="11" t="s">
        <v>36</v>
      </c>
      <c r="H1258" s="7" t="s">
        <v>89</v>
      </c>
      <c r="I1258" s="11" t="s">
        <v>113</v>
      </c>
      <c r="J1258" s="11" t="s">
        <v>105</v>
      </c>
      <c r="K1258" s="12">
        <v>875</v>
      </c>
      <c r="L1258" s="12">
        <f t="shared" si="80"/>
        <v>525</v>
      </c>
      <c r="M1258" s="12">
        <f t="shared" si="81"/>
        <v>350</v>
      </c>
      <c r="N1258" s="12">
        <v>0</v>
      </c>
      <c r="O1258" s="12">
        <v>875</v>
      </c>
      <c r="P1258" s="29">
        <v>30</v>
      </c>
    </row>
    <row r="1259" spans="1:16" s="85" customFormat="1" ht="16.5" hidden="1" thickTop="1" thickBot="1" x14ac:dyDescent="0.3">
      <c r="A1259" s="74" t="s">
        <v>111</v>
      </c>
      <c r="B1259" s="25" t="s">
        <v>22</v>
      </c>
      <c r="C1259" s="8" t="s">
        <v>62</v>
      </c>
      <c r="D1259" s="7" t="s">
        <v>79</v>
      </c>
      <c r="E1259" s="9" t="s">
        <v>67</v>
      </c>
      <c r="F1259" s="10">
        <v>1</v>
      </c>
      <c r="G1259" s="11" t="s">
        <v>55</v>
      </c>
      <c r="H1259" s="7" t="s">
        <v>85</v>
      </c>
      <c r="I1259" s="11" t="s">
        <v>113</v>
      </c>
      <c r="J1259" s="11" t="s">
        <v>105</v>
      </c>
      <c r="K1259" s="12">
        <v>875</v>
      </c>
      <c r="L1259" s="12">
        <f t="shared" si="80"/>
        <v>525</v>
      </c>
      <c r="M1259" s="12">
        <f t="shared" si="81"/>
        <v>350</v>
      </c>
      <c r="N1259" s="12">
        <v>0</v>
      </c>
      <c r="O1259" s="12">
        <v>875</v>
      </c>
      <c r="P1259" s="29">
        <v>30</v>
      </c>
    </row>
    <row r="1260" spans="1:16" s="85" customFormat="1" ht="16.5" hidden="1" thickTop="1" thickBot="1" x14ac:dyDescent="0.3">
      <c r="A1260" s="74" t="s">
        <v>111</v>
      </c>
      <c r="B1260" s="25" t="s">
        <v>22</v>
      </c>
      <c r="C1260" s="8" t="s">
        <v>61</v>
      </c>
      <c r="D1260" s="7" t="s">
        <v>79</v>
      </c>
      <c r="E1260" s="9" t="s">
        <v>67</v>
      </c>
      <c r="F1260" s="10">
        <v>1</v>
      </c>
      <c r="G1260" s="11" t="s">
        <v>48</v>
      </c>
      <c r="H1260" s="7" t="s">
        <v>85</v>
      </c>
      <c r="I1260" s="11" t="s">
        <v>113</v>
      </c>
      <c r="J1260" s="11" t="s">
        <v>105</v>
      </c>
      <c r="K1260" s="12">
        <v>875</v>
      </c>
      <c r="L1260" s="12">
        <f t="shared" si="80"/>
        <v>525</v>
      </c>
      <c r="M1260" s="12">
        <f t="shared" si="81"/>
        <v>350</v>
      </c>
      <c r="N1260" s="12">
        <v>0</v>
      </c>
      <c r="O1260" s="12">
        <v>875</v>
      </c>
      <c r="P1260" s="29">
        <v>30</v>
      </c>
    </row>
    <row r="1261" spans="1:16" s="85" customFormat="1" ht="16.5" hidden="1" thickTop="1" thickBot="1" x14ac:dyDescent="0.3">
      <c r="A1261" s="74" t="s">
        <v>111</v>
      </c>
      <c r="B1261" s="25" t="s">
        <v>22</v>
      </c>
      <c r="C1261" s="8" t="s">
        <v>62</v>
      </c>
      <c r="D1261" s="7" t="s">
        <v>79</v>
      </c>
      <c r="E1261" s="9" t="s">
        <v>67</v>
      </c>
      <c r="F1261" s="10">
        <v>1</v>
      </c>
      <c r="G1261" s="11" t="s">
        <v>56</v>
      </c>
      <c r="H1261" s="7" t="s">
        <v>85</v>
      </c>
      <c r="I1261" s="11" t="s">
        <v>113</v>
      </c>
      <c r="J1261" s="11" t="s">
        <v>105</v>
      </c>
      <c r="K1261" s="12">
        <v>875</v>
      </c>
      <c r="L1261" s="12">
        <f t="shared" si="80"/>
        <v>525</v>
      </c>
      <c r="M1261" s="12">
        <f t="shared" si="81"/>
        <v>350</v>
      </c>
      <c r="N1261" s="12">
        <v>0</v>
      </c>
      <c r="O1261" s="12">
        <v>875</v>
      </c>
      <c r="P1261" s="29">
        <v>30</v>
      </c>
    </row>
    <row r="1262" spans="1:16" s="85" customFormat="1" ht="16.5" hidden="1" thickTop="1" thickBot="1" x14ac:dyDescent="0.3">
      <c r="A1262" s="74" t="s">
        <v>111</v>
      </c>
      <c r="B1262" s="25" t="s">
        <v>22</v>
      </c>
      <c r="C1262" s="8" t="s">
        <v>62</v>
      </c>
      <c r="D1262" s="7" t="s">
        <v>79</v>
      </c>
      <c r="E1262" s="9" t="s">
        <v>67</v>
      </c>
      <c r="F1262" s="10">
        <v>1</v>
      </c>
      <c r="G1262" s="11" t="s">
        <v>57</v>
      </c>
      <c r="H1262" s="7" t="s">
        <v>85</v>
      </c>
      <c r="I1262" s="11" t="s">
        <v>113</v>
      </c>
      <c r="J1262" s="11" t="s">
        <v>105</v>
      </c>
      <c r="K1262" s="12">
        <v>875</v>
      </c>
      <c r="L1262" s="12">
        <f t="shared" si="80"/>
        <v>525</v>
      </c>
      <c r="M1262" s="12">
        <f t="shared" si="81"/>
        <v>350</v>
      </c>
      <c r="N1262" s="12">
        <v>0</v>
      </c>
      <c r="O1262" s="12">
        <v>875</v>
      </c>
      <c r="P1262" s="29">
        <v>30</v>
      </c>
    </row>
    <row r="1263" spans="1:16" s="85" customFormat="1" ht="16.5" thickTop="1" thickBot="1" x14ac:dyDescent="0.3">
      <c r="A1263" s="74" t="s">
        <v>111</v>
      </c>
      <c r="B1263" s="25" t="s">
        <v>22</v>
      </c>
      <c r="C1263" s="8" t="s">
        <v>62</v>
      </c>
      <c r="D1263" s="7" t="s">
        <v>79</v>
      </c>
      <c r="E1263" s="9" t="s">
        <v>68</v>
      </c>
      <c r="F1263" s="10">
        <v>1</v>
      </c>
      <c r="G1263" s="11" t="s">
        <v>58</v>
      </c>
      <c r="H1263" s="7" t="s">
        <v>85</v>
      </c>
      <c r="I1263" s="11" t="s">
        <v>113</v>
      </c>
      <c r="J1263" s="11" t="s">
        <v>105</v>
      </c>
      <c r="K1263" s="12">
        <v>875</v>
      </c>
      <c r="L1263" s="12">
        <v>525</v>
      </c>
      <c r="M1263" s="12">
        <v>350</v>
      </c>
      <c r="N1263" s="12">
        <v>0</v>
      </c>
      <c r="O1263" s="12">
        <v>875</v>
      </c>
      <c r="P1263" s="29">
        <v>30</v>
      </c>
    </row>
    <row r="1264" spans="1:16" s="85" customFormat="1" ht="16.5" thickTop="1" thickBot="1" x14ac:dyDescent="0.3">
      <c r="A1264" s="74" t="s">
        <v>111</v>
      </c>
      <c r="B1264" s="25" t="s">
        <v>22</v>
      </c>
      <c r="C1264" s="8" t="s">
        <v>61</v>
      </c>
      <c r="D1264" s="7" t="s">
        <v>79</v>
      </c>
      <c r="E1264" s="9" t="s">
        <v>68</v>
      </c>
      <c r="F1264" s="10">
        <v>1</v>
      </c>
      <c r="G1264" s="11" t="s">
        <v>132</v>
      </c>
      <c r="H1264" s="7" t="s">
        <v>88</v>
      </c>
      <c r="I1264" s="11" t="s">
        <v>113</v>
      </c>
      <c r="J1264" s="11" t="s">
        <v>105</v>
      </c>
      <c r="K1264" s="98">
        <v>875</v>
      </c>
      <c r="L1264" s="70">
        <v>525</v>
      </c>
      <c r="M1264" s="12">
        <v>350</v>
      </c>
      <c r="N1264" s="12">
        <v>0</v>
      </c>
      <c r="O1264" s="12">
        <v>875</v>
      </c>
      <c r="P1264" s="29">
        <v>30</v>
      </c>
    </row>
    <row r="1265" spans="1:16" s="85" customFormat="1" ht="16.5" thickTop="1" thickBot="1" x14ac:dyDescent="0.3">
      <c r="A1265" s="74" t="s">
        <v>111</v>
      </c>
      <c r="B1265" s="25" t="s">
        <v>22</v>
      </c>
      <c r="C1265" s="8" t="s">
        <v>61</v>
      </c>
      <c r="D1265" s="7" t="s">
        <v>79</v>
      </c>
      <c r="E1265" s="9" t="s">
        <v>68</v>
      </c>
      <c r="F1265" s="10">
        <v>1</v>
      </c>
      <c r="G1265" s="11" t="s">
        <v>47</v>
      </c>
      <c r="H1265" s="7" t="s">
        <v>85</v>
      </c>
      <c r="I1265" s="11" t="s">
        <v>113</v>
      </c>
      <c r="J1265" s="11" t="s">
        <v>105</v>
      </c>
      <c r="K1265" s="98">
        <v>875</v>
      </c>
      <c r="L1265" s="70">
        <v>525</v>
      </c>
      <c r="M1265" s="12">
        <v>350</v>
      </c>
      <c r="N1265" s="12">
        <v>0</v>
      </c>
      <c r="O1265" s="12">
        <v>875</v>
      </c>
      <c r="P1265" s="29">
        <v>30</v>
      </c>
    </row>
    <row r="1266" spans="1:16" s="85" customFormat="1" ht="16.5" thickTop="1" thickBot="1" x14ac:dyDescent="0.3">
      <c r="A1266" s="74" t="s">
        <v>111</v>
      </c>
      <c r="B1266" s="25" t="s">
        <v>22</v>
      </c>
      <c r="C1266" s="8" t="s">
        <v>61</v>
      </c>
      <c r="D1266" s="7" t="s">
        <v>79</v>
      </c>
      <c r="E1266" s="9" t="s">
        <v>68</v>
      </c>
      <c r="F1266" s="10">
        <v>1</v>
      </c>
      <c r="G1266" s="11" t="s">
        <v>46</v>
      </c>
      <c r="H1266" s="7" t="s">
        <v>85</v>
      </c>
      <c r="I1266" s="11" t="s">
        <v>113</v>
      </c>
      <c r="J1266" s="11" t="s">
        <v>105</v>
      </c>
      <c r="K1266" s="12">
        <v>875</v>
      </c>
      <c r="L1266" s="70">
        <v>525</v>
      </c>
      <c r="M1266" s="12">
        <v>350</v>
      </c>
      <c r="N1266" s="12">
        <v>0</v>
      </c>
      <c r="O1266" s="12">
        <v>875</v>
      </c>
      <c r="P1266" s="29">
        <v>30</v>
      </c>
    </row>
    <row r="1267" spans="1:16" s="85" customFormat="1" ht="16.5" thickTop="1" thickBot="1" x14ac:dyDescent="0.3">
      <c r="A1267" s="74" t="s">
        <v>111</v>
      </c>
      <c r="B1267" s="25" t="s">
        <v>22</v>
      </c>
      <c r="C1267" s="8" t="s">
        <v>61</v>
      </c>
      <c r="D1267" s="7" t="s">
        <v>79</v>
      </c>
      <c r="E1267" s="9" t="s">
        <v>68</v>
      </c>
      <c r="F1267" s="10">
        <v>1</v>
      </c>
      <c r="G1267" s="11" t="s">
        <v>129</v>
      </c>
      <c r="H1267" s="7" t="s">
        <v>85</v>
      </c>
      <c r="I1267" s="11" t="s">
        <v>113</v>
      </c>
      <c r="J1267" s="11" t="s">
        <v>105</v>
      </c>
      <c r="K1267" s="12">
        <v>875</v>
      </c>
      <c r="L1267" s="70">
        <v>525</v>
      </c>
      <c r="M1267" s="12">
        <v>350</v>
      </c>
      <c r="N1267" s="12">
        <v>0</v>
      </c>
      <c r="O1267" s="12">
        <v>875</v>
      </c>
      <c r="P1267" s="29">
        <v>30</v>
      </c>
    </row>
    <row r="1268" spans="1:16" s="85" customFormat="1" ht="16.5" thickTop="1" thickBot="1" x14ac:dyDescent="0.3">
      <c r="A1268" s="74" t="s">
        <v>111</v>
      </c>
      <c r="B1268" s="25" t="s">
        <v>22</v>
      </c>
      <c r="C1268" s="8" t="s">
        <v>60</v>
      </c>
      <c r="D1268" s="7" t="s">
        <v>79</v>
      </c>
      <c r="E1268" s="9" t="s">
        <v>68</v>
      </c>
      <c r="F1268" s="10">
        <v>1</v>
      </c>
      <c r="G1268" s="11" t="s">
        <v>34</v>
      </c>
      <c r="H1268" s="7" t="s">
        <v>87</v>
      </c>
      <c r="I1268" s="11" t="s">
        <v>113</v>
      </c>
      <c r="J1268" s="11" t="s">
        <v>105</v>
      </c>
      <c r="K1268" s="12">
        <v>875</v>
      </c>
      <c r="L1268" s="12">
        <v>525</v>
      </c>
      <c r="M1268" s="12">
        <v>350</v>
      </c>
      <c r="N1268" s="12">
        <v>0</v>
      </c>
      <c r="O1268" s="12">
        <v>875</v>
      </c>
      <c r="P1268" s="29">
        <v>30</v>
      </c>
    </row>
    <row r="1269" spans="1:16" s="85" customFormat="1" ht="16.5" thickTop="1" thickBot="1" x14ac:dyDescent="0.3">
      <c r="A1269" s="74" t="s">
        <v>111</v>
      </c>
      <c r="B1269" s="25" t="s">
        <v>22</v>
      </c>
      <c r="C1269" s="8" t="s">
        <v>61</v>
      </c>
      <c r="D1269" s="7" t="s">
        <v>79</v>
      </c>
      <c r="E1269" s="9" t="s">
        <v>68</v>
      </c>
      <c r="F1269" s="10">
        <v>1</v>
      </c>
      <c r="G1269" s="11" t="s">
        <v>45</v>
      </c>
      <c r="H1269" s="7" t="s">
        <v>91</v>
      </c>
      <c r="I1269" s="11" t="s">
        <v>113</v>
      </c>
      <c r="J1269" s="11" t="s">
        <v>105</v>
      </c>
      <c r="K1269" s="12">
        <v>875</v>
      </c>
      <c r="L1269" s="70">
        <v>525</v>
      </c>
      <c r="M1269" s="12">
        <v>350</v>
      </c>
      <c r="N1269" s="12">
        <v>0</v>
      </c>
      <c r="O1269" s="12">
        <v>875</v>
      </c>
      <c r="P1269" s="29">
        <v>30</v>
      </c>
    </row>
    <row r="1270" spans="1:16" s="85" customFormat="1" ht="16.5" thickTop="1" thickBot="1" x14ac:dyDescent="0.3">
      <c r="A1270" s="74" t="s">
        <v>111</v>
      </c>
      <c r="B1270" s="25" t="s">
        <v>22</v>
      </c>
      <c r="C1270" s="8" t="s">
        <v>60</v>
      </c>
      <c r="D1270" s="7" t="s">
        <v>79</v>
      </c>
      <c r="E1270" s="9" t="s">
        <v>68</v>
      </c>
      <c r="F1270" s="10">
        <v>1</v>
      </c>
      <c r="G1270" s="11" t="s">
        <v>36</v>
      </c>
      <c r="H1270" s="7" t="s">
        <v>89</v>
      </c>
      <c r="I1270" s="11" t="s">
        <v>113</v>
      </c>
      <c r="J1270" s="11" t="s">
        <v>105</v>
      </c>
      <c r="K1270" s="12">
        <v>875</v>
      </c>
      <c r="L1270" s="12">
        <v>525</v>
      </c>
      <c r="M1270" s="12">
        <v>350</v>
      </c>
      <c r="N1270" s="12">
        <v>0</v>
      </c>
      <c r="O1270" s="12">
        <v>875</v>
      </c>
      <c r="P1270" s="29">
        <v>30</v>
      </c>
    </row>
    <row r="1271" spans="1:16" s="85" customFormat="1" ht="16.5" thickTop="1" thickBot="1" x14ac:dyDescent="0.3">
      <c r="A1271" s="74" t="s">
        <v>111</v>
      </c>
      <c r="B1271" s="25" t="s">
        <v>22</v>
      </c>
      <c r="C1271" s="8" t="s">
        <v>62</v>
      </c>
      <c r="D1271" s="7" t="s">
        <v>79</v>
      </c>
      <c r="E1271" s="9" t="s">
        <v>68</v>
      </c>
      <c r="F1271" s="10">
        <v>1</v>
      </c>
      <c r="G1271" s="11" t="s">
        <v>55</v>
      </c>
      <c r="H1271" s="7" t="s">
        <v>85</v>
      </c>
      <c r="I1271" s="11" t="s">
        <v>113</v>
      </c>
      <c r="J1271" s="11" t="s">
        <v>105</v>
      </c>
      <c r="K1271" s="12">
        <v>875</v>
      </c>
      <c r="L1271" s="12">
        <v>525</v>
      </c>
      <c r="M1271" s="12">
        <v>350</v>
      </c>
      <c r="N1271" s="12">
        <v>0</v>
      </c>
      <c r="O1271" s="12">
        <v>875</v>
      </c>
      <c r="P1271" s="29">
        <v>30</v>
      </c>
    </row>
    <row r="1272" spans="1:16" s="85" customFormat="1" ht="16.5" thickTop="1" thickBot="1" x14ac:dyDescent="0.3">
      <c r="A1272" s="74" t="s">
        <v>111</v>
      </c>
      <c r="B1272" s="25" t="s">
        <v>22</v>
      </c>
      <c r="C1272" s="8" t="s">
        <v>61</v>
      </c>
      <c r="D1272" s="7" t="s">
        <v>79</v>
      </c>
      <c r="E1272" s="9" t="s">
        <v>68</v>
      </c>
      <c r="F1272" s="10">
        <v>1</v>
      </c>
      <c r="G1272" s="11" t="s">
        <v>48</v>
      </c>
      <c r="H1272" s="7" t="s">
        <v>85</v>
      </c>
      <c r="I1272" s="11" t="s">
        <v>113</v>
      </c>
      <c r="J1272" s="11" t="s">
        <v>105</v>
      </c>
      <c r="K1272" s="12">
        <v>875</v>
      </c>
      <c r="L1272" s="70">
        <v>525</v>
      </c>
      <c r="M1272" s="12">
        <v>350</v>
      </c>
      <c r="N1272" s="12">
        <v>0</v>
      </c>
      <c r="O1272" s="12">
        <v>875</v>
      </c>
      <c r="P1272" s="29">
        <v>30</v>
      </c>
    </row>
    <row r="1273" spans="1:16" s="85" customFormat="1" ht="16.5" thickTop="1" thickBot="1" x14ac:dyDescent="0.3">
      <c r="A1273" s="74" t="s">
        <v>111</v>
      </c>
      <c r="B1273" s="25" t="s">
        <v>22</v>
      </c>
      <c r="C1273" s="8" t="s">
        <v>62</v>
      </c>
      <c r="D1273" s="7" t="s">
        <v>79</v>
      </c>
      <c r="E1273" s="9" t="s">
        <v>68</v>
      </c>
      <c r="F1273" s="10">
        <v>1</v>
      </c>
      <c r="G1273" s="11" t="s">
        <v>56</v>
      </c>
      <c r="H1273" s="7" t="s">
        <v>85</v>
      </c>
      <c r="I1273" s="11" t="s">
        <v>113</v>
      </c>
      <c r="J1273" s="11" t="s">
        <v>105</v>
      </c>
      <c r="K1273" s="12">
        <v>875</v>
      </c>
      <c r="L1273" s="12">
        <v>525</v>
      </c>
      <c r="M1273" s="12">
        <v>350</v>
      </c>
      <c r="N1273" s="12">
        <v>0</v>
      </c>
      <c r="O1273" s="12">
        <v>875</v>
      </c>
      <c r="P1273" s="29">
        <v>30</v>
      </c>
    </row>
    <row r="1274" spans="1:16" s="85" customFormat="1" ht="16.5" thickTop="1" thickBot="1" x14ac:dyDescent="0.3">
      <c r="A1274" s="74" t="s">
        <v>111</v>
      </c>
      <c r="B1274" s="25" t="s">
        <v>22</v>
      </c>
      <c r="C1274" s="8" t="s">
        <v>62</v>
      </c>
      <c r="D1274" s="7" t="s">
        <v>79</v>
      </c>
      <c r="E1274" s="9" t="s">
        <v>68</v>
      </c>
      <c r="F1274" s="10">
        <v>1</v>
      </c>
      <c r="G1274" s="11" t="s">
        <v>57</v>
      </c>
      <c r="H1274" s="7" t="s">
        <v>85</v>
      </c>
      <c r="I1274" s="11" t="s">
        <v>113</v>
      </c>
      <c r="J1274" s="11" t="s">
        <v>105</v>
      </c>
      <c r="K1274" s="12">
        <v>875</v>
      </c>
      <c r="L1274" s="12">
        <v>525</v>
      </c>
      <c r="M1274" s="12">
        <v>350</v>
      </c>
      <c r="N1274" s="12">
        <v>0</v>
      </c>
      <c r="O1274" s="12">
        <v>875</v>
      </c>
      <c r="P1274" s="29">
        <v>30</v>
      </c>
    </row>
    <row r="1275" spans="1:16" s="85" customFormat="1" ht="16.5" hidden="1" thickTop="1" thickBot="1" x14ac:dyDescent="0.3">
      <c r="A1275" s="74" t="s">
        <v>111</v>
      </c>
      <c r="B1275" s="25" t="s">
        <v>22</v>
      </c>
      <c r="C1275" s="8" t="s">
        <v>62</v>
      </c>
      <c r="D1275" s="7" t="s">
        <v>79</v>
      </c>
      <c r="E1275" s="9" t="s">
        <v>69</v>
      </c>
      <c r="F1275" s="10">
        <v>1</v>
      </c>
      <c r="G1275" s="11" t="s">
        <v>58</v>
      </c>
      <c r="H1275" s="7" t="s">
        <v>85</v>
      </c>
      <c r="I1275" s="11" t="s">
        <v>113</v>
      </c>
      <c r="J1275" s="11" t="s">
        <v>105</v>
      </c>
      <c r="K1275" s="12">
        <v>875</v>
      </c>
      <c r="L1275" s="12">
        <v>525</v>
      </c>
      <c r="M1275" s="12">
        <v>350</v>
      </c>
      <c r="N1275" s="12">
        <v>0</v>
      </c>
      <c r="O1275" s="12">
        <v>875</v>
      </c>
      <c r="P1275" s="29">
        <v>30</v>
      </c>
    </row>
    <row r="1276" spans="1:16" s="85" customFormat="1" ht="16.5" hidden="1" thickTop="1" thickBot="1" x14ac:dyDescent="0.3">
      <c r="A1276" s="74" t="s">
        <v>111</v>
      </c>
      <c r="B1276" s="25" t="s">
        <v>22</v>
      </c>
      <c r="C1276" s="8" t="s">
        <v>61</v>
      </c>
      <c r="D1276" s="7" t="s">
        <v>79</v>
      </c>
      <c r="E1276" s="9" t="s">
        <v>69</v>
      </c>
      <c r="F1276" s="10">
        <v>1</v>
      </c>
      <c r="G1276" s="11" t="s">
        <v>132</v>
      </c>
      <c r="H1276" s="7" t="s">
        <v>88</v>
      </c>
      <c r="I1276" s="11" t="s">
        <v>113</v>
      </c>
      <c r="J1276" s="11" t="s">
        <v>105</v>
      </c>
      <c r="K1276" s="98">
        <v>875</v>
      </c>
      <c r="L1276" s="70">
        <v>525</v>
      </c>
      <c r="M1276" s="12">
        <v>350</v>
      </c>
      <c r="N1276" s="12">
        <v>0</v>
      </c>
      <c r="O1276" s="12">
        <v>875</v>
      </c>
      <c r="P1276" s="29">
        <v>30</v>
      </c>
    </row>
    <row r="1277" spans="1:16" s="85" customFormat="1" ht="16.5" hidden="1" thickTop="1" thickBot="1" x14ac:dyDescent="0.3">
      <c r="A1277" s="74" t="s">
        <v>111</v>
      </c>
      <c r="B1277" s="25" t="s">
        <v>22</v>
      </c>
      <c r="C1277" s="8" t="s">
        <v>61</v>
      </c>
      <c r="D1277" s="7" t="s">
        <v>79</v>
      </c>
      <c r="E1277" s="9" t="s">
        <v>69</v>
      </c>
      <c r="F1277" s="10">
        <v>1</v>
      </c>
      <c r="G1277" s="11" t="s">
        <v>47</v>
      </c>
      <c r="H1277" s="7" t="s">
        <v>85</v>
      </c>
      <c r="I1277" s="11" t="s">
        <v>113</v>
      </c>
      <c r="J1277" s="11" t="s">
        <v>105</v>
      </c>
      <c r="K1277" s="98">
        <v>875</v>
      </c>
      <c r="L1277" s="70">
        <v>525</v>
      </c>
      <c r="M1277" s="12">
        <v>350</v>
      </c>
      <c r="N1277" s="12">
        <v>0</v>
      </c>
      <c r="O1277" s="12">
        <v>875</v>
      </c>
      <c r="P1277" s="29">
        <v>30</v>
      </c>
    </row>
    <row r="1278" spans="1:16" s="85" customFormat="1" ht="16.5" hidden="1" thickTop="1" thickBot="1" x14ac:dyDescent="0.3">
      <c r="A1278" s="74" t="s">
        <v>111</v>
      </c>
      <c r="B1278" s="25" t="s">
        <v>22</v>
      </c>
      <c r="C1278" s="8" t="s">
        <v>61</v>
      </c>
      <c r="D1278" s="7" t="s">
        <v>79</v>
      </c>
      <c r="E1278" s="9" t="s">
        <v>69</v>
      </c>
      <c r="F1278" s="10">
        <v>1</v>
      </c>
      <c r="G1278" s="11" t="s">
        <v>46</v>
      </c>
      <c r="H1278" s="7" t="s">
        <v>85</v>
      </c>
      <c r="I1278" s="11" t="s">
        <v>113</v>
      </c>
      <c r="J1278" s="11" t="s">
        <v>105</v>
      </c>
      <c r="K1278" s="12">
        <v>875</v>
      </c>
      <c r="L1278" s="70">
        <v>525</v>
      </c>
      <c r="M1278" s="12">
        <v>350</v>
      </c>
      <c r="N1278" s="12">
        <v>0</v>
      </c>
      <c r="O1278" s="12">
        <v>875</v>
      </c>
      <c r="P1278" s="29">
        <v>30</v>
      </c>
    </row>
    <row r="1279" spans="1:16" s="85" customFormat="1" ht="16.5" hidden="1" thickTop="1" thickBot="1" x14ac:dyDescent="0.3">
      <c r="A1279" s="74" t="s">
        <v>111</v>
      </c>
      <c r="B1279" s="25" t="s">
        <v>22</v>
      </c>
      <c r="C1279" s="8" t="s">
        <v>61</v>
      </c>
      <c r="D1279" s="7" t="s">
        <v>79</v>
      </c>
      <c r="E1279" s="9" t="s">
        <v>69</v>
      </c>
      <c r="F1279" s="10">
        <v>1</v>
      </c>
      <c r="G1279" s="11" t="s">
        <v>129</v>
      </c>
      <c r="H1279" s="7" t="s">
        <v>85</v>
      </c>
      <c r="I1279" s="11" t="s">
        <v>113</v>
      </c>
      <c r="J1279" s="11" t="s">
        <v>105</v>
      </c>
      <c r="K1279" s="12">
        <v>875</v>
      </c>
      <c r="L1279" s="70">
        <v>525</v>
      </c>
      <c r="M1279" s="12">
        <v>350</v>
      </c>
      <c r="N1279" s="12">
        <v>0</v>
      </c>
      <c r="O1279" s="12">
        <v>875</v>
      </c>
      <c r="P1279" s="29">
        <v>30</v>
      </c>
    </row>
    <row r="1280" spans="1:16" s="85" customFormat="1" ht="16.5" hidden="1" thickTop="1" thickBot="1" x14ac:dyDescent="0.3">
      <c r="A1280" s="74" t="s">
        <v>111</v>
      </c>
      <c r="B1280" s="25" t="s">
        <v>22</v>
      </c>
      <c r="C1280" s="8" t="s">
        <v>60</v>
      </c>
      <c r="D1280" s="7" t="s">
        <v>79</v>
      </c>
      <c r="E1280" s="9" t="s">
        <v>69</v>
      </c>
      <c r="F1280" s="10">
        <v>1</v>
      </c>
      <c r="G1280" s="11" t="s">
        <v>34</v>
      </c>
      <c r="H1280" s="7" t="s">
        <v>87</v>
      </c>
      <c r="I1280" s="11" t="s">
        <v>113</v>
      </c>
      <c r="J1280" s="11" t="s">
        <v>105</v>
      </c>
      <c r="K1280" s="12">
        <v>875</v>
      </c>
      <c r="L1280" s="12">
        <v>525</v>
      </c>
      <c r="M1280" s="12">
        <v>350</v>
      </c>
      <c r="N1280" s="12">
        <v>0</v>
      </c>
      <c r="O1280" s="12">
        <v>875</v>
      </c>
      <c r="P1280" s="29">
        <v>30</v>
      </c>
    </row>
    <row r="1281" spans="1:16" s="85" customFormat="1" ht="16.5" hidden="1" thickTop="1" thickBot="1" x14ac:dyDescent="0.3">
      <c r="A1281" s="74" t="s">
        <v>111</v>
      </c>
      <c r="B1281" s="25" t="s">
        <v>22</v>
      </c>
      <c r="C1281" s="8" t="s">
        <v>61</v>
      </c>
      <c r="D1281" s="7" t="s">
        <v>79</v>
      </c>
      <c r="E1281" s="9" t="s">
        <v>69</v>
      </c>
      <c r="F1281" s="10">
        <v>1</v>
      </c>
      <c r="G1281" s="11" t="s">
        <v>45</v>
      </c>
      <c r="H1281" s="7" t="s">
        <v>91</v>
      </c>
      <c r="I1281" s="11" t="s">
        <v>113</v>
      </c>
      <c r="J1281" s="11" t="s">
        <v>105</v>
      </c>
      <c r="K1281" s="12">
        <v>875</v>
      </c>
      <c r="L1281" s="70">
        <v>525</v>
      </c>
      <c r="M1281" s="12">
        <v>350</v>
      </c>
      <c r="N1281" s="12">
        <v>0</v>
      </c>
      <c r="O1281" s="12">
        <v>875</v>
      </c>
      <c r="P1281" s="29">
        <v>30</v>
      </c>
    </row>
    <row r="1282" spans="1:16" s="85" customFormat="1" ht="16.5" hidden="1" thickTop="1" thickBot="1" x14ac:dyDescent="0.3">
      <c r="A1282" s="74" t="s">
        <v>111</v>
      </c>
      <c r="B1282" s="25" t="s">
        <v>22</v>
      </c>
      <c r="C1282" s="8" t="s">
        <v>60</v>
      </c>
      <c r="D1282" s="7" t="s">
        <v>79</v>
      </c>
      <c r="E1282" s="9" t="s">
        <v>69</v>
      </c>
      <c r="F1282" s="10">
        <v>1</v>
      </c>
      <c r="G1282" s="11" t="s">
        <v>36</v>
      </c>
      <c r="H1282" s="7" t="s">
        <v>89</v>
      </c>
      <c r="I1282" s="11" t="s">
        <v>113</v>
      </c>
      <c r="J1282" s="11" t="s">
        <v>105</v>
      </c>
      <c r="K1282" s="12">
        <v>875</v>
      </c>
      <c r="L1282" s="12">
        <v>525</v>
      </c>
      <c r="M1282" s="12">
        <v>350</v>
      </c>
      <c r="N1282" s="12">
        <v>0</v>
      </c>
      <c r="O1282" s="12">
        <v>875</v>
      </c>
      <c r="P1282" s="29">
        <v>30</v>
      </c>
    </row>
    <row r="1283" spans="1:16" s="85" customFormat="1" ht="16.5" hidden="1" thickTop="1" thickBot="1" x14ac:dyDescent="0.3">
      <c r="A1283" s="74" t="s">
        <v>111</v>
      </c>
      <c r="B1283" s="25" t="s">
        <v>22</v>
      </c>
      <c r="C1283" s="8" t="s">
        <v>62</v>
      </c>
      <c r="D1283" s="7" t="s">
        <v>79</v>
      </c>
      <c r="E1283" s="9" t="s">
        <v>69</v>
      </c>
      <c r="F1283" s="10">
        <v>1</v>
      </c>
      <c r="G1283" s="11" t="s">
        <v>55</v>
      </c>
      <c r="H1283" s="7" t="s">
        <v>85</v>
      </c>
      <c r="I1283" s="11" t="s">
        <v>113</v>
      </c>
      <c r="J1283" s="11" t="s">
        <v>105</v>
      </c>
      <c r="K1283" s="12">
        <v>875</v>
      </c>
      <c r="L1283" s="12">
        <v>525</v>
      </c>
      <c r="M1283" s="12">
        <v>350</v>
      </c>
      <c r="N1283" s="12">
        <v>0</v>
      </c>
      <c r="O1283" s="12">
        <v>875</v>
      </c>
      <c r="P1283" s="29">
        <v>30</v>
      </c>
    </row>
    <row r="1284" spans="1:16" s="85" customFormat="1" ht="16.5" hidden="1" thickTop="1" thickBot="1" x14ac:dyDescent="0.3">
      <c r="A1284" s="74" t="s">
        <v>111</v>
      </c>
      <c r="B1284" s="25" t="s">
        <v>22</v>
      </c>
      <c r="C1284" s="8" t="s">
        <v>61</v>
      </c>
      <c r="D1284" s="7" t="s">
        <v>79</v>
      </c>
      <c r="E1284" s="9" t="s">
        <v>69</v>
      </c>
      <c r="F1284" s="10">
        <v>1</v>
      </c>
      <c r="G1284" s="11" t="s">
        <v>48</v>
      </c>
      <c r="H1284" s="7" t="s">
        <v>85</v>
      </c>
      <c r="I1284" s="11" t="s">
        <v>113</v>
      </c>
      <c r="J1284" s="11" t="s">
        <v>105</v>
      </c>
      <c r="K1284" s="12">
        <v>875</v>
      </c>
      <c r="L1284" s="70">
        <v>525</v>
      </c>
      <c r="M1284" s="12">
        <v>350</v>
      </c>
      <c r="N1284" s="12">
        <v>0</v>
      </c>
      <c r="O1284" s="12">
        <v>875</v>
      </c>
      <c r="P1284" s="29">
        <v>30</v>
      </c>
    </row>
    <row r="1285" spans="1:16" s="85" customFormat="1" ht="16.5" hidden="1" thickTop="1" thickBot="1" x14ac:dyDescent="0.3">
      <c r="A1285" s="74" t="s">
        <v>111</v>
      </c>
      <c r="B1285" s="25" t="s">
        <v>22</v>
      </c>
      <c r="C1285" s="8" t="s">
        <v>62</v>
      </c>
      <c r="D1285" s="7" t="s">
        <v>79</v>
      </c>
      <c r="E1285" s="9" t="s">
        <v>69</v>
      </c>
      <c r="F1285" s="10">
        <v>1</v>
      </c>
      <c r="G1285" s="11" t="s">
        <v>56</v>
      </c>
      <c r="H1285" s="7" t="s">
        <v>85</v>
      </c>
      <c r="I1285" s="11" t="s">
        <v>113</v>
      </c>
      <c r="J1285" s="11" t="s">
        <v>105</v>
      </c>
      <c r="K1285" s="12">
        <v>875</v>
      </c>
      <c r="L1285" s="12">
        <v>525</v>
      </c>
      <c r="M1285" s="12">
        <v>350</v>
      </c>
      <c r="N1285" s="12">
        <v>0</v>
      </c>
      <c r="O1285" s="12">
        <v>875</v>
      </c>
      <c r="P1285" s="29">
        <v>30</v>
      </c>
    </row>
    <row r="1286" spans="1:16" s="85" customFormat="1" ht="16.5" hidden="1" thickTop="1" thickBot="1" x14ac:dyDescent="0.3">
      <c r="A1286" s="74" t="s">
        <v>111</v>
      </c>
      <c r="B1286" s="25" t="s">
        <v>22</v>
      </c>
      <c r="C1286" s="8" t="s">
        <v>62</v>
      </c>
      <c r="D1286" s="7" t="s">
        <v>79</v>
      </c>
      <c r="E1286" s="9" t="s">
        <v>69</v>
      </c>
      <c r="F1286" s="10">
        <v>1</v>
      </c>
      <c r="G1286" s="11" t="s">
        <v>57</v>
      </c>
      <c r="H1286" s="7" t="s">
        <v>85</v>
      </c>
      <c r="I1286" s="11" t="s">
        <v>113</v>
      </c>
      <c r="J1286" s="11" t="s">
        <v>105</v>
      </c>
      <c r="K1286" s="12">
        <v>875</v>
      </c>
      <c r="L1286" s="12">
        <v>525</v>
      </c>
      <c r="M1286" s="12">
        <v>350</v>
      </c>
      <c r="N1286" s="12">
        <v>0</v>
      </c>
      <c r="O1286" s="12">
        <v>875</v>
      </c>
      <c r="P1286" s="29">
        <v>30</v>
      </c>
    </row>
    <row r="1287" spans="1:16" s="85" customFormat="1" ht="16.5" hidden="1" thickTop="1" thickBot="1" x14ac:dyDescent="0.3">
      <c r="A1287" s="74" t="s">
        <v>111</v>
      </c>
      <c r="B1287" s="25" t="s">
        <v>22</v>
      </c>
      <c r="C1287" s="8" t="s">
        <v>62</v>
      </c>
      <c r="D1287" s="7" t="s">
        <v>79</v>
      </c>
      <c r="E1287" s="9" t="s">
        <v>70</v>
      </c>
      <c r="F1287" s="10">
        <v>1</v>
      </c>
      <c r="G1287" s="11" t="s">
        <v>58</v>
      </c>
      <c r="H1287" s="7" t="s">
        <v>85</v>
      </c>
      <c r="I1287" s="11" t="s">
        <v>113</v>
      </c>
      <c r="J1287" s="11" t="s">
        <v>105</v>
      </c>
      <c r="K1287" s="12">
        <v>875</v>
      </c>
      <c r="L1287" s="12">
        <v>525</v>
      </c>
      <c r="M1287" s="12">
        <v>350</v>
      </c>
      <c r="N1287" s="12">
        <v>0</v>
      </c>
      <c r="O1287" s="12">
        <v>875</v>
      </c>
      <c r="P1287" s="29">
        <v>30</v>
      </c>
    </row>
    <row r="1288" spans="1:16" s="85" customFormat="1" ht="16.5" hidden="1" thickTop="1" thickBot="1" x14ac:dyDescent="0.3">
      <c r="A1288" s="74" t="s">
        <v>111</v>
      </c>
      <c r="B1288" s="25" t="s">
        <v>22</v>
      </c>
      <c r="C1288" s="8" t="s">
        <v>61</v>
      </c>
      <c r="D1288" s="7" t="s">
        <v>79</v>
      </c>
      <c r="E1288" s="9" t="s">
        <v>70</v>
      </c>
      <c r="F1288" s="10">
        <v>1</v>
      </c>
      <c r="G1288" s="11" t="s">
        <v>132</v>
      </c>
      <c r="H1288" s="7" t="s">
        <v>88</v>
      </c>
      <c r="I1288" s="11" t="s">
        <v>113</v>
      </c>
      <c r="J1288" s="11" t="s">
        <v>105</v>
      </c>
      <c r="K1288" s="98">
        <v>875</v>
      </c>
      <c r="L1288" s="70">
        <v>525</v>
      </c>
      <c r="M1288" s="12">
        <v>350</v>
      </c>
      <c r="N1288" s="12">
        <v>0</v>
      </c>
      <c r="O1288" s="12">
        <v>875</v>
      </c>
      <c r="P1288" s="29">
        <v>30</v>
      </c>
    </row>
    <row r="1289" spans="1:16" s="85" customFormat="1" ht="16.5" hidden="1" thickTop="1" thickBot="1" x14ac:dyDescent="0.3">
      <c r="A1289" s="74" t="s">
        <v>111</v>
      </c>
      <c r="B1289" s="25" t="s">
        <v>22</v>
      </c>
      <c r="C1289" s="8" t="s">
        <v>61</v>
      </c>
      <c r="D1289" s="7" t="s">
        <v>79</v>
      </c>
      <c r="E1289" s="9" t="s">
        <v>70</v>
      </c>
      <c r="F1289" s="10">
        <v>1</v>
      </c>
      <c r="G1289" s="11" t="s">
        <v>47</v>
      </c>
      <c r="H1289" s="7" t="s">
        <v>85</v>
      </c>
      <c r="I1289" s="11" t="s">
        <v>113</v>
      </c>
      <c r="J1289" s="11" t="s">
        <v>105</v>
      </c>
      <c r="K1289" s="98">
        <v>875</v>
      </c>
      <c r="L1289" s="70">
        <v>525</v>
      </c>
      <c r="M1289" s="12">
        <v>350</v>
      </c>
      <c r="N1289" s="12">
        <v>0</v>
      </c>
      <c r="O1289" s="12">
        <v>875</v>
      </c>
      <c r="P1289" s="29">
        <v>30</v>
      </c>
    </row>
    <row r="1290" spans="1:16" s="85" customFormat="1" ht="16.5" hidden="1" thickTop="1" thickBot="1" x14ac:dyDescent="0.3">
      <c r="A1290" s="74" t="s">
        <v>111</v>
      </c>
      <c r="B1290" s="25" t="s">
        <v>22</v>
      </c>
      <c r="C1290" s="8" t="s">
        <v>61</v>
      </c>
      <c r="D1290" s="7" t="s">
        <v>79</v>
      </c>
      <c r="E1290" s="9" t="s">
        <v>70</v>
      </c>
      <c r="F1290" s="10">
        <v>1</v>
      </c>
      <c r="G1290" s="11" t="s">
        <v>46</v>
      </c>
      <c r="H1290" s="7" t="s">
        <v>85</v>
      </c>
      <c r="I1290" s="11" t="s">
        <v>113</v>
      </c>
      <c r="J1290" s="11" t="s">
        <v>105</v>
      </c>
      <c r="K1290" s="12">
        <v>875</v>
      </c>
      <c r="L1290" s="70">
        <v>525</v>
      </c>
      <c r="M1290" s="12">
        <v>350</v>
      </c>
      <c r="N1290" s="12">
        <v>0</v>
      </c>
      <c r="O1290" s="12">
        <v>875</v>
      </c>
      <c r="P1290" s="29">
        <v>30</v>
      </c>
    </row>
    <row r="1291" spans="1:16" s="85" customFormat="1" ht="16.5" hidden="1" thickTop="1" thickBot="1" x14ac:dyDescent="0.3">
      <c r="A1291" s="74" t="s">
        <v>111</v>
      </c>
      <c r="B1291" s="25" t="s">
        <v>22</v>
      </c>
      <c r="C1291" s="8" t="s">
        <v>61</v>
      </c>
      <c r="D1291" s="7" t="s">
        <v>79</v>
      </c>
      <c r="E1291" s="9" t="s">
        <v>70</v>
      </c>
      <c r="F1291" s="10">
        <v>1</v>
      </c>
      <c r="G1291" s="11" t="s">
        <v>129</v>
      </c>
      <c r="H1291" s="7" t="s">
        <v>85</v>
      </c>
      <c r="I1291" s="11" t="s">
        <v>113</v>
      </c>
      <c r="J1291" s="11" t="s">
        <v>105</v>
      </c>
      <c r="K1291" s="12">
        <v>875</v>
      </c>
      <c r="L1291" s="70">
        <v>525</v>
      </c>
      <c r="M1291" s="12">
        <v>350</v>
      </c>
      <c r="N1291" s="12">
        <v>0</v>
      </c>
      <c r="O1291" s="12">
        <v>875</v>
      </c>
      <c r="P1291" s="29">
        <v>30</v>
      </c>
    </row>
    <row r="1292" spans="1:16" s="85" customFormat="1" ht="16.5" hidden="1" thickTop="1" thickBot="1" x14ac:dyDescent="0.3">
      <c r="A1292" s="74" t="s">
        <v>111</v>
      </c>
      <c r="B1292" s="25" t="s">
        <v>22</v>
      </c>
      <c r="C1292" s="8" t="s">
        <v>60</v>
      </c>
      <c r="D1292" s="7" t="s">
        <v>79</v>
      </c>
      <c r="E1292" s="9" t="s">
        <v>70</v>
      </c>
      <c r="F1292" s="10">
        <v>1</v>
      </c>
      <c r="G1292" s="11" t="s">
        <v>34</v>
      </c>
      <c r="H1292" s="7" t="s">
        <v>87</v>
      </c>
      <c r="I1292" s="11" t="s">
        <v>113</v>
      </c>
      <c r="J1292" s="11" t="s">
        <v>105</v>
      </c>
      <c r="K1292" s="12">
        <v>875</v>
      </c>
      <c r="L1292" s="12">
        <v>525</v>
      </c>
      <c r="M1292" s="12">
        <v>350</v>
      </c>
      <c r="N1292" s="12">
        <v>0</v>
      </c>
      <c r="O1292" s="12">
        <v>875</v>
      </c>
      <c r="P1292" s="29">
        <v>30</v>
      </c>
    </row>
    <row r="1293" spans="1:16" s="85" customFormat="1" ht="16.5" hidden="1" thickTop="1" thickBot="1" x14ac:dyDescent="0.3">
      <c r="A1293" s="74" t="s">
        <v>111</v>
      </c>
      <c r="B1293" s="25" t="s">
        <v>22</v>
      </c>
      <c r="C1293" s="8" t="s">
        <v>61</v>
      </c>
      <c r="D1293" s="7" t="s">
        <v>79</v>
      </c>
      <c r="E1293" s="9" t="s">
        <v>70</v>
      </c>
      <c r="F1293" s="10">
        <v>1</v>
      </c>
      <c r="G1293" s="11" t="s">
        <v>45</v>
      </c>
      <c r="H1293" s="7" t="s">
        <v>91</v>
      </c>
      <c r="I1293" s="11" t="s">
        <v>113</v>
      </c>
      <c r="J1293" s="11" t="s">
        <v>105</v>
      </c>
      <c r="K1293" s="12">
        <v>875</v>
      </c>
      <c r="L1293" s="70">
        <v>525</v>
      </c>
      <c r="M1293" s="12">
        <v>350</v>
      </c>
      <c r="N1293" s="12">
        <v>0</v>
      </c>
      <c r="O1293" s="12">
        <v>875</v>
      </c>
      <c r="P1293" s="29">
        <v>30</v>
      </c>
    </row>
    <row r="1294" spans="1:16" s="85" customFormat="1" ht="16.5" hidden="1" thickTop="1" thickBot="1" x14ac:dyDescent="0.3">
      <c r="A1294" s="74" t="s">
        <v>111</v>
      </c>
      <c r="B1294" s="25" t="s">
        <v>22</v>
      </c>
      <c r="C1294" s="8" t="s">
        <v>60</v>
      </c>
      <c r="D1294" s="7" t="s">
        <v>79</v>
      </c>
      <c r="E1294" s="9" t="s">
        <v>70</v>
      </c>
      <c r="F1294" s="10">
        <v>1</v>
      </c>
      <c r="G1294" s="11" t="s">
        <v>36</v>
      </c>
      <c r="H1294" s="7" t="s">
        <v>89</v>
      </c>
      <c r="I1294" s="11" t="s">
        <v>113</v>
      </c>
      <c r="J1294" s="11" t="s">
        <v>105</v>
      </c>
      <c r="K1294" s="12">
        <v>875</v>
      </c>
      <c r="L1294" s="12">
        <v>525</v>
      </c>
      <c r="M1294" s="12">
        <v>350</v>
      </c>
      <c r="N1294" s="12">
        <v>0</v>
      </c>
      <c r="O1294" s="12">
        <v>875</v>
      </c>
      <c r="P1294" s="29">
        <v>30</v>
      </c>
    </row>
    <row r="1295" spans="1:16" s="85" customFormat="1" ht="16.5" hidden="1" thickTop="1" thickBot="1" x14ac:dyDescent="0.3">
      <c r="A1295" s="74" t="s">
        <v>111</v>
      </c>
      <c r="B1295" s="25" t="s">
        <v>22</v>
      </c>
      <c r="C1295" s="8" t="s">
        <v>62</v>
      </c>
      <c r="D1295" s="7" t="s">
        <v>79</v>
      </c>
      <c r="E1295" s="9" t="s">
        <v>70</v>
      </c>
      <c r="F1295" s="10">
        <v>1</v>
      </c>
      <c r="G1295" s="11" t="s">
        <v>55</v>
      </c>
      <c r="H1295" s="7" t="s">
        <v>85</v>
      </c>
      <c r="I1295" s="11" t="s">
        <v>113</v>
      </c>
      <c r="J1295" s="11" t="s">
        <v>105</v>
      </c>
      <c r="K1295" s="12">
        <v>875</v>
      </c>
      <c r="L1295" s="12">
        <v>525</v>
      </c>
      <c r="M1295" s="12">
        <v>350</v>
      </c>
      <c r="N1295" s="12">
        <v>0</v>
      </c>
      <c r="O1295" s="12">
        <v>875</v>
      </c>
      <c r="P1295" s="29">
        <v>30</v>
      </c>
    </row>
    <row r="1296" spans="1:16" s="85" customFormat="1" ht="16.5" hidden="1" thickTop="1" thickBot="1" x14ac:dyDescent="0.3">
      <c r="A1296" s="74" t="s">
        <v>111</v>
      </c>
      <c r="B1296" s="25" t="s">
        <v>22</v>
      </c>
      <c r="C1296" s="8" t="s">
        <v>61</v>
      </c>
      <c r="D1296" s="7" t="s">
        <v>79</v>
      </c>
      <c r="E1296" s="9" t="s">
        <v>70</v>
      </c>
      <c r="F1296" s="10">
        <v>1</v>
      </c>
      <c r="G1296" s="11" t="s">
        <v>48</v>
      </c>
      <c r="H1296" s="7" t="s">
        <v>85</v>
      </c>
      <c r="I1296" s="11" t="s">
        <v>113</v>
      </c>
      <c r="J1296" s="11" t="s">
        <v>105</v>
      </c>
      <c r="K1296" s="12">
        <v>875</v>
      </c>
      <c r="L1296" s="70">
        <v>525</v>
      </c>
      <c r="M1296" s="12">
        <v>350</v>
      </c>
      <c r="N1296" s="12">
        <v>0</v>
      </c>
      <c r="O1296" s="12">
        <v>875</v>
      </c>
      <c r="P1296" s="29">
        <v>30</v>
      </c>
    </row>
    <row r="1297" spans="1:16" s="85" customFormat="1" ht="16.5" hidden="1" thickTop="1" thickBot="1" x14ac:dyDescent="0.3">
      <c r="A1297" s="74" t="s">
        <v>111</v>
      </c>
      <c r="B1297" s="25" t="s">
        <v>22</v>
      </c>
      <c r="C1297" s="8" t="s">
        <v>62</v>
      </c>
      <c r="D1297" s="7" t="s">
        <v>79</v>
      </c>
      <c r="E1297" s="9" t="s">
        <v>70</v>
      </c>
      <c r="F1297" s="10">
        <v>1</v>
      </c>
      <c r="G1297" s="11" t="s">
        <v>56</v>
      </c>
      <c r="H1297" s="7" t="s">
        <v>85</v>
      </c>
      <c r="I1297" s="11" t="s">
        <v>113</v>
      </c>
      <c r="J1297" s="11" t="s">
        <v>105</v>
      </c>
      <c r="K1297" s="12">
        <v>875</v>
      </c>
      <c r="L1297" s="12">
        <v>525</v>
      </c>
      <c r="M1297" s="12">
        <v>350</v>
      </c>
      <c r="N1297" s="12">
        <v>0</v>
      </c>
      <c r="O1297" s="12">
        <v>875</v>
      </c>
      <c r="P1297" s="29">
        <v>30</v>
      </c>
    </row>
    <row r="1298" spans="1:16" s="85" customFormat="1" ht="16.5" hidden="1" thickTop="1" thickBot="1" x14ac:dyDescent="0.3">
      <c r="A1298" s="74" t="s">
        <v>111</v>
      </c>
      <c r="B1298" s="25" t="s">
        <v>22</v>
      </c>
      <c r="C1298" s="8" t="s">
        <v>62</v>
      </c>
      <c r="D1298" s="7" t="s">
        <v>79</v>
      </c>
      <c r="E1298" s="9" t="s">
        <v>70</v>
      </c>
      <c r="F1298" s="10">
        <v>1</v>
      </c>
      <c r="G1298" s="11" t="s">
        <v>57</v>
      </c>
      <c r="H1298" s="7" t="s">
        <v>85</v>
      </c>
      <c r="I1298" s="11" t="s">
        <v>113</v>
      </c>
      <c r="J1298" s="11" t="s">
        <v>105</v>
      </c>
      <c r="K1298" s="12">
        <v>875</v>
      </c>
      <c r="L1298" s="12">
        <v>525</v>
      </c>
      <c r="M1298" s="12">
        <v>350</v>
      </c>
      <c r="N1298" s="12">
        <v>0</v>
      </c>
      <c r="O1298" s="12">
        <v>875</v>
      </c>
      <c r="P1298" s="29">
        <v>30</v>
      </c>
    </row>
    <row r="1299" spans="1:16" s="85" customFormat="1" ht="16.5" hidden="1" thickTop="1" thickBot="1" x14ac:dyDescent="0.3">
      <c r="A1299" s="74" t="s">
        <v>111</v>
      </c>
      <c r="B1299" s="25" t="s">
        <v>22</v>
      </c>
      <c r="C1299" s="8" t="s">
        <v>62</v>
      </c>
      <c r="D1299" s="7" t="s">
        <v>79</v>
      </c>
      <c r="E1299" s="9" t="s">
        <v>71</v>
      </c>
      <c r="F1299" s="10">
        <v>1</v>
      </c>
      <c r="G1299" s="11" t="s">
        <v>58</v>
      </c>
      <c r="H1299" s="7" t="s">
        <v>85</v>
      </c>
      <c r="I1299" s="11" t="s">
        <v>113</v>
      </c>
      <c r="J1299" s="11" t="s">
        <v>105</v>
      </c>
      <c r="K1299" s="12">
        <v>875</v>
      </c>
      <c r="L1299" s="12">
        <v>525</v>
      </c>
      <c r="M1299" s="12">
        <v>350</v>
      </c>
      <c r="N1299" s="12">
        <v>0</v>
      </c>
      <c r="O1299" s="12">
        <v>875</v>
      </c>
      <c r="P1299" s="29">
        <v>30</v>
      </c>
    </row>
    <row r="1300" spans="1:16" s="85" customFormat="1" ht="16.5" hidden="1" thickTop="1" thickBot="1" x14ac:dyDescent="0.3">
      <c r="A1300" s="74" t="s">
        <v>111</v>
      </c>
      <c r="B1300" s="25" t="s">
        <v>22</v>
      </c>
      <c r="C1300" s="8" t="s">
        <v>61</v>
      </c>
      <c r="D1300" s="7" t="s">
        <v>79</v>
      </c>
      <c r="E1300" s="9" t="s">
        <v>71</v>
      </c>
      <c r="F1300" s="10">
        <v>1</v>
      </c>
      <c r="G1300" s="11" t="s">
        <v>132</v>
      </c>
      <c r="H1300" s="7" t="s">
        <v>88</v>
      </c>
      <c r="I1300" s="11" t="s">
        <v>113</v>
      </c>
      <c r="J1300" s="11" t="s">
        <v>105</v>
      </c>
      <c r="K1300" s="98">
        <v>875</v>
      </c>
      <c r="L1300" s="70">
        <v>525</v>
      </c>
      <c r="M1300" s="12">
        <v>350</v>
      </c>
      <c r="N1300" s="12">
        <v>0</v>
      </c>
      <c r="O1300" s="12">
        <v>875</v>
      </c>
      <c r="P1300" s="29">
        <v>30</v>
      </c>
    </row>
    <row r="1301" spans="1:16" s="85" customFormat="1" ht="16.5" hidden="1" thickTop="1" thickBot="1" x14ac:dyDescent="0.3">
      <c r="A1301" s="74" t="s">
        <v>111</v>
      </c>
      <c r="B1301" s="25" t="s">
        <v>22</v>
      </c>
      <c r="C1301" s="8" t="s">
        <v>61</v>
      </c>
      <c r="D1301" s="7" t="s">
        <v>79</v>
      </c>
      <c r="E1301" s="9" t="s">
        <v>71</v>
      </c>
      <c r="F1301" s="10">
        <v>1</v>
      </c>
      <c r="G1301" s="11" t="s">
        <v>47</v>
      </c>
      <c r="H1301" s="7" t="s">
        <v>85</v>
      </c>
      <c r="I1301" s="11" t="s">
        <v>113</v>
      </c>
      <c r="J1301" s="11" t="s">
        <v>105</v>
      </c>
      <c r="K1301" s="98">
        <v>875</v>
      </c>
      <c r="L1301" s="70">
        <v>525</v>
      </c>
      <c r="M1301" s="12">
        <v>350</v>
      </c>
      <c r="N1301" s="12">
        <v>0</v>
      </c>
      <c r="O1301" s="12">
        <v>875</v>
      </c>
      <c r="P1301" s="29">
        <v>30</v>
      </c>
    </row>
    <row r="1302" spans="1:16" s="85" customFormat="1" ht="16.5" hidden="1" thickTop="1" thickBot="1" x14ac:dyDescent="0.3">
      <c r="A1302" s="74" t="s">
        <v>111</v>
      </c>
      <c r="B1302" s="25" t="s">
        <v>22</v>
      </c>
      <c r="C1302" s="8" t="s">
        <v>61</v>
      </c>
      <c r="D1302" s="7" t="s">
        <v>79</v>
      </c>
      <c r="E1302" s="9" t="s">
        <v>71</v>
      </c>
      <c r="F1302" s="10">
        <v>1</v>
      </c>
      <c r="G1302" s="11" t="s">
        <v>46</v>
      </c>
      <c r="H1302" s="7" t="s">
        <v>85</v>
      </c>
      <c r="I1302" s="11" t="s">
        <v>113</v>
      </c>
      <c r="J1302" s="11" t="s">
        <v>105</v>
      </c>
      <c r="K1302" s="12">
        <v>875</v>
      </c>
      <c r="L1302" s="70">
        <v>525</v>
      </c>
      <c r="M1302" s="12">
        <v>350</v>
      </c>
      <c r="N1302" s="12">
        <v>0</v>
      </c>
      <c r="O1302" s="12">
        <v>875</v>
      </c>
      <c r="P1302" s="29">
        <v>30</v>
      </c>
    </row>
    <row r="1303" spans="1:16" s="85" customFormat="1" ht="16.5" hidden="1" thickTop="1" thickBot="1" x14ac:dyDescent="0.3">
      <c r="A1303" s="74" t="s">
        <v>111</v>
      </c>
      <c r="B1303" s="25" t="s">
        <v>22</v>
      </c>
      <c r="C1303" s="8" t="s">
        <v>61</v>
      </c>
      <c r="D1303" s="7" t="s">
        <v>79</v>
      </c>
      <c r="E1303" s="9" t="s">
        <v>71</v>
      </c>
      <c r="F1303" s="10">
        <v>1</v>
      </c>
      <c r="G1303" s="11" t="s">
        <v>129</v>
      </c>
      <c r="H1303" s="7" t="s">
        <v>85</v>
      </c>
      <c r="I1303" s="11" t="s">
        <v>113</v>
      </c>
      <c r="J1303" s="11" t="s">
        <v>105</v>
      </c>
      <c r="K1303" s="12">
        <v>875</v>
      </c>
      <c r="L1303" s="70">
        <v>525</v>
      </c>
      <c r="M1303" s="12">
        <v>350</v>
      </c>
      <c r="N1303" s="12">
        <v>0</v>
      </c>
      <c r="O1303" s="12">
        <v>875</v>
      </c>
      <c r="P1303" s="29">
        <v>30</v>
      </c>
    </row>
    <row r="1304" spans="1:16" s="85" customFormat="1" ht="16.5" hidden="1" thickTop="1" thickBot="1" x14ac:dyDescent="0.3">
      <c r="A1304" s="74" t="s">
        <v>111</v>
      </c>
      <c r="B1304" s="25" t="s">
        <v>22</v>
      </c>
      <c r="C1304" s="8" t="s">
        <v>60</v>
      </c>
      <c r="D1304" s="7" t="s">
        <v>79</v>
      </c>
      <c r="E1304" s="9" t="s">
        <v>71</v>
      </c>
      <c r="F1304" s="10">
        <v>1</v>
      </c>
      <c r="G1304" s="11" t="s">
        <v>34</v>
      </c>
      <c r="H1304" s="7" t="s">
        <v>87</v>
      </c>
      <c r="I1304" s="11" t="s">
        <v>113</v>
      </c>
      <c r="J1304" s="11" t="s">
        <v>105</v>
      </c>
      <c r="K1304" s="12">
        <v>875</v>
      </c>
      <c r="L1304" s="12">
        <v>525</v>
      </c>
      <c r="M1304" s="12">
        <v>350</v>
      </c>
      <c r="N1304" s="12">
        <v>0</v>
      </c>
      <c r="O1304" s="12">
        <v>875</v>
      </c>
      <c r="P1304" s="29">
        <v>30</v>
      </c>
    </row>
    <row r="1305" spans="1:16" s="85" customFormat="1" ht="16.5" hidden="1" thickTop="1" thickBot="1" x14ac:dyDescent="0.3">
      <c r="A1305" s="74" t="s">
        <v>111</v>
      </c>
      <c r="B1305" s="25" t="s">
        <v>22</v>
      </c>
      <c r="C1305" s="8" t="s">
        <v>61</v>
      </c>
      <c r="D1305" s="7" t="s">
        <v>79</v>
      </c>
      <c r="E1305" s="9" t="s">
        <v>71</v>
      </c>
      <c r="F1305" s="10">
        <v>1</v>
      </c>
      <c r="G1305" s="11" t="s">
        <v>45</v>
      </c>
      <c r="H1305" s="7" t="s">
        <v>91</v>
      </c>
      <c r="I1305" s="11" t="s">
        <v>113</v>
      </c>
      <c r="J1305" s="11" t="s">
        <v>105</v>
      </c>
      <c r="K1305" s="12">
        <v>875</v>
      </c>
      <c r="L1305" s="70">
        <v>525</v>
      </c>
      <c r="M1305" s="12">
        <v>350</v>
      </c>
      <c r="N1305" s="12">
        <v>0</v>
      </c>
      <c r="O1305" s="12">
        <v>875</v>
      </c>
      <c r="P1305" s="29">
        <v>30</v>
      </c>
    </row>
    <row r="1306" spans="1:16" s="85" customFormat="1" ht="16.5" hidden="1" thickTop="1" thickBot="1" x14ac:dyDescent="0.3">
      <c r="A1306" s="74" t="s">
        <v>111</v>
      </c>
      <c r="B1306" s="25" t="s">
        <v>22</v>
      </c>
      <c r="C1306" s="8" t="s">
        <v>60</v>
      </c>
      <c r="D1306" s="7" t="s">
        <v>79</v>
      </c>
      <c r="E1306" s="9" t="s">
        <v>71</v>
      </c>
      <c r="F1306" s="10">
        <v>1</v>
      </c>
      <c r="G1306" s="11" t="s">
        <v>36</v>
      </c>
      <c r="H1306" s="7" t="s">
        <v>89</v>
      </c>
      <c r="I1306" s="11" t="s">
        <v>113</v>
      </c>
      <c r="J1306" s="11" t="s">
        <v>105</v>
      </c>
      <c r="K1306" s="12">
        <v>875</v>
      </c>
      <c r="L1306" s="12">
        <v>525</v>
      </c>
      <c r="M1306" s="12">
        <v>350</v>
      </c>
      <c r="N1306" s="12">
        <v>0</v>
      </c>
      <c r="O1306" s="12">
        <v>875</v>
      </c>
      <c r="P1306" s="29">
        <v>30</v>
      </c>
    </row>
    <row r="1307" spans="1:16" s="85" customFormat="1" ht="16.5" hidden="1" thickTop="1" thickBot="1" x14ac:dyDescent="0.3">
      <c r="A1307" s="74" t="s">
        <v>111</v>
      </c>
      <c r="B1307" s="25" t="s">
        <v>22</v>
      </c>
      <c r="C1307" s="8" t="s">
        <v>62</v>
      </c>
      <c r="D1307" s="7" t="s">
        <v>79</v>
      </c>
      <c r="E1307" s="9" t="s">
        <v>71</v>
      </c>
      <c r="F1307" s="10">
        <v>1</v>
      </c>
      <c r="G1307" s="11" t="s">
        <v>55</v>
      </c>
      <c r="H1307" s="7" t="s">
        <v>85</v>
      </c>
      <c r="I1307" s="11" t="s">
        <v>113</v>
      </c>
      <c r="J1307" s="11" t="s">
        <v>105</v>
      </c>
      <c r="K1307" s="12">
        <v>875</v>
      </c>
      <c r="L1307" s="12">
        <v>525</v>
      </c>
      <c r="M1307" s="12">
        <v>350</v>
      </c>
      <c r="N1307" s="12">
        <v>0</v>
      </c>
      <c r="O1307" s="12">
        <v>875</v>
      </c>
      <c r="P1307" s="29">
        <v>30</v>
      </c>
    </row>
    <row r="1308" spans="1:16" s="85" customFormat="1" ht="16.5" hidden="1" thickTop="1" thickBot="1" x14ac:dyDescent="0.3">
      <c r="A1308" s="74" t="s">
        <v>111</v>
      </c>
      <c r="B1308" s="25" t="s">
        <v>22</v>
      </c>
      <c r="C1308" s="8" t="s">
        <v>61</v>
      </c>
      <c r="D1308" s="7" t="s">
        <v>79</v>
      </c>
      <c r="E1308" s="9" t="s">
        <v>71</v>
      </c>
      <c r="F1308" s="10">
        <v>1</v>
      </c>
      <c r="G1308" s="11" t="s">
        <v>48</v>
      </c>
      <c r="H1308" s="7" t="s">
        <v>85</v>
      </c>
      <c r="I1308" s="11" t="s">
        <v>113</v>
      </c>
      <c r="J1308" s="11" t="s">
        <v>105</v>
      </c>
      <c r="K1308" s="12">
        <v>875</v>
      </c>
      <c r="L1308" s="70">
        <v>525</v>
      </c>
      <c r="M1308" s="12">
        <v>350</v>
      </c>
      <c r="N1308" s="12">
        <v>0</v>
      </c>
      <c r="O1308" s="12">
        <v>875</v>
      </c>
      <c r="P1308" s="29">
        <v>30</v>
      </c>
    </row>
    <row r="1309" spans="1:16" s="85" customFormat="1" ht="16.5" hidden="1" thickTop="1" thickBot="1" x14ac:dyDescent="0.3">
      <c r="A1309" s="74" t="s">
        <v>111</v>
      </c>
      <c r="B1309" s="25" t="s">
        <v>22</v>
      </c>
      <c r="C1309" s="8" t="s">
        <v>62</v>
      </c>
      <c r="D1309" s="7" t="s">
        <v>79</v>
      </c>
      <c r="E1309" s="9" t="s">
        <v>71</v>
      </c>
      <c r="F1309" s="10">
        <v>1</v>
      </c>
      <c r="G1309" s="11" t="s">
        <v>56</v>
      </c>
      <c r="H1309" s="7" t="s">
        <v>85</v>
      </c>
      <c r="I1309" s="11" t="s">
        <v>113</v>
      </c>
      <c r="J1309" s="11" t="s">
        <v>105</v>
      </c>
      <c r="K1309" s="12">
        <v>875</v>
      </c>
      <c r="L1309" s="12">
        <v>525</v>
      </c>
      <c r="M1309" s="12">
        <v>350</v>
      </c>
      <c r="N1309" s="12">
        <v>0</v>
      </c>
      <c r="O1309" s="12">
        <v>875</v>
      </c>
      <c r="P1309" s="29">
        <v>30</v>
      </c>
    </row>
    <row r="1310" spans="1:16" s="85" customFormat="1" ht="16.5" hidden="1" thickTop="1" thickBot="1" x14ac:dyDescent="0.3">
      <c r="A1310" s="74" t="s">
        <v>111</v>
      </c>
      <c r="B1310" s="25" t="s">
        <v>22</v>
      </c>
      <c r="C1310" s="8" t="s">
        <v>62</v>
      </c>
      <c r="D1310" s="7" t="s">
        <v>79</v>
      </c>
      <c r="E1310" s="9" t="s">
        <v>71</v>
      </c>
      <c r="F1310" s="10">
        <v>1</v>
      </c>
      <c r="G1310" s="11" t="s">
        <v>57</v>
      </c>
      <c r="H1310" s="7" t="s">
        <v>85</v>
      </c>
      <c r="I1310" s="11" t="s">
        <v>113</v>
      </c>
      <c r="J1310" s="11" t="s">
        <v>105</v>
      </c>
      <c r="K1310" s="12">
        <v>875</v>
      </c>
      <c r="L1310" s="12">
        <v>525</v>
      </c>
      <c r="M1310" s="12">
        <v>350</v>
      </c>
      <c r="N1310" s="12">
        <v>0</v>
      </c>
      <c r="O1310" s="12">
        <v>875</v>
      </c>
      <c r="P1310" s="29">
        <v>30</v>
      </c>
    </row>
    <row r="1311" spans="1:16" s="85" customFormat="1" ht="16.5" hidden="1" thickTop="1" thickBot="1" x14ac:dyDescent="0.3">
      <c r="A1311" s="74" t="s">
        <v>111</v>
      </c>
      <c r="B1311" s="25" t="s">
        <v>22</v>
      </c>
      <c r="C1311" s="8" t="s">
        <v>60</v>
      </c>
      <c r="D1311" s="7" t="s">
        <v>79</v>
      </c>
      <c r="E1311" s="9" t="s">
        <v>67</v>
      </c>
      <c r="F1311" s="10">
        <v>15</v>
      </c>
      <c r="G1311" s="90" t="s">
        <v>187</v>
      </c>
      <c r="H1311" s="7" t="s">
        <v>85</v>
      </c>
      <c r="I1311" s="11" t="s">
        <v>9</v>
      </c>
      <c r="J1311" s="11" t="s">
        <v>80</v>
      </c>
      <c r="K1311" s="12">
        <v>12681</v>
      </c>
      <c r="L1311" s="12"/>
      <c r="M1311" s="12"/>
      <c r="N1311" s="12"/>
      <c r="O1311" s="12">
        <f>K1311</f>
        <v>12681</v>
      </c>
      <c r="P1311" s="29">
        <v>1</v>
      </c>
    </row>
    <row r="1312" spans="1:16" s="85" customFormat="1" ht="16.5" thickTop="1" thickBot="1" x14ac:dyDescent="0.3">
      <c r="A1312" s="74"/>
      <c r="B1312" s="25" t="s">
        <v>22</v>
      </c>
      <c r="C1312" s="8" t="s">
        <v>60</v>
      </c>
      <c r="D1312" s="7" t="s">
        <v>79</v>
      </c>
      <c r="E1312" s="9" t="s">
        <v>68</v>
      </c>
      <c r="F1312" s="10">
        <v>15</v>
      </c>
      <c r="G1312" s="90" t="s">
        <v>187</v>
      </c>
      <c r="H1312" s="7" t="s">
        <v>85</v>
      </c>
      <c r="I1312" s="11" t="s">
        <v>9</v>
      </c>
      <c r="J1312" s="11" t="s">
        <v>80</v>
      </c>
      <c r="K1312" s="12">
        <v>12681</v>
      </c>
      <c r="L1312" s="12">
        <f>K1312</f>
        <v>12681</v>
      </c>
      <c r="M1312" s="12"/>
      <c r="N1312" s="12"/>
      <c r="O1312" s="12">
        <f>K1312</f>
        <v>12681</v>
      </c>
      <c r="P1312" s="29">
        <v>1</v>
      </c>
    </row>
    <row r="1313" spans="1:16" s="85" customFormat="1" ht="16.5" hidden="1" thickTop="1" thickBot="1" x14ac:dyDescent="0.3">
      <c r="A1313" s="74"/>
      <c r="B1313" s="25" t="s">
        <v>22</v>
      </c>
      <c r="C1313" s="8" t="s">
        <v>60</v>
      </c>
      <c r="D1313" s="7" t="s">
        <v>79</v>
      </c>
      <c r="E1313" s="9" t="s">
        <v>69</v>
      </c>
      <c r="F1313" s="10">
        <v>15</v>
      </c>
      <c r="G1313" s="90" t="s">
        <v>187</v>
      </c>
      <c r="H1313" s="7" t="s">
        <v>85</v>
      </c>
      <c r="I1313" s="11" t="s">
        <v>9</v>
      </c>
      <c r="J1313" s="11" t="s">
        <v>80</v>
      </c>
      <c r="K1313" s="12">
        <v>12681</v>
      </c>
      <c r="L1313" s="12"/>
      <c r="M1313" s="12"/>
      <c r="N1313" s="12"/>
      <c r="O1313" s="12">
        <f>K1313</f>
        <v>12681</v>
      </c>
      <c r="P1313" s="29">
        <v>1</v>
      </c>
    </row>
    <row r="1314" spans="1:16" s="85" customFormat="1" ht="16.5" hidden="1" thickTop="1" thickBot="1" x14ac:dyDescent="0.3">
      <c r="A1314" s="74"/>
      <c r="B1314" s="25" t="s">
        <v>22</v>
      </c>
      <c r="C1314" s="8" t="s">
        <v>60</v>
      </c>
      <c r="D1314" s="7" t="s">
        <v>79</v>
      </c>
      <c r="E1314" s="9" t="s">
        <v>70</v>
      </c>
      <c r="F1314" s="10">
        <v>15</v>
      </c>
      <c r="G1314" s="90" t="s">
        <v>187</v>
      </c>
      <c r="H1314" s="7" t="s">
        <v>85</v>
      </c>
      <c r="I1314" s="11" t="s">
        <v>9</v>
      </c>
      <c r="J1314" s="11" t="s">
        <v>80</v>
      </c>
      <c r="K1314" s="12">
        <v>12681</v>
      </c>
      <c r="L1314" s="12"/>
      <c r="M1314" s="12"/>
      <c r="N1314" s="12"/>
      <c r="O1314" s="12">
        <f>K1314</f>
        <v>12681</v>
      </c>
      <c r="P1314" s="29">
        <v>1</v>
      </c>
    </row>
    <row r="1315" spans="1:16" s="85" customFormat="1" ht="16.5" hidden="1" thickTop="1" thickBot="1" x14ac:dyDescent="0.3">
      <c r="A1315" s="74"/>
      <c r="B1315" s="25" t="s">
        <v>22</v>
      </c>
      <c r="C1315" s="8" t="s">
        <v>60</v>
      </c>
      <c r="D1315" s="7" t="s">
        <v>79</v>
      </c>
      <c r="E1315" s="9" t="s">
        <v>71</v>
      </c>
      <c r="F1315" s="10">
        <v>15</v>
      </c>
      <c r="G1315" s="90" t="s">
        <v>187</v>
      </c>
      <c r="H1315" s="7" t="s">
        <v>85</v>
      </c>
      <c r="I1315" s="11" t="s">
        <v>9</v>
      </c>
      <c r="J1315" s="11" t="s">
        <v>80</v>
      </c>
      <c r="K1315" s="12">
        <v>12681</v>
      </c>
      <c r="L1315" s="12"/>
      <c r="M1315" s="12"/>
      <c r="N1315" s="12"/>
      <c r="O1315" s="12">
        <f>K1315</f>
        <v>12681</v>
      </c>
      <c r="P1315" s="29">
        <v>1</v>
      </c>
    </row>
    <row r="1316" spans="1:16" s="85" customFormat="1" ht="16.5" hidden="1" thickTop="1" thickBot="1" x14ac:dyDescent="0.3">
      <c r="A1316" s="74"/>
      <c r="B1316" s="25" t="s">
        <v>11</v>
      </c>
      <c r="C1316" s="8" t="s">
        <v>25</v>
      </c>
      <c r="D1316" s="7" t="s">
        <v>79</v>
      </c>
      <c r="E1316" s="9" t="s">
        <v>69</v>
      </c>
      <c r="F1316" s="10">
        <v>20</v>
      </c>
      <c r="G1316" s="11" t="s">
        <v>32</v>
      </c>
      <c r="H1316" s="7" t="s">
        <v>83</v>
      </c>
      <c r="I1316" s="11" t="s">
        <v>30</v>
      </c>
      <c r="J1316" s="11" t="s">
        <v>80</v>
      </c>
      <c r="K1316" s="12">
        <v>230</v>
      </c>
      <c r="L1316" s="12">
        <v>230</v>
      </c>
      <c r="M1316" s="12">
        <v>0</v>
      </c>
      <c r="N1316" s="12">
        <v>10</v>
      </c>
      <c r="O1316" s="12">
        <v>190</v>
      </c>
      <c r="P1316" s="29">
        <v>10</v>
      </c>
    </row>
    <row r="1317" spans="1:16" s="85" customFormat="1" ht="16.5" hidden="1" thickTop="1" thickBot="1" x14ac:dyDescent="0.3">
      <c r="A1317" s="74"/>
      <c r="B1317" s="25" t="s">
        <v>11</v>
      </c>
      <c r="C1317" s="8" t="s">
        <v>25</v>
      </c>
      <c r="D1317" s="7" t="s">
        <v>79</v>
      </c>
      <c r="E1317" s="9" t="s">
        <v>71</v>
      </c>
      <c r="F1317" s="10">
        <v>20</v>
      </c>
      <c r="G1317" s="11" t="s">
        <v>32</v>
      </c>
      <c r="H1317" s="7" t="s">
        <v>83</v>
      </c>
      <c r="I1317" s="11" t="s">
        <v>30</v>
      </c>
      <c r="J1317" s="11" t="s">
        <v>80</v>
      </c>
      <c r="K1317" s="12">
        <v>230</v>
      </c>
      <c r="L1317" s="12">
        <v>230</v>
      </c>
      <c r="M1317" s="12">
        <v>0</v>
      </c>
      <c r="N1317" s="12">
        <v>10</v>
      </c>
      <c r="O1317" s="12">
        <v>190</v>
      </c>
      <c r="P1317" s="29">
        <v>10</v>
      </c>
    </row>
    <row r="1318" spans="1:16" s="85" customFormat="1" ht="16.5" thickTop="1" thickBot="1" x14ac:dyDescent="0.3">
      <c r="A1318" s="74"/>
      <c r="B1318" s="25" t="s">
        <v>22</v>
      </c>
      <c r="C1318" s="8" t="s">
        <v>62</v>
      </c>
      <c r="D1318" s="7" t="s">
        <v>79</v>
      </c>
      <c r="E1318" s="9" t="s">
        <v>68</v>
      </c>
      <c r="F1318" s="10">
        <v>30</v>
      </c>
      <c r="G1318" s="90" t="s">
        <v>189</v>
      </c>
      <c r="H1318" s="7" t="s">
        <v>190</v>
      </c>
      <c r="I1318" s="11" t="s">
        <v>9</v>
      </c>
      <c r="J1318" s="11" t="s">
        <v>80</v>
      </c>
      <c r="K1318" s="12">
        <v>3975</v>
      </c>
      <c r="L1318" s="12">
        <f t="shared" ref="L1318:L1325" si="82">K1318</f>
        <v>3975</v>
      </c>
      <c r="M1318" s="12"/>
      <c r="N1318" s="12"/>
      <c r="O1318" s="12">
        <f>K1318</f>
        <v>3975</v>
      </c>
      <c r="P1318" s="29">
        <v>4</v>
      </c>
    </row>
    <row r="1319" spans="1:16" ht="16.5" thickTop="1" thickBot="1" x14ac:dyDescent="0.3">
      <c r="A1319" s="74"/>
      <c r="B1319" s="25" t="s">
        <v>22</v>
      </c>
      <c r="C1319" s="8" t="s">
        <v>62</v>
      </c>
      <c r="D1319" s="7" t="s">
        <v>79</v>
      </c>
      <c r="E1319" s="9" t="s">
        <v>68</v>
      </c>
      <c r="F1319" s="10">
        <v>30</v>
      </c>
      <c r="G1319" s="90" t="s">
        <v>189</v>
      </c>
      <c r="H1319" s="7" t="s">
        <v>190</v>
      </c>
      <c r="I1319" s="11" t="s">
        <v>7</v>
      </c>
      <c r="J1319" s="11"/>
      <c r="K1319" s="12">
        <v>14802</v>
      </c>
      <c r="L1319" s="12">
        <f t="shared" si="82"/>
        <v>14802</v>
      </c>
      <c r="M1319" s="12"/>
      <c r="N1319" s="12"/>
      <c r="O1319" s="12"/>
      <c r="P1319" s="29">
        <v>4</v>
      </c>
    </row>
    <row r="1320" spans="1:16" s="85" customFormat="1" ht="16.5" hidden="1" thickTop="1" thickBot="1" x14ac:dyDescent="0.3">
      <c r="A1320" s="74"/>
      <c r="B1320" s="25" t="s">
        <v>22</v>
      </c>
      <c r="C1320" s="8" t="s">
        <v>62</v>
      </c>
      <c r="D1320" s="7" t="s">
        <v>79</v>
      </c>
      <c r="E1320" s="9" t="s">
        <v>69</v>
      </c>
      <c r="F1320" s="10">
        <v>30</v>
      </c>
      <c r="G1320" s="90" t="s">
        <v>189</v>
      </c>
      <c r="H1320" s="7" t="s">
        <v>190</v>
      </c>
      <c r="I1320" s="11" t="s">
        <v>9</v>
      </c>
      <c r="J1320" s="11" t="s">
        <v>80</v>
      </c>
      <c r="K1320" s="12">
        <v>3975</v>
      </c>
      <c r="L1320" s="12">
        <f t="shared" si="82"/>
        <v>3975</v>
      </c>
      <c r="M1320" s="12"/>
      <c r="N1320" s="12"/>
      <c r="O1320" s="12">
        <f>K1320</f>
        <v>3975</v>
      </c>
      <c r="P1320" s="29">
        <v>4</v>
      </c>
    </row>
    <row r="1321" spans="1:16" ht="16.5" hidden="1" thickTop="1" thickBot="1" x14ac:dyDescent="0.3">
      <c r="A1321" s="74"/>
      <c r="B1321" s="25" t="s">
        <v>22</v>
      </c>
      <c r="C1321" s="8" t="s">
        <v>62</v>
      </c>
      <c r="D1321" s="7" t="s">
        <v>79</v>
      </c>
      <c r="E1321" s="9" t="s">
        <v>69</v>
      </c>
      <c r="F1321" s="10">
        <v>30</v>
      </c>
      <c r="G1321" s="90" t="s">
        <v>189</v>
      </c>
      <c r="H1321" s="7" t="s">
        <v>190</v>
      </c>
      <c r="I1321" s="11" t="s">
        <v>7</v>
      </c>
      <c r="J1321" s="11"/>
      <c r="K1321" s="12">
        <v>14802</v>
      </c>
      <c r="L1321" s="12">
        <f t="shared" si="82"/>
        <v>14802</v>
      </c>
      <c r="M1321" s="12"/>
      <c r="N1321" s="12"/>
      <c r="O1321" s="12"/>
      <c r="P1321" s="29">
        <v>4</v>
      </c>
    </row>
    <row r="1322" spans="1:16" s="85" customFormat="1" ht="16.5" hidden="1" thickTop="1" thickBot="1" x14ac:dyDescent="0.3">
      <c r="A1322" s="74"/>
      <c r="B1322" s="25" t="s">
        <v>22</v>
      </c>
      <c r="C1322" s="8" t="s">
        <v>62</v>
      </c>
      <c r="D1322" s="7" t="s">
        <v>79</v>
      </c>
      <c r="E1322" s="9" t="s">
        <v>70</v>
      </c>
      <c r="F1322" s="10">
        <v>30</v>
      </c>
      <c r="G1322" s="90" t="s">
        <v>189</v>
      </c>
      <c r="H1322" s="7" t="s">
        <v>190</v>
      </c>
      <c r="I1322" s="11" t="s">
        <v>9</v>
      </c>
      <c r="J1322" s="11" t="s">
        <v>80</v>
      </c>
      <c r="K1322" s="12">
        <v>3975</v>
      </c>
      <c r="L1322" s="12">
        <f t="shared" si="82"/>
        <v>3975</v>
      </c>
      <c r="M1322" s="12"/>
      <c r="N1322" s="12"/>
      <c r="O1322" s="12">
        <f>K1322</f>
        <v>3975</v>
      </c>
      <c r="P1322" s="29">
        <v>4</v>
      </c>
    </row>
    <row r="1323" spans="1:16" ht="16.5" hidden="1" thickTop="1" thickBot="1" x14ac:dyDescent="0.3">
      <c r="A1323" s="74"/>
      <c r="B1323" s="25" t="s">
        <v>22</v>
      </c>
      <c r="C1323" s="8" t="s">
        <v>62</v>
      </c>
      <c r="D1323" s="7" t="s">
        <v>79</v>
      </c>
      <c r="E1323" s="9" t="s">
        <v>70</v>
      </c>
      <c r="F1323" s="10">
        <v>30</v>
      </c>
      <c r="G1323" s="90" t="s">
        <v>189</v>
      </c>
      <c r="H1323" s="7" t="s">
        <v>190</v>
      </c>
      <c r="I1323" s="11" t="s">
        <v>7</v>
      </c>
      <c r="J1323" s="11"/>
      <c r="K1323" s="12">
        <v>14802</v>
      </c>
      <c r="L1323" s="12">
        <f t="shared" si="82"/>
        <v>14802</v>
      </c>
      <c r="M1323" s="12"/>
      <c r="N1323" s="12"/>
      <c r="O1323" s="12"/>
      <c r="P1323" s="29">
        <v>4</v>
      </c>
    </row>
    <row r="1324" spans="1:16" s="85" customFormat="1" ht="16.5" hidden="1" thickTop="1" thickBot="1" x14ac:dyDescent="0.3">
      <c r="A1324" s="74"/>
      <c r="B1324" s="25" t="s">
        <v>22</v>
      </c>
      <c r="C1324" s="8" t="s">
        <v>62</v>
      </c>
      <c r="D1324" s="7" t="s">
        <v>79</v>
      </c>
      <c r="E1324" s="9" t="s">
        <v>71</v>
      </c>
      <c r="F1324" s="10">
        <v>30</v>
      </c>
      <c r="G1324" s="90" t="s">
        <v>189</v>
      </c>
      <c r="H1324" s="7" t="s">
        <v>190</v>
      </c>
      <c r="I1324" s="11" t="s">
        <v>9</v>
      </c>
      <c r="J1324" s="11" t="s">
        <v>80</v>
      </c>
      <c r="K1324" s="12">
        <v>3975</v>
      </c>
      <c r="L1324" s="12">
        <f t="shared" si="82"/>
        <v>3975</v>
      </c>
      <c r="M1324" s="12"/>
      <c r="N1324" s="12"/>
      <c r="O1324" s="12">
        <f>K1324</f>
        <v>3975</v>
      </c>
      <c r="P1324" s="29">
        <v>4</v>
      </c>
    </row>
    <row r="1325" spans="1:16" ht="16.5" hidden="1" thickTop="1" thickBot="1" x14ac:dyDescent="0.3">
      <c r="A1325" s="74"/>
      <c r="B1325" s="25" t="s">
        <v>22</v>
      </c>
      <c r="C1325" s="8" t="s">
        <v>62</v>
      </c>
      <c r="D1325" s="7" t="s">
        <v>79</v>
      </c>
      <c r="E1325" s="9" t="s">
        <v>71</v>
      </c>
      <c r="F1325" s="10">
        <v>30</v>
      </c>
      <c r="G1325" s="90" t="s">
        <v>189</v>
      </c>
      <c r="H1325" s="7" t="s">
        <v>190</v>
      </c>
      <c r="I1325" s="11" t="s">
        <v>7</v>
      </c>
      <c r="J1325" s="11"/>
      <c r="K1325" s="12">
        <v>14802</v>
      </c>
      <c r="L1325" s="12">
        <f t="shared" si="82"/>
        <v>14802</v>
      </c>
      <c r="M1325" s="12"/>
      <c r="N1325" s="12"/>
      <c r="O1325" s="12"/>
      <c r="P1325" s="29">
        <v>4</v>
      </c>
    </row>
    <row r="1326" spans="1:16" ht="15.75" thickTop="1" x14ac:dyDescent="0.25"/>
  </sheetData>
  <autoFilter ref="A1:Q1325">
    <filterColumn colId="4">
      <filters>
        <filter val="SETEMBRO"/>
      </filters>
    </filterColumn>
  </autoFilter>
  <sortState ref="A394:Q1370">
    <sortCondition ref="E1"/>
  </sortState>
  <phoneticPr fontId="3" type="noConversion"/>
  <pageMargins left="0.511811024" right="0.511811024" top="0.78740157499999996" bottom="0.78740157499999996" header="0.31496062000000002" footer="0.31496062000000002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40"/>
  <sheetViews>
    <sheetView topLeftCell="F1" workbookViewId="0">
      <selection activeCell="B36" sqref="B36:P36"/>
    </sheetView>
  </sheetViews>
  <sheetFormatPr defaultRowHeight="15" x14ac:dyDescent="0.25"/>
  <cols>
    <col min="1" max="1" width="6.7109375" bestFit="1" customWidth="1"/>
    <col min="6" max="6" width="9.28515625" bestFit="1" customWidth="1"/>
    <col min="7" max="7" width="63.140625" bestFit="1" customWidth="1"/>
    <col min="11" max="11" width="13.28515625" style="103" bestFit="1" customWidth="1"/>
    <col min="12" max="13" width="13.28515625" bestFit="1" customWidth="1"/>
    <col min="14" max="14" width="12.140625" bestFit="1" customWidth="1"/>
    <col min="15" max="15" width="13.28515625" bestFit="1" customWidth="1"/>
    <col min="16" max="16" width="9.28515625" bestFit="1" customWidth="1"/>
  </cols>
  <sheetData>
    <row r="1" spans="1:16" ht="27" thickTop="1" thickBot="1" x14ac:dyDescent="0.3">
      <c r="A1" s="127" t="s">
        <v>112</v>
      </c>
      <c r="B1" s="113" t="s">
        <v>100</v>
      </c>
      <c r="C1" s="113" t="s">
        <v>80</v>
      </c>
      <c r="D1" s="113" t="s">
        <v>81</v>
      </c>
      <c r="E1" s="113" t="s">
        <v>82</v>
      </c>
      <c r="F1" s="113" t="s">
        <v>101</v>
      </c>
      <c r="G1" s="114" t="s">
        <v>1</v>
      </c>
      <c r="H1" s="114" t="s">
        <v>102</v>
      </c>
      <c r="I1" s="115" t="s">
        <v>138</v>
      </c>
      <c r="J1" s="114" t="s">
        <v>104</v>
      </c>
      <c r="K1" s="142" t="s">
        <v>2</v>
      </c>
      <c r="L1" s="113" t="s">
        <v>136</v>
      </c>
      <c r="M1" s="113" t="s">
        <v>137</v>
      </c>
      <c r="N1" s="116" t="s">
        <v>95</v>
      </c>
      <c r="O1" s="114" t="s">
        <v>3</v>
      </c>
      <c r="P1" s="117" t="s">
        <v>4</v>
      </c>
    </row>
    <row r="2" spans="1:16" ht="16.5" thickTop="1" thickBot="1" x14ac:dyDescent="0.3">
      <c r="A2" s="128" t="s">
        <v>111</v>
      </c>
      <c r="B2" s="118" t="s">
        <v>22</v>
      </c>
      <c r="C2" s="119" t="s">
        <v>62</v>
      </c>
      <c r="D2" s="120" t="s">
        <v>79</v>
      </c>
      <c r="E2" s="121" t="s">
        <v>65</v>
      </c>
      <c r="F2" s="122">
        <v>1</v>
      </c>
      <c r="G2" s="123" t="s">
        <v>58</v>
      </c>
      <c r="H2" s="120" t="s">
        <v>85</v>
      </c>
      <c r="I2" s="123" t="s">
        <v>9</v>
      </c>
      <c r="J2" s="123" t="s">
        <v>105</v>
      </c>
      <c r="K2" s="129">
        <v>18484.02</v>
      </c>
      <c r="L2" s="124">
        <f>K2*60%</f>
        <v>11090.412</v>
      </c>
      <c r="M2" s="124">
        <f>K2*40%</f>
        <v>7393.6080000000002</v>
      </c>
      <c r="N2" s="124">
        <v>0</v>
      </c>
      <c r="O2" s="124">
        <v>19078.18811847</v>
      </c>
      <c r="P2" s="125">
        <v>30</v>
      </c>
    </row>
    <row r="3" spans="1:16" ht="16.5" hidden="1" thickTop="1" thickBot="1" x14ac:dyDescent="0.3">
      <c r="A3" s="128" t="s">
        <v>111</v>
      </c>
      <c r="B3" s="118" t="s">
        <v>22</v>
      </c>
      <c r="C3" s="119" t="s">
        <v>62</v>
      </c>
      <c r="D3" s="120" t="s">
        <v>79</v>
      </c>
      <c r="E3" s="121" t="s">
        <v>65</v>
      </c>
      <c r="F3" s="122">
        <v>1</v>
      </c>
      <c r="G3" s="123" t="s">
        <v>58</v>
      </c>
      <c r="H3" s="120" t="s">
        <v>85</v>
      </c>
      <c r="I3" s="123" t="s">
        <v>113</v>
      </c>
      <c r="J3" s="123" t="s">
        <v>105</v>
      </c>
      <c r="K3" s="124">
        <v>875</v>
      </c>
      <c r="L3" s="124">
        <v>525</v>
      </c>
      <c r="M3" s="124">
        <v>350</v>
      </c>
      <c r="N3" s="124">
        <v>0</v>
      </c>
      <c r="O3" s="124">
        <v>875</v>
      </c>
      <c r="P3" s="125">
        <v>30</v>
      </c>
    </row>
    <row r="4" spans="1:16" ht="16.5" thickTop="1" thickBot="1" x14ac:dyDescent="0.3">
      <c r="A4" s="128" t="s">
        <v>111</v>
      </c>
      <c r="B4" s="118" t="s">
        <v>22</v>
      </c>
      <c r="C4" s="119" t="s">
        <v>60</v>
      </c>
      <c r="D4" s="120" t="s">
        <v>79</v>
      </c>
      <c r="E4" s="121" t="s">
        <v>65</v>
      </c>
      <c r="F4" s="122">
        <v>1</v>
      </c>
      <c r="G4" s="123" t="s">
        <v>35</v>
      </c>
      <c r="H4" s="120" t="s">
        <v>83</v>
      </c>
      <c r="I4" s="123" t="s">
        <v>9</v>
      </c>
      <c r="J4" s="123" t="s">
        <v>105</v>
      </c>
      <c r="K4" s="129">
        <v>23105.040000000001</v>
      </c>
      <c r="L4" s="124">
        <f>K4*60%</f>
        <v>13863.023999999999</v>
      </c>
      <c r="M4" s="124">
        <f>K4*40%</f>
        <v>9242.0160000000014</v>
      </c>
      <c r="N4" s="124">
        <v>0</v>
      </c>
      <c r="O4" s="124">
        <v>23847.740911214998</v>
      </c>
      <c r="P4" s="125">
        <v>30</v>
      </c>
    </row>
    <row r="5" spans="1:16" ht="16.5" thickTop="1" thickBot="1" x14ac:dyDescent="0.3">
      <c r="A5" s="128" t="s">
        <v>111</v>
      </c>
      <c r="B5" s="118" t="s">
        <v>22</v>
      </c>
      <c r="C5" s="119" t="s">
        <v>61</v>
      </c>
      <c r="D5" s="120" t="s">
        <v>79</v>
      </c>
      <c r="E5" s="121" t="s">
        <v>65</v>
      </c>
      <c r="F5" s="122">
        <v>1</v>
      </c>
      <c r="G5" s="123" t="s">
        <v>132</v>
      </c>
      <c r="H5" s="120" t="s">
        <v>88</v>
      </c>
      <c r="I5" s="123" t="s">
        <v>9</v>
      </c>
      <c r="J5" s="123" t="s">
        <v>105</v>
      </c>
      <c r="K5" s="129">
        <v>32347.05</v>
      </c>
      <c r="L5" s="124">
        <f>K5*60%</f>
        <v>19408.23</v>
      </c>
      <c r="M5" s="124">
        <f>K5*40%</f>
        <v>12938.82</v>
      </c>
      <c r="N5" s="124">
        <v>0</v>
      </c>
      <c r="O5" s="124">
        <v>33386.834650000004</v>
      </c>
      <c r="P5" s="125">
        <v>30</v>
      </c>
    </row>
    <row r="6" spans="1:16" ht="16.5" hidden="1" thickTop="1" thickBot="1" x14ac:dyDescent="0.3">
      <c r="A6" s="128" t="s">
        <v>111</v>
      </c>
      <c r="B6" s="118" t="s">
        <v>22</v>
      </c>
      <c r="C6" s="119" t="s">
        <v>61</v>
      </c>
      <c r="D6" s="120" t="s">
        <v>79</v>
      </c>
      <c r="E6" s="121" t="s">
        <v>65</v>
      </c>
      <c r="F6" s="122">
        <v>1</v>
      </c>
      <c r="G6" s="123" t="s">
        <v>132</v>
      </c>
      <c r="H6" s="120" t="s">
        <v>88</v>
      </c>
      <c r="I6" s="123" t="s">
        <v>113</v>
      </c>
      <c r="J6" s="123" t="s">
        <v>105</v>
      </c>
      <c r="K6" s="130">
        <v>875</v>
      </c>
      <c r="L6" s="131">
        <v>525</v>
      </c>
      <c r="M6" s="124">
        <v>350</v>
      </c>
      <c r="N6" s="124">
        <v>0</v>
      </c>
      <c r="O6" s="124">
        <v>875</v>
      </c>
      <c r="P6" s="125">
        <v>30</v>
      </c>
    </row>
    <row r="7" spans="1:16" ht="16.5" thickTop="1" thickBot="1" x14ac:dyDescent="0.3">
      <c r="A7" s="128" t="s">
        <v>111</v>
      </c>
      <c r="B7" s="118" t="s">
        <v>22</v>
      </c>
      <c r="C7" s="119" t="s">
        <v>60</v>
      </c>
      <c r="D7" s="120" t="s">
        <v>79</v>
      </c>
      <c r="E7" s="121" t="s">
        <v>65</v>
      </c>
      <c r="F7" s="122">
        <v>1</v>
      </c>
      <c r="G7" s="132" t="s">
        <v>38</v>
      </c>
      <c r="H7" s="120" t="s">
        <v>85</v>
      </c>
      <c r="I7" s="123" t="s">
        <v>9</v>
      </c>
      <c r="J7" s="123" t="s">
        <v>105</v>
      </c>
      <c r="K7" s="129">
        <v>13863.02</v>
      </c>
      <c r="L7" s="124">
        <f>K7*60%</f>
        <v>8317.8119999999999</v>
      </c>
      <c r="M7" s="124">
        <f>K7*40%</f>
        <v>5545.2080000000005</v>
      </c>
      <c r="N7" s="124">
        <v>0</v>
      </c>
      <c r="O7" s="124">
        <v>9539.0940592349998</v>
      </c>
      <c r="P7" s="125">
        <v>30</v>
      </c>
    </row>
    <row r="8" spans="1:16" ht="16.5" thickTop="1" thickBot="1" x14ac:dyDescent="0.3">
      <c r="A8" s="128" t="s">
        <v>111</v>
      </c>
      <c r="B8" s="118" t="s">
        <v>22</v>
      </c>
      <c r="C8" s="119" t="s">
        <v>61</v>
      </c>
      <c r="D8" s="120" t="s">
        <v>79</v>
      </c>
      <c r="E8" s="121" t="s">
        <v>65</v>
      </c>
      <c r="F8" s="122">
        <v>1</v>
      </c>
      <c r="G8" s="123" t="s">
        <v>47</v>
      </c>
      <c r="H8" s="120" t="s">
        <v>85</v>
      </c>
      <c r="I8" s="123" t="s">
        <v>9</v>
      </c>
      <c r="J8" s="123" t="s">
        <v>105</v>
      </c>
      <c r="K8" s="129">
        <v>32314.78</v>
      </c>
      <c r="L8" s="124">
        <f>K8*60%</f>
        <v>19388.867999999999</v>
      </c>
      <c r="M8" s="124">
        <f>K8*40%</f>
        <v>12925.912</v>
      </c>
      <c r="N8" s="124">
        <v>0</v>
      </c>
      <c r="O8" s="124">
        <v>33354.561456449999</v>
      </c>
      <c r="P8" s="125">
        <v>30</v>
      </c>
    </row>
    <row r="9" spans="1:16" ht="16.5" hidden="1" thickTop="1" thickBot="1" x14ac:dyDescent="0.3">
      <c r="A9" s="128" t="s">
        <v>111</v>
      </c>
      <c r="B9" s="118" t="s">
        <v>22</v>
      </c>
      <c r="C9" s="119" t="s">
        <v>61</v>
      </c>
      <c r="D9" s="120" t="s">
        <v>79</v>
      </c>
      <c r="E9" s="121" t="s">
        <v>65</v>
      </c>
      <c r="F9" s="122">
        <v>1</v>
      </c>
      <c r="G9" s="123" t="s">
        <v>47</v>
      </c>
      <c r="H9" s="120" t="s">
        <v>85</v>
      </c>
      <c r="I9" s="123" t="s">
        <v>113</v>
      </c>
      <c r="J9" s="123" t="s">
        <v>105</v>
      </c>
      <c r="K9" s="130">
        <v>875</v>
      </c>
      <c r="L9" s="131">
        <v>525</v>
      </c>
      <c r="M9" s="124">
        <v>350</v>
      </c>
      <c r="N9" s="124">
        <v>0</v>
      </c>
      <c r="O9" s="124">
        <v>875</v>
      </c>
      <c r="P9" s="125">
        <v>30</v>
      </c>
    </row>
    <row r="10" spans="1:16" ht="16.5" hidden="1" thickTop="1" thickBot="1" x14ac:dyDescent="0.3">
      <c r="A10" s="128" t="s">
        <v>111</v>
      </c>
      <c r="B10" s="118" t="s">
        <v>22</v>
      </c>
      <c r="C10" s="119" t="s">
        <v>62</v>
      </c>
      <c r="D10" s="120" t="s">
        <v>79</v>
      </c>
      <c r="E10" s="121" t="s">
        <v>65</v>
      </c>
      <c r="F10" s="122">
        <v>1</v>
      </c>
      <c r="G10" s="123" t="s">
        <v>54</v>
      </c>
      <c r="H10" s="120" t="s">
        <v>85</v>
      </c>
      <c r="I10" s="123" t="s">
        <v>20</v>
      </c>
      <c r="J10" s="123" t="s">
        <v>105</v>
      </c>
      <c r="K10" s="129">
        <v>40617.404573265005</v>
      </c>
      <c r="L10" s="124">
        <v>24370.442743959004</v>
      </c>
      <c r="M10" s="124">
        <v>16246.961829306003</v>
      </c>
      <c r="N10" s="124">
        <v>0</v>
      </c>
      <c r="O10" s="124">
        <v>40617.404573265005</v>
      </c>
      <c r="P10" s="125">
        <v>30</v>
      </c>
    </row>
    <row r="11" spans="1:16" ht="16.5" thickTop="1" thickBot="1" x14ac:dyDescent="0.3">
      <c r="A11" s="128" t="s">
        <v>111</v>
      </c>
      <c r="B11" s="118" t="s">
        <v>22</v>
      </c>
      <c r="C11" s="119" t="s">
        <v>62</v>
      </c>
      <c r="D11" s="120" t="s">
        <v>79</v>
      </c>
      <c r="E11" s="121" t="s">
        <v>65</v>
      </c>
      <c r="F11" s="122">
        <v>1</v>
      </c>
      <c r="G11" s="123" t="s">
        <v>54</v>
      </c>
      <c r="H11" s="120" t="s">
        <v>85</v>
      </c>
      <c r="I11" s="123" t="s">
        <v>9</v>
      </c>
      <c r="J11" s="123" t="s">
        <v>105</v>
      </c>
      <c r="K11" s="129">
        <v>32314.78</v>
      </c>
      <c r="L11" s="124">
        <f>K11*60%</f>
        <v>19388.867999999999</v>
      </c>
      <c r="M11" s="124">
        <f>K11*40%</f>
        <v>12925.912</v>
      </c>
      <c r="N11" s="124">
        <v>0</v>
      </c>
      <c r="O11" s="124">
        <v>33354.561456449999</v>
      </c>
      <c r="P11" s="125">
        <v>30</v>
      </c>
    </row>
    <row r="12" spans="1:16" ht="16.5" hidden="1" thickTop="1" thickBot="1" x14ac:dyDescent="0.3">
      <c r="A12" s="128" t="s">
        <v>111</v>
      </c>
      <c r="B12" s="133" t="s">
        <v>22</v>
      </c>
      <c r="C12" s="134" t="s">
        <v>61</v>
      </c>
      <c r="D12" s="135" t="s">
        <v>79</v>
      </c>
      <c r="E12" s="136" t="s">
        <v>65</v>
      </c>
      <c r="F12" s="137">
        <v>1</v>
      </c>
      <c r="G12" s="138" t="s">
        <v>46</v>
      </c>
      <c r="H12" s="135" t="s">
        <v>85</v>
      </c>
      <c r="I12" s="138" t="s">
        <v>20</v>
      </c>
      <c r="J12" s="138" t="s">
        <v>105</v>
      </c>
      <c r="K12" s="139">
        <v>58492.355406029994</v>
      </c>
      <c r="L12" s="131">
        <v>35095.413243617993</v>
      </c>
      <c r="M12" s="131">
        <v>23396.942162412</v>
      </c>
      <c r="N12" s="131">
        <v>0</v>
      </c>
      <c r="O12" s="131">
        <v>58492.355406029994</v>
      </c>
      <c r="P12" s="140">
        <v>30</v>
      </c>
    </row>
    <row r="13" spans="1:16" ht="16.5" hidden="1" thickTop="1" thickBot="1" x14ac:dyDescent="0.3">
      <c r="A13" s="128" t="s">
        <v>111</v>
      </c>
      <c r="B13" s="118" t="s">
        <v>22</v>
      </c>
      <c r="C13" s="119" t="s">
        <v>61</v>
      </c>
      <c r="D13" s="120" t="s">
        <v>79</v>
      </c>
      <c r="E13" s="121" t="s">
        <v>65</v>
      </c>
      <c r="F13" s="122">
        <v>1</v>
      </c>
      <c r="G13" s="123" t="s">
        <v>46</v>
      </c>
      <c r="H13" s="120" t="s">
        <v>85</v>
      </c>
      <c r="I13" s="123" t="s">
        <v>98</v>
      </c>
      <c r="J13" s="123" t="s">
        <v>105</v>
      </c>
      <c r="K13" s="130">
        <v>3457.8765000000003</v>
      </c>
      <c r="L13" s="131">
        <v>2074.7258999999999</v>
      </c>
      <c r="M13" s="124">
        <v>1383.1506000000002</v>
      </c>
      <c r="N13" s="124">
        <v>0</v>
      </c>
      <c r="O13" s="124">
        <v>3457.8765000000003</v>
      </c>
      <c r="P13" s="125">
        <v>30</v>
      </c>
    </row>
    <row r="14" spans="1:16" ht="16.5" thickTop="1" thickBot="1" x14ac:dyDescent="0.3">
      <c r="A14" s="128" t="s">
        <v>111</v>
      </c>
      <c r="B14" s="133" t="s">
        <v>22</v>
      </c>
      <c r="C14" s="134" t="s">
        <v>61</v>
      </c>
      <c r="D14" s="135" t="s">
        <v>79</v>
      </c>
      <c r="E14" s="136" t="s">
        <v>65</v>
      </c>
      <c r="F14" s="137">
        <v>1</v>
      </c>
      <c r="G14" s="138" t="s">
        <v>46</v>
      </c>
      <c r="H14" s="135" t="s">
        <v>85</v>
      </c>
      <c r="I14" s="138" t="s">
        <v>9</v>
      </c>
      <c r="J14" s="138" t="s">
        <v>105</v>
      </c>
      <c r="K14" s="143">
        <v>41589.06</v>
      </c>
      <c r="L14" s="124">
        <f>K14*60%</f>
        <v>24953.435999999998</v>
      </c>
      <c r="M14" s="124">
        <f>K14*40%</f>
        <v>16635.624</v>
      </c>
      <c r="N14" s="131">
        <v>0</v>
      </c>
      <c r="O14" s="131">
        <v>42925.929029685009</v>
      </c>
      <c r="P14" s="140">
        <v>30</v>
      </c>
    </row>
    <row r="15" spans="1:16" ht="16.5" hidden="1" thickTop="1" thickBot="1" x14ac:dyDescent="0.3">
      <c r="A15" s="128" t="s">
        <v>111</v>
      </c>
      <c r="B15" s="118" t="s">
        <v>22</v>
      </c>
      <c r="C15" s="119" t="s">
        <v>61</v>
      </c>
      <c r="D15" s="120" t="s">
        <v>79</v>
      </c>
      <c r="E15" s="121" t="s">
        <v>65</v>
      </c>
      <c r="F15" s="122">
        <v>1</v>
      </c>
      <c r="G15" s="123" t="s">
        <v>46</v>
      </c>
      <c r="H15" s="120" t="s">
        <v>85</v>
      </c>
      <c r="I15" s="123" t="s">
        <v>97</v>
      </c>
      <c r="J15" s="123" t="s">
        <v>105</v>
      </c>
      <c r="K15" s="130">
        <v>7072</v>
      </c>
      <c r="L15" s="131">
        <v>4243.2</v>
      </c>
      <c r="M15" s="124">
        <v>2828.8</v>
      </c>
      <c r="N15" s="124">
        <v>0</v>
      </c>
      <c r="O15" s="124">
        <v>7072</v>
      </c>
      <c r="P15" s="125">
        <v>30</v>
      </c>
    </row>
    <row r="16" spans="1:16" ht="16.5" hidden="1" thickTop="1" thickBot="1" x14ac:dyDescent="0.3">
      <c r="A16" s="128" t="s">
        <v>111</v>
      </c>
      <c r="B16" s="118" t="s">
        <v>22</v>
      </c>
      <c r="C16" s="119" t="s">
        <v>61</v>
      </c>
      <c r="D16" s="120" t="s">
        <v>79</v>
      </c>
      <c r="E16" s="121" t="s">
        <v>65</v>
      </c>
      <c r="F16" s="122">
        <v>1</v>
      </c>
      <c r="G16" s="123" t="s">
        <v>46</v>
      </c>
      <c r="H16" s="120" t="s">
        <v>85</v>
      </c>
      <c r="I16" s="123" t="s">
        <v>113</v>
      </c>
      <c r="J16" s="123" t="s">
        <v>105</v>
      </c>
      <c r="K16" s="124">
        <v>875</v>
      </c>
      <c r="L16" s="131">
        <v>525</v>
      </c>
      <c r="M16" s="124">
        <v>350</v>
      </c>
      <c r="N16" s="124">
        <v>0</v>
      </c>
      <c r="O16" s="124">
        <v>875</v>
      </c>
      <c r="P16" s="125">
        <v>30</v>
      </c>
    </row>
    <row r="17" spans="1:16" ht="16.5" thickTop="1" thickBot="1" x14ac:dyDescent="0.3">
      <c r="A17" s="128" t="s">
        <v>111</v>
      </c>
      <c r="B17" s="118" t="s">
        <v>22</v>
      </c>
      <c r="C17" s="119" t="s">
        <v>61</v>
      </c>
      <c r="D17" s="120" t="s">
        <v>79</v>
      </c>
      <c r="E17" s="121" t="s">
        <v>65</v>
      </c>
      <c r="F17" s="122">
        <v>1</v>
      </c>
      <c r="G17" s="123" t="s">
        <v>129</v>
      </c>
      <c r="H17" s="120" t="s">
        <v>85</v>
      </c>
      <c r="I17" s="123" t="s">
        <v>9</v>
      </c>
      <c r="J17" s="123" t="s">
        <v>105</v>
      </c>
      <c r="K17" s="129">
        <v>27726.03</v>
      </c>
      <c r="L17" s="124">
        <f>K17*60%</f>
        <v>16635.617999999999</v>
      </c>
      <c r="M17" s="124">
        <f>K17*40%</f>
        <v>11090.412</v>
      </c>
      <c r="N17" s="124">
        <v>0</v>
      </c>
      <c r="O17" s="124">
        <v>28617.27895</v>
      </c>
      <c r="P17" s="125">
        <v>30</v>
      </c>
    </row>
    <row r="18" spans="1:16" ht="16.5" hidden="1" thickTop="1" thickBot="1" x14ac:dyDescent="0.3">
      <c r="A18" s="128" t="s">
        <v>111</v>
      </c>
      <c r="B18" s="118" t="s">
        <v>22</v>
      </c>
      <c r="C18" s="119" t="s">
        <v>61</v>
      </c>
      <c r="D18" s="120" t="s">
        <v>79</v>
      </c>
      <c r="E18" s="121" t="s">
        <v>65</v>
      </c>
      <c r="F18" s="122">
        <v>1</v>
      </c>
      <c r="G18" s="123" t="s">
        <v>129</v>
      </c>
      <c r="H18" s="120" t="s">
        <v>85</v>
      </c>
      <c r="I18" s="123" t="s">
        <v>113</v>
      </c>
      <c r="J18" s="123" t="s">
        <v>105</v>
      </c>
      <c r="K18" s="124">
        <v>875</v>
      </c>
      <c r="L18" s="131">
        <v>525</v>
      </c>
      <c r="M18" s="124">
        <v>350</v>
      </c>
      <c r="N18" s="124">
        <v>0</v>
      </c>
      <c r="O18" s="124">
        <v>875</v>
      </c>
      <c r="P18" s="125">
        <v>30</v>
      </c>
    </row>
    <row r="19" spans="1:16" ht="16.5" hidden="1" thickTop="1" thickBot="1" x14ac:dyDescent="0.3">
      <c r="A19" s="128" t="s">
        <v>111</v>
      </c>
      <c r="B19" s="118" t="s">
        <v>22</v>
      </c>
      <c r="C19" s="119" t="s">
        <v>60</v>
      </c>
      <c r="D19" s="120" t="s">
        <v>79</v>
      </c>
      <c r="E19" s="121" t="s">
        <v>65</v>
      </c>
      <c r="F19" s="122">
        <v>1</v>
      </c>
      <c r="G19" s="123" t="s">
        <v>34</v>
      </c>
      <c r="H19" s="120" t="s">
        <v>87</v>
      </c>
      <c r="I19" s="123" t="s">
        <v>20</v>
      </c>
      <c r="J19" s="123" t="s">
        <v>105</v>
      </c>
      <c r="K19" s="124">
        <v>40851.191603430001</v>
      </c>
      <c r="L19" s="124">
        <v>24510.714962057998</v>
      </c>
      <c r="M19" s="124">
        <v>16340.476641372001</v>
      </c>
      <c r="N19" s="124">
        <v>0</v>
      </c>
      <c r="O19" s="124">
        <v>40851.191603430001</v>
      </c>
      <c r="P19" s="125">
        <v>30</v>
      </c>
    </row>
    <row r="20" spans="1:16" ht="16.5" thickTop="1" thickBot="1" x14ac:dyDescent="0.3">
      <c r="A20" s="128" t="s">
        <v>111</v>
      </c>
      <c r="B20" s="118" t="s">
        <v>22</v>
      </c>
      <c r="C20" s="119" t="s">
        <v>60</v>
      </c>
      <c r="D20" s="120" t="s">
        <v>79</v>
      </c>
      <c r="E20" s="121" t="s">
        <v>65</v>
      </c>
      <c r="F20" s="122">
        <v>1</v>
      </c>
      <c r="G20" s="123" t="s">
        <v>34</v>
      </c>
      <c r="H20" s="120" t="s">
        <v>87</v>
      </c>
      <c r="I20" s="123" t="s">
        <v>9</v>
      </c>
      <c r="J20" s="123" t="s">
        <v>105</v>
      </c>
      <c r="K20" s="129">
        <v>32314.78</v>
      </c>
      <c r="L20" s="124">
        <f>K20*60%</f>
        <v>19388.867999999999</v>
      </c>
      <c r="M20" s="124">
        <f>K20*40%</f>
        <v>12925.912</v>
      </c>
      <c r="N20" s="124">
        <v>0</v>
      </c>
      <c r="O20" s="124">
        <v>33354.561456449999</v>
      </c>
      <c r="P20" s="125">
        <v>30</v>
      </c>
    </row>
    <row r="21" spans="1:16" ht="16.5" hidden="1" thickTop="1" thickBot="1" x14ac:dyDescent="0.3">
      <c r="A21" s="128" t="s">
        <v>111</v>
      </c>
      <c r="B21" s="118" t="s">
        <v>22</v>
      </c>
      <c r="C21" s="119" t="s">
        <v>60</v>
      </c>
      <c r="D21" s="120" t="s">
        <v>79</v>
      </c>
      <c r="E21" s="121" t="s">
        <v>65</v>
      </c>
      <c r="F21" s="122">
        <v>1</v>
      </c>
      <c r="G21" s="123" t="s">
        <v>34</v>
      </c>
      <c r="H21" s="120" t="s">
        <v>87</v>
      </c>
      <c r="I21" s="123" t="s">
        <v>113</v>
      </c>
      <c r="J21" s="123" t="s">
        <v>105</v>
      </c>
      <c r="K21" s="124">
        <v>875</v>
      </c>
      <c r="L21" s="124">
        <v>525</v>
      </c>
      <c r="M21" s="124">
        <v>350</v>
      </c>
      <c r="N21" s="124">
        <v>0</v>
      </c>
      <c r="O21" s="124">
        <v>875</v>
      </c>
      <c r="P21" s="125">
        <v>30</v>
      </c>
    </row>
    <row r="22" spans="1:16" ht="16.5" thickTop="1" thickBot="1" x14ac:dyDescent="0.3">
      <c r="A22" s="128" t="s">
        <v>111</v>
      </c>
      <c r="B22" s="118" t="s">
        <v>22</v>
      </c>
      <c r="C22" s="119" t="s">
        <v>60</v>
      </c>
      <c r="D22" s="120" t="s">
        <v>79</v>
      </c>
      <c r="E22" s="121" t="s">
        <v>65</v>
      </c>
      <c r="F22" s="122">
        <v>1</v>
      </c>
      <c r="G22" s="123" t="s">
        <v>93</v>
      </c>
      <c r="H22" s="120" t="s">
        <v>85</v>
      </c>
      <c r="I22" s="123" t="s">
        <v>9</v>
      </c>
      <c r="J22" s="123" t="s">
        <v>105</v>
      </c>
      <c r="K22" s="129">
        <v>18484.02</v>
      </c>
      <c r="L22" s="124">
        <f>K22*60%</f>
        <v>11090.412</v>
      </c>
      <c r="M22" s="124">
        <f>K22*40%</f>
        <v>7393.6080000000002</v>
      </c>
      <c r="N22" s="124">
        <v>0</v>
      </c>
      <c r="O22" s="124">
        <v>19078.18811847</v>
      </c>
      <c r="P22" s="125">
        <v>30</v>
      </c>
    </row>
    <row r="23" spans="1:16" ht="16.5" hidden="1" thickTop="1" thickBot="1" x14ac:dyDescent="0.3">
      <c r="A23" s="128" t="s">
        <v>111</v>
      </c>
      <c r="B23" s="118" t="s">
        <v>22</v>
      </c>
      <c r="C23" s="119" t="s">
        <v>61</v>
      </c>
      <c r="D23" s="120" t="s">
        <v>79</v>
      </c>
      <c r="E23" s="121" t="s">
        <v>65</v>
      </c>
      <c r="F23" s="122">
        <v>1</v>
      </c>
      <c r="G23" s="123" t="s">
        <v>45</v>
      </c>
      <c r="H23" s="120" t="s">
        <v>91</v>
      </c>
      <c r="I23" s="123" t="s">
        <v>20</v>
      </c>
      <c r="J23" s="123" t="s">
        <v>105</v>
      </c>
      <c r="K23" s="139">
        <v>40617.404573265005</v>
      </c>
      <c r="L23" s="131">
        <v>24370.442743959004</v>
      </c>
      <c r="M23" s="124">
        <v>16246.961829306003</v>
      </c>
      <c r="N23" s="124">
        <v>1837.8916096500002</v>
      </c>
      <c r="O23" s="124">
        <v>38779.512963615001</v>
      </c>
      <c r="P23" s="125">
        <v>30</v>
      </c>
    </row>
    <row r="24" spans="1:16" ht="16.5" thickTop="1" thickBot="1" x14ac:dyDescent="0.3">
      <c r="A24" s="128" t="s">
        <v>111</v>
      </c>
      <c r="B24" s="118" t="s">
        <v>22</v>
      </c>
      <c r="C24" s="119" t="s">
        <v>61</v>
      </c>
      <c r="D24" s="120" t="s">
        <v>79</v>
      </c>
      <c r="E24" s="121" t="s">
        <v>65</v>
      </c>
      <c r="F24" s="122">
        <v>1</v>
      </c>
      <c r="G24" s="123" t="s">
        <v>45</v>
      </c>
      <c r="H24" s="120" t="s">
        <v>91</v>
      </c>
      <c r="I24" s="123" t="s">
        <v>9</v>
      </c>
      <c r="J24" s="123" t="s">
        <v>105</v>
      </c>
      <c r="K24" s="143">
        <v>27726.04</v>
      </c>
      <c r="L24" s="124">
        <f>K24*60%</f>
        <v>16635.624</v>
      </c>
      <c r="M24" s="124">
        <f>K24*40%</f>
        <v>11090.416000000001</v>
      </c>
      <c r="N24" s="124">
        <v>1294.8996460500002</v>
      </c>
      <c r="O24" s="124">
        <v>27322.382531654999</v>
      </c>
      <c r="P24" s="125">
        <v>30</v>
      </c>
    </row>
    <row r="25" spans="1:16" ht="16.5" hidden="1" thickTop="1" thickBot="1" x14ac:dyDescent="0.3">
      <c r="A25" s="128" t="s">
        <v>111</v>
      </c>
      <c r="B25" s="118" t="s">
        <v>22</v>
      </c>
      <c r="C25" s="119" t="s">
        <v>61</v>
      </c>
      <c r="D25" s="120" t="s">
        <v>79</v>
      </c>
      <c r="E25" s="121" t="s">
        <v>65</v>
      </c>
      <c r="F25" s="122">
        <v>1</v>
      </c>
      <c r="G25" s="123" t="s">
        <v>45</v>
      </c>
      <c r="H25" s="120" t="s">
        <v>91</v>
      </c>
      <c r="I25" s="123" t="s">
        <v>113</v>
      </c>
      <c r="J25" s="123" t="s">
        <v>105</v>
      </c>
      <c r="K25" s="124">
        <v>875</v>
      </c>
      <c r="L25" s="131">
        <v>525</v>
      </c>
      <c r="M25" s="124">
        <v>350</v>
      </c>
      <c r="N25" s="124">
        <v>0</v>
      </c>
      <c r="O25" s="124">
        <v>875</v>
      </c>
      <c r="P25" s="125">
        <v>30</v>
      </c>
    </row>
    <row r="26" spans="1:16" ht="16.5" hidden="1" thickTop="1" thickBot="1" x14ac:dyDescent="0.3">
      <c r="A26" s="128" t="s">
        <v>111</v>
      </c>
      <c r="B26" s="118" t="s">
        <v>22</v>
      </c>
      <c r="C26" s="119" t="s">
        <v>60</v>
      </c>
      <c r="D26" s="120" t="s">
        <v>79</v>
      </c>
      <c r="E26" s="121" t="s">
        <v>65</v>
      </c>
      <c r="F26" s="122">
        <v>1</v>
      </c>
      <c r="G26" s="123" t="s">
        <v>36</v>
      </c>
      <c r="H26" s="120" t="s">
        <v>89</v>
      </c>
      <c r="I26" s="123" t="s">
        <v>20</v>
      </c>
      <c r="J26" s="123" t="s">
        <v>105</v>
      </c>
      <c r="K26" s="124">
        <v>40851.191603430001</v>
      </c>
      <c r="L26" s="141">
        <v>24510.714962057998</v>
      </c>
      <c r="M26" s="124">
        <v>16340.476641372001</v>
      </c>
      <c r="N26" s="124">
        <v>0</v>
      </c>
      <c r="O26" s="124">
        <v>40851.191603430001</v>
      </c>
      <c r="P26" s="125">
        <v>30</v>
      </c>
    </row>
    <row r="27" spans="1:16" ht="16.5" thickTop="1" thickBot="1" x14ac:dyDescent="0.3">
      <c r="A27" s="128" t="s">
        <v>111</v>
      </c>
      <c r="B27" s="118" t="s">
        <v>22</v>
      </c>
      <c r="C27" s="119" t="s">
        <v>60</v>
      </c>
      <c r="D27" s="120" t="s">
        <v>79</v>
      </c>
      <c r="E27" s="121" t="s">
        <v>65</v>
      </c>
      <c r="F27" s="122">
        <v>1</v>
      </c>
      <c r="G27" s="123" t="s">
        <v>36</v>
      </c>
      <c r="H27" s="120" t="s">
        <v>89</v>
      </c>
      <c r="I27" s="123" t="s">
        <v>9</v>
      </c>
      <c r="J27" s="123" t="s">
        <v>105</v>
      </c>
      <c r="K27" s="129">
        <v>32314.78</v>
      </c>
      <c r="L27" s="124">
        <f>K27*60%</f>
        <v>19388.867999999999</v>
      </c>
      <c r="M27" s="124">
        <f>K27*40%</f>
        <v>12925.912</v>
      </c>
      <c r="N27" s="124">
        <v>0</v>
      </c>
      <c r="O27" s="124">
        <v>33354.561456449999</v>
      </c>
      <c r="P27" s="125">
        <v>30</v>
      </c>
    </row>
    <row r="28" spans="1:16" ht="16.5" hidden="1" thickTop="1" thickBot="1" x14ac:dyDescent="0.3">
      <c r="A28" s="128" t="s">
        <v>111</v>
      </c>
      <c r="B28" s="118" t="s">
        <v>22</v>
      </c>
      <c r="C28" s="119" t="s">
        <v>60</v>
      </c>
      <c r="D28" s="120" t="s">
        <v>79</v>
      </c>
      <c r="E28" s="121" t="s">
        <v>65</v>
      </c>
      <c r="F28" s="122">
        <v>1</v>
      </c>
      <c r="G28" s="123" t="s">
        <v>36</v>
      </c>
      <c r="H28" s="120" t="s">
        <v>89</v>
      </c>
      <c r="I28" s="123" t="s">
        <v>113</v>
      </c>
      <c r="J28" s="123" t="s">
        <v>105</v>
      </c>
      <c r="K28" s="124">
        <v>875</v>
      </c>
      <c r="L28" s="124">
        <v>525</v>
      </c>
      <c r="M28" s="124">
        <v>350</v>
      </c>
      <c r="N28" s="124">
        <v>0</v>
      </c>
      <c r="O28" s="124">
        <v>875</v>
      </c>
      <c r="P28" s="125">
        <v>30</v>
      </c>
    </row>
    <row r="29" spans="1:16" ht="16.5" hidden="1" thickTop="1" thickBot="1" x14ac:dyDescent="0.3">
      <c r="A29" s="128" t="s">
        <v>111</v>
      </c>
      <c r="B29" s="118" t="s">
        <v>22</v>
      </c>
      <c r="C29" s="119" t="s">
        <v>62</v>
      </c>
      <c r="D29" s="120" t="s">
        <v>79</v>
      </c>
      <c r="E29" s="121" t="s">
        <v>65</v>
      </c>
      <c r="F29" s="122">
        <v>1</v>
      </c>
      <c r="G29" s="123" t="s">
        <v>55</v>
      </c>
      <c r="H29" s="120" t="s">
        <v>85</v>
      </c>
      <c r="I29" s="123" t="s">
        <v>20</v>
      </c>
      <c r="J29" s="123" t="s">
        <v>105</v>
      </c>
      <c r="K29" s="124">
        <v>34814.822702400001</v>
      </c>
      <c r="L29" s="124">
        <v>20888.893621439998</v>
      </c>
      <c r="M29" s="124">
        <v>13925.929080960001</v>
      </c>
      <c r="N29" s="124">
        <v>0</v>
      </c>
      <c r="O29" s="124">
        <v>34814.822702400001</v>
      </c>
      <c r="P29" s="125">
        <v>30</v>
      </c>
    </row>
    <row r="30" spans="1:16" ht="16.5" thickTop="1" thickBot="1" x14ac:dyDescent="0.3">
      <c r="A30" s="128" t="s">
        <v>111</v>
      </c>
      <c r="B30" s="118" t="s">
        <v>22</v>
      </c>
      <c r="C30" s="119" t="s">
        <v>62</v>
      </c>
      <c r="D30" s="120" t="s">
        <v>79</v>
      </c>
      <c r="E30" s="121" t="s">
        <v>65</v>
      </c>
      <c r="F30" s="122">
        <v>1</v>
      </c>
      <c r="G30" s="123" t="s">
        <v>55</v>
      </c>
      <c r="H30" s="120" t="s">
        <v>85</v>
      </c>
      <c r="I30" s="123" t="s">
        <v>9</v>
      </c>
      <c r="J30" s="123" t="s">
        <v>105</v>
      </c>
      <c r="K30" s="129">
        <v>23105.040000000001</v>
      </c>
      <c r="L30" s="124">
        <f>K30*60%</f>
        <v>13863.023999999999</v>
      </c>
      <c r="M30" s="124">
        <f>K30*40%</f>
        <v>9242.0160000000014</v>
      </c>
      <c r="N30" s="124">
        <v>0</v>
      </c>
      <c r="O30" s="124">
        <v>23847.740911214998</v>
      </c>
      <c r="P30" s="125">
        <v>30</v>
      </c>
    </row>
    <row r="31" spans="1:16" ht="16.5" hidden="1" thickTop="1" thickBot="1" x14ac:dyDescent="0.3">
      <c r="A31" s="128" t="s">
        <v>111</v>
      </c>
      <c r="B31" s="118" t="s">
        <v>22</v>
      </c>
      <c r="C31" s="119" t="s">
        <v>62</v>
      </c>
      <c r="D31" s="120" t="s">
        <v>79</v>
      </c>
      <c r="E31" s="121" t="s">
        <v>65</v>
      </c>
      <c r="F31" s="122">
        <v>1</v>
      </c>
      <c r="G31" s="123" t="s">
        <v>55</v>
      </c>
      <c r="H31" s="120" t="s">
        <v>85</v>
      </c>
      <c r="I31" s="123" t="s">
        <v>113</v>
      </c>
      <c r="J31" s="123" t="s">
        <v>105</v>
      </c>
      <c r="K31" s="124">
        <v>875</v>
      </c>
      <c r="L31" s="124">
        <v>525</v>
      </c>
      <c r="M31" s="124">
        <v>350</v>
      </c>
      <c r="N31" s="124">
        <v>0</v>
      </c>
      <c r="O31" s="124">
        <v>875</v>
      </c>
      <c r="P31" s="125">
        <v>30</v>
      </c>
    </row>
    <row r="32" spans="1:16" ht="16.5" thickTop="1" thickBot="1" x14ac:dyDescent="0.3">
      <c r="A32" s="128" t="s">
        <v>111</v>
      </c>
      <c r="B32" s="118" t="s">
        <v>22</v>
      </c>
      <c r="C32" s="119" t="s">
        <v>61</v>
      </c>
      <c r="D32" s="120" t="s">
        <v>79</v>
      </c>
      <c r="E32" s="121" t="s">
        <v>65</v>
      </c>
      <c r="F32" s="122">
        <v>1</v>
      </c>
      <c r="G32" s="123" t="s">
        <v>48</v>
      </c>
      <c r="H32" s="120" t="s">
        <v>85</v>
      </c>
      <c r="I32" s="123" t="s">
        <v>9</v>
      </c>
      <c r="J32" s="123" t="s">
        <v>105</v>
      </c>
      <c r="K32" s="129">
        <v>23137.31</v>
      </c>
      <c r="L32" s="124">
        <f>K32*60%</f>
        <v>13882.386</v>
      </c>
      <c r="M32" s="124">
        <f>K32*40%</f>
        <v>9254.9240000000009</v>
      </c>
      <c r="N32" s="124">
        <v>0</v>
      </c>
      <c r="O32" s="124">
        <v>23880.014425214998</v>
      </c>
      <c r="P32" s="125">
        <v>30</v>
      </c>
    </row>
    <row r="33" spans="1:16" ht="16.5" hidden="1" thickTop="1" thickBot="1" x14ac:dyDescent="0.3">
      <c r="A33" s="128" t="s">
        <v>111</v>
      </c>
      <c r="B33" s="118" t="s">
        <v>22</v>
      </c>
      <c r="C33" s="119" t="s">
        <v>61</v>
      </c>
      <c r="D33" s="120" t="s">
        <v>79</v>
      </c>
      <c r="E33" s="121" t="s">
        <v>65</v>
      </c>
      <c r="F33" s="122">
        <v>1</v>
      </c>
      <c r="G33" s="123" t="s">
        <v>48</v>
      </c>
      <c r="H33" s="120" t="s">
        <v>85</v>
      </c>
      <c r="I33" s="123" t="s">
        <v>113</v>
      </c>
      <c r="J33" s="123" t="s">
        <v>105</v>
      </c>
      <c r="K33" s="124">
        <v>875</v>
      </c>
      <c r="L33" s="131">
        <v>525</v>
      </c>
      <c r="M33" s="124">
        <v>350</v>
      </c>
      <c r="N33" s="124">
        <v>0</v>
      </c>
      <c r="O33" s="124">
        <v>875</v>
      </c>
      <c r="P33" s="125">
        <v>30</v>
      </c>
    </row>
    <row r="34" spans="1:16" ht="16.5" thickTop="1" thickBot="1" x14ac:dyDescent="0.3">
      <c r="A34" s="128" t="s">
        <v>111</v>
      </c>
      <c r="B34" s="118" t="s">
        <v>22</v>
      </c>
      <c r="C34" s="119" t="s">
        <v>62</v>
      </c>
      <c r="D34" s="120" t="s">
        <v>79</v>
      </c>
      <c r="E34" s="121" t="s">
        <v>65</v>
      </c>
      <c r="F34" s="122">
        <v>1</v>
      </c>
      <c r="G34" s="123" t="s">
        <v>56</v>
      </c>
      <c r="H34" s="120" t="s">
        <v>85</v>
      </c>
      <c r="I34" s="123" t="s">
        <v>9</v>
      </c>
      <c r="J34" s="123" t="s">
        <v>105</v>
      </c>
      <c r="K34" s="129">
        <v>32347.05</v>
      </c>
      <c r="L34" s="124">
        <f>K34*60%</f>
        <v>19408.23</v>
      </c>
      <c r="M34" s="124">
        <f>K34*40%</f>
        <v>12938.82</v>
      </c>
      <c r="N34" s="124">
        <v>0</v>
      </c>
      <c r="O34" s="124">
        <v>33386.83497045</v>
      </c>
      <c r="P34" s="125">
        <v>30</v>
      </c>
    </row>
    <row r="35" spans="1:16" ht="16.5" hidden="1" thickTop="1" thickBot="1" x14ac:dyDescent="0.3">
      <c r="A35" s="128" t="s">
        <v>111</v>
      </c>
      <c r="B35" s="118" t="s">
        <v>22</v>
      </c>
      <c r="C35" s="119" t="s">
        <v>62</v>
      </c>
      <c r="D35" s="120" t="s">
        <v>79</v>
      </c>
      <c r="E35" s="121" t="s">
        <v>65</v>
      </c>
      <c r="F35" s="122">
        <v>1</v>
      </c>
      <c r="G35" s="123" t="s">
        <v>56</v>
      </c>
      <c r="H35" s="120" t="s">
        <v>85</v>
      </c>
      <c r="I35" s="123" t="s">
        <v>113</v>
      </c>
      <c r="J35" s="123" t="s">
        <v>105</v>
      </c>
      <c r="K35" s="124">
        <v>875</v>
      </c>
      <c r="L35" s="124">
        <v>525</v>
      </c>
      <c r="M35" s="124">
        <v>350</v>
      </c>
      <c r="N35" s="124">
        <v>0</v>
      </c>
      <c r="O35" s="124">
        <v>875</v>
      </c>
      <c r="P35" s="125">
        <v>30</v>
      </c>
    </row>
    <row r="36" spans="1:16" ht="16.5" thickTop="1" thickBot="1" x14ac:dyDescent="0.3">
      <c r="A36" s="128" t="s">
        <v>111</v>
      </c>
      <c r="B36" s="118" t="s">
        <v>22</v>
      </c>
      <c r="C36" s="119" t="s">
        <v>60</v>
      </c>
      <c r="D36" s="120" t="s">
        <v>79</v>
      </c>
      <c r="E36" s="121" t="s">
        <v>65</v>
      </c>
      <c r="F36" s="122">
        <v>1</v>
      </c>
      <c r="G36" s="144" t="s">
        <v>186</v>
      </c>
      <c r="H36" s="120" t="s">
        <v>85</v>
      </c>
      <c r="I36" s="123" t="s">
        <v>9</v>
      </c>
      <c r="J36" s="123" t="s">
        <v>105</v>
      </c>
      <c r="K36" s="129">
        <v>9242.02</v>
      </c>
      <c r="L36" s="124">
        <f>K36*60%</f>
        <v>5545.2120000000004</v>
      </c>
      <c r="M36" s="124">
        <f>K36*40%</f>
        <v>3696.8080000000004</v>
      </c>
      <c r="N36" s="124"/>
      <c r="O36" s="124">
        <v>11764.89</v>
      </c>
      <c r="P36" s="125"/>
    </row>
    <row r="37" spans="1:16" ht="16.5" thickTop="1" thickBot="1" x14ac:dyDescent="0.3">
      <c r="A37" s="128" t="s">
        <v>111</v>
      </c>
      <c r="B37" s="118" t="s">
        <v>22</v>
      </c>
      <c r="C37" s="119" t="s">
        <v>60</v>
      </c>
      <c r="D37" s="120" t="s">
        <v>79</v>
      </c>
      <c r="E37" s="121" t="s">
        <v>65</v>
      </c>
      <c r="F37" s="122">
        <v>1</v>
      </c>
      <c r="G37" s="123" t="s">
        <v>37</v>
      </c>
      <c r="H37" s="120" t="s">
        <v>85</v>
      </c>
      <c r="I37" s="123" t="s">
        <v>9</v>
      </c>
      <c r="J37" s="123" t="s">
        <v>105</v>
      </c>
      <c r="K37" s="129">
        <v>13863.02</v>
      </c>
      <c r="L37" s="124">
        <f>K37*60%</f>
        <v>8317.8119999999999</v>
      </c>
      <c r="M37" s="124">
        <f>K37*40%</f>
        <v>5545.2080000000005</v>
      </c>
      <c r="N37" s="124">
        <v>0</v>
      </c>
      <c r="O37" s="124">
        <v>14308.64685198</v>
      </c>
      <c r="P37" s="125">
        <v>30</v>
      </c>
    </row>
    <row r="38" spans="1:16" ht="16.5" thickTop="1" thickBot="1" x14ac:dyDescent="0.3">
      <c r="A38" s="128" t="s">
        <v>111</v>
      </c>
      <c r="B38" s="118" t="s">
        <v>22</v>
      </c>
      <c r="C38" s="119" t="s">
        <v>62</v>
      </c>
      <c r="D38" s="120" t="s">
        <v>79</v>
      </c>
      <c r="E38" s="121" t="s">
        <v>65</v>
      </c>
      <c r="F38" s="122">
        <v>1</v>
      </c>
      <c r="G38" s="123" t="s">
        <v>57</v>
      </c>
      <c r="H38" s="120" t="s">
        <v>85</v>
      </c>
      <c r="I38" s="123" t="s">
        <v>9</v>
      </c>
      <c r="J38" s="123" t="s">
        <v>105</v>
      </c>
      <c r="K38" s="129">
        <v>32314.78</v>
      </c>
      <c r="L38" s="124">
        <f>K38*60%</f>
        <v>19388.867999999999</v>
      </c>
      <c r="M38" s="124">
        <f>K38*40%</f>
        <v>12925.912</v>
      </c>
      <c r="N38" s="124">
        <v>0</v>
      </c>
      <c r="O38" s="124">
        <v>33354.561456449999</v>
      </c>
      <c r="P38" s="125">
        <v>30</v>
      </c>
    </row>
    <row r="39" spans="1:16" ht="16.5" hidden="1" thickTop="1" thickBot="1" x14ac:dyDescent="0.3">
      <c r="A39" s="128" t="s">
        <v>111</v>
      </c>
      <c r="B39" s="118" t="s">
        <v>22</v>
      </c>
      <c r="C39" s="119" t="s">
        <v>62</v>
      </c>
      <c r="D39" s="120" t="s">
        <v>79</v>
      </c>
      <c r="E39" s="121" t="s">
        <v>65</v>
      </c>
      <c r="F39" s="122">
        <v>1</v>
      </c>
      <c r="G39" s="123" t="s">
        <v>57</v>
      </c>
      <c r="H39" s="120" t="s">
        <v>85</v>
      </c>
      <c r="I39" s="123" t="s">
        <v>113</v>
      </c>
      <c r="J39" s="123" t="s">
        <v>105</v>
      </c>
      <c r="K39" s="124">
        <v>875</v>
      </c>
      <c r="L39" s="124">
        <v>525</v>
      </c>
      <c r="M39" s="124">
        <v>350</v>
      </c>
      <c r="N39" s="124">
        <v>0</v>
      </c>
      <c r="O39" s="124">
        <v>875</v>
      </c>
      <c r="P39" s="125">
        <v>30</v>
      </c>
    </row>
    <row r="40" spans="1:16" ht="15.75" thickTop="1" x14ac:dyDescent="0.25"/>
  </sheetData>
  <autoFilter ref="A1:P39">
    <filterColumn colId="8">
      <filters>
        <filter val="LIMPEZ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O15"/>
  <sheetViews>
    <sheetView workbookViewId="0">
      <selection activeCell="F16" sqref="F16"/>
    </sheetView>
  </sheetViews>
  <sheetFormatPr defaultRowHeight="15" x14ac:dyDescent="0.25"/>
  <cols>
    <col min="1" max="1" width="7.28515625" bestFit="1" customWidth="1"/>
    <col min="2" max="2" width="15" bestFit="1" customWidth="1"/>
    <col min="3" max="3" width="11.28515625" bestFit="1" customWidth="1"/>
    <col min="4" max="4" width="6.42578125" bestFit="1" customWidth="1"/>
    <col min="5" max="5" width="8" bestFit="1" customWidth="1"/>
    <col min="6" max="6" width="57.85546875" bestFit="1" customWidth="1"/>
    <col min="7" max="7" width="20.7109375" bestFit="1" customWidth="1"/>
    <col min="8" max="8" width="12.42578125" bestFit="1" customWidth="1"/>
    <col min="9" max="9" width="11.42578125" bestFit="1" customWidth="1"/>
    <col min="10" max="11" width="13.28515625" bestFit="1" customWidth="1"/>
  </cols>
  <sheetData>
    <row r="3" spans="1:15" ht="15.75" thickBot="1" x14ac:dyDescent="0.3"/>
    <row r="4" spans="1:15" ht="64.5" thickTop="1" thickBot="1" x14ac:dyDescent="0.3">
      <c r="A4" s="59" t="s">
        <v>100</v>
      </c>
      <c r="B4" s="59" t="s">
        <v>80</v>
      </c>
      <c r="C4" s="59" t="s">
        <v>81</v>
      </c>
      <c r="D4" s="59" t="s">
        <v>82</v>
      </c>
      <c r="E4" s="59" t="s">
        <v>101</v>
      </c>
      <c r="F4" s="60" t="s">
        <v>1</v>
      </c>
      <c r="G4" s="60" t="s">
        <v>102</v>
      </c>
      <c r="H4" s="61" t="s">
        <v>138</v>
      </c>
      <c r="I4" s="60" t="s">
        <v>104</v>
      </c>
      <c r="J4" s="59" t="s">
        <v>2</v>
      </c>
      <c r="K4" s="59" t="s">
        <v>136</v>
      </c>
      <c r="L4" s="59" t="s">
        <v>137</v>
      </c>
      <c r="M4" s="62" t="s">
        <v>95</v>
      </c>
      <c r="N4" s="60" t="s">
        <v>3</v>
      </c>
      <c r="O4" s="63" t="s">
        <v>4</v>
      </c>
    </row>
    <row r="5" spans="1:15" ht="16.5" thickTop="1" thickBot="1" x14ac:dyDescent="0.3">
      <c r="A5" s="25" t="s">
        <v>22</v>
      </c>
      <c r="B5" s="8" t="s">
        <v>60</v>
      </c>
      <c r="C5" s="7" t="s">
        <v>79</v>
      </c>
      <c r="D5" s="9" t="s">
        <v>65</v>
      </c>
      <c r="E5" s="10">
        <v>1</v>
      </c>
      <c r="F5" s="11" t="s">
        <v>35</v>
      </c>
      <c r="G5" s="7" t="s">
        <v>83</v>
      </c>
      <c r="H5" s="11" t="s">
        <v>9</v>
      </c>
      <c r="I5" s="11" t="s">
        <v>105</v>
      </c>
      <c r="J5" s="98">
        <v>23847.740911214998</v>
      </c>
      <c r="K5" s="72">
        <v>14308.644546728998</v>
      </c>
      <c r="L5" s="12">
        <v>9539.0963644860003</v>
      </c>
      <c r="M5" s="12">
        <v>0</v>
      </c>
      <c r="N5" s="12">
        <v>23847.740911214998</v>
      </c>
      <c r="O5" s="29">
        <v>30</v>
      </c>
    </row>
    <row r="6" spans="1:15" ht="16.5" thickTop="1" thickBot="1" x14ac:dyDescent="0.3">
      <c r="A6" s="25" t="s">
        <v>22</v>
      </c>
      <c r="B6" s="8" t="s">
        <v>60</v>
      </c>
      <c r="C6" s="7" t="s">
        <v>79</v>
      </c>
      <c r="D6" s="9" t="s">
        <v>65</v>
      </c>
      <c r="E6" s="10">
        <v>1</v>
      </c>
      <c r="F6" s="75" t="s">
        <v>38</v>
      </c>
      <c r="G6" s="7" t="s">
        <v>85</v>
      </c>
      <c r="H6" s="11" t="s">
        <v>9</v>
      </c>
      <c r="I6" s="11" t="s">
        <v>105</v>
      </c>
      <c r="J6" s="98">
        <v>9539.0940592349998</v>
      </c>
      <c r="K6" s="72">
        <v>5723.4564355409993</v>
      </c>
      <c r="L6" s="12">
        <v>3815.637623694</v>
      </c>
      <c r="M6" s="12">
        <v>0</v>
      </c>
      <c r="N6" s="12">
        <v>9539.0940592349998</v>
      </c>
      <c r="O6" s="29">
        <v>30</v>
      </c>
    </row>
    <row r="7" spans="1:15" ht="16.5" thickTop="1" thickBot="1" x14ac:dyDescent="0.3">
      <c r="A7" s="25" t="s">
        <v>22</v>
      </c>
      <c r="B7" s="8" t="s">
        <v>60</v>
      </c>
      <c r="C7" s="7" t="s">
        <v>79</v>
      </c>
      <c r="D7" s="9" t="s">
        <v>65</v>
      </c>
      <c r="E7" s="10">
        <v>1</v>
      </c>
      <c r="F7" s="11" t="s">
        <v>34</v>
      </c>
      <c r="G7" s="7" t="s">
        <v>87</v>
      </c>
      <c r="H7" s="11" t="s">
        <v>20</v>
      </c>
      <c r="I7" s="11" t="s">
        <v>105</v>
      </c>
      <c r="J7" s="12">
        <v>40851.191603430001</v>
      </c>
      <c r="K7" s="72">
        <v>24510.714962057998</v>
      </c>
      <c r="L7" s="12">
        <v>16340.476641372001</v>
      </c>
      <c r="M7" s="12">
        <v>0</v>
      </c>
      <c r="N7" s="12">
        <v>40851.191603430001</v>
      </c>
      <c r="O7" s="29">
        <v>30</v>
      </c>
    </row>
    <row r="8" spans="1:15" ht="16.5" thickTop="1" thickBot="1" x14ac:dyDescent="0.3">
      <c r="A8" s="25" t="s">
        <v>22</v>
      </c>
      <c r="B8" s="8" t="s">
        <v>60</v>
      </c>
      <c r="C8" s="7" t="s">
        <v>79</v>
      </c>
      <c r="D8" s="9" t="s">
        <v>65</v>
      </c>
      <c r="E8" s="10">
        <v>1</v>
      </c>
      <c r="F8" s="11" t="s">
        <v>34</v>
      </c>
      <c r="G8" s="7" t="s">
        <v>87</v>
      </c>
      <c r="H8" s="11" t="s">
        <v>9</v>
      </c>
      <c r="I8" s="11" t="s">
        <v>105</v>
      </c>
      <c r="J8" s="12">
        <v>33354.561456449999</v>
      </c>
      <c r="K8" s="72">
        <v>20012.736873869999</v>
      </c>
      <c r="L8" s="12">
        <v>13341.82458258</v>
      </c>
      <c r="M8" s="12">
        <v>0</v>
      </c>
      <c r="N8" s="12">
        <v>33354.561456449999</v>
      </c>
      <c r="O8" s="29">
        <v>30</v>
      </c>
    </row>
    <row r="9" spans="1:15" ht="16.5" thickTop="1" thickBot="1" x14ac:dyDescent="0.3">
      <c r="A9" s="25" t="s">
        <v>22</v>
      </c>
      <c r="B9" s="8" t="s">
        <v>60</v>
      </c>
      <c r="C9" s="7" t="s">
        <v>79</v>
      </c>
      <c r="D9" s="9" t="s">
        <v>65</v>
      </c>
      <c r="E9" s="10">
        <v>1</v>
      </c>
      <c r="F9" s="11" t="s">
        <v>34</v>
      </c>
      <c r="G9" s="7" t="s">
        <v>87</v>
      </c>
      <c r="H9" s="11" t="s">
        <v>113</v>
      </c>
      <c r="I9" s="11" t="s">
        <v>105</v>
      </c>
      <c r="J9" s="12">
        <v>875</v>
      </c>
      <c r="K9" s="12">
        <v>525</v>
      </c>
      <c r="L9" s="12">
        <v>350</v>
      </c>
      <c r="M9" s="12">
        <v>0</v>
      </c>
      <c r="N9" s="12">
        <v>875</v>
      </c>
      <c r="O9" s="29">
        <v>30</v>
      </c>
    </row>
    <row r="10" spans="1:15" ht="16.5" thickTop="1" thickBot="1" x14ac:dyDescent="0.3">
      <c r="A10" s="25" t="s">
        <v>22</v>
      </c>
      <c r="B10" s="8" t="s">
        <v>60</v>
      </c>
      <c r="C10" s="7" t="s">
        <v>79</v>
      </c>
      <c r="D10" s="9" t="s">
        <v>65</v>
      </c>
      <c r="E10" s="10">
        <v>1</v>
      </c>
      <c r="F10" s="11" t="s">
        <v>93</v>
      </c>
      <c r="G10" s="7" t="s">
        <v>85</v>
      </c>
      <c r="H10" s="11" t="s">
        <v>9</v>
      </c>
      <c r="I10" s="11" t="s">
        <v>105</v>
      </c>
      <c r="J10" s="12">
        <v>19078.18811847</v>
      </c>
      <c r="K10" s="72">
        <v>11446.912871081999</v>
      </c>
      <c r="L10" s="12">
        <v>7631.275247388</v>
      </c>
      <c r="M10" s="12">
        <v>0</v>
      </c>
      <c r="N10" s="12">
        <v>19078.18811847</v>
      </c>
      <c r="O10" s="29">
        <v>30</v>
      </c>
    </row>
    <row r="11" spans="1:15" ht="16.5" thickTop="1" thickBot="1" x14ac:dyDescent="0.3">
      <c r="A11" s="25" t="s">
        <v>22</v>
      </c>
      <c r="B11" s="8" t="s">
        <v>60</v>
      </c>
      <c r="C11" s="7" t="s">
        <v>79</v>
      </c>
      <c r="D11" s="9" t="s">
        <v>65</v>
      </c>
      <c r="E11" s="10">
        <v>1</v>
      </c>
      <c r="F11" s="11" t="s">
        <v>36</v>
      </c>
      <c r="G11" s="7" t="s">
        <v>89</v>
      </c>
      <c r="H11" s="11" t="s">
        <v>20</v>
      </c>
      <c r="I11" s="11" t="s">
        <v>105</v>
      </c>
      <c r="J11" s="12">
        <v>40851.191603430001</v>
      </c>
      <c r="K11" s="83">
        <v>24510.714962057998</v>
      </c>
      <c r="L11" s="12">
        <v>16340.476641372001</v>
      </c>
      <c r="M11" s="12">
        <v>0</v>
      </c>
      <c r="N11" s="12">
        <v>40851.191603430001</v>
      </c>
      <c r="O11" s="29">
        <v>30</v>
      </c>
    </row>
    <row r="12" spans="1:15" ht="16.5" thickTop="1" thickBot="1" x14ac:dyDescent="0.3">
      <c r="A12" s="25" t="s">
        <v>22</v>
      </c>
      <c r="B12" s="8" t="s">
        <v>60</v>
      </c>
      <c r="C12" s="7" t="s">
        <v>79</v>
      </c>
      <c r="D12" s="9" t="s">
        <v>65</v>
      </c>
      <c r="E12" s="10">
        <v>1</v>
      </c>
      <c r="F12" s="11" t="s">
        <v>36</v>
      </c>
      <c r="G12" s="7" t="s">
        <v>89</v>
      </c>
      <c r="H12" s="11" t="s">
        <v>9</v>
      </c>
      <c r="I12" s="11" t="s">
        <v>105</v>
      </c>
      <c r="J12" s="12">
        <v>33354.561456449999</v>
      </c>
      <c r="K12" s="72">
        <v>20012.736873869999</v>
      </c>
      <c r="L12" s="12">
        <v>13341.82458258</v>
      </c>
      <c r="M12" s="12">
        <v>0</v>
      </c>
      <c r="N12" s="12">
        <v>33354.561456449999</v>
      </c>
      <c r="O12" s="29">
        <v>30</v>
      </c>
    </row>
    <row r="13" spans="1:15" ht="16.5" thickTop="1" thickBot="1" x14ac:dyDescent="0.3">
      <c r="A13" s="25" t="s">
        <v>22</v>
      </c>
      <c r="B13" s="8" t="s">
        <v>60</v>
      </c>
      <c r="C13" s="7" t="s">
        <v>79</v>
      </c>
      <c r="D13" s="9" t="s">
        <v>65</v>
      </c>
      <c r="E13" s="10">
        <v>1</v>
      </c>
      <c r="F13" s="11" t="s">
        <v>36</v>
      </c>
      <c r="G13" s="7" t="s">
        <v>89</v>
      </c>
      <c r="H13" s="11" t="s">
        <v>113</v>
      </c>
      <c r="I13" s="11" t="s">
        <v>105</v>
      </c>
      <c r="J13" s="12">
        <v>875</v>
      </c>
      <c r="K13" s="12">
        <v>525</v>
      </c>
      <c r="L13" s="12">
        <v>350</v>
      </c>
      <c r="M13" s="12">
        <v>0</v>
      </c>
      <c r="N13" s="12">
        <v>875</v>
      </c>
      <c r="O13" s="29">
        <v>30</v>
      </c>
    </row>
    <row r="14" spans="1:15" ht="16.5" thickTop="1" thickBot="1" x14ac:dyDescent="0.3">
      <c r="A14" s="25" t="s">
        <v>22</v>
      </c>
      <c r="B14" s="8" t="s">
        <v>60</v>
      </c>
      <c r="C14" s="7" t="s">
        <v>79</v>
      </c>
      <c r="D14" s="9" t="s">
        <v>65</v>
      </c>
      <c r="E14" s="10">
        <v>1</v>
      </c>
      <c r="F14" s="11" t="s">
        <v>37</v>
      </c>
      <c r="G14" s="7" t="s">
        <v>85</v>
      </c>
      <c r="H14" s="11" t="s">
        <v>9</v>
      </c>
      <c r="I14" s="11" t="s">
        <v>105</v>
      </c>
      <c r="J14" s="12">
        <v>14308.64685198</v>
      </c>
      <c r="K14" s="83">
        <v>8585.1881111879993</v>
      </c>
      <c r="L14" s="12">
        <v>5723.4587407920008</v>
      </c>
      <c r="M14" s="12">
        <v>0</v>
      </c>
      <c r="N14" s="12">
        <v>14308.64685198</v>
      </c>
      <c r="O14" s="29">
        <v>30</v>
      </c>
    </row>
    <row r="15" spans="1:15" ht="15.75" thickTop="1" x14ac:dyDescent="0.25"/>
  </sheetData>
  <pageMargins left="0.511811024" right="0.511811024" top="0.78740157499999996" bottom="0.78740157499999996" header="0.31496062000000002" footer="0.31496062000000002"/>
  <pageSetup paperSize="9" scale="6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B32" sqref="B32"/>
    </sheetView>
  </sheetViews>
  <sheetFormatPr defaultRowHeight="12.75" x14ac:dyDescent="0.2"/>
  <cols>
    <col min="1" max="1" width="8.7109375" style="147" bestFit="1" customWidth="1"/>
    <col min="2" max="2" width="17" style="147" bestFit="1" customWidth="1"/>
    <col min="3" max="3" width="8.42578125" style="147" bestFit="1" customWidth="1"/>
    <col min="4" max="4" width="7.42578125" style="147" bestFit="1" customWidth="1"/>
    <col min="5" max="5" width="8.5703125" style="147" bestFit="1" customWidth="1"/>
    <col min="6" max="6" width="67" style="147" bestFit="1" customWidth="1"/>
    <col min="7" max="7" width="10.7109375" style="147" bestFit="1" customWidth="1"/>
    <col min="8" max="8" width="20.7109375" style="147" bestFit="1" customWidth="1"/>
    <col min="9" max="9" width="13.85546875" style="147" bestFit="1" customWidth="1"/>
    <col min="10" max="11" width="13.42578125" style="147" bestFit="1" customWidth="1"/>
    <col min="12" max="12" width="12.140625" style="147" bestFit="1" customWidth="1"/>
    <col min="13" max="13" width="14.5703125" style="147" bestFit="1" customWidth="1"/>
    <col min="14" max="14" width="16.5703125" style="147" bestFit="1" customWidth="1"/>
    <col min="15" max="15" width="14.42578125" style="147" bestFit="1" customWidth="1"/>
    <col min="16" max="16" width="6.28515625" style="147" bestFit="1" customWidth="1"/>
    <col min="17" max="16384" width="9.140625" style="147"/>
  </cols>
  <sheetData>
    <row r="1" spans="1:16" ht="27" thickTop="1" thickBot="1" x14ac:dyDescent="0.25">
      <c r="A1" s="113" t="s">
        <v>100</v>
      </c>
      <c r="B1" s="113" t="s">
        <v>80</v>
      </c>
      <c r="C1" s="113" t="s">
        <v>81</v>
      </c>
      <c r="D1" s="113" t="s">
        <v>82</v>
      </c>
      <c r="E1" s="113" t="s">
        <v>101</v>
      </c>
      <c r="F1" s="114" t="s">
        <v>1</v>
      </c>
      <c r="G1" s="114" t="s">
        <v>102</v>
      </c>
      <c r="H1" s="115" t="s">
        <v>138</v>
      </c>
      <c r="I1" s="114" t="s">
        <v>104</v>
      </c>
      <c r="J1" s="113" t="s">
        <v>2</v>
      </c>
      <c r="K1" s="113" t="s">
        <v>136</v>
      </c>
      <c r="L1" s="113" t="s">
        <v>137</v>
      </c>
      <c r="M1" s="116" t="s">
        <v>95</v>
      </c>
      <c r="N1" s="114" t="s">
        <v>3</v>
      </c>
      <c r="O1" s="117" t="s">
        <v>4</v>
      </c>
    </row>
    <row r="2" spans="1:16" ht="14.25" thickTop="1" thickBot="1" x14ac:dyDescent="0.25">
      <c r="A2" s="118" t="s">
        <v>11</v>
      </c>
      <c r="B2" s="119" t="s">
        <v>0</v>
      </c>
      <c r="C2" s="120" t="s">
        <v>79</v>
      </c>
      <c r="D2" s="121" t="s">
        <v>65</v>
      </c>
      <c r="E2" s="122">
        <v>14</v>
      </c>
      <c r="F2" s="123" t="s">
        <v>139</v>
      </c>
      <c r="G2" s="120" t="s">
        <v>84</v>
      </c>
      <c r="H2" s="123" t="s">
        <v>7</v>
      </c>
      <c r="I2" s="123" t="s">
        <v>103</v>
      </c>
      <c r="J2" s="124">
        <v>16311.633340859998</v>
      </c>
      <c r="K2" s="124">
        <v>16311.633340859998</v>
      </c>
      <c r="L2" s="124">
        <v>0</v>
      </c>
      <c r="M2" s="124">
        <v>738.08295659999999</v>
      </c>
      <c r="N2" s="124">
        <v>15573.550384259999</v>
      </c>
      <c r="O2" s="125">
        <v>15</v>
      </c>
      <c r="P2" s="147" t="s">
        <v>156</v>
      </c>
    </row>
    <row r="3" spans="1:16" ht="14.25" thickTop="1" thickBot="1" x14ac:dyDescent="0.25">
      <c r="A3" s="118" t="s">
        <v>13</v>
      </c>
      <c r="B3" s="119" t="s">
        <v>0</v>
      </c>
      <c r="C3" s="120" t="s">
        <v>79</v>
      </c>
      <c r="D3" s="121" t="s">
        <v>65</v>
      </c>
      <c r="E3" s="122">
        <v>14</v>
      </c>
      <c r="F3" s="123" t="s">
        <v>139</v>
      </c>
      <c r="G3" s="120" t="s">
        <v>84</v>
      </c>
      <c r="H3" s="123" t="s">
        <v>9</v>
      </c>
      <c r="I3" s="123" t="s">
        <v>103</v>
      </c>
      <c r="J3" s="124">
        <v>4158.1260499999999</v>
      </c>
      <c r="K3" s="124">
        <v>4158.1260499999999</v>
      </c>
      <c r="L3" s="124">
        <v>0</v>
      </c>
      <c r="M3" s="124">
        <v>188.15050000000002</v>
      </c>
      <c r="N3" s="124">
        <v>3969.9755499999997</v>
      </c>
      <c r="O3" s="125">
        <v>15</v>
      </c>
      <c r="P3" s="147" t="s">
        <v>156</v>
      </c>
    </row>
    <row r="4" spans="1:16" ht="14.25" thickTop="1" thickBot="1" x14ac:dyDescent="0.25">
      <c r="A4" s="118" t="s">
        <v>13</v>
      </c>
      <c r="B4" s="119" t="s">
        <v>0</v>
      </c>
      <c r="C4" s="120" t="s">
        <v>79</v>
      </c>
      <c r="D4" s="121" t="s">
        <v>65</v>
      </c>
      <c r="E4" s="122">
        <v>14</v>
      </c>
      <c r="F4" s="123" t="s">
        <v>139</v>
      </c>
      <c r="G4" s="120" t="s">
        <v>84</v>
      </c>
      <c r="H4" s="123" t="s">
        <v>15</v>
      </c>
      <c r="I4" s="123" t="s">
        <v>103</v>
      </c>
      <c r="J4" s="124">
        <v>5282.5230083924998</v>
      </c>
      <c r="K4" s="124">
        <v>5282.5230083924998</v>
      </c>
      <c r="L4" s="124">
        <v>0</v>
      </c>
      <c r="M4" s="124">
        <v>239.02819042500002</v>
      </c>
      <c r="N4" s="124">
        <v>5043.4948179675002</v>
      </c>
      <c r="O4" s="125">
        <v>15</v>
      </c>
      <c r="P4" s="147" t="s">
        <v>156</v>
      </c>
    </row>
    <row r="5" spans="1:16" ht="14.25" thickTop="1" thickBot="1" x14ac:dyDescent="0.25">
      <c r="A5" s="118" t="s">
        <v>10</v>
      </c>
      <c r="B5" s="119" t="s">
        <v>0</v>
      </c>
      <c r="C5" s="120" t="s">
        <v>79</v>
      </c>
      <c r="D5" s="121" t="s">
        <v>65</v>
      </c>
      <c r="E5" s="122">
        <v>14</v>
      </c>
      <c r="F5" s="123" t="s">
        <v>139</v>
      </c>
      <c r="G5" s="120" t="s">
        <v>84</v>
      </c>
      <c r="H5" s="123" t="s">
        <v>96</v>
      </c>
      <c r="I5" s="123" t="s">
        <v>103</v>
      </c>
      <c r="J5" s="124">
        <v>500</v>
      </c>
      <c r="K5" s="124">
        <v>500</v>
      </c>
      <c r="L5" s="124">
        <v>0</v>
      </c>
      <c r="M5" s="124">
        <v>0</v>
      </c>
      <c r="N5" s="124">
        <v>500</v>
      </c>
      <c r="O5" s="125">
        <v>15</v>
      </c>
      <c r="P5" s="147" t="s">
        <v>156</v>
      </c>
    </row>
    <row r="6" spans="1:16" ht="14.25" thickTop="1" thickBot="1" x14ac:dyDescent="0.25">
      <c r="A6" s="118" t="s">
        <v>11</v>
      </c>
      <c r="B6" s="119" t="s">
        <v>62</v>
      </c>
      <c r="C6" s="120" t="s">
        <v>79</v>
      </c>
      <c r="D6" s="121" t="s">
        <v>65</v>
      </c>
      <c r="E6" s="122">
        <v>16</v>
      </c>
      <c r="F6" s="148" t="s">
        <v>51</v>
      </c>
      <c r="G6" s="120" t="s">
        <v>83</v>
      </c>
      <c r="H6" s="123" t="s">
        <v>7</v>
      </c>
      <c r="I6" s="123" t="s">
        <v>80</v>
      </c>
      <c r="J6" s="124">
        <v>21132.94766324625</v>
      </c>
      <c r="K6" s="124">
        <v>21132.94766324625</v>
      </c>
      <c r="L6" s="124">
        <v>0</v>
      </c>
      <c r="M6" s="124">
        <v>2958.6126728544755</v>
      </c>
      <c r="N6" s="124">
        <v>17751.67603712685</v>
      </c>
      <c r="O6" s="125">
        <v>30</v>
      </c>
      <c r="P6" s="147" t="s">
        <v>156</v>
      </c>
    </row>
    <row r="7" spans="1:16" ht="13.5" thickTop="1" x14ac:dyDescent="0.2"/>
    <row r="8" spans="1:16" ht="13.5" thickBot="1" x14ac:dyDescent="0.25"/>
    <row r="9" spans="1:16" ht="27" thickTop="1" thickBot="1" x14ac:dyDescent="0.25">
      <c r="A9" s="113" t="s">
        <v>100</v>
      </c>
      <c r="B9" s="113" t="s">
        <v>80</v>
      </c>
      <c r="C9" s="113" t="s">
        <v>81</v>
      </c>
      <c r="D9" s="113" t="s">
        <v>82</v>
      </c>
      <c r="E9" s="113" t="s">
        <v>101</v>
      </c>
      <c r="F9" s="114" t="s">
        <v>1</v>
      </c>
      <c r="G9" s="114" t="s">
        <v>102</v>
      </c>
      <c r="H9" s="115" t="s">
        <v>138</v>
      </c>
      <c r="I9" s="114" t="s">
        <v>104</v>
      </c>
      <c r="J9" s="113" t="s">
        <v>2</v>
      </c>
      <c r="K9" s="113" t="s">
        <v>136</v>
      </c>
      <c r="L9" s="113" t="s">
        <v>137</v>
      </c>
      <c r="M9" s="116" t="s">
        <v>95</v>
      </c>
      <c r="N9" s="114" t="s">
        <v>3</v>
      </c>
      <c r="O9" s="117" t="s">
        <v>4</v>
      </c>
    </row>
    <row r="10" spans="1:16" ht="14.25" thickTop="1" thickBot="1" x14ac:dyDescent="0.25">
      <c r="A10" s="118" t="s">
        <v>5</v>
      </c>
      <c r="B10" s="119" t="s">
        <v>0</v>
      </c>
      <c r="C10" s="120" t="s">
        <v>79</v>
      </c>
      <c r="D10" s="121" t="s">
        <v>65</v>
      </c>
      <c r="E10" s="149">
        <v>8</v>
      </c>
      <c r="F10" s="123" t="s">
        <v>6</v>
      </c>
      <c r="G10" s="120" t="s">
        <v>85</v>
      </c>
      <c r="H10" s="123" t="s">
        <v>7</v>
      </c>
      <c r="I10" s="123" t="s">
        <v>103</v>
      </c>
      <c r="J10" s="124">
        <v>41245.995459655351</v>
      </c>
      <c r="K10" s="124">
        <v>41245.995459655351</v>
      </c>
      <c r="L10" s="124">
        <v>0</v>
      </c>
      <c r="M10" s="124">
        <v>1866.3346361835002</v>
      </c>
      <c r="N10" s="124">
        <v>39379.660823471851</v>
      </c>
      <c r="O10" s="125">
        <v>10</v>
      </c>
      <c r="P10" s="147" t="s">
        <v>156</v>
      </c>
    </row>
    <row r="11" spans="1:16" ht="14.25" thickTop="1" thickBot="1" x14ac:dyDescent="0.25">
      <c r="A11" s="118" t="s">
        <v>11</v>
      </c>
      <c r="B11" s="119" t="s">
        <v>0</v>
      </c>
      <c r="C11" s="120" t="s">
        <v>79</v>
      </c>
      <c r="D11" s="121" t="s">
        <v>65</v>
      </c>
      <c r="E11" s="149">
        <v>8</v>
      </c>
      <c r="F11" s="123" t="s">
        <v>8</v>
      </c>
      <c r="G11" s="120" t="s">
        <v>85</v>
      </c>
      <c r="H11" s="123" t="s">
        <v>7</v>
      </c>
      <c r="I11" s="123" t="s">
        <v>103</v>
      </c>
      <c r="J11" s="124">
        <v>19327.518303502504</v>
      </c>
      <c r="K11" s="124">
        <v>19327.518303502504</v>
      </c>
      <c r="L11" s="124">
        <v>0</v>
      </c>
      <c r="M11" s="124">
        <v>874.54833952500019</v>
      </c>
      <c r="N11" s="124">
        <v>18452.969963977503</v>
      </c>
      <c r="O11" s="125">
        <v>10</v>
      </c>
      <c r="P11" s="147" t="s">
        <v>156</v>
      </c>
    </row>
    <row r="12" spans="1:16" ht="14.25" thickTop="1" thickBot="1" x14ac:dyDescent="0.25">
      <c r="A12" s="118" t="s">
        <v>11</v>
      </c>
      <c r="B12" s="119" t="s">
        <v>0</v>
      </c>
      <c r="C12" s="120" t="s">
        <v>79</v>
      </c>
      <c r="D12" s="121" t="s">
        <v>65</v>
      </c>
      <c r="E12" s="122">
        <v>8</v>
      </c>
      <c r="F12" s="123" t="s">
        <v>8</v>
      </c>
      <c r="G12" s="120" t="s">
        <v>85</v>
      </c>
      <c r="H12" s="123" t="s">
        <v>97</v>
      </c>
      <c r="I12" s="123" t="s">
        <v>103</v>
      </c>
      <c r="J12" s="124">
        <v>19327.518303502504</v>
      </c>
      <c r="K12" s="124">
        <v>19327.518303502504</v>
      </c>
      <c r="L12" s="124">
        <v>0</v>
      </c>
      <c r="M12" s="124">
        <v>874.54833952500019</v>
      </c>
      <c r="N12" s="124">
        <v>18452.969963977503</v>
      </c>
      <c r="O12" s="125">
        <v>10</v>
      </c>
      <c r="P12" s="147" t="s">
        <v>156</v>
      </c>
    </row>
    <row r="13" spans="1:16" ht="14.25" thickTop="1" thickBot="1" x14ac:dyDescent="0.25">
      <c r="A13" s="118" t="s">
        <v>183</v>
      </c>
      <c r="B13" s="119" t="s">
        <v>0</v>
      </c>
      <c r="C13" s="120" t="s">
        <v>79</v>
      </c>
      <c r="D13" s="121" t="s">
        <v>65</v>
      </c>
      <c r="E13" s="122">
        <v>8</v>
      </c>
      <c r="F13" s="123" t="s">
        <v>8</v>
      </c>
      <c r="G13" s="120" t="s">
        <v>85</v>
      </c>
      <c r="H13" s="123" t="s">
        <v>9</v>
      </c>
      <c r="I13" s="123" t="s">
        <v>103</v>
      </c>
      <c r="J13" s="124">
        <v>16926.608031693751</v>
      </c>
      <c r="K13" s="124">
        <v>16926.608031693751</v>
      </c>
      <c r="L13" s="124">
        <v>0</v>
      </c>
      <c r="M13" s="124">
        <v>765.90986568750009</v>
      </c>
      <c r="N13" s="124">
        <v>16160.698166006252</v>
      </c>
      <c r="O13" s="125">
        <v>10</v>
      </c>
      <c r="P13" s="147" t="s">
        <v>156</v>
      </c>
    </row>
    <row r="14" spans="1:16" ht="14.25" thickTop="1" thickBot="1" x14ac:dyDescent="0.25">
      <c r="A14" s="118" t="s">
        <v>183</v>
      </c>
      <c r="B14" s="119" t="s">
        <v>0</v>
      </c>
      <c r="C14" s="120" t="s">
        <v>79</v>
      </c>
      <c r="D14" s="121" t="s">
        <v>65</v>
      </c>
      <c r="E14" s="122">
        <v>8</v>
      </c>
      <c r="F14" s="123" t="s">
        <v>8</v>
      </c>
      <c r="G14" s="120" t="s">
        <v>85</v>
      </c>
      <c r="H14" s="123" t="s">
        <v>15</v>
      </c>
      <c r="I14" s="123" t="s">
        <v>103</v>
      </c>
      <c r="J14" s="124">
        <v>14433.306181368749</v>
      </c>
      <c r="K14" s="124">
        <v>14433.306181368749</v>
      </c>
      <c r="L14" s="124">
        <v>0</v>
      </c>
      <c r="M14" s="124">
        <v>653.09077743750004</v>
      </c>
      <c r="N14" s="124">
        <v>13780.215403931248</v>
      </c>
      <c r="O14" s="125">
        <v>10</v>
      </c>
      <c r="P14" s="147" t="s">
        <v>156</v>
      </c>
    </row>
    <row r="15" spans="1:16" ht="14.25" thickTop="1" thickBot="1" x14ac:dyDescent="0.25">
      <c r="A15" s="118" t="s">
        <v>10</v>
      </c>
      <c r="B15" s="119" t="s">
        <v>0</v>
      </c>
      <c r="C15" s="120" t="s">
        <v>79</v>
      </c>
      <c r="D15" s="121" t="s">
        <v>65</v>
      </c>
      <c r="E15" s="122">
        <v>8</v>
      </c>
      <c r="F15" s="123" t="s">
        <v>8</v>
      </c>
      <c r="G15" s="120" t="s">
        <v>85</v>
      </c>
      <c r="H15" s="123" t="s">
        <v>96</v>
      </c>
      <c r="I15" s="123" t="s">
        <v>103</v>
      </c>
      <c r="J15" s="124">
        <v>2000</v>
      </c>
      <c r="K15" s="124">
        <v>2000</v>
      </c>
      <c r="L15" s="124">
        <v>0</v>
      </c>
      <c r="M15" s="124">
        <v>0</v>
      </c>
      <c r="N15" s="124">
        <v>2000</v>
      </c>
      <c r="O15" s="125">
        <v>10</v>
      </c>
      <c r="P15" s="147" t="s">
        <v>156</v>
      </c>
    </row>
    <row r="16" spans="1:16" ht="14.25" thickTop="1" thickBot="1" x14ac:dyDescent="0.25">
      <c r="A16" s="118" t="s">
        <v>10</v>
      </c>
      <c r="B16" s="119" t="s">
        <v>0</v>
      </c>
      <c r="C16" s="120" t="s">
        <v>79</v>
      </c>
      <c r="D16" s="121" t="s">
        <v>65</v>
      </c>
      <c r="E16" s="122">
        <v>8</v>
      </c>
      <c r="F16" s="123" t="s">
        <v>8</v>
      </c>
      <c r="G16" s="120" t="s">
        <v>85</v>
      </c>
      <c r="H16" s="123" t="s">
        <v>96</v>
      </c>
      <c r="I16" s="123" t="s">
        <v>103</v>
      </c>
      <c r="J16" s="124">
        <v>200</v>
      </c>
      <c r="K16" s="124">
        <v>200</v>
      </c>
      <c r="L16" s="124">
        <v>0</v>
      </c>
      <c r="M16" s="124">
        <v>0</v>
      </c>
      <c r="N16" s="124">
        <v>200</v>
      </c>
      <c r="O16" s="125">
        <v>10</v>
      </c>
      <c r="P16" s="147" t="s">
        <v>156</v>
      </c>
    </row>
    <row r="17" spans="1:14" ht="13.5" thickTop="1" x14ac:dyDescent="0.2"/>
    <row r="20" spans="1:14" ht="13.5" thickBot="1" x14ac:dyDescent="0.25"/>
    <row r="21" spans="1:14" ht="16.5" thickTop="1" thickBot="1" x14ac:dyDescent="0.3">
      <c r="A21" s="25" t="s">
        <v>11</v>
      </c>
      <c r="B21" s="8" t="s">
        <v>0</v>
      </c>
      <c r="C21" s="7" t="s">
        <v>79</v>
      </c>
      <c r="D21" s="9" t="s">
        <v>65</v>
      </c>
      <c r="E21" s="10">
        <v>20</v>
      </c>
      <c r="F21" s="11" t="s">
        <v>16</v>
      </c>
      <c r="G21" s="7" t="s">
        <v>85</v>
      </c>
      <c r="H21" s="11" t="s">
        <v>7</v>
      </c>
      <c r="I21" s="11" t="s">
        <v>103</v>
      </c>
      <c r="J21" s="12">
        <v>17144.075000000001</v>
      </c>
      <c r="K21" s="12">
        <v>17144.075000000001</v>
      </c>
      <c r="L21" s="12">
        <v>0</v>
      </c>
      <c r="M21" s="12">
        <f>K21*14%</f>
        <v>2400.1705000000002</v>
      </c>
      <c r="N21" s="12">
        <v>14401.023000000001</v>
      </c>
    </row>
    <row r="22" spans="1:14" ht="16.5" thickTop="1" thickBot="1" x14ac:dyDescent="0.3">
      <c r="A22" s="25" t="s">
        <v>13</v>
      </c>
      <c r="B22" s="8" t="s">
        <v>0</v>
      </c>
      <c r="C22" s="7" t="s">
        <v>79</v>
      </c>
      <c r="D22" s="9" t="s">
        <v>65</v>
      </c>
      <c r="E22" s="10">
        <v>20</v>
      </c>
      <c r="F22" s="11" t="s">
        <v>16</v>
      </c>
      <c r="G22" s="7" t="s">
        <v>85</v>
      </c>
      <c r="H22" s="11" t="s">
        <v>113</v>
      </c>
      <c r="I22" s="11" t="s">
        <v>103</v>
      </c>
      <c r="J22" s="12">
        <v>1657.5</v>
      </c>
      <c r="K22" s="12">
        <v>1657.5</v>
      </c>
      <c r="L22" s="12">
        <v>0</v>
      </c>
      <c r="M22" s="12">
        <f>K22*16%</f>
        <v>265.2</v>
      </c>
      <c r="N22" s="12">
        <v>1392.3</v>
      </c>
    </row>
    <row r="23" spans="1:14" ht="16.5" thickTop="1" thickBot="1" x14ac:dyDescent="0.3">
      <c r="A23" s="25" t="s">
        <v>13</v>
      </c>
      <c r="B23" s="8" t="s">
        <v>0</v>
      </c>
      <c r="C23" s="7" t="s">
        <v>79</v>
      </c>
      <c r="D23" s="9" t="s">
        <v>65</v>
      </c>
      <c r="E23" s="10">
        <v>20</v>
      </c>
      <c r="F23" s="11" t="s">
        <v>16</v>
      </c>
      <c r="G23" s="7" t="s">
        <v>85</v>
      </c>
      <c r="H23" s="11" t="s">
        <v>9</v>
      </c>
      <c r="I23" s="11" t="s">
        <v>103</v>
      </c>
      <c r="J23" s="12">
        <v>8265.4</v>
      </c>
      <c r="K23" s="12">
        <v>8265.4</v>
      </c>
      <c r="L23" s="12">
        <v>0</v>
      </c>
      <c r="M23" s="12">
        <f>K23*16%</f>
        <v>1322.4639999999999</v>
      </c>
      <c r="N23" s="12">
        <v>6942.9359999999997</v>
      </c>
    </row>
    <row r="24" spans="1:14" ht="16.5" thickTop="1" thickBot="1" x14ac:dyDescent="0.3">
      <c r="A24" s="25" t="s">
        <v>13</v>
      </c>
      <c r="B24" s="8" t="s">
        <v>0</v>
      </c>
      <c r="C24" s="7" t="s">
        <v>79</v>
      </c>
      <c r="D24" s="9" t="s">
        <v>65</v>
      </c>
      <c r="E24" s="10">
        <v>20</v>
      </c>
      <c r="F24" s="11" t="s">
        <v>16</v>
      </c>
      <c r="G24" s="7" t="s">
        <v>85</v>
      </c>
      <c r="H24" s="11" t="s">
        <v>15</v>
      </c>
      <c r="I24" s="11" t="s">
        <v>103</v>
      </c>
      <c r="J24" s="12">
        <v>7542.73</v>
      </c>
      <c r="K24" s="12">
        <v>7542.73</v>
      </c>
      <c r="L24" s="12">
        <v>0</v>
      </c>
      <c r="M24" s="12">
        <f>K24*16%</f>
        <v>1206.8368</v>
      </c>
      <c r="N24" s="12">
        <v>6335.8931999999995</v>
      </c>
    </row>
    <row r="25" spans="1:14" ht="13.5" thickTop="1" x14ac:dyDescent="0.2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1"/>
  <sheetViews>
    <sheetView workbookViewId="0">
      <selection activeCell="C6" sqref="C6"/>
    </sheetView>
  </sheetViews>
  <sheetFormatPr defaultRowHeight="15" x14ac:dyDescent="0.25"/>
  <cols>
    <col min="2" max="2" width="18" customWidth="1"/>
    <col min="3" max="3" width="19.5703125" customWidth="1"/>
    <col min="4" max="4" width="14.28515625" bestFit="1" customWidth="1"/>
    <col min="5" max="5" width="15.85546875" bestFit="1" customWidth="1"/>
  </cols>
  <sheetData>
    <row r="4" spans="2:5" x14ac:dyDescent="0.25">
      <c r="B4" s="104" t="s">
        <v>177</v>
      </c>
      <c r="C4" s="104" t="s">
        <v>175</v>
      </c>
    </row>
    <row r="5" spans="2:5" x14ac:dyDescent="0.25">
      <c r="B5" s="104" t="s">
        <v>173</v>
      </c>
      <c r="C5" t="s">
        <v>171</v>
      </c>
      <c r="D5" t="s">
        <v>172</v>
      </c>
      <c r="E5" t="s">
        <v>174</v>
      </c>
    </row>
    <row r="6" spans="2:5" x14ac:dyDescent="0.25">
      <c r="B6" s="105" t="s">
        <v>0</v>
      </c>
      <c r="C6" s="106">
        <v>163433.27295897075</v>
      </c>
      <c r="D6" s="106">
        <v>266273.91953880433</v>
      </c>
      <c r="E6" s="106">
        <v>429707.19249777508</v>
      </c>
    </row>
    <row r="7" spans="2:5" x14ac:dyDescent="0.25">
      <c r="B7" s="105" t="s">
        <v>25</v>
      </c>
      <c r="C7" s="106">
        <v>232344.06719288949</v>
      </c>
      <c r="D7" s="106">
        <v>25488.080000000002</v>
      </c>
      <c r="E7" s="106">
        <v>257832.14719288948</v>
      </c>
    </row>
    <row r="8" spans="2:5" x14ac:dyDescent="0.25">
      <c r="B8" s="105" t="s">
        <v>61</v>
      </c>
      <c r="C8" s="106">
        <v>220768.60816885537</v>
      </c>
      <c r="D8" s="106">
        <v>5756.0249999999996</v>
      </c>
      <c r="E8" s="106">
        <v>226524.63316885536</v>
      </c>
    </row>
    <row r="9" spans="2:5" x14ac:dyDescent="0.25">
      <c r="B9" s="105" t="s">
        <v>176</v>
      </c>
      <c r="C9" s="106">
        <v>147876.10563639598</v>
      </c>
      <c r="D9" s="106">
        <v>81150.114999999991</v>
      </c>
      <c r="E9" s="106">
        <v>229026.22063639597</v>
      </c>
    </row>
    <row r="10" spans="2:5" x14ac:dyDescent="0.25">
      <c r="B10" s="105" t="s">
        <v>178</v>
      </c>
      <c r="C10" s="106">
        <v>197767.96470986697</v>
      </c>
      <c r="D10" s="106">
        <v>69264.311663246248</v>
      </c>
      <c r="E10" s="106">
        <v>267032.27637311321</v>
      </c>
    </row>
    <row r="11" spans="2:5" x14ac:dyDescent="0.25">
      <c r="B11" s="105" t="s">
        <v>174</v>
      </c>
      <c r="C11" s="106">
        <v>962190.01866697869</v>
      </c>
      <c r="D11" s="106">
        <v>447932.45120205061</v>
      </c>
      <c r="E11" s="106">
        <v>1410122.469869029</v>
      </c>
    </row>
    <row r="12" spans="2:5" x14ac:dyDescent="0.25">
      <c r="B12" s="105"/>
      <c r="C12" s="106"/>
      <c r="D12" s="106"/>
      <c r="E12" s="106"/>
    </row>
    <row r="13" spans="2:5" x14ac:dyDescent="0.25">
      <c r="B13" s="150" t="s">
        <v>179</v>
      </c>
      <c r="C13" s="150"/>
      <c r="D13" s="150"/>
      <c r="E13" s="150"/>
    </row>
    <row r="14" spans="2:5" x14ac:dyDescent="0.25">
      <c r="B14" s="105" t="s">
        <v>0</v>
      </c>
      <c r="C14" s="107">
        <f>GETPIVOTDATA("NFS-e",$B$4,"CODIGO","ANEXO III","EMPRESA","HSERV CABREUVA")*19.72479%</f>
        <v>32236.869881283761</v>
      </c>
      <c r="D14" s="107">
        <f>GETPIVOTDATA("NFS-e",$B$4,"CODIGO","ANEXO IV","EMPRESA","HSERV CABREUVA")*16.03723%</f>
        <v>42702.960906452994</v>
      </c>
      <c r="E14" s="106">
        <f>C14+D14</f>
        <v>74939.830787736748</v>
      </c>
    </row>
    <row r="15" spans="2:5" x14ac:dyDescent="0.25">
      <c r="B15" s="105" t="s">
        <v>25</v>
      </c>
      <c r="C15" s="107">
        <f>GETPIVOTDATA("NFS-e",$B$4,"CODIGO","ANEXO III","EMPRESA","HSERV CLEAN")*16.83626%</f>
        <v>39118.051247169577</v>
      </c>
      <c r="D15" s="107">
        <f>GETPIVOTDATA("NFS-e",$B$4,"CODIGO","ANEXO IV","EMPRESA","HSERV CLEAN")*15.90949%</f>
        <v>4055.0235387920006</v>
      </c>
      <c r="E15" s="106">
        <f>C15+D15</f>
        <v>43173.07478596158</v>
      </c>
    </row>
    <row r="16" spans="2:5" x14ac:dyDescent="0.25">
      <c r="B16" s="105" t="s">
        <v>61</v>
      </c>
      <c r="C16" s="107">
        <f>GETPIVOTDATA("NFS-e",$B$4,"CODIGO","ANEXO III","EMPRESA","VITOR DUARTE")*15.60061%</f>
        <v>34441.24956285127</v>
      </c>
      <c r="D16" s="107">
        <f>GETPIVOTDATA("NFS-e",$B$4,"CODIGO","ANEXO IV","EMPRESA","VITOR DUARTE")*10.76745%</f>
        <v>619.77711386249996</v>
      </c>
      <c r="E16" s="106">
        <f>C16+D16</f>
        <v>35061.026676713773</v>
      </c>
    </row>
    <row r="17" spans="2:5" x14ac:dyDescent="0.25">
      <c r="B17" s="105" t="s">
        <v>176</v>
      </c>
      <c r="C17" s="107">
        <f>GETPIVOTDATA("NFS-e",$B$4,"CODIGO","ANEXO III","EMPRESA","HENRIQUE JEAN")*17.2331%</f>
        <v>25483.637160425758</v>
      </c>
      <c r="D17" s="107">
        <f>GETPIVOTDATA("NFS-e",$B$4,"CODIGO","ANEXO IV","EMPRESA","HENRIQUE JEAN")*16.48996%</f>
        <v>13381.621503453998</v>
      </c>
      <c r="E17" s="106">
        <f>C17+D17</f>
        <v>38865.258663879758</v>
      </c>
    </row>
    <row r="18" spans="2:5" x14ac:dyDescent="0.25">
      <c r="B18" s="105" t="s">
        <v>178</v>
      </c>
      <c r="C18" s="107">
        <f>GETPIVOTDATA("NFS-e",$B$4,"CODIGO","ANEXO III","EMPRESA","ELADIO BARRETO")*18.51963%</f>
        <v>36625.895322797929</v>
      </c>
      <c r="D18" s="107">
        <f>GETPIVOTDATA("NFS-e",$B$4,"CODIGO","ANEXO IV","EMPRESA","ELADIO BARRETO")*14.4973%</f>
        <v>10041.455054755797</v>
      </c>
      <c r="E18" s="106">
        <f>C18+D18</f>
        <v>46667.350377553725</v>
      </c>
    </row>
    <row r="19" spans="2:5" x14ac:dyDescent="0.25">
      <c r="E19" s="109">
        <f>SUM(E14:E18)</f>
        <v>238706.54129184558</v>
      </c>
    </row>
    <row r="21" spans="2:5" x14ac:dyDescent="0.25">
      <c r="C21" s="108"/>
    </row>
  </sheetData>
  <mergeCells count="1">
    <mergeCell ref="B13:E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FAT ANT</vt:lpstr>
      <vt:lpstr>FAT NOVO</vt:lpstr>
      <vt:lpstr>Plan2</vt:lpstr>
      <vt:lpstr>Plan1</vt:lpstr>
      <vt:lpstr>SOFISA</vt:lpstr>
      <vt:lpstr>Plan3</vt:lpstr>
      <vt:lpstr>'FAT ANT'!Area_de_impressao</vt:lpstr>
      <vt:lpstr>'FAT NOVO'!Area_de_impressao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2</dc:creator>
  <cp:lastModifiedBy>pamela greice</cp:lastModifiedBy>
  <cp:lastPrinted>2022-09-01T11:24:41Z</cp:lastPrinted>
  <dcterms:created xsi:type="dcterms:W3CDTF">2021-04-09T22:19:23Z</dcterms:created>
  <dcterms:modified xsi:type="dcterms:W3CDTF">2022-09-05T12:02:35Z</dcterms:modified>
</cp:coreProperties>
</file>