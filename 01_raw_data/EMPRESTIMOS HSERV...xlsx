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FC4E7E9B-97FE-480F-B360-1B457428ADE9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Planilha2" sheetId="30" r:id="rId1"/>
    <sheet name="BASE" sheetId="10" r:id="rId2"/>
    <sheet name="BRADESCO" sheetId="2" r:id="rId3"/>
    <sheet name="ITAU" sheetId="1" r:id="rId4"/>
    <sheet name="CAIXA" sheetId="3" r:id="rId5"/>
    <sheet name="Planilha1" sheetId="29" state="hidden" r:id="rId6"/>
    <sheet name="SAFRA" sheetId="6" r:id="rId7"/>
    <sheet name="SANTANDER" sheetId="4" r:id="rId8"/>
    <sheet name="SOFISA" sheetId="5" r:id="rId9"/>
    <sheet name="Planilha3" sheetId="31" state="hidden" r:id="rId10"/>
    <sheet name="Plan1" sheetId="28" state="hidden" r:id="rId11"/>
    <sheet name="SICOOB" sheetId="8" r:id="rId12"/>
  </sheets>
  <definedNames>
    <definedName name="_xlnm._FilterDatabase" localSheetId="1" hidden="1">BASE!$A$1:$D$137</definedName>
    <definedName name="_xlnm.Print_Area" localSheetId="8">SOFISA!$A$1:$X$70</definedName>
  </definedNames>
  <calcPr calcId="191029"/>
  <pivotCaches>
    <pivotCache cacheId="47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9" i="5" l="1"/>
  <c r="C104" i="2"/>
  <c r="B133" i="2"/>
  <c r="C105" i="2"/>
  <c r="C4" i="31"/>
  <c r="D4" i="31" s="1"/>
  <c r="C5" i="31" s="1"/>
  <c r="B91" i="2"/>
  <c r="G98" i="5"/>
  <c r="B105" i="5"/>
  <c r="Q106" i="3"/>
  <c r="L106" i="3"/>
  <c r="Q51" i="3"/>
  <c r="L52" i="3"/>
  <c r="G52" i="3"/>
  <c r="G37" i="6"/>
  <c r="B37" i="6"/>
  <c r="C51" i="2"/>
  <c r="H31" i="8"/>
  <c r="D5" i="31" l="1"/>
  <c r="R64" i="3"/>
  <c r="M64" i="3"/>
  <c r="C6" i="31" l="1"/>
  <c r="D6" i="31" s="1"/>
  <c r="B37" i="28"/>
  <c r="C7" i="31" l="1"/>
  <c r="D7" i="31" s="1"/>
  <c r="A111" i="3"/>
  <c r="A112" i="3"/>
  <c r="W7" i="5" l="1"/>
  <c r="H49" i="2" l="1"/>
  <c r="R7" i="2"/>
  <c r="W7" i="2"/>
  <c r="W52" i="5"/>
  <c r="R52" i="5" l="1"/>
  <c r="C52" i="5"/>
  <c r="H52" i="5"/>
  <c r="M52" i="5"/>
  <c r="H64" i="3" l="1"/>
  <c r="C64" i="3"/>
  <c r="B29" i="8" l="1"/>
  <c r="C7" i="6" l="1"/>
  <c r="H7" i="6"/>
  <c r="R8" i="3" l="1"/>
  <c r="Q35" i="5" l="1"/>
  <c r="K35" i="5"/>
  <c r="F35" i="5" l="1"/>
  <c r="P26" i="2"/>
  <c r="A35" i="5" l="1"/>
  <c r="F43" i="1"/>
  <c r="K37" i="1"/>
  <c r="A43" i="1"/>
  <c r="B43" i="4"/>
</calcChain>
</file>

<file path=xl/sharedStrings.xml><?xml version="1.0" encoding="utf-8"?>
<sst xmlns="http://schemas.openxmlformats.org/spreadsheetml/2006/main" count="1505" uniqueCount="113">
  <si>
    <t>N°</t>
  </si>
  <si>
    <t xml:space="preserve">VALOR </t>
  </si>
  <si>
    <t>MÊS</t>
  </si>
  <si>
    <t>SITUAÇÃO</t>
  </si>
  <si>
    <t>OK</t>
  </si>
  <si>
    <t>DEPESAS GERAL -SANTANDER 2021</t>
  </si>
  <si>
    <t>SITUAÇAO</t>
  </si>
  <si>
    <t>PARCELAS</t>
  </si>
  <si>
    <t>VALOR ADQUIRIDO</t>
  </si>
  <si>
    <t>VALOR DA NEGOCIAÇÃO</t>
  </si>
  <si>
    <t>EMPRESTIMO ELADIO-TODO DIA 03</t>
  </si>
  <si>
    <t>EMPRESTIMO ELADIO-TODO DIA 04</t>
  </si>
  <si>
    <t>DESPESAS  GERAIS -ITAU</t>
  </si>
  <si>
    <t>ELADIO SILVA</t>
  </si>
  <si>
    <t>VALOR NEGOCIAÇÃO</t>
  </si>
  <si>
    <t>VALOR  NEGOCIAÇÃO</t>
  </si>
  <si>
    <t>CAIXA</t>
  </si>
  <si>
    <t xml:space="preserve"> BRADESCO</t>
  </si>
  <si>
    <t>CABREUVA</t>
  </si>
  <si>
    <t>CLEAN</t>
  </si>
  <si>
    <t>VITOR</t>
  </si>
  <si>
    <t>ELADIO</t>
  </si>
  <si>
    <t>THAIS</t>
  </si>
  <si>
    <t>EMPRESTIMO-HENRIQUE JEAN</t>
  </si>
  <si>
    <t>EMPRESTIMO 2022</t>
  </si>
  <si>
    <t>HENRIQUE JEAN</t>
  </si>
  <si>
    <t>DEPESAS GERAL -SOFISA 2022</t>
  </si>
  <si>
    <t>EMPRSTIMO-TODO DIA 20</t>
  </si>
  <si>
    <t>PARCELAMENTO DE JUROS-ELADIO -TODO DIA 02</t>
  </si>
  <si>
    <t>48 -9(CARENCIA)=39</t>
  </si>
  <si>
    <t>DATA</t>
  </si>
  <si>
    <t>SAFRA</t>
  </si>
  <si>
    <t>DEPESAS GERAL -SICOOB 2023</t>
  </si>
  <si>
    <t>NEGOCIAÇÃO CHEQUE ESPECIAL 2023</t>
  </si>
  <si>
    <t>PRONAMPE 2022</t>
  </si>
  <si>
    <t>HSERV COMBINADOS</t>
  </si>
  <si>
    <t>48 -11(CARENCIA)=37</t>
  </si>
  <si>
    <t>EMPRESTIMO 2023</t>
  </si>
  <si>
    <t>HSERV CLEAN</t>
  </si>
  <si>
    <t xml:space="preserve">VENCIMENTO </t>
  </si>
  <si>
    <t>VALOR</t>
  </si>
  <si>
    <t>PAGO</t>
  </si>
  <si>
    <t>CLEAN- FAC</t>
  </si>
  <si>
    <t>PAUSOU</t>
  </si>
  <si>
    <t>VOLTA</t>
  </si>
  <si>
    <t>RENEGOCIADO 1.040.000,00</t>
  </si>
  <si>
    <t>NEGOCIAÇÃO</t>
  </si>
  <si>
    <t>CARENCIA 3 MESES = 36</t>
  </si>
  <si>
    <t>42- CARENCIA DE 6 MÊS = 36</t>
  </si>
  <si>
    <t>PRONAMPE - SET 2022</t>
  </si>
  <si>
    <t>BRADESCO</t>
  </si>
  <si>
    <t>SANTANDER</t>
  </si>
  <si>
    <t>SOFISA</t>
  </si>
  <si>
    <t>SICOOB</t>
  </si>
  <si>
    <t>VENC</t>
  </si>
  <si>
    <t>BANCO</t>
  </si>
  <si>
    <t>Rótulos de Coluna</t>
  </si>
  <si>
    <t>Total Geral</t>
  </si>
  <si>
    <t>Rótulos de Linha</t>
  </si>
  <si>
    <t>Soma de VALOR</t>
  </si>
  <si>
    <t>EMPRESA</t>
  </si>
  <si>
    <t>COMBINADOS</t>
  </si>
  <si>
    <t>HENRIQUE</t>
  </si>
  <si>
    <t>TAXA A.M</t>
  </si>
  <si>
    <t>TAXA A.A</t>
  </si>
  <si>
    <t>TAXA. A.A</t>
  </si>
  <si>
    <t>0,15%a.m</t>
  </si>
  <si>
    <t>1,89%a.a</t>
  </si>
  <si>
    <t>TAXAS</t>
  </si>
  <si>
    <t xml:space="preserve">TAXAS </t>
  </si>
  <si>
    <t>0,49%a.m</t>
  </si>
  <si>
    <t>6,00% a.a</t>
  </si>
  <si>
    <t>45,86 a.a</t>
  </si>
  <si>
    <t>3,82% a.m</t>
  </si>
  <si>
    <t>2,59 a.m</t>
  </si>
  <si>
    <t>36,59 a.a</t>
  </si>
  <si>
    <t>36,63% a.a</t>
  </si>
  <si>
    <t>2,59% a.m</t>
  </si>
  <si>
    <t>1% a.m</t>
  </si>
  <si>
    <t>12,86% a.a</t>
  </si>
  <si>
    <t xml:space="preserve">35,7% a.m </t>
  </si>
  <si>
    <t>2,58% a.a</t>
  </si>
  <si>
    <t>0,49% a.m</t>
  </si>
  <si>
    <t>5,99% a.a</t>
  </si>
  <si>
    <t>0,945% a.m</t>
  </si>
  <si>
    <t>11,35% a.a</t>
  </si>
  <si>
    <t>Valor tabela ao lado</t>
  </si>
  <si>
    <t>12 parcelas de $ 48,089,66, após $ 1608,99</t>
  </si>
  <si>
    <t xml:space="preserve">TAXAS NÃO TIVEMOS ACESSO AO CONTRATO </t>
  </si>
  <si>
    <t>3,19% a.m</t>
  </si>
  <si>
    <t>46,49% a.a</t>
  </si>
  <si>
    <t>EXECUÇÃO</t>
  </si>
  <si>
    <t xml:space="preserve">VITOR </t>
  </si>
  <si>
    <t>CNPJ</t>
  </si>
  <si>
    <t>PG</t>
  </si>
  <si>
    <t>GERENTE ROBERTO AFIRMA QUE O VALOR DAS PARCELAS DESSES CONTRATOS FORAM ERRONEAS PELO SISTEMA BANCARIO</t>
  </si>
  <si>
    <t>TODO DIA 20</t>
  </si>
  <si>
    <t>TODO DIA 16</t>
  </si>
  <si>
    <t>GIRO CAIXA - 934507</t>
  </si>
  <si>
    <t>PRONAMPE - 951765</t>
  </si>
  <si>
    <t>PRONAMPE - 943758</t>
  </si>
  <si>
    <t>GIRO CAIXA - 947231</t>
  </si>
  <si>
    <t xml:space="preserve"> PRONAMPE 1758676</t>
  </si>
  <si>
    <t>PRONAMPE 1790308</t>
  </si>
  <si>
    <t>EXECUÇÃO - HONORARIOS</t>
  </si>
  <si>
    <t>PG VITOR</t>
  </si>
  <si>
    <t>DEPESAS GERAL -SICOOB 2024</t>
  </si>
  <si>
    <t>NEGOCIAÇÃO CHEQUE ESPECIAL 2024</t>
  </si>
  <si>
    <t>88,03% a.a</t>
  </si>
  <si>
    <t>VIVA FOOD</t>
  </si>
  <si>
    <t>NOVA MINUTA NOVEMBRO 2024</t>
  </si>
  <si>
    <t>DEVIDO AOS ATRASOS NA PARCELA DE 48K</t>
  </si>
  <si>
    <t>ENTRADA 50K+ 24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</si>
</sst>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[$-416]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Alignment="1">
      <alignment horizontal="center"/>
    </xf>
    <xf numFmtId="17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8" fontId="0" fillId="4" borderId="1" xfId="0" applyNumberFormat="1" applyFill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4" borderId="1" xfId="0" applyNumberFormat="1" applyFill="1" applyBorder="1" applyAlignment="1">
      <alignment horizontal="center"/>
    </xf>
    <xf numFmtId="17" fontId="0" fillId="4" borderId="1" xfId="0" applyNumberFormat="1" applyFill="1" applyBorder="1" applyAlignment="1">
      <alignment horizontal="center" vertical="center"/>
    </xf>
    <xf numFmtId="8" fontId="0" fillId="4" borderId="0" xfId="0" applyNumberFormat="1" applyFill="1"/>
    <xf numFmtId="17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4" fontId="0" fillId="0" borderId="1" xfId="0" applyNumberFormat="1" applyBorder="1"/>
    <xf numFmtId="0" fontId="0" fillId="4" borderId="5" xfId="0" applyFill="1" applyBorder="1" applyAlignment="1">
      <alignment horizontal="center" vertical="center"/>
    </xf>
    <xf numFmtId="8" fontId="0" fillId="4" borderId="5" xfId="0" applyNumberForma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8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0" fillId="0" borderId="1" xfId="0" applyBorder="1"/>
    <xf numFmtId="17" fontId="0" fillId="0" borderId="0" xfId="0" applyNumberFormat="1"/>
    <xf numFmtId="0" fontId="6" fillId="0" borderId="0" xfId="0" applyFont="1" applyAlignment="1">
      <alignment vertical="center"/>
    </xf>
    <xf numFmtId="16" fontId="0" fillId="0" borderId="1" xfId="0" applyNumberFormat="1" applyBorder="1"/>
    <xf numFmtId="0" fontId="0" fillId="0" borderId="1" xfId="0" applyBorder="1" applyAlignment="1">
      <alignment horizontal="center"/>
    </xf>
    <xf numFmtId="44" fontId="0" fillId="4" borderId="1" xfId="0" applyNumberFormat="1" applyFill="1" applyBorder="1"/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43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17" fontId="0" fillId="0" borderId="1" xfId="0" applyNumberFormat="1" applyBorder="1"/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4" borderId="16" xfId="0" applyFill="1" applyBorder="1" applyAlignment="1">
      <alignment horizontal="center" vertical="center"/>
    </xf>
    <xf numFmtId="8" fontId="0" fillId="4" borderId="16" xfId="0" applyNumberFormat="1" applyFill="1" applyBorder="1"/>
    <xf numFmtId="17" fontId="0" fillId="4" borderId="16" xfId="0" applyNumberFormat="1" applyFill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7" fontId="0" fillId="4" borderId="0" xfId="0" applyNumberFormat="1" applyFill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pivotButton="1"/>
    <xf numFmtId="165" fontId="2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2" fillId="4" borderId="3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44" fontId="9" fillId="0" borderId="0" xfId="0" applyNumberFormat="1" applyFont="1"/>
    <xf numFmtId="0" fontId="9" fillId="0" borderId="0" xfId="0" applyFont="1"/>
    <xf numFmtId="44" fontId="12" fillId="4" borderId="1" xfId="0" applyNumberFormat="1" applyFont="1" applyFill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2" fillId="4" borderId="1" xfId="0" applyNumberFormat="1" applyFont="1" applyFill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left"/>
    </xf>
    <xf numFmtId="44" fontId="0" fillId="0" borderId="1" xfId="2" applyFont="1" applyBorder="1"/>
    <xf numFmtId="44" fontId="0" fillId="4" borderId="1" xfId="2" applyFont="1" applyFill="1" applyBorder="1"/>
    <xf numFmtId="44" fontId="13" fillId="0" borderId="0" xfId="0" applyNumberFormat="1" applyFont="1" applyAlignment="1">
      <alignment vertical="center"/>
    </xf>
    <xf numFmtId="44" fontId="2" fillId="0" borderId="0" xfId="0" applyNumberFormat="1" applyFont="1"/>
    <xf numFmtId="8" fontId="0" fillId="4" borderId="1" xfId="0" applyNumberFormat="1" applyFill="1" applyBorder="1" applyAlignment="1">
      <alignment horizontal="center"/>
    </xf>
    <xf numFmtId="8" fontId="0" fillId="4" borderId="18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8" fontId="12" fillId="4" borderId="1" xfId="0" applyNumberFormat="1" applyFont="1" applyFill="1" applyBorder="1"/>
    <xf numFmtId="17" fontId="12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4" fillId="0" borderId="1" xfId="0" applyFont="1" applyBorder="1"/>
    <xf numFmtId="44" fontId="14" fillId="0" borderId="1" xfId="0" applyNumberFormat="1" applyFont="1" applyBorder="1"/>
    <xf numFmtId="17" fontId="14" fillId="0" borderId="1" xfId="0" applyNumberFormat="1" applyFont="1" applyBorder="1"/>
    <xf numFmtId="0" fontId="14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0" borderId="11" xfId="0" applyFont="1" applyBorder="1"/>
    <xf numFmtId="0" fontId="14" fillId="0" borderId="12" xfId="0" applyFont="1" applyBorder="1"/>
    <xf numFmtId="14" fontId="0" fillId="0" borderId="21" xfId="0" applyNumberFormat="1" applyBorder="1"/>
    <xf numFmtId="0" fontId="0" fillId="0" borderId="22" xfId="0" applyBorder="1"/>
    <xf numFmtId="0" fontId="14" fillId="0" borderId="14" xfId="0" applyFont="1" applyBorder="1"/>
    <xf numFmtId="0" fontId="14" fillId="0" borderId="15" xfId="0" applyFont="1" applyBorder="1"/>
    <xf numFmtId="0" fontId="14" fillId="0" borderId="22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44" fontId="9" fillId="4" borderId="1" xfId="0" applyNumberFormat="1" applyFont="1" applyFill="1" applyBorder="1"/>
    <xf numFmtId="17" fontId="9" fillId="4" borderId="1" xfId="0" applyNumberFormat="1" applyFont="1" applyFill="1" applyBorder="1" applyAlignment="1">
      <alignment horizontal="center"/>
    </xf>
    <xf numFmtId="44" fontId="9" fillId="4" borderId="1" xfId="2" applyFont="1" applyFill="1" applyBorder="1"/>
    <xf numFmtId="8" fontId="2" fillId="4" borderId="1" xfId="0" applyNumberFormat="1" applyFont="1" applyFill="1" applyBorder="1"/>
    <xf numFmtId="17" fontId="2" fillId="4" borderId="1" xfId="0" applyNumberFormat="1" applyFont="1" applyFill="1" applyBorder="1" applyAlignment="1">
      <alignment horizontal="center"/>
    </xf>
    <xf numFmtId="8" fontId="9" fillId="4" borderId="1" xfId="0" applyNumberFormat="1" applyFont="1" applyFill="1" applyBorder="1"/>
    <xf numFmtId="0" fontId="12" fillId="0" borderId="1" xfId="0" applyFont="1" applyBorder="1"/>
    <xf numFmtId="44" fontId="12" fillId="0" borderId="1" xfId="0" applyNumberFormat="1" applyFont="1" applyBorder="1"/>
    <xf numFmtId="17" fontId="12" fillId="0" borderId="1" xfId="0" applyNumberFormat="1" applyFont="1" applyBorder="1"/>
    <xf numFmtId="10" fontId="0" fillId="0" borderId="1" xfId="3" applyNumberFormat="1" applyFont="1" applyBorder="1"/>
    <xf numFmtId="10" fontId="0" fillId="0" borderId="1" xfId="0" applyNumberFormat="1" applyBorder="1"/>
    <xf numFmtId="165" fontId="12" fillId="0" borderId="0" xfId="0" applyNumberFormat="1" applyFont="1" applyAlignment="1">
      <alignment horizontal="left"/>
    </xf>
    <xf numFmtId="44" fontId="12" fillId="0" borderId="0" xfId="0" applyNumberFormat="1" applyFont="1"/>
    <xf numFmtId="0" fontId="1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8" fontId="0" fillId="4" borderId="1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8" fontId="0" fillId="4" borderId="2" xfId="0" applyNumberFormat="1" applyFill="1" applyBorder="1" applyAlignment="1">
      <alignment horizontal="center"/>
    </xf>
    <xf numFmtId="8" fontId="0" fillId="4" borderId="4" xfId="0" applyNumberFormat="1" applyFill="1" applyBorder="1" applyAlignment="1">
      <alignment horizontal="center"/>
    </xf>
    <xf numFmtId="8" fontId="0" fillId="4" borderId="3" xfId="0" applyNumberForma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8" fontId="0" fillId="4" borderId="0" xfId="0" applyNumberFormat="1" applyFill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8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8" fontId="0" fillId="4" borderId="2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8" fontId="9" fillId="4" borderId="2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8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4" fontId="0" fillId="0" borderId="0" xfId="0" applyNumberFormat="1" applyFill="1" applyBorder="1"/>
    <xf numFmtId="0" fontId="0" fillId="10" borderId="1" xfId="0" applyFill="1" applyBorder="1" applyAlignment="1">
      <alignment horizontal="center" vertical="center"/>
    </xf>
    <xf numFmtId="44" fontId="0" fillId="10" borderId="1" xfId="0" applyNumberFormat="1" applyFill="1" applyBorder="1"/>
    <xf numFmtId="17" fontId="0" fillId="10" borderId="1" xfId="0" applyNumberFormat="1" applyFill="1" applyBorder="1" applyAlignment="1">
      <alignment horizontal="center"/>
    </xf>
    <xf numFmtId="44" fontId="0" fillId="10" borderId="1" xfId="2" applyFont="1" applyFill="1" applyBorder="1"/>
    <xf numFmtId="44" fontId="0" fillId="4" borderId="0" xfId="0" applyNumberForma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"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852.505009837965" createdVersion="8" refreshedVersion="8" minRefreshableVersion="3" recordCount="136" xr:uid="{012DC4A8-3E82-4FBB-82E2-9A6E2988E36D}">
  <cacheSource type="worksheet">
    <worksheetSource ref="A1:D137" sheet="BASE"/>
  </cacheSource>
  <cacheFields count="7">
    <cacheField name="VALOR" numFmtId="44">
      <sharedItems containsSemiMixedTypes="0" containsString="0" containsNumber="1" minValue="660.75" maxValue="35714.97"/>
    </cacheField>
    <cacheField name="VENC" numFmtId="165">
      <sharedItems containsSemiMixedTypes="0" containsNonDate="0" containsDate="1" containsString="0" minDate="2023-01-01T00:00:00" maxDate="2028-07-02T00:00:00" count="53"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5-05-01T00:00:00"/>
        <d v="2025-06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6-12-02T00:00:00" u="1"/>
        <d v="2026-11-02T00:00:00" u="1"/>
      </sharedItems>
      <fieldGroup par="6"/>
    </cacheField>
    <cacheField name="BANCO" numFmtId="0">
      <sharedItems count="6">
        <s v="BRADESCO"/>
        <s v="SANTANDER"/>
        <s v="SICOOB"/>
        <s v="CAIXA"/>
        <s v="SOFISA"/>
        <s v="SAFRA"/>
      </sharedItems>
    </cacheField>
    <cacheField name="EMPRESA" numFmtId="0">
      <sharedItems/>
    </cacheField>
    <cacheField name="Meses (VENC)" numFmtId="0" databaseField="0">
      <fieldGroup base="1">
        <rangePr groupBy="months" startDate="2023-01-01T00:00:00" endDate="2028-07-02T00:00:00"/>
        <groupItems count="14">
          <s v="&lt;01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7/2028"/>
        </groupItems>
      </fieldGroup>
    </cacheField>
    <cacheField name="Trimestres (VENC)" numFmtId="0" databaseField="0">
      <fieldGroup base="1">
        <rangePr groupBy="quarters" startDate="2023-01-01T00:00:00" endDate="2028-07-02T00:00:00"/>
        <groupItems count="6">
          <s v="&lt;01/01/2023"/>
          <s v="Trim1"/>
          <s v="Trim2"/>
          <s v="Trim3"/>
          <s v="Trim4"/>
          <s v="&gt;02/07/2028"/>
        </groupItems>
      </fieldGroup>
    </cacheField>
    <cacheField name="Anos (VENC)" numFmtId="0" databaseField="0">
      <fieldGroup base="1">
        <rangePr groupBy="years" startDate="2023-01-01T00:00:00" endDate="2028-07-02T00:00:00"/>
        <groupItems count="8">
          <s v="&lt;01/01/2023"/>
          <s v="2023"/>
          <s v="2024"/>
          <s v="2025"/>
          <s v="2026"/>
          <s v="2027"/>
          <s v="2028"/>
          <s v="&gt;02/07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35714.97"/>
    <x v="0"/>
    <x v="0"/>
    <s v="CABREUVA"/>
  </r>
  <r>
    <n v="4072.31"/>
    <x v="0"/>
    <x v="0"/>
    <s v="CLEAN"/>
  </r>
  <r>
    <n v="35714.97"/>
    <x v="1"/>
    <x v="0"/>
    <s v="CABREUVA"/>
  </r>
  <r>
    <n v="4072.31"/>
    <x v="1"/>
    <x v="0"/>
    <s v="CLEAN"/>
  </r>
  <r>
    <n v="35714.97"/>
    <x v="2"/>
    <x v="0"/>
    <s v="CABREUVA"/>
  </r>
  <r>
    <n v="4072.31"/>
    <x v="2"/>
    <x v="0"/>
    <s v="CLEAN"/>
  </r>
  <r>
    <n v="35714.97"/>
    <x v="3"/>
    <x v="0"/>
    <s v="CABREUVA"/>
  </r>
  <r>
    <n v="4072.31"/>
    <x v="3"/>
    <x v="0"/>
    <s v="CLEAN"/>
  </r>
  <r>
    <n v="35714.97"/>
    <x v="4"/>
    <x v="0"/>
    <s v="CABREUVA"/>
  </r>
  <r>
    <n v="4072.31"/>
    <x v="4"/>
    <x v="0"/>
    <s v="CLEAN"/>
  </r>
  <r>
    <n v="35714.97"/>
    <x v="5"/>
    <x v="0"/>
    <s v="CABREUVA"/>
  </r>
  <r>
    <n v="4072.31"/>
    <x v="5"/>
    <x v="0"/>
    <s v="CLEAN"/>
  </r>
  <r>
    <n v="35714.97"/>
    <x v="6"/>
    <x v="0"/>
    <s v="CABREUVA"/>
  </r>
  <r>
    <n v="4072.31"/>
    <x v="6"/>
    <x v="0"/>
    <s v="CLEAN"/>
  </r>
  <r>
    <n v="35714.97"/>
    <x v="7"/>
    <x v="0"/>
    <s v="CABREUVA"/>
  </r>
  <r>
    <n v="35714.97"/>
    <x v="8"/>
    <x v="0"/>
    <s v="CABREUVA"/>
  </r>
  <r>
    <n v="35714.97"/>
    <x v="9"/>
    <x v="0"/>
    <s v="CABREUVA"/>
  </r>
  <r>
    <n v="35714.97"/>
    <x v="10"/>
    <x v="0"/>
    <s v="CABREUVA"/>
  </r>
  <r>
    <n v="35714.97"/>
    <x v="11"/>
    <x v="0"/>
    <s v="CABREUVA"/>
  </r>
  <r>
    <n v="35714.97"/>
    <x v="12"/>
    <x v="0"/>
    <s v="CABREUVA"/>
  </r>
  <r>
    <n v="35714.97"/>
    <x v="13"/>
    <x v="0"/>
    <s v="CABREUVA"/>
  </r>
  <r>
    <n v="35714.97"/>
    <x v="14"/>
    <x v="0"/>
    <s v="CABREUVA"/>
  </r>
  <r>
    <n v="35714.97"/>
    <x v="15"/>
    <x v="0"/>
    <s v="CABREUVA"/>
  </r>
  <r>
    <n v="35714.97"/>
    <x v="16"/>
    <x v="0"/>
    <s v="CABREUVA"/>
  </r>
  <r>
    <n v="35714.97"/>
    <x v="17"/>
    <x v="0"/>
    <s v="CABREUVA"/>
  </r>
  <r>
    <n v="4072.31"/>
    <x v="7"/>
    <x v="0"/>
    <s v="CLEAN"/>
  </r>
  <r>
    <n v="4072.31"/>
    <x v="8"/>
    <x v="0"/>
    <s v="CLEAN"/>
  </r>
  <r>
    <n v="4072.31"/>
    <x v="9"/>
    <x v="0"/>
    <s v="CLEAN"/>
  </r>
  <r>
    <n v="4072.31"/>
    <x v="10"/>
    <x v="0"/>
    <s v="CLEAN"/>
  </r>
  <r>
    <n v="4072.31"/>
    <x v="11"/>
    <x v="0"/>
    <s v="CLEAN"/>
  </r>
  <r>
    <n v="4072.31"/>
    <x v="12"/>
    <x v="0"/>
    <s v="CLEAN"/>
  </r>
  <r>
    <n v="4072.31"/>
    <x v="13"/>
    <x v="0"/>
    <s v="CLEAN"/>
  </r>
  <r>
    <n v="4072.31"/>
    <x v="14"/>
    <x v="0"/>
    <s v="CLEAN"/>
  </r>
  <r>
    <n v="1192.71"/>
    <x v="18"/>
    <x v="1"/>
    <s v="HENRIQUE"/>
  </r>
  <r>
    <n v="1192.71"/>
    <x v="19"/>
    <x v="1"/>
    <s v="HENRIQUE"/>
  </r>
  <r>
    <n v="1192.71"/>
    <x v="20"/>
    <x v="1"/>
    <s v="HENRIQUE"/>
  </r>
  <r>
    <n v="1192.71"/>
    <x v="21"/>
    <x v="1"/>
    <s v="HENRIQUE"/>
  </r>
  <r>
    <n v="1192.71"/>
    <x v="22"/>
    <x v="1"/>
    <s v="HENRIQUE"/>
  </r>
  <r>
    <n v="1192.71"/>
    <x v="23"/>
    <x v="1"/>
    <s v="HENRIQUE"/>
  </r>
  <r>
    <n v="1192.71"/>
    <x v="24"/>
    <x v="1"/>
    <s v="HENRIQUE"/>
  </r>
  <r>
    <n v="1192.71"/>
    <x v="25"/>
    <x v="1"/>
    <s v="HENRIQUE"/>
  </r>
  <r>
    <n v="1192.71"/>
    <x v="26"/>
    <x v="1"/>
    <s v="HENRIQUE"/>
  </r>
  <r>
    <n v="1192.71"/>
    <x v="27"/>
    <x v="1"/>
    <s v="HENRIQUE"/>
  </r>
  <r>
    <n v="1192.71"/>
    <x v="28"/>
    <x v="1"/>
    <s v="HENRIQUE"/>
  </r>
  <r>
    <n v="1192.71"/>
    <x v="29"/>
    <x v="1"/>
    <s v="HENRIQUE"/>
  </r>
  <r>
    <n v="2012.45"/>
    <x v="0"/>
    <x v="2"/>
    <s v="CABREUVA"/>
  </r>
  <r>
    <n v="2012.45"/>
    <x v="1"/>
    <x v="2"/>
    <s v="CABREUVA"/>
  </r>
  <r>
    <n v="2012.45"/>
    <x v="2"/>
    <x v="2"/>
    <s v="CABREUVA"/>
  </r>
  <r>
    <n v="2012.45"/>
    <x v="3"/>
    <x v="2"/>
    <s v="CABREUVA"/>
  </r>
  <r>
    <n v="2012.45"/>
    <x v="4"/>
    <x v="2"/>
    <s v="CABREUVA"/>
  </r>
  <r>
    <n v="2012.45"/>
    <x v="5"/>
    <x v="2"/>
    <s v="CABREUVA"/>
  </r>
  <r>
    <n v="2012.45"/>
    <x v="6"/>
    <x v="2"/>
    <s v="CABREUVA"/>
  </r>
  <r>
    <n v="2012.45"/>
    <x v="7"/>
    <x v="2"/>
    <s v="CABREUVA"/>
  </r>
  <r>
    <n v="2012.45"/>
    <x v="8"/>
    <x v="2"/>
    <s v="CABREUVA"/>
  </r>
  <r>
    <n v="2012.45"/>
    <x v="9"/>
    <x v="2"/>
    <s v="CABREUVA"/>
  </r>
  <r>
    <n v="5600"/>
    <x v="30"/>
    <x v="3"/>
    <s v="COMBINADOS"/>
  </r>
  <r>
    <n v="5600"/>
    <x v="31"/>
    <x v="3"/>
    <s v="COMBINADOS"/>
  </r>
  <r>
    <n v="5600"/>
    <x v="0"/>
    <x v="3"/>
    <s v="COMBINADOS"/>
  </r>
  <r>
    <n v="5600"/>
    <x v="1"/>
    <x v="3"/>
    <s v="COMBINADOS"/>
  </r>
  <r>
    <n v="5600"/>
    <x v="2"/>
    <x v="3"/>
    <s v="COMBINADOS"/>
  </r>
  <r>
    <n v="5600"/>
    <x v="3"/>
    <x v="3"/>
    <s v="COMBINADOS"/>
  </r>
  <r>
    <n v="5600"/>
    <x v="4"/>
    <x v="3"/>
    <s v="COMBINADOS"/>
  </r>
  <r>
    <n v="5600"/>
    <x v="5"/>
    <x v="3"/>
    <s v="COMBINADOS"/>
  </r>
  <r>
    <n v="5600"/>
    <x v="6"/>
    <x v="3"/>
    <s v="COMBINADOS"/>
  </r>
  <r>
    <n v="5600"/>
    <x v="7"/>
    <x v="3"/>
    <s v="COMBINADOS"/>
  </r>
  <r>
    <n v="5600"/>
    <x v="8"/>
    <x v="3"/>
    <s v="COMBINADOS"/>
  </r>
  <r>
    <n v="5600"/>
    <x v="9"/>
    <x v="3"/>
    <s v="COMBINADOS"/>
  </r>
  <r>
    <n v="5600"/>
    <x v="10"/>
    <x v="3"/>
    <s v="COMBINADOS"/>
  </r>
  <r>
    <n v="5600"/>
    <x v="11"/>
    <x v="3"/>
    <s v="COMBINADOS"/>
  </r>
  <r>
    <n v="5600"/>
    <x v="12"/>
    <x v="3"/>
    <s v="COMBINADOS"/>
  </r>
  <r>
    <n v="5600"/>
    <x v="13"/>
    <x v="3"/>
    <s v="COMBINADOS"/>
  </r>
  <r>
    <n v="5600"/>
    <x v="14"/>
    <x v="3"/>
    <s v="COMBINADOS"/>
  </r>
  <r>
    <n v="5600"/>
    <x v="15"/>
    <x v="3"/>
    <s v="COMBINADOS"/>
  </r>
  <r>
    <n v="5800"/>
    <x v="30"/>
    <x v="3"/>
    <s v="HENRIQUE"/>
  </r>
  <r>
    <n v="5800"/>
    <x v="31"/>
    <x v="3"/>
    <s v="HENRIQUE"/>
  </r>
  <r>
    <n v="5800"/>
    <x v="0"/>
    <x v="3"/>
    <s v="HENRIQUE"/>
  </r>
  <r>
    <n v="5800"/>
    <x v="1"/>
    <x v="3"/>
    <s v="HENRIQUE"/>
  </r>
  <r>
    <n v="5800"/>
    <x v="2"/>
    <x v="3"/>
    <s v="HENRIQUE"/>
  </r>
  <r>
    <n v="5800"/>
    <x v="3"/>
    <x v="3"/>
    <s v="HENRIQUE"/>
  </r>
  <r>
    <n v="5800"/>
    <x v="4"/>
    <x v="3"/>
    <s v="HENRIQUE"/>
  </r>
  <r>
    <n v="5800"/>
    <x v="5"/>
    <x v="3"/>
    <s v="HENRIQUE"/>
  </r>
  <r>
    <n v="5800"/>
    <x v="6"/>
    <x v="3"/>
    <s v="HENRIQUE"/>
  </r>
  <r>
    <n v="5800"/>
    <x v="7"/>
    <x v="3"/>
    <s v="HENRIQUE"/>
  </r>
  <r>
    <n v="5800"/>
    <x v="8"/>
    <x v="3"/>
    <s v="HENRIQUE"/>
  </r>
  <r>
    <n v="5800"/>
    <x v="9"/>
    <x v="3"/>
    <s v="HENRIQUE"/>
  </r>
  <r>
    <n v="5800"/>
    <x v="10"/>
    <x v="3"/>
    <s v="HENRIQUE"/>
  </r>
  <r>
    <n v="5800"/>
    <x v="11"/>
    <x v="3"/>
    <s v="HENRIQUE"/>
  </r>
  <r>
    <n v="5800"/>
    <x v="12"/>
    <x v="3"/>
    <s v="HENRIQUE"/>
  </r>
  <r>
    <n v="5800"/>
    <x v="13"/>
    <x v="3"/>
    <s v="HENRIQUE"/>
  </r>
  <r>
    <n v="5800"/>
    <x v="14"/>
    <x v="3"/>
    <s v="HENRIQUE"/>
  </r>
  <r>
    <n v="5800"/>
    <x v="15"/>
    <x v="3"/>
    <s v="HENRIQUE"/>
  </r>
  <r>
    <n v="5800"/>
    <x v="16"/>
    <x v="3"/>
    <s v="HENRIQUE"/>
  </r>
  <r>
    <n v="5173.13"/>
    <x v="0"/>
    <x v="4"/>
    <s v="COMBINADOS"/>
  </r>
  <r>
    <n v="5072.57"/>
    <x v="1"/>
    <x v="4"/>
    <s v="COMBINADOS"/>
  </r>
  <r>
    <n v="5028.43"/>
    <x v="2"/>
    <x v="4"/>
    <s v="COMBINADOS"/>
  </r>
  <r>
    <n v="4956.07"/>
    <x v="3"/>
    <x v="4"/>
    <s v="COMBINADOS"/>
  </r>
  <r>
    <n v="4876.67"/>
    <x v="4"/>
    <x v="4"/>
    <s v="COMBINADOS"/>
  </r>
  <r>
    <n v="4806.67"/>
    <x v="5"/>
    <x v="4"/>
    <s v="COMBINADOS"/>
  </r>
  <r>
    <n v="4738.95"/>
    <x v="6"/>
    <x v="4"/>
    <s v="COMBINADOS"/>
  </r>
  <r>
    <n v="660.75"/>
    <x v="0"/>
    <x v="4"/>
    <s v="COMBINADOS"/>
  </r>
  <r>
    <n v="940"/>
    <x v="1"/>
    <x v="5"/>
    <s v="CLEAN"/>
  </r>
  <r>
    <n v="940"/>
    <x v="2"/>
    <x v="5"/>
    <s v="CLEAN"/>
  </r>
  <r>
    <n v="940"/>
    <x v="3"/>
    <x v="5"/>
    <s v="CLEAN"/>
  </r>
  <r>
    <n v="940"/>
    <x v="4"/>
    <x v="5"/>
    <s v="CLEAN"/>
  </r>
  <r>
    <n v="940"/>
    <x v="5"/>
    <x v="5"/>
    <s v="CLEAN"/>
  </r>
  <r>
    <n v="940"/>
    <x v="6"/>
    <x v="5"/>
    <s v="CLEAN"/>
  </r>
  <r>
    <n v="940"/>
    <x v="7"/>
    <x v="5"/>
    <s v="CLEAN"/>
  </r>
  <r>
    <n v="940"/>
    <x v="8"/>
    <x v="5"/>
    <s v="CLEAN"/>
  </r>
  <r>
    <n v="940"/>
    <x v="9"/>
    <x v="5"/>
    <s v="CLEAN"/>
  </r>
  <r>
    <n v="940"/>
    <x v="10"/>
    <x v="5"/>
    <s v="CLEAN"/>
  </r>
  <r>
    <n v="940"/>
    <x v="11"/>
    <x v="5"/>
    <s v="CLEAN"/>
  </r>
  <r>
    <n v="940"/>
    <x v="12"/>
    <x v="5"/>
    <s v="CLEAN"/>
  </r>
  <r>
    <n v="940"/>
    <x v="13"/>
    <x v="5"/>
    <s v="CLEAN"/>
  </r>
  <r>
    <n v="940"/>
    <x v="14"/>
    <x v="5"/>
    <s v="CLEAN"/>
  </r>
  <r>
    <n v="940"/>
    <x v="15"/>
    <x v="5"/>
    <s v="CLEAN"/>
  </r>
  <r>
    <n v="940"/>
    <x v="16"/>
    <x v="5"/>
    <s v="CLEAN"/>
  </r>
  <r>
    <n v="940"/>
    <x v="17"/>
    <x v="5"/>
    <s v="CLEAN"/>
  </r>
  <r>
    <n v="940"/>
    <x v="32"/>
    <x v="5"/>
    <s v="CLEAN"/>
  </r>
  <r>
    <n v="940"/>
    <x v="33"/>
    <x v="5"/>
    <s v="CLEAN"/>
  </r>
  <r>
    <n v="940"/>
    <x v="34"/>
    <x v="5"/>
    <s v="CLEAN"/>
  </r>
  <r>
    <n v="940"/>
    <x v="35"/>
    <x v="5"/>
    <s v="CLEAN"/>
  </r>
  <r>
    <n v="940"/>
    <x v="36"/>
    <x v="5"/>
    <s v="CLEAN"/>
  </r>
  <r>
    <n v="940"/>
    <x v="37"/>
    <x v="5"/>
    <s v="CLEAN"/>
  </r>
  <r>
    <n v="940"/>
    <x v="38"/>
    <x v="5"/>
    <s v="CLEAN"/>
  </r>
  <r>
    <n v="940"/>
    <x v="39"/>
    <x v="5"/>
    <s v="CLEAN"/>
  </r>
  <r>
    <n v="940"/>
    <x v="40"/>
    <x v="5"/>
    <s v="CLEAN"/>
  </r>
  <r>
    <n v="940"/>
    <x v="41"/>
    <x v="5"/>
    <s v="CLEAN"/>
  </r>
  <r>
    <n v="940"/>
    <x v="42"/>
    <x v="5"/>
    <s v="CLEAN"/>
  </r>
  <r>
    <n v="940"/>
    <x v="43"/>
    <x v="5"/>
    <s v="CLEAN"/>
  </r>
  <r>
    <n v="940"/>
    <x v="44"/>
    <x v="5"/>
    <s v="CLEAN"/>
  </r>
  <r>
    <n v="940"/>
    <x v="45"/>
    <x v="5"/>
    <s v="CLEAN"/>
  </r>
  <r>
    <n v="940"/>
    <x v="46"/>
    <x v="5"/>
    <s v="CLEAN"/>
  </r>
  <r>
    <n v="940"/>
    <x v="47"/>
    <x v="5"/>
    <s v="CLEAN"/>
  </r>
  <r>
    <n v="940"/>
    <x v="48"/>
    <x v="5"/>
    <s v="CLEAN"/>
  </r>
  <r>
    <n v="940"/>
    <x v="49"/>
    <x v="5"/>
    <s v="CLEAN"/>
  </r>
  <r>
    <n v="940"/>
    <x v="50"/>
    <x v="5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16875-8B91-4023-8A31-AB37C72182FD}" name="Tabela dinâmica2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H57" firstHeaderRow="1" firstDataRow="2" firstDataCol="1"/>
  <pivotFields count="7">
    <pivotField dataField="1" numFmtId="44" showAll="0"/>
    <pivotField axis="axisRow" numFmtId="165" showAll="0" sortType="ascending">
      <items count="54"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52"/>
        <item x="17"/>
        <item m="1" x="5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7">
        <item x="0"/>
        <item x="3"/>
        <item x="5"/>
        <item x="1"/>
        <item x="2"/>
        <item x="4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VALOR" fld="0" baseField="0" baseItem="0" numFmtId="44"/>
  </dataFields>
  <formats count="4">
    <format dxfId="3">
      <pivotArea collapsedLevelsAreSubtotals="1" fieldPosition="0">
        <references count="1">
          <reference field="1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">
      <pivotArea dataOnly="0" labelOnly="1" fieldPosition="0">
        <references count="1">
          <reference field="1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">
      <pivotArea collapsedLevelsAreSubtotals="1" fieldPosition="0">
        <references count="1">
          <reference field="1" count="1">
            <x v="14"/>
          </reference>
        </references>
      </pivotArea>
    </format>
    <format dxfId="0">
      <pivotArea dataOnly="0" labelOnly="1" fieldPosition="0">
        <references count="1">
          <reference field="1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A54C-84C5-495C-AFF4-0A57BC03EA44}">
  <dimension ref="A4:H57"/>
  <sheetViews>
    <sheetView showGridLines="0" workbookViewId="0">
      <selection activeCell="A2" sqref="A2"/>
    </sheetView>
  </sheetViews>
  <sheetFormatPr defaultRowHeight="14.4" x14ac:dyDescent="0.3"/>
  <cols>
    <col min="1" max="1" width="17.21875" bestFit="1" customWidth="1"/>
    <col min="2" max="2" width="18.5546875" bestFit="1" customWidth="1"/>
    <col min="3" max="3" width="14.109375" bestFit="1" customWidth="1"/>
    <col min="4" max="7" width="13.109375" bestFit="1" customWidth="1"/>
    <col min="8" max="9" width="15.6640625" bestFit="1" customWidth="1"/>
    <col min="11" max="11" width="9.5546875" bestFit="1" customWidth="1"/>
    <col min="12" max="12" width="15.5546875" bestFit="1" customWidth="1"/>
  </cols>
  <sheetData>
    <row r="4" spans="1:8" x14ac:dyDescent="0.3">
      <c r="A4" s="65" t="s">
        <v>59</v>
      </c>
      <c r="B4" s="65" t="s">
        <v>56</v>
      </c>
    </row>
    <row r="5" spans="1:8" x14ac:dyDescent="0.3">
      <c r="A5" s="65" t="s">
        <v>58</v>
      </c>
      <c r="B5" t="s">
        <v>50</v>
      </c>
      <c r="C5" t="s">
        <v>16</v>
      </c>
      <c r="D5" t="s">
        <v>31</v>
      </c>
      <c r="E5" t="s">
        <v>51</v>
      </c>
      <c r="F5" t="s">
        <v>53</v>
      </c>
      <c r="G5" t="s">
        <v>52</v>
      </c>
      <c r="H5" t="s">
        <v>57</v>
      </c>
    </row>
    <row r="6" spans="1:8" s="76" customFormat="1" x14ac:dyDescent="0.3">
      <c r="A6" s="84">
        <v>44927</v>
      </c>
      <c r="B6" s="75"/>
      <c r="C6" s="75"/>
      <c r="D6" s="75"/>
      <c r="E6" s="75">
        <v>1192.71</v>
      </c>
      <c r="F6" s="75"/>
      <c r="G6" s="75"/>
      <c r="H6" s="75">
        <v>1192.71</v>
      </c>
    </row>
    <row r="7" spans="1:8" s="76" customFormat="1" x14ac:dyDescent="0.3">
      <c r="A7" s="84">
        <v>44958</v>
      </c>
      <c r="B7" s="75"/>
      <c r="C7" s="75"/>
      <c r="D7" s="75"/>
      <c r="E7" s="75">
        <v>1192.71</v>
      </c>
      <c r="F7" s="75"/>
      <c r="G7" s="75"/>
      <c r="H7" s="75">
        <v>1192.71</v>
      </c>
    </row>
    <row r="8" spans="1:8" s="76" customFormat="1" x14ac:dyDescent="0.3">
      <c r="A8" s="84">
        <v>44986</v>
      </c>
      <c r="B8" s="75"/>
      <c r="C8" s="75"/>
      <c r="D8" s="75"/>
      <c r="E8" s="75">
        <v>1192.71</v>
      </c>
      <c r="F8" s="75"/>
      <c r="G8" s="75"/>
      <c r="H8" s="75">
        <v>1192.71</v>
      </c>
    </row>
    <row r="9" spans="1:8" s="76" customFormat="1" x14ac:dyDescent="0.3">
      <c r="A9" s="84">
        <v>45017</v>
      </c>
      <c r="B9" s="75"/>
      <c r="C9" s="75"/>
      <c r="D9" s="75"/>
      <c r="E9" s="75">
        <v>1192.71</v>
      </c>
      <c r="F9" s="75"/>
      <c r="G9" s="75"/>
      <c r="H9" s="75">
        <v>1192.71</v>
      </c>
    </row>
    <row r="10" spans="1:8" s="76" customFormat="1" x14ac:dyDescent="0.3">
      <c r="A10" s="84">
        <v>45047</v>
      </c>
      <c r="B10" s="75"/>
      <c r="C10" s="75"/>
      <c r="D10" s="75"/>
      <c r="E10" s="75">
        <v>1192.71</v>
      </c>
      <c r="F10" s="75"/>
      <c r="G10" s="75"/>
      <c r="H10" s="75">
        <v>1192.71</v>
      </c>
    </row>
    <row r="11" spans="1:8" s="76" customFormat="1" x14ac:dyDescent="0.3">
      <c r="A11" s="84">
        <v>45078</v>
      </c>
      <c r="B11" s="75"/>
      <c r="C11" s="75"/>
      <c r="D11" s="75"/>
      <c r="E11" s="75">
        <v>1192.71</v>
      </c>
      <c r="F11" s="75"/>
      <c r="G11" s="75"/>
      <c r="H11" s="75">
        <v>1192.71</v>
      </c>
    </row>
    <row r="12" spans="1:8" s="76" customFormat="1" x14ac:dyDescent="0.3">
      <c r="A12" s="84">
        <v>45108</v>
      </c>
      <c r="B12" s="75"/>
      <c r="C12" s="75"/>
      <c r="D12" s="75"/>
      <c r="E12" s="75">
        <v>1192.71</v>
      </c>
      <c r="F12" s="75"/>
      <c r="G12" s="75"/>
      <c r="H12" s="75">
        <v>1192.71</v>
      </c>
    </row>
    <row r="13" spans="1:8" s="76" customFormat="1" x14ac:dyDescent="0.3">
      <c r="A13" s="84">
        <v>45139</v>
      </c>
      <c r="B13" s="75"/>
      <c r="C13" s="75"/>
      <c r="D13" s="75"/>
      <c r="E13" s="75">
        <v>1192.71</v>
      </c>
      <c r="F13" s="75"/>
      <c r="G13" s="75"/>
      <c r="H13" s="75">
        <v>1192.71</v>
      </c>
    </row>
    <row r="14" spans="1:8" s="76" customFormat="1" x14ac:dyDescent="0.3">
      <c r="A14" s="84">
        <v>45170</v>
      </c>
      <c r="B14" s="75"/>
      <c r="C14" s="75"/>
      <c r="D14" s="75"/>
      <c r="E14" s="75">
        <v>1192.71</v>
      </c>
      <c r="F14" s="75"/>
      <c r="G14" s="75"/>
      <c r="H14" s="75">
        <v>1192.71</v>
      </c>
    </row>
    <row r="15" spans="1:8" s="76" customFormat="1" x14ac:dyDescent="0.3">
      <c r="A15" s="84">
        <v>45200</v>
      </c>
      <c r="B15" s="75"/>
      <c r="C15" s="75"/>
      <c r="D15" s="75"/>
      <c r="E15" s="75">
        <v>1192.71</v>
      </c>
      <c r="F15" s="75"/>
      <c r="G15" s="75"/>
      <c r="H15" s="75">
        <v>1192.71</v>
      </c>
    </row>
    <row r="16" spans="1:8" s="76" customFormat="1" x14ac:dyDescent="0.3">
      <c r="A16" s="84">
        <v>45231</v>
      </c>
      <c r="B16" s="75"/>
      <c r="C16" s="75"/>
      <c r="D16" s="75"/>
      <c r="E16" s="75">
        <v>1192.71</v>
      </c>
      <c r="F16" s="75"/>
      <c r="G16" s="75"/>
      <c r="H16" s="75">
        <v>1192.71</v>
      </c>
    </row>
    <row r="17" spans="1:8" s="76" customFormat="1" x14ac:dyDescent="0.3">
      <c r="A17" s="84">
        <v>45261</v>
      </c>
      <c r="B17" s="75"/>
      <c r="C17" s="75"/>
      <c r="D17" s="75"/>
      <c r="E17" s="75">
        <v>1192.71</v>
      </c>
      <c r="F17" s="75"/>
      <c r="G17" s="75"/>
      <c r="H17" s="75">
        <v>1192.71</v>
      </c>
    </row>
    <row r="18" spans="1:8" s="76" customFormat="1" x14ac:dyDescent="0.3">
      <c r="A18" s="84">
        <v>45778</v>
      </c>
      <c r="B18" s="75"/>
      <c r="C18" s="75">
        <v>11400</v>
      </c>
      <c r="D18" s="75"/>
      <c r="E18" s="75"/>
      <c r="F18" s="75"/>
      <c r="G18" s="75"/>
      <c r="H18" s="75">
        <v>11400</v>
      </c>
    </row>
    <row r="19" spans="1:8" s="76" customFormat="1" x14ac:dyDescent="0.3">
      <c r="A19" s="84">
        <v>45809</v>
      </c>
      <c r="B19" s="75"/>
      <c r="C19" s="75">
        <v>11400</v>
      </c>
      <c r="D19" s="75"/>
      <c r="E19" s="75"/>
      <c r="F19" s="75"/>
      <c r="G19" s="75"/>
      <c r="H19" s="75">
        <v>11400</v>
      </c>
    </row>
    <row r="20" spans="1:8" s="136" customFormat="1" x14ac:dyDescent="0.3">
      <c r="A20" s="134">
        <v>45839</v>
      </c>
      <c r="B20" s="135">
        <v>39787.279999999999</v>
      </c>
      <c r="C20" s="135">
        <v>11400</v>
      </c>
      <c r="D20" s="135"/>
      <c r="E20" s="135"/>
      <c r="F20" s="135">
        <v>2012.45</v>
      </c>
      <c r="G20" s="135">
        <v>5833.88</v>
      </c>
      <c r="H20" s="135">
        <v>59033.609999999993</v>
      </c>
    </row>
    <row r="21" spans="1:8" x14ac:dyDescent="0.3">
      <c r="A21" s="68">
        <v>45870</v>
      </c>
      <c r="B21" s="26">
        <v>39787.279999999999</v>
      </c>
      <c r="C21" s="26">
        <v>11400</v>
      </c>
      <c r="D21" s="26">
        <v>940</v>
      </c>
      <c r="E21" s="26"/>
      <c r="F21" s="26">
        <v>2012.45</v>
      </c>
      <c r="G21" s="26">
        <v>5072.57</v>
      </c>
      <c r="H21" s="26">
        <v>59212.299999999996</v>
      </c>
    </row>
    <row r="22" spans="1:8" x14ac:dyDescent="0.3">
      <c r="A22" s="68">
        <v>45901</v>
      </c>
      <c r="B22" s="26">
        <v>39787.279999999999</v>
      </c>
      <c r="C22" s="26">
        <v>11400</v>
      </c>
      <c r="D22" s="26">
        <v>940</v>
      </c>
      <c r="E22" s="26"/>
      <c r="F22" s="26">
        <v>2012.45</v>
      </c>
      <c r="G22" s="26">
        <v>5028.43</v>
      </c>
      <c r="H22" s="26">
        <v>59168.159999999996</v>
      </c>
    </row>
    <row r="23" spans="1:8" x14ac:dyDescent="0.3">
      <c r="A23" s="68">
        <v>45931</v>
      </c>
      <c r="B23" s="26">
        <v>39787.279999999999</v>
      </c>
      <c r="C23" s="26">
        <v>11400</v>
      </c>
      <c r="D23" s="26">
        <v>940</v>
      </c>
      <c r="E23" s="26"/>
      <c r="F23" s="26">
        <v>2012.45</v>
      </c>
      <c r="G23" s="26">
        <v>4956.07</v>
      </c>
      <c r="H23" s="26">
        <v>59095.799999999996</v>
      </c>
    </row>
    <row r="24" spans="1:8" x14ac:dyDescent="0.3">
      <c r="A24" s="68">
        <v>45962</v>
      </c>
      <c r="B24" s="26">
        <v>39787.279999999999</v>
      </c>
      <c r="C24" s="26">
        <v>11400</v>
      </c>
      <c r="D24" s="26">
        <v>940</v>
      </c>
      <c r="E24" s="26"/>
      <c r="F24" s="26">
        <v>2012.45</v>
      </c>
      <c r="G24" s="26">
        <v>4876.67</v>
      </c>
      <c r="H24" s="26">
        <v>59016.399999999994</v>
      </c>
    </row>
    <row r="25" spans="1:8" x14ac:dyDescent="0.3">
      <c r="A25" s="68">
        <v>45992</v>
      </c>
      <c r="B25" s="26">
        <v>39787.279999999999</v>
      </c>
      <c r="C25" s="26">
        <v>11400</v>
      </c>
      <c r="D25" s="26">
        <v>940</v>
      </c>
      <c r="E25" s="26"/>
      <c r="F25" s="26">
        <v>2012.45</v>
      </c>
      <c r="G25" s="26">
        <v>4806.67</v>
      </c>
      <c r="H25" s="26">
        <v>58946.399999999994</v>
      </c>
    </row>
    <row r="26" spans="1:8" x14ac:dyDescent="0.3">
      <c r="A26" s="68">
        <v>46023</v>
      </c>
      <c r="B26" s="26">
        <v>39787.279999999999</v>
      </c>
      <c r="C26" s="26">
        <v>11400</v>
      </c>
      <c r="D26" s="26">
        <v>940</v>
      </c>
      <c r="E26" s="26"/>
      <c r="F26" s="26">
        <v>2012.45</v>
      </c>
      <c r="G26" s="26">
        <v>4738.95</v>
      </c>
      <c r="H26" s="26">
        <v>58878.679999999993</v>
      </c>
    </row>
    <row r="27" spans="1:8" x14ac:dyDescent="0.3">
      <c r="A27" s="68">
        <v>46054</v>
      </c>
      <c r="B27" s="26">
        <v>39787.279999999999</v>
      </c>
      <c r="C27" s="26">
        <v>11400</v>
      </c>
      <c r="D27" s="26">
        <v>940</v>
      </c>
      <c r="E27" s="26"/>
      <c r="F27" s="26">
        <v>2012.45</v>
      </c>
      <c r="G27" s="26"/>
      <c r="H27" s="26">
        <v>54139.729999999996</v>
      </c>
    </row>
    <row r="28" spans="1:8" x14ac:dyDescent="0.3">
      <c r="A28" s="68">
        <v>46082</v>
      </c>
      <c r="B28" s="26">
        <v>39787.279999999999</v>
      </c>
      <c r="C28" s="26">
        <v>11400</v>
      </c>
      <c r="D28" s="26">
        <v>940</v>
      </c>
      <c r="E28" s="26"/>
      <c r="F28" s="26">
        <v>2012.45</v>
      </c>
      <c r="G28" s="26"/>
      <c r="H28" s="26">
        <v>54139.729999999996</v>
      </c>
    </row>
    <row r="29" spans="1:8" x14ac:dyDescent="0.3">
      <c r="A29" s="68">
        <v>46113</v>
      </c>
      <c r="B29" s="26">
        <v>39787.279999999999</v>
      </c>
      <c r="C29" s="26">
        <v>11400</v>
      </c>
      <c r="D29" s="26">
        <v>940</v>
      </c>
      <c r="E29" s="26"/>
      <c r="F29" s="26">
        <v>2012.45</v>
      </c>
      <c r="G29" s="26"/>
      <c r="H29" s="26">
        <v>54139.729999999996</v>
      </c>
    </row>
    <row r="30" spans="1:8" x14ac:dyDescent="0.3">
      <c r="A30" s="68">
        <v>46143</v>
      </c>
      <c r="B30" s="26">
        <v>39787.279999999999</v>
      </c>
      <c r="C30" s="26">
        <v>11400</v>
      </c>
      <c r="D30" s="26">
        <v>940</v>
      </c>
      <c r="E30" s="26"/>
      <c r="F30" s="26"/>
      <c r="G30" s="26"/>
      <c r="H30" s="26">
        <v>52127.28</v>
      </c>
    </row>
    <row r="31" spans="1:8" x14ac:dyDescent="0.3">
      <c r="A31" s="68">
        <v>46174</v>
      </c>
      <c r="B31" s="26">
        <v>39787.279999999999</v>
      </c>
      <c r="C31" s="26">
        <v>11400</v>
      </c>
      <c r="D31" s="26">
        <v>940</v>
      </c>
      <c r="E31" s="26"/>
      <c r="F31" s="26"/>
      <c r="G31" s="26"/>
      <c r="H31" s="26">
        <v>52127.28</v>
      </c>
    </row>
    <row r="32" spans="1:8" x14ac:dyDescent="0.3">
      <c r="A32" s="68">
        <v>46204</v>
      </c>
      <c r="B32" s="26">
        <v>39787.279999999999</v>
      </c>
      <c r="C32" s="26">
        <v>11400</v>
      </c>
      <c r="D32" s="26">
        <v>940</v>
      </c>
      <c r="E32" s="26"/>
      <c r="F32" s="26"/>
      <c r="G32" s="26"/>
      <c r="H32" s="26">
        <v>52127.28</v>
      </c>
    </row>
    <row r="33" spans="1:8" x14ac:dyDescent="0.3">
      <c r="A33" s="68">
        <v>46235</v>
      </c>
      <c r="B33" s="26">
        <v>39787.279999999999</v>
      </c>
      <c r="C33" s="26">
        <v>11400</v>
      </c>
      <c r="D33" s="26">
        <v>940</v>
      </c>
      <c r="E33" s="26"/>
      <c r="F33" s="26"/>
      <c r="G33" s="26"/>
      <c r="H33" s="26">
        <v>52127.28</v>
      </c>
    </row>
    <row r="34" spans="1:8" x14ac:dyDescent="0.3">
      <c r="A34" s="68">
        <v>46266</v>
      </c>
      <c r="B34" s="26">
        <v>39787.279999999999</v>
      </c>
      <c r="C34" s="26">
        <v>11400</v>
      </c>
      <c r="D34" s="26">
        <v>940</v>
      </c>
      <c r="E34" s="26"/>
      <c r="F34" s="26"/>
      <c r="G34" s="26"/>
      <c r="H34" s="26">
        <v>52127.28</v>
      </c>
    </row>
    <row r="35" spans="1:8" x14ac:dyDescent="0.3">
      <c r="A35" s="68">
        <v>46296</v>
      </c>
      <c r="B35" s="26">
        <v>35714.97</v>
      </c>
      <c r="C35" s="26">
        <v>11400</v>
      </c>
      <c r="D35" s="26">
        <v>940</v>
      </c>
      <c r="E35" s="26"/>
      <c r="F35" s="26"/>
      <c r="G35" s="26"/>
      <c r="H35" s="26">
        <v>48054.97</v>
      </c>
    </row>
    <row r="36" spans="1:8" x14ac:dyDescent="0.3">
      <c r="A36" s="68">
        <v>46327</v>
      </c>
      <c r="B36" s="26">
        <v>35714.97</v>
      </c>
      <c r="C36" s="26">
        <v>5800</v>
      </c>
      <c r="D36" s="26">
        <v>940</v>
      </c>
      <c r="E36" s="26"/>
      <c r="F36" s="26"/>
      <c r="G36" s="26"/>
      <c r="H36" s="26">
        <v>42454.97</v>
      </c>
    </row>
    <row r="37" spans="1:8" x14ac:dyDescent="0.3">
      <c r="A37" s="68">
        <v>46357</v>
      </c>
      <c r="B37" s="26">
        <v>35714.97</v>
      </c>
      <c r="C37" s="26"/>
      <c r="D37" s="26">
        <v>940</v>
      </c>
      <c r="E37" s="26"/>
      <c r="F37" s="26"/>
      <c r="G37" s="26"/>
      <c r="H37" s="26">
        <v>36654.97</v>
      </c>
    </row>
    <row r="38" spans="1:8" x14ac:dyDescent="0.3">
      <c r="A38" s="68">
        <v>46388</v>
      </c>
      <c r="B38" s="26"/>
      <c r="C38" s="26"/>
      <c r="D38" s="26">
        <v>940</v>
      </c>
      <c r="E38" s="26"/>
      <c r="F38" s="26"/>
      <c r="G38" s="26"/>
      <c r="H38" s="26">
        <v>940</v>
      </c>
    </row>
    <row r="39" spans="1:8" x14ac:dyDescent="0.3">
      <c r="A39" s="68">
        <v>46419</v>
      </c>
      <c r="B39" s="26"/>
      <c r="C39" s="26"/>
      <c r="D39" s="26">
        <v>940</v>
      </c>
      <c r="E39" s="26"/>
      <c r="F39" s="26"/>
      <c r="G39" s="26"/>
      <c r="H39" s="26">
        <v>940</v>
      </c>
    </row>
    <row r="40" spans="1:8" x14ac:dyDescent="0.3">
      <c r="A40" s="68">
        <v>46447</v>
      </c>
      <c r="B40" s="26"/>
      <c r="C40" s="26"/>
      <c r="D40" s="26">
        <v>940</v>
      </c>
      <c r="E40" s="26"/>
      <c r="F40" s="26"/>
      <c r="G40" s="26"/>
      <c r="H40" s="26">
        <v>940</v>
      </c>
    </row>
    <row r="41" spans="1:8" x14ac:dyDescent="0.3">
      <c r="A41" s="68">
        <v>46478</v>
      </c>
      <c r="B41" s="26"/>
      <c r="C41" s="26"/>
      <c r="D41" s="26">
        <v>940</v>
      </c>
      <c r="E41" s="26"/>
      <c r="F41" s="26"/>
      <c r="G41" s="26"/>
      <c r="H41" s="26">
        <v>940</v>
      </c>
    </row>
    <row r="42" spans="1:8" x14ac:dyDescent="0.3">
      <c r="A42" s="68">
        <v>46508</v>
      </c>
      <c r="B42" s="26"/>
      <c r="C42" s="26"/>
      <c r="D42" s="26">
        <v>940</v>
      </c>
      <c r="E42" s="26"/>
      <c r="F42" s="26"/>
      <c r="G42" s="26"/>
      <c r="H42" s="26">
        <v>940</v>
      </c>
    </row>
    <row r="43" spans="1:8" x14ac:dyDescent="0.3">
      <c r="A43" s="68">
        <v>46539</v>
      </c>
      <c r="B43" s="26"/>
      <c r="C43" s="26"/>
      <c r="D43" s="26">
        <v>940</v>
      </c>
      <c r="E43" s="26"/>
      <c r="F43" s="26"/>
      <c r="G43" s="26"/>
      <c r="H43" s="26">
        <v>940</v>
      </c>
    </row>
    <row r="44" spans="1:8" x14ac:dyDescent="0.3">
      <c r="A44" s="68">
        <v>46569</v>
      </c>
      <c r="B44" s="26"/>
      <c r="C44" s="26"/>
      <c r="D44" s="26">
        <v>940</v>
      </c>
      <c r="E44" s="26"/>
      <c r="F44" s="26"/>
      <c r="G44" s="26"/>
      <c r="H44" s="26">
        <v>940</v>
      </c>
    </row>
    <row r="45" spans="1:8" x14ac:dyDescent="0.3">
      <c r="A45" s="68">
        <v>46600</v>
      </c>
      <c r="B45" s="26"/>
      <c r="C45" s="26"/>
      <c r="D45" s="26">
        <v>940</v>
      </c>
      <c r="E45" s="26"/>
      <c r="F45" s="26"/>
      <c r="G45" s="26"/>
      <c r="H45" s="26">
        <v>940</v>
      </c>
    </row>
    <row r="46" spans="1:8" x14ac:dyDescent="0.3">
      <c r="A46" s="68">
        <v>46631</v>
      </c>
      <c r="B46" s="26"/>
      <c r="C46" s="26"/>
      <c r="D46" s="26">
        <v>940</v>
      </c>
      <c r="E46" s="26"/>
      <c r="F46" s="26"/>
      <c r="G46" s="26"/>
      <c r="H46" s="26">
        <v>940</v>
      </c>
    </row>
    <row r="47" spans="1:8" x14ac:dyDescent="0.3">
      <c r="A47" s="68">
        <v>46661</v>
      </c>
      <c r="B47" s="26"/>
      <c r="C47" s="26"/>
      <c r="D47" s="26">
        <v>940</v>
      </c>
      <c r="E47" s="26"/>
      <c r="F47" s="26"/>
      <c r="G47" s="26"/>
      <c r="H47" s="26">
        <v>940</v>
      </c>
    </row>
    <row r="48" spans="1:8" x14ac:dyDescent="0.3">
      <c r="A48" s="68">
        <v>46692</v>
      </c>
      <c r="B48" s="26"/>
      <c r="C48" s="26"/>
      <c r="D48" s="26">
        <v>940</v>
      </c>
      <c r="E48" s="26"/>
      <c r="F48" s="26"/>
      <c r="G48" s="26"/>
      <c r="H48" s="26">
        <v>940</v>
      </c>
    </row>
    <row r="49" spans="1:8" x14ac:dyDescent="0.3">
      <c r="A49" s="68">
        <v>46722</v>
      </c>
      <c r="B49" s="26"/>
      <c r="C49" s="26"/>
      <c r="D49" s="26">
        <v>940</v>
      </c>
      <c r="E49" s="26"/>
      <c r="F49" s="26"/>
      <c r="G49" s="26"/>
      <c r="H49" s="26">
        <v>940</v>
      </c>
    </row>
    <row r="50" spans="1:8" x14ac:dyDescent="0.3">
      <c r="A50" s="68">
        <v>46753</v>
      </c>
      <c r="B50" s="26"/>
      <c r="C50" s="26"/>
      <c r="D50" s="26">
        <v>940</v>
      </c>
      <c r="E50" s="26"/>
      <c r="F50" s="26"/>
      <c r="G50" s="26"/>
      <c r="H50" s="26">
        <v>940</v>
      </c>
    </row>
    <row r="51" spans="1:8" x14ac:dyDescent="0.3">
      <c r="A51" s="68">
        <v>46784</v>
      </c>
      <c r="B51" s="26"/>
      <c r="C51" s="26"/>
      <c r="D51" s="26">
        <v>940</v>
      </c>
      <c r="E51" s="26"/>
      <c r="F51" s="26"/>
      <c r="G51" s="26"/>
      <c r="H51" s="26">
        <v>940</v>
      </c>
    </row>
    <row r="52" spans="1:8" x14ac:dyDescent="0.3">
      <c r="A52" s="68">
        <v>46813</v>
      </c>
      <c r="B52" s="26"/>
      <c r="C52" s="26"/>
      <c r="D52" s="26">
        <v>940</v>
      </c>
      <c r="E52" s="26"/>
      <c r="F52" s="26"/>
      <c r="G52" s="26"/>
      <c r="H52" s="26">
        <v>940</v>
      </c>
    </row>
    <row r="53" spans="1:8" x14ac:dyDescent="0.3">
      <c r="A53" s="68">
        <v>46844</v>
      </c>
      <c r="B53" s="26"/>
      <c r="C53" s="26"/>
      <c r="D53" s="26">
        <v>940</v>
      </c>
      <c r="E53" s="26"/>
      <c r="F53" s="26"/>
      <c r="G53" s="26"/>
      <c r="H53" s="26">
        <v>940</v>
      </c>
    </row>
    <row r="54" spans="1:8" x14ac:dyDescent="0.3">
      <c r="A54" s="68">
        <v>46874</v>
      </c>
      <c r="B54" s="26"/>
      <c r="C54" s="26"/>
      <c r="D54" s="26">
        <v>940</v>
      </c>
      <c r="E54" s="26"/>
      <c r="F54" s="26"/>
      <c r="G54" s="26"/>
      <c r="H54" s="26">
        <v>940</v>
      </c>
    </row>
    <row r="55" spans="1:8" x14ac:dyDescent="0.3">
      <c r="A55" s="68">
        <v>46905</v>
      </c>
      <c r="B55" s="26"/>
      <c r="C55" s="26"/>
      <c r="D55" s="26">
        <v>940</v>
      </c>
      <c r="E55" s="26"/>
      <c r="F55" s="26"/>
      <c r="G55" s="26"/>
      <c r="H55" s="26">
        <v>940</v>
      </c>
    </row>
    <row r="56" spans="1:8" x14ac:dyDescent="0.3">
      <c r="A56" s="68">
        <v>46935</v>
      </c>
      <c r="B56" s="26"/>
      <c r="C56" s="26"/>
      <c r="D56" s="26">
        <v>940</v>
      </c>
      <c r="E56" s="26"/>
      <c r="F56" s="26"/>
      <c r="G56" s="26"/>
      <c r="H56" s="26">
        <v>940</v>
      </c>
    </row>
    <row r="57" spans="1:8" x14ac:dyDescent="0.3">
      <c r="A57" s="68" t="s">
        <v>57</v>
      </c>
      <c r="B57" s="26">
        <v>703954.1100000001</v>
      </c>
      <c r="C57" s="26">
        <v>211000</v>
      </c>
      <c r="D57" s="26">
        <v>33840</v>
      </c>
      <c r="E57" s="26">
        <v>14312.519999999997</v>
      </c>
      <c r="F57" s="26">
        <v>20124.500000000004</v>
      </c>
      <c r="G57" s="26">
        <v>35313.24</v>
      </c>
      <c r="H57" s="26">
        <v>1018544.3700000001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showGridLines="0" workbookViewId="0">
      <selection activeCell="I146" sqref="I146"/>
    </sheetView>
  </sheetViews>
  <sheetFormatPr defaultColWidth="9.109375" defaultRowHeight="14.4" x14ac:dyDescent="0.3"/>
  <cols>
    <col min="1" max="1" width="13.33203125" style="1" bestFit="1" customWidth="1"/>
    <col min="2" max="2" width="13.33203125" style="67" bestFit="1" customWidth="1"/>
    <col min="3" max="3" width="11.5546875" style="1" customWidth="1"/>
    <col min="4" max="4" width="13.5546875" style="1" bestFit="1" customWidth="1"/>
    <col min="5" max="239" width="10.6640625" style="1" bestFit="1" customWidth="1"/>
    <col min="240" max="16384" width="9.109375" style="1"/>
  </cols>
  <sheetData>
    <row r="1" spans="1:4" ht="14.25" customHeight="1" x14ac:dyDescent="0.3">
      <c r="A1" s="37" t="s">
        <v>40</v>
      </c>
      <c r="B1" s="66" t="s">
        <v>54</v>
      </c>
      <c r="C1" s="37" t="s">
        <v>55</v>
      </c>
      <c r="D1" s="37" t="s">
        <v>60</v>
      </c>
    </row>
    <row r="2" spans="1:4" s="80" customFormat="1" x14ac:dyDescent="0.3">
      <c r="A2" s="20">
        <v>35714.97</v>
      </c>
      <c r="B2" s="78">
        <v>45839</v>
      </c>
      <c r="C2" s="79" t="s">
        <v>50</v>
      </c>
      <c r="D2" s="79" t="s">
        <v>18</v>
      </c>
    </row>
    <row r="3" spans="1:4" s="80" customFormat="1" x14ac:dyDescent="0.3">
      <c r="A3" s="77">
        <v>4072.31</v>
      </c>
      <c r="B3" s="78">
        <v>45839</v>
      </c>
      <c r="C3" s="79" t="s">
        <v>50</v>
      </c>
      <c r="D3" s="79" t="s">
        <v>19</v>
      </c>
    </row>
    <row r="4" spans="1:4" s="80" customFormat="1" x14ac:dyDescent="0.3">
      <c r="A4" s="20">
        <v>35714.97</v>
      </c>
      <c r="B4" s="78">
        <v>45870</v>
      </c>
      <c r="C4" s="79" t="s">
        <v>50</v>
      </c>
      <c r="D4" s="79" t="s">
        <v>18</v>
      </c>
    </row>
    <row r="5" spans="1:4" s="80" customFormat="1" x14ac:dyDescent="0.3">
      <c r="A5" s="77">
        <v>4072.31</v>
      </c>
      <c r="B5" s="78">
        <v>45870</v>
      </c>
      <c r="C5" s="79" t="s">
        <v>50</v>
      </c>
      <c r="D5" s="79" t="s">
        <v>19</v>
      </c>
    </row>
    <row r="6" spans="1:4" s="80" customFormat="1" x14ac:dyDescent="0.3">
      <c r="A6" s="20">
        <v>35714.97</v>
      </c>
      <c r="B6" s="78">
        <v>45901</v>
      </c>
      <c r="C6" s="79" t="s">
        <v>50</v>
      </c>
      <c r="D6" s="79" t="s">
        <v>18</v>
      </c>
    </row>
    <row r="7" spans="1:4" s="80" customFormat="1" x14ac:dyDescent="0.3">
      <c r="A7" s="77">
        <v>4072.31</v>
      </c>
      <c r="B7" s="78">
        <v>45901</v>
      </c>
      <c r="C7" s="79" t="s">
        <v>50</v>
      </c>
      <c r="D7" s="79" t="s">
        <v>19</v>
      </c>
    </row>
    <row r="8" spans="1:4" s="80" customFormat="1" x14ac:dyDescent="0.3">
      <c r="A8" s="20">
        <v>35714.97</v>
      </c>
      <c r="B8" s="78">
        <v>45931</v>
      </c>
      <c r="C8" s="79" t="s">
        <v>50</v>
      </c>
      <c r="D8" s="79" t="s">
        <v>18</v>
      </c>
    </row>
    <row r="9" spans="1:4" s="80" customFormat="1" x14ac:dyDescent="0.3">
      <c r="A9" s="77">
        <v>4072.31</v>
      </c>
      <c r="B9" s="78">
        <v>45931</v>
      </c>
      <c r="C9" s="79" t="s">
        <v>50</v>
      </c>
      <c r="D9" s="79" t="s">
        <v>19</v>
      </c>
    </row>
    <row r="10" spans="1:4" s="80" customFormat="1" x14ac:dyDescent="0.3">
      <c r="A10" s="20">
        <v>35714.97</v>
      </c>
      <c r="B10" s="78">
        <v>45962</v>
      </c>
      <c r="C10" s="79" t="s">
        <v>50</v>
      </c>
      <c r="D10" s="79" t="s">
        <v>18</v>
      </c>
    </row>
    <row r="11" spans="1:4" s="80" customFormat="1" x14ac:dyDescent="0.3">
      <c r="A11" s="77">
        <v>4072.31</v>
      </c>
      <c r="B11" s="78">
        <v>45962</v>
      </c>
      <c r="C11" s="79" t="s">
        <v>50</v>
      </c>
      <c r="D11" s="79" t="s">
        <v>19</v>
      </c>
    </row>
    <row r="12" spans="1:4" s="80" customFormat="1" x14ac:dyDescent="0.3">
      <c r="A12" s="20">
        <v>35714.97</v>
      </c>
      <c r="B12" s="78">
        <v>45992</v>
      </c>
      <c r="C12" s="79" t="s">
        <v>50</v>
      </c>
      <c r="D12" s="79" t="s">
        <v>18</v>
      </c>
    </row>
    <row r="13" spans="1:4" s="80" customFormat="1" x14ac:dyDescent="0.3">
      <c r="A13" s="77">
        <v>4072.31</v>
      </c>
      <c r="B13" s="78">
        <v>45992</v>
      </c>
      <c r="C13" s="79" t="s">
        <v>50</v>
      </c>
      <c r="D13" s="79" t="s">
        <v>19</v>
      </c>
    </row>
    <row r="14" spans="1:4" s="80" customFormat="1" x14ac:dyDescent="0.3">
      <c r="A14" s="20">
        <v>35714.97</v>
      </c>
      <c r="B14" s="78">
        <v>46023</v>
      </c>
      <c r="C14" s="79" t="s">
        <v>50</v>
      </c>
      <c r="D14" s="79" t="s">
        <v>18</v>
      </c>
    </row>
    <row r="15" spans="1:4" s="80" customFormat="1" x14ac:dyDescent="0.3">
      <c r="A15" s="77">
        <v>4072.31</v>
      </c>
      <c r="B15" s="78">
        <v>46023</v>
      </c>
      <c r="C15" s="79" t="s">
        <v>50</v>
      </c>
      <c r="D15" s="79" t="s">
        <v>19</v>
      </c>
    </row>
    <row r="16" spans="1:4" s="80" customFormat="1" x14ac:dyDescent="0.3">
      <c r="A16" s="20">
        <v>35714.97</v>
      </c>
      <c r="B16" s="78">
        <v>46054</v>
      </c>
      <c r="C16" s="79" t="s">
        <v>50</v>
      </c>
      <c r="D16" s="79" t="s">
        <v>18</v>
      </c>
    </row>
    <row r="17" spans="1:4" s="80" customFormat="1" x14ac:dyDescent="0.3">
      <c r="A17" s="20">
        <v>35714.97</v>
      </c>
      <c r="B17" s="78">
        <v>46082</v>
      </c>
      <c r="C17" s="79" t="s">
        <v>50</v>
      </c>
      <c r="D17" s="79" t="s">
        <v>18</v>
      </c>
    </row>
    <row r="18" spans="1:4" s="80" customFormat="1" x14ac:dyDescent="0.3">
      <c r="A18" s="20">
        <v>35714.97</v>
      </c>
      <c r="B18" s="78">
        <v>46113</v>
      </c>
      <c r="C18" s="79" t="s">
        <v>50</v>
      </c>
      <c r="D18" s="79" t="s">
        <v>18</v>
      </c>
    </row>
    <row r="19" spans="1:4" s="80" customFormat="1" x14ac:dyDescent="0.3">
      <c r="A19" s="20">
        <v>35714.97</v>
      </c>
      <c r="B19" s="78">
        <v>46143</v>
      </c>
      <c r="C19" s="79" t="s">
        <v>50</v>
      </c>
      <c r="D19" s="79" t="s">
        <v>18</v>
      </c>
    </row>
    <row r="20" spans="1:4" s="80" customFormat="1" x14ac:dyDescent="0.3">
      <c r="A20" s="20">
        <v>35714.97</v>
      </c>
      <c r="B20" s="78">
        <v>46174</v>
      </c>
      <c r="C20" s="79" t="s">
        <v>50</v>
      </c>
      <c r="D20" s="79" t="s">
        <v>18</v>
      </c>
    </row>
    <row r="21" spans="1:4" s="80" customFormat="1" x14ac:dyDescent="0.3">
      <c r="A21" s="20">
        <v>35714.97</v>
      </c>
      <c r="B21" s="78">
        <v>46204</v>
      </c>
      <c r="C21" s="79" t="s">
        <v>50</v>
      </c>
      <c r="D21" s="79" t="s">
        <v>18</v>
      </c>
    </row>
    <row r="22" spans="1:4" s="80" customFormat="1" x14ac:dyDescent="0.3">
      <c r="A22" s="20">
        <v>35714.97</v>
      </c>
      <c r="B22" s="78">
        <v>46235</v>
      </c>
      <c r="C22" s="79" t="s">
        <v>50</v>
      </c>
      <c r="D22" s="79" t="s">
        <v>18</v>
      </c>
    </row>
    <row r="23" spans="1:4" s="80" customFormat="1" x14ac:dyDescent="0.3">
      <c r="A23" s="20">
        <v>35714.97</v>
      </c>
      <c r="B23" s="78">
        <v>46266</v>
      </c>
      <c r="C23" s="79" t="s">
        <v>50</v>
      </c>
      <c r="D23" s="79" t="s">
        <v>18</v>
      </c>
    </row>
    <row r="24" spans="1:4" s="80" customFormat="1" x14ac:dyDescent="0.3">
      <c r="A24" s="20">
        <v>35714.97</v>
      </c>
      <c r="B24" s="78">
        <v>46296</v>
      </c>
      <c r="C24" s="79" t="s">
        <v>50</v>
      </c>
      <c r="D24" s="79" t="s">
        <v>18</v>
      </c>
    </row>
    <row r="25" spans="1:4" s="80" customFormat="1" x14ac:dyDescent="0.3">
      <c r="A25" s="20">
        <v>35714.97</v>
      </c>
      <c r="B25" s="78">
        <v>46327</v>
      </c>
      <c r="C25" s="79" t="s">
        <v>50</v>
      </c>
      <c r="D25" s="79" t="s">
        <v>18</v>
      </c>
    </row>
    <row r="26" spans="1:4" s="80" customFormat="1" x14ac:dyDescent="0.3">
      <c r="A26" s="20">
        <v>35714.97</v>
      </c>
      <c r="B26" s="78">
        <v>46357</v>
      </c>
      <c r="C26" s="79" t="s">
        <v>50</v>
      </c>
      <c r="D26" s="79" t="s">
        <v>18</v>
      </c>
    </row>
    <row r="27" spans="1:4" s="80" customFormat="1" x14ac:dyDescent="0.3">
      <c r="A27" s="77">
        <v>4072.31</v>
      </c>
      <c r="B27" s="78">
        <v>46054</v>
      </c>
      <c r="C27" s="79" t="s">
        <v>50</v>
      </c>
      <c r="D27" s="79" t="s">
        <v>19</v>
      </c>
    </row>
    <row r="28" spans="1:4" s="80" customFormat="1" x14ac:dyDescent="0.3">
      <c r="A28" s="77">
        <v>4072.31</v>
      </c>
      <c r="B28" s="78">
        <v>46082</v>
      </c>
      <c r="C28" s="79" t="s">
        <v>50</v>
      </c>
      <c r="D28" s="79" t="s">
        <v>19</v>
      </c>
    </row>
    <row r="29" spans="1:4" s="80" customFormat="1" x14ac:dyDescent="0.3">
      <c r="A29" s="77">
        <v>4072.31</v>
      </c>
      <c r="B29" s="78">
        <v>46113</v>
      </c>
      <c r="C29" s="79" t="s">
        <v>50</v>
      </c>
      <c r="D29" s="79" t="s">
        <v>19</v>
      </c>
    </row>
    <row r="30" spans="1:4" s="80" customFormat="1" x14ac:dyDescent="0.3">
      <c r="A30" s="77">
        <v>4072.31</v>
      </c>
      <c r="B30" s="78">
        <v>46143</v>
      </c>
      <c r="C30" s="79" t="s">
        <v>50</v>
      </c>
      <c r="D30" s="79" t="s">
        <v>19</v>
      </c>
    </row>
    <row r="31" spans="1:4" s="80" customFormat="1" x14ac:dyDescent="0.3">
      <c r="A31" s="77">
        <v>4072.31</v>
      </c>
      <c r="B31" s="78">
        <v>46174</v>
      </c>
      <c r="C31" s="79" t="s">
        <v>50</v>
      </c>
      <c r="D31" s="79" t="s">
        <v>19</v>
      </c>
    </row>
    <row r="32" spans="1:4" s="80" customFormat="1" x14ac:dyDescent="0.3">
      <c r="A32" s="77">
        <v>4072.31</v>
      </c>
      <c r="B32" s="78">
        <v>46204</v>
      </c>
      <c r="C32" s="79" t="s">
        <v>50</v>
      </c>
      <c r="D32" s="79" t="s">
        <v>19</v>
      </c>
    </row>
    <row r="33" spans="1:4" s="80" customFormat="1" x14ac:dyDescent="0.3">
      <c r="A33" s="77">
        <v>4072.31</v>
      </c>
      <c r="B33" s="78">
        <v>46235</v>
      </c>
      <c r="C33" s="79" t="s">
        <v>50</v>
      </c>
      <c r="D33" s="79" t="s">
        <v>19</v>
      </c>
    </row>
    <row r="34" spans="1:4" s="80" customFormat="1" x14ac:dyDescent="0.3">
      <c r="A34" s="77">
        <v>4072.31</v>
      </c>
      <c r="B34" s="78">
        <v>46266</v>
      </c>
      <c r="C34" s="79" t="s">
        <v>50</v>
      </c>
      <c r="D34" s="79" t="s">
        <v>19</v>
      </c>
    </row>
    <row r="35" spans="1:4" s="80" customFormat="1" x14ac:dyDescent="0.3">
      <c r="A35" s="82">
        <v>1192.71</v>
      </c>
      <c r="B35" s="83">
        <v>44927</v>
      </c>
      <c r="C35" s="79" t="s">
        <v>51</v>
      </c>
      <c r="D35" s="79" t="s">
        <v>62</v>
      </c>
    </row>
    <row r="36" spans="1:4" s="80" customFormat="1" x14ac:dyDescent="0.3">
      <c r="A36" s="82">
        <v>1192.71</v>
      </c>
      <c r="B36" s="83">
        <v>44958</v>
      </c>
      <c r="C36" s="79" t="s">
        <v>51</v>
      </c>
      <c r="D36" s="79" t="s">
        <v>62</v>
      </c>
    </row>
    <row r="37" spans="1:4" s="80" customFormat="1" x14ac:dyDescent="0.3">
      <c r="A37" s="82">
        <v>1192.71</v>
      </c>
      <c r="B37" s="78">
        <v>44986</v>
      </c>
      <c r="C37" s="79" t="s">
        <v>51</v>
      </c>
      <c r="D37" s="79" t="s">
        <v>62</v>
      </c>
    </row>
    <row r="38" spans="1:4" s="80" customFormat="1" x14ac:dyDescent="0.3">
      <c r="A38" s="82">
        <v>1192.71</v>
      </c>
      <c r="B38" s="78">
        <v>45017</v>
      </c>
      <c r="C38" s="79" t="s">
        <v>51</v>
      </c>
      <c r="D38" s="79" t="s">
        <v>62</v>
      </c>
    </row>
    <row r="39" spans="1:4" s="80" customFormat="1" x14ac:dyDescent="0.3">
      <c r="A39" s="82">
        <v>1192.71</v>
      </c>
      <c r="B39" s="78">
        <v>45047</v>
      </c>
      <c r="C39" s="79" t="s">
        <v>51</v>
      </c>
      <c r="D39" s="79" t="s">
        <v>62</v>
      </c>
    </row>
    <row r="40" spans="1:4" s="80" customFormat="1" x14ac:dyDescent="0.3">
      <c r="A40" s="82">
        <v>1192.71</v>
      </c>
      <c r="B40" s="81">
        <v>45078</v>
      </c>
      <c r="C40" s="79" t="s">
        <v>51</v>
      </c>
      <c r="D40" s="79" t="s">
        <v>62</v>
      </c>
    </row>
    <row r="41" spans="1:4" s="80" customFormat="1" x14ac:dyDescent="0.3">
      <c r="A41" s="82">
        <v>1192.71</v>
      </c>
      <c r="B41" s="81">
        <v>45108</v>
      </c>
      <c r="C41" s="79" t="s">
        <v>51</v>
      </c>
      <c r="D41" s="79" t="s">
        <v>62</v>
      </c>
    </row>
    <row r="42" spans="1:4" s="80" customFormat="1" x14ac:dyDescent="0.3">
      <c r="A42" s="82">
        <v>1192.71</v>
      </c>
      <c r="B42" s="81">
        <v>45139</v>
      </c>
      <c r="C42" s="79" t="s">
        <v>51</v>
      </c>
      <c r="D42" s="79" t="s">
        <v>62</v>
      </c>
    </row>
    <row r="43" spans="1:4" s="80" customFormat="1" x14ac:dyDescent="0.3">
      <c r="A43" s="82">
        <v>1192.71</v>
      </c>
      <c r="B43" s="81">
        <v>45170</v>
      </c>
      <c r="C43" s="79" t="s">
        <v>51</v>
      </c>
      <c r="D43" s="79" t="s">
        <v>62</v>
      </c>
    </row>
    <row r="44" spans="1:4" s="80" customFormat="1" x14ac:dyDescent="0.3">
      <c r="A44" s="82">
        <v>1192.71</v>
      </c>
      <c r="B44" s="81">
        <v>45200</v>
      </c>
      <c r="C44" s="79" t="s">
        <v>51</v>
      </c>
      <c r="D44" s="79" t="s">
        <v>62</v>
      </c>
    </row>
    <row r="45" spans="1:4" s="80" customFormat="1" x14ac:dyDescent="0.3">
      <c r="A45" s="82">
        <v>1192.71</v>
      </c>
      <c r="B45" s="81">
        <v>45231</v>
      </c>
      <c r="C45" s="79" t="s">
        <v>51</v>
      </c>
      <c r="D45" s="79" t="s">
        <v>62</v>
      </c>
    </row>
    <row r="46" spans="1:4" s="80" customFormat="1" x14ac:dyDescent="0.3">
      <c r="A46" s="82">
        <v>1192.71</v>
      </c>
      <c r="B46" s="81">
        <v>45261</v>
      </c>
      <c r="C46" s="79" t="s">
        <v>51</v>
      </c>
      <c r="D46" s="79" t="s">
        <v>62</v>
      </c>
    </row>
    <row r="47" spans="1:4" s="80" customFormat="1" x14ac:dyDescent="0.3">
      <c r="A47" s="82">
        <v>2012.45</v>
      </c>
      <c r="B47" s="81">
        <v>45839</v>
      </c>
      <c r="C47" s="79" t="s">
        <v>53</v>
      </c>
      <c r="D47" s="79" t="s">
        <v>18</v>
      </c>
    </row>
    <row r="48" spans="1:4" s="80" customFormat="1" x14ac:dyDescent="0.3">
      <c r="A48" s="82">
        <v>2012.45</v>
      </c>
      <c r="B48" s="81">
        <v>45870</v>
      </c>
      <c r="C48" s="79" t="s">
        <v>53</v>
      </c>
      <c r="D48" s="79" t="s">
        <v>18</v>
      </c>
    </row>
    <row r="49" spans="1:4" s="80" customFormat="1" x14ac:dyDescent="0.3">
      <c r="A49" s="82">
        <v>2012.45</v>
      </c>
      <c r="B49" s="81">
        <v>45901</v>
      </c>
      <c r="C49" s="79" t="s">
        <v>53</v>
      </c>
      <c r="D49" s="79" t="s">
        <v>18</v>
      </c>
    </row>
    <row r="50" spans="1:4" s="80" customFormat="1" x14ac:dyDescent="0.3">
      <c r="A50" s="82">
        <v>2012.45</v>
      </c>
      <c r="B50" s="81">
        <v>45931</v>
      </c>
      <c r="C50" s="79" t="s">
        <v>53</v>
      </c>
      <c r="D50" s="79" t="s">
        <v>18</v>
      </c>
    </row>
    <row r="51" spans="1:4" s="80" customFormat="1" x14ac:dyDescent="0.3">
      <c r="A51" s="82">
        <v>2012.45</v>
      </c>
      <c r="B51" s="81">
        <v>45962</v>
      </c>
      <c r="C51" s="79" t="s">
        <v>53</v>
      </c>
      <c r="D51" s="79" t="s">
        <v>18</v>
      </c>
    </row>
    <row r="52" spans="1:4" s="80" customFormat="1" x14ac:dyDescent="0.3">
      <c r="A52" s="82">
        <v>2012.45</v>
      </c>
      <c r="B52" s="81">
        <v>45992</v>
      </c>
      <c r="C52" s="79" t="s">
        <v>53</v>
      </c>
      <c r="D52" s="79" t="s">
        <v>18</v>
      </c>
    </row>
    <row r="53" spans="1:4" s="80" customFormat="1" x14ac:dyDescent="0.3">
      <c r="A53" s="82">
        <v>2012.45</v>
      </c>
      <c r="B53" s="81">
        <v>46023</v>
      </c>
      <c r="C53" s="79" t="s">
        <v>53</v>
      </c>
      <c r="D53" s="79" t="s">
        <v>18</v>
      </c>
    </row>
    <row r="54" spans="1:4" s="80" customFormat="1" x14ac:dyDescent="0.3">
      <c r="A54" s="82">
        <v>2012.45</v>
      </c>
      <c r="B54" s="81">
        <v>46054</v>
      </c>
      <c r="C54" s="79" t="s">
        <v>53</v>
      </c>
      <c r="D54" s="79" t="s">
        <v>18</v>
      </c>
    </row>
    <row r="55" spans="1:4" s="80" customFormat="1" x14ac:dyDescent="0.3">
      <c r="A55" s="82">
        <v>2012.45</v>
      </c>
      <c r="B55" s="81">
        <v>46082</v>
      </c>
      <c r="C55" s="79" t="s">
        <v>53</v>
      </c>
      <c r="D55" s="79" t="s">
        <v>18</v>
      </c>
    </row>
    <row r="56" spans="1:4" s="80" customFormat="1" x14ac:dyDescent="0.3">
      <c r="A56" s="82">
        <v>2012.45</v>
      </c>
      <c r="B56" s="81">
        <v>46113</v>
      </c>
      <c r="C56" s="79" t="s">
        <v>53</v>
      </c>
      <c r="D56" s="79" t="s">
        <v>18</v>
      </c>
    </row>
    <row r="57" spans="1:4" s="80" customFormat="1" x14ac:dyDescent="0.3">
      <c r="A57" s="82">
        <v>5600</v>
      </c>
      <c r="B57" s="81">
        <v>45778</v>
      </c>
      <c r="C57" s="79" t="s">
        <v>16</v>
      </c>
      <c r="D57" s="79" t="s">
        <v>61</v>
      </c>
    </row>
    <row r="58" spans="1:4" s="80" customFormat="1" x14ac:dyDescent="0.3">
      <c r="A58" s="82">
        <v>5600</v>
      </c>
      <c r="B58" s="81">
        <v>45809</v>
      </c>
      <c r="C58" s="79" t="s">
        <v>16</v>
      </c>
      <c r="D58" s="79" t="s">
        <v>61</v>
      </c>
    </row>
    <row r="59" spans="1:4" s="80" customFormat="1" x14ac:dyDescent="0.3">
      <c r="A59" s="82">
        <v>5600</v>
      </c>
      <c r="B59" s="81">
        <v>45839</v>
      </c>
      <c r="C59" s="79" t="s">
        <v>16</v>
      </c>
      <c r="D59" s="79" t="s">
        <v>61</v>
      </c>
    </row>
    <row r="60" spans="1:4" s="80" customFormat="1" x14ac:dyDescent="0.3">
      <c r="A60" s="82">
        <v>5600</v>
      </c>
      <c r="B60" s="81">
        <v>45870</v>
      </c>
      <c r="C60" s="79" t="s">
        <v>16</v>
      </c>
      <c r="D60" s="79" t="s">
        <v>61</v>
      </c>
    </row>
    <row r="61" spans="1:4" s="80" customFormat="1" x14ac:dyDescent="0.3">
      <c r="A61" s="82">
        <v>5600</v>
      </c>
      <c r="B61" s="81">
        <v>45901</v>
      </c>
      <c r="C61" s="79" t="s">
        <v>16</v>
      </c>
      <c r="D61" s="79" t="s">
        <v>61</v>
      </c>
    </row>
    <row r="62" spans="1:4" s="80" customFormat="1" x14ac:dyDescent="0.3">
      <c r="A62" s="82">
        <v>5600</v>
      </c>
      <c r="B62" s="81">
        <v>45931</v>
      </c>
      <c r="C62" s="79" t="s">
        <v>16</v>
      </c>
      <c r="D62" s="79" t="s">
        <v>61</v>
      </c>
    </row>
    <row r="63" spans="1:4" s="80" customFormat="1" x14ac:dyDescent="0.3">
      <c r="A63" s="82">
        <v>5600</v>
      </c>
      <c r="B63" s="81">
        <v>45962</v>
      </c>
      <c r="C63" s="79" t="s">
        <v>16</v>
      </c>
      <c r="D63" s="79" t="s">
        <v>61</v>
      </c>
    </row>
    <row r="64" spans="1:4" s="80" customFormat="1" x14ac:dyDescent="0.3">
      <c r="A64" s="82">
        <v>5600</v>
      </c>
      <c r="B64" s="81">
        <v>45992</v>
      </c>
      <c r="C64" s="79" t="s">
        <v>16</v>
      </c>
      <c r="D64" s="79" t="s">
        <v>61</v>
      </c>
    </row>
    <row r="65" spans="1:4" s="80" customFormat="1" x14ac:dyDescent="0.3">
      <c r="A65" s="82">
        <v>5600</v>
      </c>
      <c r="B65" s="81">
        <v>46023</v>
      </c>
      <c r="C65" s="79" t="s">
        <v>16</v>
      </c>
      <c r="D65" s="79" t="s">
        <v>61</v>
      </c>
    </row>
    <row r="66" spans="1:4" s="80" customFormat="1" x14ac:dyDescent="0.3">
      <c r="A66" s="82">
        <v>5600</v>
      </c>
      <c r="B66" s="81">
        <v>46054</v>
      </c>
      <c r="C66" s="79" t="s">
        <v>16</v>
      </c>
      <c r="D66" s="79" t="s">
        <v>61</v>
      </c>
    </row>
    <row r="67" spans="1:4" s="80" customFormat="1" x14ac:dyDescent="0.3">
      <c r="A67" s="82">
        <v>5600</v>
      </c>
      <c r="B67" s="81">
        <v>46082</v>
      </c>
      <c r="C67" s="79" t="s">
        <v>16</v>
      </c>
      <c r="D67" s="79" t="s">
        <v>61</v>
      </c>
    </row>
    <row r="68" spans="1:4" s="80" customFormat="1" x14ac:dyDescent="0.3">
      <c r="A68" s="82">
        <v>5600</v>
      </c>
      <c r="B68" s="81">
        <v>46113</v>
      </c>
      <c r="C68" s="79" t="s">
        <v>16</v>
      </c>
      <c r="D68" s="79" t="s">
        <v>61</v>
      </c>
    </row>
    <row r="69" spans="1:4" s="80" customFormat="1" x14ac:dyDescent="0.3">
      <c r="A69" s="82">
        <v>5600</v>
      </c>
      <c r="B69" s="81">
        <v>46143</v>
      </c>
      <c r="C69" s="79" t="s">
        <v>16</v>
      </c>
      <c r="D69" s="79" t="s">
        <v>61</v>
      </c>
    </row>
    <row r="70" spans="1:4" s="80" customFormat="1" x14ac:dyDescent="0.3">
      <c r="A70" s="82">
        <v>5600</v>
      </c>
      <c r="B70" s="81">
        <v>46174</v>
      </c>
      <c r="C70" s="79" t="s">
        <v>16</v>
      </c>
      <c r="D70" s="79" t="s">
        <v>61</v>
      </c>
    </row>
    <row r="71" spans="1:4" s="80" customFormat="1" x14ac:dyDescent="0.3">
      <c r="A71" s="82">
        <v>5600</v>
      </c>
      <c r="B71" s="81">
        <v>46204</v>
      </c>
      <c r="C71" s="79" t="s">
        <v>16</v>
      </c>
      <c r="D71" s="79" t="s">
        <v>61</v>
      </c>
    </row>
    <row r="72" spans="1:4" s="80" customFormat="1" x14ac:dyDescent="0.3">
      <c r="A72" s="82">
        <v>5600</v>
      </c>
      <c r="B72" s="81">
        <v>46235</v>
      </c>
      <c r="C72" s="79" t="s">
        <v>16</v>
      </c>
      <c r="D72" s="79" t="s">
        <v>61</v>
      </c>
    </row>
    <row r="73" spans="1:4" s="80" customFormat="1" x14ac:dyDescent="0.3">
      <c r="A73" s="82">
        <v>5600</v>
      </c>
      <c r="B73" s="81">
        <v>46266</v>
      </c>
      <c r="C73" s="79" t="s">
        <v>16</v>
      </c>
      <c r="D73" s="79" t="s">
        <v>61</v>
      </c>
    </row>
    <row r="74" spans="1:4" s="80" customFormat="1" x14ac:dyDescent="0.3">
      <c r="A74" s="82">
        <v>5600</v>
      </c>
      <c r="B74" s="81">
        <v>46296</v>
      </c>
      <c r="C74" s="79" t="s">
        <v>16</v>
      </c>
      <c r="D74" s="79" t="s">
        <v>61</v>
      </c>
    </row>
    <row r="75" spans="1:4" s="80" customFormat="1" x14ac:dyDescent="0.3">
      <c r="A75" s="82">
        <v>5800</v>
      </c>
      <c r="B75" s="81">
        <v>45778</v>
      </c>
      <c r="C75" s="79" t="s">
        <v>16</v>
      </c>
      <c r="D75" s="79" t="s">
        <v>62</v>
      </c>
    </row>
    <row r="76" spans="1:4" s="80" customFormat="1" x14ac:dyDescent="0.3">
      <c r="A76" s="82">
        <v>5800</v>
      </c>
      <c r="B76" s="81">
        <v>45809</v>
      </c>
      <c r="C76" s="79" t="s">
        <v>16</v>
      </c>
      <c r="D76" s="79" t="s">
        <v>62</v>
      </c>
    </row>
    <row r="77" spans="1:4" s="80" customFormat="1" x14ac:dyDescent="0.3">
      <c r="A77" s="82">
        <v>5800</v>
      </c>
      <c r="B77" s="81">
        <v>45839</v>
      </c>
      <c r="C77" s="79" t="s">
        <v>16</v>
      </c>
      <c r="D77" s="79" t="s">
        <v>62</v>
      </c>
    </row>
    <row r="78" spans="1:4" s="80" customFormat="1" x14ac:dyDescent="0.3">
      <c r="A78" s="82">
        <v>5800</v>
      </c>
      <c r="B78" s="81">
        <v>45870</v>
      </c>
      <c r="C78" s="79" t="s">
        <v>16</v>
      </c>
      <c r="D78" s="79" t="s">
        <v>62</v>
      </c>
    </row>
    <row r="79" spans="1:4" s="80" customFormat="1" x14ac:dyDescent="0.3">
      <c r="A79" s="82">
        <v>5800</v>
      </c>
      <c r="B79" s="81">
        <v>45901</v>
      </c>
      <c r="C79" s="79" t="s">
        <v>16</v>
      </c>
      <c r="D79" s="79" t="s">
        <v>62</v>
      </c>
    </row>
    <row r="80" spans="1:4" s="80" customFormat="1" x14ac:dyDescent="0.3">
      <c r="A80" s="82">
        <v>5800</v>
      </c>
      <c r="B80" s="81">
        <v>45931</v>
      </c>
      <c r="C80" s="79" t="s">
        <v>16</v>
      </c>
      <c r="D80" s="79" t="s">
        <v>62</v>
      </c>
    </row>
    <row r="81" spans="1:4" s="80" customFormat="1" x14ac:dyDescent="0.3">
      <c r="A81" s="82">
        <v>5800</v>
      </c>
      <c r="B81" s="81">
        <v>45962</v>
      </c>
      <c r="C81" s="79" t="s">
        <v>16</v>
      </c>
      <c r="D81" s="79" t="s">
        <v>62</v>
      </c>
    </row>
    <row r="82" spans="1:4" s="80" customFormat="1" x14ac:dyDescent="0.3">
      <c r="A82" s="82">
        <v>5800</v>
      </c>
      <c r="B82" s="81">
        <v>45992</v>
      </c>
      <c r="C82" s="79" t="s">
        <v>16</v>
      </c>
      <c r="D82" s="79" t="s">
        <v>62</v>
      </c>
    </row>
    <row r="83" spans="1:4" s="80" customFormat="1" x14ac:dyDescent="0.3">
      <c r="A83" s="82">
        <v>5800</v>
      </c>
      <c r="B83" s="81">
        <v>46023</v>
      </c>
      <c r="C83" s="79" t="s">
        <v>16</v>
      </c>
      <c r="D83" s="79" t="s">
        <v>62</v>
      </c>
    </row>
    <row r="84" spans="1:4" s="80" customFormat="1" x14ac:dyDescent="0.3">
      <c r="A84" s="82">
        <v>5800</v>
      </c>
      <c r="B84" s="81">
        <v>46054</v>
      </c>
      <c r="C84" s="79" t="s">
        <v>16</v>
      </c>
      <c r="D84" s="79" t="s">
        <v>62</v>
      </c>
    </row>
    <row r="85" spans="1:4" s="80" customFormat="1" x14ac:dyDescent="0.3">
      <c r="A85" s="82">
        <v>5800</v>
      </c>
      <c r="B85" s="81">
        <v>46082</v>
      </c>
      <c r="C85" s="79" t="s">
        <v>16</v>
      </c>
      <c r="D85" s="79" t="s">
        <v>62</v>
      </c>
    </row>
    <row r="86" spans="1:4" s="80" customFormat="1" x14ac:dyDescent="0.3">
      <c r="A86" s="82">
        <v>5800</v>
      </c>
      <c r="B86" s="81">
        <v>46113</v>
      </c>
      <c r="C86" s="79" t="s">
        <v>16</v>
      </c>
      <c r="D86" s="79" t="s">
        <v>62</v>
      </c>
    </row>
    <row r="87" spans="1:4" s="80" customFormat="1" x14ac:dyDescent="0.3">
      <c r="A87" s="82">
        <v>5800</v>
      </c>
      <c r="B87" s="81">
        <v>46143</v>
      </c>
      <c r="C87" s="79" t="s">
        <v>16</v>
      </c>
      <c r="D87" s="79" t="s">
        <v>62</v>
      </c>
    </row>
    <row r="88" spans="1:4" s="80" customFormat="1" x14ac:dyDescent="0.3">
      <c r="A88" s="82">
        <v>5800</v>
      </c>
      <c r="B88" s="81">
        <v>46174</v>
      </c>
      <c r="C88" s="79" t="s">
        <v>16</v>
      </c>
      <c r="D88" s="79" t="s">
        <v>62</v>
      </c>
    </row>
    <row r="89" spans="1:4" s="80" customFormat="1" x14ac:dyDescent="0.3">
      <c r="A89" s="82">
        <v>5800</v>
      </c>
      <c r="B89" s="81">
        <v>46204</v>
      </c>
      <c r="C89" s="79" t="s">
        <v>16</v>
      </c>
      <c r="D89" s="79" t="s">
        <v>62</v>
      </c>
    </row>
    <row r="90" spans="1:4" s="80" customFormat="1" x14ac:dyDescent="0.3">
      <c r="A90" s="82">
        <v>5800</v>
      </c>
      <c r="B90" s="81">
        <v>46235</v>
      </c>
      <c r="C90" s="79" t="s">
        <v>16</v>
      </c>
      <c r="D90" s="79" t="s">
        <v>62</v>
      </c>
    </row>
    <row r="91" spans="1:4" s="80" customFormat="1" x14ac:dyDescent="0.3">
      <c r="A91" s="82">
        <v>5800</v>
      </c>
      <c r="B91" s="81">
        <v>46266</v>
      </c>
      <c r="C91" s="79" t="s">
        <v>16</v>
      </c>
      <c r="D91" s="79" t="s">
        <v>62</v>
      </c>
    </row>
    <row r="92" spans="1:4" s="80" customFormat="1" x14ac:dyDescent="0.3">
      <c r="A92" s="82">
        <v>5800</v>
      </c>
      <c r="B92" s="81">
        <v>46296</v>
      </c>
      <c r="C92" s="79" t="s">
        <v>16</v>
      </c>
      <c r="D92" s="79" t="s">
        <v>62</v>
      </c>
    </row>
    <row r="93" spans="1:4" s="80" customFormat="1" x14ac:dyDescent="0.3">
      <c r="A93" s="82">
        <v>5800</v>
      </c>
      <c r="B93" s="81">
        <v>46327</v>
      </c>
      <c r="C93" s="79" t="s">
        <v>16</v>
      </c>
      <c r="D93" s="79" t="s">
        <v>62</v>
      </c>
    </row>
    <row r="94" spans="1:4" s="80" customFormat="1" x14ac:dyDescent="0.3">
      <c r="A94" s="33">
        <v>5173.13</v>
      </c>
      <c r="B94" s="81">
        <v>45839</v>
      </c>
      <c r="C94" s="79" t="s">
        <v>52</v>
      </c>
      <c r="D94" s="79" t="s">
        <v>61</v>
      </c>
    </row>
    <row r="95" spans="1:4" s="80" customFormat="1" x14ac:dyDescent="0.3">
      <c r="A95" s="33">
        <v>5072.57</v>
      </c>
      <c r="B95" s="81">
        <v>45870</v>
      </c>
      <c r="C95" s="79" t="s">
        <v>52</v>
      </c>
      <c r="D95" s="79" t="s">
        <v>61</v>
      </c>
    </row>
    <row r="96" spans="1:4" s="80" customFormat="1" x14ac:dyDescent="0.3">
      <c r="A96" s="33">
        <v>5028.43</v>
      </c>
      <c r="B96" s="81">
        <v>45901</v>
      </c>
      <c r="C96" s="79" t="s">
        <v>52</v>
      </c>
      <c r="D96" s="79" t="s">
        <v>61</v>
      </c>
    </row>
    <row r="97" spans="1:4" s="80" customFormat="1" x14ac:dyDescent="0.3">
      <c r="A97" s="33">
        <v>4956.07</v>
      </c>
      <c r="B97" s="81">
        <v>45931</v>
      </c>
      <c r="C97" s="79" t="s">
        <v>52</v>
      </c>
      <c r="D97" s="79" t="s">
        <v>61</v>
      </c>
    </row>
    <row r="98" spans="1:4" s="80" customFormat="1" x14ac:dyDescent="0.3">
      <c r="A98" s="33">
        <v>4876.67</v>
      </c>
      <c r="B98" s="81">
        <v>45962</v>
      </c>
      <c r="C98" s="79" t="s">
        <v>52</v>
      </c>
      <c r="D98" s="79" t="s">
        <v>61</v>
      </c>
    </row>
    <row r="99" spans="1:4" s="80" customFormat="1" x14ac:dyDescent="0.3">
      <c r="A99" s="33">
        <v>4806.67</v>
      </c>
      <c r="B99" s="81">
        <v>45992</v>
      </c>
      <c r="C99" s="79" t="s">
        <v>52</v>
      </c>
      <c r="D99" s="79" t="s">
        <v>61</v>
      </c>
    </row>
    <row r="100" spans="1:4" s="80" customFormat="1" x14ac:dyDescent="0.3">
      <c r="A100" s="33">
        <v>4738.95</v>
      </c>
      <c r="B100" s="81">
        <v>46023</v>
      </c>
      <c r="C100" s="79" t="s">
        <v>52</v>
      </c>
      <c r="D100" s="79" t="s">
        <v>61</v>
      </c>
    </row>
    <row r="101" spans="1:4" s="80" customFormat="1" x14ac:dyDescent="0.3">
      <c r="A101" s="33">
        <v>660.75</v>
      </c>
      <c r="B101" s="81">
        <v>45839</v>
      </c>
      <c r="C101" s="79" t="s">
        <v>52</v>
      </c>
      <c r="D101" s="79" t="s">
        <v>61</v>
      </c>
    </row>
    <row r="102" spans="1:4" x14ac:dyDescent="0.3">
      <c r="A102" s="82">
        <v>940</v>
      </c>
      <c r="B102" s="78">
        <v>45870</v>
      </c>
      <c r="C102" s="79" t="s">
        <v>31</v>
      </c>
      <c r="D102" s="79" t="s">
        <v>19</v>
      </c>
    </row>
    <row r="103" spans="1:4" x14ac:dyDescent="0.3">
      <c r="A103" s="82">
        <v>940</v>
      </c>
      <c r="B103" s="78">
        <v>45901</v>
      </c>
      <c r="C103" s="79" t="s">
        <v>31</v>
      </c>
      <c r="D103" s="79" t="s">
        <v>19</v>
      </c>
    </row>
    <row r="104" spans="1:4" x14ac:dyDescent="0.3">
      <c r="A104" s="82">
        <v>940</v>
      </c>
      <c r="B104" s="78">
        <v>45931</v>
      </c>
      <c r="C104" s="79" t="s">
        <v>31</v>
      </c>
      <c r="D104" s="79" t="s">
        <v>19</v>
      </c>
    </row>
    <row r="105" spans="1:4" x14ac:dyDescent="0.3">
      <c r="A105" s="82">
        <v>940</v>
      </c>
      <c r="B105" s="78">
        <v>45962</v>
      </c>
      <c r="C105" s="79" t="s">
        <v>31</v>
      </c>
      <c r="D105" s="79" t="s">
        <v>19</v>
      </c>
    </row>
    <row r="106" spans="1:4" x14ac:dyDescent="0.3">
      <c r="A106" s="82">
        <v>940</v>
      </c>
      <c r="B106" s="78">
        <v>45992</v>
      </c>
      <c r="C106" s="79" t="s">
        <v>31</v>
      </c>
      <c r="D106" s="79" t="s">
        <v>19</v>
      </c>
    </row>
    <row r="107" spans="1:4" x14ac:dyDescent="0.3">
      <c r="A107" s="82">
        <v>940</v>
      </c>
      <c r="B107" s="78">
        <v>46023</v>
      </c>
      <c r="C107" s="79" t="s">
        <v>31</v>
      </c>
      <c r="D107" s="79" t="s">
        <v>19</v>
      </c>
    </row>
    <row r="108" spans="1:4" x14ac:dyDescent="0.3">
      <c r="A108" s="82">
        <v>940</v>
      </c>
      <c r="B108" s="78">
        <v>46054</v>
      </c>
      <c r="C108" s="79" t="s">
        <v>31</v>
      </c>
      <c r="D108" s="79" t="s">
        <v>19</v>
      </c>
    </row>
    <row r="109" spans="1:4" x14ac:dyDescent="0.3">
      <c r="A109" s="82">
        <v>940</v>
      </c>
      <c r="B109" s="78">
        <v>46082</v>
      </c>
      <c r="C109" s="79" t="s">
        <v>31</v>
      </c>
      <c r="D109" s="79" t="s">
        <v>19</v>
      </c>
    </row>
    <row r="110" spans="1:4" x14ac:dyDescent="0.3">
      <c r="A110" s="82">
        <v>940</v>
      </c>
      <c r="B110" s="78">
        <v>46113</v>
      </c>
      <c r="C110" s="79" t="s">
        <v>31</v>
      </c>
      <c r="D110" s="79" t="s">
        <v>19</v>
      </c>
    </row>
    <row r="111" spans="1:4" x14ac:dyDescent="0.3">
      <c r="A111" s="82">
        <v>940</v>
      </c>
      <c r="B111" s="78">
        <v>46143</v>
      </c>
      <c r="C111" s="79" t="s">
        <v>31</v>
      </c>
      <c r="D111" s="79" t="s">
        <v>19</v>
      </c>
    </row>
    <row r="112" spans="1:4" x14ac:dyDescent="0.3">
      <c r="A112" s="82">
        <v>940</v>
      </c>
      <c r="B112" s="78">
        <v>46174</v>
      </c>
      <c r="C112" s="79" t="s">
        <v>31</v>
      </c>
      <c r="D112" s="79" t="s">
        <v>19</v>
      </c>
    </row>
    <row r="113" spans="1:4" x14ac:dyDescent="0.3">
      <c r="A113" s="82">
        <v>940</v>
      </c>
      <c r="B113" s="78">
        <v>46204</v>
      </c>
      <c r="C113" s="79" t="s">
        <v>31</v>
      </c>
      <c r="D113" s="79" t="s">
        <v>19</v>
      </c>
    </row>
    <row r="114" spans="1:4" x14ac:dyDescent="0.3">
      <c r="A114" s="82">
        <v>940</v>
      </c>
      <c r="B114" s="78">
        <v>46235</v>
      </c>
      <c r="C114" s="79" t="s">
        <v>31</v>
      </c>
      <c r="D114" s="79" t="s">
        <v>19</v>
      </c>
    </row>
    <row r="115" spans="1:4" x14ac:dyDescent="0.3">
      <c r="A115" s="82">
        <v>940</v>
      </c>
      <c r="B115" s="78">
        <v>46266</v>
      </c>
      <c r="C115" s="79" t="s">
        <v>31</v>
      </c>
      <c r="D115" s="79" t="s">
        <v>19</v>
      </c>
    </row>
    <row r="116" spans="1:4" x14ac:dyDescent="0.3">
      <c r="A116" s="82">
        <v>940</v>
      </c>
      <c r="B116" s="78">
        <v>46296</v>
      </c>
      <c r="C116" s="79" t="s">
        <v>31</v>
      </c>
      <c r="D116" s="79" t="s">
        <v>19</v>
      </c>
    </row>
    <row r="117" spans="1:4" x14ac:dyDescent="0.3">
      <c r="A117" s="82">
        <v>940</v>
      </c>
      <c r="B117" s="78">
        <v>46327</v>
      </c>
      <c r="C117" s="79" t="s">
        <v>31</v>
      </c>
      <c r="D117" s="79" t="s">
        <v>19</v>
      </c>
    </row>
    <row r="118" spans="1:4" x14ac:dyDescent="0.3">
      <c r="A118" s="82">
        <v>940</v>
      </c>
      <c r="B118" s="78">
        <v>46357</v>
      </c>
      <c r="C118" s="79" t="s">
        <v>31</v>
      </c>
      <c r="D118" s="79" t="s">
        <v>19</v>
      </c>
    </row>
    <row r="119" spans="1:4" x14ac:dyDescent="0.3">
      <c r="A119" s="82">
        <v>940</v>
      </c>
      <c r="B119" s="78">
        <v>46388</v>
      </c>
      <c r="C119" s="79" t="s">
        <v>31</v>
      </c>
      <c r="D119" s="79" t="s">
        <v>19</v>
      </c>
    </row>
    <row r="120" spans="1:4" x14ac:dyDescent="0.3">
      <c r="A120" s="82">
        <v>940</v>
      </c>
      <c r="B120" s="78">
        <v>46419</v>
      </c>
      <c r="C120" s="79" t="s">
        <v>31</v>
      </c>
      <c r="D120" s="79" t="s">
        <v>19</v>
      </c>
    </row>
    <row r="121" spans="1:4" x14ac:dyDescent="0.3">
      <c r="A121" s="82">
        <v>940</v>
      </c>
      <c r="B121" s="78">
        <v>46447</v>
      </c>
      <c r="C121" s="79" t="s">
        <v>31</v>
      </c>
      <c r="D121" s="79" t="s">
        <v>19</v>
      </c>
    </row>
    <row r="122" spans="1:4" x14ac:dyDescent="0.3">
      <c r="A122" s="82">
        <v>940</v>
      </c>
      <c r="B122" s="78">
        <v>46478</v>
      </c>
      <c r="C122" s="79" t="s">
        <v>31</v>
      </c>
      <c r="D122" s="79" t="s">
        <v>19</v>
      </c>
    </row>
    <row r="123" spans="1:4" x14ac:dyDescent="0.3">
      <c r="A123" s="82">
        <v>940</v>
      </c>
      <c r="B123" s="78">
        <v>46508</v>
      </c>
      <c r="C123" s="79" t="s">
        <v>31</v>
      </c>
      <c r="D123" s="79" t="s">
        <v>19</v>
      </c>
    </row>
    <row r="124" spans="1:4" x14ac:dyDescent="0.3">
      <c r="A124" s="82">
        <v>940</v>
      </c>
      <c r="B124" s="78">
        <v>46539</v>
      </c>
      <c r="C124" s="79" t="s">
        <v>31</v>
      </c>
      <c r="D124" s="79" t="s">
        <v>19</v>
      </c>
    </row>
    <row r="125" spans="1:4" x14ac:dyDescent="0.3">
      <c r="A125" s="82">
        <v>940</v>
      </c>
      <c r="B125" s="78">
        <v>46569</v>
      </c>
      <c r="C125" s="79" t="s">
        <v>31</v>
      </c>
      <c r="D125" s="79" t="s">
        <v>19</v>
      </c>
    </row>
    <row r="126" spans="1:4" x14ac:dyDescent="0.3">
      <c r="A126" s="82">
        <v>940</v>
      </c>
      <c r="B126" s="78">
        <v>46600</v>
      </c>
      <c r="C126" s="79" t="s">
        <v>31</v>
      </c>
      <c r="D126" s="79" t="s">
        <v>19</v>
      </c>
    </row>
    <row r="127" spans="1:4" x14ac:dyDescent="0.3">
      <c r="A127" s="82">
        <v>940</v>
      </c>
      <c r="B127" s="78">
        <v>46631</v>
      </c>
      <c r="C127" s="79" t="s">
        <v>31</v>
      </c>
      <c r="D127" s="79" t="s">
        <v>19</v>
      </c>
    </row>
    <row r="128" spans="1:4" x14ac:dyDescent="0.3">
      <c r="A128" s="82">
        <v>940</v>
      </c>
      <c r="B128" s="78">
        <v>46661</v>
      </c>
      <c r="C128" s="79" t="s">
        <v>31</v>
      </c>
      <c r="D128" s="79" t="s">
        <v>19</v>
      </c>
    </row>
    <row r="129" spans="1:4" x14ac:dyDescent="0.3">
      <c r="A129" s="82">
        <v>940</v>
      </c>
      <c r="B129" s="78">
        <v>46692</v>
      </c>
      <c r="C129" s="79" t="s">
        <v>31</v>
      </c>
      <c r="D129" s="79" t="s">
        <v>19</v>
      </c>
    </row>
    <row r="130" spans="1:4" x14ac:dyDescent="0.3">
      <c r="A130" s="82">
        <v>940</v>
      </c>
      <c r="B130" s="78">
        <v>46722</v>
      </c>
      <c r="C130" s="79" t="s">
        <v>31</v>
      </c>
      <c r="D130" s="79" t="s">
        <v>19</v>
      </c>
    </row>
    <row r="131" spans="1:4" x14ac:dyDescent="0.3">
      <c r="A131" s="82">
        <v>940</v>
      </c>
      <c r="B131" s="78">
        <v>46753</v>
      </c>
      <c r="C131" s="79" t="s">
        <v>31</v>
      </c>
      <c r="D131" s="79" t="s">
        <v>19</v>
      </c>
    </row>
    <row r="132" spans="1:4" x14ac:dyDescent="0.3">
      <c r="A132" s="82">
        <v>940</v>
      </c>
      <c r="B132" s="78">
        <v>46784</v>
      </c>
      <c r="C132" s="79" t="s">
        <v>31</v>
      </c>
      <c r="D132" s="79" t="s">
        <v>19</v>
      </c>
    </row>
    <row r="133" spans="1:4" x14ac:dyDescent="0.3">
      <c r="A133" s="82">
        <v>940</v>
      </c>
      <c r="B133" s="78">
        <v>46813</v>
      </c>
      <c r="C133" s="79" t="s">
        <v>31</v>
      </c>
      <c r="D133" s="79" t="s">
        <v>19</v>
      </c>
    </row>
    <row r="134" spans="1:4" x14ac:dyDescent="0.3">
      <c r="A134" s="82">
        <v>940</v>
      </c>
      <c r="B134" s="78">
        <v>46844</v>
      </c>
      <c r="C134" s="79" t="s">
        <v>31</v>
      </c>
      <c r="D134" s="79" t="s">
        <v>19</v>
      </c>
    </row>
    <row r="135" spans="1:4" x14ac:dyDescent="0.3">
      <c r="A135" s="82">
        <v>940</v>
      </c>
      <c r="B135" s="78">
        <v>46874</v>
      </c>
      <c r="C135" s="79" t="s">
        <v>31</v>
      </c>
      <c r="D135" s="79" t="s">
        <v>19</v>
      </c>
    </row>
    <row r="136" spans="1:4" x14ac:dyDescent="0.3">
      <c r="A136" s="82">
        <v>940</v>
      </c>
      <c r="B136" s="78">
        <v>46905</v>
      </c>
      <c r="C136" s="79" t="s">
        <v>31</v>
      </c>
      <c r="D136" s="79" t="s">
        <v>19</v>
      </c>
    </row>
    <row r="137" spans="1:4" x14ac:dyDescent="0.3">
      <c r="A137" s="82">
        <v>940</v>
      </c>
      <c r="B137" s="78">
        <v>46935</v>
      </c>
      <c r="C137" s="79" t="s">
        <v>31</v>
      </c>
      <c r="D137" s="79" t="s">
        <v>19</v>
      </c>
    </row>
  </sheetData>
  <autoFilter ref="A1:D137" xr:uid="{00000000-0001-0000-0200-000000000000}"/>
  <sortState xmlns:xlrd2="http://schemas.microsoft.com/office/spreadsheetml/2017/richdata2" ref="A47:D174">
    <sortCondition ref="B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X134"/>
  <sheetViews>
    <sheetView showGridLines="0" topLeftCell="A34" workbookViewId="0">
      <selection activeCell="E104" sqref="E104"/>
    </sheetView>
  </sheetViews>
  <sheetFormatPr defaultRowHeight="14.4" x14ac:dyDescent="0.3"/>
  <cols>
    <col min="1" max="1" width="10.6640625" bestFit="1" customWidth="1"/>
    <col min="2" max="2" width="14" bestFit="1" customWidth="1"/>
    <col min="3" max="3" width="10.6640625" bestFit="1" customWidth="1"/>
    <col min="4" max="4" width="10.88671875" customWidth="1"/>
    <col min="5" max="5" width="14" bestFit="1" customWidth="1"/>
    <col min="6" max="6" width="12.88671875" bestFit="1" customWidth="1"/>
    <col min="7" max="7" width="14.33203125" customWidth="1"/>
    <col min="8" max="8" width="10.5546875" customWidth="1"/>
    <col min="9" max="9" width="13.88671875" customWidth="1"/>
    <col min="12" max="12" width="10.6640625" bestFit="1" customWidth="1"/>
    <col min="17" max="17" width="11.6640625" bestFit="1" customWidth="1"/>
    <col min="22" max="22" width="10.6640625" bestFit="1" customWidth="1"/>
  </cols>
  <sheetData>
    <row r="1" spans="1:24" ht="15" customHeight="1" x14ac:dyDescent="0.3">
      <c r="A1" s="162" t="s">
        <v>17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1:24" ht="15" customHeight="1" thickBot="1" x14ac:dyDescent="0.35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</row>
    <row r="3" spans="1:24" ht="15.6" x14ac:dyDescent="0.3">
      <c r="P3" s="159" t="s">
        <v>45</v>
      </c>
      <c r="Q3" s="160"/>
      <c r="R3" s="160"/>
      <c r="S3" s="160"/>
      <c r="T3" s="160"/>
      <c r="U3" s="160"/>
      <c r="V3" s="160"/>
      <c r="W3" s="160"/>
      <c r="X3" s="161"/>
    </row>
    <row r="4" spans="1:24" x14ac:dyDescent="0.3">
      <c r="P4" s="46"/>
      <c r="X4" s="47"/>
    </row>
    <row r="5" spans="1:24" ht="15.6" x14ac:dyDescent="0.3">
      <c r="A5" s="14"/>
      <c r="B5" s="141" t="s">
        <v>18</v>
      </c>
      <c r="C5" s="141"/>
      <c r="D5" s="14"/>
      <c r="F5" s="14"/>
      <c r="G5" s="141" t="s">
        <v>19</v>
      </c>
      <c r="H5" s="141"/>
      <c r="I5" s="14"/>
      <c r="K5" s="14"/>
      <c r="L5" s="141" t="s">
        <v>20</v>
      </c>
      <c r="M5" s="141"/>
      <c r="N5" s="14"/>
      <c r="P5" s="48"/>
      <c r="Q5" s="141" t="s">
        <v>20</v>
      </c>
      <c r="R5" s="141"/>
      <c r="S5" s="14"/>
      <c r="U5" s="14"/>
      <c r="V5" s="141" t="s">
        <v>19</v>
      </c>
      <c r="W5" s="141"/>
      <c r="X5" s="49"/>
    </row>
    <row r="6" spans="1:24" x14ac:dyDescent="0.3">
      <c r="A6" s="142"/>
      <c r="B6" s="142"/>
      <c r="C6" s="142"/>
      <c r="D6" s="142"/>
      <c r="F6" s="142"/>
      <c r="G6" s="142"/>
      <c r="H6" s="142"/>
      <c r="I6" s="142"/>
      <c r="K6" s="142"/>
      <c r="L6" s="142"/>
      <c r="M6" s="142"/>
      <c r="N6" s="142"/>
      <c r="P6" s="144" t="s">
        <v>27</v>
      </c>
      <c r="Q6" s="142"/>
      <c r="R6" s="142"/>
      <c r="S6" s="142"/>
      <c r="U6" s="142"/>
      <c r="V6" s="142"/>
      <c r="W6" s="142"/>
      <c r="X6" s="163"/>
    </row>
    <row r="7" spans="1:24" x14ac:dyDescent="0.3">
      <c r="A7" s="137" t="s">
        <v>8</v>
      </c>
      <c r="B7" s="137"/>
      <c r="C7" s="143">
        <v>123000</v>
      </c>
      <c r="D7" s="143"/>
      <c r="F7" s="137" t="s">
        <v>8</v>
      </c>
      <c r="G7" s="137"/>
      <c r="H7" s="143">
        <v>77000</v>
      </c>
      <c r="I7" s="143"/>
      <c r="K7" s="137" t="s">
        <v>8</v>
      </c>
      <c r="L7" s="137"/>
      <c r="M7" s="146" t="s">
        <v>86</v>
      </c>
      <c r="N7" s="146"/>
      <c r="P7" s="145" t="s">
        <v>8</v>
      </c>
      <c r="Q7" s="137"/>
      <c r="R7" s="143">
        <f>SUM(Q14:Q25)</f>
        <v>577075.92000000016</v>
      </c>
      <c r="S7" s="143"/>
      <c r="U7" s="137" t="s">
        <v>8</v>
      </c>
      <c r="V7" s="137"/>
      <c r="W7" s="143">
        <f>SUM(V14:V40)</f>
        <v>257844.59999999986</v>
      </c>
      <c r="X7" s="150"/>
    </row>
    <row r="8" spans="1:24" x14ac:dyDescent="0.3">
      <c r="A8" s="137" t="s">
        <v>9</v>
      </c>
      <c r="B8" s="137"/>
      <c r="C8" s="143"/>
      <c r="D8" s="143"/>
      <c r="F8" s="137" t="s">
        <v>9</v>
      </c>
      <c r="G8" s="137"/>
      <c r="H8" s="143"/>
      <c r="I8" s="143"/>
      <c r="K8" s="137" t="s">
        <v>9</v>
      </c>
      <c r="L8" s="137"/>
      <c r="M8" s="146"/>
      <c r="N8" s="146"/>
      <c r="P8" s="145" t="s">
        <v>9</v>
      </c>
      <c r="Q8" s="137"/>
      <c r="R8" s="143">
        <v>510000</v>
      </c>
      <c r="S8" s="143"/>
      <c r="U8" s="137" t="s">
        <v>9</v>
      </c>
      <c r="V8" s="137"/>
      <c r="W8" s="143">
        <v>200000</v>
      </c>
      <c r="X8" s="150"/>
    </row>
    <row r="9" spans="1:24" x14ac:dyDescent="0.3">
      <c r="A9" s="137" t="s">
        <v>7</v>
      </c>
      <c r="B9" s="137"/>
      <c r="C9" s="138">
        <v>13</v>
      </c>
      <c r="D9" s="138"/>
      <c r="F9" s="137" t="s">
        <v>7</v>
      </c>
      <c r="G9" s="137"/>
      <c r="H9" s="138">
        <v>30</v>
      </c>
      <c r="I9" s="138"/>
      <c r="K9" s="137" t="s">
        <v>7</v>
      </c>
      <c r="L9" s="137"/>
      <c r="M9" s="146"/>
      <c r="N9" s="146"/>
      <c r="P9" s="145" t="s">
        <v>7</v>
      </c>
      <c r="Q9" s="137"/>
      <c r="R9" s="138">
        <v>12</v>
      </c>
      <c r="S9" s="138"/>
      <c r="U9" s="137" t="s">
        <v>7</v>
      </c>
      <c r="V9" s="137"/>
      <c r="W9" s="138">
        <v>27</v>
      </c>
      <c r="X9" s="151"/>
    </row>
    <row r="10" spans="1:24" x14ac:dyDescent="0.3">
      <c r="A10" s="164" t="s">
        <v>63</v>
      </c>
      <c r="B10" s="165"/>
      <c r="C10" s="166">
        <v>9.4500000000000001E-3</v>
      </c>
      <c r="D10" s="167"/>
      <c r="F10" s="137" t="s">
        <v>63</v>
      </c>
      <c r="G10" s="137"/>
      <c r="H10" s="138" t="s">
        <v>84</v>
      </c>
      <c r="I10" s="138"/>
      <c r="K10" s="137" t="s">
        <v>63</v>
      </c>
      <c r="L10" s="137"/>
      <c r="M10" s="146"/>
      <c r="N10" s="146"/>
      <c r="P10" s="137" t="s">
        <v>63</v>
      </c>
      <c r="Q10" s="137"/>
      <c r="R10" s="149">
        <v>1.61E-2</v>
      </c>
      <c r="S10" s="138"/>
      <c r="U10" s="137" t="s">
        <v>63</v>
      </c>
      <c r="V10" s="137"/>
      <c r="W10" s="138">
        <v>1.58</v>
      </c>
      <c r="X10" s="138"/>
    </row>
    <row r="11" spans="1:24" x14ac:dyDescent="0.3">
      <c r="A11" s="164" t="s">
        <v>64</v>
      </c>
      <c r="B11" s="165"/>
      <c r="C11" s="166">
        <v>0.1135</v>
      </c>
      <c r="D11" s="167"/>
      <c r="F11" s="137" t="s">
        <v>64</v>
      </c>
      <c r="G11" s="137"/>
      <c r="H11" s="138" t="s">
        <v>85</v>
      </c>
      <c r="I11" s="138"/>
      <c r="K11" s="137" t="s">
        <v>64</v>
      </c>
      <c r="L11" s="137"/>
      <c r="M11" s="146"/>
      <c r="N11" s="146"/>
      <c r="P11" s="137" t="s">
        <v>64</v>
      </c>
      <c r="Q11" s="137"/>
      <c r="R11" s="149">
        <v>0.21190000000000001</v>
      </c>
      <c r="S11" s="138"/>
      <c r="U11" s="137" t="s">
        <v>64</v>
      </c>
      <c r="V11" s="137"/>
      <c r="W11" s="138">
        <v>20.76</v>
      </c>
      <c r="X11" s="138"/>
    </row>
    <row r="12" spans="1:24" x14ac:dyDescent="0.3">
      <c r="A12" s="14"/>
      <c r="C12" s="1"/>
      <c r="D12" s="14"/>
      <c r="F12" s="14"/>
      <c r="H12" s="1"/>
      <c r="I12" s="14"/>
      <c r="K12" s="14"/>
      <c r="M12" s="1"/>
      <c r="N12" s="14"/>
      <c r="P12" s="48"/>
      <c r="R12" s="1"/>
      <c r="S12" s="14"/>
      <c r="U12" s="14"/>
      <c r="W12" s="1"/>
      <c r="X12" s="49"/>
    </row>
    <row r="13" spans="1:24" x14ac:dyDescent="0.3">
      <c r="A13" s="11" t="s">
        <v>0</v>
      </c>
      <c r="B13" s="6" t="s">
        <v>1</v>
      </c>
      <c r="C13" s="6" t="s">
        <v>2</v>
      </c>
      <c r="D13" s="12" t="s">
        <v>6</v>
      </c>
      <c r="F13" s="11" t="s">
        <v>0</v>
      </c>
      <c r="G13" s="6" t="s">
        <v>1</v>
      </c>
      <c r="H13" s="6" t="s">
        <v>2</v>
      </c>
      <c r="I13" s="12" t="s">
        <v>6</v>
      </c>
      <c r="K13" s="43" t="s">
        <v>0</v>
      </c>
      <c r="L13" s="44" t="s">
        <v>1</v>
      </c>
      <c r="M13" s="44" t="s">
        <v>2</v>
      </c>
      <c r="N13" s="45" t="s">
        <v>6</v>
      </c>
      <c r="P13" s="50" t="s">
        <v>0</v>
      </c>
      <c r="Q13" s="6" t="s">
        <v>1</v>
      </c>
      <c r="R13" s="6" t="s">
        <v>2</v>
      </c>
      <c r="S13" s="12" t="s">
        <v>6</v>
      </c>
      <c r="U13" s="11" t="s">
        <v>0</v>
      </c>
      <c r="V13" s="6" t="s">
        <v>1</v>
      </c>
      <c r="W13" s="6" t="s">
        <v>2</v>
      </c>
      <c r="X13" s="51" t="s">
        <v>6</v>
      </c>
    </row>
    <row r="14" spans="1:24" x14ac:dyDescent="0.3">
      <c r="A14" s="12">
        <v>1</v>
      </c>
      <c r="B14" s="7">
        <v>3957.43</v>
      </c>
      <c r="C14" s="15">
        <v>44256</v>
      </c>
      <c r="D14" s="12" t="s">
        <v>4</v>
      </c>
      <c r="F14" s="12">
        <v>1</v>
      </c>
      <c r="G14" s="7">
        <v>2595.8200000000002</v>
      </c>
      <c r="H14" s="15">
        <v>44256</v>
      </c>
      <c r="I14" s="12" t="s">
        <v>4</v>
      </c>
      <c r="K14" s="12">
        <v>1</v>
      </c>
      <c r="L14" s="7">
        <v>1608.99</v>
      </c>
      <c r="M14" s="15">
        <v>44256</v>
      </c>
      <c r="N14" s="12" t="s">
        <v>4</v>
      </c>
      <c r="P14" s="52">
        <v>1</v>
      </c>
      <c r="Q14" s="7">
        <v>48089.66</v>
      </c>
      <c r="R14" s="15">
        <v>44682</v>
      </c>
      <c r="S14" s="12" t="s">
        <v>4</v>
      </c>
      <c r="U14" s="12">
        <v>1</v>
      </c>
      <c r="V14" s="7">
        <v>9549.7999999999993</v>
      </c>
      <c r="W14" s="15">
        <v>44501</v>
      </c>
      <c r="X14" s="51" t="s">
        <v>4</v>
      </c>
    </row>
    <row r="15" spans="1:24" x14ac:dyDescent="0.3">
      <c r="A15" s="12">
        <v>2</v>
      </c>
      <c r="B15" s="7">
        <v>3957.43</v>
      </c>
      <c r="C15" s="15">
        <v>44287</v>
      </c>
      <c r="D15" s="12" t="s">
        <v>4</v>
      </c>
      <c r="F15" s="12">
        <v>2</v>
      </c>
      <c r="G15" s="7">
        <v>2595.8200000000002</v>
      </c>
      <c r="H15" s="15">
        <v>44287</v>
      </c>
      <c r="I15" s="12" t="s">
        <v>4</v>
      </c>
      <c r="K15" s="12">
        <v>2</v>
      </c>
      <c r="L15" s="7">
        <v>1608.99</v>
      </c>
      <c r="M15" s="15">
        <v>44287</v>
      </c>
      <c r="N15" s="12" t="s">
        <v>4</v>
      </c>
      <c r="P15" s="52">
        <v>2</v>
      </c>
      <c r="Q15" s="7">
        <v>48089.66</v>
      </c>
      <c r="R15" s="15">
        <v>44713</v>
      </c>
      <c r="S15" s="12" t="s">
        <v>4</v>
      </c>
      <c r="U15" s="12">
        <v>2</v>
      </c>
      <c r="V15" s="7">
        <v>9549.7999999999993</v>
      </c>
      <c r="W15" s="15">
        <v>44531</v>
      </c>
      <c r="X15" s="51" t="s">
        <v>4</v>
      </c>
    </row>
    <row r="16" spans="1:24" x14ac:dyDescent="0.3">
      <c r="A16" s="12">
        <v>3</v>
      </c>
      <c r="B16" s="7">
        <v>3957.43</v>
      </c>
      <c r="C16" s="15">
        <v>44317</v>
      </c>
      <c r="D16" s="12" t="s">
        <v>4</v>
      </c>
      <c r="F16" s="12">
        <v>3</v>
      </c>
      <c r="G16" s="7">
        <v>2595.8200000000002</v>
      </c>
      <c r="H16" s="15">
        <v>44317</v>
      </c>
      <c r="I16" s="12" t="s">
        <v>4</v>
      </c>
      <c r="K16" s="12">
        <v>3</v>
      </c>
      <c r="L16" s="7">
        <v>1608.99</v>
      </c>
      <c r="M16" s="15">
        <v>44317</v>
      </c>
      <c r="N16" s="12" t="s">
        <v>4</v>
      </c>
      <c r="P16" s="52">
        <v>3</v>
      </c>
      <c r="Q16" s="7">
        <v>48089.66</v>
      </c>
      <c r="R16" s="15">
        <v>44743</v>
      </c>
      <c r="S16" s="12" t="s">
        <v>4</v>
      </c>
      <c r="U16" s="12">
        <v>3</v>
      </c>
      <c r="V16" s="7">
        <v>9549.7999999999993</v>
      </c>
      <c r="W16" s="15">
        <v>44562</v>
      </c>
      <c r="X16" s="51" t="s">
        <v>4</v>
      </c>
    </row>
    <row r="17" spans="1:24" x14ac:dyDescent="0.3">
      <c r="A17" s="12">
        <v>4</v>
      </c>
      <c r="B17" s="7">
        <v>3957.43</v>
      </c>
      <c r="C17" s="15">
        <v>44348</v>
      </c>
      <c r="D17" s="12" t="s">
        <v>4</v>
      </c>
      <c r="F17" s="12">
        <v>4</v>
      </c>
      <c r="G17" s="7">
        <v>2595.8200000000002</v>
      </c>
      <c r="H17" s="15">
        <v>44348</v>
      </c>
      <c r="I17" s="12" t="s">
        <v>4</v>
      </c>
      <c r="K17" s="12">
        <v>4</v>
      </c>
      <c r="L17" s="7">
        <v>1608.99</v>
      </c>
      <c r="M17" s="15">
        <v>44348</v>
      </c>
      <c r="N17" s="12" t="s">
        <v>4</v>
      </c>
      <c r="P17" s="52">
        <v>4</v>
      </c>
      <c r="Q17" s="7">
        <v>48089.66</v>
      </c>
      <c r="R17" s="15">
        <v>44774</v>
      </c>
      <c r="S17" s="12" t="s">
        <v>4</v>
      </c>
      <c r="U17" s="12">
        <v>4</v>
      </c>
      <c r="V17" s="7">
        <v>9549.7999999999993</v>
      </c>
      <c r="W17" s="15">
        <v>44593</v>
      </c>
      <c r="X17" s="51" t="s">
        <v>4</v>
      </c>
    </row>
    <row r="18" spans="1:24" x14ac:dyDescent="0.3">
      <c r="A18" s="12">
        <v>5</v>
      </c>
      <c r="B18" s="7">
        <v>3957.43</v>
      </c>
      <c r="C18" s="15">
        <v>44378</v>
      </c>
      <c r="D18" s="12" t="s">
        <v>4</v>
      </c>
      <c r="F18" s="12">
        <v>5</v>
      </c>
      <c r="G18" s="7">
        <v>2595.8200000000002</v>
      </c>
      <c r="H18" s="15">
        <v>44378</v>
      </c>
      <c r="I18" s="12" t="s">
        <v>4</v>
      </c>
      <c r="K18" s="12">
        <v>5</v>
      </c>
      <c r="L18" s="7">
        <v>1608.99</v>
      </c>
      <c r="M18" s="15">
        <v>44378</v>
      </c>
      <c r="N18" s="12" t="s">
        <v>4</v>
      </c>
      <c r="P18" s="52">
        <v>5</v>
      </c>
      <c r="Q18" s="7">
        <v>48089.66</v>
      </c>
      <c r="R18" s="15">
        <v>44805</v>
      </c>
      <c r="S18" s="12" t="s">
        <v>4</v>
      </c>
      <c r="U18" s="12">
        <v>5</v>
      </c>
      <c r="V18" s="7">
        <v>9549.7999999999993</v>
      </c>
      <c r="W18" s="15">
        <v>44621</v>
      </c>
      <c r="X18" s="51" t="s">
        <v>4</v>
      </c>
    </row>
    <row r="19" spans="1:24" x14ac:dyDescent="0.3">
      <c r="A19" s="12">
        <v>6</v>
      </c>
      <c r="B19" s="7">
        <v>3957.43</v>
      </c>
      <c r="C19" s="15">
        <v>44409</v>
      </c>
      <c r="D19" s="12" t="s">
        <v>4</v>
      </c>
      <c r="F19" s="12">
        <v>6</v>
      </c>
      <c r="G19" s="7">
        <v>2595.8200000000002</v>
      </c>
      <c r="H19" s="15">
        <v>44409</v>
      </c>
      <c r="I19" s="12" t="s">
        <v>4</v>
      </c>
      <c r="K19" s="12">
        <v>6</v>
      </c>
      <c r="L19" s="7">
        <v>1608.99</v>
      </c>
      <c r="M19" s="15">
        <v>44409</v>
      </c>
      <c r="N19" s="12" t="s">
        <v>4</v>
      </c>
      <c r="P19" s="52">
        <v>6</v>
      </c>
      <c r="Q19" s="7">
        <v>48089.66</v>
      </c>
      <c r="R19" s="15">
        <v>44835</v>
      </c>
      <c r="S19" s="12" t="s">
        <v>4</v>
      </c>
      <c r="U19" s="12">
        <v>6</v>
      </c>
      <c r="V19" s="7">
        <v>9549.7999999999993</v>
      </c>
      <c r="W19" s="15">
        <v>44652</v>
      </c>
      <c r="X19" s="51" t="s">
        <v>4</v>
      </c>
    </row>
    <row r="20" spans="1:24" x14ac:dyDescent="0.3">
      <c r="A20" s="12">
        <v>7</v>
      </c>
      <c r="B20" s="7">
        <v>3957.43</v>
      </c>
      <c r="C20" s="15">
        <v>44440</v>
      </c>
      <c r="D20" s="12" t="s">
        <v>4</v>
      </c>
      <c r="F20" s="12">
        <v>7</v>
      </c>
      <c r="G20" s="7">
        <v>2595.8200000000002</v>
      </c>
      <c r="H20" s="15">
        <v>44440</v>
      </c>
      <c r="I20" s="12" t="s">
        <v>4</v>
      </c>
      <c r="K20" s="12">
        <v>7</v>
      </c>
      <c r="L20" s="7">
        <v>1608.99</v>
      </c>
      <c r="M20" s="15">
        <v>44440</v>
      </c>
      <c r="N20" s="12" t="s">
        <v>4</v>
      </c>
      <c r="P20" s="52">
        <v>7</v>
      </c>
      <c r="Q20" s="7">
        <v>48089.66</v>
      </c>
      <c r="R20" s="15">
        <v>44866</v>
      </c>
      <c r="S20" s="12" t="s">
        <v>4</v>
      </c>
      <c r="U20" s="12">
        <v>7</v>
      </c>
      <c r="V20" s="7">
        <v>9549.7999999999993</v>
      </c>
      <c r="W20" s="15">
        <v>44682</v>
      </c>
      <c r="X20" s="51" t="s">
        <v>4</v>
      </c>
    </row>
    <row r="21" spans="1:24" x14ac:dyDescent="0.3">
      <c r="A21" s="12">
        <v>8</v>
      </c>
      <c r="B21" s="7">
        <v>3957.43</v>
      </c>
      <c r="C21" s="15">
        <v>44470</v>
      </c>
      <c r="D21" s="12" t="s">
        <v>4</v>
      </c>
      <c r="F21" s="12">
        <v>8</v>
      </c>
      <c r="G21" s="7">
        <v>2595.8200000000002</v>
      </c>
      <c r="H21" s="15">
        <v>44470</v>
      </c>
      <c r="I21" s="12" t="s">
        <v>4</v>
      </c>
      <c r="K21" s="12">
        <v>8</v>
      </c>
      <c r="L21" s="7">
        <v>1608.99</v>
      </c>
      <c r="M21" s="15">
        <v>44470</v>
      </c>
      <c r="N21" s="12" t="s">
        <v>4</v>
      </c>
      <c r="P21" s="52">
        <v>8</v>
      </c>
      <c r="Q21" s="7">
        <v>48089.66</v>
      </c>
      <c r="R21" s="15">
        <v>44896</v>
      </c>
      <c r="S21" s="12"/>
      <c r="U21" s="12">
        <v>8</v>
      </c>
      <c r="V21" s="7">
        <v>9549.7999999999993</v>
      </c>
      <c r="W21" s="15">
        <v>44713</v>
      </c>
      <c r="X21" s="51" t="s">
        <v>4</v>
      </c>
    </row>
    <row r="22" spans="1:24" x14ac:dyDescent="0.3">
      <c r="A22" s="12">
        <v>9</v>
      </c>
      <c r="B22" s="7">
        <v>3957.43</v>
      </c>
      <c r="C22" s="15">
        <v>44501</v>
      </c>
      <c r="D22" s="12" t="s">
        <v>4</v>
      </c>
      <c r="F22" s="12">
        <v>9</v>
      </c>
      <c r="G22" s="7">
        <v>2595.8200000000002</v>
      </c>
      <c r="H22" s="15">
        <v>44501</v>
      </c>
      <c r="I22" s="12" t="s">
        <v>4</v>
      </c>
      <c r="K22" s="12">
        <v>9</v>
      </c>
      <c r="L22" s="7">
        <v>1608.99</v>
      </c>
      <c r="M22" s="15">
        <v>44501</v>
      </c>
      <c r="N22" s="12" t="s">
        <v>4</v>
      </c>
      <c r="P22" s="52">
        <v>9</v>
      </c>
      <c r="Q22" s="7">
        <v>48089.66</v>
      </c>
      <c r="R22" s="15">
        <v>44927</v>
      </c>
      <c r="S22" s="12"/>
      <c r="U22" s="12">
        <v>9</v>
      </c>
      <c r="V22" s="7">
        <v>9549.7999999999993</v>
      </c>
      <c r="W22" s="15">
        <v>44743</v>
      </c>
      <c r="X22" s="51" t="s">
        <v>4</v>
      </c>
    </row>
    <row r="23" spans="1:24" x14ac:dyDescent="0.3">
      <c r="A23" s="12">
        <v>10</v>
      </c>
      <c r="B23" s="7">
        <v>3957.43</v>
      </c>
      <c r="C23" s="15">
        <v>44531</v>
      </c>
      <c r="D23" s="12" t="s">
        <v>4</v>
      </c>
      <c r="F23" s="12">
        <v>10</v>
      </c>
      <c r="G23" s="7">
        <v>2595.8200000000002</v>
      </c>
      <c r="H23" s="15">
        <v>44531</v>
      </c>
      <c r="I23" s="12" t="s">
        <v>4</v>
      </c>
      <c r="K23" s="12">
        <v>10</v>
      </c>
      <c r="L23" s="7">
        <v>1608.99</v>
      </c>
      <c r="M23" s="15">
        <v>44531</v>
      </c>
      <c r="N23" s="12" t="s">
        <v>4</v>
      </c>
      <c r="P23" s="52">
        <v>10</v>
      </c>
      <c r="Q23" s="7">
        <v>48089.66</v>
      </c>
      <c r="R23" s="15">
        <v>44958</v>
      </c>
      <c r="S23" s="12"/>
      <c r="U23" s="12">
        <v>10</v>
      </c>
      <c r="V23" s="7">
        <v>9549.7999999999993</v>
      </c>
      <c r="W23" s="15">
        <v>44774</v>
      </c>
      <c r="X23" s="51" t="s">
        <v>4</v>
      </c>
    </row>
    <row r="24" spans="1:24" x14ac:dyDescent="0.3">
      <c r="A24" s="12">
        <v>11</v>
      </c>
      <c r="B24" s="7">
        <v>3957.43</v>
      </c>
      <c r="C24" s="15">
        <v>44562</v>
      </c>
      <c r="D24" s="12" t="s">
        <v>4</v>
      </c>
      <c r="F24" s="12">
        <v>11</v>
      </c>
      <c r="G24" s="7">
        <v>2595.8200000000002</v>
      </c>
      <c r="H24" s="15">
        <v>44562</v>
      </c>
      <c r="I24" s="12" t="s">
        <v>4</v>
      </c>
      <c r="K24" s="12">
        <v>11</v>
      </c>
      <c r="L24" s="7">
        <v>1608.99</v>
      </c>
      <c r="M24" s="15">
        <v>44562</v>
      </c>
      <c r="N24" s="12" t="s">
        <v>4</v>
      </c>
      <c r="P24" s="53">
        <v>11</v>
      </c>
      <c r="Q24" s="22">
        <v>48089.66</v>
      </c>
      <c r="R24" s="15">
        <v>44986</v>
      </c>
      <c r="S24" s="21"/>
      <c r="U24" s="12">
        <v>11</v>
      </c>
      <c r="V24" s="7">
        <v>9549.7999999999993</v>
      </c>
      <c r="W24" s="15">
        <v>44805</v>
      </c>
      <c r="X24" s="51" t="s">
        <v>4</v>
      </c>
    </row>
    <row r="25" spans="1:24" x14ac:dyDescent="0.3">
      <c r="A25" s="12">
        <v>12</v>
      </c>
      <c r="B25" s="7">
        <v>3957.43</v>
      </c>
      <c r="C25" s="15">
        <v>44593</v>
      </c>
      <c r="D25" s="12" t="s">
        <v>4</v>
      </c>
      <c r="F25" s="12">
        <v>12</v>
      </c>
      <c r="G25" s="7">
        <v>2595.8200000000002</v>
      </c>
      <c r="H25" s="15">
        <v>44593</v>
      </c>
      <c r="I25" s="12" t="s">
        <v>4</v>
      </c>
      <c r="K25" s="12">
        <v>12</v>
      </c>
      <c r="L25" s="7">
        <v>1608.99</v>
      </c>
      <c r="M25" s="15">
        <v>44593</v>
      </c>
      <c r="N25" s="12" t="s">
        <v>4</v>
      </c>
      <c r="P25" s="52">
        <v>12</v>
      </c>
      <c r="Q25" s="7">
        <v>48089.66</v>
      </c>
      <c r="R25" s="15">
        <v>45017</v>
      </c>
      <c r="S25" s="12"/>
      <c r="U25" s="12">
        <v>12</v>
      </c>
      <c r="V25" s="7">
        <v>9549.7999999999993</v>
      </c>
      <c r="W25" s="15">
        <v>44835</v>
      </c>
      <c r="X25" s="51" t="s">
        <v>4</v>
      </c>
    </row>
    <row r="26" spans="1:24" x14ac:dyDescent="0.3">
      <c r="A26" s="12">
        <v>13</v>
      </c>
      <c r="B26" s="7">
        <v>3957.43</v>
      </c>
      <c r="C26" s="15">
        <v>44621</v>
      </c>
      <c r="D26" s="12" t="s">
        <v>4</v>
      </c>
      <c r="F26" s="12">
        <v>13</v>
      </c>
      <c r="G26" s="7">
        <v>2595.8200000000002</v>
      </c>
      <c r="H26" s="15">
        <v>44621</v>
      </c>
      <c r="I26" s="12" t="s">
        <v>4</v>
      </c>
      <c r="K26" s="12">
        <v>13</v>
      </c>
      <c r="L26" s="7">
        <v>1608.99</v>
      </c>
      <c r="M26" s="15">
        <v>44621</v>
      </c>
      <c r="N26" s="12" t="s">
        <v>4</v>
      </c>
      <c r="P26" s="147">
        <f>SUM(Q14:Q25)</f>
        <v>577075.92000000016</v>
      </c>
      <c r="Q26" s="148"/>
      <c r="R26" s="148"/>
      <c r="S26" s="148"/>
      <c r="U26" s="12">
        <v>13</v>
      </c>
      <c r="V26" s="7">
        <v>9549.7999999999993</v>
      </c>
      <c r="W26" s="15">
        <v>44866</v>
      </c>
      <c r="X26" s="51" t="s">
        <v>4</v>
      </c>
    </row>
    <row r="27" spans="1:24" x14ac:dyDescent="0.3">
      <c r="A27" s="12">
        <v>14</v>
      </c>
      <c r="B27" s="7">
        <v>3957.43</v>
      </c>
      <c r="C27" s="15">
        <v>44652</v>
      </c>
      <c r="D27" s="12" t="s">
        <v>4</v>
      </c>
      <c r="F27" s="12">
        <v>14</v>
      </c>
      <c r="G27" s="7">
        <v>2595.8200000000002</v>
      </c>
      <c r="H27" s="15">
        <v>44652</v>
      </c>
      <c r="I27" s="12" t="s">
        <v>4</v>
      </c>
      <c r="K27" s="12">
        <v>14</v>
      </c>
      <c r="L27" s="7">
        <v>1608.99</v>
      </c>
      <c r="M27" s="15">
        <v>44652</v>
      </c>
      <c r="N27" s="12" t="s">
        <v>4</v>
      </c>
      <c r="P27" s="46"/>
      <c r="U27" s="12">
        <v>14</v>
      </c>
      <c r="V27" s="7">
        <v>9549.7999999999993</v>
      </c>
      <c r="W27" s="15">
        <v>44896</v>
      </c>
      <c r="X27" s="51"/>
    </row>
    <row r="28" spans="1:24" x14ac:dyDescent="0.3">
      <c r="A28" s="12">
        <v>15</v>
      </c>
      <c r="B28" s="7">
        <v>3957.43</v>
      </c>
      <c r="C28" s="15">
        <v>44682</v>
      </c>
      <c r="D28" s="12" t="s">
        <v>4</v>
      </c>
      <c r="F28" s="12">
        <v>15</v>
      </c>
      <c r="G28" s="7">
        <v>2595.8200000000002</v>
      </c>
      <c r="H28" s="15">
        <v>44682</v>
      </c>
      <c r="I28" s="12" t="s">
        <v>4</v>
      </c>
      <c r="K28" s="12">
        <v>15</v>
      </c>
      <c r="L28" s="7">
        <v>1608.99</v>
      </c>
      <c r="M28" s="15">
        <v>44682</v>
      </c>
      <c r="N28" s="12" t="s">
        <v>4</v>
      </c>
      <c r="P28" s="46"/>
      <c r="U28" s="12">
        <v>15</v>
      </c>
      <c r="V28" s="7">
        <v>9549.7999999999993</v>
      </c>
      <c r="W28" s="15">
        <v>44927</v>
      </c>
      <c r="X28" s="51"/>
    </row>
    <row r="29" spans="1:24" x14ac:dyDescent="0.3">
      <c r="A29" s="12">
        <v>16</v>
      </c>
      <c r="B29" s="7">
        <v>3957.43</v>
      </c>
      <c r="C29" s="15">
        <v>44713</v>
      </c>
      <c r="D29" s="12" t="s">
        <v>4</v>
      </c>
      <c r="F29" s="12">
        <v>16</v>
      </c>
      <c r="G29" s="7">
        <v>2595.8200000000002</v>
      </c>
      <c r="H29" s="15">
        <v>44713</v>
      </c>
      <c r="I29" s="12" t="s">
        <v>4</v>
      </c>
      <c r="K29" s="12">
        <v>16</v>
      </c>
      <c r="L29" s="7">
        <v>1608.99</v>
      </c>
      <c r="M29" s="15">
        <v>44713</v>
      </c>
      <c r="N29" s="12" t="s">
        <v>4</v>
      </c>
      <c r="P29" s="46"/>
      <c r="U29" s="12">
        <v>16</v>
      </c>
      <c r="V29" s="7">
        <v>9549.7999999999993</v>
      </c>
      <c r="W29" s="15">
        <v>44958</v>
      </c>
      <c r="X29" s="51"/>
    </row>
    <row r="30" spans="1:24" x14ac:dyDescent="0.3">
      <c r="A30" s="12">
        <v>17</v>
      </c>
      <c r="B30" s="7">
        <v>3957.43</v>
      </c>
      <c r="C30" s="15">
        <v>44743</v>
      </c>
      <c r="D30" s="12" t="s">
        <v>4</v>
      </c>
      <c r="F30" s="12">
        <v>17</v>
      </c>
      <c r="G30" s="7">
        <v>2595.8200000000002</v>
      </c>
      <c r="H30" s="15">
        <v>44743</v>
      </c>
      <c r="I30" s="12" t="s">
        <v>4</v>
      </c>
      <c r="K30" s="12">
        <v>17</v>
      </c>
      <c r="L30" s="7">
        <v>1608.99</v>
      </c>
      <c r="M30" s="15">
        <v>44743</v>
      </c>
      <c r="N30" s="12" t="s">
        <v>4</v>
      </c>
      <c r="P30" s="46"/>
      <c r="U30" s="12">
        <v>17</v>
      </c>
      <c r="V30" s="7">
        <v>9549.7999999999993</v>
      </c>
      <c r="W30" s="15">
        <v>44986</v>
      </c>
      <c r="X30" s="51"/>
    </row>
    <row r="31" spans="1:24" x14ac:dyDescent="0.3">
      <c r="A31" s="12">
        <v>18</v>
      </c>
      <c r="B31" s="7">
        <v>3957.43</v>
      </c>
      <c r="C31" s="15">
        <v>44774</v>
      </c>
      <c r="D31" s="12" t="s">
        <v>4</v>
      </c>
      <c r="F31" s="12">
        <v>18</v>
      </c>
      <c r="G31" s="7">
        <v>2595.8200000000002</v>
      </c>
      <c r="H31" s="15">
        <v>44774</v>
      </c>
      <c r="I31" s="12" t="s">
        <v>4</v>
      </c>
      <c r="K31" s="12">
        <v>18</v>
      </c>
      <c r="L31" s="7">
        <v>1608.99</v>
      </c>
      <c r="M31" s="15">
        <v>44774</v>
      </c>
      <c r="N31" s="12" t="s">
        <v>4</v>
      </c>
      <c r="P31" s="46"/>
      <c r="U31" s="12">
        <v>18</v>
      </c>
      <c r="V31" s="7">
        <v>9549.7999999999993</v>
      </c>
      <c r="W31" s="15">
        <v>45017</v>
      </c>
      <c r="X31" s="51"/>
    </row>
    <row r="32" spans="1:24" x14ac:dyDescent="0.3">
      <c r="A32" s="12">
        <v>19</v>
      </c>
      <c r="B32" s="7">
        <v>3957.43</v>
      </c>
      <c r="C32" s="15">
        <v>44805</v>
      </c>
      <c r="D32" s="12" t="s">
        <v>4</v>
      </c>
      <c r="F32" s="12">
        <v>19</v>
      </c>
      <c r="G32" s="7">
        <v>2595.8200000000002</v>
      </c>
      <c r="H32" s="15">
        <v>44805</v>
      </c>
      <c r="I32" s="12" t="s">
        <v>4</v>
      </c>
      <c r="K32" s="12">
        <v>19</v>
      </c>
      <c r="L32" s="7">
        <v>1608.99</v>
      </c>
      <c r="M32" s="15">
        <v>44805</v>
      </c>
      <c r="N32" s="12" t="s">
        <v>4</v>
      </c>
      <c r="P32" s="46"/>
      <c r="U32" s="12">
        <v>19</v>
      </c>
      <c r="V32" s="7">
        <v>9549.7999999999993</v>
      </c>
      <c r="W32" s="15">
        <v>45047</v>
      </c>
      <c r="X32" s="51"/>
    </row>
    <row r="33" spans="1:24" x14ac:dyDescent="0.3">
      <c r="A33" s="12">
        <v>20</v>
      </c>
      <c r="B33" s="7">
        <v>3957.43</v>
      </c>
      <c r="C33" s="15">
        <v>44835</v>
      </c>
      <c r="D33" s="12" t="s">
        <v>4</v>
      </c>
      <c r="F33" s="12">
        <v>20</v>
      </c>
      <c r="G33" s="7">
        <v>2595.8200000000002</v>
      </c>
      <c r="H33" s="15">
        <v>44835</v>
      </c>
      <c r="I33" s="12" t="s">
        <v>4</v>
      </c>
      <c r="K33" s="12">
        <v>20</v>
      </c>
      <c r="L33" s="7">
        <v>1608.99</v>
      </c>
      <c r="M33" s="15">
        <v>44835</v>
      </c>
      <c r="N33" s="12" t="s">
        <v>4</v>
      </c>
      <c r="P33" s="46"/>
      <c r="U33" s="12">
        <v>20</v>
      </c>
      <c r="V33" s="7">
        <v>9549.7999999999993</v>
      </c>
      <c r="W33" s="15">
        <v>45078</v>
      </c>
      <c r="X33" s="51"/>
    </row>
    <row r="34" spans="1:24" x14ac:dyDescent="0.3">
      <c r="A34" s="12">
        <v>21</v>
      </c>
      <c r="B34" s="7">
        <v>3957.43</v>
      </c>
      <c r="C34" s="15">
        <v>44866</v>
      </c>
      <c r="D34" s="12" t="s">
        <v>4</v>
      </c>
      <c r="F34" s="12">
        <v>21</v>
      </c>
      <c r="G34" s="7">
        <v>2595.8200000000002</v>
      </c>
      <c r="H34" s="15">
        <v>44866</v>
      </c>
      <c r="I34" s="12" t="s">
        <v>4</v>
      </c>
      <c r="K34" s="12">
        <v>21</v>
      </c>
      <c r="L34" s="7">
        <v>1608.99</v>
      </c>
      <c r="M34" s="15">
        <v>44866</v>
      </c>
      <c r="N34" s="12" t="s">
        <v>4</v>
      </c>
      <c r="P34" s="46"/>
      <c r="U34" s="12">
        <v>21</v>
      </c>
      <c r="V34" s="7">
        <v>9549.7999999999993</v>
      </c>
      <c r="W34" s="15">
        <v>45108</v>
      </c>
      <c r="X34" s="51"/>
    </row>
    <row r="35" spans="1:24" x14ac:dyDescent="0.3">
      <c r="A35" s="12">
        <v>22</v>
      </c>
      <c r="B35" s="7">
        <v>3957.43</v>
      </c>
      <c r="C35" s="15">
        <v>44896</v>
      </c>
      <c r="D35" s="12" t="s">
        <v>4</v>
      </c>
      <c r="F35" s="12">
        <v>22</v>
      </c>
      <c r="G35" s="7">
        <v>2595.8200000000002</v>
      </c>
      <c r="H35" s="15">
        <v>44896</v>
      </c>
      <c r="I35" s="12" t="s">
        <v>4</v>
      </c>
      <c r="K35" s="12">
        <v>22</v>
      </c>
      <c r="L35" s="7">
        <v>1608.99</v>
      </c>
      <c r="M35" s="15">
        <v>44896</v>
      </c>
      <c r="N35" s="12" t="s">
        <v>4</v>
      </c>
      <c r="P35" s="46"/>
      <c r="U35" s="12">
        <v>22</v>
      </c>
      <c r="V35" s="7">
        <v>9549.7999999999993</v>
      </c>
      <c r="W35" s="15">
        <v>45139</v>
      </c>
      <c r="X35" s="51"/>
    </row>
    <row r="36" spans="1:24" x14ac:dyDescent="0.3">
      <c r="A36" s="12">
        <v>23</v>
      </c>
      <c r="B36" s="7">
        <v>3957.43</v>
      </c>
      <c r="C36" s="15">
        <v>44927</v>
      </c>
      <c r="D36" s="12" t="s">
        <v>4</v>
      </c>
      <c r="F36" s="12">
        <v>23</v>
      </c>
      <c r="G36" s="7">
        <v>2595.8200000000002</v>
      </c>
      <c r="H36" s="15">
        <v>44927</v>
      </c>
      <c r="I36" s="12" t="s">
        <v>4</v>
      </c>
      <c r="K36" s="12">
        <v>23</v>
      </c>
      <c r="L36" s="7">
        <v>1608.99</v>
      </c>
      <c r="M36" s="15">
        <v>44927</v>
      </c>
      <c r="N36" s="12" t="s">
        <v>4</v>
      </c>
      <c r="P36" s="46"/>
      <c r="U36" s="12">
        <v>23</v>
      </c>
      <c r="V36" s="7">
        <v>9549.7999999999993</v>
      </c>
      <c r="W36" s="15">
        <v>45170</v>
      </c>
      <c r="X36" s="51"/>
    </row>
    <row r="37" spans="1:24" x14ac:dyDescent="0.3">
      <c r="A37" s="12">
        <v>24</v>
      </c>
      <c r="B37" s="7">
        <v>3957.43</v>
      </c>
      <c r="C37" s="15">
        <v>44958</v>
      </c>
      <c r="D37" s="12" t="s">
        <v>4</v>
      </c>
      <c r="F37" s="12">
        <v>24</v>
      </c>
      <c r="G37" s="7">
        <v>2595.8200000000002</v>
      </c>
      <c r="H37" s="15">
        <v>44958</v>
      </c>
      <c r="I37" s="12" t="s">
        <v>4</v>
      </c>
      <c r="K37" s="12">
        <v>24</v>
      </c>
      <c r="L37" s="7">
        <v>1608.99</v>
      </c>
      <c r="M37" s="15">
        <v>44958</v>
      </c>
      <c r="N37" s="12" t="s">
        <v>4</v>
      </c>
      <c r="P37" s="46"/>
      <c r="U37" s="12">
        <v>24</v>
      </c>
      <c r="V37" s="7">
        <v>9549.7999999999993</v>
      </c>
      <c r="W37" s="15">
        <v>45200</v>
      </c>
      <c r="X37" s="51"/>
    </row>
    <row r="38" spans="1:24" x14ac:dyDescent="0.3">
      <c r="A38" s="12">
        <v>25</v>
      </c>
      <c r="B38" s="7">
        <v>3957.43</v>
      </c>
      <c r="C38" s="15">
        <v>44986</v>
      </c>
      <c r="D38" s="12" t="s">
        <v>4</v>
      </c>
      <c r="F38" s="12">
        <v>25</v>
      </c>
      <c r="G38" s="7">
        <v>2595.8200000000002</v>
      </c>
      <c r="H38" s="15">
        <v>44986</v>
      </c>
      <c r="I38" s="12" t="s">
        <v>4</v>
      </c>
      <c r="K38" s="12">
        <v>25</v>
      </c>
      <c r="L38" s="7">
        <v>1608.99</v>
      </c>
      <c r="M38" s="15">
        <v>44986</v>
      </c>
      <c r="N38" s="12" t="s">
        <v>4</v>
      </c>
      <c r="P38" s="46"/>
      <c r="U38" s="12">
        <v>25</v>
      </c>
      <c r="V38" s="7">
        <v>9549.7999999999993</v>
      </c>
      <c r="W38" s="15">
        <v>45231</v>
      </c>
      <c r="X38" s="51"/>
    </row>
    <row r="39" spans="1:24" x14ac:dyDescent="0.3">
      <c r="A39" s="12">
        <v>26</v>
      </c>
      <c r="B39" s="7">
        <v>3957.43</v>
      </c>
      <c r="C39" s="15">
        <v>45017</v>
      </c>
      <c r="D39" s="12" t="s">
        <v>4</v>
      </c>
      <c r="F39" s="12">
        <v>26</v>
      </c>
      <c r="G39" s="7">
        <v>2595.8200000000002</v>
      </c>
      <c r="H39" s="15">
        <v>45017</v>
      </c>
      <c r="I39" s="12" t="s">
        <v>4</v>
      </c>
      <c r="K39" s="12">
        <v>26</v>
      </c>
      <c r="L39" s="7">
        <v>1608.99</v>
      </c>
      <c r="M39" s="15">
        <v>45017</v>
      </c>
      <c r="N39" s="12" t="s">
        <v>4</v>
      </c>
      <c r="P39" s="46"/>
      <c r="U39" s="12">
        <v>26</v>
      </c>
      <c r="V39" s="7">
        <v>9549.7999999999993</v>
      </c>
      <c r="W39" s="15">
        <v>45261</v>
      </c>
      <c r="X39" s="51"/>
    </row>
    <row r="40" spans="1:24" ht="15" thickBot="1" x14ac:dyDescent="0.35">
      <c r="A40" s="12">
        <v>27</v>
      </c>
      <c r="B40" s="7">
        <v>3957.43</v>
      </c>
      <c r="C40" s="15">
        <v>45047</v>
      </c>
      <c r="D40" s="12" t="s">
        <v>4</v>
      </c>
      <c r="F40" s="21">
        <v>27</v>
      </c>
      <c r="G40" s="22">
        <v>2595.8200000000002</v>
      </c>
      <c r="H40" s="15">
        <v>45047</v>
      </c>
      <c r="I40" s="12" t="s">
        <v>4</v>
      </c>
      <c r="K40" s="12">
        <v>27</v>
      </c>
      <c r="L40" s="7">
        <v>1608.99</v>
      </c>
      <c r="M40" s="15">
        <v>45047</v>
      </c>
      <c r="N40" s="12" t="s">
        <v>4</v>
      </c>
      <c r="P40" s="54"/>
      <c r="Q40" s="55"/>
      <c r="R40" s="55"/>
      <c r="S40" s="55"/>
      <c r="T40" s="55"/>
      <c r="U40" s="56">
        <v>27</v>
      </c>
      <c r="V40" s="57">
        <v>9549.7999999999993</v>
      </c>
      <c r="W40" s="58">
        <v>45292</v>
      </c>
      <c r="X40" s="59"/>
    </row>
    <row r="41" spans="1:24" x14ac:dyDescent="0.3">
      <c r="A41" s="12">
        <v>28</v>
      </c>
      <c r="B41" s="7">
        <v>3957.43</v>
      </c>
      <c r="C41" s="15">
        <v>45078</v>
      </c>
      <c r="D41" s="12" t="s">
        <v>4</v>
      </c>
      <c r="F41" s="12">
        <v>28</v>
      </c>
      <c r="G41" s="22">
        <v>2595.8200000000002</v>
      </c>
      <c r="H41" s="15">
        <v>45078</v>
      </c>
      <c r="I41" s="12" t="s">
        <v>4</v>
      </c>
      <c r="K41" s="12">
        <v>28</v>
      </c>
      <c r="L41" s="7">
        <v>1608.99</v>
      </c>
      <c r="M41" s="15">
        <v>45078</v>
      </c>
      <c r="N41" s="12" t="s">
        <v>4</v>
      </c>
      <c r="U41" s="13"/>
      <c r="V41" s="17"/>
      <c r="W41" s="61"/>
      <c r="X41" s="13"/>
    </row>
    <row r="42" spans="1:24" x14ac:dyDescent="0.3">
      <c r="A42" s="12">
        <v>29</v>
      </c>
      <c r="B42" s="7">
        <v>3957.43</v>
      </c>
      <c r="C42" s="15">
        <v>45108</v>
      </c>
      <c r="D42" s="12" t="s">
        <v>4</v>
      </c>
      <c r="F42" s="21">
        <v>29</v>
      </c>
      <c r="G42" s="22">
        <v>2595.8200000000002</v>
      </c>
      <c r="H42" s="15">
        <v>45108</v>
      </c>
      <c r="I42" s="12" t="s">
        <v>4</v>
      </c>
      <c r="K42" s="12">
        <v>29</v>
      </c>
      <c r="L42" s="7">
        <v>1608.99</v>
      </c>
      <c r="M42" s="15">
        <v>45108</v>
      </c>
      <c r="N42" s="12" t="s">
        <v>4</v>
      </c>
      <c r="U42" s="13"/>
      <c r="V42" s="17"/>
      <c r="W42" s="61"/>
      <c r="X42" s="13"/>
    </row>
    <row r="43" spans="1:24" x14ac:dyDescent="0.3">
      <c r="A43" s="12">
        <v>30</v>
      </c>
      <c r="B43" s="7">
        <v>3957.43</v>
      </c>
      <c r="C43" s="15">
        <v>45139</v>
      </c>
      <c r="D43" s="12" t="s">
        <v>4</v>
      </c>
      <c r="F43" s="21">
        <v>30</v>
      </c>
      <c r="G43" s="22">
        <v>2595.8200000000002</v>
      </c>
      <c r="H43" s="15">
        <v>45139</v>
      </c>
      <c r="I43" s="12" t="s">
        <v>4</v>
      </c>
      <c r="K43" s="12">
        <v>30</v>
      </c>
      <c r="L43" s="7">
        <v>1483.01</v>
      </c>
      <c r="M43" s="15">
        <v>45139</v>
      </c>
      <c r="N43" s="12" t="s">
        <v>4</v>
      </c>
      <c r="U43" s="13"/>
      <c r="V43" s="17"/>
      <c r="W43" s="61"/>
      <c r="X43" s="13"/>
    </row>
    <row r="44" spans="1:24" x14ac:dyDescent="0.3">
      <c r="A44" s="156"/>
      <c r="B44" s="157"/>
      <c r="C44" s="157"/>
      <c r="D44" s="158"/>
      <c r="F44" s="153" t="s">
        <v>87</v>
      </c>
      <c r="G44" s="154"/>
      <c r="H44" s="154"/>
      <c r="I44" s="155"/>
      <c r="K44" s="153" t="s">
        <v>87</v>
      </c>
      <c r="L44" s="154"/>
      <c r="M44" s="154"/>
      <c r="N44" s="155"/>
    </row>
    <row r="46" spans="1:24" x14ac:dyDescent="0.3">
      <c r="A46" s="152" t="s">
        <v>46</v>
      </c>
      <c r="B46" s="152"/>
      <c r="C46" s="152"/>
      <c r="D46" s="152"/>
    </row>
    <row r="47" spans="1:24" ht="15.6" x14ac:dyDescent="0.3">
      <c r="F47" s="14"/>
      <c r="G47" s="141" t="s">
        <v>19</v>
      </c>
      <c r="H47" s="141"/>
      <c r="I47" s="14"/>
    </row>
    <row r="48" spans="1:24" ht="15.6" x14ac:dyDescent="0.3">
      <c r="A48" s="14"/>
      <c r="B48" s="141" t="s">
        <v>18</v>
      </c>
      <c r="C48" s="141"/>
      <c r="D48" s="14"/>
      <c r="F48" s="142" t="s">
        <v>49</v>
      </c>
      <c r="G48" s="142"/>
      <c r="H48" s="142"/>
      <c r="I48" s="142"/>
    </row>
    <row r="49" spans="1:9" x14ac:dyDescent="0.3">
      <c r="A49" s="142"/>
      <c r="B49" s="142"/>
      <c r="C49" s="142"/>
      <c r="D49" s="142"/>
      <c r="F49" s="137" t="s">
        <v>8</v>
      </c>
      <c r="G49" s="137"/>
      <c r="H49" s="143">
        <f>SUM(G54:G95)</f>
        <v>171037.01999999993</v>
      </c>
      <c r="I49" s="143"/>
    </row>
    <row r="50" spans="1:9" x14ac:dyDescent="0.3">
      <c r="A50" s="137" t="s">
        <v>8</v>
      </c>
      <c r="B50" s="137"/>
      <c r="C50" s="143">
        <v>1040000</v>
      </c>
      <c r="D50" s="143"/>
      <c r="F50" s="137" t="s">
        <v>9</v>
      </c>
      <c r="G50" s="137"/>
      <c r="H50" s="143">
        <v>150000</v>
      </c>
      <c r="I50" s="143"/>
    </row>
    <row r="51" spans="1:9" x14ac:dyDescent="0.3">
      <c r="A51" s="137" t="s">
        <v>9</v>
      </c>
      <c r="B51" s="137"/>
      <c r="C51" s="143">
        <f>SUM(B55:B90)</f>
        <v>1691119.4400000006</v>
      </c>
      <c r="D51" s="143"/>
      <c r="F51" s="137" t="s">
        <v>7</v>
      </c>
      <c r="G51" s="137"/>
      <c r="H51" s="138" t="s">
        <v>48</v>
      </c>
      <c r="I51" s="138"/>
    </row>
    <row r="52" spans="1:9" x14ac:dyDescent="0.3">
      <c r="A52" s="137" t="s">
        <v>7</v>
      </c>
      <c r="B52" s="137"/>
      <c r="C52" s="138" t="s">
        <v>47</v>
      </c>
      <c r="D52" s="138"/>
      <c r="F52" s="164" t="s">
        <v>69</v>
      </c>
      <c r="G52" s="165"/>
      <c r="H52" s="32" t="s">
        <v>82</v>
      </c>
      <c r="I52" s="70" t="s">
        <v>83</v>
      </c>
    </row>
    <row r="53" spans="1:9" x14ac:dyDescent="0.3">
      <c r="A53" s="139" t="s">
        <v>69</v>
      </c>
      <c r="B53" s="139"/>
      <c r="C53" s="32" t="s">
        <v>81</v>
      </c>
      <c r="D53" s="74" t="s">
        <v>80</v>
      </c>
      <c r="F53" s="62" t="s">
        <v>0</v>
      </c>
      <c r="G53" s="63" t="s">
        <v>1</v>
      </c>
      <c r="H53" s="63" t="s">
        <v>2</v>
      </c>
      <c r="I53" s="21" t="s">
        <v>6</v>
      </c>
    </row>
    <row r="54" spans="1:9" x14ac:dyDescent="0.3">
      <c r="A54" s="11" t="s">
        <v>0</v>
      </c>
      <c r="B54" s="6" t="s">
        <v>1</v>
      </c>
      <c r="C54" s="6" t="s">
        <v>30</v>
      </c>
      <c r="D54" s="12" t="s">
        <v>6</v>
      </c>
      <c r="F54" s="60">
        <v>1</v>
      </c>
      <c r="G54" s="7">
        <v>4072.31</v>
      </c>
      <c r="H54" s="15">
        <v>45030</v>
      </c>
      <c r="I54" s="12" t="s">
        <v>4</v>
      </c>
    </row>
    <row r="55" spans="1:9" x14ac:dyDescent="0.3">
      <c r="A55" s="28">
        <v>1</v>
      </c>
      <c r="B55" s="20">
        <v>46975.54</v>
      </c>
      <c r="C55" s="15">
        <v>45019</v>
      </c>
      <c r="D55" s="32" t="s">
        <v>4</v>
      </c>
      <c r="F55" s="64">
        <v>2</v>
      </c>
      <c r="G55" s="7">
        <v>4072.31</v>
      </c>
      <c r="H55" s="15">
        <v>45060</v>
      </c>
      <c r="I55" s="12" t="s">
        <v>4</v>
      </c>
    </row>
    <row r="56" spans="1:9" x14ac:dyDescent="0.3">
      <c r="A56" s="28">
        <v>2</v>
      </c>
      <c r="B56" s="20">
        <v>46975.54</v>
      </c>
      <c r="C56" s="15">
        <v>45049</v>
      </c>
      <c r="D56" s="32" t="s">
        <v>4</v>
      </c>
      <c r="F56" s="60">
        <v>3</v>
      </c>
      <c r="G56" s="7">
        <v>4072.31</v>
      </c>
      <c r="H56" s="15">
        <v>45091</v>
      </c>
      <c r="I56" s="12" t="s">
        <v>4</v>
      </c>
    </row>
    <row r="57" spans="1:9" x14ac:dyDescent="0.3">
      <c r="A57" s="28">
        <v>3</v>
      </c>
      <c r="B57" s="20">
        <v>46975.54</v>
      </c>
      <c r="C57" s="15">
        <v>45082</v>
      </c>
      <c r="D57" s="32" t="s">
        <v>4</v>
      </c>
      <c r="F57" s="64">
        <v>4</v>
      </c>
      <c r="G57" s="7">
        <v>4072.31</v>
      </c>
      <c r="H57" s="15">
        <v>45121</v>
      </c>
      <c r="I57" s="12" t="s">
        <v>4</v>
      </c>
    </row>
    <row r="58" spans="1:9" x14ac:dyDescent="0.3">
      <c r="A58" s="28">
        <v>4</v>
      </c>
      <c r="B58" s="20">
        <v>46975.54</v>
      </c>
      <c r="C58" s="15">
        <v>45110</v>
      </c>
      <c r="D58" s="32" t="s">
        <v>4</v>
      </c>
      <c r="F58" s="60">
        <v>5</v>
      </c>
      <c r="G58" s="7">
        <v>4072.31</v>
      </c>
      <c r="H58" s="15">
        <v>45152</v>
      </c>
      <c r="I58" s="12" t="s">
        <v>4</v>
      </c>
    </row>
    <row r="59" spans="1:9" x14ac:dyDescent="0.3">
      <c r="A59" s="28">
        <v>5</v>
      </c>
      <c r="B59" s="20">
        <v>46975.54</v>
      </c>
      <c r="C59" s="15">
        <v>45141</v>
      </c>
      <c r="D59" s="32" t="s">
        <v>4</v>
      </c>
      <c r="F59" s="64">
        <v>6</v>
      </c>
      <c r="G59" s="7">
        <v>4072.31</v>
      </c>
      <c r="H59" s="15">
        <v>45183</v>
      </c>
      <c r="I59" s="12" t="s">
        <v>4</v>
      </c>
    </row>
    <row r="60" spans="1:9" x14ac:dyDescent="0.3">
      <c r="A60" s="28">
        <v>6</v>
      </c>
      <c r="B60" s="20">
        <v>46975.54</v>
      </c>
      <c r="C60" s="15">
        <v>45173</v>
      </c>
      <c r="D60" s="32" t="s">
        <v>4</v>
      </c>
      <c r="F60" s="60">
        <v>7</v>
      </c>
      <c r="G60" s="7">
        <v>4072.31</v>
      </c>
      <c r="H60" s="15">
        <v>45213</v>
      </c>
      <c r="I60" s="12" t="s">
        <v>4</v>
      </c>
    </row>
    <row r="61" spans="1:9" x14ac:dyDescent="0.3">
      <c r="A61" s="28">
        <v>7</v>
      </c>
      <c r="B61" s="20">
        <v>46975.54</v>
      </c>
      <c r="C61" s="15">
        <v>45202</v>
      </c>
      <c r="D61" s="32" t="s">
        <v>4</v>
      </c>
      <c r="F61" s="64">
        <v>8</v>
      </c>
      <c r="G61" s="7">
        <v>4072.31</v>
      </c>
      <c r="H61" s="15">
        <v>45244</v>
      </c>
      <c r="I61" s="12" t="s">
        <v>4</v>
      </c>
    </row>
    <row r="62" spans="1:9" x14ac:dyDescent="0.3">
      <c r="A62" s="28">
        <v>8</v>
      </c>
      <c r="B62" s="20">
        <v>46975.54</v>
      </c>
      <c r="C62" s="15">
        <v>45233</v>
      </c>
      <c r="D62" s="32" t="s">
        <v>4</v>
      </c>
      <c r="F62" s="60">
        <v>9</v>
      </c>
      <c r="G62" s="7">
        <v>4072.31</v>
      </c>
      <c r="H62" s="15">
        <v>45274</v>
      </c>
      <c r="I62" s="12" t="s">
        <v>4</v>
      </c>
    </row>
    <row r="63" spans="1:9" x14ac:dyDescent="0.3">
      <c r="A63" s="28">
        <v>9</v>
      </c>
      <c r="B63" s="20">
        <v>46975.54</v>
      </c>
      <c r="C63" s="15">
        <v>45264</v>
      </c>
      <c r="D63" s="32" t="s">
        <v>4</v>
      </c>
      <c r="F63" s="64">
        <v>10</v>
      </c>
      <c r="G63" s="7">
        <v>4072.31</v>
      </c>
      <c r="H63" s="15">
        <v>45305</v>
      </c>
      <c r="I63" s="12" t="s">
        <v>4</v>
      </c>
    </row>
    <row r="64" spans="1:9" x14ac:dyDescent="0.3">
      <c r="A64" s="28">
        <v>10</v>
      </c>
      <c r="B64" s="20">
        <v>46975.54</v>
      </c>
      <c r="C64" s="15">
        <v>45294</v>
      </c>
      <c r="D64" s="32" t="s">
        <v>4</v>
      </c>
      <c r="F64" s="60">
        <v>11</v>
      </c>
      <c r="G64" s="7">
        <v>4072.31</v>
      </c>
      <c r="H64" s="15">
        <v>45336</v>
      </c>
      <c r="I64" s="12" t="s">
        <v>4</v>
      </c>
    </row>
    <row r="65" spans="1:9" x14ac:dyDescent="0.3">
      <c r="A65" s="28">
        <v>11</v>
      </c>
      <c r="B65" s="20">
        <v>46975.54</v>
      </c>
      <c r="C65" s="15">
        <v>45327</v>
      </c>
      <c r="D65" s="32" t="s">
        <v>4</v>
      </c>
      <c r="F65" s="64">
        <v>12</v>
      </c>
      <c r="G65" s="7">
        <v>4072.31</v>
      </c>
      <c r="H65" s="15">
        <v>45365</v>
      </c>
      <c r="I65" s="12" t="s">
        <v>4</v>
      </c>
    </row>
    <row r="66" spans="1:9" x14ac:dyDescent="0.3">
      <c r="A66" s="28">
        <v>12</v>
      </c>
      <c r="B66" s="20">
        <v>46975.54</v>
      </c>
      <c r="C66" s="15">
        <v>45355</v>
      </c>
      <c r="D66" s="32" t="s">
        <v>4</v>
      </c>
      <c r="F66" s="60">
        <v>13</v>
      </c>
      <c r="G66" s="7">
        <v>4072.31</v>
      </c>
      <c r="H66" s="15">
        <v>45396</v>
      </c>
      <c r="I66" s="12" t="s">
        <v>4</v>
      </c>
    </row>
    <row r="67" spans="1:9" x14ac:dyDescent="0.3">
      <c r="A67" s="28">
        <v>13</v>
      </c>
      <c r="B67" s="20">
        <v>46975.54</v>
      </c>
      <c r="C67" s="15">
        <v>45385</v>
      </c>
      <c r="D67" s="32" t="s">
        <v>4</v>
      </c>
      <c r="F67" s="64">
        <v>14</v>
      </c>
      <c r="G67" s="7">
        <v>4072.31</v>
      </c>
      <c r="H67" s="15">
        <v>45426</v>
      </c>
      <c r="I67" s="12" t="s">
        <v>4</v>
      </c>
    </row>
    <row r="68" spans="1:9" x14ac:dyDescent="0.3">
      <c r="A68" s="28">
        <v>14</v>
      </c>
      <c r="B68" s="20">
        <v>46975.54</v>
      </c>
      <c r="C68" s="15">
        <v>45415</v>
      </c>
      <c r="D68" s="32" t="s">
        <v>4</v>
      </c>
      <c r="F68" s="60">
        <v>15</v>
      </c>
      <c r="G68" s="7">
        <v>4072.31</v>
      </c>
      <c r="H68" s="15">
        <v>45457</v>
      </c>
      <c r="I68" s="12" t="s">
        <v>4</v>
      </c>
    </row>
    <row r="69" spans="1:9" x14ac:dyDescent="0.3">
      <c r="A69" s="28">
        <v>15</v>
      </c>
      <c r="B69" s="20">
        <v>46975.54</v>
      </c>
      <c r="C69" s="15">
        <v>45446</v>
      </c>
      <c r="D69" s="32" t="s">
        <v>4</v>
      </c>
      <c r="F69" s="64">
        <v>16</v>
      </c>
      <c r="G69" s="7">
        <v>4072.31</v>
      </c>
      <c r="H69" s="15">
        <v>45487</v>
      </c>
      <c r="I69" s="12" t="s">
        <v>4</v>
      </c>
    </row>
    <row r="70" spans="1:9" x14ac:dyDescent="0.3">
      <c r="A70" s="28">
        <v>16</v>
      </c>
      <c r="B70" s="20">
        <v>46975.54</v>
      </c>
      <c r="C70" s="15">
        <v>45476</v>
      </c>
      <c r="D70" s="32" t="s">
        <v>4</v>
      </c>
      <c r="F70" s="60">
        <v>17</v>
      </c>
      <c r="G70" s="7">
        <v>4072.31</v>
      </c>
      <c r="H70" s="15">
        <v>45518</v>
      </c>
      <c r="I70" s="12" t="s">
        <v>4</v>
      </c>
    </row>
    <row r="71" spans="1:9" x14ac:dyDescent="0.3">
      <c r="A71" s="28">
        <v>17</v>
      </c>
      <c r="B71" s="20">
        <v>46975.54</v>
      </c>
      <c r="C71" s="15">
        <v>45509</v>
      </c>
      <c r="D71" s="32" t="s">
        <v>4</v>
      </c>
      <c r="F71" s="64">
        <v>18</v>
      </c>
      <c r="G71" s="7">
        <v>4072.31</v>
      </c>
      <c r="H71" s="15">
        <v>45549</v>
      </c>
      <c r="I71" s="12" t="s">
        <v>4</v>
      </c>
    </row>
    <row r="72" spans="1:9" x14ac:dyDescent="0.3">
      <c r="A72" s="28">
        <v>18</v>
      </c>
      <c r="B72" s="20">
        <v>46975.54</v>
      </c>
      <c r="C72" s="15">
        <v>45538</v>
      </c>
      <c r="D72" s="32" t="s">
        <v>4</v>
      </c>
      <c r="F72" s="60">
        <v>19</v>
      </c>
      <c r="G72" s="7">
        <v>4072.31</v>
      </c>
      <c r="H72" s="15">
        <v>45579</v>
      </c>
      <c r="I72" s="12" t="s">
        <v>4</v>
      </c>
    </row>
    <row r="73" spans="1:9" x14ac:dyDescent="0.3">
      <c r="A73" s="28">
        <v>19</v>
      </c>
      <c r="B73" s="20">
        <v>46975.54</v>
      </c>
      <c r="C73" s="15">
        <v>45568</v>
      </c>
      <c r="D73" s="32" t="s">
        <v>4</v>
      </c>
      <c r="F73" s="64">
        <v>20</v>
      </c>
      <c r="G73" s="7">
        <v>4072.31</v>
      </c>
      <c r="H73" s="15">
        <v>45610</v>
      </c>
      <c r="I73" s="12" t="s">
        <v>4</v>
      </c>
    </row>
    <row r="74" spans="1:9" x14ac:dyDescent="0.3">
      <c r="A74" s="28">
        <v>20</v>
      </c>
      <c r="B74" s="20">
        <v>46975.54</v>
      </c>
      <c r="C74" s="15">
        <v>45600</v>
      </c>
      <c r="D74" s="32" t="s">
        <v>4</v>
      </c>
      <c r="F74" s="60">
        <v>21</v>
      </c>
      <c r="G74" s="7">
        <v>4072.31</v>
      </c>
      <c r="H74" s="15">
        <v>45640</v>
      </c>
      <c r="I74" s="12" t="s">
        <v>4</v>
      </c>
    </row>
    <row r="75" spans="1:9" x14ac:dyDescent="0.3">
      <c r="A75" s="28">
        <v>21</v>
      </c>
      <c r="B75" s="20">
        <v>46975.54</v>
      </c>
      <c r="C75" s="15">
        <v>45629</v>
      </c>
      <c r="D75" s="32" t="s">
        <v>4</v>
      </c>
      <c r="F75" s="64">
        <v>22</v>
      </c>
      <c r="G75" s="7">
        <v>4072.31</v>
      </c>
      <c r="H75" s="15">
        <v>45671</v>
      </c>
      <c r="I75" s="12" t="s">
        <v>4</v>
      </c>
    </row>
    <row r="76" spans="1:9" x14ac:dyDescent="0.3">
      <c r="A76" s="28">
        <v>22</v>
      </c>
      <c r="B76" s="20">
        <v>46975.54</v>
      </c>
      <c r="C76" s="15">
        <v>45660</v>
      </c>
      <c r="D76" s="32" t="s">
        <v>4</v>
      </c>
      <c r="F76" s="60">
        <v>23</v>
      </c>
      <c r="G76" s="7">
        <v>4072.31</v>
      </c>
      <c r="H76" s="15">
        <v>45702</v>
      </c>
      <c r="I76" s="12" t="s">
        <v>4</v>
      </c>
    </row>
    <row r="77" spans="1:9" x14ac:dyDescent="0.3">
      <c r="A77" s="28">
        <v>23</v>
      </c>
      <c r="B77" s="20">
        <v>46975.54</v>
      </c>
      <c r="C77" s="15">
        <v>45691</v>
      </c>
      <c r="D77" s="32" t="s">
        <v>4</v>
      </c>
      <c r="F77" s="64">
        <v>24</v>
      </c>
      <c r="G77" s="7">
        <v>4072.31</v>
      </c>
      <c r="H77" s="15">
        <v>45730</v>
      </c>
      <c r="I77" s="12" t="s">
        <v>4</v>
      </c>
    </row>
    <row r="78" spans="1:9" x14ac:dyDescent="0.3">
      <c r="A78" s="28">
        <v>24</v>
      </c>
      <c r="B78" s="20">
        <v>46975.54</v>
      </c>
      <c r="C78" s="15">
        <v>45721</v>
      </c>
      <c r="D78" s="32" t="s">
        <v>4</v>
      </c>
      <c r="F78" s="60">
        <v>25</v>
      </c>
      <c r="G78" s="7">
        <v>4072.31</v>
      </c>
      <c r="H78" s="15">
        <v>45761</v>
      </c>
      <c r="I78" s="12" t="s">
        <v>4</v>
      </c>
    </row>
    <row r="79" spans="1:9" x14ac:dyDescent="0.3">
      <c r="A79" s="28">
        <v>25</v>
      </c>
      <c r="B79" s="20">
        <v>46975.54</v>
      </c>
      <c r="C79" s="15">
        <v>45750</v>
      </c>
      <c r="D79" s="32" t="s">
        <v>4</v>
      </c>
      <c r="F79" s="64">
        <v>26</v>
      </c>
      <c r="G79" s="7">
        <v>4072.31</v>
      </c>
      <c r="H79" s="15">
        <v>45791</v>
      </c>
      <c r="I79" s="12" t="s">
        <v>4</v>
      </c>
    </row>
    <row r="80" spans="1:9" x14ac:dyDescent="0.3">
      <c r="A80" s="28">
        <v>26</v>
      </c>
      <c r="B80" s="20">
        <v>46975.54</v>
      </c>
      <c r="C80" s="15">
        <v>45782</v>
      </c>
      <c r="D80" s="32" t="s">
        <v>4</v>
      </c>
      <c r="F80" s="60">
        <v>27</v>
      </c>
      <c r="G80" s="7">
        <v>4072.31</v>
      </c>
      <c r="H80" s="15">
        <v>45822</v>
      </c>
      <c r="I80" s="12" t="s">
        <v>4</v>
      </c>
    </row>
    <row r="81" spans="1:9" x14ac:dyDescent="0.3">
      <c r="A81" s="28">
        <v>27</v>
      </c>
      <c r="B81" s="20">
        <v>46975.54</v>
      </c>
      <c r="C81" s="15">
        <v>45811</v>
      </c>
      <c r="D81" s="32" t="s">
        <v>4</v>
      </c>
      <c r="F81" s="64">
        <v>28</v>
      </c>
      <c r="G81" s="7">
        <v>4072.31</v>
      </c>
      <c r="H81" s="15">
        <v>45852</v>
      </c>
      <c r="I81" s="28"/>
    </row>
    <row r="82" spans="1:9" x14ac:dyDescent="0.3">
      <c r="A82" s="28">
        <v>28</v>
      </c>
      <c r="B82" s="20">
        <v>46975.54</v>
      </c>
      <c r="C82" s="15">
        <v>45841</v>
      </c>
      <c r="D82" s="28"/>
      <c r="F82" s="60">
        <v>29</v>
      </c>
      <c r="G82" s="7">
        <v>4072.31</v>
      </c>
      <c r="H82" s="15">
        <v>45883</v>
      </c>
      <c r="I82" s="28"/>
    </row>
    <row r="83" spans="1:9" x14ac:dyDescent="0.3">
      <c r="A83" s="28">
        <v>29</v>
      </c>
      <c r="B83" s="20">
        <v>46975.54</v>
      </c>
      <c r="C83" s="15">
        <v>45873</v>
      </c>
      <c r="D83" s="28"/>
      <c r="F83" s="64">
        <v>30</v>
      </c>
      <c r="G83" s="7">
        <v>4072.31</v>
      </c>
      <c r="H83" s="15">
        <v>45914</v>
      </c>
      <c r="I83" s="28"/>
    </row>
    <row r="84" spans="1:9" x14ac:dyDescent="0.3">
      <c r="A84" s="28">
        <v>30</v>
      </c>
      <c r="B84" s="20">
        <v>46975.54</v>
      </c>
      <c r="C84" s="15">
        <v>45903</v>
      </c>
      <c r="D84" s="28"/>
      <c r="F84" s="60">
        <v>31</v>
      </c>
      <c r="G84" s="7">
        <v>4072.31</v>
      </c>
      <c r="H84" s="15">
        <v>45944</v>
      </c>
      <c r="I84" s="28"/>
    </row>
    <row r="85" spans="1:9" x14ac:dyDescent="0.3">
      <c r="A85" s="28">
        <v>31</v>
      </c>
      <c r="B85" s="20">
        <v>46975.54</v>
      </c>
      <c r="C85" s="15">
        <v>45933</v>
      </c>
      <c r="D85" s="28"/>
      <c r="F85" s="64">
        <v>32</v>
      </c>
      <c r="G85" s="7">
        <v>4072.31</v>
      </c>
      <c r="H85" s="15">
        <v>45975</v>
      </c>
      <c r="I85" s="28"/>
    </row>
    <row r="86" spans="1:9" x14ac:dyDescent="0.3">
      <c r="A86" s="28">
        <v>32</v>
      </c>
      <c r="B86" s="20">
        <v>46975.54</v>
      </c>
      <c r="C86" s="15">
        <v>45964</v>
      </c>
      <c r="D86" s="28"/>
      <c r="F86" s="60">
        <v>33</v>
      </c>
      <c r="G86" s="7">
        <v>4072.31</v>
      </c>
      <c r="H86" s="15">
        <v>46005</v>
      </c>
      <c r="I86" s="28"/>
    </row>
    <row r="87" spans="1:9" x14ac:dyDescent="0.3">
      <c r="A87" s="28">
        <v>33</v>
      </c>
      <c r="B87" s="20">
        <v>46975.54</v>
      </c>
      <c r="C87" s="15">
        <v>45994</v>
      </c>
      <c r="D87" s="28"/>
      <c r="F87" s="64">
        <v>34</v>
      </c>
      <c r="G87" s="7">
        <v>4072.31</v>
      </c>
      <c r="H87" s="15">
        <v>46036</v>
      </c>
      <c r="I87" s="28"/>
    </row>
    <row r="88" spans="1:9" x14ac:dyDescent="0.3">
      <c r="A88" s="28">
        <v>34</v>
      </c>
      <c r="B88" s="20">
        <v>46975.54</v>
      </c>
      <c r="C88" s="15">
        <v>46027</v>
      </c>
      <c r="D88" s="28"/>
      <c r="F88" s="60">
        <v>35</v>
      </c>
      <c r="G88" s="7">
        <v>4072.31</v>
      </c>
      <c r="H88" s="15">
        <v>46067</v>
      </c>
      <c r="I88" s="28"/>
    </row>
    <row r="89" spans="1:9" x14ac:dyDescent="0.3">
      <c r="A89" s="28">
        <v>35</v>
      </c>
      <c r="B89" s="20">
        <v>46975.54</v>
      </c>
      <c r="C89" s="15">
        <v>46056</v>
      </c>
      <c r="D89" s="28"/>
      <c r="F89" s="64">
        <v>36</v>
      </c>
      <c r="G89" s="7">
        <v>4072.31</v>
      </c>
      <c r="H89" s="15">
        <v>46095</v>
      </c>
      <c r="I89" s="28"/>
    </row>
    <row r="90" spans="1:9" x14ac:dyDescent="0.3">
      <c r="A90" s="28">
        <v>36</v>
      </c>
      <c r="B90" s="20">
        <v>46975.54</v>
      </c>
      <c r="C90" s="15">
        <v>46084</v>
      </c>
      <c r="D90" s="28"/>
      <c r="F90" s="60">
        <v>37</v>
      </c>
      <c r="G90" s="7">
        <v>4072.31</v>
      </c>
      <c r="H90" s="15">
        <v>46126</v>
      </c>
      <c r="I90" s="28"/>
    </row>
    <row r="91" spans="1:9" x14ac:dyDescent="0.3">
      <c r="B91" s="26">
        <f>SUM(B71:B90)</f>
        <v>939510.80000000016</v>
      </c>
      <c r="F91" s="64">
        <v>38</v>
      </c>
      <c r="G91" s="7">
        <v>4072.31</v>
      </c>
      <c r="H91" s="15">
        <v>46156</v>
      </c>
      <c r="I91" s="28"/>
    </row>
    <row r="92" spans="1:9" x14ac:dyDescent="0.3">
      <c r="F92" s="60">
        <v>39</v>
      </c>
      <c r="G92" s="7">
        <v>4072.31</v>
      </c>
      <c r="H92" s="15">
        <v>46187</v>
      </c>
      <c r="I92" s="28"/>
    </row>
    <row r="93" spans="1:9" x14ac:dyDescent="0.3">
      <c r="F93" s="64">
        <v>40</v>
      </c>
      <c r="G93" s="7">
        <v>4072.31</v>
      </c>
      <c r="H93" s="15">
        <v>46217</v>
      </c>
      <c r="I93" s="28"/>
    </row>
    <row r="94" spans="1:9" x14ac:dyDescent="0.3">
      <c r="F94" s="60">
        <v>41</v>
      </c>
      <c r="G94" s="7">
        <v>4072.31</v>
      </c>
      <c r="H94" s="15">
        <v>46248</v>
      </c>
      <c r="I94" s="28"/>
    </row>
    <row r="95" spans="1:9" x14ac:dyDescent="0.3">
      <c r="F95" s="64">
        <v>42</v>
      </c>
      <c r="G95" s="7">
        <v>4072.31</v>
      </c>
      <c r="H95" s="15">
        <v>46279</v>
      </c>
      <c r="I95" s="28"/>
    </row>
    <row r="98" spans="1:6" x14ac:dyDescent="0.3">
      <c r="A98" t="s">
        <v>111</v>
      </c>
    </row>
    <row r="99" spans="1:6" x14ac:dyDescent="0.3">
      <c r="A99" t="s">
        <v>112</v>
      </c>
    </row>
    <row r="101" spans="1:6" x14ac:dyDescent="0.3">
      <c r="A101" s="140" t="s">
        <v>110</v>
      </c>
      <c r="B101" s="140"/>
      <c r="C101" s="140"/>
      <c r="D101" s="140"/>
    </row>
    <row r="102" spans="1:6" ht="15.6" x14ac:dyDescent="0.3">
      <c r="A102" s="14"/>
      <c r="B102" s="141" t="s">
        <v>18</v>
      </c>
      <c r="C102" s="141"/>
      <c r="D102" s="14"/>
    </row>
    <row r="103" spans="1:6" x14ac:dyDescent="0.3">
      <c r="A103" s="142"/>
      <c r="B103" s="142"/>
      <c r="C103" s="142"/>
      <c r="D103" s="142"/>
    </row>
    <row r="104" spans="1:6" x14ac:dyDescent="0.3">
      <c r="A104" s="137" t="s">
        <v>8</v>
      </c>
      <c r="B104" s="137"/>
      <c r="C104" s="143">
        <f>836687.77+50000</f>
        <v>886687.77</v>
      </c>
      <c r="D104" s="143"/>
      <c r="E104">
        <v>886687.77</v>
      </c>
    </row>
    <row r="105" spans="1:6" x14ac:dyDescent="0.3">
      <c r="A105" s="137" t="s">
        <v>9</v>
      </c>
      <c r="B105" s="137"/>
      <c r="C105" s="143">
        <f>SUM(B109:B132)</f>
        <v>857159.27999999956</v>
      </c>
      <c r="D105" s="143"/>
      <c r="E105" s="26">
        <v>857159.28</v>
      </c>
      <c r="F105" s="26">
        <v>50000</v>
      </c>
    </row>
    <row r="106" spans="1:6" x14ac:dyDescent="0.3">
      <c r="A106" s="137" t="s">
        <v>7</v>
      </c>
      <c r="B106" s="137"/>
      <c r="C106" s="138" t="s">
        <v>47</v>
      </c>
      <c r="D106" s="138"/>
    </row>
    <row r="107" spans="1:6" x14ac:dyDescent="0.3">
      <c r="A107" s="139" t="s">
        <v>69</v>
      </c>
      <c r="B107" s="139"/>
      <c r="C107" s="32" t="s">
        <v>81</v>
      </c>
      <c r="D107" s="74" t="s">
        <v>80</v>
      </c>
    </row>
    <row r="108" spans="1:6" x14ac:dyDescent="0.3">
      <c r="A108" s="11" t="s">
        <v>0</v>
      </c>
      <c r="B108" s="6" t="s">
        <v>1</v>
      </c>
      <c r="C108" s="6" t="s">
        <v>30</v>
      </c>
      <c r="D108" s="12" t="s">
        <v>6</v>
      </c>
    </row>
    <row r="109" spans="1:6" x14ac:dyDescent="0.3">
      <c r="A109" s="28">
        <v>1</v>
      </c>
      <c r="B109" s="20">
        <v>35714.97</v>
      </c>
      <c r="C109" s="15">
        <v>45684</v>
      </c>
      <c r="D109" s="32" t="s">
        <v>4</v>
      </c>
    </row>
    <row r="110" spans="1:6" x14ac:dyDescent="0.3">
      <c r="A110" s="28">
        <v>2</v>
      </c>
      <c r="B110" s="20">
        <v>35714.97</v>
      </c>
      <c r="C110" s="15">
        <v>45715</v>
      </c>
      <c r="D110" s="32" t="s">
        <v>4</v>
      </c>
    </row>
    <row r="111" spans="1:6" x14ac:dyDescent="0.3">
      <c r="A111" s="28">
        <v>3</v>
      </c>
      <c r="B111" s="20">
        <v>35714.97</v>
      </c>
      <c r="C111" s="15">
        <v>45743</v>
      </c>
      <c r="D111" s="32" t="s">
        <v>4</v>
      </c>
    </row>
    <row r="112" spans="1:6" x14ac:dyDescent="0.3">
      <c r="A112" s="28">
        <v>4</v>
      </c>
      <c r="B112" s="20">
        <v>35714.97</v>
      </c>
      <c r="C112" s="15">
        <v>45774</v>
      </c>
      <c r="D112" s="32" t="s">
        <v>4</v>
      </c>
    </row>
    <row r="113" spans="1:4" x14ac:dyDescent="0.3">
      <c r="A113" s="28">
        <v>5</v>
      </c>
      <c r="B113" s="20">
        <v>35714.97</v>
      </c>
      <c r="C113" s="15">
        <v>45804</v>
      </c>
      <c r="D113" s="32" t="s">
        <v>4</v>
      </c>
    </row>
    <row r="114" spans="1:4" x14ac:dyDescent="0.3">
      <c r="A114" s="28">
        <v>6</v>
      </c>
      <c r="B114" s="20">
        <v>35714.97</v>
      </c>
      <c r="C114" s="15">
        <v>45835</v>
      </c>
      <c r="D114" s="32" t="s">
        <v>4</v>
      </c>
    </row>
    <row r="115" spans="1:4" x14ac:dyDescent="0.3">
      <c r="A115" s="28">
        <v>7</v>
      </c>
      <c r="B115" s="20">
        <v>35714.97</v>
      </c>
      <c r="C115" s="15">
        <v>45865</v>
      </c>
      <c r="D115" s="32" t="s">
        <v>4</v>
      </c>
    </row>
    <row r="116" spans="1:4" x14ac:dyDescent="0.3">
      <c r="A116" s="28">
        <v>8</v>
      </c>
      <c r="B116" s="20">
        <v>35714.97</v>
      </c>
      <c r="C116" s="15">
        <v>45896</v>
      </c>
      <c r="D116" s="32" t="s">
        <v>4</v>
      </c>
    </row>
    <row r="117" spans="1:4" x14ac:dyDescent="0.3">
      <c r="A117" s="28">
        <v>9</v>
      </c>
      <c r="B117" s="20">
        <v>35714.97</v>
      </c>
      <c r="C117" s="15">
        <v>45927</v>
      </c>
      <c r="D117" s="32"/>
    </row>
    <row r="118" spans="1:4" x14ac:dyDescent="0.3">
      <c r="A118" s="28">
        <v>10</v>
      </c>
      <c r="B118" s="20">
        <v>35714.97</v>
      </c>
      <c r="C118" s="15">
        <v>45957</v>
      </c>
      <c r="D118" s="32"/>
    </row>
    <row r="119" spans="1:4" x14ac:dyDescent="0.3">
      <c r="A119" s="28">
        <v>11</v>
      </c>
      <c r="B119" s="20">
        <v>35714.97</v>
      </c>
      <c r="C119" s="15">
        <v>45988</v>
      </c>
      <c r="D119" s="32"/>
    </row>
    <row r="120" spans="1:4" x14ac:dyDescent="0.3">
      <c r="A120" s="28">
        <v>12</v>
      </c>
      <c r="B120" s="20">
        <v>35714.97</v>
      </c>
      <c r="C120" s="15">
        <v>46018</v>
      </c>
      <c r="D120" s="32"/>
    </row>
    <row r="121" spans="1:4" x14ac:dyDescent="0.3">
      <c r="A121" s="28">
        <v>13</v>
      </c>
      <c r="B121" s="20">
        <v>35714.97</v>
      </c>
      <c r="C121" s="15">
        <v>46049</v>
      </c>
      <c r="D121" s="32"/>
    </row>
    <row r="122" spans="1:4" x14ac:dyDescent="0.3">
      <c r="A122" s="28">
        <v>14</v>
      </c>
      <c r="B122" s="20">
        <v>35714.97</v>
      </c>
      <c r="C122" s="15">
        <v>46080</v>
      </c>
      <c r="D122" s="32"/>
    </row>
    <row r="123" spans="1:4" x14ac:dyDescent="0.3">
      <c r="A123" s="28">
        <v>15</v>
      </c>
      <c r="B123" s="20">
        <v>35714.97</v>
      </c>
      <c r="C123" s="15">
        <v>46108</v>
      </c>
      <c r="D123" s="32"/>
    </row>
    <row r="124" spans="1:4" x14ac:dyDescent="0.3">
      <c r="A124" s="28">
        <v>16</v>
      </c>
      <c r="B124" s="20">
        <v>35714.97</v>
      </c>
      <c r="C124" s="15">
        <v>46139</v>
      </c>
      <c r="D124" s="32"/>
    </row>
    <row r="125" spans="1:4" x14ac:dyDescent="0.3">
      <c r="A125" s="28">
        <v>17</v>
      </c>
      <c r="B125" s="20">
        <v>35714.97</v>
      </c>
      <c r="C125" s="15">
        <v>46169</v>
      </c>
      <c r="D125" s="32"/>
    </row>
    <row r="126" spans="1:4" x14ac:dyDescent="0.3">
      <c r="A126" s="28">
        <v>18</v>
      </c>
      <c r="B126" s="20">
        <v>35714.97</v>
      </c>
      <c r="C126" s="15">
        <v>46200</v>
      </c>
      <c r="D126" s="32"/>
    </row>
    <row r="127" spans="1:4" x14ac:dyDescent="0.3">
      <c r="A127" s="28">
        <v>19</v>
      </c>
      <c r="B127" s="20">
        <v>35714.97</v>
      </c>
      <c r="C127" s="15">
        <v>46230</v>
      </c>
      <c r="D127" s="32"/>
    </row>
    <row r="128" spans="1:4" x14ac:dyDescent="0.3">
      <c r="A128" s="28">
        <v>20</v>
      </c>
      <c r="B128" s="20">
        <v>35714.97</v>
      </c>
      <c r="C128" s="15">
        <v>46261</v>
      </c>
      <c r="D128" s="32"/>
    </row>
    <row r="129" spans="1:4" x14ac:dyDescent="0.3">
      <c r="A129" s="28">
        <v>21</v>
      </c>
      <c r="B129" s="20">
        <v>35714.97</v>
      </c>
      <c r="C129" s="15">
        <v>46292</v>
      </c>
      <c r="D129" s="32"/>
    </row>
    <row r="130" spans="1:4" x14ac:dyDescent="0.3">
      <c r="A130" s="28">
        <v>22</v>
      </c>
      <c r="B130" s="20">
        <v>35714.97</v>
      </c>
      <c r="C130" s="15">
        <v>46322</v>
      </c>
      <c r="D130" s="32"/>
    </row>
    <row r="131" spans="1:4" x14ac:dyDescent="0.3">
      <c r="A131" s="28">
        <v>23</v>
      </c>
      <c r="B131" s="20">
        <v>35714.97</v>
      </c>
      <c r="C131" s="15">
        <v>46353</v>
      </c>
      <c r="D131" s="32"/>
    </row>
    <row r="132" spans="1:4" x14ac:dyDescent="0.3">
      <c r="A132" s="28">
        <v>24</v>
      </c>
      <c r="B132" s="20">
        <v>35714.97</v>
      </c>
      <c r="C132" s="15">
        <v>46383</v>
      </c>
      <c r="D132" s="32"/>
    </row>
    <row r="133" spans="1:4" x14ac:dyDescent="0.3">
      <c r="B133" s="26">
        <f>SUM(B117:B132)</f>
        <v>571439.51999999979</v>
      </c>
    </row>
    <row r="134" spans="1:4" x14ac:dyDescent="0.3">
      <c r="B134" s="221">
        <v>571439.52</v>
      </c>
    </row>
  </sheetData>
  <mergeCells count="95">
    <mergeCell ref="A53:B53"/>
    <mergeCell ref="F52:G52"/>
    <mergeCell ref="A10:B10"/>
    <mergeCell ref="A11:B11"/>
    <mergeCell ref="K44:N44"/>
    <mergeCell ref="C10:D10"/>
    <mergeCell ref="C11:D11"/>
    <mergeCell ref="F49:G49"/>
    <mergeCell ref="H49:I49"/>
    <mergeCell ref="F50:G50"/>
    <mergeCell ref="H50:I50"/>
    <mergeCell ref="F51:G51"/>
    <mergeCell ref="H51:I51"/>
    <mergeCell ref="F48:I48"/>
    <mergeCell ref="F10:G10"/>
    <mergeCell ref="F11:G11"/>
    <mergeCell ref="G5:H5"/>
    <mergeCell ref="P3:X3"/>
    <mergeCell ref="A1:X2"/>
    <mergeCell ref="P10:Q10"/>
    <mergeCell ref="R10:S10"/>
    <mergeCell ref="B5:C5"/>
    <mergeCell ref="A6:D6"/>
    <mergeCell ref="A7:B7"/>
    <mergeCell ref="C7:D7"/>
    <mergeCell ref="A8:B8"/>
    <mergeCell ref="C8:D8"/>
    <mergeCell ref="V5:W5"/>
    <mergeCell ref="U6:X6"/>
    <mergeCell ref="U7:V7"/>
    <mergeCell ref="W7:X7"/>
    <mergeCell ref="U8:V8"/>
    <mergeCell ref="A46:D46"/>
    <mergeCell ref="G47:H47"/>
    <mergeCell ref="K10:L10"/>
    <mergeCell ref="M10:N10"/>
    <mergeCell ref="K11:L11"/>
    <mergeCell ref="M11:N11"/>
    <mergeCell ref="F44:I44"/>
    <mergeCell ref="A44:D44"/>
    <mergeCell ref="H10:I10"/>
    <mergeCell ref="H11:I11"/>
    <mergeCell ref="W8:X8"/>
    <mergeCell ref="W9:X9"/>
    <mergeCell ref="U9:V9"/>
    <mergeCell ref="F6:I6"/>
    <mergeCell ref="F7:G7"/>
    <mergeCell ref="H7:I7"/>
    <mergeCell ref="F8:G8"/>
    <mergeCell ref="H8:I8"/>
    <mergeCell ref="K8:L8"/>
    <mergeCell ref="K9:L9"/>
    <mergeCell ref="M8:N8"/>
    <mergeCell ref="P8:Q8"/>
    <mergeCell ref="R8:S8"/>
    <mergeCell ref="P9:Q9"/>
    <mergeCell ref="R9:S9"/>
    <mergeCell ref="U10:V10"/>
    <mergeCell ref="W10:X10"/>
    <mergeCell ref="U11:V11"/>
    <mergeCell ref="W11:X11"/>
    <mergeCell ref="P26:S26"/>
    <mergeCell ref="R11:S11"/>
    <mergeCell ref="P11:Q11"/>
    <mergeCell ref="A9:B9"/>
    <mergeCell ref="C9:D9"/>
    <mergeCell ref="F9:G9"/>
    <mergeCell ref="H9:I9"/>
    <mergeCell ref="M9:N9"/>
    <mergeCell ref="Q5:R5"/>
    <mergeCell ref="P6:S6"/>
    <mergeCell ref="P7:Q7"/>
    <mergeCell ref="L5:M5"/>
    <mergeCell ref="K6:N6"/>
    <mergeCell ref="K7:L7"/>
    <mergeCell ref="M7:N7"/>
    <mergeCell ref="R7:S7"/>
    <mergeCell ref="A52:B52"/>
    <mergeCell ref="C52:D52"/>
    <mergeCell ref="B48:C48"/>
    <mergeCell ref="A49:D49"/>
    <mergeCell ref="A50:B50"/>
    <mergeCell ref="C50:D50"/>
    <mergeCell ref="A51:B51"/>
    <mergeCell ref="C51:D51"/>
    <mergeCell ref="A106:B106"/>
    <mergeCell ref="C106:D106"/>
    <mergeCell ref="A107:B107"/>
    <mergeCell ref="A101:D101"/>
    <mergeCell ref="B102:C102"/>
    <mergeCell ref="A103:D103"/>
    <mergeCell ref="A104:B104"/>
    <mergeCell ref="C104:D104"/>
    <mergeCell ref="A105:B105"/>
    <mergeCell ref="C105:D10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O53"/>
  <sheetViews>
    <sheetView showGridLines="0" topLeftCell="A20" workbookViewId="0">
      <selection activeCell="Q36" sqref="Q36"/>
    </sheetView>
  </sheetViews>
  <sheetFormatPr defaultRowHeight="14.4" x14ac:dyDescent="0.3"/>
  <cols>
    <col min="1" max="1" width="9.109375" style="14"/>
    <col min="2" max="2" width="15.5546875" customWidth="1"/>
    <col min="3" max="3" width="9.33203125" style="1" customWidth="1"/>
    <col min="4" max="4" width="10.88671875" style="14" bestFit="1" customWidth="1"/>
    <col min="5" max="5" width="11.6640625" bestFit="1" customWidth="1"/>
    <col min="7" max="7" width="13.88671875" customWidth="1"/>
    <col min="8" max="8" width="9.109375" style="14"/>
    <col min="9" max="9" width="10" style="14" bestFit="1" customWidth="1"/>
    <col min="12" max="12" width="13.5546875" customWidth="1"/>
    <col min="13" max="13" width="9.109375" style="14"/>
    <col min="14" max="14" width="15.6640625" style="1" customWidth="1"/>
  </cols>
  <sheetData>
    <row r="1" spans="1:14" ht="15" customHeight="1" x14ac:dyDescent="0.3">
      <c r="A1" s="168" t="s">
        <v>12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14" ht="15" customHeight="1" x14ac:dyDescent="0.3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</row>
    <row r="3" spans="1:14" s="8" customFormat="1" ht="15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3">
      <c r="B4" s="169" t="s">
        <v>13</v>
      </c>
      <c r="C4" s="169"/>
      <c r="G4" s="169" t="s">
        <v>13</v>
      </c>
      <c r="H4" s="169"/>
      <c r="L4" s="169" t="s">
        <v>13</v>
      </c>
      <c r="M4" s="169"/>
    </row>
    <row r="5" spans="1:14" x14ac:dyDescent="0.3">
      <c r="A5" s="142" t="s">
        <v>11</v>
      </c>
      <c r="B5" s="142"/>
      <c r="C5" s="142"/>
      <c r="D5" s="142"/>
      <c r="F5" s="142" t="s">
        <v>10</v>
      </c>
      <c r="G5" s="142"/>
      <c r="H5" s="142"/>
      <c r="I5" s="142"/>
      <c r="K5" s="142" t="s">
        <v>28</v>
      </c>
      <c r="L5" s="142"/>
      <c r="M5" s="142"/>
      <c r="N5" s="142"/>
    </row>
    <row r="6" spans="1:14" x14ac:dyDescent="0.3">
      <c r="A6" s="137" t="s">
        <v>8</v>
      </c>
      <c r="B6" s="137"/>
      <c r="C6" s="143">
        <v>43682.41</v>
      </c>
      <c r="D6" s="143"/>
      <c r="F6" s="137" t="s">
        <v>8</v>
      </c>
      <c r="G6" s="137"/>
      <c r="H6" s="143">
        <v>48928.3</v>
      </c>
      <c r="I6" s="143"/>
      <c r="K6" s="137" t="s">
        <v>8</v>
      </c>
      <c r="L6" s="137"/>
      <c r="M6" s="171">
        <v>363814.18</v>
      </c>
      <c r="N6" s="171"/>
    </row>
    <row r="7" spans="1:14" x14ac:dyDescent="0.3">
      <c r="A7" s="137" t="s">
        <v>9</v>
      </c>
      <c r="B7" s="137"/>
      <c r="C7" s="143">
        <v>46644.299999999996</v>
      </c>
      <c r="D7" s="143"/>
      <c r="F7" s="137" t="s">
        <v>9</v>
      </c>
      <c r="G7" s="137"/>
      <c r="H7" s="143">
        <v>52245.89999999998</v>
      </c>
      <c r="I7" s="143"/>
      <c r="K7" s="137" t="s">
        <v>9</v>
      </c>
      <c r="L7" s="137"/>
      <c r="M7" s="171">
        <v>549910.80000000016</v>
      </c>
      <c r="N7" s="171"/>
    </row>
    <row r="8" spans="1:14" x14ac:dyDescent="0.3">
      <c r="A8" s="137" t="s">
        <v>7</v>
      </c>
      <c r="B8" s="137"/>
      <c r="C8" s="138">
        <v>30</v>
      </c>
      <c r="D8" s="138"/>
      <c r="F8" s="137" t="s">
        <v>7</v>
      </c>
      <c r="G8" s="137"/>
      <c r="H8" s="138">
        <v>30</v>
      </c>
      <c r="I8" s="138"/>
      <c r="K8" s="137" t="s">
        <v>7</v>
      </c>
      <c r="L8" s="137"/>
      <c r="M8" s="138">
        <v>24</v>
      </c>
      <c r="N8" s="138"/>
    </row>
    <row r="9" spans="1:14" x14ac:dyDescent="0.3">
      <c r="A9" s="137" t="s">
        <v>63</v>
      </c>
      <c r="B9" s="137"/>
      <c r="C9" s="170"/>
      <c r="D9" s="167"/>
      <c r="F9" s="14"/>
      <c r="G9" s="14"/>
      <c r="H9" s="1"/>
      <c r="I9" s="1"/>
      <c r="K9" s="14"/>
      <c r="L9" s="14"/>
      <c r="M9" s="1"/>
    </row>
    <row r="10" spans="1:14" x14ac:dyDescent="0.3">
      <c r="A10" s="137" t="s">
        <v>65</v>
      </c>
      <c r="B10" s="137"/>
      <c r="C10" s="170"/>
      <c r="D10" s="167"/>
      <c r="F10" s="14"/>
      <c r="G10" s="14"/>
      <c r="H10" s="1"/>
      <c r="I10" s="1"/>
      <c r="K10" s="14"/>
      <c r="L10" s="14"/>
      <c r="M10" s="1"/>
    </row>
    <row r="12" spans="1:14" x14ac:dyDescent="0.3">
      <c r="A12" s="11" t="s">
        <v>0</v>
      </c>
      <c r="B12" s="6" t="s">
        <v>1</v>
      </c>
      <c r="C12" s="6" t="s">
        <v>2</v>
      </c>
      <c r="D12" s="12" t="s">
        <v>6</v>
      </c>
      <c r="F12" s="11" t="s">
        <v>0</v>
      </c>
      <c r="G12" s="6" t="s">
        <v>1</v>
      </c>
      <c r="H12" s="11" t="s">
        <v>2</v>
      </c>
      <c r="I12" s="12" t="s">
        <v>6</v>
      </c>
      <c r="K12" s="11" t="s">
        <v>0</v>
      </c>
      <c r="L12" s="6" t="s">
        <v>1</v>
      </c>
      <c r="M12" s="11" t="s">
        <v>2</v>
      </c>
      <c r="N12" s="9" t="s">
        <v>6</v>
      </c>
    </row>
    <row r="13" spans="1:14" x14ac:dyDescent="0.3">
      <c r="A13" s="12">
        <v>1</v>
      </c>
      <c r="B13" s="7">
        <v>1554.81</v>
      </c>
      <c r="C13" s="15">
        <v>44166</v>
      </c>
      <c r="D13" s="12" t="s">
        <v>4</v>
      </c>
      <c r="F13" s="12">
        <v>1</v>
      </c>
      <c r="G13" s="7">
        <v>1741.53</v>
      </c>
      <c r="H13" s="16">
        <v>44197</v>
      </c>
      <c r="I13" s="12" t="s">
        <v>4</v>
      </c>
      <c r="K13" s="12">
        <v>1</v>
      </c>
      <c r="L13" s="7">
        <v>22912.95</v>
      </c>
      <c r="M13" s="16">
        <v>44774</v>
      </c>
      <c r="N13" s="9" t="s">
        <v>4</v>
      </c>
    </row>
    <row r="14" spans="1:14" x14ac:dyDescent="0.3">
      <c r="A14" s="12">
        <v>2</v>
      </c>
      <c r="B14" s="7">
        <v>1554.81</v>
      </c>
      <c r="C14" s="15">
        <v>44197</v>
      </c>
      <c r="D14" s="12" t="s">
        <v>4</v>
      </c>
      <c r="F14" s="12">
        <v>2</v>
      </c>
      <c r="G14" s="7">
        <v>1741.53</v>
      </c>
      <c r="H14" s="16">
        <v>44228</v>
      </c>
      <c r="I14" s="12" t="s">
        <v>4</v>
      </c>
      <c r="K14" s="12">
        <v>2</v>
      </c>
      <c r="L14" s="7">
        <v>22912.95</v>
      </c>
      <c r="M14" s="16">
        <v>44805</v>
      </c>
      <c r="N14" s="9" t="s">
        <v>4</v>
      </c>
    </row>
    <row r="15" spans="1:14" x14ac:dyDescent="0.3">
      <c r="A15" s="12">
        <v>3</v>
      </c>
      <c r="B15" s="7">
        <v>1554.81</v>
      </c>
      <c r="C15" s="15">
        <v>44228</v>
      </c>
      <c r="D15" s="12" t="s">
        <v>4</v>
      </c>
      <c r="F15" s="12">
        <v>3</v>
      </c>
      <c r="G15" s="7">
        <v>1741.53</v>
      </c>
      <c r="H15" s="16">
        <v>44256</v>
      </c>
      <c r="I15" s="12" t="s">
        <v>4</v>
      </c>
      <c r="K15" s="12">
        <v>3</v>
      </c>
      <c r="L15" s="7">
        <v>22912.95</v>
      </c>
      <c r="M15" s="16">
        <v>44835</v>
      </c>
      <c r="N15" s="9" t="s">
        <v>4</v>
      </c>
    </row>
    <row r="16" spans="1:14" x14ac:dyDescent="0.3">
      <c r="A16" s="12">
        <v>4</v>
      </c>
      <c r="B16" s="7">
        <v>1554.81</v>
      </c>
      <c r="C16" s="15">
        <v>44256</v>
      </c>
      <c r="D16" s="12" t="s">
        <v>4</v>
      </c>
      <c r="F16" s="12">
        <v>4</v>
      </c>
      <c r="G16" s="7">
        <v>1741.53</v>
      </c>
      <c r="H16" s="16">
        <v>44287</v>
      </c>
      <c r="I16" s="12" t="s">
        <v>4</v>
      </c>
      <c r="K16" s="12">
        <v>4</v>
      </c>
      <c r="L16" s="7">
        <v>22912.95</v>
      </c>
      <c r="M16" s="16">
        <v>44866</v>
      </c>
      <c r="N16" s="9" t="s">
        <v>4</v>
      </c>
    </row>
    <row r="17" spans="1:14" x14ac:dyDescent="0.3">
      <c r="A17" s="12">
        <v>5</v>
      </c>
      <c r="B17" s="7">
        <v>1554.81</v>
      </c>
      <c r="C17" s="15">
        <v>44287</v>
      </c>
      <c r="D17" s="12" t="s">
        <v>4</v>
      </c>
      <c r="F17" s="12">
        <v>5</v>
      </c>
      <c r="G17" s="7">
        <v>1741.53</v>
      </c>
      <c r="H17" s="16">
        <v>44317</v>
      </c>
      <c r="I17" s="12" t="s">
        <v>4</v>
      </c>
      <c r="K17" s="12">
        <v>5</v>
      </c>
      <c r="L17" s="7">
        <v>22912.95</v>
      </c>
      <c r="M17" s="16">
        <v>44896</v>
      </c>
      <c r="N17" s="9" t="s">
        <v>4</v>
      </c>
    </row>
    <row r="18" spans="1:14" x14ac:dyDescent="0.3">
      <c r="A18" s="12">
        <v>6</v>
      </c>
      <c r="B18" s="7">
        <v>1554.81</v>
      </c>
      <c r="C18" s="15">
        <v>44317</v>
      </c>
      <c r="D18" s="12" t="s">
        <v>4</v>
      </c>
      <c r="F18" s="12">
        <v>6</v>
      </c>
      <c r="G18" s="7">
        <v>1741.53</v>
      </c>
      <c r="H18" s="16">
        <v>44348</v>
      </c>
      <c r="I18" s="12" t="s">
        <v>4</v>
      </c>
      <c r="K18" s="12">
        <v>6</v>
      </c>
      <c r="L18" s="7">
        <v>22912.95</v>
      </c>
      <c r="M18" s="16">
        <v>44927</v>
      </c>
      <c r="N18" s="9" t="s">
        <v>4</v>
      </c>
    </row>
    <row r="19" spans="1:14" x14ac:dyDescent="0.3">
      <c r="A19" s="12">
        <v>7</v>
      </c>
      <c r="B19" s="7">
        <v>1554.81</v>
      </c>
      <c r="C19" s="15">
        <v>44348</v>
      </c>
      <c r="D19" s="12" t="s">
        <v>4</v>
      </c>
      <c r="F19" s="12">
        <v>7</v>
      </c>
      <c r="G19" s="7">
        <v>1741.53</v>
      </c>
      <c r="H19" s="16">
        <v>44378</v>
      </c>
      <c r="I19" s="12" t="s">
        <v>4</v>
      </c>
      <c r="K19" s="12">
        <v>7</v>
      </c>
      <c r="L19" s="7">
        <v>22912.95</v>
      </c>
      <c r="M19" s="16">
        <v>44958</v>
      </c>
      <c r="N19" s="9" t="s">
        <v>4</v>
      </c>
    </row>
    <row r="20" spans="1:14" x14ac:dyDescent="0.3">
      <c r="A20" s="12">
        <v>8</v>
      </c>
      <c r="B20" s="7">
        <v>1554.81</v>
      </c>
      <c r="C20" s="15">
        <v>44378</v>
      </c>
      <c r="D20" s="12" t="s">
        <v>4</v>
      </c>
      <c r="F20" s="12">
        <v>8</v>
      </c>
      <c r="G20" s="7">
        <v>1741.53</v>
      </c>
      <c r="H20" s="16">
        <v>44409</v>
      </c>
      <c r="I20" s="12" t="s">
        <v>4</v>
      </c>
      <c r="K20" s="12">
        <v>8</v>
      </c>
      <c r="L20" s="7">
        <v>22912.95</v>
      </c>
      <c r="M20" s="16">
        <v>44986</v>
      </c>
      <c r="N20" s="9" t="s">
        <v>4</v>
      </c>
    </row>
    <row r="21" spans="1:14" x14ac:dyDescent="0.3">
      <c r="A21" s="12">
        <v>9</v>
      </c>
      <c r="B21" s="7">
        <v>1554.81</v>
      </c>
      <c r="C21" s="15">
        <v>44409</v>
      </c>
      <c r="D21" s="12" t="s">
        <v>4</v>
      </c>
      <c r="F21" s="12">
        <v>9</v>
      </c>
      <c r="G21" s="7">
        <v>1741.53</v>
      </c>
      <c r="H21" s="16">
        <v>44440</v>
      </c>
      <c r="I21" s="12" t="s">
        <v>4</v>
      </c>
      <c r="K21" s="12">
        <v>9</v>
      </c>
      <c r="L21" s="7">
        <v>22912.95</v>
      </c>
      <c r="M21" s="16">
        <v>45017</v>
      </c>
      <c r="N21" s="9" t="s">
        <v>4</v>
      </c>
    </row>
    <row r="22" spans="1:14" x14ac:dyDescent="0.3">
      <c r="A22" s="12">
        <v>10</v>
      </c>
      <c r="B22" s="7">
        <v>1554.81</v>
      </c>
      <c r="C22" s="15">
        <v>44440</v>
      </c>
      <c r="D22" s="12" t="s">
        <v>4</v>
      </c>
      <c r="F22" s="12">
        <v>10</v>
      </c>
      <c r="G22" s="7">
        <v>1741.53</v>
      </c>
      <c r="H22" s="16">
        <v>44470</v>
      </c>
      <c r="I22" s="12" t="s">
        <v>4</v>
      </c>
      <c r="K22" s="12">
        <v>10</v>
      </c>
      <c r="L22" s="7">
        <v>22912.95</v>
      </c>
      <c r="M22" s="16">
        <v>45047</v>
      </c>
      <c r="N22" s="9" t="s">
        <v>4</v>
      </c>
    </row>
    <row r="23" spans="1:14" x14ac:dyDescent="0.3">
      <c r="A23" s="12">
        <v>11</v>
      </c>
      <c r="B23" s="7">
        <v>1554.81</v>
      </c>
      <c r="C23" s="15">
        <v>44470</v>
      </c>
      <c r="D23" s="12" t="s">
        <v>4</v>
      </c>
      <c r="F23" s="12">
        <v>11</v>
      </c>
      <c r="G23" s="7">
        <v>1741.53</v>
      </c>
      <c r="H23" s="16">
        <v>44501</v>
      </c>
      <c r="I23" s="12" t="s">
        <v>4</v>
      </c>
      <c r="K23" s="12">
        <v>11</v>
      </c>
      <c r="L23" s="7">
        <v>22912.95</v>
      </c>
      <c r="M23" s="16">
        <v>45078</v>
      </c>
      <c r="N23" s="9" t="s">
        <v>4</v>
      </c>
    </row>
    <row r="24" spans="1:14" x14ac:dyDescent="0.3">
      <c r="A24" s="12">
        <v>12</v>
      </c>
      <c r="B24" s="7">
        <v>1554.81</v>
      </c>
      <c r="C24" s="15">
        <v>44501</v>
      </c>
      <c r="D24" s="12" t="s">
        <v>4</v>
      </c>
      <c r="F24" s="12">
        <v>12</v>
      </c>
      <c r="G24" s="7">
        <v>1741.53</v>
      </c>
      <c r="H24" s="16">
        <v>44531</v>
      </c>
      <c r="I24" s="12" t="s">
        <v>4</v>
      </c>
      <c r="K24" s="12">
        <v>12</v>
      </c>
      <c r="L24" s="7">
        <v>22912.95</v>
      </c>
      <c r="M24" s="16">
        <v>45108</v>
      </c>
      <c r="N24" s="9" t="s">
        <v>4</v>
      </c>
    </row>
    <row r="25" spans="1:14" x14ac:dyDescent="0.3">
      <c r="A25" s="12">
        <v>13</v>
      </c>
      <c r="B25" s="7">
        <v>1554.81</v>
      </c>
      <c r="C25" s="15">
        <v>44531</v>
      </c>
      <c r="D25" s="12" t="s">
        <v>4</v>
      </c>
      <c r="F25" s="12">
        <v>13</v>
      </c>
      <c r="G25" s="7">
        <v>1741.53</v>
      </c>
      <c r="H25" s="16">
        <v>44562</v>
      </c>
      <c r="I25" s="12" t="s">
        <v>4</v>
      </c>
      <c r="K25" s="12">
        <v>13</v>
      </c>
      <c r="L25" s="7">
        <v>22912.95</v>
      </c>
      <c r="M25" s="16">
        <v>45139</v>
      </c>
      <c r="N25" s="9" t="s">
        <v>4</v>
      </c>
    </row>
    <row r="26" spans="1:14" x14ac:dyDescent="0.3">
      <c r="A26" s="12">
        <v>14</v>
      </c>
      <c r="B26" s="7">
        <v>1554.81</v>
      </c>
      <c r="C26" s="15">
        <v>44562</v>
      </c>
      <c r="D26" s="12" t="s">
        <v>4</v>
      </c>
      <c r="F26" s="12">
        <v>14</v>
      </c>
      <c r="G26" s="7">
        <v>1741.53</v>
      </c>
      <c r="H26" s="16">
        <v>44593</v>
      </c>
      <c r="I26" s="12" t="s">
        <v>4</v>
      </c>
      <c r="K26" s="12">
        <v>14</v>
      </c>
      <c r="L26" s="7">
        <v>22912.95</v>
      </c>
      <c r="M26" s="16">
        <v>45170</v>
      </c>
      <c r="N26" s="9" t="s">
        <v>4</v>
      </c>
    </row>
    <row r="27" spans="1:14" x14ac:dyDescent="0.3">
      <c r="A27" s="12">
        <v>15</v>
      </c>
      <c r="B27" s="7">
        <v>1554.81</v>
      </c>
      <c r="C27" s="15">
        <v>44593</v>
      </c>
      <c r="D27" s="12" t="s">
        <v>4</v>
      </c>
      <c r="F27" s="12">
        <v>15</v>
      </c>
      <c r="G27" s="7">
        <v>1741.53</v>
      </c>
      <c r="H27" s="16">
        <v>44621</v>
      </c>
      <c r="I27" s="12" t="s">
        <v>4</v>
      </c>
      <c r="K27" s="12">
        <v>15</v>
      </c>
      <c r="L27" s="7">
        <v>22912.95</v>
      </c>
      <c r="M27" s="16">
        <v>45200</v>
      </c>
      <c r="N27" s="9" t="s">
        <v>4</v>
      </c>
    </row>
    <row r="28" spans="1:14" x14ac:dyDescent="0.3">
      <c r="A28" s="12">
        <v>16</v>
      </c>
      <c r="B28" s="7">
        <v>1554.81</v>
      </c>
      <c r="C28" s="15">
        <v>44621</v>
      </c>
      <c r="D28" s="12" t="s">
        <v>4</v>
      </c>
      <c r="F28" s="12">
        <v>16</v>
      </c>
      <c r="G28" s="7">
        <v>1741.53</v>
      </c>
      <c r="H28" s="16">
        <v>44652</v>
      </c>
      <c r="I28" s="12" t="s">
        <v>4</v>
      </c>
      <c r="K28" s="12">
        <v>16</v>
      </c>
      <c r="L28" s="7">
        <v>22912.95</v>
      </c>
      <c r="M28" s="16">
        <v>45231</v>
      </c>
      <c r="N28" s="9" t="s">
        <v>4</v>
      </c>
    </row>
    <row r="29" spans="1:14" x14ac:dyDescent="0.3">
      <c r="A29" s="12">
        <v>17</v>
      </c>
      <c r="B29" s="7">
        <v>1554.81</v>
      </c>
      <c r="C29" s="15">
        <v>44652</v>
      </c>
      <c r="D29" s="12" t="s">
        <v>4</v>
      </c>
      <c r="F29" s="12">
        <v>17</v>
      </c>
      <c r="G29" s="7">
        <v>1741.53</v>
      </c>
      <c r="H29" s="16">
        <v>44682</v>
      </c>
      <c r="I29" s="12" t="s">
        <v>4</v>
      </c>
      <c r="K29" s="12">
        <v>17</v>
      </c>
      <c r="L29" s="7">
        <v>22912.95</v>
      </c>
      <c r="M29" s="16">
        <v>45261</v>
      </c>
      <c r="N29" s="9" t="s">
        <v>4</v>
      </c>
    </row>
    <row r="30" spans="1:14" x14ac:dyDescent="0.3">
      <c r="A30" s="12">
        <v>18</v>
      </c>
      <c r="B30" s="7">
        <v>1554.81</v>
      </c>
      <c r="C30" s="15">
        <v>44682</v>
      </c>
      <c r="D30" s="12" t="s">
        <v>4</v>
      </c>
      <c r="F30" s="12">
        <v>18</v>
      </c>
      <c r="G30" s="7">
        <v>1741.53</v>
      </c>
      <c r="H30" s="16">
        <v>44713</v>
      </c>
      <c r="I30" s="12" t="s">
        <v>4</v>
      </c>
      <c r="K30" s="12">
        <v>18</v>
      </c>
      <c r="L30" s="7">
        <v>22912.95</v>
      </c>
      <c r="M30" s="16">
        <v>45292</v>
      </c>
      <c r="N30" s="9" t="s">
        <v>4</v>
      </c>
    </row>
    <row r="31" spans="1:14" x14ac:dyDescent="0.3">
      <c r="A31" s="12">
        <v>19</v>
      </c>
      <c r="B31" s="7">
        <v>1554.81</v>
      </c>
      <c r="C31" s="15">
        <v>44713</v>
      </c>
      <c r="D31" s="12" t="s">
        <v>4</v>
      </c>
      <c r="F31" s="12">
        <v>19</v>
      </c>
      <c r="G31" s="7">
        <v>1741.53</v>
      </c>
      <c r="H31" s="16">
        <v>44743</v>
      </c>
      <c r="I31" s="12" t="s">
        <v>4</v>
      </c>
      <c r="K31" s="12">
        <v>19</v>
      </c>
      <c r="L31" s="7">
        <v>22912.95</v>
      </c>
      <c r="M31" s="16">
        <v>45323</v>
      </c>
      <c r="N31" s="9" t="s">
        <v>4</v>
      </c>
    </row>
    <row r="32" spans="1:14" x14ac:dyDescent="0.3">
      <c r="A32" s="12">
        <v>20</v>
      </c>
      <c r="B32" s="7">
        <v>1554.81</v>
      </c>
      <c r="C32" s="15">
        <v>44743</v>
      </c>
      <c r="D32" s="12" t="s">
        <v>4</v>
      </c>
      <c r="F32" s="12">
        <v>20</v>
      </c>
      <c r="G32" s="7">
        <v>1741.53</v>
      </c>
      <c r="H32" s="16">
        <v>44774</v>
      </c>
      <c r="I32" s="12" t="s">
        <v>4</v>
      </c>
      <c r="K32" s="12">
        <v>20</v>
      </c>
      <c r="L32" s="7">
        <v>22912.95</v>
      </c>
      <c r="M32" s="16">
        <v>45352</v>
      </c>
      <c r="N32" s="9" t="s">
        <v>4</v>
      </c>
    </row>
    <row r="33" spans="1:15" x14ac:dyDescent="0.3">
      <c r="A33" s="12">
        <v>21</v>
      </c>
      <c r="B33" s="7">
        <v>1554.81</v>
      </c>
      <c r="C33" s="15">
        <v>44774</v>
      </c>
      <c r="D33" s="12" t="s">
        <v>4</v>
      </c>
      <c r="F33" s="12">
        <v>21</v>
      </c>
      <c r="G33" s="7">
        <v>1741.53</v>
      </c>
      <c r="H33" s="16">
        <v>44805</v>
      </c>
      <c r="I33" s="12" t="s">
        <v>4</v>
      </c>
      <c r="K33" s="12">
        <v>21</v>
      </c>
      <c r="L33" s="7">
        <v>22912.95</v>
      </c>
      <c r="M33" s="16">
        <v>45383</v>
      </c>
      <c r="N33" s="9" t="s">
        <v>4</v>
      </c>
      <c r="O33" t="s">
        <v>105</v>
      </c>
    </row>
    <row r="34" spans="1:15" x14ac:dyDescent="0.3">
      <c r="A34" s="12">
        <v>22</v>
      </c>
      <c r="B34" s="7">
        <v>1554.81</v>
      </c>
      <c r="C34" s="15">
        <v>44805</v>
      </c>
      <c r="D34" s="12" t="s">
        <v>4</v>
      </c>
      <c r="F34" s="12">
        <v>22</v>
      </c>
      <c r="G34" s="7">
        <v>1741.53</v>
      </c>
      <c r="H34" s="16">
        <v>44835</v>
      </c>
      <c r="I34" s="12" t="s">
        <v>4</v>
      </c>
      <c r="K34" s="12">
        <v>22</v>
      </c>
      <c r="L34" s="7">
        <v>22912.95</v>
      </c>
      <c r="M34" s="16">
        <v>45413</v>
      </c>
      <c r="N34" s="9"/>
    </row>
    <row r="35" spans="1:15" x14ac:dyDescent="0.3">
      <c r="A35" s="12">
        <v>23</v>
      </c>
      <c r="B35" s="7">
        <v>1554.81</v>
      </c>
      <c r="C35" s="15">
        <v>44835</v>
      </c>
      <c r="D35" s="12" t="s">
        <v>4</v>
      </c>
      <c r="F35" s="12">
        <v>23</v>
      </c>
      <c r="G35" s="7">
        <v>1741.53</v>
      </c>
      <c r="H35" s="16">
        <v>44866</v>
      </c>
      <c r="I35" s="12" t="s">
        <v>4</v>
      </c>
      <c r="K35" s="12">
        <v>23</v>
      </c>
      <c r="L35" s="7">
        <v>22912.95</v>
      </c>
      <c r="M35" s="16">
        <v>45444</v>
      </c>
      <c r="N35" s="9"/>
    </row>
    <row r="36" spans="1:15" x14ac:dyDescent="0.3">
      <c r="A36" s="12">
        <v>24</v>
      </c>
      <c r="B36" s="7">
        <v>1554.81</v>
      </c>
      <c r="C36" s="15">
        <v>44866</v>
      </c>
      <c r="D36" s="12" t="s">
        <v>4</v>
      </c>
      <c r="F36" s="12">
        <v>24</v>
      </c>
      <c r="G36" s="7">
        <v>1741.53</v>
      </c>
      <c r="H36" s="16">
        <v>44896</v>
      </c>
      <c r="I36" s="12" t="s">
        <v>4</v>
      </c>
      <c r="K36" s="12">
        <v>24</v>
      </c>
      <c r="L36" s="7">
        <v>22912.95</v>
      </c>
      <c r="M36" s="16">
        <v>45474</v>
      </c>
      <c r="N36" s="9"/>
    </row>
    <row r="37" spans="1:15" x14ac:dyDescent="0.3">
      <c r="A37" s="12">
        <v>25</v>
      </c>
      <c r="B37" s="7">
        <v>1554.81</v>
      </c>
      <c r="C37" s="15">
        <v>44896</v>
      </c>
      <c r="D37" s="12" t="s">
        <v>4</v>
      </c>
      <c r="F37" s="12">
        <v>25</v>
      </c>
      <c r="G37" s="7">
        <v>1741.53</v>
      </c>
      <c r="H37" s="16">
        <v>44927</v>
      </c>
      <c r="I37" s="12" t="s">
        <v>4</v>
      </c>
      <c r="K37" s="148">
        <f>SUM(L13:L36)</f>
        <v>549910.80000000016</v>
      </c>
      <c r="L37" s="148"/>
      <c r="M37" s="148"/>
      <c r="N37" s="148"/>
    </row>
    <row r="38" spans="1:15" x14ac:dyDescent="0.3">
      <c r="A38" s="12">
        <v>26</v>
      </c>
      <c r="B38" s="7">
        <v>1554.81</v>
      </c>
      <c r="C38" s="15">
        <v>44927</v>
      </c>
      <c r="D38" s="12" t="s">
        <v>4</v>
      </c>
      <c r="F38" s="12">
        <v>26</v>
      </c>
      <c r="G38" s="7">
        <v>1741.53</v>
      </c>
      <c r="H38" s="16">
        <v>44958</v>
      </c>
      <c r="I38" s="12" t="s">
        <v>4</v>
      </c>
      <c r="K38" s="13"/>
      <c r="L38" s="17"/>
      <c r="M38" s="18"/>
      <c r="N38" s="10"/>
    </row>
    <row r="39" spans="1:15" x14ac:dyDescent="0.3">
      <c r="A39" s="12">
        <v>27</v>
      </c>
      <c r="B39" s="7">
        <v>1554.81</v>
      </c>
      <c r="C39" s="15">
        <v>44958</v>
      </c>
      <c r="D39" s="12" t="s">
        <v>4</v>
      </c>
      <c r="F39" s="12">
        <v>27</v>
      </c>
      <c r="G39" s="7">
        <v>1741.53</v>
      </c>
      <c r="H39" s="16">
        <v>44986</v>
      </c>
      <c r="I39" s="12" t="s">
        <v>4</v>
      </c>
      <c r="K39" s="13"/>
      <c r="L39" s="17"/>
      <c r="M39" s="18"/>
      <c r="N39" s="10"/>
    </row>
    <row r="40" spans="1:15" x14ac:dyDescent="0.3">
      <c r="A40" s="12">
        <v>28</v>
      </c>
      <c r="B40" s="7">
        <v>1554.81</v>
      </c>
      <c r="C40" s="15">
        <v>44986</v>
      </c>
      <c r="D40" s="12" t="s">
        <v>4</v>
      </c>
      <c r="F40" s="12">
        <v>28</v>
      </c>
      <c r="G40" s="7">
        <v>1741.53</v>
      </c>
      <c r="H40" s="16">
        <v>45017</v>
      </c>
      <c r="I40" s="12" t="s">
        <v>4</v>
      </c>
      <c r="K40" s="13"/>
      <c r="L40" s="17"/>
      <c r="M40" s="18"/>
      <c r="N40" s="10"/>
    </row>
    <row r="41" spans="1:15" x14ac:dyDescent="0.3">
      <c r="A41" s="12">
        <v>29</v>
      </c>
      <c r="B41" s="7">
        <v>1554.81</v>
      </c>
      <c r="C41" s="15">
        <v>45017</v>
      </c>
      <c r="D41" s="12" t="s">
        <v>4</v>
      </c>
      <c r="F41" s="12">
        <v>29</v>
      </c>
      <c r="G41" s="7">
        <v>1741.53</v>
      </c>
      <c r="H41" s="16">
        <v>45047</v>
      </c>
      <c r="I41" s="12" t="s">
        <v>4</v>
      </c>
      <c r="K41" s="13"/>
      <c r="L41" s="17"/>
      <c r="M41" s="18"/>
      <c r="N41" s="10"/>
    </row>
    <row r="42" spans="1:15" x14ac:dyDescent="0.3">
      <c r="A42" s="12">
        <v>30</v>
      </c>
      <c r="B42" s="7">
        <v>1554.81</v>
      </c>
      <c r="C42" s="15">
        <v>45047</v>
      </c>
      <c r="D42" s="12" t="s">
        <v>4</v>
      </c>
      <c r="F42" s="12">
        <v>30</v>
      </c>
      <c r="G42" s="7">
        <v>1741.53</v>
      </c>
      <c r="H42" s="16">
        <v>45078</v>
      </c>
      <c r="I42" s="12" t="s">
        <v>4</v>
      </c>
      <c r="K42" s="13"/>
      <c r="L42" s="17"/>
      <c r="M42" s="18"/>
      <c r="N42" s="10"/>
    </row>
    <row r="43" spans="1:15" x14ac:dyDescent="0.3">
      <c r="A43" s="156">
        <f>30*B41</f>
        <v>46644.299999999996</v>
      </c>
      <c r="B43" s="157"/>
      <c r="C43" s="157"/>
      <c r="D43" s="158"/>
      <c r="F43" s="156">
        <f>SUM(G13:G42)</f>
        <v>52245.89999999998</v>
      </c>
      <c r="G43" s="157"/>
      <c r="H43" s="157"/>
      <c r="I43" s="158"/>
      <c r="K43" s="172"/>
      <c r="L43" s="172"/>
      <c r="M43" s="172"/>
      <c r="N43" s="172"/>
    </row>
    <row r="44" spans="1:15" x14ac:dyDescent="0.3">
      <c r="A44" s="13"/>
      <c r="B44" s="8"/>
      <c r="C44" s="10"/>
      <c r="D44" s="13"/>
    </row>
    <row r="48" spans="1:15" x14ac:dyDescent="0.3">
      <c r="B48" s="27"/>
      <c r="E48" s="25"/>
    </row>
    <row r="49" spans="2:6" x14ac:dyDescent="0.3">
      <c r="B49" s="27"/>
      <c r="E49" s="25"/>
      <c r="F49" s="29"/>
    </row>
    <row r="50" spans="2:6" x14ac:dyDescent="0.3">
      <c r="B50" s="27"/>
      <c r="E50" s="27"/>
    </row>
    <row r="51" spans="2:6" x14ac:dyDescent="0.3">
      <c r="B51" s="27"/>
    </row>
    <row r="52" spans="2:6" x14ac:dyDescent="0.3">
      <c r="B52" s="27"/>
    </row>
    <row r="53" spans="2:6" x14ac:dyDescent="0.3">
      <c r="B53" s="27"/>
    </row>
  </sheetData>
  <mergeCells count="33">
    <mergeCell ref="A43:D43"/>
    <mergeCell ref="A8:B8"/>
    <mergeCell ref="C8:D8"/>
    <mergeCell ref="A6:B6"/>
    <mergeCell ref="A7:B7"/>
    <mergeCell ref="C6:D6"/>
    <mergeCell ref="C7:D7"/>
    <mergeCell ref="F43:I43"/>
    <mergeCell ref="K5:N5"/>
    <mergeCell ref="K6:L6"/>
    <mergeCell ref="M6:N6"/>
    <mergeCell ref="K7:L7"/>
    <mergeCell ref="M7:N7"/>
    <mergeCell ref="K8:L8"/>
    <mergeCell ref="M8:N8"/>
    <mergeCell ref="K43:N43"/>
    <mergeCell ref="F5:I5"/>
    <mergeCell ref="F6:G6"/>
    <mergeCell ref="H6:I6"/>
    <mergeCell ref="F7:G7"/>
    <mergeCell ref="H7:I7"/>
    <mergeCell ref="F8:G8"/>
    <mergeCell ref="H8:I8"/>
    <mergeCell ref="A1:N2"/>
    <mergeCell ref="K37:N37"/>
    <mergeCell ref="B4:C4"/>
    <mergeCell ref="G4:H4"/>
    <mergeCell ref="L4:M4"/>
    <mergeCell ref="A5:D5"/>
    <mergeCell ref="A9:B9"/>
    <mergeCell ref="A10:B10"/>
    <mergeCell ref="C9:D9"/>
    <mergeCell ref="C10:D1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Y112"/>
  <sheetViews>
    <sheetView showGridLines="0" topLeftCell="A88" zoomScaleNormal="100" workbookViewId="0">
      <selection activeCell="K65" sqref="K65:L65"/>
    </sheetView>
  </sheetViews>
  <sheetFormatPr defaultRowHeight="14.4" x14ac:dyDescent="0.3"/>
  <cols>
    <col min="1" max="1" width="13.33203125" bestFit="1" customWidth="1"/>
    <col min="2" max="2" width="14.6640625" customWidth="1"/>
    <col min="4" max="4" width="10" bestFit="1" customWidth="1"/>
    <col min="7" max="7" width="12.5546875" bestFit="1" customWidth="1"/>
    <col min="9" max="9" width="16.21875" customWidth="1"/>
    <col min="12" max="12" width="14" bestFit="1" customWidth="1"/>
    <col min="17" max="17" width="14" bestFit="1" customWidth="1"/>
    <col min="22" max="22" width="12" customWidth="1"/>
  </cols>
  <sheetData>
    <row r="1" spans="1:24" ht="15" customHeight="1" x14ac:dyDescent="0.3">
      <c r="A1" s="162" t="s">
        <v>16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24" ht="15" customHeight="1" x14ac:dyDescent="0.3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5" spans="1:24" x14ac:dyDescent="0.3">
      <c r="A5" s="14"/>
      <c r="B5" s="169" t="s">
        <v>18</v>
      </c>
      <c r="C5" s="169"/>
      <c r="D5" s="14"/>
      <c r="F5" s="14"/>
      <c r="G5" s="169" t="s">
        <v>19</v>
      </c>
      <c r="H5" s="169"/>
      <c r="I5" s="14"/>
      <c r="K5" s="14"/>
      <c r="L5" s="169" t="s">
        <v>20</v>
      </c>
      <c r="M5" s="169"/>
      <c r="N5" s="14"/>
      <c r="P5" s="14"/>
      <c r="Q5" s="169" t="s">
        <v>21</v>
      </c>
      <c r="R5" s="169"/>
      <c r="S5" s="14"/>
      <c r="U5" s="14"/>
      <c r="V5" s="169" t="s">
        <v>22</v>
      </c>
      <c r="W5" s="169"/>
      <c r="X5" s="14"/>
    </row>
    <row r="6" spans="1:24" x14ac:dyDescent="0.3">
      <c r="A6" s="142" t="s">
        <v>98</v>
      </c>
      <c r="B6" s="142"/>
      <c r="C6" s="142"/>
      <c r="D6" s="142"/>
      <c r="F6" s="142" t="s">
        <v>99</v>
      </c>
      <c r="G6" s="142"/>
      <c r="H6" s="142"/>
      <c r="I6" s="142"/>
      <c r="K6" s="142" t="s">
        <v>99</v>
      </c>
      <c r="L6" s="142"/>
      <c r="M6" s="142"/>
      <c r="N6" s="142"/>
      <c r="P6" s="142" t="s">
        <v>101</v>
      </c>
      <c r="Q6" s="142"/>
      <c r="R6" s="142"/>
      <c r="S6" s="142"/>
      <c r="U6" s="142" t="s">
        <v>100</v>
      </c>
      <c r="V6" s="142"/>
      <c r="W6" s="142"/>
      <c r="X6" s="142"/>
    </row>
    <row r="7" spans="1:24" x14ac:dyDescent="0.3">
      <c r="A7" s="137" t="s">
        <v>8</v>
      </c>
      <c r="B7" s="137"/>
      <c r="C7" s="143">
        <v>480000</v>
      </c>
      <c r="D7" s="143"/>
      <c r="F7" s="137" t="s">
        <v>8</v>
      </c>
      <c r="G7" s="137"/>
      <c r="H7" s="143">
        <v>87000</v>
      </c>
      <c r="I7" s="143"/>
      <c r="K7" s="137" t="s">
        <v>8</v>
      </c>
      <c r="L7" s="137"/>
      <c r="M7" s="143">
        <v>50000</v>
      </c>
      <c r="N7" s="143"/>
      <c r="P7" s="137" t="s">
        <v>8</v>
      </c>
      <c r="Q7" s="137"/>
      <c r="R7" s="143">
        <v>230000</v>
      </c>
      <c r="S7" s="143"/>
      <c r="U7" s="137" t="s">
        <v>8</v>
      </c>
      <c r="V7" s="137"/>
      <c r="W7" s="143">
        <v>50000</v>
      </c>
      <c r="X7" s="143"/>
    </row>
    <row r="8" spans="1:24" x14ac:dyDescent="0.3">
      <c r="A8" s="137" t="s">
        <v>14</v>
      </c>
      <c r="B8" s="137"/>
      <c r="C8" s="143"/>
      <c r="D8" s="143"/>
      <c r="F8" s="137" t="s">
        <v>14</v>
      </c>
      <c r="G8" s="137"/>
      <c r="H8" s="143">
        <v>12998.48</v>
      </c>
      <c r="I8" s="143"/>
      <c r="K8" s="137" t="s">
        <v>15</v>
      </c>
      <c r="L8" s="137"/>
      <c r="M8" s="143">
        <v>71853.48</v>
      </c>
      <c r="N8" s="143"/>
      <c r="P8" s="137" t="s">
        <v>14</v>
      </c>
      <c r="Q8" s="137"/>
      <c r="R8" s="143">
        <f>P56</f>
        <v>0</v>
      </c>
      <c r="S8" s="143"/>
      <c r="U8" s="137" t="s">
        <v>9</v>
      </c>
      <c r="V8" s="137"/>
      <c r="W8" s="143">
        <v>71838</v>
      </c>
      <c r="X8" s="143"/>
    </row>
    <row r="9" spans="1:24" x14ac:dyDescent="0.3">
      <c r="A9" s="137" t="s">
        <v>7</v>
      </c>
      <c r="B9" s="137"/>
      <c r="C9" s="138" t="s">
        <v>29</v>
      </c>
      <c r="D9" s="138"/>
      <c r="F9" s="137" t="s">
        <v>7</v>
      </c>
      <c r="G9" s="137"/>
      <c r="H9" s="138">
        <v>36</v>
      </c>
      <c r="I9" s="138"/>
      <c r="K9" s="137" t="s">
        <v>7</v>
      </c>
      <c r="L9" s="137"/>
      <c r="M9" s="138">
        <v>36</v>
      </c>
      <c r="N9" s="138"/>
      <c r="P9" s="137" t="s">
        <v>7</v>
      </c>
      <c r="Q9" s="137"/>
      <c r="R9" s="138">
        <v>48</v>
      </c>
      <c r="S9" s="138"/>
      <c r="U9" s="137" t="s">
        <v>7</v>
      </c>
      <c r="V9" s="137"/>
      <c r="W9" s="138">
        <v>36</v>
      </c>
      <c r="X9" s="138"/>
    </row>
    <row r="10" spans="1:24" x14ac:dyDescent="0.3">
      <c r="A10" s="164" t="s">
        <v>69</v>
      </c>
      <c r="B10" s="165"/>
      <c r="C10" s="28" t="s">
        <v>66</v>
      </c>
      <c r="D10" s="72" t="s">
        <v>67</v>
      </c>
      <c r="F10" s="164" t="s">
        <v>68</v>
      </c>
      <c r="G10" s="165"/>
      <c r="H10" s="28" t="s">
        <v>66</v>
      </c>
      <c r="I10" s="72" t="s">
        <v>67</v>
      </c>
      <c r="K10" s="164" t="s">
        <v>68</v>
      </c>
      <c r="L10" s="165"/>
      <c r="M10" s="28" t="s">
        <v>66</v>
      </c>
      <c r="N10" s="72" t="s">
        <v>67</v>
      </c>
      <c r="P10" s="164" t="s">
        <v>68</v>
      </c>
      <c r="Q10" s="139"/>
      <c r="R10" s="28" t="s">
        <v>66</v>
      </c>
      <c r="S10" s="72" t="s">
        <v>67</v>
      </c>
      <c r="U10" s="164" t="s">
        <v>68</v>
      </c>
      <c r="V10" s="165"/>
      <c r="W10" s="28" t="s">
        <v>66</v>
      </c>
      <c r="X10" s="72" t="s">
        <v>67</v>
      </c>
    </row>
    <row r="11" spans="1:24" x14ac:dyDescent="0.3">
      <c r="A11" s="11" t="s">
        <v>0</v>
      </c>
      <c r="B11" s="6" t="s">
        <v>1</v>
      </c>
      <c r="C11" s="6" t="s">
        <v>2</v>
      </c>
      <c r="D11" s="12" t="s">
        <v>6</v>
      </c>
      <c r="F11" s="11" t="s">
        <v>0</v>
      </c>
      <c r="G11" s="6" t="s">
        <v>1</v>
      </c>
      <c r="H11" s="6" t="s">
        <v>2</v>
      </c>
      <c r="I11" s="12" t="s">
        <v>6</v>
      </c>
      <c r="K11" s="11" t="s">
        <v>0</v>
      </c>
      <c r="L11" s="6" t="s">
        <v>1</v>
      </c>
      <c r="M11" s="6" t="s">
        <v>2</v>
      </c>
      <c r="N11" s="12" t="s">
        <v>6</v>
      </c>
      <c r="P11" s="11" t="s">
        <v>0</v>
      </c>
      <c r="Q11" s="6" t="s">
        <v>1</v>
      </c>
      <c r="R11" s="6" t="s">
        <v>2</v>
      </c>
      <c r="S11" s="12" t="s">
        <v>6</v>
      </c>
      <c r="U11" s="11" t="s">
        <v>0</v>
      </c>
      <c r="V11" s="6" t="s">
        <v>1</v>
      </c>
      <c r="W11" s="6" t="s">
        <v>2</v>
      </c>
      <c r="X11" s="12" t="s">
        <v>6</v>
      </c>
    </row>
    <row r="12" spans="1:24" x14ac:dyDescent="0.3">
      <c r="A12" s="12">
        <v>1</v>
      </c>
      <c r="B12" s="20">
        <v>16143.57</v>
      </c>
      <c r="C12" s="15">
        <v>44378</v>
      </c>
      <c r="D12" s="12" t="s">
        <v>4</v>
      </c>
      <c r="F12" s="12">
        <v>1</v>
      </c>
      <c r="G12" s="7">
        <v>3472.18</v>
      </c>
      <c r="H12" s="15">
        <v>44375</v>
      </c>
      <c r="I12" s="12" t="s">
        <v>4</v>
      </c>
      <c r="K12" s="12">
        <v>1</v>
      </c>
      <c r="L12" s="7">
        <v>1995.93</v>
      </c>
      <c r="M12" s="15">
        <v>44375</v>
      </c>
      <c r="N12" s="12" t="s">
        <v>4</v>
      </c>
      <c r="P12" s="12">
        <v>1</v>
      </c>
      <c r="Q12" s="7">
        <v>7735.46</v>
      </c>
      <c r="R12" s="15">
        <v>44405</v>
      </c>
      <c r="S12" s="12" t="s">
        <v>4</v>
      </c>
      <c r="U12" s="12">
        <v>1</v>
      </c>
      <c r="V12" s="7">
        <v>1995.5</v>
      </c>
      <c r="W12" s="15">
        <v>44348</v>
      </c>
      <c r="X12" s="12" t="s">
        <v>4</v>
      </c>
    </row>
    <row r="13" spans="1:24" x14ac:dyDescent="0.3">
      <c r="A13" s="12">
        <v>2</v>
      </c>
      <c r="B13" s="20">
        <v>16143.57</v>
      </c>
      <c r="C13" s="15">
        <v>44409</v>
      </c>
      <c r="D13" s="12" t="s">
        <v>4</v>
      </c>
      <c r="F13" s="12">
        <v>2</v>
      </c>
      <c r="G13" s="7">
        <v>3472.18</v>
      </c>
      <c r="H13" s="15">
        <v>44405</v>
      </c>
      <c r="I13" s="12" t="s">
        <v>4</v>
      </c>
      <c r="K13" s="12">
        <v>2</v>
      </c>
      <c r="L13" s="7">
        <v>1995.93</v>
      </c>
      <c r="M13" s="15">
        <v>44405</v>
      </c>
      <c r="N13" s="12" t="s">
        <v>4</v>
      </c>
      <c r="P13" s="12">
        <v>2</v>
      </c>
      <c r="Q13" s="7">
        <v>7735.46</v>
      </c>
      <c r="R13" s="15">
        <v>44436</v>
      </c>
      <c r="S13" s="12" t="s">
        <v>4</v>
      </c>
      <c r="U13" s="12">
        <v>2</v>
      </c>
      <c r="V13" s="7">
        <v>1995.5</v>
      </c>
      <c r="W13" s="15">
        <v>44378</v>
      </c>
      <c r="X13" s="12" t="s">
        <v>4</v>
      </c>
    </row>
    <row r="14" spans="1:24" x14ac:dyDescent="0.3">
      <c r="A14" s="12">
        <v>3</v>
      </c>
      <c r="B14" s="20">
        <v>16143.57</v>
      </c>
      <c r="C14" s="15">
        <v>44440</v>
      </c>
      <c r="D14" s="12" t="s">
        <v>4</v>
      </c>
      <c r="F14" s="12">
        <v>3</v>
      </c>
      <c r="G14" s="7">
        <v>3472.18</v>
      </c>
      <c r="H14" s="15">
        <v>44436</v>
      </c>
      <c r="I14" s="12" t="s">
        <v>4</v>
      </c>
      <c r="K14" s="12">
        <v>3</v>
      </c>
      <c r="L14" s="7">
        <v>1995.93</v>
      </c>
      <c r="M14" s="15">
        <v>44436</v>
      </c>
      <c r="N14" s="12" t="s">
        <v>4</v>
      </c>
      <c r="P14" s="12">
        <v>3</v>
      </c>
      <c r="Q14" s="7">
        <v>7735.46</v>
      </c>
      <c r="R14" s="15">
        <v>44467</v>
      </c>
      <c r="S14" s="12" t="s">
        <v>4</v>
      </c>
      <c r="U14" s="12">
        <v>3</v>
      </c>
      <c r="V14" s="7">
        <v>1995.5</v>
      </c>
      <c r="W14" s="15">
        <v>44409</v>
      </c>
      <c r="X14" s="12" t="s">
        <v>4</v>
      </c>
    </row>
    <row r="15" spans="1:24" x14ac:dyDescent="0.3">
      <c r="A15" s="12">
        <v>4</v>
      </c>
      <c r="B15" s="20">
        <v>16143.57</v>
      </c>
      <c r="C15" s="15">
        <v>44470</v>
      </c>
      <c r="D15" s="12" t="s">
        <v>4</v>
      </c>
      <c r="F15" s="12">
        <v>4</v>
      </c>
      <c r="G15" s="7">
        <v>3472.18</v>
      </c>
      <c r="H15" s="15">
        <v>44467</v>
      </c>
      <c r="I15" s="12" t="s">
        <v>4</v>
      </c>
      <c r="K15" s="12">
        <v>4</v>
      </c>
      <c r="L15" s="7">
        <v>1995.93</v>
      </c>
      <c r="M15" s="15">
        <v>44467</v>
      </c>
      <c r="N15" s="12" t="s">
        <v>4</v>
      </c>
      <c r="P15" s="12">
        <v>4</v>
      </c>
      <c r="Q15" s="7">
        <v>7735.46</v>
      </c>
      <c r="R15" s="15">
        <v>44497</v>
      </c>
      <c r="S15" s="12" t="s">
        <v>4</v>
      </c>
      <c r="U15" s="12">
        <v>4</v>
      </c>
      <c r="V15" s="7">
        <v>1995.5</v>
      </c>
      <c r="W15" s="15">
        <v>44440</v>
      </c>
      <c r="X15" s="12" t="s">
        <v>4</v>
      </c>
    </row>
    <row r="16" spans="1:24" x14ac:dyDescent="0.3">
      <c r="A16" s="12">
        <v>5</v>
      </c>
      <c r="B16" s="20">
        <v>16143.57</v>
      </c>
      <c r="C16" s="15">
        <v>44501</v>
      </c>
      <c r="D16" s="12" t="s">
        <v>4</v>
      </c>
      <c r="F16" s="12">
        <v>5</v>
      </c>
      <c r="G16" s="7">
        <v>3472.18</v>
      </c>
      <c r="H16" s="15">
        <v>44497</v>
      </c>
      <c r="I16" s="12" t="s">
        <v>4</v>
      </c>
      <c r="K16" s="12">
        <v>5</v>
      </c>
      <c r="L16" s="7">
        <v>1995.93</v>
      </c>
      <c r="M16" s="15">
        <v>44497</v>
      </c>
      <c r="N16" s="12" t="s">
        <v>4</v>
      </c>
      <c r="P16" s="12">
        <v>5</v>
      </c>
      <c r="Q16" s="7">
        <v>7735.46</v>
      </c>
      <c r="R16" s="15">
        <v>44528</v>
      </c>
      <c r="S16" s="12" t="s">
        <v>4</v>
      </c>
      <c r="U16" s="12">
        <v>5</v>
      </c>
      <c r="V16" s="7">
        <v>1995.5</v>
      </c>
      <c r="W16" s="15">
        <v>44470</v>
      </c>
      <c r="X16" s="12" t="s">
        <v>4</v>
      </c>
    </row>
    <row r="17" spans="1:24" x14ac:dyDescent="0.3">
      <c r="A17" s="12">
        <v>6</v>
      </c>
      <c r="B17" s="20">
        <v>16143.57</v>
      </c>
      <c r="C17" s="15">
        <v>44531</v>
      </c>
      <c r="D17" s="12" t="s">
        <v>4</v>
      </c>
      <c r="F17" s="12">
        <v>6</v>
      </c>
      <c r="G17" s="7">
        <v>3472.18</v>
      </c>
      <c r="H17" s="15">
        <v>44528</v>
      </c>
      <c r="I17" s="12" t="s">
        <v>4</v>
      </c>
      <c r="K17" s="12">
        <v>6</v>
      </c>
      <c r="L17" s="7">
        <v>1995.93</v>
      </c>
      <c r="M17" s="15">
        <v>44528</v>
      </c>
      <c r="N17" s="12" t="s">
        <v>4</v>
      </c>
      <c r="P17" s="12">
        <v>6</v>
      </c>
      <c r="Q17" s="7">
        <v>7735.46</v>
      </c>
      <c r="R17" s="15">
        <v>44558</v>
      </c>
      <c r="S17" s="12" t="s">
        <v>4</v>
      </c>
      <c r="U17" s="12">
        <v>6</v>
      </c>
      <c r="V17" s="7">
        <v>1995.5</v>
      </c>
      <c r="W17" s="15">
        <v>44501</v>
      </c>
      <c r="X17" s="12" t="s">
        <v>4</v>
      </c>
    </row>
    <row r="18" spans="1:24" x14ac:dyDescent="0.3">
      <c r="A18" s="12">
        <v>7</v>
      </c>
      <c r="B18" s="20">
        <v>16143.57</v>
      </c>
      <c r="C18" s="15">
        <v>44562</v>
      </c>
      <c r="D18" s="12" t="s">
        <v>4</v>
      </c>
      <c r="F18" s="12">
        <v>7</v>
      </c>
      <c r="G18" s="7">
        <v>3472.18</v>
      </c>
      <c r="H18" s="15">
        <v>44558</v>
      </c>
      <c r="I18" s="12" t="s">
        <v>4</v>
      </c>
      <c r="K18" s="12">
        <v>7</v>
      </c>
      <c r="L18" s="7">
        <v>1995.93</v>
      </c>
      <c r="M18" s="15">
        <v>44558</v>
      </c>
      <c r="N18" s="12" t="s">
        <v>4</v>
      </c>
      <c r="P18" s="12">
        <v>7</v>
      </c>
      <c r="Q18" s="7">
        <v>7735.46</v>
      </c>
      <c r="R18" s="15">
        <v>44589</v>
      </c>
      <c r="S18" s="12" t="s">
        <v>4</v>
      </c>
      <c r="U18" s="12">
        <v>7</v>
      </c>
      <c r="V18" s="7">
        <v>1995.5</v>
      </c>
      <c r="W18" s="15">
        <v>44531</v>
      </c>
      <c r="X18" s="12" t="s">
        <v>4</v>
      </c>
    </row>
    <row r="19" spans="1:24" x14ac:dyDescent="0.3">
      <c r="A19" s="12">
        <v>8</v>
      </c>
      <c r="B19" s="20">
        <v>16143.57</v>
      </c>
      <c r="C19" s="15">
        <v>44593</v>
      </c>
      <c r="D19" s="12" t="s">
        <v>4</v>
      </c>
      <c r="F19" s="12">
        <v>8</v>
      </c>
      <c r="G19" s="7">
        <v>3472.18</v>
      </c>
      <c r="H19" s="15">
        <v>44589</v>
      </c>
      <c r="I19" s="12" t="s">
        <v>4</v>
      </c>
      <c r="K19" s="12">
        <v>8</v>
      </c>
      <c r="L19" s="7">
        <v>1995.93</v>
      </c>
      <c r="M19" s="15">
        <v>44589</v>
      </c>
      <c r="N19" s="12" t="s">
        <v>4</v>
      </c>
      <c r="P19" s="12">
        <v>8</v>
      </c>
      <c r="Q19" s="7">
        <v>7735.46</v>
      </c>
      <c r="R19" s="15">
        <v>44620</v>
      </c>
      <c r="S19" s="12" t="s">
        <v>4</v>
      </c>
      <c r="U19" s="12">
        <v>8</v>
      </c>
      <c r="V19" s="7">
        <v>1995.5</v>
      </c>
      <c r="W19" s="15">
        <v>44562</v>
      </c>
      <c r="X19" s="12" t="s">
        <v>4</v>
      </c>
    </row>
    <row r="20" spans="1:24" x14ac:dyDescent="0.3">
      <c r="A20" s="12">
        <v>9</v>
      </c>
      <c r="B20" s="20">
        <v>16143.57</v>
      </c>
      <c r="C20" s="15">
        <v>44621</v>
      </c>
      <c r="D20" s="12" t="s">
        <v>4</v>
      </c>
      <c r="F20" s="12">
        <v>9</v>
      </c>
      <c r="G20" s="7">
        <v>3472.18</v>
      </c>
      <c r="H20" s="15">
        <v>44620</v>
      </c>
      <c r="I20" s="12" t="s">
        <v>4</v>
      </c>
      <c r="K20" s="12">
        <v>9</v>
      </c>
      <c r="L20" s="7">
        <v>1995.93</v>
      </c>
      <c r="M20" s="15">
        <v>44620</v>
      </c>
      <c r="N20" s="12" t="s">
        <v>4</v>
      </c>
      <c r="P20" s="12">
        <v>9</v>
      </c>
      <c r="Q20" s="7">
        <v>7735.46</v>
      </c>
      <c r="R20" s="15">
        <v>44648</v>
      </c>
      <c r="S20" s="12" t="s">
        <v>4</v>
      </c>
      <c r="U20" s="12">
        <v>9</v>
      </c>
      <c r="V20" s="7">
        <v>1995.5</v>
      </c>
      <c r="W20" s="15">
        <v>44593</v>
      </c>
      <c r="X20" s="12" t="s">
        <v>4</v>
      </c>
    </row>
    <row r="21" spans="1:24" x14ac:dyDescent="0.3">
      <c r="A21" s="12">
        <v>10</v>
      </c>
      <c r="B21" s="20">
        <v>16143.57</v>
      </c>
      <c r="C21" s="15">
        <v>44652</v>
      </c>
      <c r="D21" s="12" t="s">
        <v>4</v>
      </c>
      <c r="F21" s="12">
        <v>10</v>
      </c>
      <c r="G21" s="7">
        <v>3472.18</v>
      </c>
      <c r="H21" s="15">
        <v>44648</v>
      </c>
      <c r="I21" s="12" t="s">
        <v>4</v>
      </c>
      <c r="K21" s="12">
        <v>10</v>
      </c>
      <c r="L21" s="7">
        <v>1995.93</v>
      </c>
      <c r="M21" s="15">
        <v>44648</v>
      </c>
      <c r="N21" s="12" t="s">
        <v>4</v>
      </c>
      <c r="P21" s="12">
        <v>10</v>
      </c>
      <c r="Q21" s="7">
        <v>7735.46</v>
      </c>
      <c r="R21" s="15">
        <v>44679</v>
      </c>
      <c r="S21" s="12" t="s">
        <v>4</v>
      </c>
      <c r="U21" s="12">
        <v>10</v>
      </c>
      <c r="V21" s="7">
        <v>1995.5</v>
      </c>
      <c r="W21" s="15">
        <v>44621</v>
      </c>
      <c r="X21" s="12" t="s">
        <v>4</v>
      </c>
    </row>
    <row r="22" spans="1:24" x14ac:dyDescent="0.3">
      <c r="A22" s="12">
        <v>11</v>
      </c>
      <c r="B22" s="20">
        <v>16143.57</v>
      </c>
      <c r="C22" s="15">
        <v>44682</v>
      </c>
      <c r="D22" s="12" t="s">
        <v>4</v>
      </c>
      <c r="F22" s="12">
        <v>11</v>
      </c>
      <c r="G22" s="7">
        <v>3472.18</v>
      </c>
      <c r="H22" s="15">
        <v>44679</v>
      </c>
      <c r="I22" s="12" t="s">
        <v>4</v>
      </c>
      <c r="K22" s="12">
        <v>11</v>
      </c>
      <c r="L22" s="7">
        <v>1995.93</v>
      </c>
      <c r="M22" s="15">
        <v>44679</v>
      </c>
      <c r="N22" s="12" t="s">
        <v>4</v>
      </c>
      <c r="P22" s="12">
        <v>11</v>
      </c>
      <c r="Q22" s="7">
        <v>7735.46</v>
      </c>
      <c r="R22" s="15">
        <v>44709</v>
      </c>
      <c r="S22" s="12" t="s">
        <v>4</v>
      </c>
      <c r="U22" s="12">
        <v>11</v>
      </c>
      <c r="V22" s="7">
        <v>1995.5</v>
      </c>
      <c r="W22" s="15">
        <v>44652</v>
      </c>
      <c r="X22" s="12" t="s">
        <v>4</v>
      </c>
    </row>
    <row r="23" spans="1:24" x14ac:dyDescent="0.3">
      <c r="A23" s="12">
        <v>12</v>
      </c>
      <c r="B23" s="20">
        <v>16143.57</v>
      </c>
      <c r="C23" s="15">
        <v>44713</v>
      </c>
      <c r="D23" s="12" t="s">
        <v>4</v>
      </c>
      <c r="F23" s="12">
        <v>12</v>
      </c>
      <c r="G23" s="7">
        <v>3472.18</v>
      </c>
      <c r="H23" s="15">
        <v>44709</v>
      </c>
      <c r="I23" s="12" t="s">
        <v>4</v>
      </c>
      <c r="K23" s="12">
        <v>12</v>
      </c>
      <c r="L23" s="7">
        <v>1995.93</v>
      </c>
      <c r="M23" s="15">
        <v>44709</v>
      </c>
      <c r="N23" s="12" t="s">
        <v>4</v>
      </c>
      <c r="P23" s="12">
        <v>12</v>
      </c>
      <c r="Q23" s="7">
        <v>7735.46</v>
      </c>
      <c r="R23" s="15">
        <v>44740</v>
      </c>
      <c r="S23" s="12" t="s">
        <v>4</v>
      </c>
      <c r="U23" s="12">
        <v>12</v>
      </c>
      <c r="V23" s="7">
        <v>1995.5</v>
      </c>
      <c r="W23" s="15">
        <v>44682</v>
      </c>
      <c r="X23" s="12" t="s">
        <v>4</v>
      </c>
    </row>
    <row r="24" spans="1:24" x14ac:dyDescent="0.3">
      <c r="A24" s="12">
        <v>13</v>
      </c>
      <c r="B24" s="20">
        <v>16143.57</v>
      </c>
      <c r="C24" s="15">
        <v>44743</v>
      </c>
      <c r="D24" s="12" t="s">
        <v>4</v>
      </c>
      <c r="F24" s="12">
        <v>13</v>
      </c>
      <c r="G24" s="7">
        <v>3472.18</v>
      </c>
      <c r="H24" s="15">
        <v>44740</v>
      </c>
      <c r="I24" s="12" t="s">
        <v>4</v>
      </c>
      <c r="K24" s="12">
        <v>13</v>
      </c>
      <c r="L24" s="7">
        <v>1995.93</v>
      </c>
      <c r="M24" s="15">
        <v>44740</v>
      </c>
      <c r="N24" s="12" t="s">
        <v>4</v>
      </c>
      <c r="P24" s="12">
        <v>13</v>
      </c>
      <c r="Q24" s="7">
        <v>7735.46</v>
      </c>
      <c r="R24" s="15">
        <v>44770</v>
      </c>
      <c r="S24" s="12" t="s">
        <v>4</v>
      </c>
      <c r="U24" s="12">
        <v>13</v>
      </c>
      <c r="V24" s="7">
        <v>1995.5</v>
      </c>
      <c r="W24" s="15">
        <v>44713</v>
      </c>
      <c r="X24" s="12" t="s">
        <v>4</v>
      </c>
    </row>
    <row r="25" spans="1:24" x14ac:dyDescent="0.3">
      <c r="A25" s="12">
        <v>14</v>
      </c>
      <c r="B25" s="20">
        <v>16143.57</v>
      </c>
      <c r="C25" s="15">
        <v>44774</v>
      </c>
      <c r="D25" s="12" t="s">
        <v>4</v>
      </c>
      <c r="F25" s="12">
        <v>14</v>
      </c>
      <c r="G25" s="7">
        <v>3472.18</v>
      </c>
      <c r="H25" s="15">
        <v>44770</v>
      </c>
      <c r="I25" s="12" t="s">
        <v>4</v>
      </c>
      <c r="K25" s="12">
        <v>14</v>
      </c>
      <c r="L25" s="7">
        <v>1995.93</v>
      </c>
      <c r="M25" s="15">
        <v>44770</v>
      </c>
      <c r="N25" s="12" t="s">
        <v>4</v>
      </c>
      <c r="P25" s="12">
        <v>14</v>
      </c>
      <c r="Q25" s="7">
        <v>7735.46</v>
      </c>
      <c r="R25" s="15">
        <v>44801</v>
      </c>
      <c r="S25" s="12" t="s">
        <v>4</v>
      </c>
      <c r="U25" s="12">
        <v>14</v>
      </c>
      <c r="V25" s="7">
        <v>1995.5</v>
      </c>
      <c r="W25" s="15">
        <v>44743</v>
      </c>
      <c r="X25" s="12" t="s">
        <v>4</v>
      </c>
    </row>
    <row r="26" spans="1:24" x14ac:dyDescent="0.3">
      <c r="A26" s="12">
        <v>15</v>
      </c>
      <c r="B26" s="20">
        <v>16143.57</v>
      </c>
      <c r="C26" s="15">
        <v>44805</v>
      </c>
      <c r="D26" s="12" t="s">
        <v>4</v>
      </c>
      <c r="F26" s="12">
        <v>15</v>
      </c>
      <c r="G26" s="7">
        <v>3472.18</v>
      </c>
      <c r="H26" s="15">
        <v>44801</v>
      </c>
      <c r="I26" s="12" t="s">
        <v>4</v>
      </c>
      <c r="K26" s="12">
        <v>15</v>
      </c>
      <c r="L26" s="7">
        <v>1995.93</v>
      </c>
      <c r="M26" s="15">
        <v>44801</v>
      </c>
      <c r="N26" s="12" t="s">
        <v>4</v>
      </c>
      <c r="P26" s="12">
        <v>15</v>
      </c>
      <c r="Q26" s="7">
        <v>7735.46</v>
      </c>
      <c r="R26" s="15">
        <v>44832</v>
      </c>
      <c r="S26" s="12" t="s">
        <v>4</v>
      </c>
      <c r="U26" s="12">
        <v>15</v>
      </c>
      <c r="V26" s="7">
        <v>1995.5</v>
      </c>
      <c r="W26" s="15">
        <v>44774</v>
      </c>
      <c r="X26" s="12" t="s">
        <v>4</v>
      </c>
    </row>
    <row r="27" spans="1:24" x14ac:dyDescent="0.3">
      <c r="A27" s="12">
        <v>16</v>
      </c>
      <c r="B27" s="20">
        <v>16143.57</v>
      </c>
      <c r="C27" s="15">
        <v>44835</v>
      </c>
      <c r="D27" s="12" t="s">
        <v>4</v>
      </c>
      <c r="F27" s="12">
        <v>16</v>
      </c>
      <c r="G27" s="7">
        <v>3472.18</v>
      </c>
      <c r="H27" s="15">
        <v>44832</v>
      </c>
      <c r="I27" s="12" t="s">
        <v>4</v>
      </c>
      <c r="K27" s="12">
        <v>16</v>
      </c>
      <c r="L27" s="7">
        <v>1995.93</v>
      </c>
      <c r="M27" s="15">
        <v>44832</v>
      </c>
      <c r="N27" s="12" t="s">
        <v>4</v>
      </c>
      <c r="P27" s="12">
        <v>16</v>
      </c>
      <c r="Q27" s="7">
        <v>7735.46</v>
      </c>
      <c r="R27" s="15">
        <v>44862</v>
      </c>
      <c r="S27" s="12" t="s">
        <v>4</v>
      </c>
      <c r="U27" s="12">
        <v>16</v>
      </c>
      <c r="V27" s="7">
        <v>1995.5</v>
      </c>
      <c r="W27" s="15">
        <v>44805</v>
      </c>
      <c r="X27" s="12" t="s">
        <v>4</v>
      </c>
    </row>
    <row r="28" spans="1:24" x14ac:dyDescent="0.3">
      <c r="A28" s="12">
        <v>17</v>
      </c>
      <c r="B28" s="20">
        <v>16143.57</v>
      </c>
      <c r="C28" s="41">
        <v>44866</v>
      </c>
      <c r="D28" s="12" t="s">
        <v>4</v>
      </c>
      <c r="F28" s="12">
        <v>17</v>
      </c>
      <c r="G28" s="96">
        <v>3472.18</v>
      </c>
      <c r="H28" s="97">
        <v>44862</v>
      </c>
      <c r="I28" s="12" t="s">
        <v>4</v>
      </c>
      <c r="K28" s="12"/>
      <c r="L28" s="7">
        <v>1995.93</v>
      </c>
      <c r="M28" s="15">
        <v>44862</v>
      </c>
      <c r="N28" s="12" t="s">
        <v>43</v>
      </c>
      <c r="P28" s="12">
        <v>17</v>
      </c>
      <c r="Q28" s="7">
        <v>7735.46</v>
      </c>
      <c r="R28" s="15">
        <v>44893</v>
      </c>
      <c r="S28" s="12" t="s">
        <v>4</v>
      </c>
      <c r="U28" s="12">
        <v>17</v>
      </c>
      <c r="V28" s="7">
        <v>1995.5</v>
      </c>
      <c r="W28" s="15">
        <v>44835</v>
      </c>
      <c r="X28" s="12" t="s">
        <v>4</v>
      </c>
    </row>
    <row r="29" spans="1:24" x14ac:dyDescent="0.3">
      <c r="A29" s="40">
        <v>18</v>
      </c>
      <c r="B29" s="20">
        <v>16143.57</v>
      </c>
      <c r="C29" s="15">
        <v>44896</v>
      </c>
      <c r="D29" s="12" t="s">
        <v>4</v>
      </c>
      <c r="F29" s="12"/>
      <c r="G29" s="7">
        <v>3472.18</v>
      </c>
      <c r="H29" s="15">
        <v>44893</v>
      </c>
      <c r="I29" s="12" t="s">
        <v>43</v>
      </c>
      <c r="K29" s="12"/>
      <c r="L29" s="7">
        <v>1995.93</v>
      </c>
      <c r="M29" s="15">
        <v>44893</v>
      </c>
      <c r="N29" s="12"/>
      <c r="P29" s="12">
        <v>18</v>
      </c>
      <c r="Q29" s="7">
        <v>7735.46</v>
      </c>
      <c r="R29" s="15">
        <v>44923</v>
      </c>
      <c r="S29" s="12" t="s">
        <v>4</v>
      </c>
      <c r="U29" s="12">
        <v>18</v>
      </c>
      <c r="V29" s="7">
        <v>1995.5</v>
      </c>
      <c r="W29" s="15">
        <v>44866</v>
      </c>
      <c r="X29" s="12" t="s">
        <v>4</v>
      </c>
    </row>
    <row r="30" spans="1:24" x14ac:dyDescent="0.3">
      <c r="A30" s="12">
        <v>19</v>
      </c>
      <c r="B30" s="20">
        <v>16143.57</v>
      </c>
      <c r="C30" s="15">
        <v>44927</v>
      </c>
      <c r="D30" s="12" t="s">
        <v>4</v>
      </c>
      <c r="F30" s="12"/>
      <c r="G30" s="7">
        <v>3472.18</v>
      </c>
      <c r="H30" s="15">
        <v>44923</v>
      </c>
      <c r="I30" s="12"/>
      <c r="K30" s="12"/>
      <c r="L30" s="7">
        <v>1995.93</v>
      </c>
      <c r="M30" s="15">
        <v>44923</v>
      </c>
      <c r="N30" s="12"/>
      <c r="P30" s="12">
        <v>19</v>
      </c>
      <c r="Q30" s="7">
        <v>7735.46</v>
      </c>
      <c r="R30" s="15">
        <v>44954</v>
      </c>
      <c r="S30" s="12" t="s">
        <v>4</v>
      </c>
      <c r="U30" s="12"/>
      <c r="V30" s="7">
        <v>1995.5</v>
      </c>
      <c r="W30" s="15">
        <v>44896</v>
      </c>
      <c r="X30" s="12"/>
    </row>
    <row r="31" spans="1:24" x14ac:dyDescent="0.3">
      <c r="A31" s="12">
        <v>20</v>
      </c>
      <c r="B31" s="20">
        <v>16143.57</v>
      </c>
      <c r="C31" s="41">
        <v>44958</v>
      </c>
      <c r="D31" s="12" t="s">
        <v>4</v>
      </c>
      <c r="F31" s="12"/>
      <c r="G31" s="7">
        <v>3472.18</v>
      </c>
      <c r="H31" s="15">
        <v>44954</v>
      </c>
      <c r="I31" s="12"/>
      <c r="K31" s="12"/>
      <c r="L31" s="7">
        <v>1995.93</v>
      </c>
      <c r="M31" s="15">
        <v>44954</v>
      </c>
      <c r="N31" s="12"/>
      <c r="P31" s="12">
        <v>20</v>
      </c>
      <c r="Q31" s="7">
        <v>7735.46</v>
      </c>
      <c r="R31" s="15">
        <v>44985</v>
      </c>
      <c r="S31" s="12" t="s">
        <v>4</v>
      </c>
      <c r="U31" s="12"/>
      <c r="V31" s="7">
        <v>1995.5</v>
      </c>
      <c r="W31" s="15">
        <v>44927</v>
      </c>
      <c r="X31" s="12"/>
    </row>
    <row r="32" spans="1:24" x14ac:dyDescent="0.3">
      <c r="A32" s="40">
        <v>21</v>
      </c>
      <c r="B32" s="20">
        <v>16143.57</v>
      </c>
      <c r="C32" s="41">
        <v>44986</v>
      </c>
      <c r="D32" s="12" t="s">
        <v>4</v>
      </c>
      <c r="F32" s="12"/>
      <c r="G32" s="7">
        <v>3472.18</v>
      </c>
      <c r="H32" s="15">
        <v>44985</v>
      </c>
      <c r="I32" s="12"/>
      <c r="K32" s="12"/>
      <c r="L32" s="7">
        <v>1995.93</v>
      </c>
      <c r="M32" s="15">
        <v>44985</v>
      </c>
      <c r="N32" s="12"/>
      <c r="P32" s="12">
        <v>21</v>
      </c>
      <c r="Q32" s="7">
        <v>7735.46</v>
      </c>
      <c r="R32" s="15">
        <v>45013</v>
      </c>
      <c r="S32" s="12" t="s">
        <v>4</v>
      </c>
      <c r="U32" s="12"/>
      <c r="V32" s="7">
        <v>1995.5</v>
      </c>
      <c r="W32" s="15">
        <v>44958</v>
      </c>
      <c r="X32" s="12"/>
    </row>
    <row r="33" spans="1:25" x14ac:dyDescent="0.3">
      <c r="A33" s="40">
        <v>22</v>
      </c>
      <c r="B33" s="20">
        <v>16143.57</v>
      </c>
      <c r="C33" s="41">
        <v>45017</v>
      </c>
      <c r="D33" s="12" t="s">
        <v>4</v>
      </c>
      <c r="F33" s="12"/>
      <c r="G33" s="7">
        <v>3472.18</v>
      </c>
      <c r="H33" s="15">
        <v>45013</v>
      </c>
      <c r="I33" s="12"/>
      <c r="K33" s="12"/>
      <c r="L33" s="7">
        <v>1995.93</v>
      </c>
      <c r="M33" s="15">
        <v>45013</v>
      </c>
      <c r="N33" s="12"/>
      <c r="P33" s="12">
        <v>22</v>
      </c>
      <c r="Q33" s="7">
        <v>7735.46</v>
      </c>
      <c r="R33" s="97">
        <v>45044</v>
      </c>
      <c r="S33" s="12" t="s">
        <v>4</v>
      </c>
      <c r="U33" s="12"/>
      <c r="V33" s="7">
        <v>1995.5</v>
      </c>
      <c r="W33" s="15">
        <v>44986</v>
      </c>
      <c r="X33" s="12"/>
    </row>
    <row r="34" spans="1:25" x14ac:dyDescent="0.3">
      <c r="A34" s="40">
        <v>23</v>
      </c>
      <c r="B34" s="20">
        <v>16143.57</v>
      </c>
      <c r="C34" s="15">
        <v>45047</v>
      </c>
      <c r="D34" s="12" t="s">
        <v>4</v>
      </c>
      <c r="F34" s="12"/>
      <c r="G34" s="7">
        <v>3472.18</v>
      </c>
      <c r="H34" s="15">
        <v>45044</v>
      </c>
      <c r="I34" s="12"/>
      <c r="K34" s="12"/>
      <c r="L34" s="7">
        <v>1995.93</v>
      </c>
      <c r="M34" s="15">
        <v>45044</v>
      </c>
      <c r="N34" s="12"/>
      <c r="P34" s="45">
        <v>23</v>
      </c>
      <c r="Q34" s="96">
        <v>7735.46</v>
      </c>
      <c r="R34" s="15">
        <v>45074</v>
      </c>
      <c r="S34" s="12" t="s">
        <v>4</v>
      </c>
      <c r="U34" s="12"/>
      <c r="V34" s="7">
        <v>1995.5</v>
      </c>
      <c r="W34" s="15">
        <v>45017</v>
      </c>
      <c r="X34" s="12"/>
    </row>
    <row r="35" spans="1:25" x14ac:dyDescent="0.3">
      <c r="A35" s="12">
        <v>24</v>
      </c>
      <c r="B35" s="20">
        <v>16143.57</v>
      </c>
      <c r="C35" s="15">
        <v>45078</v>
      </c>
      <c r="D35" s="12" t="s">
        <v>4</v>
      </c>
      <c r="F35" s="12"/>
      <c r="G35" s="7">
        <v>3472.18</v>
      </c>
      <c r="H35" s="15">
        <v>45074</v>
      </c>
      <c r="I35" s="12"/>
      <c r="K35" s="12"/>
      <c r="L35" s="7">
        <v>1995.93</v>
      </c>
      <c r="M35" s="15">
        <v>45074</v>
      </c>
      <c r="N35" s="12"/>
      <c r="P35" s="12">
        <v>24</v>
      </c>
      <c r="Q35" s="7">
        <v>7735.46</v>
      </c>
      <c r="R35" s="15">
        <v>45105</v>
      </c>
      <c r="S35" s="12" t="s">
        <v>4</v>
      </c>
      <c r="U35" s="12"/>
      <c r="V35" s="7">
        <v>1995.5</v>
      </c>
      <c r="W35" s="15">
        <v>45047</v>
      </c>
      <c r="X35" s="12"/>
    </row>
    <row r="36" spans="1:25" x14ac:dyDescent="0.3">
      <c r="A36" s="12">
        <v>25</v>
      </c>
      <c r="B36" s="20">
        <v>16143.57</v>
      </c>
      <c r="C36" s="15">
        <v>45108</v>
      </c>
      <c r="D36" s="12" t="s">
        <v>4</v>
      </c>
      <c r="F36" s="12"/>
      <c r="G36" s="7">
        <v>3472.18</v>
      </c>
      <c r="H36" s="15">
        <v>45105</v>
      </c>
      <c r="I36" s="12"/>
      <c r="K36" s="12"/>
      <c r="L36" s="7">
        <v>1995.93</v>
      </c>
      <c r="M36" s="15">
        <v>45105</v>
      </c>
      <c r="N36" s="12"/>
      <c r="P36" s="12">
        <v>25</v>
      </c>
      <c r="Q36" s="7">
        <v>7735.46</v>
      </c>
      <c r="R36" s="15">
        <v>45135</v>
      </c>
      <c r="S36" s="12" t="s">
        <v>4</v>
      </c>
      <c r="U36" s="12"/>
      <c r="V36" s="7">
        <v>1995.5</v>
      </c>
      <c r="W36" s="15">
        <v>45078</v>
      </c>
      <c r="X36" s="12"/>
    </row>
    <row r="37" spans="1:25" x14ac:dyDescent="0.3">
      <c r="A37" s="12">
        <v>26</v>
      </c>
      <c r="B37" s="20">
        <v>16143.57</v>
      </c>
      <c r="C37" s="15">
        <v>45139</v>
      </c>
      <c r="D37" s="12" t="s">
        <v>4</v>
      </c>
      <c r="F37" s="12"/>
      <c r="G37" s="7">
        <v>3472.18</v>
      </c>
      <c r="H37" s="15">
        <v>45135</v>
      </c>
      <c r="I37" s="12"/>
      <c r="K37" s="12"/>
      <c r="L37" s="7">
        <v>1995.93</v>
      </c>
      <c r="M37" s="15">
        <v>45135</v>
      </c>
      <c r="N37" s="12"/>
      <c r="P37" s="12">
        <v>26</v>
      </c>
      <c r="Q37" s="7">
        <v>7735.46</v>
      </c>
      <c r="R37" s="15">
        <v>45166</v>
      </c>
      <c r="S37" s="12" t="s">
        <v>4</v>
      </c>
      <c r="U37" s="12"/>
      <c r="V37" s="7">
        <v>1995.5</v>
      </c>
      <c r="W37" s="15">
        <v>45108</v>
      </c>
      <c r="X37" s="12"/>
    </row>
    <row r="38" spans="1:25" x14ac:dyDescent="0.3">
      <c r="A38" s="12">
        <v>27</v>
      </c>
      <c r="B38" s="20">
        <v>16143.57</v>
      </c>
      <c r="C38" s="15">
        <v>45170</v>
      </c>
      <c r="D38" s="12" t="s">
        <v>4</v>
      </c>
      <c r="F38" s="12"/>
      <c r="G38" s="7">
        <v>3472.18</v>
      </c>
      <c r="H38" s="15">
        <v>45166</v>
      </c>
      <c r="I38" s="12"/>
      <c r="K38" s="12"/>
      <c r="L38" s="7">
        <v>1995.93</v>
      </c>
      <c r="M38" s="15">
        <v>45166</v>
      </c>
      <c r="N38" s="12"/>
      <c r="P38" s="12">
        <v>27</v>
      </c>
      <c r="Q38" s="7">
        <v>7735.46</v>
      </c>
      <c r="R38" s="15">
        <v>45197</v>
      </c>
      <c r="S38" s="12" t="s">
        <v>4</v>
      </c>
      <c r="U38" s="12"/>
      <c r="V38" s="7">
        <v>1995.5</v>
      </c>
      <c r="W38" s="15">
        <v>45139</v>
      </c>
      <c r="X38" s="12"/>
    </row>
    <row r="39" spans="1:25" x14ac:dyDescent="0.3">
      <c r="A39" s="12">
        <v>28</v>
      </c>
      <c r="B39" s="20">
        <v>16143.57</v>
      </c>
      <c r="C39" s="15">
        <v>45200</v>
      </c>
      <c r="D39" s="12" t="s">
        <v>4</v>
      </c>
      <c r="F39" s="12"/>
      <c r="G39" s="7">
        <v>3472.18</v>
      </c>
      <c r="H39" s="15">
        <v>45197</v>
      </c>
      <c r="I39" s="12"/>
      <c r="K39" s="12"/>
      <c r="L39" s="7">
        <v>1995.93</v>
      </c>
      <c r="M39" s="15">
        <v>45197</v>
      </c>
      <c r="N39" s="12"/>
      <c r="P39" s="12">
        <v>28</v>
      </c>
      <c r="Q39" s="7">
        <v>7735.46</v>
      </c>
      <c r="R39" s="15">
        <v>45227</v>
      </c>
      <c r="S39" s="12" t="s">
        <v>4</v>
      </c>
      <c r="U39" s="12"/>
      <c r="V39" s="7">
        <v>1995.5</v>
      </c>
      <c r="W39" s="15">
        <v>45170</v>
      </c>
      <c r="X39" s="12"/>
    </row>
    <row r="40" spans="1:25" x14ac:dyDescent="0.3">
      <c r="A40" s="12">
        <v>29</v>
      </c>
      <c r="B40" s="20">
        <v>16143.57</v>
      </c>
      <c r="C40" s="15">
        <v>45231</v>
      </c>
      <c r="D40" s="12" t="s">
        <v>4</v>
      </c>
      <c r="F40" s="12">
        <v>18</v>
      </c>
      <c r="G40" s="7">
        <v>2060.6999999999998</v>
      </c>
      <c r="H40" s="15">
        <v>45202</v>
      </c>
      <c r="I40" s="12" t="s">
        <v>4</v>
      </c>
      <c r="K40" s="12">
        <v>17</v>
      </c>
      <c r="L40" s="7">
        <v>2447.7199999999998</v>
      </c>
      <c r="M40" s="15">
        <v>45227</v>
      </c>
      <c r="N40" s="12" t="s">
        <v>4</v>
      </c>
      <c r="O40" s="12" t="s">
        <v>44</v>
      </c>
      <c r="P40" s="12">
        <v>29</v>
      </c>
      <c r="Q40" s="7">
        <v>7735.46</v>
      </c>
      <c r="R40" s="15">
        <v>45258</v>
      </c>
      <c r="S40" s="12" t="s">
        <v>4</v>
      </c>
      <c r="U40" s="12">
        <v>19</v>
      </c>
      <c r="V40" s="7">
        <v>1112.02</v>
      </c>
      <c r="W40" s="15">
        <v>45202</v>
      </c>
      <c r="X40" s="12" t="s">
        <v>4</v>
      </c>
    </row>
    <row r="41" spans="1:25" x14ac:dyDescent="0.3">
      <c r="A41" s="12">
        <v>30</v>
      </c>
      <c r="B41" s="20">
        <v>16963.53</v>
      </c>
      <c r="C41" s="15">
        <v>45261</v>
      </c>
      <c r="D41" s="12" t="s">
        <v>4</v>
      </c>
      <c r="F41" s="12">
        <v>19</v>
      </c>
      <c r="G41" s="7">
        <v>2059.37</v>
      </c>
      <c r="H41" s="15">
        <v>45258</v>
      </c>
      <c r="I41" s="12" t="s">
        <v>4</v>
      </c>
      <c r="K41" s="12">
        <v>18</v>
      </c>
      <c r="L41" s="7">
        <v>2443.96</v>
      </c>
      <c r="M41" s="15">
        <v>45258</v>
      </c>
      <c r="N41" s="12" t="s">
        <v>4</v>
      </c>
      <c r="P41" s="12">
        <v>30</v>
      </c>
      <c r="Q41" s="7">
        <v>8128.35</v>
      </c>
      <c r="R41" s="15">
        <v>45288</v>
      </c>
      <c r="S41" s="12" t="s">
        <v>4</v>
      </c>
      <c r="U41" s="12">
        <v>20</v>
      </c>
      <c r="V41" s="7">
        <v>1124.9000000000001</v>
      </c>
      <c r="W41" s="15">
        <v>45231</v>
      </c>
      <c r="X41" s="12" t="s">
        <v>4</v>
      </c>
    </row>
    <row r="42" spans="1:25" x14ac:dyDescent="0.3">
      <c r="A42" s="12">
        <v>31</v>
      </c>
      <c r="B42" s="20">
        <v>17241.8</v>
      </c>
      <c r="C42" s="15">
        <v>45292</v>
      </c>
      <c r="D42" s="12" t="s">
        <v>4</v>
      </c>
      <c r="F42" s="12">
        <v>20</v>
      </c>
      <c r="G42" s="7">
        <v>2123.35</v>
      </c>
      <c r="H42" s="15">
        <v>45288</v>
      </c>
      <c r="I42" s="12" t="s">
        <v>4</v>
      </c>
      <c r="K42" s="12">
        <v>19</v>
      </c>
      <c r="L42" s="7">
        <v>2557.09</v>
      </c>
      <c r="M42" s="15">
        <v>45288</v>
      </c>
      <c r="N42" s="12" t="s">
        <v>4</v>
      </c>
      <c r="P42" s="12">
        <v>31</v>
      </c>
      <c r="Q42" s="7">
        <v>8261.69</v>
      </c>
      <c r="R42" s="15">
        <v>45319</v>
      </c>
      <c r="S42" s="12" t="s">
        <v>4</v>
      </c>
      <c r="U42" s="12">
        <v>21</v>
      </c>
      <c r="V42" s="7">
        <v>1139.72</v>
      </c>
      <c r="W42" s="15">
        <v>45261</v>
      </c>
      <c r="X42" s="12" t="s">
        <v>4</v>
      </c>
    </row>
    <row r="43" spans="1:25" x14ac:dyDescent="0.3">
      <c r="A43" s="12">
        <v>32</v>
      </c>
      <c r="B43" s="20">
        <v>17100</v>
      </c>
      <c r="C43" s="15">
        <v>45323</v>
      </c>
      <c r="D43" s="12" t="s">
        <v>4</v>
      </c>
      <c r="F43" s="12">
        <v>21</v>
      </c>
      <c r="G43" s="7">
        <v>2120.75</v>
      </c>
      <c r="H43" s="15">
        <v>45319</v>
      </c>
      <c r="I43" s="12" t="s">
        <v>4</v>
      </c>
      <c r="K43" s="12">
        <v>20</v>
      </c>
      <c r="L43" s="7">
        <v>2555.3000000000002</v>
      </c>
      <c r="M43" s="15">
        <v>45319</v>
      </c>
      <c r="N43" s="12" t="s">
        <v>4</v>
      </c>
      <c r="P43" s="12">
        <v>32</v>
      </c>
      <c r="Q43" s="7">
        <v>8170</v>
      </c>
      <c r="R43" s="15">
        <v>45350</v>
      </c>
      <c r="S43" s="12" t="s">
        <v>4</v>
      </c>
      <c r="U43" s="12">
        <v>22</v>
      </c>
      <c r="V43" s="7">
        <v>1158.43</v>
      </c>
      <c r="W43" s="15">
        <v>45292</v>
      </c>
      <c r="X43" s="12" t="s">
        <v>4</v>
      </c>
    </row>
    <row r="44" spans="1:25" x14ac:dyDescent="0.3">
      <c r="A44" s="12">
        <v>33</v>
      </c>
      <c r="B44" s="20">
        <v>17100</v>
      </c>
      <c r="C44" s="15">
        <v>45352</v>
      </c>
      <c r="D44" s="12" t="s">
        <v>4</v>
      </c>
      <c r="F44" s="12">
        <v>22</v>
      </c>
      <c r="G44" s="7">
        <v>2120</v>
      </c>
      <c r="H44" s="15">
        <v>45350</v>
      </c>
      <c r="I44" s="12" t="s">
        <v>4</v>
      </c>
      <c r="K44" s="12">
        <v>21</v>
      </c>
      <c r="L44" s="7">
        <v>2500</v>
      </c>
      <c r="M44" s="15">
        <v>45350</v>
      </c>
      <c r="N44" s="12" t="s">
        <v>4</v>
      </c>
      <c r="P44" s="12">
        <v>33</v>
      </c>
      <c r="Q44" s="7">
        <v>8022</v>
      </c>
      <c r="R44" s="15">
        <v>45379</v>
      </c>
      <c r="S44" s="12" t="s">
        <v>4</v>
      </c>
      <c r="U44" s="12">
        <v>23</v>
      </c>
      <c r="V44" s="7">
        <v>1160</v>
      </c>
      <c r="W44" s="15">
        <v>45323</v>
      </c>
      <c r="X44" s="12" t="s">
        <v>4</v>
      </c>
    </row>
    <row r="45" spans="1:25" x14ac:dyDescent="0.3">
      <c r="A45" s="12">
        <v>34</v>
      </c>
      <c r="B45" s="20">
        <v>17100</v>
      </c>
      <c r="C45" s="15">
        <v>45383</v>
      </c>
      <c r="D45" s="12" t="s">
        <v>4</v>
      </c>
      <c r="F45" s="12">
        <v>23</v>
      </c>
      <c r="G45" s="7">
        <v>2120</v>
      </c>
      <c r="H45" s="15">
        <v>45379</v>
      </c>
      <c r="I45" s="12" t="s">
        <v>4</v>
      </c>
      <c r="K45" s="12">
        <v>22</v>
      </c>
      <c r="L45" s="7">
        <v>2500</v>
      </c>
      <c r="M45" s="15">
        <v>45379</v>
      </c>
      <c r="N45" s="12" t="s">
        <v>4</v>
      </c>
      <c r="P45" s="12">
        <v>34</v>
      </c>
      <c r="Q45" s="7">
        <v>7735.46</v>
      </c>
      <c r="R45" s="15">
        <v>45410</v>
      </c>
      <c r="S45" s="12" t="s">
        <v>4</v>
      </c>
      <c r="U45" s="12">
        <v>24</v>
      </c>
      <c r="V45" s="7">
        <v>1160</v>
      </c>
      <c r="W45" s="15">
        <v>45352</v>
      </c>
      <c r="X45" s="12" t="s">
        <v>4</v>
      </c>
    </row>
    <row r="46" spans="1:25" x14ac:dyDescent="0.3">
      <c r="A46" s="12">
        <v>35</v>
      </c>
      <c r="B46" s="20">
        <v>17100</v>
      </c>
      <c r="C46" s="15">
        <v>45413</v>
      </c>
      <c r="D46" s="12" t="s">
        <v>4</v>
      </c>
      <c r="F46" s="12">
        <v>24</v>
      </c>
      <c r="G46" s="7">
        <v>2120</v>
      </c>
      <c r="H46" s="15">
        <v>45410</v>
      </c>
      <c r="I46" s="12" t="s">
        <v>4</v>
      </c>
      <c r="K46" s="12">
        <v>23</v>
      </c>
      <c r="L46" s="7">
        <v>2500</v>
      </c>
      <c r="M46" s="15">
        <v>45410</v>
      </c>
      <c r="N46" s="12" t="s">
        <v>4</v>
      </c>
      <c r="P46" s="122">
        <v>35</v>
      </c>
      <c r="Q46" s="128">
        <v>7735.46</v>
      </c>
      <c r="R46" s="124">
        <v>45440</v>
      </c>
      <c r="S46" s="122" t="s">
        <v>4</v>
      </c>
      <c r="U46" s="12">
        <v>25</v>
      </c>
      <c r="V46" s="7">
        <v>1160</v>
      </c>
      <c r="W46" s="15">
        <v>45383</v>
      </c>
      <c r="X46" s="12" t="s">
        <v>4</v>
      </c>
    </row>
    <row r="47" spans="1:25" x14ac:dyDescent="0.3">
      <c r="A47" s="12">
        <v>36</v>
      </c>
      <c r="B47" s="20">
        <v>17100</v>
      </c>
      <c r="C47" s="15">
        <v>45444</v>
      </c>
      <c r="D47" s="12" t="s">
        <v>4</v>
      </c>
      <c r="F47" s="12">
        <v>25</v>
      </c>
      <c r="G47" s="7">
        <v>2120</v>
      </c>
      <c r="H47" s="15">
        <v>45440</v>
      </c>
      <c r="I47" s="12" t="s">
        <v>4</v>
      </c>
      <c r="K47" s="12">
        <v>24</v>
      </c>
      <c r="L47" s="7">
        <v>2500</v>
      </c>
      <c r="M47" s="15">
        <v>45440</v>
      </c>
      <c r="N47" s="12" t="s">
        <v>4</v>
      </c>
      <c r="P47" s="12">
        <v>36</v>
      </c>
      <c r="Q47" s="7">
        <v>7735.46</v>
      </c>
      <c r="R47" s="15">
        <v>45471</v>
      </c>
      <c r="S47" s="28" t="s">
        <v>4</v>
      </c>
      <c r="U47" s="12">
        <v>26</v>
      </c>
      <c r="V47" s="7">
        <v>1160</v>
      </c>
      <c r="W47" s="15">
        <v>45413</v>
      </c>
      <c r="X47" s="12" t="s">
        <v>4</v>
      </c>
    </row>
    <row r="48" spans="1:25" x14ac:dyDescent="0.3">
      <c r="A48" s="12">
        <v>37</v>
      </c>
      <c r="B48" s="20">
        <v>17100</v>
      </c>
      <c r="C48" s="15">
        <v>45474</v>
      </c>
      <c r="D48" s="12" t="s">
        <v>4</v>
      </c>
      <c r="F48" s="12">
        <v>26</v>
      </c>
      <c r="G48" s="7">
        <v>2120</v>
      </c>
      <c r="H48" s="15">
        <v>45471</v>
      </c>
      <c r="I48" s="12" t="s">
        <v>4</v>
      </c>
      <c r="K48" s="11">
        <v>25</v>
      </c>
      <c r="L48" s="126">
        <v>2500</v>
      </c>
      <c r="M48" s="127">
        <v>45471</v>
      </c>
      <c r="N48" s="12" t="s">
        <v>4</v>
      </c>
      <c r="P48" s="12">
        <v>37</v>
      </c>
      <c r="Q48" s="7">
        <v>7735.46</v>
      </c>
      <c r="R48" s="15">
        <v>45501</v>
      </c>
      <c r="S48" s="28" t="s">
        <v>4</v>
      </c>
      <c r="U48" s="122">
        <v>27</v>
      </c>
      <c r="V48" s="128">
        <v>1160</v>
      </c>
      <c r="W48" s="124">
        <v>45444</v>
      </c>
      <c r="X48" s="122" t="s">
        <v>4</v>
      </c>
      <c r="Y48" s="76"/>
    </row>
    <row r="49" spans="1:24" x14ac:dyDescent="0.3">
      <c r="A49" s="12">
        <v>38</v>
      </c>
      <c r="B49" s="20">
        <v>17100</v>
      </c>
      <c r="C49" s="15">
        <v>45505</v>
      </c>
      <c r="D49" s="12" t="s">
        <v>4</v>
      </c>
      <c r="F49" s="12">
        <v>27</v>
      </c>
      <c r="G49" s="7">
        <v>2120</v>
      </c>
      <c r="H49" s="15">
        <v>45501</v>
      </c>
      <c r="I49" s="12" t="s">
        <v>4</v>
      </c>
      <c r="K49" s="12">
        <v>26</v>
      </c>
      <c r="L49" s="7">
        <v>2500</v>
      </c>
      <c r="M49" s="15">
        <v>45501</v>
      </c>
      <c r="N49" s="12" t="s">
        <v>4</v>
      </c>
      <c r="P49" s="12">
        <v>38</v>
      </c>
      <c r="Q49" s="7">
        <v>7735.46</v>
      </c>
      <c r="R49" s="15">
        <v>45532</v>
      </c>
      <c r="S49" s="28" t="s">
        <v>4</v>
      </c>
      <c r="U49" s="12">
        <v>28</v>
      </c>
      <c r="V49" s="7">
        <v>1160</v>
      </c>
      <c r="W49" s="15">
        <v>45474</v>
      </c>
      <c r="X49" s="122" t="s">
        <v>4</v>
      </c>
    </row>
    <row r="50" spans="1:24" x14ac:dyDescent="0.3">
      <c r="A50" s="12">
        <v>39</v>
      </c>
      <c r="B50" s="20">
        <v>17100</v>
      </c>
      <c r="C50" s="15">
        <v>45536</v>
      </c>
      <c r="D50" s="12" t="s">
        <v>4</v>
      </c>
      <c r="F50" s="12">
        <v>28</v>
      </c>
      <c r="G50" s="7">
        <v>2120</v>
      </c>
      <c r="H50" s="15">
        <v>45532</v>
      </c>
      <c r="I50" s="12" t="s">
        <v>4</v>
      </c>
      <c r="K50" s="12">
        <v>27</v>
      </c>
      <c r="L50" s="7">
        <v>2500</v>
      </c>
      <c r="M50" s="15">
        <v>45509</v>
      </c>
      <c r="N50" s="12" t="s">
        <v>4</v>
      </c>
      <c r="P50" s="12">
        <v>39</v>
      </c>
      <c r="Q50" s="7">
        <v>7735.46</v>
      </c>
      <c r="R50" s="15">
        <v>45563</v>
      </c>
      <c r="S50" s="28" t="s">
        <v>4</v>
      </c>
      <c r="U50" s="12">
        <v>29</v>
      </c>
      <c r="V50" s="7">
        <v>1160</v>
      </c>
      <c r="W50" s="15">
        <v>45505</v>
      </c>
      <c r="X50" s="12"/>
    </row>
    <row r="51" spans="1:24" x14ac:dyDescent="0.3">
      <c r="A51" s="13"/>
      <c r="B51" s="26"/>
      <c r="D51" s="13"/>
      <c r="F51" s="12">
        <v>29</v>
      </c>
      <c r="G51" s="7">
        <v>2120</v>
      </c>
      <c r="H51" s="15">
        <v>45538</v>
      </c>
      <c r="I51" s="12" t="s">
        <v>4</v>
      </c>
      <c r="K51" s="12">
        <v>28</v>
      </c>
      <c r="L51" s="7">
        <v>2500</v>
      </c>
      <c r="M51" s="15">
        <v>45540</v>
      </c>
      <c r="N51" s="12" t="s">
        <v>4</v>
      </c>
      <c r="P51" s="13"/>
      <c r="Q51" s="17">
        <f>SUM(Q12:Q50)</f>
        <v>303323.14000000007</v>
      </c>
      <c r="R51" s="61"/>
      <c r="U51" s="12">
        <v>30</v>
      </c>
      <c r="V51" s="7">
        <v>1160</v>
      </c>
      <c r="W51" s="15">
        <v>45538</v>
      </c>
      <c r="X51" s="12"/>
    </row>
    <row r="52" spans="1:24" x14ac:dyDescent="0.3">
      <c r="A52" s="13"/>
      <c r="B52" s="26"/>
      <c r="C52" s="61"/>
      <c r="D52" s="13"/>
      <c r="F52" s="13"/>
      <c r="G52" s="17">
        <f>SUM(G12:G51)</f>
        <v>122545.20999999993</v>
      </c>
      <c r="H52" s="61"/>
      <c r="I52" s="12"/>
      <c r="K52" s="13"/>
      <c r="L52" s="17">
        <f>SUM(L12:L51)</f>
        <v>85890.11</v>
      </c>
      <c r="M52" s="61"/>
      <c r="P52" s="13"/>
      <c r="Q52" s="17"/>
      <c r="R52" s="61"/>
      <c r="U52" s="13"/>
      <c r="V52" s="17"/>
      <c r="W52" s="61"/>
      <c r="X52" s="13"/>
    </row>
    <row r="53" spans="1:24" x14ac:dyDescent="0.3">
      <c r="F53" s="13"/>
      <c r="G53" s="17"/>
      <c r="H53" s="61"/>
      <c r="I53" s="13"/>
      <c r="K53" s="13"/>
      <c r="L53" s="17"/>
      <c r="M53" s="61"/>
      <c r="N53" s="13"/>
      <c r="P53" s="13"/>
      <c r="Q53" s="17"/>
      <c r="R53" s="61"/>
      <c r="U53" s="13"/>
      <c r="V53" s="17"/>
      <c r="W53" s="61"/>
      <c r="X53" s="13"/>
    </row>
    <row r="54" spans="1:24" x14ac:dyDescent="0.3">
      <c r="F54" s="13"/>
      <c r="G54" s="17"/>
      <c r="H54" s="61"/>
      <c r="I54" s="13"/>
      <c r="K54" s="13"/>
      <c r="L54" s="17"/>
      <c r="M54" s="61"/>
      <c r="N54" s="13"/>
      <c r="P54" s="13"/>
      <c r="Q54" s="17"/>
      <c r="R54" s="61"/>
      <c r="U54" s="13"/>
      <c r="V54" s="17"/>
      <c r="W54" s="61"/>
      <c r="X54" s="13"/>
    </row>
    <row r="55" spans="1:24" x14ac:dyDescent="0.3">
      <c r="F55" s="13"/>
      <c r="G55" s="17"/>
      <c r="H55" s="61"/>
      <c r="I55" s="13"/>
      <c r="K55" s="13"/>
      <c r="L55" s="17"/>
      <c r="M55" s="61"/>
      <c r="N55" s="13"/>
      <c r="P55" s="13"/>
      <c r="Q55" s="17"/>
      <c r="U55" s="13"/>
      <c r="V55" s="17"/>
      <c r="W55" s="61"/>
      <c r="X55" s="13"/>
    </row>
    <row r="56" spans="1:24" x14ac:dyDescent="0.3">
      <c r="H56" s="61"/>
      <c r="P56" s="185"/>
      <c r="Q56" s="186"/>
      <c r="R56" s="186"/>
      <c r="S56" s="186"/>
    </row>
    <row r="57" spans="1:24" ht="15" thickBot="1" x14ac:dyDescent="0.35"/>
    <row r="58" spans="1:24" ht="20.399999999999999" customHeight="1" x14ac:dyDescent="0.35">
      <c r="A58" s="187" t="s">
        <v>34</v>
      </c>
      <c r="B58" s="188"/>
      <c r="C58" s="188"/>
      <c r="D58" s="188"/>
      <c r="E58" s="188"/>
      <c r="F58" s="188"/>
      <c r="G58" s="188"/>
      <c r="H58" s="188"/>
      <c r="I58" s="189"/>
    </row>
    <row r="59" spans="1:24" ht="15" thickBot="1" x14ac:dyDescent="0.35">
      <c r="A59" s="115" t="s">
        <v>95</v>
      </c>
      <c r="B59" s="116"/>
      <c r="C59" s="116"/>
      <c r="D59" s="116"/>
      <c r="E59" s="116"/>
      <c r="F59" s="116"/>
      <c r="G59" s="116"/>
      <c r="H59" s="116"/>
      <c r="I59" s="117"/>
      <c r="J59" s="93"/>
    </row>
    <row r="60" spans="1:24" x14ac:dyDescent="0.3">
      <c r="A60" s="46"/>
      <c r="I60" s="47"/>
    </row>
    <row r="61" spans="1:24" x14ac:dyDescent="0.3">
      <c r="A61" s="105"/>
      <c r="B61" s="178" t="s">
        <v>35</v>
      </c>
      <c r="C61" s="178"/>
      <c r="D61" s="106"/>
      <c r="E61" s="93"/>
      <c r="F61" s="106"/>
      <c r="G61" s="178" t="s">
        <v>25</v>
      </c>
      <c r="H61" s="178"/>
      <c r="I61" s="107"/>
      <c r="K61" s="14"/>
      <c r="L61" s="169" t="s">
        <v>35</v>
      </c>
      <c r="M61" s="169"/>
      <c r="N61" s="14"/>
      <c r="P61" s="14"/>
      <c r="Q61" s="169" t="s">
        <v>25</v>
      </c>
      <c r="R61" s="169"/>
      <c r="S61" s="14"/>
    </row>
    <row r="62" spans="1:24" x14ac:dyDescent="0.3">
      <c r="A62" s="179"/>
      <c r="B62" s="180"/>
      <c r="C62" s="180"/>
      <c r="D62" s="180"/>
      <c r="E62" s="93"/>
      <c r="F62" s="180"/>
      <c r="G62" s="180"/>
      <c r="H62" s="180"/>
      <c r="I62" s="190"/>
      <c r="K62" s="142" t="s">
        <v>102</v>
      </c>
      <c r="L62" s="142"/>
      <c r="M62" s="142"/>
      <c r="N62" s="142"/>
      <c r="P62" s="142" t="s">
        <v>103</v>
      </c>
      <c r="Q62" s="142"/>
      <c r="R62" s="142"/>
      <c r="S62" s="142"/>
    </row>
    <row r="63" spans="1:24" x14ac:dyDescent="0.3">
      <c r="A63" s="181" t="s">
        <v>8</v>
      </c>
      <c r="B63" s="173"/>
      <c r="C63" s="174">
        <v>150000</v>
      </c>
      <c r="D63" s="174"/>
      <c r="E63" s="93"/>
      <c r="F63" s="173" t="s">
        <v>8</v>
      </c>
      <c r="G63" s="173"/>
      <c r="H63" s="174">
        <v>150000</v>
      </c>
      <c r="I63" s="175"/>
      <c r="K63" s="137" t="s">
        <v>8</v>
      </c>
      <c r="L63" s="137"/>
      <c r="M63" s="143">
        <v>150000</v>
      </c>
      <c r="N63" s="143"/>
      <c r="P63" s="137" t="s">
        <v>8</v>
      </c>
      <c r="Q63" s="137"/>
      <c r="R63" s="143">
        <v>150000</v>
      </c>
      <c r="S63" s="143"/>
    </row>
    <row r="64" spans="1:24" x14ac:dyDescent="0.3">
      <c r="A64" s="181" t="s">
        <v>14</v>
      </c>
      <c r="B64" s="173"/>
      <c r="C64" s="174">
        <f>A107</f>
        <v>0</v>
      </c>
      <c r="D64" s="174"/>
      <c r="E64" s="93"/>
      <c r="F64" s="173" t="s">
        <v>14</v>
      </c>
      <c r="G64" s="173"/>
      <c r="H64" s="174">
        <f>F107</f>
        <v>0</v>
      </c>
      <c r="I64" s="175"/>
      <c r="K64" s="137" t="s">
        <v>14</v>
      </c>
      <c r="L64" s="137"/>
      <c r="M64" s="143">
        <f>K107</f>
        <v>0</v>
      </c>
      <c r="N64" s="143"/>
      <c r="P64" s="137" t="s">
        <v>14</v>
      </c>
      <c r="Q64" s="137"/>
      <c r="R64" s="143">
        <f>P107</f>
        <v>0</v>
      </c>
      <c r="S64" s="143"/>
    </row>
    <row r="65" spans="1:19" x14ac:dyDescent="0.3">
      <c r="A65" s="181" t="s">
        <v>7</v>
      </c>
      <c r="B65" s="173"/>
      <c r="C65" s="176" t="s">
        <v>36</v>
      </c>
      <c r="D65" s="176"/>
      <c r="E65" s="93"/>
      <c r="F65" s="173" t="s">
        <v>7</v>
      </c>
      <c r="G65" s="173"/>
      <c r="H65" s="176" t="s">
        <v>36</v>
      </c>
      <c r="I65" s="177"/>
      <c r="K65" s="137" t="s">
        <v>7</v>
      </c>
      <c r="L65" s="137"/>
      <c r="M65" s="138" t="s">
        <v>36</v>
      </c>
      <c r="N65" s="138"/>
      <c r="P65" s="137" t="s">
        <v>7</v>
      </c>
      <c r="Q65" s="137"/>
      <c r="R65" s="138" t="s">
        <v>36</v>
      </c>
      <c r="S65" s="138"/>
    </row>
    <row r="66" spans="1:19" x14ac:dyDescent="0.3">
      <c r="A66" s="182" t="s">
        <v>69</v>
      </c>
      <c r="B66" s="183"/>
      <c r="C66" s="94" t="s">
        <v>70</v>
      </c>
      <c r="D66" s="95" t="s">
        <v>71</v>
      </c>
      <c r="E66" s="93"/>
      <c r="F66" s="184" t="s">
        <v>68</v>
      </c>
      <c r="G66" s="183"/>
      <c r="H66" s="94" t="s">
        <v>70</v>
      </c>
      <c r="I66" s="108" t="s">
        <v>71</v>
      </c>
      <c r="K66" s="164" t="s">
        <v>69</v>
      </c>
      <c r="L66" s="165"/>
      <c r="M66" s="32" t="s">
        <v>70</v>
      </c>
      <c r="N66" s="70" t="s">
        <v>71</v>
      </c>
      <c r="P66" s="164" t="s">
        <v>68</v>
      </c>
      <c r="Q66" s="165"/>
      <c r="R66" s="32" t="s">
        <v>70</v>
      </c>
      <c r="S66" s="70" t="s">
        <v>71</v>
      </c>
    </row>
    <row r="67" spans="1:19" x14ac:dyDescent="0.3">
      <c r="A67" s="109" t="s">
        <v>0</v>
      </c>
      <c r="B67" s="99" t="s">
        <v>1</v>
      </c>
      <c r="C67" s="100" t="s">
        <v>2</v>
      </c>
      <c r="D67" s="101" t="s">
        <v>6</v>
      </c>
      <c r="E67" s="93"/>
      <c r="F67" s="98" t="s">
        <v>0</v>
      </c>
      <c r="G67" s="99" t="s">
        <v>1</v>
      </c>
      <c r="H67" s="99" t="s">
        <v>2</v>
      </c>
      <c r="I67" s="110" t="s">
        <v>6</v>
      </c>
      <c r="K67" s="11" t="s">
        <v>0</v>
      </c>
      <c r="L67" s="6" t="s">
        <v>1</v>
      </c>
      <c r="M67" s="73" t="s">
        <v>2</v>
      </c>
      <c r="N67" s="12" t="s">
        <v>6</v>
      </c>
      <c r="P67" s="11" t="s">
        <v>0</v>
      </c>
      <c r="Q67" s="6" t="s">
        <v>1</v>
      </c>
      <c r="R67" s="6" t="s">
        <v>2</v>
      </c>
      <c r="S67" s="12" t="s">
        <v>6</v>
      </c>
    </row>
    <row r="68" spans="1:19" x14ac:dyDescent="0.3">
      <c r="A68" s="111">
        <v>1</v>
      </c>
      <c r="B68" s="103">
        <v>4683.5</v>
      </c>
      <c r="C68" s="104">
        <v>45219</v>
      </c>
      <c r="D68" s="102" t="s">
        <v>94</v>
      </c>
      <c r="E68" s="93"/>
      <c r="F68" s="102">
        <v>1</v>
      </c>
      <c r="G68" s="103">
        <v>4683.5</v>
      </c>
      <c r="H68" s="104">
        <v>45250</v>
      </c>
      <c r="I68" s="112" t="s">
        <v>94</v>
      </c>
      <c r="K68" s="28">
        <v>1</v>
      </c>
      <c r="L68" s="20">
        <v>5314</v>
      </c>
      <c r="M68" s="42">
        <v>45219</v>
      </c>
      <c r="N68" s="28" t="s">
        <v>4</v>
      </c>
      <c r="P68" s="28">
        <v>1</v>
      </c>
      <c r="Q68" s="20">
        <v>5420.44</v>
      </c>
      <c r="R68" s="42">
        <v>45246</v>
      </c>
      <c r="S68" s="28" t="s">
        <v>4</v>
      </c>
    </row>
    <row r="69" spans="1:19" x14ac:dyDescent="0.3">
      <c r="A69" s="111">
        <v>2</v>
      </c>
      <c r="B69" s="103">
        <v>4683.5</v>
      </c>
      <c r="C69" s="104">
        <v>45250</v>
      </c>
      <c r="D69" s="102" t="s">
        <v>94</v>
      </c>
      <c r="E69" s="93"/>
      <c r="F69" s="102">
        <v>2</v>
      </c>
      <c r="G69" s="103">
        <v>4683.5</v>
      </c>
      <c r="H69" s="104">
        <v>45280</v>
      </c>
      <c r="I69" s="112" t="s">
        <v>94</v>
      </c>
      <c r="K69" s="28">
        <v>2</v>
      </c>
      <c r="L69" s="20">
        <v>5362.67</v>
      </c>
      <c r="M69" s="42">
        <v>45250</v>
      </c>
      <c r="N69" s="28" t="s">
        <v>4</v>
      </c>
      <c r="P69" s="28">
        <v>2</v>
      </c>
      <c r="Q69" s="20">
        <v>5362.75</v>
      </c>
      <c r="R69" s="42">
        <v>45276</v>
      </c>
      <c r="S69" s="28" t="s">
        <v>4</v>
      </c>
    </row>
    <row r="70" spans="1:19" x14ac:dyDescent="0.3">
      <c r="A70" s="111">
        <v>3</v>
      </c>
      <c r="B70" s="103">
        <v>4683.5</v>
      </c>
      <c r="C70" s="104">
        <v>45280</v>
      </c>
      <c r="D70" s="102" t="s">
        <v>94</v>
      </c>
      <c r="E70" s="93"/>
      <c r="F70" s="102">
        <v>3</v>
      </c>
      <c r="G70" s="103">
        <v>4683.5</v>
      </c>
      <c r="H70" s="104">
        <v>45311</v>
      </c>
      <c r="I70" s="112"/>
      <c r="K70" s="28">
        <v>3</v>
      </c>
      <c r="L70" s="20">
        <v>5414.17</v>
      </c>
      <c r="M70" s="42">
        <v>45280</v>
      </c>
      <c r="N70" s="28" t="s">
        <v>4</v>
      </c>
      <c r="P70" s="28">
        <v>3</v>
      </c>
      <c r="Q70" s="20">
        <v>5704.23</v>
      </c>
      <c r="R70" s="42">
        <v>45307</v>
      </c>
      <c r="S70" s="28" t="s">
        <v>4</v>
      </c>
    </row>
    <row r="71" spans="1:19" x14ac:dyDescent="0.3">
      <c r="A71" s="111">
        <v>4</v>
      </c>
      <c r="B71" s="103">
        <v>4683.5</v>
      </c>
      <c r="C71" s="104">
        <v>45311</v>
      </c>
      <c r="D71" s="102"/>
      <c r="E71" s="93"/>
      <c r="F71" s="102">
        <v>4</v>
      </c>
      <c r="G71" s="103">
        <v>4683.5</v>
      </c>
      <c r="H71" s="104">
        <v>45342</v>
      </c>
      <c r="I71" s="112"/>
      <c r="K71" s="28">
        <v>4</v>
      </c>
      <c r="L71" s="20">
        <v>5600</v>
      </c>
      <c r="M71" s="42">
        <v>45311</v>
      </c>
      <c r="N71" s="28" t="s">
        <v>4</v>
      </c>
      <c r="P71" s="28">
        <v>4</v>
      </c>
      <c r="Q71" s="20">
        <v>5800</v>
      </c>
      <c r="R71" s="42">
        <v>45338</v>
      </c>
      <c r="S71" s="28" t="s">
        <v>4</v>
      </c>
    </row>
    <row r="72" spans="1:19" x14ac:dyDescent="0.3">
      <c r="A72" s="111">
        <v>5</v>
      </c>
      <c r="B72" s="103">
        <v>4683.5</v>
      </c>
      <c r="C72" s="104">
        <v>45342</v>
      </c>
      <c r="D72" s="102"/>
      <c r="E72" s="93"/>
      <c r="F72" s="102">
        <v>5</v>
      </c>
      <c r="G72" s="103">
        <v>4683.5</v>
      </c>
      <c r="H72" s="104">
        <v>45371</v>
      </c>
      <c r="I72" s="112"/>
      <c r="K72" s="28">
        <v>5</v>
      </c>
      <c r="L72" s="20">
        <v>5600</v>
      </c>
      <c r="M72" s="42">
        <v>45342</v>
      </c>
      <c r="N72" s="28" t="s">
        <v>4</v>
      </c>
      <c r="P72" s="28">
        <v>5</v>
      </c>
      <c r="Q72" s="20">
        <v>5800</v>
      </c>
      <c r="R72" s="42">
        <v>45371</v>
      </c>
      <c r="S72" s="28" t="s">
        <v>4</v>
      </c>
    </row>
    <row r="73" spans="1:19" x14ac:dyDescent="0.3">
      <c r="A73" s="111">
        <v>6</v>
      </c>
      <c r="B73" s="103">
        <v>4683.5</v>
      </c>
      <c r="C73" s="104">
        <v>45371</v>
      </c>
      <c r="D73" s="102"/>
      <c r="E73" s="93"/>
      <c r="F73" s="102">
        <v>6</v>
      </c>
      <c r="G73" s="103">
        <v>4683.5</v>
      </c>
      <c r="H73" s="104">
        <v>45402</v>
      </c>
      <c r="I73" s="112"/>
      <c r="K73" s="28">
        <v>6</v>
      </c>
      <c r="L73" s="20">
        <v>5600</v>
      </c>
      <c r="M73" s="42">
        <v>45371</v>
      </c>
      <c r="N73" s="28" t="s">
        <v>4</v>
      </c>
      <c r="P73" s="28">
        <v>6</v>
      </c>
      <c r="Q73" s="20">
        <v>5800</v>
      </c>
      <c r="R73" s="42">
        <v>45402</v>
      </c>
      <c r="S73" s="28" t="s">
        <v>4</v>
      </c>
    </row>
    <row r="74" spans="1:19" x14ac:dyDescent="0.3">
      <c r="A74" s="111">
        <v>7</v>
      </c>
      <c r="B74" s="103">
        <v>4683.5</v>
      </c>
      <c r="C74" s="104">
        <v>45402</v>
      </c>
      <c r="D74" s="102"/>
      <c r="E74" s="93"/>
      <c r="F74" s="102">
        <v>7</v>
      </c>
      <c r="G74" s="103">
        <v>4683.5</v>
      </c>
      <c r="H74" s="104">
        <v>45432</v>
      </c>
      <c r="I74" s="112"/>
      <c r="K74" s="28">
        <v>7</v>
      </c>
      <c r="L74" s="20">
        <v>5600</v>
      </c>
      <c r="M74" s="42">
        <v>45402</v>
      </c>
      <c r="N74" s="28" t="s">
        <v>4</v>
      </c>
      <c r="P74" s="28">
        <v>7</v>
      </c>
      <c r="Q74" s="20">
        <v>5800</v>
      </c>
      <c r="R74" s="42">
        <v>45432</v>
      </c>
      <c r="S74" s="28" t="s">
        <v>4</v>
      </c>
    </row>
    <row r="75" spans="1:19" x14ac:dyDescent="0.3">
      <c r="A75" s="111">
        <v>8</v>
      </c>
      <c r="B75" s="103">
        <v>4683.5</v>
      </c>
      <c r="C75" s="104">
        <v>45432</v>
      </c>
      <c r="D75" s="102"/>
      <c r="E75" s="93"/>
      <c r="F75" s="102">
        <v>8</v>
      </c>
      <c r="G75" s="103">
        <v>4683.5</v>
      </c>
      <c r="H75" s="104">
        <v>45463</v>
      </c>
      <c r="I75" s="112"/>
      <c r="K75" s="28">
        <v>8</v>
      </c>
      <c r="L75" s="20">
        <v>5600</v>
      </c>
      <c r="M75" s="42">
        <v>45432</v>
      </c>
      <c r="N75" s="28" t="s">
        <v>4</v>
      </c>
      <c r="P75" s="28">
        <v>8</v>
      </c>
      <c r="Q75" s="20">
        <v>5800</v>
      </c>
      <c r="R75" s="42">
        <v>45463</v>
      </c>
      <c r="S75" s="28" t="s">
        <v>4</v>
      </c>
    </row>
    <row r="76" spans="1:19" x14ac:dyDescent="0.3">
      <c r="A76" s="111">
        <v>9</v>
      </c>
      <c r="B76" s="103">
        <v>4683.5</v>
      </c>
      <c r="C76" s="104">
        <v>45463</v>
      </c>
      <c r="D76" s="102"/>
      <c r="E76" s="93"/>
      <c r="F76" s="102">
        <v>9</v>
      </c>
      <c r="G76" s="103">
        <v>4683.5</v>
      </c>
      <c r="H76" s="104">
        <v>45493</v>
      </c>
      <c r="I76" s="112"/>
      <c r="K76" s="129">
        <v>9</v>
      </c>
      <c r="L76" s="130">
        <v>5600</v>
      </c>
      <c r="M76" s="131">
        <v>45463</v>
      </c>
      <c r="N76" s="129" t="s">
        <v>4</v>
      </c>
      <c r="P76" s="28">
        <v>9</v>
      </c>
      <c r="Q76" s="20">
        <v>5800</v>
      </c>
      <c r="R76" s="42">
        <v>45493</v>
      </c>
      <c r="S76" s="28" t="s">
        <v>4</v>
      </c>
    </row>
    <row r="77" spans="1:19" x14ac:dyDescent="0.3">
      <c r="A77" s="111">
        <v>10</v>
      </c>
      <c r="B77" s="103">
        <v>4683.5</v>
      </c>
      <c r="C77" s="104">
        <v>45493</v>
      </c>
      <c r="D77" s="102"/>
      <c r="E77" s="93"/>
      <c r="F77" s="102">
        <v>10</v>
      </c>
      <c r="G77" s="103">
        <v>4683.5</v>
      </c>
      <c r="H77" s="104">
        <v>45524</v>
      </c>
      <c r="I77" s="112"/>
      <c r="K77" s="129">
        <v>10</v>
      </c>
      <c r="L77" s="130">
        <v>5600</v>
      </c>
      <c r="M77" s="131">
        <v>45493</v>
      </c>
      <c r="N77" s="129" t="s">
        <v>4</v>
      </c>
      <c r="P77" s="28">
        <v>10</v>
      </c>
      <c r="Q77" s="20">
        <v>5800</v>
      </c>
      <c r="R77" s="42">
        <v>45524</v>
      </c>
      <c r="S77" s="28" t="s">
        <v>4</v>
      </c>
    </row>
    <row r="78" spans="1:19" x14ac:dyDescent="0.3">
      <c r="A78" s="111">
        <v>11</v>
      </c>
      <c r="B78" s="103">
        <v>4683.5</v>
      </c>
      <c r="C78" s="104">
        <v>45524</v>
      </c>
      <c r="D78" s="102"/>
      <c r="E78" s="93"/>
      <c r="F78" s="102">
        <v>11</v>
      </c>
      <c r="G78" s="103">
        <v>4683.5</v>
      </c>
      <c r="H78" s="104">
        <v>45555</v>
      </c>
      <c r="I78" s="112"/>
      <c r="K78" s="28">
        <v>11</v>
      </c>
      <c r="L78" s="20">
        <v>5600</v>
      </c>
      <c r="M78" s="42">
        <v>45524</v>
      </c>
      <c r="N78" s="129" t="s">
        <v>4</v>
      </c>
      <c r="P78" s="28">
        <v>11</v>
      </c>
      <c r="Q78" s="20">
        <v>5800</v>
      </c>
      <c r="R78" s="42">
        <v>45555</v>
      </c>
      <c r="S78" s="28" t="s">
        <v>4</v>
      </c>
    </row>
    <row r="79" spans="1:19" x14ac:dyDescent="0.3">
      <c r="A79" s="111">
        <v>12</v>
      </c>
      <c r="B79" s="103">
        <v>4683.5</v>
      </c>
      <c r="C79" s="104">
        <v>45555</v>
      </c>
      <c r="D79" s="102"/>
      <c r="E79" s="93"/>
      <c r="F79" s="102">
        <v>12</v>
      </c>
      <c r="G79" s="103">
        <v>4683.5</v>
      </c>
      <c r="H79" s="104">
        <v>45585</v>
      </c>
      <c r="I79" s="112"/>
      <c r="K79" s="28">
        <v>12</v>
      </c>
      <c r="L79" s="20">
        <v>5600</v>
      </c>
      <c r="M79" s="42">
        <v>45555</v>
      </c>
      <c r="N79" s="129" t="s">
        <v>4</v>
      </c>
      <c r="P79" s="28">
        <v>12</v>
      </c>
      <c r="Q79" s="20">
        <v>5800</v>
      </c>
      <c r="R79" s="42">
        <v>45585</v>
      </c>
      <c r="S79" s="28" t="s">
        <v>4</v>
      </c>
    </row>
    <row r="80" spans="1:19" x14ac:dyDescent="0.3">
      <c r="A80" s="111">
        <v>13</v>
      </c>
      <c r="B80" s="103">
        <v>4683.5</v>
      </c>
      <c r="C80" s="104">
        <v>45585</v>
      </c>
      <c r="D80" s="102"/>
      <c r="E80" s="93"/>
      <c r="F80" s="102">
        <v>13</v>
      </c>
      <c r="G80" s="103">
        <v>4683.5</v>
      </c>
      <c r="H80" s="104">
        <v>45616</v>
      </c>
      <c r="I80" s="112"/>
      <c r="K80" s="28">
        <v>13</v>
      </c>
      <c r="L80" s="20">
        <v>5600</v>
      </c>
      <c r="M80" s="42">
        <v>45585</v>
      </c>
      <c r="N80" s="129" t="s">
        <v>4</v>
      </c>
      <c r="P80" s="28">
        <v>13</v>
      </c>
      <c r="Q80" s="20">
        <v>5800</v>
      </c>
      <c r="R80" s="42">
        <v>45616</v>
      </c>
      <c r="S80" s="28" t="s">
        <v>4</v>
      </c>
    </row>
    <row r="81" spans="1:19" x14ac:dyDescent="0.3">
      <c r="A81" s="111">
        <v>14</v>
      </c>
      <c r="B81" s="103">
        <v>4683.5</v>
      </c>
      <c r="C81" s="104">
        <v>45616</v>
      </c>
      <c r="D81" s="102"/>
      <c r="E81" s="93"/>
      <c r="F81" s="102">
        <v>14</v>
      </c>
      <c r="G81" s="103">
        <v>4683.5</v>
      </c>
      <c r="H81" s="104">
        <v>45646</v>
      </c>
      <c r="I81" s="112"/>
      <c r="K81" s="28">
        <v>14</v>
      </c>
      <c r="L81" s="20">
        <v>5600</v>
      </c>
      <c r="M81" s="42">
        <v>45616</v>
      </c>
      <c r="N81" s="129" t="s">
        <v>4</v>
      </c>
      <c r="P81" s="28">
        <v>14</v>
      </c>
      <c r="Q81" s="20">
        <v>5800</v>
      </c>
      <c r="R81" s="42">
        <v>45646</v>
      </c>
      <c r="S81" s="28" t="s">
        <v>4</v>
      </c>
    </row>
    <row r="82" spans="1:19" x14ac:dyDescent="0.3">
      <c r="A82" s="111">
        <v>15</v>
      </c>
      <c r="B82" s="103">
        <v>4683.5</v>
      </c>
      <c r="C82" s="104">
        <v>45646</v>
      </c>
      <c r="D82" s="102"/>
      <c r="E82" s="93"/>
      <c r="F82" s="102">
        <v>15</v>
      </c>
      <c r="G82" s="103">
        <v>4683.5</v>
      </c>
      <c r="H82" s="104">
        <v>45677</v>
      </c>
      <c r="I82" s="112"/>
      <c r="K82" s="28">
        <v>15</v>
      </c>
      <c r="L82" s="20">
        <v>5600</v>
      </c>
      <c r="M82" s="42">
        <v>45646</v>
      </c>
      <c r="N82" s="129" t="s">
        <v>4</v>
      </c>
      <c r="P82" s="28">
        <v>15</v>
      </c>
      <c r="Q82" s="20">
        <v>5800</v>
      </c>
      <c r="R82" s="42">
        <v>45677</v>
      </c>
      <c r="S82" s="28" t="s">
        <v>4</v>
      </c>
    </row>
    <row r="83" spans="1:19" x14ac:dyDescent="0.3">
      <c r="A83" s="111">
        <v>16</v>
      </c>
      <c r="B83" s="103">
        <v>4683.5</v>
      </c>
      <c r="C83" s="104">
        <v>45677</v>
      </c>
      <c r="D83" s="102"/>
      <c r="E83" s="93"/>
      <c r="F83" s="102">
        <v>16</v>
      </c>
      <c r="G83" s="103">
        <v>4683.5</v>
      </c>
      <c r="H83" s="104">
        <v>45708</v>
      </c>
      <c r="I83" s="112"/>
      <c r="K83" s="28">
        <v>16</v>
      </c>
      <c r="L83" s="20">
        <v>5600</v>
      </c>
      <c r="M83" s="42">
        <v>45677</v>
      </c>
      <c r="N83" s="129" t="s">
        <v>4</v>
      </c>
      <c r="P83" s="28">
        <v>16</v>
      </c>
      <c r="Q83" s="20">
        <v>5800</v>
      </c>
      <c r="R83" s="42">
        <v>45708</v>
      </c>
      <c r="S83" s="28" t="s">
        <v>4</v>
      </c>
    </row>
    <row r="84" spans="1:19" x14ac:dyDescent="0.3">
      <c r="A84" s="111">
        <v>17</v>
      </c>
      <c r="B84" s="103">
        <v>4683.5</v>
      </c>
      <c r="C84" s="104">
        <v>45708</v>
      </c>
      <c r="D84" s="102"/>
      <c r="E84" s="93"/>
      <c r="F84" s="102">
        <v>17</v>
      </c>
      <c r="G84" s="103">
        <v>4683.5</v>
      </c>
      <c r="H84" s="104">
        <v>45736</v>
      </c>
      <c r="I84" s="112"/>
      <c r="K84" s="28">
        <v>17</v>
      </c>
      <c r="L84" s="20">
        <v>5600</v>
      </c>
      <c r="M84" s="42">
        <v>45708</v>
      </c>
      <c r="N84" s="129" t="s">
        <v>4</v>
      </c>
      <c r="P84" s="28">
        <v>17</v>
      </c>
      <c r="Q84" s="20">
        <v>5800</v>
      </c>
      <c r="R84" s="42">
        <v>45736</v>
      </c>
      <c r="S84" s="28" t="s">
        <v>4</v>
      </c>
    </row>
    <row r="85" spans="1:19" x14ac:dyDescent="0.3">
      <c r="A85" s="111">
        <v>18</v>
      </c>
      <c r="B85" s="103">
        <v>4683.5</v>
      </c>
      <c r="C85" s="104">
        <v>45736</v>
      </c>
      <c r="D85" s="102"/>
      <c r="E85" s="93"/>
      <c r="F85" s="102">
        <v>18</v>
      </c>
      <c r="G85" s="103">
        <v>4683.5</v>
      </c>
      <c r="H85" s="104">
        <v>45767</v>
      </c>
      <c r="I85" s="112"/>
      <c r="K85" s="28">
        <v>18</v>
      </c>
      <c r="L85" s="20">
        <v>5600</v>
      </c>
      <c r="M85" s="42">
        <v>45736</v>
      </c>
      <c r="N85" s="129" t="s">
        <v>4</v>
      </c>
      <c r="P85" s="28">
        <v>18</v>
      </c>
      <c r="Q85" s="20">
        <v>5800</v>
      </c>
      <c r="R85" s="42">
        <v>45767</v>
      </c>
      <c r="S85" s="28" t="s">
        <v>4</v>
      </c>
    </row>
    <row r="86" spans="1:19" x14ac:dyDescent="0.3">
      <c r="A86" s="111">
        <v>19</v>
      </c>
      <c r="B86" s="103">
        <v>4683.5</v>
      </c>
      <c r="C86" s="104">
        <v>45767</v>
      </c>
      <c r="D86" s="102"/>
      <c r="E86" s="93"/>
      <c r="F86" s="102">
        <v>19</v>
      </c>
      <c r="G86" s="103">
        <v>4683.5</v>
      </c>
      <c r="H86" s="104">
        <v>45797</v>
      </c>
      <c r="I86" s="112"/>
      <c r="K86" s="28">
        <v>19</v>
      </c>
      <c r="L86" s="20">
        <v>5600</v>
      </c>
      <c r="M86" s="42">
        <v>45767</v>
      </c>
      <c r="N86" s="129" t="s">
        <v>4</v>
      </c>
      <c r="P86" s="28">
        <v>19</v>
      </c>
      <c r="Q86" s="20">
        <v>5800</v>
      </c>
      <c r="R86" s="42">
        <v>45797</v>
      </c>
      <c r="S86" s="28"/>
    </row>
    <row r="87" spans="1:19" x14ac:dyDescent="0.3">
      <c r="A87" s="111">
        <v>20</v>
      </c>
      <c r="B87" s="103">
        <v>4683.5</v>
      </c>
      <c r="C87" s="104">
        <v>45797</v>
      </c>
      <c r="D87" s="102"/>
      <c r="E87" s="93"/>
      <c r="F87" s="102">
        <v>20</v>
      </c>
      <c r="G87" s="103">
        <v>4683.5</v>
      </c>
      <c r="H87" s="104">
        <v>45828</v>
      </c>
      <c r="I87" s="112"/>
      <c r="K87" s="28">
        <v>20</v>
      </c>
      <c r="L87" s="20">
        <v>5600</v>
      </c>
      <c r="M87" s="42">
        <v>45797</v>
      </c>
      <c r="N87" s="28"/>
      <c r="P87" s="28">
        <v>20</v>
      </c>
      <c r="Q87" s="20">
        <v>5800</v>
      </c>
      <c r="R87" s="42">
        <v>45828</v>
      </c>
      <c r="S87" s="28"/>
    </row>
    <row r="88" spans="1:19" x14ac:dyDescent="0.3">
      <c r="A88" s="111">
        <v>21</v>
      </c>
      <c r="B88" s="103">
        <v>4683.5</v>
      </c>
      <c r="C88" s="104">
        <v>45828</v>
      </c>
      <c r="D88" s="102"/>
      <c r="E88" s="93"/>
      <c r="F88" s="102">
        <v>21</v>
      </c>
      <c r="G88" s="103">
        <v>4683.5</v>
      </c>
      <c r="H88" s="104">
        <v>45858</v>
      </c>
      <c r="I88" s="112"/>
      <c r="K88" s="28">
        <v>21</v>
      </c>
      <c r="L88" s="20">
        <v>5600</v>
      </c>
      <c r="M88" s="42">
        <v>45828</v>
      </c>
      <c r="N88" s="28"/>
      <c r="P88" s="28">
        <v>21</v>
      </c>
      <c r="Q88" s="20">
        <v>5800</v>
      </c>
      <c r="R88" s="42">
        <v>45858</v>
      </c>
      <c r="S88" s="28"/>
    </row>
    <row r="89" spans="1:19" x14ac:dyDescent="0.3">
      <c r="A89" s="111">
        <v>22</v>
      </c>
      <c r="B89" s="103">
        <v>4683.5</v>
      </c>
      <c r="C89" s="104">
        <v>45858</v>
      </c>
      <c r="D89" s="102"/>
      <c r="E89" s="93"/>
      <c r="F89" s="102">
        <v>22</v>
      </c>
      <c r="G89" s="103">
        <v>4683.5</v>
      </c>
      <c r="H89" s="104">
        <v>45889</v>
      </c>
      <c r="I89" s="112"/>
      <c r="K89" s="28">
        <v>22</v>
      </c>
      <c r="L89" s="20">
        <v>5600</v>
      </c>
      <c r="M89" s="42">
        <v>45858</v>
      </c>
      <c r="N89" s="28"/>
      <c r="P89" s="28">
        <v>22</v>
      </c>
      <c r="Q89" s="20">
        <v>5800</v>
      </c>
      <c r="R89" s="42">
        <v>45889</v>
      </c>
      <c r="S89" s="28"/>
    </row>
    <row r="90" spans="1:19" x14ac:dyDescent="0.3">
      <c r="A90" s="111">
        <v>23</v>
      </c>
      <c r="B90" s="103">
        <v>4683.5</v>
      </c>
      <c r="C90" s="104">
        <v>45889</v>
      </c>
      <c r="D90" s="102"/>
      <c r="E90" s="93"/>
      <c r="F90" s="102">
        <v>23</v>
      </c>
      <c r="G90" s="103">
        <v>4683.5</v>
      </c>
      <c r="H90" s="104">
        <v>45920</v>
      </c>
      <c r="I90" s="112"/>
      <c r="K90" s="28">
        <v>23</v>
      </c>
      <c r="L90" s="20">
        <v>5600</v>
      </c>
      <c r="M90" s="42">
        <v>45889</v>
      </c>
      <c r="N90" s="28"/>
      <c r="P90" s="28">
        <v>23</v>
      </c>
      <c r="Q90" s="20">
        <v>5800</v>
      </c>
      <c r="R90" s="42">
        <v>45920</v>
      </c>
      <c r="S90" s="28"/>
    </row>
    <row r="91" spans="1:19" x14ac:dyDescent="0.3">
      <c r="A91" s="111">
        <v>24</v>
      </c>
      <c r="B91" s="103">
        <v>4683.5</v>
      </c>
      <c r="C91" s="104">
        <v>45920</v>
      </c>
      <c r="D91" s="102"/>
      <c r="E91" s="93"/>
      <c r="F91" s="102">
        <v>24</v>
      </c>
      <c r="G91" s="103">
        <v>4683.5</v>
      </c>
      <c r="H91" s="104">
        <v>45950</v>
      </c>
      <c r="I91" s="112"/>
      <c r="K91" s="28">
        <v>24</v>
      </c>
      <c r="L91" s="20">
        <v>5600</v>
      </c>
      <c r="M91" s="42">
        <v>45920</v>
      </c>
      <c r="N91" s="28"/>
      <c r="P91" s="28">
        <v>24</v>
      </c>
      <c r="Q91" s="20">
        <v>5800</v>
      </c>
      <c r="R91" s="42">
        <v>45950</v>
      </c>
      <c r="S91" s="28"/>
    </row>
    <row r="92" spans="1:19" x14ac:dyDescent="0.3">
      <c r="A92" s="111">
        <v>25</v>
      </c>
      <c r="B92" s="103">
        <v>4683.5</v>
      </c>
      <c r="C92" s="104">
        <v>45950</v>
      </c>
      <c r="D92" s="102"/>
      <c r="E92" s="93"/>
      <c r="F92" s="102">
        <v>25</v>
      </c>
      <c r="G92" s="103">
        <v>4683.5</v>
      </c>
      <c r="H92" s="104">
        <v>45981</v>
      </c>
      <c r="I92" s="112"/>
      <c r="K92" s="28">
        <v>25</v>
      </c>
      <c r="L92" s="20">
        <v>5600</v>
      </c>
      <c r="M92" s="42">
        <v>45950</v>
      </c>
      <c r="N92" s="28"/>
      <c r="P92" s="28">
        <v>25</v>
      </c>
      <c r="Q92" s="20">
        <v>5800</v>
      </c>
      <c r="R92" s="42">
        <v>45981</v>
      </c>
      <c r="S92" s="28"/>
    </row>
    <row r="93" spans="1:19" x14ac:dyDescent="0.3">
      <c r="A93" s="111">
        <v>26</v>
      </c>
      <c r="B93" s="103">
        <v>4683.5</v>
      </c>
      <c r="C93" s="104">
        <v>45981</v>
      </c>
      <c r="D93" s="102"/>
      <c r="E93" s="93"/>
      <c r="F93" s="102">
        <v>26</v>
      </c>
      <c r="G93" s="103">
        <v>4683.5</v>
      </c>
      <c r="H93" s="104">
        <v>46011</v>
      </c>
      <c r="I93" s="112"/>
      <c r="K93" s="28">
        <v>26</v>
      </c>
      <c r="L93" s="20">
        <v>5600</v>
      </c>
      <c r="M93" s="42">
        <v>45981</v>
      </c>
      <c r="N93" s="28"/>
      <c r="P93" s="28">
        <v>26</v>
      </c>
      <c r="Q93" s="20">
        <v>5800</v>
      </c>
      <c r="R93" s="42">
        <v>46011</v>
      </c>
      <c r="S93" s="28"/>
    </row>
    <row r="94" spans="1:19" x14ac:dyDescent="0.3">
      <c r="A94" s="111">
        <v>27</v>
      </c>
      <c r="B94" s="103">
        <v>4683.5</v>
      </c>
      <c r="C94" s="104">
        <v>46011</v>
      </c>
      <c r="D94" s="102"/>
      <c r="E94" s="93"/>
      <c r="F94" s="102">
        <v>27</v>
      </c>
      <c r="G94" s="103">
        <v>4683.5</v>
      </c>
      <c r="H94" s="104">
        <v>46042</v>
      </c>
      <c r="I94" s="112"/>
      <c r="K94" s="28">
        <v>27</v>
      </c>
      <c r="L94" s="20">
        <v>5600</v>
      </c>
      <c r="M94" s="42">
        <v>46011</v>
      </c>
      <c r="N94" s="28"/>
      <c r="P94" s="28">
        <v>27</v>
      </c>
      <c r="Q94" s="20">
        <v>5800</v>
      </c>
      <c r="R94" s="42">
        <v>46042</v>
      </c>
      <c r="S94" s="28"/>
    </row>
    <row r="95" spans="1:19" x14ac:dyDescent="0.3">
      <c r="A95" s="111">
        <v>28</v>
      </c>
      <c r="B95" s="103">
        <v>4683.5</v>
      </c>
      <c r="C95" s="104">
        <v>46042</v>
      </c>
      <c r="D95" s="102"/>
      <c r="E95" s="93"/>
      <c r="F95" s="102">
        <v>28</v>
      </c>
      <c r="G95" s="103">
        <v>4683.5</v>
      </c>
      <c r="H95" s="104">
        <v>46073</v>
      </c>
      <c r="I95" s="112"/>
      <c r="K95" s="28">
        <v>28</v>
      </c>
      <c r="L95" s="20">
        <v>5600</v>
      </c>
      <c r="M95" s="42">
        <v>46042</v>
      </c>
      <c r="N95" s="28"/>
      <c r="P95" s="28">
        <v>28</v>
      </c>
      <c r="Q95" s="20">
        <v>5800</v>
      </c>
      <c r="R95" s="42">
        <v>46073</v>
      </c>
      <c r="S95" s="28"/>
    </row>
    <row r="96" spans="1:19" x14ac:dyDescent="0.3">
      <c r="A96" s="111">
        <v>29</v>
      </c>
      <c r="B96" s="103">
        <v>4683.5</v>
      </c>
      <c r="C96" s="104">
        <v>46073</v>
      </c>
      <c r="D96" s="102"/>
      <c r="E96" s="93"/>
      <c r="F96" s="102">
        <v>29</v>
      </c>
      <c r="G96" s="103">
        <v>4683.5</v>
      </c>
      <c r="H96" s="104">
        <v>46101</v>
      </c>
      <c r="I96" s="112"/>
      <c r="K96" s="28">
        <v>29</v>
      </c>
      <c r="L96" s="20">
        <v>5600</v>
      </c>
      <c r="M96" s="42">
        <v>46073</v>
      </c>
      <c r="N96" s="28"/>
      <c r="P96" s="28">
        <v>29</v>
      </c>
      <c r="Q96" s="20">
        <v>5800</v>
      </c>
      <c r="R96" s="42">
        <v>46101</v>
      </c>
      <c r="S96" s="28"/>
    </row>
    <row r="97" spans="1:19" x14ac:dyDescent="0.3">
      <c r="A97" s="111">
        <v>30</v>
      </c>
      <c r="B97" s="103">
        <v>4683.5</v>
      </c>
      <c r="C97" s="104">
        <v>46101</v>
      </c>
      <c r="D97" s="102"/>
      <c r="E97" s="93"/>
      <c r="F97" s="102">
        <v>30</v>
      </c>
      <c r="G97" s="103">
        <v>4683.5</v>
      </c>
      <c r="H97" s="104">
        <v>46132</v>
      </c>
      <c r="I97" s="112"/>
      <c r="K97" s="28">
        <v>30</v>
      </c>
      <c r="L97" s="20">
        <v>5600</v>
      </c>
      <c r="M97" s="42">
        <v>46101</v>
      </c>
      <c r="N97" s="28"/>
      <c r="P97" s="28">
        <v>30</v>
      </c>
      <c r="Q97" s="20">
        <v>5800</v>
      </c>
      <c r="R97" s="42">
        <v>46132</v>
      </c>
      <c r="S97" s="28"/>
    </row>
    <row r="98" spans="1:19" x14ac:dyDescent="0.3">
      <c r="A98" s="111">
        <v>31</v>
      </c>
      <c r="B98" s="103">
        <v>4683.5</v>
      </c>
      <c r="C98" s="104">
        <v>46132</v>
      </c>
      <c r="D98" s="102"/>
      <c r="E98" s="93"/>
      <c r="F98" s="102">
        <v>31</v>
      </c>
      <c r="G98" s="103">
        <v>4683.5</v>
      </c>
      <c r="H98" s="104">
        <v>46162</v>
      </c>
      <c r="I98" s="112"/>
      <c r="K98" s="28">
        <v>31</v>
      </c>
      <c r="L98" s="20">
        <v>5600</v>
      </c>
      <c r="M98" s="42">
        <v>46132</v>
      </c>
      <c r="N98" s="28"/>
      <c r="P98" s="28">
        <v>31</v>
      </c>
      <c r="Q98" s="20">
        <v>5800</v>
      </c>
      <c r="R98" s="42">
        <v>46162</v>
      </c>
      <c r="S98" s="28"/>
    </row>
    <row r="99" spans="1:19" x14ac:dyDescent="0.3">
      <c r="A99" s="111">
        <v>32</v>
      </c>
      <c r="B99" s="103">
        <v>4683.5</v>
      </c>
      <c r="C99" s="104">
        <v>46162</v>
      </c>
      <c r="D99" s="102"/>
      <c r="E99" s="93"/>
      <c r="F99" s="102">
        <v>32</v>
      </c>
      <c r="G99" s="103">
        <v>4683.5</v>
      </c>
      <c r="H99" s="104">
        <v>46193</v>
      </c>
      <c r="I99" s="112"/>
      <c r="K99" s="28">
        <v>32</v>
      </c>
      <c r="L99" s="20">
        <v>5600</v>
      </c>
      <c r="M99" s="42">
        <v>46162</v>
      </c>
      <c r="N99" s="28"/>
      <c r="P99" s="28">
        <v>32</v>
      </c>
      <c r="Q99" s="20">
        <v>5800</v>
      </c>
      <c r="R99" s="42">
        <v>46193</v>
      </c>
      <c r="S99" s="28"/>
    </row>
    <row r="100" spans="1:19" x14ac:dyDescent="0.3">
      <c r="A100" s="111">
        <v>33</v>
      </c>
      <c r="B100" s="103">
        <v>4683.5</v>
      </c>
      <c r="C100" s="104">
        <v>46193</v>
      </c>
      <c r="D100" s="102"/>
      <c r="E100" s="93"/>
      <c r="F100" s="102">
        <v>33</v>
      </c>
      <c r="G100" s="103">
        <v>4683.5</v>
      </c>
      <c r="H100" s="104">
        <v>46223</v>
      </c>
      <c r="I100" s="112"/>
      <c r="K100" s="28">
        <v>33</v>
      </c>
      <c r="L100" s="20">
        <v>5600</v>
      </c>
      <c r="M100" s="42">
        <v>46193</v>
      </c>
      <c r="N100" s="28"/>
      <c r="P100" s="28">
        <v>33</v>
      </c>
      <c r="Q100" s="20">
        <v>5800</v>
      </c>
      <c r="R100" s="42">
        <v>46223</v>
      </c>
      <c r="S100" s="28"/>
    </row>
    <row r="101" spans="1:19" x14ac:dyDescent="0.3">
      <c r="A101" s="111">
        <v>34</v>
      </c>
      <c r="B101" s="103">
        <v>4683.5</v>
      </c>
      <c r="C101" s="104">
        <v>46223</v>
      </c>
      <c r="D101" s="102"/>
      <c r="E101" s="93"/>
      <c r="F101" s="102">
        <v>34</v>
      </c>
      <c r="G101" s="103">
        <v>4683.5</v>
      </c>
      <c r="H101" s="104">
        <v>46254</v>
      </c>
      <c r="I101" s="112"/>
      <c r="K101" s="28">
        <v>34</v>
      </c>
      <c r="L101" s="20">
        <v>5600</v>
      </c>
      <c r="M101" s="42">
        <v>46223</v>
      </c>
      <c r="N101" s="28"/>
      <c r="P101" s="28">
        <v>34</v>
      </c>
      <c r="Q101" s="20">
        <v>5800</v>
      </c>
      <c r="R101" s="42">
        <v>46254</v>
      </c>
      <c r="S101" s="28"/>
    </row>
    <row r="102" spans="1:19" x14ac:dyDescent="0.3">
      <c r="A102" s="111">
        <v>35</v>
      </c>
      <c r="B102" s="103">
        <v>4683.5</v>
      </c>
      <c r="C102" s="104">
        <v>46254</v>
      </c>
      <c r="D102" s="102"/>
      <c r="E102" s="93"/>
      <c r="F102" s="102">
        <v>35</v>
      </c>
      <c r="G102" s="103">
        <v>4683.5</v>
      </c>
      <c r="H102" s="104">
        <v>46285</v>
      </c>
      <c r="I102" s="112"/>
      <c r="K102" s="28">
        <v>35</v>
      </c>
      <c r="L102" s="20">
        <v>5600</v>
      </c>
      <c r="M102" s="42">
        <v>46254</v>
      </c>
      <c r="N102" s="28"/>
      <c r="P102" s="28">
        <v>35</v>
      </c>
      <c r="Q102" s="20">
        <v>5800</v>
      </c>
      <c r="R102" s="42">
        <v>46285</v>
      </c>
      <c r="S102" s="28"/>
    </row>
    <row r="103" spans="1:19" x14ac:dyDescent="0.3">
      <c r="A103" s="111">
        <v>36</v>
      </c>
      <c r="B103" s="103">
        <v>4683.5</v>
      </c>
      <c r="C103" s="104">
        <v>46285</v>
      </c>
      <c r="D103" s="102"/>
      <c r="E103" s="93"/>
      <c r="F103" s="102">
        <v>36</v>
      </c>
      <c r="G103" s="103">
        <v>4683.5</v>
      </c>
      <c r="H103" s="104">
        <v>46315</v>
      </c>
      <c r="I103" s="112"/>
      <c r="K103" s="28">
        <v>36</v>
      </c>
      <c r="L103" s="20">
        <v>5600</v>
      </c>
      <c r="M103" s="42">
        <v>46285</v>
      </c>
      <c r="N103" s="28"/>
      <c r="P103" s="28">
        <v>36</v>
      </c>
      <c r="Q103" s="20">
        <v>5800</v>
      </c>
      <c r="R103" s="42">
        <v>46315</v>
      </c>
      <c r="S103" s="28"/>
    </row>
    <row r="104" spans="1:19" x14ac:dyDescent="0.3">
      <c r="A104" s="111">
        <v>37</v>
      </c>
      <c r="B104" s="103">
        <v>4683.5</v>
      </c>
      <c r="C104" s="104">
        <v>46315</v>
      </c>
      <c r="D104" s="102"/>
      <c r="E104" s="93"/>
      <c r="F104" s="102">
        <v>37</v>
      </c>
      <c r="G104" s="103">
        <v>4683.5</v>
      </c>
      <c r="H104" s="104">
        <v>46346</v>
      </c>
      <c r="I104" s="112"/>
      <c r="K104" s="28">
        <v>37</v>
      </c>
      <c r="L104" s="20">
        <v>5600</v>
      </c>
      <c r="M104" s="42">
        <v>46315</v>
      </c>
      <c r="N104" s="28"/>
      <c r="P104" s="28">
        <v>37</v>
      </c>
      <c r="Q104" s="20">
        <v>5800</v>
      </c>
      <c r="R104" s="42">
        <v>46342</v>
      </c>
      <c r="S104" s="28"/>
    </row>
    <row r="105" spans="1:19" ht="15" thickBot="1" x14ac:dyDescent="0.35">
      <c r="A105" s="54"/>
      <c r="B105" s="113"/>
      <c r="C105" s="55"/>
      <c r="D105" s="55"/>
      <c r="E105" s="55"/>
      <c r="F105" s="55"/>
      <c r="G105" s="55"/>
      <c r="H105" s="55"/>
      <c r="I105" s="114"/>
      <c r="L105" t="s">
        <v>96</v>
      </c>
      <c r="Q105" t="s">
        <v>97</v>
      </c>
    </row>
    <row r="106" spans="1:19" x14ac:dyDescent="0.3">
      <c r="H106" s="29"/>
      <c r="L106" s="26">
        <f>SUM(L68:L104)</f>
        <v>206490.84</v>
      </c>
      <c r="Q106" s="26">
        <f>SUM(Q68:Q104)</f>
        <v>213687.41999999998</v>
      </c>
    </row>
    <row r="111" spans="1:19" x14ac:dyDescent="0.3">
      <c r="A111" s="26">
        <f>SUM(B48,Q43)</f>
        <v>25270</v>
      </c>
    </row>
    <row r="112" spans="1:19" x14ac:dyDescent="0.3">
      <c r="A112" s="26">
        <f>SUM(B36,G31,L32,Q35,V36,B72,G72)</f>
        <v>40709.64</v>
      </c>
    </row>
  </sheetData>
  <mergeCells count="84">
    <mergeCell ref="K66:L66"/>
    <mergeCell ref="P66:Q66"/>
    <mergeCell ref="K64:L64"/>
    <mergeCell ref="M64:N64"/>
    <mergeCell ref="P64:Q64"/>
    <mergeCell ref="R64:S64"/>
    <mergeCell ref="K65:L65"/>
    <mergeCell ref="M65:N65"/>
    <mergeCell ref="P65:Q65"/>
    <mergeCell ref="R65:S65"/>
    <mergeCell ref="L61:M61"/>
    <mergeCell ref="Q61:R61"/>
    <mergeCell ref="K62:N62"/>
    <mergeCell ref="P62:S62"/>
    <mergeCell ref="K63:L63"/>
    <mergeCell ref="M63:N63"/>
    <mergeCell ref="P63:Q63"/>
    <mergeCell ref="R63:S63"/>
    <mergeCell ref="P10:Q10"/>
    <mergeCell ref="U10:V10"/>
    <mergeCell ref="A66:B66"/>
    <mergeCell ref="F66:G66"/>
    <mergeCell ref="A10:B10"/>
    <mergeCell ref="F10:G10"/>
    <mergeCell ref="K10:L10"/>
    <mergeCell ref="C64:D64"/>
    <mergeCell ref="P56:S56"/>
    <mergeCell ref="A58:I58"/>
    <mergeCell ref="A65:B65"/>
    <mergeCell ref="C65:D65"/>
    <mergeCell ref="G61:H61"/>
    <mergeCell ref="F62:I62"/>
    <mergeCell ref="F63:G63"/>
    <mergeCell ref="H63:I63"/>
    <mergeCell ref="G5:H5"/>
    <mergeCell ref="F6:I6"/>
    <mergeCell ref="F9:G9"/>
    <mergeCell ref="H9:I9"/>
    <mergeCell ref="C9:D9"/>
    <mergeCell ref="F7:G7"/>
    <mergeCell ref="H7:I7"/>
    <mergeCell ref="F8:G8"/>
    <mergeCell ref="H8:I8"/>
    <mergeCell ref="B5:C5"/>
    <mergeCell ref="A6:D6"/>
    <mergeCell ref="A7:B7"/>
    <mergeCell ref="C7:D7"/>
    <mergeCell ref="A8:B8"/>
    <mergeCell ref="C8:D8"/>
    <mergeCell ref="A9:B9"/>
    <mergeCell ref="P8:Q8"/>
    <mergeCell ref="R8:S8"/>
    <mergeCell ref="P9:Q9"/>
    <mergeCell ref="L5:M5"/>
    <mergeCell ref="K6:N6"/>
    <mergeCell ref="K7:L7"/>
    <mergeCell ref="M7:N7"/>
    <mergeCell ref="K8:L8"/>
    <mergeCell ref="M8:N8"/>
    <mergeCell ref="A1:M2"/>
    <mergeCell ref="R9:S9"/>
    <mergeCell ref="V5:W5"/>
    <mergeCell ref="U6:X6"/>
    <mergeCell ref="U7:V7"/>
    <mergeCell ref="W7:X7"/>
    <mergeCell ref="U8:V8"/>
    <mergeCell ref="W8:X8"/>
    <mergeCell ref="U9:V9"/>
    <mergeCell ref="W9:X9"/>
    <mergeCell ref="K9:L9"/>
    <mergeCell ref="M9:N9"/>
    <mergeCell ref="Q5:R5"/>
    <mergeCell ref="P6:S6"/>
    <mergeCell ref="P7:Q7"/>
    <mergeCell ref="R7:S7"/>
    <mergeCell ref="F64:G64"/>
    <mergeCell ref="H64:I64"/>
    <mergeCell ref="F65:G65"/>
    <mergeCell ref="H65:I65"/>
    <mergeCell ref="B61:C61"/>
    <mergeCell ref="A62:D62"/>
    <mergeCell ref="A63:B63"/>
    <mergeCell ref="C63:D63"/>
    <mergeCell ref="A64:B6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963C-3BC8-41F2-927C-E20DC75B0AC2}">
  <dimension ref="A1:Y15"/>
  <sheetViews>
    <sheetView workbookViewId="0">
      <selection activeCell="J24" sqref="J24"/>
    </sheetView>
  </sheetViews>
  <sheetFormatPr defaultRowHeight="14.4" x14ac:dyDescent="0.3"/>
  <cols>
    <col min="1" max="1" width="3" bestFit="1" customWidth="1"/>
    <col min="2" max="2" width="12.88671875" bestFit="1" customWidth="1"/>
    <col min="3" max="3" width="16.109375" bestFit="1" customWidth="1"/>
    <col min="4" max="4" width="12.88671875" bestFit="1" customWidth="1"/>
    <col min="5" max="5" width="3.33203125" bestFit="1" customWidth="1"/>
    <col min="7" max="7" width="3" bestFit="1" customWidth="1"/>
    <col min="8" max="8" width="10.5546875" bestFit="1" customWidth="1"/>
    <col min="9" max="9" width="6.5546875" bestFit="1" customWidth="1"/>
    <col min="13" max="13" width="10.5546875" bestFit="1" customWidth="1"/>
    <col min="14" max="14" width="6.5546875" bestFit="1" customWidth="1"/>
    <col min="17" max="17" width="3" bestFit="1" customWidth="1"/>
    <col min="18" max="18" width="10.5546875" bestFit="1" customWidth="1"/>
    <col min="19" max="19" width="6.5546875" bestFit="1" customWidth="1"/>
    <col min="20" max="20" width="3.33203125" bestFit="1" customWidth="1"/>
    <col min="22" max="22" width="3" bestFit="1" customWidth="1"/>
    <col min="23" max="23" width="10.5546875" bestFit="1" customWidth="1"/>
    <col min="24" max="24" width="6.5546875" bestFit="1" customWidth="1"/>
  </cols>
  <sheetData>
    <row r="1" spans="1:25" x14ac:dyDescent="0.3">
      <c r="B1" t="s">
        <v>18</v>
      </c>
      <c r="H1" t="s">
        <v>19</v>
      </c>
    </row>
    <row r="2" spans="1:25" x14ac:dyDescent="0.3">
      <c r="A2" s="12"/>
      <c r="D2" s="15"/>
      <c r="E2" s="12"/>
      <c r="G2" s="12"/>
      <c r="I2" s="15"/>
      <c r="J2" s="12"/>
      <c r="L2" s="12"/>
      <c r="N2" s="15"/>
      <c r="O2" s="12"/>
      <c r="Q2" s="12"/>
      <c r="S2" s="15"/>
      <c r="T2" s="12"/>
      <c r="V2" s="12"/>
      <c r="X2" s="15"/>
      <c r="Y2" s="12"/>
    </row>
    <row r="5" spans="1:25" x14ac:dyDescent="0.3">
      <c r="B5" s="37" t="s">
        <v>60</v>
      </c>
      <c r="C5" s="37" t="s">
        <v>93</v>
      </c>
      <c r="D5" s="37" t="s">
        <v>40</v>
      </c>
    </row>
    <row r="6" spans="1:25" x14ac:dyDescent="0.3">
      <c r="B6" s="32" t="s">
        <v>18</v>
      </c>
      <c r="C6" s="91">
        <v>9084364000171</v>
      </c>
      <c r="D6" s="39">
        <v>16143.57</v>
      </c>
    </row>
    <row r="7" spans="1:25" x14ac:dyDescent="0.3">
      <c r="B7" s="32" t="s">
        <v>19</v>
      </c>
      <c r="C7" s="91">
        <v>13423530000194</v>
      </c>
      <c r="D7" s="89">
        <v>3472.18</v>
      </c>
    </row>
    <row r="8" spans="1:25" x14ac:dyDescent="0.3">
      <c r="B8" s="32" t="s">
        <v>92</v>
      </c>
      <c r="C8" s="91">
        <v>22142040000100</v>
      </c>
      <c r="D8" s="89">
        <v>1995.93</v>
      </c>
    </row>
    <row r="9" spans="1:25" x14ac:dyDescent="0.3">
      <c r="B9" s="32" t="s">
        <v>21</v>
      </c>
      <c r="C9" s="91">
        <v>324881870000100</v>
      </c>
      <c r="D9" s="89">
        <v>7735.46</v>
      </c>
    </row>
    <row r="10" spans="1:25" x14ac:dyDescent="0.3">
      <c r="B10" s="32" t="s">
        <v>22</v>
      </c>
      <c r="C10" s="92">
        <v>31631347000166</v>
      </c>
      <c r="D10" s="90">
        <v>1995.5</v>
      </c>
    </row>
    <row r="15" spans="1:25" x14ac:dyDescent="0.3">
      <c r="B15" s="20">
        <v>16143.57</v>
      </c>
      <c r="C15" s="20"/>
      <c r="D15" s="15">
        <v>45444</v>
      </c>
      <c r="E15" s="12"/>
      <c r="G15" s="12">
        <v>37</v>
      </c>
      <c r="H15" s="7">
        <v>3472.18</v>
      </c>
      <c r="I15" s="15">
        <v>45471</v>
      </c>
      <c r="J15" s="12"/>
      <c r="L15" s="12">
        <v>25</v>
      </c>
      <c r="M15" s="7">
        <v>1995.93</v>
      </c>
      <c r="N15" s="15">
        <v>45471</v>
      </c>
      <c r="O15" s="12"/>
      <c r="Q15" s="12">
        <v>37</v>
      </c>
      <c r="R15" s="7">
        <v>7735.46</v>
      </c>
      <c r="S15" s="15">
        <v>45471</v>
      </c>
      <c r="T15" s="28"/>
      <c r="V15" s="12">
        <v>37</v>
      </c>
      <c r="W15" s="7">
        <v>1995.5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499984740745262"/>
  </sheetPr>
  <dimension ref="A1:M37"/>
  <sheetViews>
    <sheetView showGridLines="0" topLeftCell="A16" workbookViewId="0">
      <selection activeCell="D43" sqref="D43"/>
    </sheetView>
  </sheetViews>
  <sheetFormatPr defaultRowHeight="14.4" x14ac:dyDescent="0.3"/>
  <cols>
    <col min="2" max="2" width="12.109375" bestFit="1" customWidth="1"/>
    <col min="3" max="3" width="13.33203125" bestFit="1" customWidth="1"/>
    <col min="4" max="4" width="10" bestFit="1" customWidth="1"/>
    <col min="7" max="7" width="12.109375" bestFit="1" customWidth="1"/>
    <col min="8" max="8" width="13.33203125" bestFit="1" customWidth="1"/>
  </cols>
  <sheetData>
    <row r="1" spans="1:13" ht="15" customHeight="1" x14ac:dyDescent="0.3">
      <c r="A1" s="162" t="s">
        <v>31</v>
      </c>
      <c r="B1" s="162"/>
      <c r="C1" s="162"/>
      <c r="D1" s="162"/>
      <c r="E1" s="162"/>
      <c r="F1" s="162"/>
      <c r="G1" s="162"/>
      <c r="H1" s="162"/>
      <c r="I1" s="162"/>
      <c r="J1" s="162"/>
      <c r="K1" s="30"/>
      <c r="L1" s="30"/>
      <c r="M1" s="30"/>
    </row>
    <row r="2" spans="1:13" ht="15" customHeight="1" x14ac:dyDescent="0.3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30"/>
      <c r="L2" s="30"/>
      <c r="M2" s="30"/>
    </row>
    <row r="5" spans="1:13" x14ac:dyDescent="0.3">
      <c r="A5" s="14"/>
      <c r="B5" s="169" t="s">
        <v>18</v>
      </c>
      <c r="C5" s="169"/>
      <c r="D5" s="14"/>
      <c r="F5" s="14"/>
      <c r="G5" s="169" t="s">
        <v>19</v>
      </c>
      <c r="H5" s="169"/>
      <c r="I5" s="14"/>
    </row>
    <row r="6" spans="1:13" x14ac:dyDescent="0.3">
      <c r="A6" s="142"/>
      <c r="B6" s="142"/>
      <c r="C6" s="142"/>
      <c r="D6" s="142"/>
      <c r="F6" s="142"/>
      <c r="G6" s="142"/>
      <c r="H6" s="142"/>
      <c r="I6" s="142"/>
    </row>
    <row r="7" spans="1:13" x14ac:dyDescent="0.3">
      <c r="A7" s="137" t="s">
        <v>8</v>
      </c>
      <c r="B7" s="137"/>
      <c r="C7" s="191">
        <f>SUM(B13:B36)</f>
        <v>26938.559999999994</v>
      </c>
      <c r="D7" s="192"/>
      <c r="F7" s="137" t="s">
        <v>8</v>
      </c>
      <c r="G7" s="137"/>
      <c r="H7" s="191">
        <f>SUM(G13:G36)</f>
        <v>39560.879999999997</v>
      </c>
      <c r="I7" s="192"/>
    </row>
    <row r="8" spans="1:13" x14ac:dyDescent="0.3">
      <c r="A8" s="137" t="s">
        <v>14</v>
      </c>
      <c r="B8" s="137"/>
      <c r="C8" s="193">
        <v>19000</v>
      </c>
      <c r="D8" s="193"/>
      <c r="F8" s="137" t="s">
        <v>14</v>
      </c>
      <c r="G8" s="137"/>
      <c r="H8" s="193">
        <v>27902</v>
      </c>
      <c r="I8" s="193"/>
    </row>
    <row r="9" spans="1:13" x14ac:dyDescent="0.3">
      <c r="A9" s="137" t="s">
        <v>7</v>
      </c>
      <c r="B9" s="137"/>
      <c r="C9" s="138">
        <v>24</v>
      </c>
      <c r="D9" s="138"/>
      <c r="F9" s="137" t="s">
        <v>7</v>
      </c>
      <c r="G9" s="137"/>
      <c r="H9" s="138">
        <v>24</v>
      </c>
      <c r="I9" s="138"/>
    </row>
    <row r="10" spans="1:13" x14ac:dyDescent="0.3">
      <c r="A10" s="170" t="s">
        <v>69</v>
      </c>
      <c r="B10" s="167"/>
      <c r="C10" s="32" t="s">
        <v>73</v>
      </c>
      <c r="D10" s="28" t="s">
        <v>72</v>
      </c>
      <c r="F10" s="170" t="s">
        <v>69</v>
      </c>
      <c r="G10" s="167"/>
      <c r="H10" s="32" t="s">
        <v>73</v>
      </c>
      <c r="I10" s="28" t="s">
        <v>72</v>
      </c>
    </row>
    <row r="12" spans="1:13" x14ac:dyDescent="0.3">
      <c r="A12" s="11" t="s">
        <v>0</v>
      </c>
      <c r="B12" s="6" t="s">
        <v>1</v>
      </c>
      <c r="C12" s="6" t="s">
        <v>30</v>
      </c>
      <c r="D12" s="12" t="s">
        <v>6</v>
      </c>
      <c r="F12" s="11" t="s">
        <v>0</v>
      </c>
      <c r="G12" s="6" t="s">
        <v>1</v>
      </c>
      <c r="H12" s="6" t="s">
        <v>30</v>
      </c>
      <c r="I12" s="12" t="s">
        <v>6</v>
      </c>
    </row>
    <row r="13" spans="1:13" x14ac:dyDescent="0.3">
      <c r="A13" s="28">
        <v>1</v>
      </c>
      <c r="B13" s="20">
        <v>1122.44</v>
      </c>
      <c r="C13" s="15">
        <v>44998</v>
      </c>
      <c r="D13" s="28" t="s">
        <v>4</v>
      </c>
      <c r="F13" s="28">
        <v>1</v>
      </c>
      <c r="G13" s="20">
        <v>1648.37</v>
      </c>
      <c r="H13" s="15">
        <v>44995</v>
      </c>
      <c r="I13" s="28" t="s">
        <v>4</v>
      </c>
    </row>
    <row r="14" spans="1:13" x14ac:dyDescent="0.3">
      <c r="A14" s="28">
        <v>2</v>
      </c>
      <c r="B14" s="20">
        <v>1122.44</v>
      </c>
      <c r="C14" s="15">
        <v>45027</v>
      </c>
      <c r="D14" s="28" t="s">
        <v>4</v>
      </c>
      <c r="F14" s="28">
        <v>2</v>
      </c>
      <c r="G14" s="20">
        <v>1648.37</v>
      </c>
      <c r="H14" s="15">
        <v>45026</v>
      </c>
      <c r="I14" s="28" t="s">
        <v>4</v>
      </c>
    </row>
    <row r="15" spans="1:13" x14ac:dyDescent="0.3">
      <c r="A15" s="28">
        <v>3</v>
      </c>
      <c r="B15" s="20">
        <v>1122.44</v>
      </c>
      <c r="C15" s="15">
        <v>45057</v>
      </c>
      <c r="D15" s="28" t="s">
        <v>4</v>
      </c>
      <c r="F15" s="28">
        <v>3</v>
      </c>
      <c r="G15" s="20">
        <v>1648.37</v>
      </c>
      <c r="H15" s="15">
        <v>45055</v>
      </c>
      <c r="I15" s="28" t="s">
        <v>4</v>
      </c>
    </row>
    <row r="16" spans="1:13" x14ac:dyDescent="0.3">
      <c r="A16" s="28">
        <v>4</v>
      </c>
      <c r="B16" s="20">
        <v>1122.44</v>
      </c>
      <c r="C16" s="15">
        <v>45089</v>
      </c>
      <c r="D16" s="28" t="s">
        <v>4</v>
      </c>
      <c r="F16" s="28">
        <v>4</v>
      </c>
      <c r="G16" s="20">
        <v>1648.37</v>
      </c>
      <c r="H16" s="15">
        <v>45086</v>
      </c>
      <c r="I16" s="28" t="s">
        <v>4</v>
      </c>
    </row>
    <row r="17" spans="1:9" x14ac:dyDescent="0.3">
      <c r="A17" s="28">
        <v>5</v>
      </c>
      <c r="B17" s="20">
        <v>1122.44</v>
      </c>
      <c r="C17" s="15">
        <v>45117</v>
      </c>
      <c r="D17" s="28" t="s">
        <v>4</v>
      </c>
      <c r="F17" s="28">
        <v>5</v>
      </c>
      <c r="G17" s="20">
        <v>1648.37</v>
      </c>
      <c r="H17" s="15">
        <v>45117</v>
      </c>
      <c r="I17" s="28" t="s">
        <v>4</v>
      </c>
    </row>
    <row r="18" spans="1:9" x14ac:dyDescent="0.3">
      <c r="A18" s="28">
        <v>6</v>
      </c>
      <c r="B18" s="20">
        <v>1122.44</v>
      </c>
      <c r="C18" s="15">
        <v>45147</v>
      </c>
      <c r="D18" s="28" t="s">
        <v>4</v>
      </c>
      <c r="F18" s="28">
        <v>6</v>
      </c>
      <c r="G18" s="20">
        <v>1648.37</v>
      </c>
      <c r="H18" s="15">
        <v>45145</v>
      </c>
      <c r="I18" s="28" t="s">
        <v>4</v>
      </c>
    </row>
    <row r="19" spans="1:9" x14ac:dyDescent="0.3">
      <c r="A19" s="28">
        <v>7</v>
      </c>
      <c r="B19" s="20">
        <v>1122.44</v>
      </c>
      <c r="C19" s="15">
        <v>45177</v>
      </c>
      <c r="D19" s="28" t="s">
        <v>4</v>
      </c>
      <c r="F19" s="28">
        <v>7</v>
      </c>
      <c r="G19" s="20">
        <v>1648.37</v>
      </c>
      <c r="H19" s="15">
        <v>45175</v>
      </c>
      <c r="I19" s="28" t="s">
        <v>4</v>
      </c>
    </row>
    <row r="20" spans="1:9" x14ac:dyDescent="0.3">
      <c r="A20" s="28">
        <v>8</v>
      </c>
      <c r="B20" s="20">
        <v>1122.44</v>
      </c>
      <c r="C20" s="15">
        <v>45208</v>
      </c>
      <c r="D20" s="28" t="s">
        <v>4</v>
      </c>
      <c r="F20" s="28">
        <v>8</v>
      </c>
      <c r="G20" s="20">
        <v>1648.37</v>
      </c>
      <c r="H20" s="15">
        <v>45205</v>
      </c>
      <c r="I20" s="28" t="s">
        <v>4</v>
      </c>
    </row>
    <row r="21" spans="1:9" x14ac:dyDescent="0.3">
      <c r="A21" s="28">
        <v>9</v>
      </c>
      <c r="B21" s="20">
        <v>1122.44</v>
      </c>
      <c r="C21" s="15">
        <v>45237</v>
      </c>
      <c r="D21" s="28" t="s">
        <v>4</v>
      </c>
      <c r="F21" s="28">
        <v>9</v>
      </c>
      <c r="G21" s="20">
        <v>1648.37</v>
      </c>
      <c r="H21" s="15">
        <v>45236</v>
      </c>
      <c r="I21" s="28" t="s">
        <v>4</v>
      </c>
    </row>
    <row r="22" spans="1:9" x14ac:dyDescent="0.3">
      <c r="A22" s="28">
        <v>10</v>
      </c>
      <c r="B22" s="20">
        <v>1122.44</v>
      </c>
      <c r="C22" s="15">
        <v>45267</v>
      </c>
      <c r="D22" s="28" t="s">
        <v>4</v>
      </c>
      <c r="F22" s="28">
        <v>10</v>
      </c>
      <c r="G22" s="20">
        <v>1648.37</v>
      </c>
      <c r="H22" s="15">
        <v>45265</v>
      </c>
      <c r="I22" s="28" t="s">
        <v>4</v>
      </c>
    </row>
    <row r="23" spans="1:9" x14ac:dyDescent="0.3">
      <c r="A23" s="28">
        <v>11</v>
      </c>
      <c r="B23" s="20">
        <v>1122.44</v>
      </c>
      <c r="C23" s="15">
        <v>45299</v>
      </c>
      <c r="D23" s="28" t="s">
        <v>4</v>
      </c>
      <c r="F23" s="28">
        <v>11</v>
      </c>
      <c r="G23" s="20">
        <v>1648.37</v>
      </c>
      <c r="H23" s="15">
        <v>45295</v>
      </c>
      <c r="I23" s="28" t="s">
        <v>4</v>
      </c>
    </row>
    <row r="24" spans="1:9" x14ac:dyDescent="0.3">
      <c r="A24" s="28">
        <v>12</v>
      </c>
      <c r="B24" s="20">
        <v>1122.44</v>
      </c>
      <c r="C24" s="15">
        <v>45327</v>
      </c>
      <c r="D24" s="28" t="s">
        <v>4</v>
      </c>
      <c r="F24" s="28">
        <v>12</v>
      </c>
      <c r="G24" s="20">
        <v>1648.37</v>
      </c>
      <c r="H24" s="15">
        <v>45327</v>
      </c>
      <c r="I24" s="28" t="s">
        <v>4</v>
      </c>
    </row>
    <row r="25" spans="1:9" x14ac:dyDescent="0.3">
      <c r="A25" s="28">
        <v>13</v>
      </c>
      <c r="B25" s="20">
        <v>1122.44</v>
      </c>
      <c r="C25" s="15">
        <v>45357</v>
      </c>
      <c r="D25" s="28" t="s">
        <v>4</v>
      </c>
      <c r="F25" s="28">
        <v>13</v>
      </c>
      <c r="G25" s="20">
        <v>1648.37</v>
      </c>
      <c r="H25" s="15">
        <v>45355</v>
      </c>
      <c r="I25" s="28" t="s">
        <v>4</v>
      </c>
    </row>
    <row r="26" spans="1:9" x14ac:dyDescent="0.3">
      <c r="A26" s="28">
        <v>14</v>
      </c>
      <c r="B26" s="20">
        <v>1122.44</v>
      </c>
      <c r="C26" s="15">
        <v>45387</v>
      </c>
      <c r="D26" s="28" t="s">
        <v>4</v>
      </c>
      <c r="F26" s="28">
        <v>14</v>
      </c>
      <c r="G26" s="20">
        <v>1648.37</v>
      </c>
      <c r="H26" s="15">
        <v>45385</v>
      </c>
      <c r="I26" s="28" t="s">
        <v>4</v>
      </c>
    </row>
    <row r="27" spans="1:9" x14ac:dyDescent="0.3">
      <c r="A27" s="28">
        <v>15</v>
      </c>
      <c r="B27" s="20">
        <v>1122.44</v>
      </c>
      <c r="C27" s="15">
        <v>45418</v>
      </c>
      <c r="D27" s="28" t="s">
        <v>4</v>
      </c>
      <c r="F27" s="28">
        <v>15</v>
      </c>
      <c r="G27" s="20">
        <v>1648.37</v>
      </c>
      <c r="H27" s="15">
        <v>45415</v>
      </c>
      <c r="I27" s="28" t="s">
        <v>4</v>
      </c>
    </row>
    <row r="28" spans="1:9" x14ac:dyDescent="0.3">
      <c r="A28" s="28">
        <v>16</v>
      </c>
      <c r="B28" s="20">
        <v>1122.44</v>
      </c>
      <c r="C28" s="15">
        <v>45447</v>
      </c>
      <c r="D28" s="28" t="s">
        <v>4</v>
      </c>
      <c r="F28" s="28">
        <v>16</v>
      </c>
      <c r="G28" s="20">
        <v>1648.37</v>
      </c>
      <c r="H28" s="15">
        <v>45446</v>
      </c>
      <c r="I28" s="28" t="s">
        <v>4</v>
      </c>
    </row>
    <row r="29" spans="1:9" x14ac:dyDescent="0.3">
      <c r="A29" s="28">
        <v>17</v>
      </c>
      <c r="B29" s="20">
        <v>1122.44</v>
      </c>
      <c r="C29" s="15">
        <v>45477</v>
      </c>
      <c r="D29" s="28" t="s">
        <v>4</v>
      </c>
      <c r="F29" s="28">
        <v>17</v>
      </c>
      <c r="G29" s="20">
        <v>1648.37</v>
      </c>
      <c r="H29" s="15">
        <v>45475</v>
      </c>
      <c r="I29" s="28" t="s">
        <v>4</v>
      </c>
    </row>
    <row r="30" spans="1:9" x14ac:dyDescent="0.3">
      <c r="A30" s="28">
        <v>18</v>
      </c>
      <c r="B30" s="20">
        <v>1122.44</v>
      </c>
      <c r="C30" s="15">
        <v>45509</v>
      </c>
      <c r="D30" s="28" t="s">
        <v>4</v>
      </c>
      <c r="F30" s="28">
        <v>18</v>
      </c>
      <c r="G30" s="20">
        <v>1648.37</v>
      </c>
      <c r="H30" s="15">
        <v>45505</v>
      </c>
      <c r="I30" s="28" t="s">
        <v>4</v>
      </c>
    </row>
    <row r="31" spans="1:9" x14ac:dyDescent="0.3">
      <c r="A31" s="28">
        <v>19</v>
      </c>
      <c r="B31" s="20">
        <v>1122.44</v>
      </c>
      <c r="C31" s="15">
        <v>45537</v>
      </c>
      <c r="D31" s="28"/>
      <c r="F31" s="28">
        <v>19</v>
      </c>
      <c r="G31" s="20">
        <v>1648.37</v>
      </c>
      <c r="H31" s="15">
        <v>45537</v>
      </c>
      <c r="I31" s="28" t="s">
        <v>4</v>
      </c>
    </row>
    <row r="32" spans="1:9" x14ac:dyDescent="0.3">
      <c r="A32" s="28">
        <v>20</v>
      </c>
      <c r="B32" s="20">
        <v>1122.44</v>
      </c>
      <c r="C32" s="15">
        <v>45567</v>
      </c>
      <c r="D32" s="28"/>
      <c r="F32" s="28">
        <v>20</v>
      </c>
      <c r="G32" s="20">
        <v>1648.37</v>
      </c>
      <c r="H32" s="15">
        <v>45565</v>
      </c>
      <c r="I32" s="28" t="s">
        <v>4</v>
      </c>
    </row>
    <row r="33" spans="1:9" x14ac:dyDescent="0.3">
      <c r="A33" s="28">
        <v>21</v>
      </c>
      <c r="B33" s="20">
        <v>1122.44</v>
      </c>
      <c r="C33" s="15">
        <v>45597</v>
      </c>
      <c r="D33" s="28"/>
      <c r="F33" s="28">
        <v>21</v>
      </c>
      <c r="G33" s="20">
        <v>1648.37</v>
      </c>
      <c r="H33" s="15">
        <v>45595</v>
      </c>
      <c r="I33" s="28" t="s">
        <v>4</v>
      </c>
    </row>
    <row r="34" spans="1:9" x14ac:dyDescent="0.3">
      <c r="A34" s="28">
        <v>22</v>
      </c>
      <c r="B34" s="20">
        <v>1122.44</v>
      </c>
      <c r="C34" s="15">
        <v>45628</v>
      </c>
      <c r="D34" s="28"/>
      <c r="F34" s="28">
        <v>22</v>
      </c>
      <c r="G34" s="20">
        <v>1648.37</v>
      </c>
      <c r="H34" s="15">
        <v>45625</v>
      </c>
      <c r="I34" s="28" t="s">
        <v>4</v>
      </c>
    </row>
    <row r="35" spans="1:9" x14ac:dyDescent="0.3">
      <c r="A35" s="28">
        <v>23</v>
      </c>
      <c r="B35" s="20">
        <v>1122.44</v>
      </c>
      <c r="C35" s="15">
        <v>45293</v>
      </c>
      <c r="D35" s="28"/>
      <c r="F35" s="28">
        <v>23</v>
      </c>
      <c r="G35" s="20">
        <v>1648.37</v>
      </c>
      <c r="H35" s="15">
        <v>45656</v>
      </c>
      <c r="I35" s="28" t="s">
        <v>4</v>
      </c>
    </row>
    <row r="36" spans="1:9" x14ac:dyDescent="0.3">
      <c r="A36" s="28">
        <v>24</v>
      </c>
      <c r="B36" s="20">
        <v>1122.44</v>
      </c>
      <c r="C36" s="15">
        <v>45687</v>
      </c>
      <c r="D36" s="28"/>
      <c r="F36" s="28">
        <v>24</v>
      </c>
      <c r="G36" s="20">
        <v>1648.37</v>
      </c>
      <c r="H36" s="15">
        <v>45685</v>
      </c>
      <c r="I36" s="28" t="s">
        <v>4</v>
      </c>
    </row>
    <row r="37" spans="1:9" x14ac:dyDescent="0.3">
      <c r="B37" s="26">
        <f>SUM(B31:B36)</f>
        <v>6734.6400000000012</v>
      </c>
      <c r="G37" s="26">
        <f>SUM(G31:G36)</f>
        <v>9890.2199999999975</v>
      </c>
    </row>
  </sheetData>
  <mergeCells count="19">
    <mergeCell ref="A10:B10"/>
    <mergeCell ref="F10:G10"/>
    <mergeCell ref="A9:B9"/>
    <mergeCell ref="C9:D9"/>
    <mergeCell ref="F9:G9"/>
    <mergeCell ref="H9:I9"/>
    <mergeCell ref="A8:B8"/>
    <mergeCell ref="F8:G8"/>
    <mergeCell ref="C8:D8"/>
    <mergeCell ref="H8:I8"/>
    <mergeCell ref="B5:C5"/>
    <mergeCell ref="G5:H5"/>
    <mergeCell ref="A1:J2"/>
    <mergeCell ref="H7:I7"/>
    <mergeCell ref="C7:D7"/>
    <mergeCell ref="A6:D6"/>
    <mergeCell ref="F6:I6"/>
    <mergeCell ref="A7:B7"/>
    <mergeCell ref="F7:G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</sheetPr>
  <dimension ref="A1:F44"/>
  <sheetViews>
    <sheetView showGridLines="0" topLeftCell="A19" workbookViewId="0">
      <selection activeCell="I20" sqref="I20"/>
    </sheetView>
  </sheetViews>
  <sheetFormatPr defaultRowHeight="14.4" x14ac:dyDescent="0.3"/>
  <cols>
    <col min="2" max="2" width="13.33203125" bestFit="1" customWidth="1"/>
    <col min="3" max="3" width="10.44140625" customWidth="1"/>
    <col min="4" max="4" width="15.6640625" customWidth="1"/>
  </cols>
  <sheetData>
    <row r="1" spans="1:6" x14ac:dyDescent="0.3">
      <c r="A1" s="196" t="s">
        <v>5</v>
      </c>
      <c r="B1" s="196"/>
      <c r="C1" s="196"/>
      <c r="D1" s="196"/>
      <c r="E1" s="196"/>
      <c r="F1" s="196"/>
    </row>
    <row r="2" spans="1:6" x14ac:dyDescent="0.3">
      <c r="A2" s="196"/>
      <c r="B2" s="196"/>
      <c r="C2" s="196"/>
      <c r="D2" s="196"/>
      <c r="E2" s="196"/>
      <c r="F2" s="196"/>
    </row>
    <row r="3" spans="1:6" x14ac:dyDescent="0.3">
      <c r="A3" s="196"/>
      <c r="B3" s="196"/>
      <c r="C3" s="196"/>
      <c r="D3" s="196"/>
      <c r="E3" s="196"/>
      <c r="F3" s="196"/>
    </row>
    <row r="5" spans="1:6" x14ac:dyDescent="0.3">
      <c r="A5" s="169" t="s">
        <v>23</v>
      </c>
      <c r="B5" s="169"/>
      <c r="C5" s="169"/>
      <c r="D5" s="169"/>
    </row>
    <row r="6" spans="1:6" x14ac:dyDescent="0.3">
      <c r="A6" s="23" t="s">
        <v>0</v>
      </c>
      <c r="B6" s="24" t="s">
        <v>1</v>
      </c>
      <c r="C6" s="23" t="s">
        <v>2</v>
      </c>
      <c r="D6" s="23" t="s">
        <v>3</v>
      </c>
    </row>
    <row r="7" spans="1:6" x14ac:dyDescent="0.3">
      <c r="A7" s="5">
        <v>1</v>
      </c>
      <c r="B7" s="3">
        <v>1192.71</v>
      </c>
      <c r="C7" s="2">
        <v>44197</v>
      </c>
      <c r="D7" s="4" t="s">
        <v>4</v>
      </c>
    </row>
    <row r="8" spans="1:6" x14ac:dyDescent="0.3">
      <c r="A8" s="4">
        <v>2</v>
      </c>
      <c r="B8" s="3">
        <v>1192.71</v>
      </c>
      <c r="C8" s="2">
        <v>44228</v>
      </c>
      <c r="D8" s="4" t="s">
        <v>4</v>
      </c>
    </row>
    <row r="9" spans="1:6" x14ac:dyDescent="0.3">
      <c r="A9" s="4">
        <v>3</v>
      </c>
      <c r="B9" s="3">
        <v>1192.71</v>
      </c>
      <c r="C9" s="2">
        <v>44256</v>
      </c>
      <c r="D9" s="4" t="s">
        <v>4</v>
      </c>
    </row>
    <row r="10" spans="1:6" x14ac:dyDescent="0.3">
      <c r="A10" s="4">
        <v>4</v>
      </c>
      <c r="B10" s="3">
        <v>1192.71</v>
      </c>
      <c r="C10" s="2">
        <v>44287</v>
      </c>
      <c r="D10" s="4" t="s">
        <v>4</v>
      </c>
    </row>
    <row r="11" spans="1:6" x14ac:dyDescent="0.3">
      <c r="A11" s="4">
        <v>5</v>
      </c>
      <c r="B11" s="3">
        <v>1192.71</v>
      </c>
      <c r="C11" s="2">
        <v>44317</v>
      </c>
      <c r="D11" s="4" t="s">
        <v>4</v>
      </c>
    </row>
    <row r="12" spans="1:6" x14ac:dyDescent="0.3">
      <c r="A12" s="4">
        <v>6</v>
      </c>
      <c r="B12" s="3">
        <v>1192.71</v>
      </c>
      <c r="C12" s="2">
        <v>44348</v>
      </c>
      <c r="D12" s="4" t="s">
        <v>4</v>
      </c>
    </row>
    <row r="13" spans="1:6" x14ac:dyDescent="0.3">
      <c r="A13" s="4">
        <v>7</v>
      </c>
      <c r="B13" s="3">
        <v>1192.71</v>
      </c>
      <c r="C13" s="2">
        <v>44378</v>
      </c>
      <c r="D13" s="4" t="s">
        <v>4</v>
      </c>
    </row>
    <row r="14" spans="1:6" x14ac:dyDescent="0.3">
      <c r="A14" s="4">
        <v>8</v>
      </c>
      <c r="B14" s="3">
        <v>1192.71</v>
      </c>
      <c r="C14" s="2">
        <v>44409</v>
      </c>
      <c r="D14" s="4" t="s">
        <v>4</v>
      </c>
    </row>
    <row r="15" spans="1:6" x14ac:dyDescent="0.3">
      <c r="A15" s="4">
        <v>9</v>
      </c>
      <c r="B15" s="3">
        <v>1192.71</v>
      </c>
      <c r="C15" s="2">
        <v>44440</v>
      </c>
      <c r="D15" s="4" t="s">
        <v>4</v>
      </c>
    </row>
    <row r="16" spans="1:6" x14ac:dyDescent="0.3">
      <c r="A16" s="4">
        <v>10</v>
      </c>
      <c r="B16" s="3">
        <v>1192.71</v>
      </c>
      <c r="C16" s="2">
        <v>44470</v>
      </c>
      <c r="D16" s="4" t="s">
        <v>4</v>
      </c>
    </row>
    <row r="17" spans="1:4" x14ac:dyDescent="0.3">
      <c r="A17" s="4">
        <v>11</v>
      </c>
      <c r="B17" s="3">
        <v>1192.71</v>
      </c>
      <c r="C17" s="2">
        <v>44501</v>
      </c>
      <c r="D17" s="4" t="s">
        <v>4</v>
      </c>
    </row>
    <row r="18" spans="1:4" x14ac:dyDescent="0.3">
      <c r="A18" s="4">
        <v>12</v>
      </c>
      <c r="B18" s="3">
        <v>1192.71</v>
      </c>
      <c r="C18" s="2">
        <v>44531</v>
      </c>
      <c r="D18" s="4" t="s">
        <v>4</v>
      </c>
    </row>
    <row r="19" spans="1:4" x14ac:dyDescent="0.3">
      <c r="A19" s="4">
        <v>13</v>
      </c>
      <c r="B19" s="3">
        <v>1192.71</v>
      </c>
      <c r="C19" s="2">
        <v>44562</v>
      </c>
      <c r="D19" s="4" t="s">
        <v>4</v>
      </c>
    </row>
    <row r="20" spans="1:4" x14ac:dyDescent="0.3">
      <c r="A20" s="4">
        <v>14</v>
      </c>
      <c r="B20" s="3">
        <v>1192.71</v>
      </c>
      <c r="C20" s="2">
        <v>44593</v>
      </c>
      <c r="D20" s="4" t="s">
        <v>4</v>
      </c>
    </row>
    <row r="21" spans="1:4" x14ac:dyDescent="0.3">
      <c r="A21" s="4">
        <v>15</v>
      </c>
      <c r="B21" s="3">
        <v>1192.71</v>
      </c>
      <c r="C21" s="2">
        <v>44621</v>
      </c>
      <c r="D21" s="4" t="s">
        <v>4</v>
      </c>
    </row>
    <row r="22" spans="1:4" x14ac:dyDescent="0.3">
      <c r="A22" s="4">
        <v>16</v>
      </c>
      <c r="B22" s="3">
        <v>1192.71</v>
      </c>
      <c r="C22" s="2">
        <v>44652</v>
      </c>
      <c r="D22" s="4" t="s">
        <v>4</v>
      </c>
    </row>
    <row r="23" spans="1:4" x14ac:dyDescent="0.3">
      <c r="A23" s="4">
        <v>17</v>
      </c>
      <c r="B23" s="3">
        <v>1192.71</v>
      </c>
      <c r="C23" s="2">
        <v>44682</v>
      </c>
      <c r="D23" s="4" t="s">
        <v>4</v>
      </c>
    </row>
    <row r="24" spans="1:4" x14ac:dyDescent="0.3">
      <c r="A24" s="4">
        <v>18</v>
      </c>
      <c r="B24" s="3">
        <v>1192.71</v>
      </c>
      <c r="C24" s="2">
        <v>44713</v>
      </c>
      <c r="D24" s="4" t="s">
        <v>4</v>
      </c>
    </row>
    <row r="25" spans="1:4" x14ac:dyDescent="0.3">
      <c r="A25" s="4">
        <v>19</v>
      </c>
      <c r="B25" s="3">
        <v>1192.71</v>
      </c>
      <c r="C25" s="2">
        <v>44743</v>
      </c>
      <c r="D25" s="4" t="s">
        <v>4</v>
      </c>
    </row>
    <row r="26" spans="1:4" x14ac:dyDescent="0.3">
      <c r="A26" s="4">
        <v>20</v>
      </c>
      <c r="B26" s="3">
        <v>1192.71</v>
      </c>
      <c r="C26" s="2">
        <v>44774</v>
      </c>
      <c r="D26" s="4" t="s">
        <v>4</v>
      </c>
    </row>
    <row r="27" spans="1:4" x14ac:dyDescent="0.3">
      <c r="A27" s="4">
        <v>21</v>
      </c>
      <c r="B27" s="3">
        <v>1192.71</v>
      </c>
      <c r="C27" s="2">
        <v>44805</v>
      </c>
      <c r="D27" s="4" t="s">
        <v>4</v>
      </c>
    </row>
    <row r="28" spans="1:4" x14ac:dyDescent="0.3">
      <c r="A28" s="4">
        <v>22</v>
      </c>
      <c r="B28" s="3">
        <v>1192.71</v>
      </c>
      <c r="C28" s="2">
        <v>44835</v>
      </c>
      <c r="D28" s="4" t="s">
        <v>4</v>
      </c>
    </row>
    <row r="29" spans="1:4" x14ac:dyDescent="0.3">
      <c r="A29" s="4">
        <v>23</v>
      </c>
      <c r="B29" s="3">
        <v>1192.71</v>
      </c>
      <c r="C29" s="2">
        <v>44866</v>
      </c>
      <c r="D29" s="4" t="s">
        <v>4</v>
      </c>
    </row>
    <row r="30" spans="1:4" x14ac:dyDescent="0.3">
      <c r="A30" s="4">
        <v>24</v>
      </c>
      <c r="B30" s="3">
        <v>1192.71</v>
      </c>
      <c r="C30" s="2">
        <v>44896</v>
      </c>
      <c r="D30" s="4" t="s">
        <v>4</v>
      </c>
    </row>
    <row r="31" spans="1:4" x14ac:dyDescent="0.3">
      <c r="A31" s="4">
        <v>25</v>
      </c>
      <c r="B31" s="3">
        <v>1192.71</v>
      </c>
      <c r="C31" s="2">
        <v>44927</v>
      </c>
      <c r="D31" s="4"/>
    </row>
    <row r="32" spans="1:4" x14ac:dyDescent="0.3">
      <c r="A32" s="4">
        <v>26</v>
      </c>
      <c r="B32" s="3">
        <v>1192.71</v>
      </c>
      <c r="C32" s="2">
        <v>44958</v>
      </c>
      <c r="D32" s="4"/>
    </row>
    <row r="33" spans="1:4" x14ac:dyDescent="0.3">
      <c r="A33" s="4">
        <v>27</v>
      </c>
      <c r="B33" s="3">
        <v>1192.71</v>
      </c>
      <c r="C33" s="2">
        <v>44986</v>
      </c>
      <c r="D33" s="4"/>
    </row>
    <row r="34" spans="1:4" x14ac:dyDescent="0.3">
      <c r="A34" s="4">
        <v>28</v>
      </c>
      <c r="B34" s="3">
        <v>1192.71</v>
      </c>
      <c r="C34" s="2">
        <v>45017</v>
      </c>
      <c r="D34" s="4"/>
    </row>
    <row r="35" spans="1:4" x14ac:dyDescent="0.3">
      <c r="A35" s="4">
        <v>29</v>
      </c>
      <c r="B35" s="3">
        <v>1192.71</v>
      </c>
      <c r="C35" s="2">
        <v>45047</v>
      </c>
      <c r="D35" s="4"/>
    </row>
    <row r="36" spans="1:4" x14ac:dyDescent="0.3">
      <c r="A36" s="4">
        <v>30</v>
      </c>
      <c r="B36" s="3">
        <v>1192.71</v>
      </c>
      <c r="C36" s="2">
        <v>45078</v>
      </c>
      <c r="D36" s="4"/>
    </row>
    <row r="37" spans="1:4" x14ac:dyDescent="0.3">
      <c r="A37" s="4">
        <v>31</v>
      </c>
      <c r="B37" s="3">
        <v>1192.71</v>
      </c>
      <c r="C37" s="2">
        <v>45108</v>
      </c>
      <c r="D37" s="4"/>
    </row>
    <row r="38" spans="1:4" x14ac:dyDescent="0.3">
      <c r="A38" s="4">
        <v>32</v>
      </c>
      <c r="B38" s="3">
        <v>1192.71</v>
      </c>
      <c r="C38" s="2">
        <v>45139</v>
      </c>
      <c r="D38" s="4"/>
    </row>
    <row r="39" spans="1:4" x14ac:dyDescent="0.3">
      <c r="A39" s="4">
        <v>33</v>
      </c>
      <c r="B39" s="3">
        <v>1192.71</v>
      </c>
      <c r="C39" s="2">
        <v>45170</v>
      </c>
      <c r="D39" s="4"/>
    </row>
    <row r="40" spans="1:4" x14ac:dyDescent="0.3">
      <c r="A40" s="4">
        <v>34</v>
      </c>
      <c r="B40" s="3">
        <v>1192.71</v>
      </c>
      <c r="C40" s="2">
        <v>45200</v>
      </c>
      <c r="D40" s="4"/>
    </row>
    <row r="41" spans="1:4" x14ac:dyDescent="0.3">
      <c r="A41" s="4">
        <v>35</v>
      </c>
      <c r="B41" s="3">
        <v>1192.71</v>
      </c>
      <c r="C41" s="2">
        <v>45231</v>
      </c>
      <c r="D41" s="4"/>
    </row>
    <row r="42" spans="1:4" x14ac:dyDescent="0.3">
      <c r="A42" s="4">
        <v>36</v>
      </c>
      <c r="B42" s="3">
        <v>1192.71</v>
      </c>
      <c r="C42" s="2">
        <v>45261</v>
      </c>
      <c r="D42" s="4"/>
    </row>
    <row r="43" spans="1:4" x14ac:dyDescent="0.3">
      <c r="A43" s="4"/>
      <c r="B43" s="3">
        <f>36*1192.71</f>
        <v>42937.56</v>
      </c>
      <c r="C43" s="194"/>
      <c r="D43" s="195"/>
    </row>
    <row r="44" spans="1:4" x14ac:dyDescent="0.3">
      <c r="A44" s="153" t="s">
        <v>88</v>
      </c>
      <c r="B44" s="154"/>
      <c r="C44" s="154"/>
      <c r="D44" s="155"/>
    </row>
  </sheetData>
  <mergeCells count="4">
    <mergeCell ref="C43:D43"/>
    <mergeCell ref="A1:F3"/>
    <mergeCell ref="A5:D5"/>
    <mergeCell ref="A44:D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X110"/>
  <sheetViews>
    <sheetView showGridLines="0" tabSelected="1" topLeftCell="A79" zoomScale="85" zoomScaleNormal="85" workbookViewId="0">
      <selection activeCell="B110" sqref="B110"/>
    </sheetView>
  </sheetViews>
  <sheetFormatPr defaultRowHeight="14.4" x14ac:dyDescent="0.3"/>
  <cols>
    <col min="1" max="1" width="15" bestFit="1" customWidth="1"/>
    <col min="2" max="2" width="16" customWidth="1"/>
    <col min="4" max="4" width="10.21875" bestFit="1" customWidth="1"/>
    <col min="7" max="7" width="13.33203125" bestFit="1" customWidth="1"/>
    <col min="9" max="9" width="10.109375" bestFit="1" customWidth="1"/>
    <col min="12" max="12" width="12.6640625" bestFit="1" customWidth="1"/>
    <col min="14" max="14" width="10.109375" bestFit="1" customWidth="1"/>
    <col min="16" max="16" width="10.88671875" bestFit="1" customWidth="1"/>
    <col min="17" max="17" width="13.5546875" bestFit="1" customWidth="1"/>
    <col min="19" max="19" width="10.109375" bestFit="1" customWidth="1"/>
    <col min="21" max="21" width="11.33203125" bestFit="1" customWidth="1"/>
    <col min="22" max="22" width="15" customWidth="1"/>
    <col min="23" max="23" width="14.33203125" bestFit="1" customWidth="1"/>
    <col min="24" max="24" width="11" customWidth="1"/>
  </cols>
  <sheetData>
    <row r="1" spans="1:24" ht="15" customHeight="1" x14ac:dyDescent="0.3">
      <c r="A1" s="168" t="s">
        <v>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24" ht="15" customHeight="1" x14ac:dyDescent="0.3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4" spans="1:24" x14ac:dyDescent="0.3">
      <c r="A4" s="14"/>
      <c r="B4" s="169" t="s">
        <v>18</v>
      </c>
      <c r="C4" s="169"/>
      <c r="D4" s="14"/>
      <c r="F4" s="14"/>
      <c r="G4" s="169" t="s">
        <v>20</v>
      </c>
      <c r="H4" s="169"/>
      <c r="I4" s="14"/>
      <c r="K4" s="14"/>
      <c r="L4" s="169" t="s">
        <v>21</v>
      </c>
      <c r="M4" s="169"/>
      <c r="N4" s="14"/>
      <c r="P4" s="14"/>
      <c r="Q4" s="169" t="s">
        <v>25</v>
      </c>
      <c r="R4" s="169"/>
      <c r="S4" s="14"/>
      <c r="U4" s="14"/>
      <c r="V4" s="208" t="s">
        <v>42</v>
      </c>
      <c r="W4" s="209"/>
      <c r="X4" s="14"/>
    </row>
    <row r="5" spans="1:24" x14ac:dyDescent="0.3">
      <c r="A5" s="142" t="s">
        <v>24</v>
      </c>
      <c r="B5" s="142"/>
      <c r="C5" s="142"/>
      <c r="D5" s="142"/>
      <c r="F5" s="142" t="s">
        <v>24</v>
      </c>
      <c r="G5" s="142"/>
      <c r="H5" s="142"/>
      <c r="I5" s="142"/>
      <c r="K5" s="205" t="s">
        <v>24</v>
      </c>
      <c r="L5" s="205"/>
      <c r="M5" s="205"/>
      <c r="N5" s="205"/>
      <c r="P5" s="142" t="s">
        <v>24</v>
      </c>
      <c r="Q5" s="142"/>
      <c r="R5" s="142"/>
      <c r="S5" s="142"/>
      <c r="U5" s="210" t="s">
        <v>37</v>
      </c>
      <c r="V5" s="211"/>
      <c r="W5" s="211"/>
      <c r="X5" s="212"/>
    </row>
    <row r="6" spans="1:24" x14ac:dyDescent="0.3">
      <c r="A6" s="137" t="s">
        <v>8</v>
      </c>
      <c r="B6" s="137"/>
      <c r="C6" s="143">
        <v>103993.34</v>
      </c>
      <c r="D6" s="143"/>
      <c r="F6" s="137" t="s">
        <v>8</v>
      </c>
      <c r="G6" s="137"/>
      <c r="H6" s="143">
        <v>107450</v>
      </c>
      <c r="I6" s="143"/>
      <c r="K6" s="203" t="s">
        <v>8</v>
      </c>
      <c r="L6" s="203"/>
      <c r="M6" s="206">
        <v>103993.34</v>
      </c>
      <c r="N6" s="206"/>
      <c r="P6" s="137" t="s">
        <v>8</v>
      </c>
      <c r="Q6" s="137"/>
      <c r="R6" s="143">
        <v>103993.34</v>
      </c>
      <c r="S6" s="143"/>
      <c r="U6" s="164" t="s">
        <v>8</v>
      </c>
      <c r="V6" s="165"/>
      <c r="W6" s="216">
        <v>520000</v>
      </c>
      <c r="X6" s="217"/>
    </row>
    <row r="7" spans="1:24" x14ac:dyDescent="0.3">
      <c r="A7" s="137" t="s">
        <v>14</v>
      </c>
      <c r="B7" s="137"/>
      <c r="C7" s="143">
        <v>132871.75</v>
      </c>
      <c r="D7" s="143"/>
      <c r="F7" s="137" t="s">
        <v>14</v>
      </c>
      <c r="G7" s="137"/>
      <c r="H7" s="143">
        <v>133018</v>
      </c>
      <c r="I7" s="143"/>
      <c r="K7" s="203" t="s">
        <v>14</v>
      </c>
      <c r="L7" s="203"/>
      <c r="M7" s="206">
        <v>132871.75</v>
      </c>
      <c r="N7" s="206"/>
      <c r="P7" s="137" t="s">
        <v>14</v>
      </c>
      <c r="Q7" s="137"/>
      <c r="R7" s="143">
        <v>132871.74</v>
      </c>
      <c r="S7" s="143"/>
      <c r="U7" s="164" t="s">
        <v>14</v>
      </c>
      <c r="V7" s="165"/>
      <c r="W7" s="213">
        <f>SUM(W11:W46)</f>
        <v>633677.25999999989</v>
      </c>
      <c r="X7" s="214"/>
    </row>
    <row r="8" spans="1:24" x14ac:dyDescent="0.3">
      <c r="A8" s="137" t="s">
        <v>7</v>
      </c>
      <c r="B8" s="137"/>
      <c r="C8" s="138">
        <v>24</v>
      </c>
      <c r="D8" s="138"/>
      <c r="F8" s="137" t="s">
        <v>7</v>
      </c>
      <c r="G8" s="137"/>
      <c r="H8" s="138">
        <v>24</v>
      </c>
      <c r="I8" s="138"/>
      <c r="K8" s="203" t="s">
        <v>7</v>
      </c>
      <c r="L8" s="203"/>
      <c r="M8" s="204">
        <v>24</v>
      </c>
      <c r="N8" s="204"/>
      <c r="P8" s="137" t="s">
        <v>7</v>
      </c>
      <c r="Q8" s="137"/>
      <c r="R8" s="138">
        <v>24</v>
      </c>
      <c r="S8" s="138"/>
      <c r="U8" s="164" t="s">
        <v>7</v>
      </c>
      <c r="V8" s="165"/>
      <c r="W8" s="170">
        <v>36</v>
      </c>
      <c r="X8" s="167"/>
    </row>
    <row r="9" spans="1:24" x14ac:dyDescent="0.3">
      <c r="A9" s="164" t="s">
        <v>69</v>
      </c>
      <c r="B9" s="165"/>
      <c r="C9" s="32" t="s">
        <v>74</v>
      </c>
      <c r="D9" s="70" t="s">
        <v>75</v>
      </c>
      <c r="F9" s="164" t="s">
        <v>69</v>
      </c>
      <c r="G9" s="165"/>
      <c r="H9" s="32" t="s">
        <v>74</v>
      </c>
      <c r="I9" s="70" t="s">
        <v>75</v>
      </c>
      <c r="K9" s="218" t="s">
        <v>69</v>
      </c>
      <c r="L9" s="219"/>
      <c r="M9" s="118" t="s">
        <v>77</v>
      </c>
      <c r="N9" s="119" t="s">
        <v>76</v>
      </c>
      <c r="P9" s="164" t="s">
        <v>69</v>
      </c>
      <c r="Q9" s="165"/>
      <c r="R9" s="32" t="s">
        <v>77</v>
      </c>
      <c r="S9" s="70" t="s">
        <v>76</v>
      </c>
      <c r="U9" s="170" t="s">
        <v>69</v>
      </c>
      <c r="V9" s="167"/>
      <c r="W9" s="69" t="s">
        <v>78</v>
      </c>
      <c r="X9" s="72" t="s">
        <v>79</v>
      </c>
    </row>
    <row r="10" spans="1:24" x14ac:dyDescent="0.3">
      <c r="A10" s="11" t="s">
        <v>0</v>
      </c>
      <c r="B10" s="6" t="s">
        <v>1</v>
      </c>
      <c r="C10" s="6" t="s">
        <v>2</v>
      </c>
      <c r="D10" s="12" t="s">
        <v>6</v>
      </c>
      <c r="F10" s="11" t="s">
        <v>0</v>
      </c>
      <c r="G10" s="6" t="s">
        <v>1</v>
      </c>
      <c r="H10" s="6" t="s">
        <v>2</v>
      </c>
      <c r="I10" s="12" t="s">
        <v>6</v>
      </c>
      <c r="K10" s="120" t="s">
        <v>0</v>
      </c>
      <c r="L10" s="121" t="s">
        <v>1</v>
      </c>
      <c r="M10" s="121" t="s">
        <v>2</v>
      </c>
      <c r="N10" s="122" t="s">
        <v>6</v>
      </c>
      <c r="P10" s="11" t="s">
        <v>0</v>
      </c>
      <c r="Q10" s="6" t="s">
        <v>1</v>
      </c>
      <c r="R10" s="6" t="s">
        <v>2</v>
      </c>
      <c r="S10" s="12" t="s">
        <v>6</v>
      </c>
      <c r="U10" s="36" t="s">
        <v>7</v>
      </c>
      <c r="V10" s="37" t="s">
        <v>39</v>
      </c>
      <c r="W10" s="37" t="s">
        <v>40</v>
      </c>
      <c r="X10" s="37" t="s">
        <v>3</v>
      </c>
    </row>
    <row r="11" spans="1:24" x14ac:dyDescent="0.3">
      <c r="A11" s="12">
        <v>1</v>
      </c>
      <c r="B11" s="33">
        <v>2096.14</v>
      </c>
      <c r="C11" s="15">
        <v>44774</v>
      </c>
      <c r="D11" s="12" t="s">
        <v>4</v>
      </c>
      <c r="F11" s="12">
        <v>1</v>
      </c>
      <c r="G11" s="33">
        <v>2232.8200000000002</v>
      </c>
      <c r="H11" s="15">
        <v>44774</v>
      </c>
      <c r="I11" s="12" t="s">
        <v>4</v>
      </c>
      <c r="K11" s="122">
        <v>1</v>
      </c>
      <c r="L11" s="123">
        <v>2096.14</v>
      </c>
      <c r="M11" s="124">
        <v>44774</v>
      </c>
      <c r="N11" s="122" t="s">
        <v>4</v>
      </c>
      <c r="P11" s="12">
        <v>1</v>
      </c>
      <c r="Q11" s="33">
        <v>2096.14</v>
      </c>
      <c r="R11" s="15">
        <v>44774</v>
      </c>
      <c r="S11" s="12" t="s">
        <v>4</v>
      </c>
      <c r="U11" s="32">
        <v>1</v>
      </c>
      <c r="V11" s="38">
        <v>44193</v>
      </c>
      <c r="W11" s="39">
        <v>5548.51</v>
      </c>
      <c r="X11" s="37" t="s">
        <v>41</v>
      </c>
    </row>
    <row r="12" spans="1:24" x14ac:dyDescent="0.3">
      <c r="A12" s="12">
        <v>2</v>
      </c>
      <c r="B12" s="33">
        <v>2096.14</v>
      </c>
      <c r="C12" s="15">
        <v>44805</v>
      </c>
      <c r="D12" s="12" t="s">
        <v>4</v>
      </c>
      <c r="F12" s="12">
        <v>2</v>
      </c>
      <c r="G12" s="33">
        <v>2096.14</v>
      </c>
      <c r="H12" s="15">
        <v>44805</v>
      </c>
      <c r="I12" s="12" t="s">
        <v>4</v>
      </c>
      <c r="K12" s="122">
        <v>2</v>
      </c>
      <c r="L12" s="123">
        <v>2096.14</v>
      </c>
      <c r="M12" s="124">
        <v>44805</v>
      </c>
      <c r="N12" s="122" t="s">
        <v>4</v>
      </c>
      <c r="P12" s="12">
        <v>2</v>
      </c>
      <c r="Q12" s="33">
        <v>2096.14</v>
      </c>
      <c r="R12" s="15">
        <v>44805</v>
      </c>
      <c r="S12" s="12" t="s">
        <v>4</v>
      </c>
      <c r="U12" s="32">
        <v>2</v>
      </c>
      <c r="V12" s="38">
        <v>44224</v>
      </c>
      <c r="W12" s="39">
        <v>5374.23</v>
      </c>
      <c r="X12" s="37" t="s">
        <v>41</v>
      </c>
    </row>
    <row r="13" spans="1:24" x14ac:dyDescent="0.3">
      <c r="A13" s="12">
        <v>3</v>
      </c>
      <c r="B13" s="33">
        <v>2027.87</v>
      </c>
      <c r="C13" s="15">
        <v>44835</v>
      </c>
      <c r="D13" s="12" t="s">
        <v>4</v>
      </c>
      <c r="F13" s="12">
        <v>3</v>
      </c>
      <c r="G13" s="33">
        <v>2096.14</v>
      </c>
      <c r="H13" s="15">
        <v>44835</v>
      </c>
      <c r="I13" s="12" t="s">
        <v>4</v>
      </c>
      <c r="K13" s="122">
        <v>3</v>
      </c>
      <c r="L13" s="123">
        <v>2027.87</v>
      </c>
      <c r="M13" s="124">
        <v>44835</v>
      </c>
      <c r="N13" s="122" t="s">
        <v>4</v>
      </c>
      <c r="P13" s="12">
        <v>3</v>
      </c>
      <c r="Q13" s="33">
        <v>2027.87</v>
      </c>
      <c r="R13" s="15">
        <v>44835</v>
      </c>
      <c r="S13" s="12" t="s">
        <v>4</v>
      </c>
      <c r="U13" s="32">
        <v>3</v>
      </c>
      <c r="V13" s="38">
        <v>44255</v>
      </c>
      <c r="W13" s="39">
        <v>5548.51</v>
      </c>
      <c r="X13" s="37" t="s">
        <v>41</v>
      </c>
    </row>
    <row r="14" spans="1:24" x14ac:dyDescent="0.3">
      <c r="A14" s="12">
        <v>4</v>
      </c>
      <c r="B14" s="33">
        <v>7184.88</v>
      </c>
      <c r="C14" s="15">
        <v>44866</v>
      </c>
      <c r="D14" s="12" t="s">
        <v>4</v>
      </c>
      <c r="F14" s="12">
        <v>4</v>
      </c>
      <c r="G14" s="33">
        <v>7048.2</v>
      </c>
      <c r="H14" s="15">
        <v>44866</v>
      </c>
      <c r="I14" s="12" t="s">
        <v>4</v>
      </c>
      <c r="K14" s="122">
        <v>4</v>
      </c>
      <c r="L14" s="123">
        <v>7184.88</v>
      </c>
      <c r="M14" s="124">
        <v>44866</v>
      </c>
      <c r="N14" s="122" t="s">
        <v>4</v>
      </c>
      <c r="P14" s="12">
        <v>4</v>
      </c>
      <c r="Q14" s="33">
        <v>7184.88</v>
      </c>
      <c r="R14" s="15">
        <v>44866</v>
      </c>
      <c r="S14" s="12" t="s">
        <v>4</v>
      </c>
      <c r="U14" s="32">
        <v>4</v>
      </c>
      <c r="V14" s="38">
        <v>44283</v>
      </c>
      <c r="W14" s="39">
        <v>4851.72</v>
      </c>
      <c r="X14" s="37" t="s">
        <v>41</v>
      </c>
    </row>
    <row r="15" spans="1:24" x14ac:dyDescent="0.3">
      <c r="A15" s="12">
        <v>5</v>
      </c>
      <c r="B15" s="33">
        <v>6753.45</v>
      </c>
      <c r="C15" s="15">
        <v>44896</v>
      </c>
      <c r="D15" s="12" t="s">
        <v>4</v>
      </c>
      <c r="F15" s="12">
        <v>5</v>
      </c>
      <c r="G15" s="33">
        <v>6818.39</v>
      </c>
      <c r="H15" s="15">
        <v>44896</v>
      </c>
      <c r="I15" s="12" t="s">
        <v>4</v>
      </c>
      <c r="K15" s="122">
        <v>5</v>
      </c>
      <c r="L15" s="123">
        <v>6753.45</v>
      </c>
      <c r="M15" s="124">
        <v>44896</v>
      </c>
      <c r="N15" s="122" t="s">
        <v>4</v>
      </c>
      <c r="P15" s="12">
        <v>5</v>
      </c>
      <c r="Q15" s="33">
        <v>6753.45</v>
      </c>
      <c r="R15" s="15">
        <v>44896</v>
      </c>
      <c r="S15" s="12" t="s">
        <v>4</v>
      </c>
      <c r="U15" s="32">
        <v>5</v>
      </c>
      <c r="V15" s="38">
        <v>44314</v>
      </c>
      <c r="W15" s="39">
        <v>5200</v>
      </c>
      <c r="X15" s="37" t="s">
        <v>41</v>
      </c>
    </row>
    <row r="16" spans="1:24" ht="14.25" customHeight="1" x14ac:dyDescent="0.3">
      <c r="A16" s="12">
        <v>6</v>
      </c>
      <c r="B16" s="33">
        <v>6848.57</v>
      </c>
      <c r="C16" s="15">
        <v>44927</v>
      </c>
      <c r="D16" s="12" t="s">
        <v>4</v>
      </c>
      <c r="F16" s="12">
        <v>6</v>
      </c>
      <c r="G16" s="33">
        <v>6848.57</v>
      </c>
      <c r="H16" s="15">
        <v>44927</v>
      </c>
      <c r="I16" s="12" t="s">
        <v>4</v>
      </c>
      <c r="K16" s="122">
        <v>6</v>
      </c>
      <c r="L16" s="123">
        <v>6848.57</v>
      </c>
      <c r="M16" s="124">
        <v>44927</v>
      </c>
      <c r="N16" s="122" t="s">
        <v>4</v>
      </c>
      <c r="P16" s="12">
        <v>6</v>
      </c>
      <c r="Q16" s="33">
        <v>6848.57</v>
      </c>
      <c r="R16" s="15">
        <v>44927</v>
      </c>
      <c r="S16" s="12" t="s">
        <v>4</v>
      </c>
      <c r="U16" s="32">
        <v>6</v>
      </c>
      <c r="V16" s="38">
        <v>44344</v>
      </c>
      <c r="W16" s="39">
        <v>5200</v>
      </c>
      <c r="X16" s="37" t="s">
        <v>41</v>
      </c>
    </row>
    <row r="17" spans="1:24" x14ac:dyDescent="0.3">
      <c r="A17" s="12">
        <v>7</v>
      </c>
      <c r="B17" s="86">
        <v>6807.31</v>
      </c>
      <c r="C17" s="15">
        <v>44958</v>
      </c>
      <c r="D17" s="12" t="s">
        <v>4</v>
      </c>
      <c r="F17" s="12">
        <v>7</v>
      </c>
      <c r="G17" s="86">
        <v>6748.75</v>
      </c>
      <c r="H17" s="15">
        <v>44958</v>
      </c>
      <c r="I17" s="12" t="s">
        <v>4</v>
      </c>
      <c r="K17" s="122">
        <v>7</v>
      </c>
      <c r="L17" s="125">
        <v>6807.31</v>
      </c>
      <c r="M17" s="124">
        <v>44958</v>
      </c>
      <c r="N17" s="122" t="s">
        <v>4</v>
      </c>
      <c r="P17" s="12">
        <v>7</v>
      </c>
      <c r="Q17" s="86">
        <v>6807.31</v>
      </c>
      <c r="R17" s="15">
        <v>44958</v>
      </c>
      <c r="S17" s="12" t="s">
        <v>4</v>
      </c>
      <c r="U17" s="32">
        <v>7</v>
      </c>
      <c r="V17" s="38">
        <v>44375</v>
      </c>
      <c r="W17" s="39">
        <v>22707.56</v>
      </c>
      <c r="X17" s="37" t="s">
        <v>41</v>
      </c>
    </row>
    <row r="18" spans="1:24" x14ac:dyDescent="0.3">
      <c r="A18" s="12">
        <v>8</v>
      </c>
      <c r="B18" s="33">
        <v>6483.24</v>
      </c>
      <c r="C18" s="15">
        <v>44986</v>
      </c>
      <c r="D18" s="12" t="s">
        <v>4</v>
      </c>
      <c r="F18" s="12">
        <v>8</v>
      </c>
      <c r="G18" s="33">
        <v>6483.24</v>
      </c>
      <c r="H18" s="15">
        <v>44986</v>
      </c>
      <c r="I18" s="12" t="s">
        <v>4</v>
      </c>
      <c r="K18" s="122">
        <v>8</v>
      </c>
      <c r="L18" s="123">
        <v>6483.24</v>
      </c>
      <c r="M18" s="124">
        <v>44986</v>
      </c>
      <c r="N18" s="122" t="s">
        <v>4</v>
      </c>
      <c r="P18" s="12">
        <v>8</v>
      </c>
      <c r="Q18" s="33">
        <v>6483.23</v>
      </c>
      <c r="R18" s="15">
        <v>44986</v>
      </c>
      <c r="S18" s="12" t="s">
        <v>4</v>
      </c>
      <c r="U18" s="32">
        <v>8</v>
      </c>
      <c r="V18" s="38">
        <v>44405</v>
      </c>
      <c r="W18" s="39">
        <v>22360</v>
      </c>
      <c r="X18" s="37" t="s">
        <v>41</v>
      </c>
    </row>
    <row r="19" spans="1:24" x14ac:dyDescent="0.3">
      <c r="A19" s="12">
        <v>9</v>
      </c>
      <c r="B19" s="33">
        <v>6497.1</v>
      </c>
      <c r="C19" s="15">
        <v>45017</v>
      </c>
      <c r="D19" s="12" t="s">
        <v>4</v>
      </c>
      <c r="F19" s="12">
        <v>9</v>
      </c>
      <c r="G19" s="33">
        <v>6601.17</v>
      </c>
      <c r="H19" s="15">
        <v>45017</v>
      </c>
      <c r="I19" s="12" t="s">
        <v>4</v>
      </c>
      <c r="K19" s="122">
        <v>9</v>
      </c>
      <c r="L19" s="123">
        <v>6497.1</v>
      </c>
      <c r="M19" s="124">
        <v>45017</v>
      </c>
      <c r="N19" s="122" t="s">
        <v>91</v>
      </c>
      <c r="P19" s="12">
        <v>9</v>
      </c>
      <c r="Q19" s="33">
        <v>6497.1</v>
      </c>
      <c r="R19" s="15">
        <v>45017</v>
      </c>
      <c r="S19" s="12" t="s">
        <v>4</v>
      </c>
      <c r="U19" s="32">
        <v>9</v>
      </c>
      <c r="V19" s="38">
        <v>44436</v>
      </c>
      <c r="W19" s="39">
        <v>22674.66</v>
      </c>
      <c r="X19" s="37" t="s">
        <v>41</v>
      </c>
    </row>
    <row r="20" spans="1:24" x14ac:dyDescent="0.3">
      <c r="A20" s="12">
        <v>10</v>
      </c>
      <c r="B20" s="33">
        <v>6400.54</v>
      </c>
      <c r="C20" s="15">
        <v>45047</v>
      </c>
      <c r="D20" s="12" t="s">
        <v>4</v>
      </c>
      <c r="F20" s="12">
        <v>10</v>
      </c>
      <c r="G20" s="33">
        <v>6351.8</v>
      </c>
      <c r="H20" s="15">
        <v>45047</v>
      </c>
      <c r="I20" s="12" t="s">
        <v>4</v>
      </c>
      <c r="K20" s="122">
        <v>10</v>
      </c>
      <c r="L20" s="123">
        <v>6400.54</v>
      </c>
      <c r="M20" s="124">
        <v>45047</v>
      </c>
      <c r="N20" s="122"/>
      <c r="P20" s="12">
        <v>10</v>
      </c>
      <c r="Q20" s="33">
        <v>6400.54</v>
      </c>
      <c r="R20" s="15">
        <v>45047</v>
      </c>
      <c r="S20" s="12" t="s">
        <v>4</v>
      </c>
      <c r="U20" s="32">
        <v>10</v>
      </c>
      <c r="V20" s="38">
        <v>44467</v>
      </c>
      <c r="W20" s="39">
        <v>21856.58</v>
      </c>
      <c r="X20" s="37" t="s">
        <v>41</v>
      </c>
    </row>
    <row r="21" spans="1:24" x14ac:dyDescent="0.3">
      <c r="A21" s="12">
        <v>11</v>
      </c>
      <c r="B21" s="33">
        <v>6349.49</v>
      </c>
      <c r="C21" s="15">
        <v>45078</v>
      </c>
      <c r="D21" s="12" t="s">
        <v>4</v>
      </c>
      <c r="F21" s="12">
        <v>11</v>
      </c>
      <c r="G21" s="33">
        <v>6349.49</v>
      </c>
      <c r="H21" s="15">
        <v>45078</v>
      </c>
      <c r="I21" s="12" t="s">
        <v>4</v>
      </c>
      <c r="K21" s="122">
        <v>11</v>
      </c>
      <c r="L21" s="123">
        <v>6349.49</v>
      </c>
      <c r="M21" s="124">
        <v>45078</v>
      </c>
      <c r="N21" s="122"/>
      <c r="P21" s="12">
        <v>11</v>
      </c>
      <c r="Q21" s="33">
        <v>6349.49</v>
      </c>
      <c r="R21" s="15">
        <v>45078</v>
      </c>
      <c r="S21" s="12" t="s">
        <v>4</v>
      </c>
      <c r="U21" s="32">
        <v>11</v>
      </c>
      <c r="V21" s="38">
        <v>44497</v>
      </c>
      <c r="W21" s="39">
        <v>21840</v>
      </c>
      <c r="X21" s="37" t="s">
        <v>41</v>
      </c>
    </row>
    <row r="22" spans="1:24" x14ac:dyDescent="0.3">
      <c r="A22" s="12">
        <v>12</v>
      </c>
      <c r="B22" s="33">
        <v>6207.41</v>
      </c>
      <c r="C22" s="15">
        <v>45108</v>
      </c>
      <c r="D22" s="12" t="s">
        <v>4</v>
      </c>
      <c r="F22" s="12">
        <v>12</v>
      </c>
      <c r="G22" s="33">
        <v>6249.67</v>
      </c>
      <c r="H22" s="15">
        <v>45108</v>
      </c>
      <c r="I22" s="12" t="s">
        <v>4</v>
      </c>
      <c r="K22" s="122">
        <v>12</v>
      </c>
      <c r="L22" s="123">
        <v>6207.41</v>
      </c>
      <c r="M22" s="124">
        <v>45108</v>
      </c>
      <c r="N22" s="122"/>
      <c r="P22" s="12">
        <v>12</v>
      </c>
      <c r="Q22" s="33">
        <v>6207.41</v>
      </c>
      <c r="R22" s="15">
        <v>45108</v>
      </c>
      <c r="S22" s="12" t="s">
        <v>4</v>
      </c>
      <c r="U22" s="32">
        <v>12</v>
      </c>
      <c r="V22" s="38">
        <v>44528</v>
      </c>
      <c r="W22" s="39">
        <v>21957.09</v>
      </c>
      <c r="X22" s="37" t="s">
        <v>41</v>
      </c>
    </row>
    <row r="23" spans="1:24" x14ac:dyDescent="0.3">
      <c r="A23" s="12">
        <v>13</v>
      </c>
      <c r="B23" s="33">
        <v>6227.96</v>
      </c>
      <c r="C23" s="15">
        <v>45139</v>
      </c>
      <c r="D23" s="12" t="s">
        <v>4</v>
      </c>
      <c r="F23" s="12">
        <v>13</v>
      </c>
      <c r="G23" s="33">
        <v>6110.84</v>
      </c>
      <c r="H23" s="15">
        <v>45139</v>
      </c>
      <c r="I23" s="12" t="s">
        <v>4</v>
      </c>
      <c r="K23" s="122">
        <v>13</v>
      </c>
      <c r="L23" s="123">
        <v>6227.96</v>
      </c>
      <c r="M23" s="124">
        <v>45139</v>
      </c>
      <c r="N23" s="122"/>
      <c r="P23" s="12">
        <v>13</v>
      </c>
      <c r="Q23" s="33">
        <v>6227.96</v>
      </c>
      <c r="R23" s="15">
        <v>45139</v>
      </c>
      <c r="S23" s="12" t="s">
        <v>4</v>
      </c>
      <c r="U23" s="32">
        <v>13</v>
      </c>
      <c r="V23" s="38">
        <v>44558</v>
      </c>
      <c r="W23" s="39">
        <v>21354</v>
      </c>
      <c r="X23" s="37" t="s">
        <v>41</v>
      </c>
    </row>
    <row r="24" spans="1:24" x14ac:dyDescent="0.3">
      <c r="A24" s="12">
        <v>14</v>
      </c>
      <c r="B24" s="33">
        <v>5978.54</v>
      </c>
      <c r="C24" s="15">
        <v>45170</v>
      </c>
      <c r="D24" s="12" t="s">
        <v>4</v>
      </c>
      <c r="F24" s="12">
        <v>14</v>
      </c>
      <c r="G24" s="33">
        <v>6121.63</v>
      </c>
      <c r="H24" s="15">
        <v>45170</v>
      </c>
      <c r="I24" s="12" t="s">
        <v>4</v>
      </c>
      <c r="K24" s="122">
        <v>14</v>
      </c>
      <c r="L24" s="123">
        <v>5978.54</v>
      </c>
      <c r="M24" s="124">
        <v>45170</v>
      </c>
      <c r="N24" s="122"/>
      <c r="P24" s="12">
        <v>14</v>
      </c>
      <c r="Q24" s="33">
        <v>5978.54</v>
      </c>
      <c r="R24" s="15">
        <v>45170</v>
      </c>
      <c r="S24" s="12" t="s">
        <v>4</v>
      </c>
      <c r="U24" s="32">
        <v>14</v>
      </c>
      <c r="V24" s="38">
        <v>44589</v>
      </c>
      <c r="W24" s="39">
        <v>21453.57</v>
      </c>
      <c r="X24" s="37" t="s">
        <v>41</v>
      </c>
    </row>
    <row r="25" spans="1:24" x14ac:dyDescent="0.3">
      <c r="A25" s="12">
        <v>15</v>
      </c>
      <c r="B25" s="33">
        <v>5917.71</v>
      </c>
      <c r="C25" s="15">
        <v>45200</v>
      </c>
      <c r="D25" s="12" t="s">
        <v>4</v>
      </c>
      <c r="F25" s="12">
        <v>15</v>
      </c>
      <c r="G25" s="33">
        <v>5852.75</v>
      </c>
      <c r="H25" s="15">
        <v>45200</v>
      </c>
      <c r="I25" s="12" t="s">
        <v>4</v>
      </c>
      <c r="K25" s="122">
        <v>15</v>
      </c>
      <c r="L25" s="123">
        <v>5917.71</v>
      </c>
      <c r="M25" s="124">
        <v>45200</v>
      </c>
      <c r="N25" s="122"/>
      <c r="P25" s="12">
        <v>15</v>
      </c>
      <c r="Q25" s="33">
        <v>5917.71</v>
      </c>
      <c r="R25" s="15">
        <v>45200</v>
      </c>
      <c r="S25" s="12" t="s">
        <v>4</v>
      </c>
      <c r="U25" s="32">
        <v>15</v>
      </c>
      <c r="V25" s="38">
        <v>44620</v>
      </c>
      <c r="W25" s="39">
        <v>21530.09</v>
      </c>
      <c r="X25" s="37" t="s">
        <v>41</v>
      </c>
    </row>
    <row r="26" spans="1:24" x14ac:dyDescent="0.3">
      <c r="A26" s="12">
        <v>16</v>
      </c>
      <c r="B26" s="33">
        <v>5879.69</v>
      </c>
      <c r="C26" s="15">
        <v>45231</v>
      </c>
      <c r="D26" s="12" t="s">
        <v>4</v>
      </c>
      <c r="F26" s="12">
        <v>16</v>
      </c>
      <c r="G26" s="33">
        <v>5879.69</v>
      </c>
      <c r="H26" s="15">
        <v>45231</v>
      </c>
      <c r="I26" s="12" t="s">
        <v>4</v>
      </c>
      <c r="K26" s="122">
        <v>16</v>
      </c>
      <c r="L26" s="123">
        <v>5879.69</v>
      </c>
      <c r="M26" s="124">
        <v>45231</v>
      </c>
      <c r="N26" s="122"/>
      <c r="P26" s="12">
        <v>16</v>
      </c>
      <c r="Q26" s="33">
        <v>5879.69</v>
      </c>
      <c r="R26" s="15">
        <v>45231</v>
      </c>
      <c r="S26" s="12" t="s">
        <v>4</v>
      </c>
      <c r="U26" s="32">
        <v>16</v>
      </c>
      <c r="V26" s="38">
        <v>44648</v>
      </c>
      <c r="W26" s="39">
        <v>20485.900000000001</v>
      </c>
      <c r="X26" s="37" t="s">
        <v>41</v>
      </c>
    </row>
    <row r="27" spans="1:24" x14ac:dyDescent="0.3">
      <c r="A27" s="12">
        <v>17</v>
      </c>
      <c r="B27" s="33">
        <v>5698.59</v>
      </c>
      <c r="C27" s="15">
        <v>45261</v>
      </c>
      <c r="D27" s="12" t="s">
        <v>4</v>
      </c>
      <c r="F27" s="12">
        <v>17</v>
      </c>
      <c r="G27" s="33">
        <v>5750.59</v>
      </c>
      <c r="H27" s="15">
        <v>45261</v>
      </c>
      <c r="I27" s="12" t="s">
        <v>4</v>
      </c>
      <c r="K27" s="122">
        <v>17</v>
      </c>
      <c r="L27" s="123">
        <v>5698.59</v>
      </c>
      <c r="M27" s="124">
        <v>45261</v>
      </c>
      <c r="N27" s="122"/>
      <c r="P27" s="12">
        <v>17</v>
      </c>
      <c r="Q27" s="33">
        <v>5698.59</v>
      </c>
      <c r="R27" s="15">
        <v>45261</v>
      </c>
      <c r="S27" s="12" t="s">
        <v>4</v>
      </c>
      <c r="U27" s="32">
        <v>17</v>
      </c>
      <c r="V27" s="38">
        <v>44679</v>
      </c>
      <c r="W27" s="39">
        <v>20916.150000000001</v>
      </c>
      <c r="X27" s="37" t="s">
        <v>41</v>
      </c>
    </row>
    <row r="28" spans="1:24" x14ac:dyDescent="0.3">
      <c r="A28" s="12">
        <v>18</v>
      </c>
      <c r="B28" s="33">
        <v>5650.78</v>
      </c>
      <c r="C28" s="15">
        <v>45292</v>
      </c>
      <c r="D28" s="12" t="s">
        <v>4</v>
      </c>
      <c r="F28" s="12">
        <v>18</v>
      </c>
      <c r="G28" s="33">
        <v>5605.27</v>
      </c>
      <c r="H28" s="15">
        <v>45292</v>
      </c>
      <c r="I28" s="12" t="s">
        <v>4</v>
      </c>
      <c r="K28" s="122">
        <v>18</v>
      </c>
      <c r="L28" s="123">
        <v>5650.78</v>
      </c>
      <c r="M28" s="124">
        <v>45292</v>
      </c>
      <c r="N28" s="122"/>
      <c r="P28" s="12">
        <v>18</v>
      </c>
      <c r="Q28" s="33">
        <v>5650.78</v>
      </c>
      <c r="R28" s="15">
        <v>45292</v>
      </c>
      <c r="S28" s="12" t="s">
        <v>4</v>
      </c>
      <c r="U28" s="32">
        <v>18</v>
      </c>
      <c r="V28" s="38">
        <v>44709</v>
      </c>
      <c r="W28" s="39">
        <v>20847.39</v>
      </c>
      <c r="X28" s="37" t="s">
        <v>41</v>
      </c>
    </row>
    <row r="29" spans="1:24" x14ac:dyDescent="0.3">
      <c r="A29" s="12">
        <v>19</v>
      </c>
      <c r="B29" s="33">
        <v>5550.96</v>
      </c>
      <c r="C29" s="15">
        <v>45323</v>
      </c>
      <c r="D29" s="12" t="s">
        <v>4</v>
      </c>
      <c r="F29" s="12">
        <v>19</v>
      </c>
      <c r="G29" s="33">
        <v>5550.96</v>
      </c>
      <c r="H29" s="15">
        <v>45323</v>
      </c>
      <c r="I29" s="12" t="s">
        <v>4</v>
      </c>
      <c r="K29" s="122">
        <v>19</v>
      </c>
      <c r="L29" s="123">
        <v>5550.96</v>
      </c>
      <c r="M29" s="124">
        <v>45323</v>
      </c>
      <c r="N29" s="122"/>
      <c r="P29" s="12">
        <v>19</v>
      </c>
      <c r="Q29" s="33">
        <v>5550.96</v>
      </c>
      <c r="R29" s="15">
        <v>45323</v>
      </c>
      <c r="S29" s="12" t="s">
        <v>4</v>
      </c>
      <c r="U29" s="32">
        <v>19</v>
      </c>
      <c r="V29" s="38">
        <v>44740</v>
      </c>
      <c r="W29" s="39">
        <v>20348.830000000002</v>
      </c>
      <c r="X29" s="37" t="s">
        <v>41</v>
      </c>
    </row>
    <row r="30" spans="1:24" x14ac:dyDescent="0.3">
      <c r="A30" s="12">
        <v>20</v>
      </c>
      <c r="B30" s="33">
        <v>5418.64</v>
      </c>
      <c r="C30" s="15">
        <v>45352</v>
      </c>
      <c r="D30" s="12" t="s">
        <v>4</v>
      </c>
      <c r="F30" s="12">
        <v>20</v>
      </c>
      <c r="G30" s="33">
        <v>5451.14</v>
      </c>
      <c r="H30" s="15">
        <v>45352</v>
      </c>
      <c r="I30" s="12" t="s">
        <v>4</v>
      </c>
      <c r="K30" s="122">
        <v>20</v>
      </c>
      <c r="L30" s="123">
        <v>5418.64</v>
      </c>
      <c r="M30" s="124">
        <v>45352</v>
      </c>
      <c r="N30" s="122"/>
      <c r="P30" s="12">
        <v>20</v>
      </c>
      <c r="Q30" s="33">
        <v>5418.64</v>
      </c>
      <c r="R30" s="15">
        <v>45352</v>
      </c>
      <c r="S30" s="12" t="s">
        <v>4</v>
      </c>
      <c r="U30" s="32">
        <v>20</v>
      </c>
      <c r="V30" s="38">
        <v>44770</v>
      </c>
      <c r="W30" s="39">
        <v>20280</v>
      </c>
      <c r="X30" s="37" t="s">
        <v>41</v>
      </c>
    </row>
    <row r="31" spans="1:24" x14ac:dyDescent="0.3">
      <c r="A31" s="12">
        <v>21</v>
      </c>
      <c r="B31" s="33">
        <v>5351.33</v>
      </c>
      <c r="C31" s="15">
        <v>45383</v>
      </c>
      <c r="D31" s="12" t="s">
        <v>4</v>
      </c>
      <c r="F31" s="12">
        <v>21</v>
      </c>
      <c r="G31" s="33">
        <v>5325.33</v>
      </c>
      <c r="H31" s="15">
        <v>45383</v>
      </c>
      <c r="I31" s="12" t="s">
        <v>4</v>
      </c>
      <c r="K31" s="122">
        <v>21</v>
      </c>
      <c r="L31" s="123">
        <v>5351.33</v>
      </c>
      <c r="M31" s="124">
        <v>45383</v>
      </c>
      <c r="N31" s="122"/>
      <c r="P31" s="12">
        <v>21</v>
      </c>
      <c r="Q31" s="33">
        <v>5351.33</v>
      </c>
      <c r="R31" s="15">
        <v>45383</v>
      </c>
      <c r="S31" s="12" t="s">
        <v>4</v>
      </c>
      <c r="U31" s="32">
        <v>21</v>
      </c>
      <c r="V31" s="38">
        <v>44801</v>
      </c>
      <c r="W31" s="39">
        <v>20292.54</v>
      </c>
      <c r="X31" s="37" t="s">
        <v>41</v>
      </c>
    </row>
    <row r="32" spans="1:24" x14ac:dyDescent="0.3">
      <c r="A32" s="12">
        <v>22</v>
      </c>
      <c r="B32" s="33">
        <v>5251.51</v>
      </c>
      <c r="C32" s="15">
        <v>45413</v>
      </c>
      <c r="D32" s="12" t="s">
        <v>4</v>
      </c>
      <c r="F32" s="12">
        <v>22</v>
      </c>
      <c r="G32" s="33">
        <v>5241.76</v>
      </c>
      <c r="H32" s="15">
        <v>45413</v>
      </c>
      <c r="I32" s="12" t="s">
        <v>4</v>
      </c>
      <c r="K32" s="122">
        <v>22</v>
      </c>
      <c r="L32" s="123">
        <v>5251.51</v>
      </c>
      <c r="M32" s="124">
        <v>45413</v>
      </c>
      <c r="N32" s="122"/>
      <c r="P32" s="12">
        <v>22</v>
      </c>
      <c r="Q32" s="33">
        <v>5251.51</v>
      </c>
      <c r="R32" s="15">
        <v>45413</v>
      </c>
      <c r="S32" s="12" t="s">
        <v>4</v>
      </c>
      <c r="U32" s="32">
        <v>22</v>
      </c>
      <c r="V32" s="38">
        <v>44832</v>
      </c>
      <c r="W32" s="39">
        <v>19933.330000000002</v>
      </c>
      <c r="X32" s="37" t="s">
        <v>41</v>
      </c>
    </row>
    <row r="33" spans="1:24" x14ac:dyDescent="0.3">
      <c r="A33" s="12">
        <v>23</v>
      </c>
      <c r="B33" s="33">
        <v>5145.1899999999996</v>
      </c>
      <c r="C33" s="15">
        <v>45444</v>
      </c>
      <c r="D33" s="12" t="s">
        <v>4</v>
      </c>
      <c r="F33" s="12">
        <v>23</v>
      </c>
      <c r="G33" s="33">
        <v>5158.2</v>
      </c>
      <c r="H33" s="15">
        <v>45444</v>
      </c>
      <c r="I33" s="12" t="s">
        <v>4</v>
      </c>
      <c r="K33" s="122">
        <v>23</v>
      </c>
      <c r="L33" s="123">
        <v>5145.1899999999996</v>
      </c>
      <c r="M33" s="124">
        <v>45444</v>
      </c>
      <c r="N33" s="122"/>
      <c r="P33" s="12">
        <v>23</v>
      </c>
      <c r="Q33" s="33">
        <v>5145.1899999999996</v>
      </c>
      <c r="R33" s="15">
        <v>45444</v>
      </c>
      <c r="S33" s="12" t="s">
        <v>4</v>
      </c>
      <c r="U33" s="32">
        <v>23</v>
      </c>
      <c r="V33" s="38">
        <v>44862</v>
      </c>
      <c r="W33" s="39">
        <v>19760</v>
      </c>
      <c r="X33" s="37" t="s">
        <v>41</v>
      </c>
    </row>
    <row r="34" spans="1:24" x14ac:dyDescent="0.3">
      <c r="A34" s="12">
        <v>24</v>
      </c>
      <c r="B34" s="33">
        <v>5048.71</v>
      </c>
      <c r="C34" s="15">
        <v>45474</v>
      </c>
      <c r="D34" s="12" t="s">
        <v>4</v>
      </c>
      <c r="F34" s="12">
        <v>24</v>
      </c>
      <c r="G34" s="33">
        <v>5045.46</v>
      </c>
      <c r="H34" s="15">
        <v>45474</v>
      </c>
      <c r="I34" s="12" t="s">
        <v>4</v>
      </c>
      <c r="K34" s="122">
        <v>24</v>
      </c>
      <c r="L34" s="123">
        <v>5048.71</v>
      </c>
      <c r="M34" s="124">
        <v>45474</v>
      </c>
      <c r="N34" s="122"/>
      <c r="P34" s="12">
        <v>24</v>
      </c>
      <c r="Q34" s="33">
        <v>5048.71</v>
      </c>
      <c r="R34" s="15">
        <v>45474</v>
      </c>
      <c r="S34" s="12" t="s">
        <v>4</v>
      </c>
      <c r="U34" s="32">
        <v>24</v>
      </c>
      <c r="V34" s="38">
        <v>44893</v>
      </c>
      <c r="W34" s="39">
        <v>19662.16</v>
      </c>
      <c r="X34" s="37" t="s">
        <v>41</v>
      </c>
    </row>
    <row r="35" spans="1:24" x14ac:dyDescent="0.3">
      <c r="A35" s="197">
        <f>SUM(B11:B34)</f>
        <v>132871.75</v>
      </c>
      <c r="B35" s="198"/>
      <c r="C35" s="198"/>
      <c r="D35" s="199"/>
      <c r="F35" s="197">
        <f>SUM(G11:G34)</f>
        <v>133018</v>
      </c>
      <c r="G35" s="198"/>
      <c r="H35" s="198"/>
      <c r="I35" s="199"/>
      <c r="K35" s="200">
        <f>SUM(L11:L34)</f>
        <v>132871.75</v>
      </c>
      <c r="L35" s="201"/>
      <c r="M35" s="201"/>
      <c r="N35" s="202"/>
      <c r="P35" s="12"/>
      <c r="Q35" s="7">
        <f>SUM(Q11:Q34)</f>
        <v>132871.74</v>
      </c>
      <c r="R35" s="15"/>
      <c r="S35" s="12"/>
      <c r="U35" s="32">
        <v>25</v>
      </c>
      <c r="V35" s="38">
        <v>44923</v>
      </c>
      <c r="W35" s="39">
        <v>19413.330000000002</v>
      </c>
      <c r="X35" s="37" t="s">
        <v>41</v>
      </c>
    </row>
    <row r="36" spans="1:24" x14ac:dyDescent="0.3">
      <c r="U36" s="32">
        <v>26</v>
      </c>
      <c r="V36" s="38">
        <v>44954</v>
      </c>
      <c r="W36" s="39">
        <v>19431.71</v>
      </c>
      <c r="X36" s="37" t="s">
        <v>41</v>
      </c>
    </row>
    <row r="37" spans="1:24" x14ac:dyDescent="0.3">
      <c r="A37" s="25"/>
      <c r="U37" s="32">
        <v>27</v>
      </c>
      <c r="V37" s="38">
        <v>44985</v>
      </c>
      <c r="W37" s="39">
        <v>19008.61</v>
      </c>
      <c r="X37" s="37" t="s">
        <v>41</v>
      </c>
    </row>
    <row r="38" spans="1:24" x14ac:dyDescent="0.3">
      <c r="B38" s="215"/>
      <c r="C38" s="215"/>
      <c r="D38" s="215"/>
      <c r="U38" s="32">
        <v>28</v>
      </c>
      <c r="V38" s="38">
        <v>45013</v>
      </c>
      <c r="W38" s="39">
        <v>18788.849999999999</v>
      </c>
      <c r="X38" s="37" t="s">
        <v>41</v>
      </c>
    </row>
    <row r="39" spans="1:24" x14ac:dyDescent="0.3">
      <c r="B39" s="1"/>
      <c r="C39" s="1"/>
      <c r="D39" s="1"/>
      <c r="U39" s="32">
        <v>29</v>
      </c>
      <c r="V39" s="38">
        <v>45044</v>
      </c>
      <c r="W39" s="39">
        <v>18766.46</v>
      </c>
      <c r="X39" s="37" t="s">
        <v>41</v>
      </c>
    </row>
    <row r="40" spans="1:24" x14ac:dyDescent="0.3">
      <c r="B40" s="1"/>
      <c r="C40" s="1"/>
      <c r="D40" s="1"/>
      <c r="U40" s="32">
        <v>30</v>
      </c>
      <c r="V40" s="38">
        <v>45074</v>
      </c>
      <c r="W40" s="39">
        <v>18587.32</v>
      </c>
      <c r="X40" s="37" t="s">
        <v>41</v>
      </c>
    </row>
    <row r="41" spans="1:24" x14ac:dyDescent="0.3">
      <c r="B41" s="1"/>
      <c r="C41" s="1"/>
      <c r="D41" s="1"/>
      <c r="U41" s="32">
        <v>31</v>
      </c>
      <c r="V41" s="38">
        <v>45105</v>
      </c>
      <c r="W41" s="39">
        <v>18373.330000000002</v>
      </c>
      <c r="X41" s="37" t="s">
        <v>41</v>
      </c>
    </row>
    <row r="42" spans="1:24" x14ac:dyDescent="0.3">
      <c r="B42" s="1"/>
      <c r="C42" s="1"/>
      <c r="D42" s="1"/>
      <c r="U42" s="32">
        <v>32</v>
      </c>
      <c r="V42" s="38">
        <v>45135</v>
      </c>
      <c r="W42" s="39">
        <v>18200</v>
      </c>
      <c r="X42" s="37" t="s">
        <v>41</v>
      </c>
    </row>
    <row r="43" spans="1:24" x14ac:dyDescent="0.3">
      <c r="B43" s="1"/>
      <c r="C43" s="1"/>
      <c r="D43" s="1"/>
      <c r="U43" s="32">
        <v>33</v>
      </c>
      <c r="V43" s="38">
        <v>45166</v>
      </c>
      <c r="W43" s="39">
        <v>18049.89</v>
      </c>
      <c r="X43" s="37" t="s">
        <v>41</v>
      </c>
    </row>
    <row r="44" spans="1:24" x14ac:dyDescent="0.3">
      <c r="B44" s="1"/>
      <c r="C44" s="1"/>
      <c r="D44" s="1"/>
      <c r="U44" s="32">
        <v>34</v>
      </c>
      <c r="V44" s="38">
        <v>45197</v>
      </c>
      <c r="W44" s="39">
        <v>17870.75</v>
      </c>
      <c r="X44" s="37" t="s">
        <v>41</v>
      </c>
    </row>
    <row r="45" spans="1:24" x14ac:dyDescent="0.3">
      <c r="B45" s="1"/>
      <c r="C45" s="1"/>
      <c r="D45" s="1"/>
      <c r="U45" s="32">
        <v>35</v>
      </c>
      <c r="V45" s="38">
        <v>45227</v>
      </c>
      <c r="W45" s="39">
        <v>17703.23</v>
      </c>
      <c r="X45" s="37" t="s">
        <v>41</v>
      </c>
    </row>
    <row r="46" spans="1:24" x14ac:dyDescent="0.3">
      <c r="B46" s="1"/>
      <c r="C46" s="1"/>
      <c r="D46" s="1"/>
      <c r="U46" s="32">
        <v>36</v>
      </c>
      <c r="V46" s="38">
        <v>45258</v>
      </c>
      <c r="W46" s="39">
        <v>17500.96</v>
      </c>
      <c r="X46" s="37" t="s">
        <v>41</v>
      </c>
    </row>
    <row r="47" spans="1:24" x14ac:dyDescent="0.3">
      <c r="B47" s="1"/>
      <c r="C47" s="1"/>
      <c r="D47" s="1"/>
    </row>
    <row r="48" spans="1:24" ht="15.6" x14ac:dyDescent="0.3">
      <c r="A48" s="207" t="s">
        <v>33</v>
      </c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</row>
    <row r="49" spans="1:24" x14ac:dyDescent="0.3">
      <c r="B49" s="1"/>
      <c r="C49" s="1"/>
      <c r="D49" s="1"/>
    </row>
    <row r="50" spans="1:24" x14ac:dyDescent="0.3">
      <c r="A50" s="14"/>
      <c r="B50" s="169" t="s">
        <v>18</v>
      </c>
      <c r="C50" s="169"/>
      <c r="D50" s="14"/>
      <c r="F50" s="14"/>
      <c r="G50" s="169" t="s">
        <v>20</v>
      </c>
      <c r="H50" s="169"/>
      <c r="I50" s="14"/>
      <c r="K50" s="14"/>
      <c r="L50" s="169" t="s">
        <v>21</v>
      </c>
      <c r="M50" s="169"/>
      <c r="N50" s="14"/>
      <c r="P50" s="14"/>
      <c r="Q50" s="169" t="s">
        <v>25</v>
      </c>
      <c r="R50" s="169"/>
      <c r="S50" s="14"/>
      <c r="U50" s="14"/>
      <c r="V50" s="208" t="s">
        <v>38</v>
      </c>
      <c r="W50" s="209"/>
      <c r="X50" s="14"/>
    </row>
    <row r="51" spans="1:24" x14ac:dyDescent="0.3">
      <c r="A51" s="142" t="s">
        <v>24</v>
      </c>
      <c r="B51" s="142"/>
      <c r="C51" s="142"/>
      <c r="D51" s="142"/>
      <c r="F51" s="142" t="s">
        <v>24</v>
      </c>
      <c r="G51" s="142"/>
      <c r="H51" s="142"/>
      <c r="I51" s="142"/>
      <c r="K51" s="142" t="s">
        <v>24</v>
      </c>
      <c r="L51" s="142"/>
      <c r="M51" s="142"/>
      <c r="N51" s="142"/>
      <c r="P51" s="142" t="s">
        <v>37</v>
      </c>
      <c r="Q51" s="142"/>
      <c r="R51" s="142"/>
      <c r="S51" s="142"/>
      <c r="U51" s="210" t="s">
        <v>37</v>
      </c>
      <c r="V51" s="211"/>
      <c r="W51" s="211"/>
      <c r="X51" s="212"/>
    </row>
    <row r="52" spans="1:24" x14ac:dyDescent="0.3">
      <c r="A52" s="137" t="s">
        <v>8</v>
      </c>
      <c r="B52" s="137"/>
      <c r="C52" s="143">
        <f>SUM(B57:B70)</f>
        <v>23908.720000000001</v>
      </c>
      <c r="D52" s="143"/>
      <c r="F52" s="137" t="s">
        <v>8</v>
      </c>
      <c r="G52" s="137"/>
      <c r="H52" s="143">
        <f>SUM(G57:G70)</f>
        <v>24995.460000000003</v>
      </c>
      <c r="I52" s="143"/>
      <c r="K52" s="137" t="s">
        <v>8</v>
      </c>
      <c r="L52" s="137"/>
      <c r="M52" s="143">
        <f>SUM(L57:L70)</f>
        <v>26082.22</v>
      </c>
      <c r="N52" s="143"/>
      <c r="P52" s="137" t="s">
        <v>8</v>
      </c>
      <c r="Q52" s="137"/>
      <c r="R52" s="143">
        <f>SUM(Q57:Q70)</f>
        <v>26111.739999999998</v>
      </c>
      <c r="S52" s="143"/>
      <c r="U52" s="164" t="s">
        <v>8</v>
      </c>
      <c r="V52" s="165"/>
      <c r="W52" s="213">
        <f>SUM(V57:V70)</f>
        <v>45643.900000000009</v>
      </c>
      <c r="X52" s="214"/>
    </row>
    <row r="53" spans="1:24" x14ac:dyDescent="0.3">
      <c r="A53" s="137" t="s">
        <v>14</v>
      </c>
      <c r="B53" s="137"/>
      <c r="C53" s="143">
        <v>22000</v>
      </c>
      <c r="D53" s="143"/>
      <c r="F53" s="137" t="s">
        <v>14</v>
      </c>
      <c r="G53" s="137"/>
      <c r="H53" s="143">
        <v>22000</v>
      </c>
      <c r="I53" s="143"/>
      <c r="K53" s="137" t="s">
        <v>14</v>
      </c>
      <c r="L53" s="137"/>
      <c r="M53" s="143">
        <v>24000</v>
      </c>
      <c r="N53" s="143"/>
      <c r="P53" s="137" t="s">
        <v>14</v>
      </c>
      <c r="Q53" s="137"/>
      <c r="R53" s="143">
        <v>22000</v>
      </c>
      <c r="S53" s="143"/>
      <c r="U53" s="164" t="s">
        <v>14</v>
      </c>
      <c r="V53" s="165"/>
      <c r="W53" s="213">
        <v>40000</v>
      </c>
      <c r="X53" s="214"/>
    </row>
    <row r="54" spans="1:24" x14ac:dyDescent="0.3">
      <c r="A54" s="137" t="s">
        <v>7</v>
      </c>
      <c r="B54" s="137"/>
      <c r="C54" s="138">
        <v>14</v>
      </c>
      <c r="D54" s="138"/>
      <c r="F54" s="137" t="s">
        <v>7</v>
      </c>
      <c r="G54" s="137"/>
      <c r="H54" s="138">
        <v>14</v>
      </c>
      <c r="I54" s="138"/>
      <c r="K54" s="137" t="s">
        <v>7</v>
      </c>
      <c r="L54" s="137"/>
      <c r="M54" s="138">
        <v>14</v>
      </c>
      <c r="N54" s="138"/>
      <c r="P54" s="137" t="s">
        <v>7</v>
      </c>
      <c r="Q54" s="137"/>
      <c r="R54" s="138">
        <v>14</v>
      </c>
      <c r="S54" s="138"/>
      <c r="U54" s="164" t="s">
        <v>7</v>
      </c>
      <c r="V54" s="165"/>
      <c r="W54" s="170">
        <v>14</v>
      </c>
      <c r="X54" s="167"/>
    </row>
    <row r="55" spans="1:24" x14ac:dyDescent="0.3">
      <c r="F55" s="170" t="s">
        <v>69</v>
      </c>
      <c r="G55" s="217"/>
      <c r="H55" s="28"/>
      <c r="I55" s="72"/>
      <c r="P55" s="14"/>
      <c r="R55" s="1"/>
      <c r="S55" s="14"/>
    </row>
    <row r="56" spans="1:24" x14ac:dyDescent="0.3">
      <c r="A56" s="11" t="s">
        <v>0</v>
      </c>
      <c r="B56" s="6" t="s">
        <v>1</v>
      </c>
      <c r="C56" s="6" t="s">
        <v>2</v>
      </c>
      <c r="D56" s="11" t="s">
        <v>6</v>
      </c>
      <c r="F56" s="11" t="s">
        <v>0</v>
      </c>
      <c r="G56" s="6" t="s">
        <v>1</v>
      </c>
      <c r="H56" s="6" t="s">
        <v>2</v>
      </c>
      <c r="I56" s="11" t="s">
        <v>6</v>
      </c>
      <c r="K56" s="11" t="s">
        <v>0</v>
      </c>
      <c r="L56" s="6" t="s">
        <v>1</v>
      </c>
      <c r="M56" s="6" t="s">
        <v>2</v>
      </c>
      <c r="N56" s="11" t="s">
        <v>6</v>
      </c>
      <c r="P56" s="11" t="s">
        <v>0</v>
      </c>
      <c r="Q56" s="6" t="s">
        <v>1</v>
      </c>
      <c r="R56" s="6" t="s">
        <v>2</v>
      </c>
      <c r="S56" s="11" t="s">
        <v>6</v>
      </c>
      <c r="U56" s="11" t="s">
        <v>0</v>
      </c>
      <c r="V56" s="6" t="s">
        <v>1</v>
      </c>
      <c r="W56" s="6" t="s">
        <v>2</v>
      </c>
      <c r="X56" s="11" t="s">
        <v>6</v>
      </c>
    </row>
    <row r="57" spans="1:24" x14ac:dyDescent="0.3">
      <c r="A57" s="34">
        <v>1</v>
      </c>
      <c r="B57" s="33">
        <v>227.37</v>
      </c>
      <c r="C57" s="31">
        <v>45016</v>
      </c>
      <c r="D57" s="12" t="s">
        <v>4</v>
      </c>
      <c r="F57" s="35">
        <v>1</v>
      </c>
      <c r="G57" s="33">
        <v>237.71</v>
      </c>
      <c r="H57" s="31">
        <v>45016</v>
      </c>
      <c r="I57" s="12" t="s">
        <v>4</v>
      </c>
      <c r="K57" s="35">
        <v>1</v>
      </c>
      <c r="L57" s="33">
        <v>248.04</v>
      </c>
      <c r="M57" s="31">
        <v>45016</v>
      </c>
      <c r="N57" s="12" t="s">
        <v>4</v>
      </c>
      <c r="P57" s="35">
        <v>1</v>
      </c>
      <c r="Q57" s="7">
        <v>272.18</v>
      </c>
      <c r="R57" s="31">
        <v>45015</v>
      </c>
      <c r="S57" s="12" t="s">
        <v>4</v>
      </c>
      <c r="U57" s="35">
        <v>1</v>
      </c>
      <c r="V57" s="33">
        <v>434.07</v>
      </c>
      <c r="W57" s="31">
        <v>45016</v>
      </c>
      <c r="X57" s="12" t="s">
        <v>4</v>
      </c>
    </row>
    <row r="58" spans="1:24" x14ac:dyDescent="0.3">
      <c r="A58" s="1">
        <v>2</v>
      </c>
      <c r="B58" s="20">
        <v>234.74</v>
      </c>
      <c r="C58" s="31">
        <v>45048</v>
      </c>
      <c r="D58" s="12" t="s">
        <v>4</v>
      </c>
      <c r="F58" s="28">
        <v>2</v>
      </c>
      <c r="G58" s="20">
        <v>245.41</v>
      </c>
      <c r="H58" s="31">
        <v>45048</v>
      </c>
      <c r="I58" s="12" t="s">
        <v>4</v>
      </c>
      <c r="K58" s="28">
        <v>2</v>
      </c>
      <c r="L58" s="20">
        <v>256.08999999999997</v>
      </c>
      <c r="M58" s="31">
        <v>45048</v>
      </c>
      <c r="N58" s="12" t="s">
        <v>4</v>
      </c>
      <c r="P58" s="28">
        <v>2</v>
      </c>
      <c r="Q58" s="28">
        <v>264.13</v>
      </c>
      <c r="R58" s="31">
        <v>45048</v>
      </c>
      <c r="S58" s="12" t="s">
        <v>4</v>
      </c>
      <c r="U58" s="28">
        <v>2</v>
      </c>
      <c r="V58" s="20">
        <v>448.15</v>
      </c>
      <c r="W58" s="31">
        <v>45048</v>
      </c>
      <c r="X58" s="12" t="s">
        <v>4</v>
      </c>
    </row>
    <row r="59" spans="1:24" x14ac:dyDescent="0.3">
      <c r="A59" s="34">
        <v>3</v>
      </c>
      <c r="B59" s="85">
        <v>2045.96</v>
      </c>
      <c r="C59" s="31">
        <v>45077</v>
      </c>
      <c r="D59" s="12" t="s">
        <v>4</v>
      </c>
      <c r="F59" s="35">
        <v>3</v>
      </c>
      <c r="G59" s="85">
        <v>2138.9699999999998</v>
      </c>
      <c r="H59" s="31">
        <v>45077</v>
      </c>
      <c r="I59" s="12" t="s">
        <v>4</v>
      </c>
      <c r="K59" s="35">
        <v>3</v>
      </c>
      <c r="L59" s="85">
        <v>2231.96</v>
      </c>
      <c r="M59" s="31">
        <v>45077</v>
      </c>
      <c r="N59" s="12" t="s">
        <v>4</v>
      </c>
      <c r="P59" s="35">
        <v>3</v>
      </c>
      <c r="Q59" s="85">
        <v>2223.9299999999998</v>
      </c>
      <c r="R59" s="31">
        <v>45076</v>
      </c>
      <c r="S59" s="12" t="s">
        <v>4</v>
      </c>
      <c r="U59" s="35">
        <v>3</v>
      </c>
      <c r="V59" s="85">
        <v>3905.93</v>
      </c>
      <c r="W59" s="31">
        <v>45077</v>
      </c>
      <c r="X59" s="12" t="s">
        <v>4</v>
      </c>
    </row>
    <row r="60" spans="1:24" x14ac:dyDescent="0.3">
      <c r="A60" s="1">
        <v>4</v>
      </c>
      <c r="B60" s="20">
        <v>2035</v>
      </c>
      <c r="C60" s="31">
        <v>45107</v>
      </c>
      <c r="D60" s="12" t="s">
        <v>4</v>
      </c>
      <c r="F60" s="28">
        <v>4</v>
      </c>
      <c r="G60" s="20">
        <v>2127.5</v>
      </c>
      <c r="H60" s="31">
        <v>45107</v>
      </c>
      <c r="I60" s="12" t="s">
        <v>4</v>
      </c>
      <c r="K60" s="28">
        <v>4</v>
      </c>
      <c r="L60" s="20">
        <v>2220</v>
      </c>
      <c r="M60" s="31">
        <v>45107</v>
      </c>
      <c r="N60" s="12" t="s">
        <v>4</v>
      </c>
      <c r="P60" s="28">
        <v>4</v>
      </c>
      <c r="Q60" s="28">
        <v>2227.37</v>
      </c>
      <c r="R60" s="31">
        <v>45107</v>
      </c>
      <c r="S60" s="12" t="s">
        <v>4</v>
      </c>
      <c r="U60" s="28">
        <v>4</v>
      </c>
      <c r="V60" s="20">
        <v>3885</v>
      </c>
      <c r="W60" s="31">
        <v>45107</v>
      </c>
      <c r="X60" s="12" t="s">
        <v>4</v>
      </c>
    </row>
    <row r="61" spans="1:24" x14ac:dyDescent="0.3">
      <c r="A61" s="34">
        <v>5</v>
      </c>
      <c r="B61" s="20">
        <v>2022.81</v>
      </c>
      <c r="C61" s="31">
        <v>45138</v>
      </c>
      <c r="D61" s="12" t="s">
        <v>4</v>
      </c>
      <c r="F61" s="35">
        <v>5</v>
      </c>
      <c r="G61" s="20">
        <v>2114.7600000000002</v>
      </c>
      <c r="H61" s="31">
        <v>45138</v>
      </c>
      <c r="I61" s="12" t="s">
        <v>4</v>
      </c>
      <c r="K61" s="35">
        <v>5</v>
      </c>
      <c r="L61" s="20">
        <v>2206.6999999999998</v>
      </c>
      <c r="M61" s="31">
        <v>45138</v>
      </c>
      <c r="N61" s="12" t="s">
        <v>4</v>
      </c>
      <c r="P61" s="35">
        <v>5</v>
      </c>
      <c r="Q61" s="28">
        <v>2206.6999999999998</v>
      </c>
      <c r="R61" s="31">
        <v>45138</v>
      </c>
      <c r="S61" s="12" t="s">
        <v>4</v>
      </c>
      <c r="U61" s="35">
        <v>5</v>
      </c>
      <c r="V61" s="20">
        <v>3861.73</v>
      </c>
      <c r="W61" s="31">
        <v>45138</v>
      </c>
      <c r="X61" s="12" t="s">
        <v>4</v>
      </c>
    </row>
    <row r="62" spans="1:24" x14ac:dyDescent="0.3">
      <c r="A62" s="1">
        <v>6</v>
      </c>
      <c r="B62" s="20">
        <v>2003.86</v>
      </c>
      <c r="C62" s="31">
        <v>45169</v>
      </c>
      <c r="D62" s="12" t="s">
        <v>4</v>
      </c>
      <c r="F62" s="28">
        <v>6</v>
      </c>
      <c r="G62" s="20">
        <v>2094.9499999999998</v>
      </c>
      <c r="H62" s="31">
        <v>45169</v>
      </c>
      <c r="I62" s="12" t="s">
        <v>4</v>
      </c>
      <c r="K62" s="28">
        <v>6</v>
      </c>
      <c r="L62" s="20">
        <v>2186.0300000000002</v>
      </c>
      <c r="M62" s="31">
        <v>45169</v>
      </c>
      <c r="N62" s="12" t="s">
        <v>4</v>
      </c>
      <c r="P62" s="28">
        <v>6</v>
      </c>
      <c r="Q62" s="28">
        <v>2180</v>
      </c>
      <c r="R62" s="31">
        <v>45168</v>
      </c>
      <c r="S62" s="12" t="s">
        <v>4</v>
      </c>
      <c r="U62" s="28">
        <v>6</v>
      </c>
      <c r="V62" s="20">
        <v>3825.55</v>
      </c>
      <c r="W62" s="31">
        <v>45169</v>
      </c>
      <c r="X62" s="12" t="s">
        <v>4</v>
      </c>
    </row>
    <row r="63" spans="1:24" x14ac:dyDescent="0.3">
      <c r="A63" s="34">
        <v>7</v>
      </c>
      <c r="B63" s="20">
        <v>1989.83</v>
      </c>
      <c r="C63" s="31">
        <v>45201</v>
      </c>
      <c r="D63" s="12" t="s">
        <v>4</v>
      </c>
      <c r="F63" s="35">
        <v>7</v>
      </c>
      <c r="G63" s="20">
        <v>2080.2800000000002</v>
      </c>
      <c r="H63" s="31">
        <v>45201</v>
      </c>
      <c r="I63" s="12" t="s">
        <v>4</v>
      </c>
      <c r="K63" s="35">
        <v>7</v>
      </c>
      <c r="L63" s="20">
        <v>2170.7199999999998</v>
      </c>
      <c r="M63" s="31">
        <v>45201</v>
      </c>
      <c r="N63" s="12" t="s">
        <v>4</v>
      </c>
      <c r="P63" s="35">
        <v>7</v>
      </c>
      <c r="Q63" s="28">
        <v>2176.09</v>
      </c>
      <c r="R63" s="31">
        <v>45201</v>
      </c>
      <c r="S63" s="12" t="s">
        <v>4</v>
      </c>
      <c r="U63" s="35">
        <v>7</v>
      </c>
      <c r="V63" s="20">
        <v>3798.77</v>
      </c>
      <c r="W63" s="31">
        <v>45201</v>
      </c>
      <c r="X63" s="12" t="s">
        <v>4</v>
      </c>
    </row>
    <row r="64" spans="1:24" x14ac:dyDescent="0.3">
      <c r="A64" s="1">
        <v>8</v>
      </c>
      <c r="B64" s="20">
        <v>1957.37</v>
      </c>
      <c r="C64" s="31">
        <v>45230</v>
      </c>
      <c r="D64" s="12" t="s">
        <v>4</v>
      </c>
      <c r="F64" s="28">
        <v>8</v>
      </c>
      <c r="G64" s="20">
        <v>2046.34</v>
      </c>
      <c r="H64" s="31">
        <v>45230</v>
      </c>
      <c r="I64" s="12" t="s">
        <v>4</v>
      </c>
      <c r="K64" s="28">
        <v>8</v>
      </c>
      <c r="L64" s="20">
        <v>2135.31</v>
      </c>
      <c r="M64" s="31">
        <v>45230</v>
      </c>
      <c r="N64" s="12" t="s">
        <v>4</v>
      </c>
      <c r="P64" s="28">
        <v>8</v>
      </c>
      <c r="Q64" s="28">
        <v>2130.62</v>
      </c>
      <c r="R64" s="31">
        <v>45229</v>
      </c>
      <c r="S64" s="12" t="s">
        <v>4</v>
      </c>
      <c r="U64" s="28">
        <v>8</v>
      </c>
      <c r="V64" s="20">
        <v>3736.79</v>
      </c>
      <c r="W64" s="31">
        <v>45230</v>
      </c>
      <c r="X64" s="12" t="s">
        <v>4</v>
      </c>
    </row>
    <row r="65" spans="1:24" x14ac:dyDescent="0.3">
      <c r="A65" s="34">
        <v>9</v>
      </c>
      <c r="B65" s="20">
        <v>1943.33</v>
      </c>
      <c r="C65" s="31">
        <v>45260</v>
      </c>
      <c r="D65" s="12" t="s">
        <v>4</v>
      </c>
      <c r="F65" s="35">
        <v>9</v>
      </c>
      <c r="G65" s="20">
        <v>2031.67</v>
      </c>
      <c r="H65" s="31">
        <v>45260</v>
      </c>
      <c r="I65" s="12" t="s">
        <v>4</v>
      </c>
      <c r="K65" s="35">
        <v>9</v>
      </c>
      <c r="L65" s="20">
        <v>2120</v>
      </c>
      <c r="M65" s="31">
        <v>45260</v>
      </c>
      <c r="N65" s="12" t="s">
        <v>4</v>
      </c>
      <c r="P65" s="35">
        <v>9</v>
      </c>
      <c r="Q65" s="28">
        <v>2124.02</v>
      </c>
      <c r="R65" s="31">
        <v>45260</v>
      </c>
      <c r="S65" s="12" t="s">
        <v>4</v>
      </c>
      <c r="U65" s="35">
        <v>9</v>
      </c>
      <c r="V65" s="20">
        <v>3710</v>
      </c>
      <c r="W65" s="31">
        <v>45260</v>
      </c>
      <c r="X65" s="12" t="s">
        <v>4</v>
      </c>
    </row>
    <row r="66" spans="1:24" x14ac:dyDescent="0.3">
      <c r="A66" s="1">
        <v>10</v>
      </c>
      <c r="B66" s="20">
        <v>1934.21</v>
      </c>
      <c r="C66" s="31">
        <v>45293</v>
      </c>
      <c r="D66" s="12" t="s">
        <v>4</v>
      </c>
      <c r="F66" s="28">
        <v>10</v>
      </c>
      <c r="G66" s="20">
        <v>2022.14</v>
      </c>
      <c r="H66" s="31">
        <v>45293</v>
      </c>
      <c r="I66" s="12" t="s">
        <v>4</v>
      </c>
      <c r="K66" s="28">
        <v>10</v>
      </c>
      <c r="L66" s="20">
        <v>2110.0500000000002</v>
      </c>
      <c r="M66" s="31">
        <v>45293</v>
      </c>
      <c r="N66" s="12" t="s">
        <v>4</v>
      </c>
      <c r="P66" s="28">
        <v>10</v>
      </c>
      <c r="Q66" s="28">
        <v>2110.0500000000002</v>
      </c>
      <c r="R66" s="31">
        <v>45293</v>
      </c>
      <c r="S66" s="12" t="s">
        <v>4</v>
      </c>
      <c r="U66" s="28">
        <v>10</v>
      </c>
      <c r="V66" s="20">
        <v>3692.6</v>
      </c>
      <c r="W66" s="31">
        <v>45293</v>
      </c>
      <c r="X66" s="12" t="s">
        <v>4</v>
      </c>
    </row>
    <row r="67" spans="1:24" x14ac:dyDescent="0.3">
      <c r="A67" s="34">
        <v>11</v>
      </c>
      <c r="B67" s="20">
        <v>1904.21</v>
      </c>
      <c r="C67" s="31">
        <v>45322</v>
      </c>
      <c r="D67" s="12" t="s">
        <v>4</v>
      </c>
      <c r="F67" s="35">
        <v>11</v>
      </c>
      <c r="G67" s="20">
        <v>1990.77</v>
      </c>
      <c r="H67" s="31">
        <v>45322</v>
      </c>
      <c r="I67" s="12" t="s">
        <v>4</v>
      </c>
      <c r="K67" s="35">
        <v>11</v>
      </c>
      <c r="L67" s="20">
        <v>2077.3200000000002</v>
      </c>
      <c r="M67" s="31">
        <v>45322</v>
      </c>
      <c r="N67" s="12" t="s">
        <v>4</v>
      </c>
      <c r="P67" s="35">
        <v>11</v>
      </c>
      <c r="Q67" s="28">
        <v>2074.64</v>
      </c>
      <c r="R67" s="31">
        <v>45321</v>
      </c>
      <c r="S67" s="12" t="s">
        <v>4</v>
      </c>
      <c r="U67" s="35">
        <v>11</v>
      </c>
      <c r="V67" s="20">
        <v>3635.31</v>
      </c>
      <c r="W67" s="31">
        <v>45322</v>
      </c>
      <c r="X67" s="12" t="s">
        <v>4</v>
      </c>
    </row>
    <row r="68" spans="1:24" x14ac:dyDescent="0.3">
      <c r="A68" s="1">
        <v>12</v>
      </c>
      <c r="B68" s="20">
        <v>1886.49</v>
      </c>
      <c r="C68" s="31">
        <v>45351</v>
      </c>
      <c r="D68" s="12" t="s">
        <v>4</v>
      </c>
      <c r="F68" s="28">
        <v>12</v>
      </c>
      <c r="G68" s="20">
        <v>1972.24</v>
      </c>
      <c r="H68" s="31">
        <v>45351</v>
      </c>
      <c r="I68" s="12" t="s">
        <v>4</v>
      </c>
      <c r="K68" s="28">
        <v>12</v>
      </c>
      <c r="L68" s="20">
        <v>2057.9899999999998</v>
      </c>
      <c r="M68" s="31">
        <v>45351</v>
      </c>
      <c r="N68" s="12" t="s">
        <v>4</v>
      </c>
      <c r="P68" s="28">
        <v>12</v>
      </c>
      <c r="Q68" s="28">
        <v>2060</v>
      </c>
      <c r="R68" s="31">
        <v>45351</v>
      </c>
      <c r="S68" s="12" t="s">
        <v>4</v>
      </c>
      <c r="U68" s="28">
        <v>12</v>
      </c>
      <c r="V68" s="20">
        <v>3601.48</v>
      </c>
      <c r="W68" s="31">
        <v>45351</v>
      </c>
      <c r="X68" s="12" t="s">
        <v>4</v>
      </c>
    </row>
    <row r="69" spans="1:24" x14ac:dyDescent="0.3">
      <c r="A69" s="34">
        <v>13</v>
      </c>
      <c r="B69" s="20">
        <v>1872.45</v>
      </c>
      <c r="C69" s="31">
        <v>45383</v>
      </c>
      <c r="D69" s="12" t="s">
        <v>4</v>
      </c>
      <c r="F69" s="35">
        <v>13</v>
      </c>
      <c r="G69" s="20">
        <v>1957.57</v>
      </c>
      <c r="H69" s="31">
        <v>45383</v>
      </c>
      <c r="I69" s="12" t="s">
        <v>4</v>
      </c>
      <c r="K69" s="35">
        <v>13</v>
      </c>
      <c r="L69" s="20">
        <v>2042.68</v>
      </c>
      <c r="M69" s="31">
        <v>45383</v>
      </c>
      <c r="N69" s="12" t="s">
        <v>4</v>
      </c>
      <c r="P69" s="35">
        <v>13</v>
      </c>
      <c r="Q69" s="28">
        <v>2042.68</v>
      </c>
      <c r="R69" s="31">
        <v>45383</v>
      </c>
      <c r="S69" s="12" t="s">
        <v>4</v>
      </c>
      <c r="U69" s="35">
        <v>13</v>
      </c>
      <c r="V69" s="20">
        <v>3574.69</v>
      </c>
      <c r="W69" s="31">
        <v>45383</v>
      </c>
      <c r="X69" s="12" t="s">
        <v>4</v>
      </c>
    </row>
    <row r="70" spans="1:24" x14ac:dyDescent="0.3">
      <c r="A70" s="32">
        <v>14</v>
      </c>
      <c r="B70" s="20">
        <v>1851.09</v>
      </c>
      <c r="C70" s="31">
        <v>45412</v>
      </c>
      <c r="D70" s="12" t="s">
        <v>4</v>
      </c>
      <c r="F70" s="28">
        <v>14</v>
      </c>
      <c r="G70" s="20">
        <v>1935.15</v>
      </c>
      <c r="H70" s="31">
        <v>45412</v>
      </c>
      <c r="I70" s="12" t="s">
        <v>4</v>
      </c>
      <c r="K70" s="28">
        <v>14</v>
      </c>
      <c r="L70" s="20">
        <v>2019.33</v>
      </c>
      <c r="M70" s="31">
        <v>45412</v>
      </c>
      <c r="N70" s="12" t="s">
        <v>4</v>
      </c>
      <c r="P70" s="28">
        <v>14</v>
      </c>
      <c r="Q70" s="28">
        <v>2019.33</v>
      </c>
      <c r="R70" s="31">
        <v>45412</v>
      </c>
      <c r="S70" s="12" t="s">
        <v>4</v>
      </c>
      <c r="U70" s="28">
        <v>14</v>
      </c>
      <c r="V70" s="20">
        <v>3533.83</v>
      </c>
      <c r="W70" s="31">
        <v>45412</v>
      </c>
      <c r="X70" s="12" t="s">
        <v>4</v>
      </c>
    </row>
    <row r="71" spans="1:24" x14ac:dyDescent="0.3">
      <c r="D71" s="12"/>
    </row>
    <row r="73" spans="1:24" x14ac:dyDescent="0.3">
      <c r="A73" s="14"/>
      <c r="B73" s="169" t="s">
        <v>21</v>
      </c>
      <c r="C73" s="169"/>
      <c r="D73" s="14"/>
      <c r="F73" s="14"/>
      <c r="G73" s="169" t="s">
        <v>21</v>
      </c>
      <c r="H73" s="169"/>
      <c r="I73" s="14"/>
    </row>
    <row r="74" spans="1:24" x14ac:dyDescent="0.3">
      <c r="A74" s="205" t="s">
        <v>91</v>
      </c>
      <c r="B74" s="205"/>
      <c r="C74" s="205"/>
      <c r="D74" s="205"/>
      <c r="F74" s="142" t="s">
        <v>104</v>
      </c>
      <c r="G74" s="142"/>
      <c r="H74" s="142"/>
      <c r="I74" s="142"/>
    </row>
    <row r="75" spans="1:24" x14ac:dyDescent="0.3">
      <c r="A75" s="137" t="s">
        <v>8</v>
      </c>
      <c r="B75" s="137"/>
      <c r="C75" s="143"/>
      <c r="D75" s="143"/>
      <c r="F75" s="137" t="s">
        <v>8</v>
      </c>
      <c r="G75" s="137"/>
      <c r="H75" s="143"/>
      <c r="I75" s="143"/>
    </row>
    <row r="76" spans="1:24" x14ac:dyDescent="0.3">
      <c r="A76" s="137" t="s">
        <v>14</v>
      </c>
      <c r="B76" s="137"/>
      <c r="C76" s="143"/>
      <c r="D76" s="143"/>
      <c r="F76" s="137" t="s">
        <v>14</v>
      </c>
      <c r="G76" s="137"/>
      <c r="H76" s="143"/>
      <c r="I76" s="143"/>
    </row>
    <row r="77" spans="1:24" x14ac:dyDescent="0.3">
      <c r="A77" s="137" t="s">
        <v>7</v>
      </c>
      <c r="B77" s="137"/>
      <c r="C77" s="138">
        <v>24</v>
      </c>
      <c r="D77" s="138"/>
      <c r="F77" s="137" t="s">
        <v>7</v>
      </c>
      <c r="G77" s="137"/>
      <c r="H77" s="138">
        <v>24</v>
      </c>
      <c r="I77" s="138"/>
    </row>
    <row r="78" spans="1:24" x14ac:dyDescent="0.3">
      <c r="A78" s="164" t="s">
        <v>69</v>
      </c>
      <c r="B78" s="165"/>
      <c r="C78" s="32"/>
      <c r="D78" s="70"/>
      <c r="F78" s="164" t="s">
        <v>69</v>
      </c>
      <c r="G78" s="165"/>
      <c r="H78" s="32"/>
      <c r="I78" s="70"/>
    </row>
    <row r="79" spans="1:24" ht="15.6" customHeight="1" x14ac:dyDescent="0.3">
      <c r="A79" s="11" t="s">
        <v>0</v>
      </c>
      <c r="B79" s="6" t="s">
        <v>1</v>
      </c>
      <c r="C79" s="6" t="s">
        <v>2</v>
      </c>
      <c r="D79" s="11" t="s">
        <v>6</v>
      </c>
      <c r="F79" s="11" t="s">
        <v>0</v>
      </c>
      <c r="G79" s="6" t="s">
        <v>1</v>
      </c>
      <c r="H79" s="6" t="s">
        <v>2</v>
      </c>
      <c r="I79" s="11" t="s">
        <v>6</v>
      </c>
    </row>
    <row r="80" spans="1:24" x14ac:dyDescent="0.3">
      <c r="A80" s="222">
        <v>1</v>
      </c>
      <c r="B80" s="223">
        <v>1519.38</v>
      </c>
      <c r="C80" s="224">
        <v>45341</v>
      </c>
      <c r="D80" s="222" t="s">
        <v>4</v>
      </c>
      <c r="F80" s="12">
        <v>1</v>
      </c>
      <c r="G80" s="33">
        <v>660.75</v>
      </c>
      <c r="H80" s="15">
        <v>45341</v>
      </c>
      <c r="I80" s="12" t="s">
        <v>4</v>
      </c>
    </row>
    <row r="81" spans="1:9" x14ac:dyDescent="0.3">
      <c r="A81" s="222">
        <v>2</v>
      </c>
      <c r="B81" s="223">
        <v>1420.65</v>
      </c>
      <c r="C81" s="224">
        <v>45370</v>
      </c>
      <c r="D81" s="222" t="s">
        <v>4</v>
      </c>
      <c r="F81" s="12">
        <v>2</v>
      </c>
      <c r="G81" s="33">
        <v>660.75</v>
      </c>
      <c r="H81" s="15">
        <v>45370</v>
      </c>
      <c r="I81" s="12" t="s">
        <v>4</v>
      </c>
    </row>
    <row r="82" spans="1:9" x14ac:dyDescent="0.3">
      <c r="A82" s="222">
        <v>3</v>
      </c>
      <c r="B82" s="223">
        <v>1519.38</v>
      </c>
      <c r="C82" s="224">
        <v>45401</v>
      </c>
      <c r="D82" s="222" t="s">
        <v>4</v>
      </c>
      <c r="F82" s="12">
        <v>3</v>
      </c>
      <c r="G82" s="33">
        <v>660.75</v>
      </c>
      <c r="H82" s="15">
        <v>45401</v>
      </c>
      <c r="I82" s="12" t="s">
        <v>4</v>
      </c>
    </row>
    <row r="83" spans="1:9" x14ac:dyDescent="0.3">
      <c r="A83" s="222">
        <v>4</v>
      </c>
      <c r="B83" s="223">
        <v>6186.05</v>
      </c>
      <c r="C83" s="224">
        <v>45431</v>
      </c>
      <c r="D83" s="222" t="s">
        <v>4</v>
      </c>
      <c r="F83" s="12">
        <v>4</v>
      </c>
      <c r="G83" s="33">
        <v>660.75</v>
      </c>
      <c r="H83" s="15">
        <v>45431</v>
      </c>
      <c r="I83" s="12" t="s">
        <v>4</v>
      </c>
    </row>
    <row r="84" spans="1:9" x14ac:dyDescent="0.3">
      <c r="A84" s="222">
        <v>5</v>
      </c>
      <c r="B84" s="223">
        <v>6066.67</v>
      </c>
      <c r="C84" s="224">
        <v>45462</v>
      </c>
      <c r="D84" s="222" t="s">
        <v>4</v>
      </c>
      <c r="F84" s="12">
        <v>5</v>
      </c>
      <c r="G84" s="33">
        <v>660.75</v>
      </c>
      <c r="H84" s="15">
        <v>45462</v>
      </c>
      <c r="I84" s="12" t="s">
        <v>4</v>
      </c>
    </row>
    <row r="85" spans="1:9" x14ac:dyDescent="0.3">
      <c r="A85" s="222">
        <v>6</v>
      </c>
      <c r="B85" s="223">
        <v>5999.67</v>
      </c>
      <c r="C85" s="224">
        <v>45492</v>
      </c>
      <c r="D85" s="222" t="s">
        <v>4</v>
      </c>
      <c r="F85" s="12">
        <v>6</v>
      </c>
      <c r="G85" s="33">
        <v>660.75</v>
      </c>
      <c r="H85" s="15">
        <v>45492</v>
      </c>
      <c r="I85" s="12" t="s">
        <v>4</v>
      </c>
    </row>
    <row r="86" spans="1:9" x14ac:dyDescent="0.3">
      <c r="A86" s="222">
        <v>7</v>
      </c>
      <c r="B86" s="225">
        <v>5968.99</v>
      </c>
      <c r="C86" s="224">
        <v>45523</v>
      </c>
      <c r="D86" s="222" t="s">
        <v>4</v>
      </c>
      <c r="F86" s="12">
        <v>7</v>
      </c>
      <c r="G86" s="33">
        <v>660.75</v>
      </c>
      <c r="H86" s="15">
        <v>45523</v>
      </c>
      <c r="I86" s="12" t="s">
        <v>4</v>
      </c>
    </row>
    <row r="87" spans="1:9" x14ac:dyDescent="0.3">
      <c r="A87" s="222">
        <v>8</v>
      </c>
      <c r="B87" s="223">
        <v>5896.64</v>
      </c>
      <c r="C87" s="224">
        <v>45554</v>
      </c>
      <c r="D87" s="222" t="s">
        <v>4</v>
      </c>
      <c r="F87" s="12">
        <v>8</v>
      </c>
      <c r="G87" s="33">
        <v>660.75</v>
      </c>
      <c r="H87" s="15">
        <v>45554</v>
      </c>
      <c r="I87" s="12" t="s">
        <v>4</v>
      </c>
    </row>
    <row r="88" spans="1:9" x14ac:dyDescent="0.3">
      <c r="A88" s="222">
        <v>9</v>
      </c>
      <c r="B88" s="223">
        <v>5861.93</v>
      </c>
      <c r="C88" s="224">
        <v>45584</v>
      </c>
      <c r="D88" s="222" t="s">
        <v>4</v>
      </c>
      <c r="F88" s="12">
        <v>9</v>
      </c>
      <c r="G88" s="33">
        <v>660.75</v>
      </c>
      <c r="H88" s="15">
        <v>45584</v>
      </c>
      <c r="I88" s="12" t="s">
        <v>4</v>
      </c>
    </row>
    <row r="89" spans="1:9" x14ac:dyDescent="0.3">
      <c r="A89" s="222">
        <v>10</v>
      </c>
      <c r="B89" s="223">
        <v>5681.42</v>
      </c>
      <c r="C89" s="224">
        <v>45615</v>
      </c>
      <c r="D89" s="222" t="s">
        <v>4</v>
      </c>
      <c r="F89" s="12">
        <v>10</v>
      </c>
      <c r="G89" s="33">
        <v>660.75</v>
      </c>
      <c r="H89" s="15">
        <v>45615</v>
      </c>
      <c r="I89" s="12" t="s">
        <v>4</v>
      </c>
    </row>
    <row r="90" spans="1:9" x14ac:dyDescent="0.3">
      <c r="A90" s="222">
        <v>11</v>
      </c>
      <c r="B90" s="223">
        <v>5646.67</v>
      </c>
      <c r="C90" s="224">
        <v>45645</v>
      </c>
      <c r="D90" s="222" t="s">
        <v>4</v>
      </c>
      <c r="F90" s="12">
        <v>11</v>
      </c>
      <c r="G90" s="33">
        <v>660.75</v>
      </c>
      <c r="H90" s="15">
        <v>45645</v>
      </c>
      <c r="I90" s="12" t="s">
        <v>4</v>
      </c>
    </row>
    <row r="91" spans="1:9" x14ac:dyDescent="0.3">
      <c r="A91" s="222">
        <v>12</v>
      </c>
      <c r="B91" s="223">
        <v>5637.82</v>
      </c>
      <c r="C91" s="224">
        <v>45676</v>
      </c>
      <c r="D91" s="222" t="s">
        <v>4</v>
      </c>
      <c r="F91" s="12">
        <v>12</v>
      </c>
      <c r="G91" s="33">
        <v>660.75</v>
      </c>
      <c r="H91" s="15">
        <v>45676</v>
      </c>
      <c r="I91" s="12" t="s">
        <v>4</v>
      </c>
    </row>
    <row r="92" spans="1:9" x14ac:dyDescent="0.3">
      <c r="A92" s="222">
        <v>13</v>
      </c>
      <c r="B92" s="223">
        <v>5506.67</v>
      </c>
      <c r="C92" s="224">
        <v>45707</v>
      </c>
      <c r="D92" s="222" t="s">
        <v>4</v>
      </c>
      <c r="F92" s="12">
        <v>13</v>
      </c>
      <c r="G92" s="33">
        <v>660.75</v>
      </c>
      <c r="H92" s="15">
        <v>45707</v>
      </c>
      <c r="I92" s="12" t="s">
        <v>4</v>
      </c>
    </row>
    <row r="93" spans="1:9" x14ac:dyDescent="0.3">
      <c r="A93" s="222">
        <v>14</v>
      </c>
      <c r="B93" s="223">
        <v>5384.98</v>
      </c>
      <c r="C93" s="224">
        <v>45735</v>
      </c>
      <c r="D93" s="222" t="s">
        <v>4</v>
      </c>
      <c r="F93" s="12">
        <v>14</v>
      </c>
      <c r="G93" s="33">
        <v>660.75</v>
      </c>
      <c r="H93" s="15">
        <v>45735</v>
      </c>
      <c r="I93" s="12" t="s">
        <v>4</v>
      </c>
    </row>
    <row r="94" spans="1:9" x14ac:dyDescent="0.3">
      <c r="A94" s="222">
        <v>15</v>
      </c>
      <c r="B94" s="223">
        <v>5460.79</v>
      </c>
      <c r="C94" s="224">
        <v>45766</v>
      </c>
      <c r="D94" s="222" t="s">
        <v>4</v>
      </c>
      <c r="F94" s="12">
        <v>15</v>
      </c>
      <c r="G94" s="33">
        <v>660.75</v>
      </c>
      <c r="H94" s="15">
        <v>45766</v>
      </c>
      <c r="I94" s="12" t="s">
        <v>4</v>
      </c>
    </row>
    <row r="95" spans="1:9" x14ac:dyDescent="0.3">
      <c r="A95" s="222">
        <v>16</v>
      </c>
      <c r="B95" s="223">
        <v>5233.25</v>
      </c>
      <c r="C95" s="224">
        <v>45796</v>
      </c>
      <c r="D95" s="222" t="s">
        <v>4</v>
      </c>
      <c r="F95" s="12">
        <v>16</v>
      </c>
      <c r="G95" s="33">
        <v>660.75</v>
      </c>
      <c r="H95" s="15">
        <v>45796</v>
      </c>
      <c r="I95" s="12" t="s">
        <v>4</v>
      </c>
    </row>
    <row r="96" spans="1:9" x14ac:dyDescent="0.3">
      <c r="A96" s="222">
        <v>17</v>
      </c>
      <c r="B96" s="223">
        <v>5264.3</v>
      </c>
      <c r="C96" s="224">
        <v>45827</v>
      </c>
      <c r="D96" s="222" t="s">
        <v>4</v>
      </c>
      <c r="F96" s="12">
        <v>17</v>
      </c>
      <c r="G96" s="33">
        <v>660.75</v>
      </c>
      <c r="H96" s="15">
        <v>45827</v>
      </c>
      <c r="I96" s="12" t="s">
        <v>4</v>
      </c>
    </row>
    <row r="97" spans="1:9" x14ac:dyDescent="0.3">
      <c r="A97" s="222">
        <v>18</v>
      </c>
      <c r="B97" s="223">
        <v>5173.13</v>
      </c>
      <c r="C97" s="224">
        <v>45857</v>
      </c>
      <c r="D97" s="222" t="s">
        <v>4</v>
      </c>
      <c r="F97" s="12">
        <v>18</v>
      </c>
      <c r="G97" s="33">
        <v>660.75</v>
      </c>
      <c r="H97" s="15">
        <v>45857</v>
      </c>
      <c r="I97" s="12"/>
    </row>
    <row r="98" spans="1:9" x14ac:dyDescent="0.3">
      <c r="A98" s="222">
        <v>19</v>
      </c>
      <c r="B98" s="223">
        <v>5072.57</v>
      </c>
      <c r="C98" s="224">
        <v>45888</v>
      </c>
      <c r="D98" s="222" t="s">
        <v>4</v>
      </c>
      <c r="G98" s="26">
        <f>SUM(G80:G97)</f>
        <v>11893.5</v>
      </c>
    </row>
    <row r="99" spans="1:9" x14ac:dyDescent="0.3">
      <c r="A99" s="12">
        <v>20</v>
      </c>
      <c r="B99" s="33">
        <v>5028.43</v>
      </c>
      <c r="C99" s="15">
        <v>45919</v>
      </c>
      <c r="D99" s="12"/>
    </row>
    <row r="100" spans="1:9" x14ac:dyDescent="0.3">
      <c r="A100" s="12">
        <v>21</v>
      </c>
      <c r="B100" s="33">
        <v>4956.07</v>
      </c>
      <c r="C100" s="15">
        <v>45949</v>
      </c>
      <c r="D100" s="12"/>
    </row>
    <row r="101" spans="1:9" x14ac:dyDescent="0.3">
      <c r="A101" s="12">
        <v>22</v>
      </c>
      <c r="B101" s="33">
        <v>4876.67</v>
      </c>
      <c r="C101" s="15">
        <v>45980</v>
      </c>
      <c r="D101" s="12"/>
    </row>
    <row r="102" spans="1:9" x14ac:dyDescent="0.3">
      <c r="A102" s="12">
        <v>23</v>
      </c>
      <c r="B102" s="33">
        <v>4806.67</v>
      </c>
      <c r="C102" s="15">
        <v>46010</v>
      </c>
      <c r="D102" s="12"/>
    </row>
    <row r="103" spans="1:9" x14ac:dyDescent="0.3">
      <c r="A103" s="12">
        <v>24</v>
      </c>
      <c r="B103" s="33">
        <v>4738.95</v>
      </c>
      <c r="C103" s="15">
        <v>46041</v>
      </c>
      <c r="D103" s="12"/>
    </row>
    <row r="104" spans="1:9" x14ac:dyDescent="0.3">
      <c r="A104" s="197"/>
      <c r="B104" s="198"/>
      <c r="C104" s="198"/>
      <c r="D104" s="199"/>
    </row>
    <row r="105" spans="1:9" x14ac:dyDescent="0.3">
      <c r="B105" s="26">
        <f>SUM(B80:B103)</f>
        <v>118907.74999999999</v>
      </c>
    </row>
    <row r="106" spans="1:9" x14ac:dyDescent="0.3">
      <c r="B106" s="226">
        <v>118907.75</v>
      </c>
    </row>
    <row r="109" spans="1:9" x14ac:dyDescent="0.3">
      <c r="B109" s="26">
        <f>SUM(B99:B103)</f>
        <v>24406.79</v>
      </c>
    </row>
    <row r="110" spans="1:9" x14ac:dyDescent="0.3">
      <c r="B110">
        <v>24406.79</v>
      </c>
    </row>
  </sheetData>
  <sortState xmlns:xlrd2="http://schemas.microsoft.com/office/spreadsheetml/2017/richdata2" ref="A1:D41">
    <sortCondition ref="A12"/>
  </sortState>
  <mergeCells count="111">
    <mergeCell ref="H77:I77"/>
    <mergeCell ref="F78:G78"/>
    <mergeCell ref="G73:H73"/>
    <mergeCell ref="F74:I74"/>
    <mergeCell ref="F75:G75"/>
    <mergeCell ref="H75:I75"/>
    <mergeCell ref="F76:G76"/>
    <mergeCell ref="H76:I76"/>
    <mergeCell ref="C77:D77"/>
    <mergeCell ref="B73:C73"/>
    <mergeCell ref="A74:D74"/>
    <mergeCell ref="A75:B75"/>
    <mergeCell ref="A76:B76"/>
    <mergeCell ref="A77:B77"/>
    <mergeCell ref="A78:B78"/>
    <mergeCell ref="A104:D104"/>
    <mergeCell ref="F77:G77"/>
    <mergeCell ref="C75:D75"/>
    <mergeCell ref="C76:D76"/>
    <mergeCell ref="U9:V9"/>
    <mergeCell ref="F55:G55"/>
    <mergeCell ref="F9:G9"/>
    <mergeCell ref="K9:L9"/>
    <mergeCell ref="P9:Q9"/>
    <mergeCell ref="P54:Q54"/>
    <mergeCell ref="R54:S54"/>
    <mergeCell ref="V50:W50"/>
    <mergeCell ref="U51:X51"/>
    <mergeCell ref="U52:V52"/>
    <mergeCell ref="W52:X52"/>
    <mergeCell ref="U53:V53"/>
    <mergeCell ref="W53:X53"/>
    <mergeCell ref="U54:V54"/>
    <mergeCell ref="W54:X54"/>
    <mergeCell ref="Q50:R50"/>
    <mergeCell ref="P51:S51"/>
    <mergeCell ref="P52:Q52"/>
    <mergeCell ref="R52:S52"/>
    <mergeCell ref="P53:Q53"/>
    <mergeCell ref="U8:V8"/>
    <mergeCell ref="W8:X8"/>
    <mergeCell ref="A48:X48"/>
    <mergeCell ref="V4:W4"/>
    <mergeCell ref="U5:X5"/>
    <mergeCell ref="U6:V6"/>
    <mergeCell ref="W7:X7"/>
    <mergeCell ref="U7:V7"/>
    <mergeCell ref="B38:D38"/>
    <mergeCell ref="F7:G7"/>
    <mergeCell ref="H7:I7"/>
    <mergeCell ref="B4:C4"/>
    <mergeCell ref="A5:D5"/>
    <mergeCell ref="A6:B6"/>
    <mergeCell ref="C6:D6"/>
    <mergeCell ref="W6:X6"/>
    <mergeCell ref="K7:L7"/>
    <mergeCell ref="M7:N7"/>
    <mergeCell ref="A7:B7"/>
    <mergeCell ref="C7:D7"/>
    <mergeCell ref="P7:Q7"/>
    <mergeCell ref="G4:H4"/>
    <mergeCell ref="F5:I5"/>
    <mergeCell ref="F6:G6"/>
    <mergeCell ref="R53:S53"/>
    <mergeCell ref="L50:M50"/>
    <mergeCell ref="K51:N51"/>
    <mergeCell ref="K52:L52"/>
    <mergeCell ref="M52:N52"/>
    <mergeCell ref="F53:G53"/>
    <mergeCell ref="H53:I53"/>
    <mergeCell ref="G50:H50"/>
    <mergeCell ref="F51:I51"/>
    <mergeCell ref="F52:G52"/>
    <mergeCell ref="H52:I52"/>
    <mergeCell ref="F54:G54"/>
    <mergeCell ref="H54:I54"/>
    <mergeCell ref="K53:L53"/>
    <mergeCell ref="M53:N53"/>
    <mergeCell ref="K54:L54"/>
    <mergeCell ref="M54:N54"/>
    <mergeCell ref="A54:B54"/>
    <mergeCell ref="C54:D54"/>
    <mergeCell ref="B50:C50"/>
    <mergeCell ref="A51:D51"/>
    <mergeCell ref="A52:B52"/>
    <mergeCell ref="C52:D52"/>
    <mergeCell ref="A53:B53"/>
    <mergeCell ref="C53:D53"/>
    <mergeCell ref="H6:I6"/>
    <mergeCell ref="A1:L2"/>
    <mergeCell ref="L4:M4"/>
    <mergeCell ref="K5:N5"/>
    <mergeCell ref="K6:L6"/>
    <mergeCell ref="M6:N6"/>
    <mergeCell ref="Q4:R4"/>
    <mergeCell ref="P5:S5"/>
    <mergeCell ref="P6:Q6"/>
    <mergeCell ref="R6:S6"/>
    <mergeCell ref="P8:Q8"/>
    <mergeCell ref="R8:S8"/>
    <mergeCell ref="R7:S7"/>
    <mergeCell ref="A35:D35"/>
    <mergeCell ref="F35:I35"/>
    <mergeCell ref="K35:N35"/>
    <mergeCell ref="A8:B8"/>
    <mergeCell ref="C8:D8"/>
    <mergeCell ref="F8:G8"/>
    <mergeCell ref="H8:I8"/>
    <mergeCell ref="K8:L8"/>
    <mergeCell ref="M8:N8"/>
    <mergeCell ref="A9:B9"/>
  </mergeCells>
  <pageMargins left="0.511811024" right="0.511811024" top="0.78740157499999996" bottom="0.78740157499999996" header="0.31496062000000002" footer="0.31496062000000002"/>
  <pageSetup paperSize="9" scale="47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ED09-7F47-4F70-B01F-19811920ADD4}">
  <dimension ref="A2:D8"/>
  <sheetViews>
    <sheetView workbookViewId="0">
      <selection activeCell="O21" sqref="O21"/>
    </sheetView>
  </sheetViews>
  <sheetFormatPr defaultRowHeight="14.4" x14ac:dyDescent="0.3"/>
  <cols>
    <col min="1" max="1" width="10.109375" bestFit="1" customWidth="1"/>
    <col min="4" max="4" width="9.33203125" bestFit="1" customWidth="1"/>
  </cols>
  <sheetData>
    <row r="2" spans="1:4" x14ac:dyDescent="0.3">
      <c r="A2" s="220" t="s">
        <v>109</v>
      </c>
      <c r="B2" s="220"/>
      <c r="C2" s="220"/>
      <c r="D2" s="220"/>
    </row>
    <row r="3" spans="1:4" x14ac:dyDescent="0.3">
      <c r="A3" s="32">
        <v>2021</v>
      </c>
      <c r="B3" s="28"/>
      <c r="C3" s="20"/>
      <c r="D3" s="20">
        <v>14.25</v>
      </c>
    </row>
    <row r="4" spans="1:4" x14ac:dyDescent="0.3">
      <c r="A4" s="32">
        <v>2022</v>
      </c>
      <c r="B4" s="132">
        <v>0.1072</v>
      </c>
      <c r="C4" s="20">
        <f>D3*B4</f>
        <v>1.5276000000000001</v>
      </c>
      <c r="D4" s="20">
        <f>D3+C4</f>
        <v>15.7776</v>
      </c>
    </row>
    <row r="5" spans="1:4" x14ac:dyDescent="0.3">
      <c r="A5" s="32">
        <v>2023</v>
      </c>
      <c r="B5" s="133">
        <v>7.9399999999999998E-2</v>
      </c>
      <c r="C5" s="20">
        <f>D4*B5</f>
        <v>1.2527414399999999</v>
      </c>
      <c r="D5" s="20">
        <f>D4+C5</f>
        <v>17.030341440000001</v>
      </c>
    </row>
    <row r="6" spans="1:4" x14ac:dyDescent="0.3">
      <c r="A6" s="32">
        <v>2024</v>
      </c>
      <c r="B6" s="132">
        <v>4.7899999999999998E-2</v>
      </c>
      <c r="C6" s="20">
        <f>D5*B6</f>
        <v>0.81575335497599999</v>
      </c>
      <c r="D6" s="20">
        <f>D5+C6</f>
        <v>17.846094794976</v>
      </c>
    </row>
    <row r="7" spans="1:4" x14ac:dyDescent="0.3">
      <c r="A7" s="32">
        <v>2025</v>
      </c>
      <c r="B7" s="132">
        <v>3.2000000000000001E-2</v>
      </c>
      <c r="C7" s="20">
        <f>D6*B7</f>
        <v>0.57107503343923205</v>
      </c>
      <c r="D7" s="20">
        <f>D6+C7</f>
        <v>18.417169828415233</v>
      </c>
    </row>
    <row r="8" spans="1:4" x14ac:dyDescent="0.3">
      <c r="A8" s="1"/>
      <c r="D8" s="26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7"/>
  <sheetViews>
    <sheetView showGridLines="0" workbookViewId="0">
      <selection activeCell="F19" sqref="F19"/>
    </sheetView>
  </sheetViews>
  <sheetFormatPr defaultRowHeight="14.4" x14ac:dyDescent="0.3"/>
  <cols>
    <col min="2" max="2" width="14.33203125" style="26" bestFit="1" customWidth="1"/>
  </cols>
  <sheetData>
    <row r="1" spans="1:2" x14ac:dyDescent="0.3">
      <c r="A1">
        <v>1</v>
      </c>
      <c r="B1" s="87">
        <v>9302.09</v>
      </c>
    </row>
    <row r="2" spans="1:2" x14ac:dyDescent="0.3">
      <c r="A2">
        <v>2</v>
      </c>
      <c r="B2" s="87">
        <v>9302.09</v>
      </c>
    </row>
    <row r="3" spans="1:2" x14ac:dyDescent="0.3">
      <c r="A3">
        <v>3</v>
      </c>
      <c r="B3" s="87">
        <v>9302.09</v>
      </c>
    </row>
    <row r="4" spans="1:2" x14ac:dyDescent="0.3">
      <c r="A4">
        <v>4</v>
      </c>
      <c r="B4" s="87">
        <v>9302.09</v>
      </c>
    </row>
    <row r="5" spans="1:2" x14ac:dyDescent="0.3">
      <c r="A5">
        <v>5</v>
      </c>
      <c r="B5" s="87">
        <v>9302.09</v>
      </c>
    </row>
    <row r="6" spans="1:2" x14ac:dyDescent="0.3">
      <c r="A6">
        <v>6</v>
      </c>
      <c r="B6" s="87">
        <v>9302.09</v>
      </c>
    </row>
    <row r="7" spans="1:2" x14ac:dyDescent="0.3">
      <c r="A7">
        <v>7</v>
      </c>
      <c r="B7" s="87">
        <v>26528.18</v>
      </c>
    </row>
    <row r="8" spans="1:2" x14ac:dyDescent="0.3">
      <c r="A8">
        <v>8</v>
      </c>
      <c r="B8" s="87">
        <v>26218.11</v>
      </c>
    </row>
    <row r="9" spans="1:2" x14ac:dyDescent="0.3">
      <c r="A9">
        <v>9</v>
      </c>
      <c r="B9" s="87">
        <v>25908.04</v>
      </c>
    </row>
    <row r="10" spans="1:2" x14ac:dyDescent="0.3">
      <c r="A10">
        <v>10</v>
      </c>
      <c r="B10" s="87">
        <v>25597.97</v>
      </c>
    </row>
    <row r="11" spans="1:2" x14ac:dyDescent="0.3">
      <c r="A11">
        <v>11</v>
      </c>
      <c r="B11" s="87">
        <v>25287.9</v>
      </c>
    </row>
    <row r="12" spans="1:2" x14ac:dyDescent="0.3">
      <c r="A12">
        <v>12</v>
      </c>
      <c r="B12" s="87">
        <v>24977.83</v>
      </c>
    </row>
    <row r="13" spans="1:2" x14ac:dyDescent="0.3">
      <c r="A13">
        <v>13</v>
      </c>
      <c r="B13" s="87">
        <v>24667.759999999998</v>
      </c>
    </row>
    <row r="14" spans="1:2" x14ac:dyDescent="0.3">
      <c r="A14">
        <v>14</v>
      </c>
      <c r="B14" s="87">
        <v>24357.69</v>
      </c>
    </row>
    <row r="15" spans="1:2" x14ac:dyDescent="0.3">
      <c r="A15">
        <v>15</v>
      </c>
      <c r="B15" s="87">
        <v>24047.62</v>
      </c>
    </row>
    <row r="16" spans="1:2" x14ac:dyDescent="0.3">
      <c r="A16">
        <v>16</v>
      </c>
      <c r="B16" s="87">
        <v>23737.56</v>
      </c>
    </row>
    <row r="17" spans="1:2" x14ac:dyDescent="0.3">
      <c r="A17">
        <v>17</v>
      </c>
      <c r="B17" s="87">
        <v>23427.49</v>
      </c>
    </row>
    <row r="18" spans="1:2" x14ac:dyDescent="0.3">
      <c r="A18">
        <v>18</v>
      </c>
      <c r="B18" s="87">
        <v>23117.42</v>
      </c>
    </row>
    <row r="19" spans="1:2" x14ac:dyDescent="0.3">
      <c r="A19">
        <v>19</v>
      </c>
      <c r="B19" s="87">
        <v>22807.35</v>
      </c>
    </row>
    <row r="20" spans="1:2" x14ac:dyDescent="0.3">
      <c r="A20">
        <v>20</v>
      </c>
      <c r="B20" s="87">
        <v>22497.279999999999</v>
      </c>
    </row>
    <row r="21" spans="1:2" x14ac:dyDescent="0.3">
      <c r="A21">
        <v>21</v>
      </c>
      <c r="B21" s="87">
        <v>22187.21</v>
      </c>
    </row>
    <row r="22" spans="1:2" x14ac:dyDescent="0.3">
      <c r="A22">
        <v>22</v>
      </c>
      <c r="B22" s="87">
        <v>21877.14</v>
      </c>
    </row>
    <row r="23" spans="1:2" x14ac:dyDescent="0.3">
      <c r="A23">
        <v>23</v>
      </c>
      <c r="B23" s="87">
        <v>21567.07</v>
      </c>
    </row>
    <row r="24" spans="1:2" x14ac:dyDescent="0.3">
      <c r="A24">
        <v>24</v>
      </c>
      <c r="B24" s="87">
        <v>21257</v>
      </c>
    </row>
    <row r="25" spans="1:2" x14ac:dyDescent="0.3">
      <c r="A25">
        <v>25</v>
      </c>
      <c r="B25" s="87">
        <v>20946.93</v>
      </c>
    </row>
    <row r="26" spans="1:2" x14ac:dyDescent="0.3">
      <c r="A26">
        <v>26</v>
      </c>
      <c r="B26" s="87">
        <v>20636.86</v>
      </c>
    </row>
    <row r="27" spans="1:2" x14ac:dyDescent="0.3">
      <c r="A27">
        <v>27</v>
      </c>
      <c r="B27" s="87">
        <v>20326.79</v>
      </c>
    </row>
    <row r="28" spans="1:2" x14ac:dyDescent="0.3">
      <c r="A28">
        <v>28</v>
      </c>
      <c r="B28" s="87">
        <v>20016.72</v>
      </c>
    </row>
    <row r="29" spans="1:2" x14ac:dyDescent="0.3">
      <c r="A29">
        <v>29</v>
      </c>
      <c r="B29" s="87">
        <v>19706.650000000001</v>
      </c>
    </row>
    <row r="30" spans="1:2" x14ac:dyDescent="0.3">
      <c r="A30">
        <v>30</v>
      </c>
      <c r="B30" s="87">
        <v>19396.580000000002</v>
      </c>
    </row>
    <row r="31" spans="1:2" x14ac:dyDescent="0.3">
      <c r="A31">
        <v>31</v>
      </c>
      <c r="B31" s="87">
        <v>19086.509999999998</v>
      </c>
    </row>
    <row r="32" spans="1:2" x14ac:dyDescent="0.3">
      <c r="A32">
        <v>32</v>
      </c>
      <c r="B32" s="87">
        <v>18776.439999999999</v>
      </c>
    </row>
    <row r="33" spans="1:2" x14ac:dyDescent="0.3">
      <c r="A33">
        <v>33</v>
      </c>
      <c r="B33" s="87">
        <v>18466.37</v>
      </c>
    </row>
    <row r="34" spans="1:2" x14ac:dyDescent="0.3">
      <c r="A34">
        <v>34</v>
      </c>
      <c r="B34" s="87">
        <v>18156.3</v>
      </c>
    </row>
    <row r="35" spans="1:2" x14ac:dyDescent="0.3">
      <c r="A35">
        <v>35</v>
      </c>
      <c r="B35" s="87">
        <v>17846.23</v>
      </c>
    </row>
    <row r="36" spans="1:2" x14ac:dyDescent="0.3">
      <c r="A36">
        <v>36</v>
      </c>
      <c r="B36" s="87">
        <v>17536.16</v>
      </c>
    </row>
    <row r="37" spans="1:2" x14ac:dyDescent="0.3">
      <c r="B37" s="88">
        <f>SUM(B1:B36)</f>
        <v>716777.70000000007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showGridLines="0" topLeftCell="A10" workbookViewId="0">
      <selection activeCell="M26" sqref="M26"/>
    </sheetView>
  </sheetViews>
  <sheetFormatPr defaultRowHeight="14.4" x14ac:dyDescent="0.3"/>
  <cols>
    <col min="2" max="2" width="12.109375" bestFit="1" customWidth="1"/>
    <col min="3" max="3" width="10.6640625" bestFit="1" customWidth="1"/>
    <col min="4" max="4" width="10" bestFit="1" customWidth="1"/>
    <col min="8" max="8" width="12.88671875" bestFit="1" customWidth="1"/>
    <col min="9" max="9" width="10.6640625" bestFit="1" customWidth="1"/>
    <col min="10" max="10" width="10" bestFit="1" customWidth="1"/>
  </cols>
  <sheetData>
    <row r="1" spans="1:11" x14ac:dyDescent="0.3">
      <c r="A1" s="168" t="s">
        <v>32</v>
      </c>
      <c r="B1" s="168"/>
      <c r="C1" s="168"/>
      <c r="D1" s="168"/>
      <c r="E1" s="168"/>
      <c r="G1" s="168" t="s">
        <v>106</v>
      </c>
      <c r="H1" s="168"/>
      <c r="I1" s="168"/>
      <c r="J1" s="168"/>
      <c r="K1" s="168"/>
    </row>
    <row r="2" spans="1:11" x14ac:dyDescent="0.3">
      <c r="A2" s="168"/>
      <c r="B2" s="168"/>
      <c r="C2" s="168"/>
      <c r="D2" s="168"/>
      <c r="E2" s="168"/>
      <c r="G2" s="168"/>
      <c r="H2" s="168"/>
      <c r="I2" s="168"/>
      <c r="J2" s="168"/>
      <c r="K2" s="168"/>
    </row>
    <row r="4" spans="1:11" x14ac:dyDescent="0.3">
      <c r="A4" s="14"/>
      <c r="B4" s="169" t="s">
        <v>19</v>
      </c>
      <c r="C4" s="169"/>
      <c r="D4" s="14"/>
      <c r="G4" s="14"/>
      <c r="H4" s="169" t="s">
        <v>18</v>
      </c>
      <c r="I4" s="169"/>
      <c r="J4" s="14"/>
    </row>
    <row r="5" spans="1:11" x14ac:dyDescent="0.3">
      <c r="A5" s="142" t="s">
        <v>33</v>
      </c>
      <c r="B5" s="142"/>
      <c r="C5" s="142"/>
      <c r="D5" s="142"/>
      <c r="G5" s="142" t="s">
        <v>107</v>
      </c>
      <c r="H5" s="142"/>
      <c r="I5" s="142"/>
      <c r="J5" s="142"/>
    </row>
    <row r="6" spans="1:11" x14ac:dyDescent="0.3">
      <c r="A6" s="137" t="s">
        <v>8</v>
      </c>
      <c r="B6" s="137"/>
      <c r="C6" s="143">
        <v>6219.34</v>
      </c>
      <c r="D6" s="143"/>
      <c r="G6" s="137" t="s">
        <v>8</v>
      </c>
      <c r="H6" s="137"/>
      <c r="I6" s="143"/>
      <c r="J6" s="143"/>
    </row>
    <row r="7" spans="1:11" x14ac:dyDescent="0.3">
      <c r="A7" s="137" t="s">
        <v>14</v>
      </c>
      <c r="B7" s="137"/>
      <c r="C7" s="143">
        <v>5184.1000000000004</v>
      </c>
      <c r="D7" s="143"/>
      <c r="G7" s="137" t="s">
        <v>14</v>
      </c>
      <c r="H7" s="137"/>
      <c r="I7" s="143">
        <v>24694.67</v>
      </c>
      <c r="J7" s="143"/>
    </row>
    <row r="8" spans="1:11" x14ac:dyDescent="0.3">
      <c r="A8" s="137" t="s">
        <v>7</v>
      </c>
      <c r="B8" s="137"/>
      <c r="C8" s="138">
        <v>18</v>
      </c>
      <c r="D8" s="138"/>
      <c r="G8" s="137" t="s">
        <v>7</v>
      </c>
      <c r="H8" s="137"/>
      <c r="I8" s="138">
        <v>20</v>
      </c>
      <c r="J8" s="138"/>
    </row>
    <row r="9" spans="1:11" x14ac:dyDescent="0.3">
      <c r="A9" s="170" t="s">
        <v>68</v>
      </c>
      <c r="B9" s="167"/>
      <c r="C9" s="71" t="s">
        <v>89</v>
      </c>
      <c r="D9" s="72" t="s">
        <v>90</v>
      </c>
      <c r="G9" s="170" t="s">
        <v>68</v>
      </c>
      <c r="H9" s="167"/>
      <c r="I9" s="71">
        <v>5.33</v>
      </c>
      <c r="J9" s="72" t="s">
        <v>108</v>
      </c>
    </row>
    <row r="10" spans="1:11" x14ac:dyDescent="0.3">
      <c r="A10" s="11" t="s">
        <v>0</v>
      </c>
      <c r="B10" s="6" t="s">
        <v>1</v>
      </c>
      <c r="C10" s="6" t="s">
        <v>2</v>
      </c>
      <c r="D10" s="11" t="s">
        <v>6</v>
      </c>
      <c r="G10" s="11" t="s">
        <v>0</v>
      </c>
      <c r="H10" s="6" t="s">
        <v>1</v>
      </c>
      <c r="I10" s="6" t="s">
        <v>2</v>
      </c>
      <c r="J10" s="11" t="s">
        <v>6</v>
      </c>
    </row>
    <row r="11" spans="1:11" x14ac:dyDescent="0.3">
      <c r="A11" s="28">
        <v>1</v>
      </c>
      <c r="B11" s="20">
        <v>449.58</v>
      </c>
      <c r="C11" s="31">
        <v>45021</v>
      </c>
      <c r="D11" s="28" t="s">
        <v>4</v>
      </c>
      <c r="G11" s="28">
        <v>1</v>
      </c>
      <c r="H11" s="20">
        <v>2012.45</v>
      </c>
      <c r="I11" s="31">
        <v>45550</v>
      </c>
      <c r="J11" s="28" t="s">
        <v>4</v>
      </c>
    </row>
    <row r="12" spans="1:11" x14ac:dyDescent="0.3">
      <c r="A12" s="28">
        <v>2</v>
      </c>
      <c r="B12" s="20">
        <v>449.58</v>
      </c>
      <c r="C12" s="31">
        <v>45082</v>
      </c>
      <c r="D12" s="28" t="s">
        <v>4</v>
      </c>
      <c r="G12" s="28">
        <v>2</v>
      </c>
      <c r="H12" s="20">
        <v>2012.45</v>
      </c>
      <c r="I12" s="31">
        <v>45580</v>
      </c>
      <c r="J12" s="28" t="s">
        <v>4</v>
      </c>
    </row>
    <row r="13" spans="1:11" x14ac:dyDescent="0.3">
      <c r="A13" s="28">
        <v>3</v>
      </c>
      <c r="B13" s="20">
        <v>449.58</v>
      </c>
      <c r="C13" s="31">
        <v>45112</v>
      </c>
      <c r="D13" s="28" t="s">
        <v>4</v>
      </c>
      <c r="G13" s="28">
        <v>3</v>
      </c>
      <c r="H13" s="20">
        <v>2012.45</v>
      </c>
      <c r="I13" s="31">
        <v>45611</v>
      </c>
      <c r="J13" s="28" t="s">
        <v>4</v>
      </c>
    </row>
    <row r="14" spans="1:11" x14ac:dyDescent="0.3">
      <c r="A14" s="28">
        <v>4</v>
      </c>
      <c r="B14" s="20">
        <v>449.58</v>
      </c>
      <c r="C14" s="31">
        <v>45143</v>
      </c>
      <c r="D14" s="28" t="s">
        <v>4</v>
      </c>
      <c r="G14" s="28">
        <v>4</v>
      </c>
      <c r="H14" s="20">
        <v>2012.45</v>
      </c>
      <c r="I14" s="31">
        <v>45641</v>
      </c>
      <c r="J14" s="28" t="s">
        <v>4</v>
      </c>
    </row>
    <row r="15" spans="1:11" x14ac:dyDescent="0.3">
      <c r="A15" s="28">
        <v>5</v>
      </c>
      <c r="B15" s="20">
        <v>449.58</v>
      </c>
      <c r="C15" s="31">
        <v>45174</v>
      </c>
      <c r="D15" s="28" t="s">
        <v>4</v>
      </c>
      <c r="G15" s="28">
        <v>5</v>
      </c>
      <c r="H15" s="20">
        <v>2012.45</v>
      </c>
      <c r="I15" s="31">
        <v>45672</v>
      </c>
      <c r="J15" s="28" t="s">
        <v>4</v>
      </c>
    </row>
    <row r="16" spans="1:11" x14ac:dyDescent="0.3">
      <c r="A16" s="28">
        <v>6</v>
      </c>
      <c r="B16" s="20">
        <v>449.58</v>
      </c>
      <c r="C16" s="31">
        <v>45204</v>
      </c>
      <c r="D16" s="28" t="s">
        <v>4</v>
      </c>
      <c r="G16" s="28">
        <v>6</v>
      </c>
      <c r="H16" s="20">
        <v>2012.45</v>
      </c>
      <c r="I16" s="31">
        <v>45703</v>
      </c>
      <c r="J16" s="28" t="s">
        <v>4</v>
      </c>
    </row>
    <row r="17" spans="1:10" x14ac:dyDescent="0.3">
      <c r="A17" s="28">
        <v>7</v>
      </c>
      <c r="B17" s="20">
        <v>449.58</v>
      </c>
      <c r="C17" s="31">
        <v>45235</v>
      </c>
      <c r="D17" s="28" t="s">
        <v>4</v>
      </c>
      <c r="G17" s="28">
        <v>7</v>
      </c>
      <c r="H17" s="20">
        <v>2012.45</v>
      </c>
      <c r="I17" s="31">
        <v>45731</v>
      </c>
      <c r="J17" s="28" t="s">
        <v>4</v>
      </c>
    </row>
    <row r="18" spans="1:10" x14ac:dyDescent="0.3">
      <c r="A18" s="28">
        <v>8</v>
      </c>
      <c r="B18" s="20">
        <v>449.58</v>
      </c>
      <c r="C18" s="31">
        <v>45265</v>
      </c>
      <c r="D18" s="28" t="s">
        <v>4</v>
      </c>
      <c r="G18" s="28">
        <v>8</v>
      </c>
      <c r="H18" s="20">
        <v>2012.45</v>
      </c>
      <c r="I18" s="31">
        <v>45762</v>
      </c>
      <c r="J18" s="28" t="s">
        <v>4</v>
      </c>
    </row>
    <row r="19" spans="1:10" x14ac:dyDescent="0.3">
      <c r="A19" s="28">
        <v>9</v>
      </c>
      <c r="B19" s="20">
        <v>449.58</v>
      </c>
      <c r="C19" s="31">
        <v>45296</v>
      </c>
      <c r="D19" s="28" t="s">
        <v>4</v>
      </c>
      <c r="G19" s="28">
        <v>9</v>
      </c>
      <c r="H19" s="20">
        <v>2012.45</v>
      </c>
      <c r="I19" s="31">
        <v>45792</v>
      </c>
      <c r="J19" s="28" t="s">
        <v>4</v>
      </c>
    </row>
    <row r="20" spans="1:10" x14ac:dyDescent="0.3">
      <c r="A20" s="28">
        <v>10</v>
      </c>
      <c r="B20" s="20">
        <v>449.58</v>
      </c>
      <c r="C20" s="31">
        <v>45327</v>
      </c>
      <c r="D20" s="28" t="s">
        <v>4</v>
      </c>
      <c r="G20" s="28">
        <v>10</v>
      </c>
      <c r="H20" s="20">
        <v>2012.45</v>
      </c>
      <c r="I20" s="31">
        <v>45823</v>
      </c>
      <c r="J20" s="28" t="s">
        <v>4</v>
      </c>
    </row>
    <row r="21" spans="1:10" x14ac:dyDescent="0.3">
      <c r="A21" s="28">
        <v>11</v>
      </c>
      <c r="B21" s="20">
        <v>449.58</v>
      </c>
      <c r="C21" s="31">
        <v>45356</v>
      </c>
      <c r="D21" s="28" t="s">
        <v>4</v>
      </c>
      <c r="G21" s="28">
        <v>11</v>
      </c>
      <c r="H21" s="20">
        <v>2012.45</v>
      </c>
      <c r="I21" s="31">
        <v>45853</v>
      </c>
      <c r="J21" s="28"/>
    </row>
    <row r="22" spans="1:10" x14ac:dyDescent="0.3">
      <c r="A22" s="28">
        <v>12</v>
      </c>
      <c r="B22" s="20">
        <v>449.58</v>
      </c>
      <c r="C22" s="31">
        <v>45387</v>
      </c>
      <c r="D22" s="28" t="s">
        <v>4</v>
      </c>
      <c r="G22" s="28">
        <v>12</v>
      </c>
      <c r="H22" s="20">
        <v>2012.45</v>
      </c>
      <c r="I22" s="31">
        <v>45884</v>
      </c>
      <c r="J22" s="28"/>
    </row>
    <row r="23" spans="1:10" x14ac:dyDescent="0.3">
      <c r="A23" s="28">
        <v>13</v>
      </c>
      <c r="B23" s="20">
        <v>449.58</v>
      </c>
      <c r="C23" s="31">
        <v>45417</v>
      </c>
      <c r="D23" s="28" t="s">
        <v>4</v>
      </c>
      <c r="G23" s="28">
        <v>13</v>
      </c>
      <c r="H23" s="20">
        <v>2012.45</v>
      </c>
      <c r="I23" s="31">
        <v>45915</v>
      </c>
      <c r="J23" s="28"/>
    </row>
    <row r="24" spans="1:10" x14ac:dyDescent="0.3">
      <c r="A24" s="28">
        <v>14</v>
      </c>
      <c r="B24" s="20">
        <v>449.58</v>
      </c>
      <c r="C24" s="31">
        <v>45448</v>
      </c>
      <c r="D24" s="28" t="s">
        <v>4</v>
      </c>
      <c r="G24" s="28">
        <v>14</v>
      </c>
      <c r="H24" s="20">
        <v>2012.45</v>
      </c>
      <c r="I24" s="31">
        <v>45945</v>
      </c>
      <c r="J24" s="28"/>
    </row>
    <row r="25" spans="1:10" x14ac:dyDescent="0.3">
      <c r="A25" s="28">
        <v>15</v>
      </c>
      <c r="B25" s="20">
        <v>449.58</v>
      </c>
      <c r="C25" s="31">
        <v>45478</v>
      </c>
      <c r="D25" s="28" t="s">
        <v>4</v>
      </c>
      <c r="G25" s="28">
        <v>15</v>
      </c>
      <c r="H25" s="20">
        <v>2012.45</v>
      </c>
      <c r="I25" s="31">
        <v>45976</v>
      </c>
      <c r="J25" s="28"/>
    </row>
    <row r="26" spans="1:10" x14ac:dyDescent="0.3">
      <c r="A26" s="28">
        <v>16</v>
      </c>
      <c r="B26" s="20">
        <v>449.58</v>
      </c>
      <c r="C26" s="31">
        <v>45509</v>
      </c>
      <c r="D26" s="28" t="s">
        <v>4</v>
      </c>
      <c r="G26" s="28">
        <v>16</v>
      </c>
      <c r="H26" s="20">
        <v>2012.45</v>
      </c>
      <c r="I26" s="31">
        <v>46006</v>
      </c>
      <c r="J26" s="28"/>
    </row>
    <row r="27" spans="1:10" x14ac:dyDescent="0.3">
      <c r="A27" s="28">
        <v>17</v>
      </c>
      <c r="B27" s="20">
        <v>449.58</v>
      </c>
      <c r="C27" s="31">
        <v>45540</v>
      </c>
      <c r="D27" s="28" t="s">
        <v>4</v>
      </c>
      <c r="G27" s="28">
        <v>17</v>
      </c>
      <c r="H27" s="20">
        <v>2012.45</v>
      </c>
      <c r="I27" s="31">
        <v>46037</v>
      </c>
      <c r="J27" s="28"/>
    </row>
    <row r="28" spans="1:10" x14ac:dyDescent="0.3">
      <c r="A28" s="28">
        <v>18</v>
      </c>
      <c r="B28" s="20">
        <v>449.58</v>
      </c>
      <c r="C28" s="31">
        <v>45570</v>
      </c>
      <c r="D28" s="28" t="s">
        <v>4</v>
      </c>
      <c r="G28" s="28">
        <v>18</v>
      </c>
      <c r="H28" s="20">
        <v>2012.45</v>
      </c>
      <c r="I28" s="31">
        <v>46068</v>
      </c>
      <c r="J28" s="28"/>
    </row>
    <row r="29" spans="1:10" x14ac:dyDescent="0.3">
      <c r="B29" s="26">
        <f>SUM(B11:B28)</f>
        <v>8092.44</v>
      </c>
      <c r="G29" s="28">
        <v>19</v>
      </c>
      <c r="H29" s="20">
        <v>2012.45</v>
      </c>
      <c r="I29" s="31">
        <v>46096</v>
      </c>
      <c r="J29" s="28"/>
    </row>
    <row r="30" spans="1:10" x14ac:dyDescent="0.3">
      <c r="G30" s="28">
        <v>20</v>
      </c>
      <c r="H30" s="20">
        <v>2012.45</v>
      </c>
      <c r="I30" s="31">
        <v>46127</v>
      </c>
      <c r="J30" s="28"/>
    </row>
    <row r="31" spans="1:10" x14ac:dyDescent="0.3">
      <c r="H31" s="26">
        <f>SUM(H11:H30)</f>
        <v>40249</v>
      </c>
    </row>
  </sheetData>
  <mergeCells count="20">
    <mergeCell ref="G7:H7"/>
    <mergeCell ref="I7:J7"/>
    <mergeCell ref="G8:H8"/>
    <mergeCell ref="I8:J8"/>
    <mergeCell ref="G9:H9"/>
    <mergeCell ref="G1:K2"/>
    <mergeCell ref="H4:I4"/>
    <mergeCell ref="G5:J5"/>
    <mergeCell ref="G6:H6"/>
    <mergeCell ref="I6:J6"/>
    <mergeCell ref="A9:B9"/>
    <mergeCell ref="A1:E2"/>
    <mergeCell ref="B4:C4"/>
    <mergeCell ref="A5:D5"/>
    <mergeCell ref="A8:B8"/>
    <mergeCell ref="C8:D8"/>
    <mergeCell ref="A7:B7"/>
    <mergeCell ref="C6:D6"/>
    <mergeCell ref="C7:D7"/>
    <mergeCell ref="A6:B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Planilha2</vt:lpstr>
      <vt:lpstr>BASE</vt:lpstr>
      <vt:lpstr>BRADESCO</vt:lpstr>
      <vt:lpstr>ITAU</vt:lpstr>
      <vt:lpstr>CAIXA</vt:lpstr>
      <vt:lpstr>Planilha1</vt:lpstr>
      <vt:lpstr>SAFRA</vt:lpstr>
      <vt:lpstr>SANTANDER</vt:lpstr>
      <vt:lpstr>SOFISA</vt:lpstr>
      <vt:lpstr>Planilha3</vt:lpstr>
      <vt:lpstr>Plan1</vt:lpstr>
      <vt:lpstr>SICOOB</vt:lpstr>
      <vt:lpstr>SOFISA!Area_de_impressao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2023-05-25T20:56:18Z</cp:lastPrinted>
  <dcterms:created xsi:type="dcterms:W3CDTF">2022-09-02T14:45:09Z</dcterms:created>
  <dcterms:modified xsi:type="dcterms:W3CDTF">2025-09-09T22:09:30Z</dcterms:modified>
</cp:coreProperties>
</file>