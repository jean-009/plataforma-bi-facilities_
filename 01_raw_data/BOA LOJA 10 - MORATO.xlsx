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360A22F6-4F22-429A-AF62-C46EE4F5788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<sst xmlns="http://schemas.openxmlformats.org/spreadsheetml/2006/main" count="38" uniqueCount="37">
  <si>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</si>
  <si>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</si>
  <si>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</si>
  <si>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</si>
  <si>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</si>
  <si>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</si>
  <si>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</si>
  <si>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</si>
  <si>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</si>
  <si>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</si>
  <si>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</si>
  <si>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</si>
  <si>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</si>
  <si>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</si>
  <si>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</si>
  <si>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</si>
  <si>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</si>
  <si>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</si>
  <si>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</si>
  <si>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</si>
  <si>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</si>
  <si>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</si>
  <si>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</si>
  <si>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</si>
  <si>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</si>
  <si>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</si>
  <si>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</si>
  <si>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</si>
  <si>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</si>
  <si>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</si>
  <si>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</si>
  <si>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</si>
  <si>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</si>
  <si>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</si>
  <si>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</si>
  <si>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</si>
  <si>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BOA LOJA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</si>
</sst>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164" fontId="5" fillId="9" borderId="5" xfId="1" applyFont="1" applyFill="1" applyBorder="1" applyAlignment="1" applyProtection="1">
      <alignment horizontal="left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5" sqref="I5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65" customFormat="1" ht="52.5" customHeight="1" thickBot="1" x14ac:dyDescent="0.3">
      <c r="A1" s="65" t="s">
        <v>36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67" t="s">
        <v>1</v>
      </c>
      <c r="K3" s="67"/>
      <c r="L3" s="68" t="s">
        <v>33</v>
      </c>
      <c r="M3" s="68"/>
      <c r="N3" s="68"/>
      <c r="O3" s="68"/>
      <c r="P3" s="68"/>
      <c r="Q3" s="68"/>
      <c r="R3" s="68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20494.78</v>
      </c>
      <c r="E5" s="23">
        <v>8</v>
      </c>
      <c r="F5" s="23">
        <v>0</v>
      </c>
      <c r="G5" s="23">
        <v>2710.25</v>
      </c>
      <c r="H5" s="23">
        <v>80</v>
      </c>
      <c r="I5" s="23">
        <v>2554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31015.829999999998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31015.829999999998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20494.78</v>
      </c>
      <c r="E35" s="34">
        <f t="shared" si="1"/>
        <v>8</v>
      </c>
      <c r="F35" s="34">
        <f t="shared" si="1"/>
        <v>0</v>
      </c>
      <c r="G35" s="34">
        <f t="shared" si="1"/>
        <v>2710.25</v>
      </c>
      <c r="H35" s="54">
        <v>80</v>
      </c>
      <c r="I35" s="34">
        <f t="shared" si="1"/>
        <v>2554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-31015.829999999998</v>
      </c>
      <c r="P35" s="51"/>
      <c r="Q35" s="34">
        <f t="shared" si="1"/>
        <v>30</v>
      </c>
      <c r="R35" s="22"/>
      <c r="S35" s="52">
        <f>SUBTOTAL(109,S5:S34)</f>
        <v>31015.829999999998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9" t="s">
        <v>7</v>
      </c>
      <c r="C38" s="70"/>
      <c r="D38" s="70"/>
      <c r="E38" s="70"/>
      <c r="F38" s="71" t="s">
        <v>28</v>
      </c>
      <c r="G38" s="71"/>
      <c r="H38" s="71"/>
      <c r="I38" s="71"/>
      <c r="J38" s="71"/>
      <c r="K38" s="71"/>
      <c r="L38" s="71"/>
      <c r="M38" s="13"/>
      <c r="N38" s="72" t="s">
        <v>8</v>
      </c>
      <c r="O38" s="72"/>
      <c r="P38" s="72"/>
      <c r="Q38" s="73">
        <v>0</v>
      </c>
      <c r="R38" s="73"/>
      <c r="S38" s="12"/>
      <c r="T38" s="30"/>
    </row>
    <row r="39" spans="1:20" s="4" customFormat="1" ht="18" customHeight="1" x14ac:dyDescent="0.25">
      <c r="B39" s="74" t="s">
        <v>9</v>
      </c>
      <c r="C39" s="75"/>
      <c r="D39" s="75"/>
      <c r="E39" s="75"/>
      <c r="F39" s="76"/>
      <c r="G39" s="76"/>
      <c r="H39" s="76"/>
      <c r="I39" s="76"/>
      <c r="J39" s="76"/>
      <c r="K39" s="76"/>
      <c r="L39" s="76"/>
      <c r="M39" s="13"/>
      <c r="N39" s="77" t="s">
        <v>10</v>
      </c>
      <c r="O39" s="77"/>
      <c r="P39" s="77"/>
      <c r="Q39" s="78">
        <v>0</v>
      </c>
      <c r="R39" s="78"/>
      <c r="S39" s="13"/>
      <c r="T39" s="30"/>
    </row>
    <row r="40" spans="1:20" s="4" customFormat="1" ht="18" customHeight="1" x14ac:dyDescent="0.25">
      <c r="B40" s="69" t="s">
        <v>11</v>
      </c>
      <c r="C40" s="70"/>
      <c r="D40" s="70"/>
      <c r="E40" s="70"/>
      <c r="F40" s="79" t="s">
        <v>35</v>
      </c>
      <c r="G40" s="79"/>
      <c r="H40" s="79"/>
      <c r="I40" s="79"/>
      <c r="J40" s="79"/>
      <c r="K40" s="79"/>
      <c r="L40" s="79"/>
      <c r="M40" s="13"/>
      <c r="N40" s="80" t="s">
        <v>12</v>
      </c>
      <c r="O40" s="80"/>
      <c r="P40" s="80"/>
      <c r="Q40" s="81"/>
      <c r="R40" s="81"/>
      <c r="S40" s="13"/>
      <c r="T40" s="30"/>
    </row>
    <row r="41" spans="1:20" s="4" customFormat="1" ht="18" customHeight="1" x14ac:dyDescent="0.25">
      <c r="B41" s="74"/>
      <c r="C41" s="75"/>
      <c r="D41" s="75"/>
      <c r="E41" s="75"/>
      <c r="F41" s="76"/>
      <c r="G41" s="76"/>
      <c r="H41" s="76"/>
      <c r="I41" s="76"/>
      <c r="J41" s="76"/>
      <c r="K41" s="76"/>
      <c r="L41" s="76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9"/>
      <c r="C42" s="70"/>
      <c r="D42" s="70"/>
      <c r="E42" s="70"/>
      <c r="F42" s="71"/>
      <c r="G42" s="71"/>
      <c r="H42" s="71"/>
      <c r="I42" s="71"/>
      <c r="J42" s="71"/>
      <c r="K42" s="71"/>
      <c r="L42" s="71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82" t="s">
        <v>34</v>
      </c>
      <c r="O43" s="82"/>
      <c r="P43" s="82"/>
      <c r="Q43" s="82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B41:E41"/>
    <mergeCell ref="F41:L41"/>
    <mergeCell ref="B42:E42"/>
    <mergeCell ref="F42:L42"/>
    <mergeCell ref="N43:Q43"/>
    <mergeCell ref="B39:E39"/>
    <mergeCell ref="F39:L39"/>
    <mergeCell ref="N39:P39"/>
    <mergeCell ref="Q39:R39"/>
    <mergeCell ref="B40:E40"/>
    <mergeCell ref="F40:L40"/>
    <mergeCell ref="N40:P40"/>
    <mergeCell ref="Q40:R40"/>
    <mergeCell ref="A1:XFD1"/>
    <mergeCell ref="J3:K3"/>
    <mergeCell ref="L3:R3"/>
    <mergeCell ref="B38:E38"/>
    <mergeCell ref="F38:L38"/>
    <mergeCell ref="N38:P38"/>
    <mergeCell ref="Q38:R38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65" customFormat="1" ht="52.5" customHeight="1" x14ac:dyDescent="0.25">
      <c r="A1" s="65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2024-09-17T15:20:57Z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