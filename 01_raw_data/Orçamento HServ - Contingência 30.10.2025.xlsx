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FBCAEA14-AD5F-456C-9243-D524EB8BA7D8}" xr6:coauthVersionLast="47" xr6:coauthVersionMax="47" xr10:uidLastSave="{00000000-0000-0000-0000-000000000000}"/>
  <bookViews>
    <workbookView xWindow="-108" yWindow="-108" windowWidth="23256" windowHeight="12456" tabRatio="533" xr2:uid="{99B49B27-EC40-4C18-BEA5-3AF45CBCE35F}"/>
  </bookViews>
  <sheets>
    <sheet name="Orçamento e contingênci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G4" i="1" l="1"/>
  <c r="G16" i="1"/>
  <c r="G23" i="1"/>
  <c r="G22" i="1"/>
  <c r="G21" i="1"/>
  <c r="G20" i="1"/>
  <c r="G19" i="1"/>
  <c r="F23" i="1"/>
  <c r="F19" i="1"/>
  <c r="F27" i="1" s="1"/>
  <c r="F9" i="1"/>
  <c r="G9" i="1" s="1"/>
  <c r="F7" i="1"/>
  <c r="F6" i="1"/>
  <c r="F5" i="1"/>
  <c r="G5" i="1" s="1"/>
  <c r="E5" i="1"/>
  <c r="C5" i="1"/>
  <c r="D10" i="1"/>
  <c r="D16" i="1" s="1"/>
  <c r="C8" i="1"/>
  <c r="C3" i="1"/>
  <c r="C7" i="1"/>
  <c r="E7" i="1"/>
  <c r="G7" i="1"/>
  <c r="B16" i="1"/>
  <c r="G10" i="1"/>
  <c r="G11" i="1"/>
  <c r="G12" i="1"/>
  <c r="G13" i="1"/>
  <c r="G14" i="1"/>
  <c r="G15" i="1"/>
  <c r="G8" i="1"/>
  <c r="G3" i="1"/>
  <c r="E2" i="1"/>
  <c r="E3" i="1"/>
  <c r="E4" i="1"/>
  <c r="E6" i="1"/>
  <c r="E8" i="1"/>
  <c r="C4" i="1"/>
  <c r="C6" i="1"/>
  <c r="F16" i="1" l="1"/>
  <c r="G6" i="1"/>
  <c r="E16" i="1"/>
  <c r="C16" i="1"/>
</calcChain>
</file>

<file path=xl/sharedStrings.xml><?xml version="1.0" encoding="utf-8"?>
<sst xmlns="http://schemas.openxmlformats.org/spreadsheetml/2006/main" count="21" uniqueCount="21">
  <si>
    <t>Financeiro (Omie)</t>
  </si>
  <si>
    <t>MKT (Urso Propaganda)</t>
  </si>
  <si>
    <t>Sub-total</t>
  </si>
  <si>
    <t>Área</t>
  </si>
  <si>
    <t>Diretoria</t>
  </si>
  <si>
    <t>Juridico (interno)</t>
  </si>
  <si>
    <t>Aluguel salas</t>
  </si>
  <si>
    <t>Frota</t>
  </si>
  <si>
    <t>Brindes</t>
  </si>
  <si>
    <t>DP (nexti)</t>
  </si>
  <si>
    <t>Contabilidade/Jurídico/DP (IF)</t>
  </si>
  <si>
    <t>Contabilidade (CS Guimarães)</t>
  </si>
  <si>
    <t>Redução de pessoal</t>
  </si>
  <si>
    <t>Queila</t>
  </si>
  <si>
    <t>Esther</t>
  </si>
  <si>
    <t>Pâmela</t>
  </si>
  <si>
    <t>Duca</t>
  </si>
  <si>
    <t>Roberlei</t>
  </si>
  <si>
    <t>Prolabore / Retirada - Vitor</t>
  </si>
  <si>
    <t>Prolabore / Retirada - Duarte</t>
  </si>
  <si>
    <t>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</si>
</sst>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43" fontId="1" fillId="0" borderId="0" xfId="1" applyFont="1" applyAlignment="1">
      <alignment horizontal="center"/>
    </xf>
    <xf numFmtId="43" fontId="0" fillId="0" borderId="0" xfId="1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258C-764B-49D2-9E89-E84583356298}">
  <dimension ref="A1:I27"/>
  <sheetViews>
    <sheetView showGridLines="0" tabSelected="1" workbookViewId="0">
      <selection activeCell="O6" sqref="O6"/>
    </sheetView>
  </sheetViews>
  <sheetFormatPr defaultRowHeight="14.4" x14ac:dyDescent="0.3"/>
  <cols>
    <col min="1" max="1" width="26.88671875" customWidth="1"/>
    <col min="2" max="2" width="13.5546875" style="1" customWidth="1"/>
    <col min="3" max="3" width="11.5546875" style="1" customWidth="1"/>
    <col min="4" max="4" width="11.5546875" style="1" bestFit="1" customWidth="1"/>
    <col min="5" max="5" width="11.44140625" customWidth="1"/>
    <col min="6" max="6" width="11.5546875" bestFit="1" customWidth="1"/>
    <col min="7" max="7" width="13.33203125" bestFit="1" customWidth="1"/>
    <col min="8" max="8" width="9.44140625" bestFit="1" customWidth="1"/>
    <col min="9" max="9" width="10.44140625" bestFit="1" customWidth="1"/>
  </cols>
  <sheetData>
    <row r="1" spans="1:9" x14ac:dyDescent="0.3">
      <c r="A1" s="4" t="s">
        <v>3</v>
      </c>
      <c r="B1" s="8">
        <v>2024</v>
      </c>
      <c r="C1" s="8"/>
      <c r="D1" s="8">
        <v>2025</v>
      </c>
      <c r="E1" s="8"/>
      <c r="F1" s="9">
        <v>2026</v>
      </c>
      <c r="G1" s="9"/>
    </row>
    <row r="2" spans="1:9" x14ac:dyDescent="0.3">
      <c r="A2" s="5" t="s">
        <v>4</v>
      </c>
      <c r="B2" s="6"/>
      <c r="C2" s="6"/>
      <c r="D2" s="6">
        <v>15000</v>
      </c>
      <c r="E2" s="6">
        <f>D2*5-2500</f>
        <v>72500</v>
      </c>
      <c r="F2" s="7">
        <v>0</v>
      </c>
      <c r="G2" s="7">
        <v>0</v>
      </c>
    </row>
    <row r="3" spans="1:9" x14ac:dyDescent="0.3">
      <c r="A3" t="s">
        <v>11</v>
      </c>
      <c r="B3" s="1">
        <v>15000</v>
      </c>
      <c r="C3" s="1">
        <f>B3*13</f>
        <v>195000</v>
      </c>
      <c r="E3" s="1">
        <f>D3*12</f>
        <v>0</v>
      </c>
      <c r="F3" s="1">
        <v>0</v>
      </c>
      <c r="G3" s="1">
        <f>F3*12</f>
        <v>0</v>
      </c>
    </row>
    <row r="4" spans="1:9" x14ac:dyDescent="0.3">
      <c r="A4" t="s">
        <v>5</v>
      </c>
      <c r="B4" s="1">
        <v>6000</v>
      </c>
      <c r="C4" s="1">
        <f t="shared" ref="C4:C7" si="0">B4*12</f>
        <v>72000</v>
      </c>
      <c r="D4" s="1">
        <v>3500</v>
      </c>
      <c r="E4" s="1">
        <f t="shared" ref="E4:E8" si="1">D4*12</f>
        <v>42000</v>
      </c>
      <c r="F4" s="1">
        <v>8500</v>
      </c>
      <c r="G4" s="1">
        <f>F4*12</f>
        <v>102000</v>
      </c>
    </row>
    <row r="5" spans="1:9" x14ac:dyDescent="0.3">
      <c r="A5" t="s">
        <v>9</v>
      </c>
      <c r="B5" s="1">
        <v>3500</v>
      </c>
      <c r="C5" s="1">
        <f>B5*12</f>
        <v>42000</v>
      </c>
      <c r="D5" s="1">
        <v>4579</v>
      </c>
      <c r="E5" s="1">
        <f>D5*12</f>
        <v>54948</v>
      </c>
      <c r="F5" s="1">
        <f>4579*1.1</f>
        <v>5036.9000000000005</v>
      </c>
      <c r="G5" s="1">
        <f t="shared" ref="G4:G15" si="2">F5*12</f>
        <v>60442.8</v>
      </c>
    </row>
    <row r="6" spans="1:9" x14ac:dyDescent="0.3">
      <c r="A6" t="s">
        <v>10</v>
      </c>
      <c r="C6" s="1">
        <f t="shared" si="0"/>
        <v>0</v>
      </c>
      <c r="D6" s="1">
        <v>15860.65</v>
      </c>
      <c r="E6" s="1">
        <f t="shared" si="1"/>
        <v>190327.8</v>
      </c>
      <c r="F6" s="1">
        <f>15860.65*1.1</f>
        <v>17446.715</v>
      </c>
      <c r="G6" s="1">
        <f t="shared" si="2"/>
        <v>209360.58000000002</v>
      </c>
    </row>
    <row r="7" spans="1:9" x14ac:dyDescent="0.3">
      <c r="A7" t="s">
        <v>0</v>
      </c>
      <c r="C7" s="1">
        <f t="shared" si="0"/>
        <v>0</v>
      </c>
      <c r="D7" s="1">
        <v>2743</v>
      </c>
      <c r="E7" s="1">
        <f t="shared" si="1"/>
        <v>32916</v>
      </c>
      <c r="F7" s="1">
        <f>2743*1.1</f>
        <v>3017.3</v>
      </c>
      <c r="G7" s="1">
        <f t="shared" si="2"/>
        <v>36207.600000000006</v>
      </c>
    </row>
    <row r="8" spans="1:9" x14ac:dyDescent="0.3">
      <c r="A8" t="s">
        <v>1</v>
      </c>
      <c r="B8" s="1">
        <v>2000</v>
      </c>
      <c r="C8" s="1">
        <f>B8*12</f>
        <v>24000</v>
      </c>
      <c r="E8" s="1">
        <f t="shared" si="1"/>
        <v>0</v>
      </c>
      <c r="F8" s="1"/>
      <c r="G8" s="1">
        <f t="shared" si="2"/>
        <v>0</v>
      </c>
    </row>
    <row r="9" spans="1:9" x14ac:dyDescent="0.3">
      <c r="A9" t="s">
        <v>6</v>
      </c>
      <c r="D9" s="1">
        <v>5460</v>
      </c>
      <c r="E9" s="1"/>
      <c r="F9" s="1">
        <f>1820*2</f>
        <v>3640</v>
      </c>
      <c r="G9" s="1">
        <f t="shared" si="2"/>
        <v>43680</v>
      </c>
      <c r="H9" s="10"/>
      <c r="I9" s="10"/>
    </row>
    <row r="10" spans="1:9" x14ac:dyDescent="0.3">
      <c r="A10" t="s">
        <v>7</v>
      </c>
      <c r="D10" s="1">
        <f>4375+10500</f>
        <v>14875</v>
      </c>
      <c r="E10" s="1"/>
      <c r="F10" s="1"/>
      <c r="G10" s="1">
        <f t="shared" si="2"/>
        <v>0</v>
      </c>
    </row>
    <row r="11" spans="1:9" x14ac:dyDescent="0.3">
      <c r="A11" t="s">
        <v>8</v>
      </c>
      <c r="D11" s="1">
        <v>2000</v>
      </c>
      <c r="E11" s="1"/>
      <c r="F11" s="1"/>
      <c r="G11" s="1">
        <f t="shared" si="2"/>
        <v>0</v>
      </c>
    </row>
    <row r="12" spans="1:9" x14ac:dyDescent="0.3">
      <c r="A12" t="s">
        <v>12</v>
      </c>
      <c r="D12" s="1">
        <v>37491.223000000005</v>
      </c>
      <c r="E12" s="1"/>
      <c r="F12" s="1"/>
      <c r="G12" s="1">
        <f t="shared" si="2"/>
        <v>0</v>
      </c>
    </row>
    <row r="13" spans="1:9" x14ac:dyDescent="0.3">
      <c r="E13" s="1"/>
      <c r="F13" s="1"/>
      <c r="G13" s="1">
        <f t="shared" si="2"/>
        <v>0</v>
      </c>
    </row>
    <row r="14" spans="1:9" x14ac:dyDescent="0.3">
      <c r="E14" s="1"/>
      <c r="F14" s="1"/>
      <c r="G14" s="1">
        <f t="shared" si="2"/>
        <v>0</v>
      </c>
    </row>
    <row r="15" spans="1:9" x14ac:dyDescent="0.3">
      <c r="E15" s="1"/>
      <c r="F15" s="1"/>
      <c r="G15" s="1">
        <f t="shared" si="2"/>
        <v>0</v>
      </c>
    </row>
    <row r="16" spans="1:9" x14ac:dyDescent="0.3">
      <c r="A16" s="2" t="s">
        <v>2</v>
      </c>
      <c r="B16" s="3">
        <f>SUM(B3:B15)</f>
        <v>26500</v>
      </c>
      <c r="C16" s="3">
        <f>SUM(C3:C15)</f>
        <v>333000</v>
      </c>
      <c r="D16" s="3">
        <f>SUM(D3:D15)</f>
        <v>86508.873000000007</v>
      </c>
      <c r="E16" s="3">
        <f>SUM(E3:E15)</f>
        <v>320191.8</v>
      </c>
      <c r="F16" s="3">
        <f>SUM(F3:F15)</f>
        <v>37640.915000000001</v>
      </c>
      <c r="G16" s="3">
        <f>SUM(G3:G15)</f>
        <v>451690.98</v>
      </c>
    </row>
    <row r="17" spans="1:7" x14ac:dyDescent="0.3">
      <c r="E17" s="1"/>
      <c r="F17" s="1"/>
      <c r="G17" s="1"/>
    </row>
    <row r="18" spans="1:7" x14ac:dyDescent="0.3">
      <c r="E18" s="1"/>
      <c r="F18" s="1"/>
      <c r="G18" s="1"/>
    </row>
    <row r="19" spans="1:7" x14ac:dyDescent="0.3">
      <c r="A19" t="s">
        <v>13</v>
      </c>
      <c r="E19" s="1">
        <v>2553</v>
      </c>
      <c r="F19" s="1">
        <f>E19*1.85</f>
        <v>4723.05</v>
      </c>
      <c r="G19" s="1">
        <f>F19*12</f>
        <v>56676.600000000006</v>
      </c>
    </row>
    <row r="20" spans="1:7" x14ac:dyDescent="0.3">
      <c r="A20" t="s">
        <v>14</v>
      </c>
      <c r="E20" s="1">
        <v>0</v>
      </c>
      <c r="F20" s="1">
        <v>6000</v>
      </c>
      <c r="G20" s="1">
        <f t="shared" ref="G20:G23" si="3">F20*12</f>
        <v>72000</v>
      </c>
    </row>
    <row r="21" spans="1:7" x14ac:dyDescent="0.3">
      <c r="A21" t="s">
        <v>15</v>
      </c>
      <c r="E21" s="1">
        <v>0</v>
      </c>
      <c r="F21" s="1">
        <v>8500</v>
      </c>
      <c r="G21" s="1">
        <f t="shared" si="3"/>
        <v>102000</v>
      </c>
    </row>
    <row r="22" spans="1:7" x14ac:dyDescent="0.3">
      <c r="A22" t="s">
        <v>16</v>
      </c>
      <c r="E22" s="1">
        <v>0</v>
      </c>
      <c r="F22" s="1">
        <v>15000</v>
      </c>
      <c r="G22" s="1">
        <f t="shared" si="3"/>
        <v>180000</v>
      </c>
    </row>
    <row r="23" spans="1:7" x14ac:dyDescent="0.3">
      <c r="A23" t="s">
        <v>17</v>
      </c>
      <c r="E23" s="1">
        <v>1766.58</v>
      </c>
      <c r="F23" s="1">
        <f>E23*1.85</f>
        <v>3268.1730000000002</v>
      </c>
      <c r="G23" s="1">
        <f t="shared" si="3"/>
        <v>39218.076000000001</v>
      </c>
    </row>
    <row r="24" spans="1:7" x14ac:dyDescent="0.3">
      <c r="A24" t="s">
        <v>18</v>
      </c>
      <c r="E24" s="1"/>
      <c r="G24" s="1"/>
    </row>
    <row r="25" spans="1:7" x14ac:dyDescent="0.3">
      <c r="A25" t="s">
        <v>19</v>
      </c>
      <c r="E25" s="1"/>
      <c r="F25" s="1"/>
      <c r="G25" s="1"/>
    </row>
    <row r="26" spans="1:7" x14ac:dyDescent="0.3">
      <c r="A26" t="s">
        <v>20</v>
      </c>
      <c r="E26" s="1"/>
      <c r="F26" s="1"/>
      <c r="G26" s="1"/>
    </row>
    <row r="27" spans="1:7" x14ac:dyDescent="0.3">
      <c r="E27" s="1"/>
      <c r="F27" s="3">
        <f>SUM(F19:F23)</f>
        <v>37491.223000000005</v>
      </c>
      <c r="G27" s="3">
        <f>SUM(G19:G26)</f>
        <v>449894.67599999998</v>
      </c>
    </row>
  </sheetData>
  <mergeCells count="3">
    <mergeCell ref="B1:C1"/>
    <mergeCell ref="D1:E1"/>
    <mergeCell ref="F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e contingências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Del Duca</dc:creator>
  <cp:lastModifiedBy>Pamela Rocha</cp:lastModifiedBy>
  <dcterms:created xsi:type="dcterms:W3CDTF">2025-06-24T15:34:29Z</dcterms:created>
  <dcterms:modified xsi:type="dcterms:W3CDTF">2025-10-30T21:32:48Z</dcterms:modified>
</cp:coreProperties>
</file>